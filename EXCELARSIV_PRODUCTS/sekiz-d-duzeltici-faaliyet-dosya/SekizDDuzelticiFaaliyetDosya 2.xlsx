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EKIP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KANIT_RAPORU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zincirTolerans">AYARLAR!$B$7</definedName>
    <definedName name="sdf_esikGecikmeGun">AYARLAR!$B$8</definedName>
    <definedName name="sdf_esikGeciken">AYARLAR!$B$9</definedName>
    <definedName name="sdf_kovaEsik1">AYARLAR!$B$10</definedName>
    <definedName name="sdf_kovaEsik2">AYARLAR!$B$11</definedName>
    <definedName name="sdf_kovaEsik3">AYARLAR!$B$12</definedName>
    <definedName name="sdf_hedefKapanis">AYARLAR!$B$13</definedName>
    <definedName name="sdf_sifir">AYARLAR!$B$14</definedName>
    <definedName name="sdf_kaliteTaban">AYARLAR!$B$15</definedName>
    <definedName name="sdf_kaliteCeza">AYARLAR!$B$16</definedName>
    <definedName name="sdf_senaryoTemkinli">AYARLAR!$B$17</definedName>
    <definedName name="sdf_senaryoBaz">AYARLAR!$B$18</definedName>
    <definedName name="sdf_senaryoIyimser">AYARLAR!$B$19</definedName>
    <definedName name="sdf_tornadoOran">AYARLAR!$B$20</definedName>
    <definedName name="sdf_yuzdelikOran">AYARLAR!$B$21</definedName>
    <definedName name="sdf_olcekHedef">AYARLAR!$B$22</definedName>
    <definedName name="sdf_azamiTutar">AYARLAR!$B$23</definedName>
    <definedName name="sdf_durumHaritasi">AYARLAR!$B$24</definedName>
    <definedName name="sdf_kuyrukOzeti_metin">AYARLAR!$B$25</definedName>
    <definedName name="sdf_kapaliDusum_metin">AYARLAR!$B$26</definedName>
    <definedName name="sdf_kanitRaporu_metin">AYARLAR!$B$27</definedName>
    <definedName name="sdf_dosyaSurumu">AYARLAR!$B$28</definedName>
    <definedName name="sdf_firmaUnvan">AYARLAR!$B$29</definedName>
    <definedName name="sdf_trendOcak">AYARLAR!$B$30</definedName>
    <definedName name="sdf_trendSubat">AYARLAR!$B$31</definedName>
    <definedName name="sdf_trendMart">AYARLAR!$B$32</definedName>
    <definedName name="sdf_trendNisan">AYARLAR!$B$33</definedName>
    <definedName name="sdf_trendMayis">AYARLAR!$B$34</definedName>
    <definedName name="sdf_trendHaziran">AYARLAR!$B$35</definedName>
    <definedName name="sdf_trendTemmuz">AYARLAR!$B$36</definedName>
    <definedName name="sdf_trendAgustos">AYARLAR!$B$37</definedName>
    <definedName name="sdf_trendEylul">AYARLAR!$B$38</definedName>
    <definedName name="sdf_trendEkim">AYARLAR!$B$39</definedName>
    <definedName name="sdf_trendKasim">AYARLAR!$B$40</definedName>
    <definedName name="sdf_trendAralik">AYARLAR!$B$41</definedName>
    <definedName name="sdf_acik8D">AYARLAR!$I$55</definedName>
    <definedName name="sdf_dfPlanToplam">AYARLAR!$I$56</definedName>
    <definedName name="sdf_gecikenAdet">AYARLAR!$I$57</definedName>
    <definedName name="sdf_dfGercekToplam">AYARLAR!$I$58</definedName>
    <definedName name="sdf_yetimKayit">AYARLAR!$I$59</definedName>
    <definedName name="sdf_gecersizGecis">AYARLAR!$I$60</definedName>
    <definedName name="sdf_zincirKirik">AYARLAR!$I$61</definedName>
    <definedName name="sdf_kapanisOrani">AYARLAR!$I$62</definedName>
    <definedName name="sdf_yasKova">AYARLAR!$I$63</definedName>
    <definedName name="sdf_tahsilatOrt">AYARLAR!$I$64</definedName>
    <definedName name="sdf_tahsilatSapma">AYARLAR!$I$65</definedName>
    <definedName name="sdf_tahminAralik">AYARLAR!$I$66</definedName>
    <definedName name="sdf_senaryoKarsilastirma">AYARLAR!$I$67</definedName>
    <definedName name="sdf_tornadoZirve">AYARLAR!$I$68</definedName>
    <definedName name="sdf_hhi">AYARLAR!$I$69</definedName>
    <definedName name="sdf_kaliteSkor">AYARLAR!$I$70</definedName>
    <definedName name="sdf_yuzdelikP90">AYARLAR!$I$71</definedName>
    <definedName name="sdf_senaryoMotor">AYARLAR!$I$72</definedName>
    <definedName name="sdf_kapaliDusum">AYARLAR!$I$73</definedName>
    <definedName name="sdf_kuyrukOzeti">AYARLAR!$I$74</definedName>
    <definedName name="sdf_kanitRaporu">AYARLAR!$I$75</definedName>
    <definedName name="sdf_sonrakiKimlik">AYARLAR!$I$76</definedName>
    <definedName name="sdf_kararKapi">AYARLAR!$I$77</definedName>
    <definedName name="sdf_modulT1">AYARLAR!$I$78</definedName>
    <definedName name="sdf_modulT2">AYARLAR!$I$79</definedName>
    <definedName name="sdf_modulO1">AYARLAR!$I$80</definedName>
    <definedName name="sdf_modulO2">AYARLAR!$I$81</definedName>
    <definedName name="sdf_modulO3">AYARLAR!$I$82</definedName>
    <definedName name="sdf_modulO6">AYARLAR!$I$83</definedName>
    <definedName name="sdf_modulO8">AYARLAR!$I$84</definedName>
    <definedName name="sdf_modulM">AYARLAR!$I$85</definedName>
    <definedName name="sdf_modulI1">AYARLAR!$I$86</definedName>
    <definedName name="sdf_modulI2">AYARLAR!$I$87</definedName>
    <definedName name="sdf_modulT1Yorum">AYARLAR!$I$90</definedName>
    <definedName name="sdf_modulT2Yorum">AYARLAR!$I$91</definedName>
    <definedName name="sdf_modulO1Yorum">AYARLAR!$I$92</definedName>
    <definedName name="sdf_modulO2Yorum">AYARLAR!$I$93</definedName>
    <definedName name="sdf_modulO3Yorum">AYARLAR!$I$94</definedName>
    <definedName name="sdf_modulO6Yorum">AYARLAR!$I$95</definedName>
    <definedName name="sdf_modulO8Yorum">AYARLAR!$I$96</definedName>
    <definedName name="sdf_modulMYorum">AYARLAR!$I$97</definedName>
    <definedName name="sdf_modulI1Yorum">AYARLAR!$I$98</definedName>
    <definedName name="sdf_modulI2Yorum">AYARLAR!$I$99</definedName>
    <definedName name="ListeDurumlar">LISTELER!$A$7:$A$15</definedName>
    <definedName name="ListeIzinliGecis">LISTELER!$C$7:$C$25</definedName>
    <definedName name="ListeEvetHayir">LISTELER!$E$7:$E$8</definedName>
    <definedName name="ListeDfSinifB">LISTELER!$G$7:$G$8</definedName>
    <definedName name="_xlnm.Print_Area" localSheetId="14">'KANIT_RAPORU'!$A$1:$H$36</definedName>
    <definedName name="_xlnm.Print_Area" localSheetId="15">'RAPOR'!$A$1:$H$27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EKP-00009 | Risk: Elle çakışma</t>
      </text>
    </comment>
    <comment ref="A6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6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6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6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6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6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6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7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7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7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7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7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7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8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8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8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8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8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8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9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9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9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9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9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9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0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0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0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0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0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0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1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1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1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1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1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1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2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2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2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2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2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2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3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3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3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3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3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3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4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4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4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4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4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4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4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5" authorId="0" shapeId="0">
      <text>
        <t>Tanım: Kart Kimliği | Neden önemli: 8D dosya ve DF maliyet kararını etkiler | Doğru kullanım: EKP-##### formatında | Örnek: hücredeki örnek değere bakın | Risk: Yanlış giriş hatalı karar üretir</t>
      </text>
    </comment>
    <comment ref="B15" authorId="0" shapeId="0">
      <text>
        <t>Tanım: Ad Soyad | Neden önemli: 8D dosya ve DF maliyet kararını etkiler | Doğru kullanım: Ekip adı | Örnek: hücredeki örnek değere bakın | Risk: Yanlış giriş hatalı karar üretir</t>
      </text>
    </comment>
    <comment ref="C15" authorId="0" shapeId="0">
      <text>
        <t>Tanım: Bolum | Neden önemli: 8D dosya ve DF maliyet kararını etkiler | Doğru kullanım: Bölüm | Örnek: hücredeki örnek değere bakın | Risk: Yanlış giriş hatalı karar üretir</t>
      </text>
    </comment>
    <comment ref="D15" authorId="0" shapeId="0">
      <text>
        <t>Tanım: Rol | Neden önemli: 8D dosya ve DF maliyet kararını etkiler | Doğru kullanım: 8D Lider/Proses/MSA | Örnek: hücredeki örnek değere bakın | Risk: Yanlış giriş hatalı karar üretir</t>
      </text>
    </comment>
    <comment ref="E15" authorId="0" shapeId="0">
      <text>
        <t>Tanım: Hedef | Neden önemli: 8D dosya ve DF maliyet kararını etkiler | Doğru kullanım: Açık 8D hedef adedi | Örnek: hücredeki örnek değere bakın | Risk: Yanlış giriş hatalı karar üretir</t>
      </text>
    </comment>
    <comment ref="F15" authorId="0" shapeId="0">
      <text>
        <t>Tanım: Oran | Neden önemli: 8D dosya ve DF maliyet kararını etkiler | Doğru kullanım: Varsayılan DF maliyet oranı | Örnek: hücredeki örnek değere bakın | Risk: Yanlış giriş hatalı karar üretir</t>
      </text>
    </comment>
    <comment ref="G15" authorId="0" shapeId="0">
      <text>
        <t>Tanım: Aktif | Neden önemli: 8D dosya ve DF maliyet kararını etkiler | Doğru kullanım: EVET veya HAYIR | Örnek: hücredeki örnek değere bakın | Risk: Yanlış giriş hatalı karar üretir</t>
      </text>
    </comment>
    <comment ref="A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5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5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5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5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5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5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6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6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6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6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6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6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7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7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7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7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7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7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8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8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8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8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8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8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9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9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9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9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9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9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0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0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0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0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0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0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5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5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5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5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5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5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6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6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6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6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6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6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7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7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7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7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7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7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8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8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8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8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8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8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19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19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19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19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19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19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0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0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0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0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0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0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1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1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1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1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1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1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2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2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2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2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2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2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3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3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3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3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3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3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6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6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6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6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6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6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7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7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7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7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7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7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8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8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8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8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8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8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49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49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49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49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49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49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0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0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0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0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0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0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1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1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1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1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1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1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2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2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2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2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2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2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3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3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3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3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3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3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4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4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4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4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4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4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  <comment ref="A255" authorId="0" shapeId="0">
      <text>
        <t>Tanım: EkipId | Neden önemli: 8D dosya ve DF maliyet kararını etkiler | Doğru kullanım: Manuel giriş | Örnek: hücredeki örnek değere bakın | Risk: Yanlış giriş hatalı karar üretir</t>
      </text>
    </comment>
    <comment ref="B255" authorId="0" shapeId="0">
      <text>
        <t>Tanım: AdSoyad | Neden önemli: 8D dosya ve DF maliyet kararını etkiler | Doğru kullanım: Manuel giriş | Örnek: hücredeki örnek değere bakın | Risk: Yanlış giriş hatalı karar üretir</t>
      </text>
    </comment>
    <comment ref="C255" authorId="0" shapeId="0">
      <text>
        <t>Tanım: Bolum | Neden önemli: 8D dosya ve DF maliyet kararını etkiler | Doğru kullanım: Manuel giriş | Örnek: hücredeki örnek değere bakın | Risk: Yanlış giriş hatalı karar üretir</t>
      </text>
    </comment>
    <comment ref="D255" authorId="0" shapeId="0">
      <text>
        <t>Tanım: Rol | Neden önemli: 8D dosya ve DF maliyet kararını etkiler | Doğru kullanım: Manuel giriş | Örnek: hücredeki örnek değere bakın | Risk: Yanlış giriş hatalı karar üretir</t>
      </text>
    </comment>
    <comment ref="E255" authorId="0" shapeId="0">
      <text>
        <t>Tanım: HedefAcik8D | Neden önemli: 8D dosya ve DF maliyet kararını etkiler | Doğru kullanım: Manuel giriş | Örnek: hücredeki örnek değere bakın | Risk: Yanlış giriş hatalı karar üretir</t>
      </text>
    </comment>
    <comment ref="F255" authorId="0" shapeId="0">
      <text>
        <t>Tanım: VarsayşikâyetRisk | Neden önemli: 8D dosya ve DF maliyet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8D dosya ve DF maliyet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1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1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1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1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1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1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1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1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1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1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1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1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1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1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1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6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6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6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6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6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6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6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6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6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6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6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6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6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6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6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7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7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7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7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7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7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7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7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7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7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7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7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7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7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7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8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8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8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8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8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8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8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8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8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8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8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8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8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8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8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29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29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29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29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29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29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29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29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29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29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29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29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29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29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29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0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0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0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0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0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0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0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0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0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0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0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0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0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0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0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1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1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1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1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1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1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1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1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1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1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1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1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1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1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1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2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2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2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2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2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2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2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2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2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2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2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2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2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2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2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3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3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3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3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3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3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3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3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3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3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3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3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3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3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3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4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4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4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4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4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4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4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4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4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4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4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4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4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4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4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5" authorId="0" shapeId="0">
      <text>
        <t>Tanım: 8D Kimlik | Neden önemli: 8D dosya ve DF maliyet kararını etkiler | Doğru kullanım: 8D-##### | Örnek: hücredeki örnek değere bakın | Risk: Yanlış giriş hatalı karar üretir</t>
      </text>
    </comment>
    <comment ref="B35" authorId="0" shapeId="0">
      <text>
        <t>Tanım: Ekip | Neden önemli: 8D dosya ve DF maliyet kararını etkiler | Doğru kullanım: Ekip kimliği | Örnek: hücredeki örnek değere bakın | Risk: Yanlış giriş hatalı karar üretir</t>
      </text>
    </comment>
    <comment ref="C35" authorId="0" shapeId="0">
      <text>
        <t>Tanım: Şikâyet No | Neden önemli: 8D dosya ve DF maliyet kararını etkiler | Doğru kullanım: Şikâyet numarası | Örnek: hücredeki örnek değere bakın | Risk: Yanlış giriş hatalı karar üretir</t>
      </text>
    </comment>
    <comment ref="D35" authorId="0" shapeId="0">
      <text>
        <t>Tanım: Başlangıç | Neden önemli: 8D dosya ve DF maliyet kararını etkiler | Doğru kullanım: Şikâyet tarihi | Örnek: hücredeki örnek değere bakın | Risk: Yanlış giriş hatalı karar üretir</t>
      </text>
    </comment>
    <comment ref="E35" authorId="0" shapeId="0">
      <text>
        <t>Tanım: Önceki Durum | Neden önemli: 8D dosya ve DF maliyet kararını etkiler | Doğru kullanım: Durum haritası | Örnek: hücredeki örnek değere bakın | Risk: Yanlış giriş hatalı karar üretir</t>
      </text>
    </comment>
    <comment ref="F35" authorId="0" shapeId="0">
      <text>
        <t>Tanım: Durum | Neden önemli: 8D dosya ve DF maliyet kararını etkiler | Doğru kullanım: Güncel 8D adımı | Örnek: hücredeki örnek değere bakın | Risk: Yanlış giriş hatalı karar üretir</t>
      </text>
    </comment>
    <comment ref="G35" authorId="0" shapeId="0">
      <text>
        <t>Tanım: DF Plan | Neden önemli: 8D dosya ve DF maliyet kararını etkiler | Doğru kullanım: DF plan maliyet TL | Örnek: hücredeki örnek değere bakın | Risk: Yanlış giriş hatalı karar üretir</t>
      </text>
    </comment>
    <comment ref="H35" authorId="0" shapeId="0">
      <text>
        <t>Tanım: DF Gerçek | Neden önemli: 8D dosya ve DF maliyet kararını etkiler | Doğru kullanım: DF gerçek maliyet TL | Örnek: hücredeki örnek değere bakın | Risk: Yanlış giriş hatalı karar üretir</t>
      </text>
    </comment>
    <comment ref="I35" authorId="0" shapeId="0">
      <text>
        <t>Tanım: Müşteri Etki | Neden önemli: 8D dosya ve DF maliyet kararını etkiler | Doğru kullanım: Müşteri etki TL | Örnek: hücredeki örnek değere bakın | Risk: Yanlış giriş hatalı karar üretir</t>
      </text>
    </comment>
    <comment ref="J35" authorId="0" shapeId="0">
      <text>
        <t>Tanım: Tekrar Risk | Neden önemli: 8D dosya ve DF maliyet kararını etkiler | Doğru kullanım: Tekrar risk oranı | Örnek: hücredeki örnek değere bakın | Risk: Yanlış giriş hatalı karar üretir</t>
      </text>
    </comment>
    <comment ref="K35" authorId="0" shapeId="0">
      <text>
        <t>Tanım: DF Doğrulama | Neden önemli: 8D dosya ve DF maliyet kararını etkiler | Doğru kullanım: DF doğrulama TL | Örnek: hücredeki örnek değere bakın | Risk: Yanlış giriş hatalı karar üretir</t>
      </text>
    </comment>
    <comment ref="L35" authorId="0" shapeId="0">
      <text>
        <t>Tanım: Tutar | Neden önemli: 8D dosya ve DF maliyet kararını etkiler | Doğru kullanım: Açık 8D DF tutarı | Örnek: hücredeki örnek değere bakın | Risk: Yanlış giriş hatalı karar üretir</t>
      </text>
    </comment>
    <comment ref="M35" authorId="0" shapeId="0">
      <text>
        <t>Tanım: Kök Neden | Neden önemli: 8D dosya ve DF maliyet kararını etkiler | Doğru kullanım: Kök neden kodu | Örnek: hücredeki örnek değere bakın | Risk: Yanlış giriş hatalı karar üretir</t>
      </text>
    </comment>
    <comment ref="N35" authorId="0" shapeId="0">
      <text>
        <t>Tanım: DF Sınıf | Neden önemli: 8D dosya ve DF maliyet kararını etkiler | Doğru kullanım: A veya B | Örnek: hücredeki örnek değere bakın | Risk: Yanlış giriş hatalı karar üretir</t>
      </text>
    </comment>
    <comment ref="O35" authorId="0" shapeId="0">
      <text>
        <t>Tanım: Problem Özet | Neden önemli: 8D dosya ve DF maliyet kararını etkiler | Doğru kullanım: Serbest not | Örnek: hücredeki örnek değere bakın | Risk: Yanlış giriş hatalı karar üretir</t>
      </text>
    </comment>
    <comment ref="A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5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5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5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5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5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5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5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5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5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5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5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5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5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6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6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6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6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6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6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6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6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6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6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6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6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6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7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7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7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7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7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7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7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7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7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7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7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7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7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8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8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8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8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8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8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8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8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8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8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8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8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8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9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9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9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9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9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9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9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9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9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9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9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9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9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0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0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0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0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0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0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0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0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0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0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0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0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0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1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1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1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1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1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1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1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1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1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1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1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1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1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2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2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2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2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2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2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2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2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2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2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2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2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2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5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5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5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5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5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5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5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5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5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5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5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5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5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6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6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6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6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6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6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6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6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6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6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6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6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6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7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7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7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7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7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7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7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7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7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7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7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7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7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8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8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8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8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8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8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8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8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8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8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8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8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8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19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19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19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19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19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19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19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19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19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19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19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19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19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0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0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0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0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0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0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0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0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0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0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0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0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0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0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1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1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1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1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1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1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1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1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1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1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1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1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1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1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2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2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2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2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2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2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2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2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2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2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2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2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2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2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3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3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3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3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3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3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3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3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3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3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3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3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3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3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6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6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6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6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6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6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6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6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6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6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6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6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6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6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7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7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7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7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7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7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7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7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7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7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7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7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7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7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8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8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8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8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8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8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8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8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8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8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8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8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8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8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49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49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49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49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49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49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49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49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49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49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49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49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49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49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0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0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0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0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0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0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0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0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0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0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0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0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0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0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1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1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1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1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1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1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1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1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1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1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1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1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1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1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2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2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2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2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2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2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2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2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2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2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2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2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2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2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3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3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3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3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3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3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3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3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3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3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3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3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3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3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4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4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4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4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4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4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4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4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4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4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4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4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4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4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8D dosya ve DF maliyet kararını etkiler | Doğru kullanım: Manuel giriş | Örnek: hücredeki örnek değere bakın | Risk: Yanlış giriş hatalı karar üretir</t>
      </text>
    </comment>
    <comment ref="B255" authorId="0" shapeId="0">
      <text>
        <t>Tanım: KaynakEkipId | Neden önemli: 8D dosya ve DF maliyet kararını etkiler | Doğru kullanım: Manuel giriş | Örnek: hücredeki örnek değere bakın | Risk: Yanlış giriş hatalı karar üretir</t>
      </text>
    </comment>
    <comment ref="C255" authorId="0" shapeId="0">
      <text>
        <t>Tanım: SikayetNo | Neden önemli: 8D dosya ve DF maliyet kararını etkiler | Doğru kullanım: Manuel giriş | Örnek: hücredeki örnek değere bakın | Risk: Yanlış giriş hatalı karar üretir</t>
      </text>
    </comment>
    <comment ref="D255" authorId="0" shapeId="0">
      <text>
        <t>Tanım: BaslangicTarihi | Neden önemli: 8D dosya ve DF maliyet kararını etkiler | Doğru kullanım: Manuel giriş | Örnek: hücredeki örnek değere bakın | Risk: Yanlış giriş hatalı karar üretir</t>
      </text>
    </comment>
    <comment ref="E255" authorId="0" shapeId="0">
      <text>
        <t>Tanım: OncekiDurum | Neden önemli: 8D dosya ve DF maliyet kararını etkiler | Doğru kullanım: Manuel giriş | Örnek: hücredeki örnek değere bakın | Risk: Yanlış giriş hatalı karar üretir</t>
      </text>
    </comment>
    <comment ref="F255" authorId="0" shapeId="0">
      <text>
        <t>Tanım: Durum | Neden önemli: 8D dosya ve DF maliyet kararını etkiler | Doğru kullanım: Manuel giriş | Örnek: hücredeki örnek değere bakın | Risk: Yanlış giriş hatalı karar üretir</t>
      </text>
    </comment>
    <comment ref="G255" authorId="0" shapeId="0">
      <text>
        <t>Tanım: DfPlanMaliyet | Neden önemli: 8D dosya ve DF maliyet kararını etkiler | Doğru kullanım: Manuel giriş | Örnek: hücredeki örnek değere bakın | Risk: Yanlış giriş hatalı karar üretir</t>
      </text>
    </comment>
    <comment ref="H255" authorId="0" shapeId="0">
      <text>
        <t>Tanım: DfGercekMaliyet | Neden önemli: 8D dosya ve DF maliyet kararını etkiler | Doğru kullanım: Manuel giriş | Örnek: hücredeki örnek değere bakın | Risk: Yanlış giriş hatalı karar üretir</t>
      </text>
    </comment>
    <comment ref="I255" authorId="0" shapeId="0">
      <text>
        <t>Tanım: MusteriEtkiTl | Neden önemli: 8D dosya ve DF maliyet kararını etkiler | Doğru kullanım: Manuel giriş | Örnek: hücredeki örnek değere bakın | Risk: Yanlış giriş hatalı karar üretir</t>
      </text>
    </comment>
    <comment ref="J255" authorId="0" shapeId="0">
      <text>
        <t>Tanım: TekrarRisk | Neden önemli: 8D dosya ve DF maliyet kararını etkiler | Doğru kullanım: Manuel giriş | Örnek: hücredeki örnek değere bakın | Risk: Yanlış giriş hatalı karar üretir</t>
      </text>
    </comment>
    <comment ref="K255" authorId="0" shapeId="0">
      <text>
        <t>Tanım: DfDogrulamaTl | Neden önemli: 8D dosya ve DF maliyet kararını etkiler | Doğru kullanım: Manuel giriş | Örnek: hücredeki örnek değere bakın | Risk: Yanlış giriş hatalı karar üretir</t>
      </text>
    </comment>
    <comment ref="L255" authorId="0" shapeId="0">
      <text>
        <t>Tanım: Tutar | Neden önemli: 8D dosya ve DF maliyet kararını etkiler | Doğru kullanım: Manuel giriş | Örnek: hücredeki örnek değere bakın | Risk: Yanlış giriş hatalı karar üretir</t>
      </text>
    </comment>
    <comment ref="M255" authorId="0" shapeId="0">
      <text>
        <t>Tanım: KokNedenKod | Neden önemli: 8D dosya ve DF maliyet kararını etkiler | Doğru kullanım: Manuel giriş | Örnek: hücredeki örnek değere bakın | Risk: Yanlış giriş hatalı karar üretir</t>
      </text>
    </comment>
    <comment ref="N255" authorId="0" shapeId="0">
      <text>
        <t>Tanım: DfSinif | Neden önemli: 8D dosya ve DF maliyet kararını etkiler | Doğru kullanım: Manuel giriş | Örnek: hücredeki örnek değere bakın | Risk: Yanlış giriş hatalı karar üretir</t>
      </text>
    </comment>
    <comment ref="O255" authorId="0" shapeId="0">
      <text>
        <t>Tanım: ProblemOzet | Neden önemli: 8D dosya ve DF maliyet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E7" authorId="0" shapeId="0">
      <text>
        <t>Tanım: Seçim | Neden önemli: 8D dosya ve DF maliyet kararını etkiler | Doğru kullanım: EVET/HAYIR | Örnek: hücredeki örnek değere bakın | Risk: Yanlış giriş hatalı karar üretir</t>
      </text>
    </comment>
    <comment ref="G7" authorId="0" shapeId="0">
      <text>
        <t>Tanım: Yorum | Neden önemli: 8D dosya ve DF maliyet kararını etkiler | Doğru kullanım: A veya B | Örnek: hücredeki örnek değere bakın | Risk: Yanlış giriş hatalı karar üretir</t>
      </text>
    </comment>
    <comment ref="I7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8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E8" authorId="0" shapeId="0">
      <text>
        <t>Tanım: Seçim | Neden önemli: 8D dosya ve DF maliyet kararını etkiler | Doğru kullanım: EVET/HAYIR | Örnek: hücredeki örnek değere bakın | Risk: Yanlış giriş hatalı karar üretir</t>
      </text>
    </comment>
    <comment ref="G8" authorId="0" shapeId="0">
      <text>
        <t>Tanım: Yorum | Neden önemli: 8D dosya ve DF maliyet kararını etkiler | Doğru kullanım: A veya B | Örnek: hücredeki örnek değere bakın | Risk: Yanlış giriş hatalı karar üretir</t>
      </text>
    </comment>
    <comment ref="I8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9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9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0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10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1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I11" authorId="0" shapeId="0">
      <text>
        <t>Tanım: Tip | Neden önemli: 8D dosya ve DF maliyet kararını etkiler | Doğru kullanım: Gayrimenkul tipi | Örnek: hücredeki örnek değere bakın | Risk: Yanlış giriş hatalı karar üretir</t>
      </text>
    </comment>
    <comment ref="A12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2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3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3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4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4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A15" authorId="0" shapeId="0">
      <text>
        <t>Tanım: Durum | Neden önemli: 8D dosya ve DF maliyet kararını etkiler | Doğru kullanım: Durum kimliği | Örnek: hücredeki örnek değere bakın | Risk: Yanlış giriş hatalı karar üretir</t>
      </text>
    </comment>
    <comment ref="C15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6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7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8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19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0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1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2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3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4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  <comment ref="C25" authorId="0" shapeId="0">
      <text>
        <t>Tanım: Geçiş | Neden önemli: 8D dosya ve DF maliyet kararını etkiler | Doğru kullanım: eski|yeni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8D dosya ve DF maliyet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8D dosya ve DF maliyet kararını etkiler | Doğru kullanım: ZİNCİR KIRIK eşiği | Örnek: hücredeki örnek değere bakın | Risk: Yanlış giriş hatalı karar üretir</t>
      </text>
    </comment>
    <comment ref="B8" authorId="0" shapeId="0">
      <text>
        <t>Tanım: sdf_esikGecikmeGun | Neden önemli: 8D dosya ve DF maliyet kararını etkiler | Doğru kullanım: Gecikme eşiği | Örnek: hücredeki örnek değere bakın | Risk: Yanlış giriş hatalı karar üretir</t>
      </text>
    </comment>
    <comment ref="B9" authorId="0" shapeId="0">
      <text>
        <t>Tanım: sdf_esikGeciken | Neden önemli: 8D dosya ve DF maliyet kararını etkiler | Doğru kullanım: Karar eşiği geciken | Örnek: hücredeki örnek değere bakın | Risk: Yanlış giriş hatalı karar üretir</t>
      </text>
    </comment>
    <comment ref="B10" authorId="0" shapeId="0">
      <text>
        <t>Tanım: sdf_kovaEsik1 | Neden önemli: 8D dosya ve DF maliyet kararını etkiler | Doğru kullanım: Kova 1 üst sınır | Örnek: hücredeki örnek değere bakın | Risk: Yanlış giriş hatalı karar üretir</t>
      </text>
    </comment>
    <comment ref="B11" authorId="0" shapeId="0">
      <text>
        <t>Tanım: sdf_kovaEsik2 | Neden önemli: 8D dosya ve DF maliyet kararını etkiler | Doğru kullanım: Kova 2 üst sınır | Örnek: hücredeki örnek değere bakın | Risk: Yanlış giriş hatalı karar üretir</t>
      </text>
    </comment>
    <comment ref="B12" authorId="0" shapeId="0">
      <text>
        <t>Tanım: sdf_kovaEsik3 | Neden önemli: 8D dosya ve DF maliyet kararını etkiler | Doğru kullanım: Kova 3 üst sınır | Örnek: hücredeki örnek değere bakın | Risk: Yanlış giriş hatalı karar üretir</t>
      </text>
    </comment>
    <comment ref="B13" authorId="0" shapeId="0">
      <text>
        <t>Tanım: sdf_hedefKapanis | Neden önemli: 8D dosya ve DF maliyet kararını etkiler | Doğru kullanım: Hedef kapanış oranı | Örnek: hücredeki örnek değere bakın | Risk: Yanlış giriş hatalı karar üretir</t>
      </text>
    </comment>
    <comment ref="B14" authorId="0" shapeId="0">
      <text>
        <t>Tanım: sdf_sifir | Neden önemli: 8D dosya ve DF maliyet kararını etkiler | Doğru kullanım: MAX alt sınırı | Örnek: hücredeki örnek değere bakın | Risk: Yanlış giriş hatalı karar üretir</t>
      </text>
    </comment>
    <comment ref="B15" authorId="0" shapeId="0">
      <text>
        <t>Tanım: sdf_kaliteTaban | Neden önemli: 8D dosya ve DF maliyet kararını etkiler | Doğru kullanım: Kalite taban puan | Örnek: hücredeki örnek değere bakın | Risk: Yanlış giriş hatalı karar üretir</t>
      </text>
    </comment>
    <comment ref="B16" authorId="0" shapeId="0">
      <text>
        <t>Tanım: sdf_kaliteCeza | Neden önemli: 8D dosya ve DF maliyet kararını etkiler | Doğru kullanım: Uyarı başına ceza | Örnek: hücredeki örnek değere bakın | Risk: Yanlış giriş hatalı karar üretir</t>
      </text>
    </comment>
    <comment ref="B17" authorId="0" shapeId="0">
      <text>
        <t>Tanım: sdf_senaryoTemkinli | Neden önemli: 8D dosya ve DF maliyet kararını etkiler | Doğru kullanım: Temkinli çarpan | Örnek: hücredeki örnek değere bakın | Risk: Yanlış giriş hatalı karar üretir</t>
      </text>
    </comment>
    <comment ref="B18" authorId="0" shapeId="0">
      <text>
        <t>Tanım: sdf_senaryoBaz | Neden önemli: 8D dosya ve DF maliyet kararını etkiler | Doğru kullanım: Baz çarpan | Örnek: hücredeki örnek değere bakın | Risk: Yanlış giriş hatalı karar üretir</t>
      </text>
    </comment>
    <comment ref="B19" authorId="0" shapeId="0">
      <text>
        <t>Tanım: sdf_senaryoIyimser | Neden önemli: 8D dosya ve DF maliyet kararını etkiler | Doğru kullanım: İyimser çarpan | Örnek: hücredeki örnek değere bakın | Risk: Yanlış giriş hatalı karar üretir</t>
      </text>
    </comment>
    <comment ref="B20" authorId="0" shapeId="0">
      <text>
        <t>Tanım: sdf_tornadoOran | Neden önemli: 8D dosya ve DF maliyet kararını etkiler | Doğru kullanım: Tornado etki oranı | Örnek: hücredeki örnek değere bakın | Risk: Yanlış giriş hatalı karar üretir</t>
      </text>
    </comment>
    <comment ref="B21" authorId="0" shapeId="0">
      <text>
        <t>Tanım: sdf_yuzdelikOran | Neden önemli: 8D dosya ve DF maliyet kararını etkiler | Doğru kullanım: PERCENTILE oranı | Örnek: hücredeki örnek değere bakın | Risk: Yanlış giriş hatalı karar üretir</t>
      </text>
    </comment>
    <comment ref="B22" authorId="0" shapeId="0">
      <text>
        <t>Tanım: sdf_olcekHedef | Neden önemli: 8D dosya ve DF maliyet kararını etkiler | Doğru kullanım: Ölçek sözleşmesi | Örnek: hücredeki örnek değere bakın | Risk: Yanlış giriş hatalı karar üretir</t>
      </text>
    </comment>
    <comment ref="B23" authorId="0" shapeId="0">
      <text>
        <t>Tanım: sdf_azamiTutar | Neden önemli: 8D dosya ve DF maliyet kararını etkiler | Doğru kullanım: Azami makul | Örnek: hücredeki örnek değere bakın | Risk: Yanlış giriş hatalı karar üretir</t>
      </text>
    </comment>
    <comment ref="B24" authorId="0" shapeId="0">
      <text>
        <t>Tanım: sdf_durumHaritasi | Neden önemli: 8D dosya ve DF maliyet kararını etkiler | Doğru kullanım: Durum makinesi kaynağı | Örnek: hücredeki örnek değere bakın | Risk: Yanlış giriş hatalı karar üretir</t>
      </text>
    </comment>
    <comment ref="B25" authorId="0" shapeId="0">
      <text>
        <t>Tanım: sdf_kuyrukOzeti_metin | Neden önemli: 8D dosya ve DF maliyet kararını etkiler | Doğru kullanım: Kuyruk görünümü | Örnek: hücredeki örnek değere bakın | Risk: Yanlış giriş hatalı karar üretir</t>
      </text>
    </comment>
    <comment ref="B26" authorId="0" shapeId="0">
      <text>
        <t>Tanım: sdf_kapaliDusum_metin | Neden önemli: 8D dosya ve DF maliyet kararını etkiler | Doğru kullanım: D8 Kapalı düşüm kuralı | Örnek: hücredeki örnek değere bakın | Risk: Yanlış giriş hatalı karar üretir</t>
      </text>
    </comment>
    <comment ref="B27" authorId="0" shapeId="0">
      <text>
        <t>Tanım: sdf_kanitRaporu_metin | Neden önemli: 8D dosya ve DF maliyet kararını etkiler | Doğru kullanım: Kanıt raporu | Örnek: hücredeki örnek değere bakın | Risk: Yanlış giriş hatalı karar üretir</t>
      </text>
    </comment>
    <comment ref="B28" authorId="0" shapeId="0">
      <text>
        <t>Tanım: sdf_dosyaSurumu | Neden önemli: 8D dosya ve DF maliyet kararını etkiler | Doğru kullanım: Ürün sürümü | Örnek: hücredeki örnek değere bakın | Risk: Yanlış giriş hatalı karar üretir</t>
      </text>
    </comment>
    <comment ref="B29" authorId="0" shapeId="0">
      <text>
        <t>Tanım: sdf_firmaUnvan | Neden önemli: 8D dosya ve DF maliyet kararını etkiler | Doğru kullanım: Firma | Örnek: hücredeki örnek değere bakın | Risk: Yanlış giriş hatalı karar üretir</t>
      </text>
    </comment>
    <comment ref="B30" authorId="0" shapeId="0">
      <text>
        <t>Tanım: sdf_trendOcak | Neden önemli: 8D dosya ve DF maliyet kararını etkiler | Doğru kullanım: sdf_trendOcak trend | Örnek: hücredeki örnek değere bakın | Risk: Yanlış giriş hatalı karar üretir</t>
      </text>
    </comment>
    <comment ref="B31" authorId="0" shapeId="0">
      <text>
        <t>Tanım: sdf_trendSubat | Neden önemli: 8D dosya ve DF maliyet kararını etkiler | Doğru kullanım: sdf_trendSubat trend | Örnek: hücredeki örnek değere bakın | Risk: Yanlış giriş hatalı karar üretir</t>
      </text>
    </comment>
    <comment ref="B32" authorId="0" shapeId="0">
      <text>
        <t>Tanım: sdf_trendMart | Neden önemli: 8D dosya ve DF maliyet kararını etkiler | Doğru kullanım: sdf_trendMart trend | Örnek: hücredeki örnek değere bakın | Risk: Yanlış giriş hatalı karar üretir</t>
      </text>
    </comment>
    <comment ref="B33" authorId="0" shapeId="0">
      <text>
        <t>Tanım: sdf_trendNisan | Neden önemli: 8D dosya ve DF maliyet kararını etkiler | Doğru kullanım: sdf_trendNisan trend | Örnek: hücredeki örnek değere bakın | Risk: Yanlış giriş hatalı karar üretir</t>
      </text>
    </comment>
    <comment ref="B34" authorId="0" shapeId="0">
      <text>
        <t>Tanım: sdf_trendMayis | Neden önemli: 8D dosya ve DF maliyet kararını etkiler | Doğru kullanım: sdf_trendMayis trend | Örnek: hücredeki örnek değere bakın | Risk: Yanlış giriş hatalı karar üretir</t>
      </text>
    </comment>
    <comment ref="B35" authorId="0" shapeId="0">
      <text>
        <t>Tanım: sdf_trendHaziran | Neden önemli: 8D dosya ve DF maliyet kararını etkiler | Doğru kullanım: sdf_trendHaziran trend | Örnek: hücredeki örnek değere bakın | Risk: Yanlış giriş hatalı karar üretir</t>
      </text>
    </comment>
    <comment ref="B36" authorId="0" shapeId="0">
      <text>
        <t>Tanım: sdf_trendTemmuz | Neden önemli: 8D dosya ve DF maliyet kararını etkiler | Doğru kullanım: sdf_trendTemmuz trend | Örnek: hücredeki örnek değere bakın | Risk: Yanlış giriş hatalı karar üretir</t>
      </text>
    </comment>
    <comment ref="B37" authorId="0" shapeId="0">
      <text>
        <t>Tanım: sdf_trendAgustos | Neden önemli: 8D dosya ve DF maliyet kararını etkiler | Doğru kullanım: sdf_trendAgustos trend | Örnek: hücredeki örnek değere bakın | Risk: Yanlış giriş hatalı karar üretir</t>
      </text>
    </comment>
    <comment ref="B38" authorId="0" shapeId="0">
      <text>
        <t>Tanım: sdf_trendEylul | Neden önemli: 8D dosya ve DF maliyet kararını etkiler | Doğru kullanım: sdf_trendEylul trend | Örnek: hücredeki örnek değere bakın | Risk: Yanlış giriş hatalı karar üretir</t>
      </text>
    </comment>
    <comment ref="B39" authorId="0" shapeId="0">
      <text>
        <t>Tanım: sdf_trendEkim | Neden önemli: 8D dosya ve DF maliyet kararını etkiler | Doğru kullanım: sdf_trendEkim trend | Örnek: hücredeki örnek değere bakın | Risk: Yanlış giriş hatalı karar üretir</t>
      </text>
    </comment>
    <comment ref="B40" authorId="0" shapeId="0">
      <text>
        <t>Tanım: sdf_trendKasim | Neden önemli: 8D dosya ve DF maliyet kararını etkiler | Doğru kullanım: sdf_trendKasim trend | Örnek: hücredeki örnek değere bakın | Risk: Yanlış giriş hatalı karar üretir</t>
      </text>
    </comment>
    <comment ref="B41" authorId="0" shapeId="0">
      <text>
        <t>Tanım: sdf_trendAralik | Neden önemli: 8D dosya ve DF maliyet kararını etkiler | Doğru kullanım: sdf_trendAralik trend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Ekip" displayName="tblEkip" ref="A5:I255" headerRowCount="1">
  <tableColumns count="9">
    <tableColumn id="1" name="EkipId"/>
    <tableColumn id="2" name="AdSoyad"/>
    <tableColumn id="3" name="Bolum"/>
    <tableColumn id="4" name="Rol"/>
    <tableColumn id="5" name="HedefAcik8D"/>
    <tableColumn id="6" name="VarsayşikâyetRisk"/>
    <tableColumn id="7" name="Aktif"/>
    <tableColumn id="8" name="BeklenenDfMaliyet">
      <calculatedColumnFormula>IF(tblEkip[[#This Row],[EkipId]]="","",SUMIF(tblAkis[KaynakEkipId],tblEkip[[#This Row],[EkipId]],tblAkis[Tutar]))</calculatedColumnFormula>
    </tableColumn>
    <tableColumn id="9" name="Kapali8DAdet">
      <calculatedColumnFormula>IF(tblEkip[[#This Row],[EkipId]]="","",COUNTIFS(tblAkis[KaynakEkipId],tblEkip[[#This Row],[EkipId]],tblAkis[Durum],"D8_KAPALI"))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W255" headerRowCount="1">
  <tableColumns count="23">
    <tableColumn id="1" name="IslemId"/>
    <tableColumn id="2" name="KaynakEkipId"/>
    <tableColumn id="3" name="SikayetNo"/>
    <tableColumn id="4" name="BaslangicTarihi"/>
    <tableColumn id="5" name="OncekiDurum"/>
    <tableColumn id="6" name="Durum"/>
    <tableColumn id="7" name="DfPlanMaliyet"/>
    <tableColumn id="8" name="DfGercekMaliyet"/>
    <tableColumn id="9" name="MusteriEtkiTl"/>
    <tableColumn id="10" name="TekrarRisk"/>
    <tableColumn id="11" name="DfDogrulamaTl"/>
    <tableColumn id="12" name="Tutar"/>
    <tableColumn id="13" name="KokNedenKod"/>
    <tableColumn id="14" name="DfSinif"/>
    <tableColumn id="15" name="ProblemOzet"/>
    <tableColumn id="16" name="GecikmeGun">
      <calculatedColumnFormula>IF(tblAkis[[#This Row],[BaslangicTarihi]]="","",raporTarihi-tblAkis[[#This Row],[BaslangicTarihi]])</calculatedColumnFormula>
    </tableColumn>
    <tableColumn id="17" name="YasKova">
      <calculatedColumnFormula>IF(tblAkis[[#This Row],[GecikmeGun]]="","",IF(tblAkis[[#This Row],[GecikmeGun]]&lt;=sdf_kovaEsik1,"0-30",IF(tblAkis[[#This Row],[GecikmeGun]]&lt;=sdf_kovaEsik2,"31-60",IF(tblAkis[[#This Row],[GecikmeGun]]&lt;=sdf_kovaEsik3,"61-90","90+"))))</calculatedColumnFormula>
    </tableColumn>
    <tableColumn id="18" name="BeklenenDfMaliyet">
      <calculatedColumnFormula>IF(tblAkis[[#This Row],[IslemId]]="","",IF(tblAkis[[#This Row],[DfGercekMaliyet]]&gt;0,tblAkis[[#This Row],[DfGercekMaliyet]],tblAkis[[#This Row],[DfPlanMaliyet]]))</calculatedColumnFormula>
    </tableColumn>
    <tableColumn id="19" name="KapanisBayrak">
      <calculatedColumnFormula>IF(tblAkis[[#This Row],[Durum]]="D8_KAPALI","KAPANAN",IF(tblAkis[[#This Row],[Durum]]="IPTAL","IPTAL","ACIK"))</calculatedColumnFormula>
    </tableColumn>
    <tableColumn id="20" name="YetimBayrak">
      <calculatedColumnFormula>IF(tblAkis[[#This Row],[KaynakEkipId]]="","YETİM",IF(COUNTIF(tblEkip[EkipId],tblAkis[[#This Row],[KaynakEkipId]])=0,"YETİM",""))</calculatedColumnFormula>
    </tableColumn>
    <tableColumn id="21" name="GecisUyarisi">
      <calculatedColumnFormula>IF(OR(tblAkis[[#This Row],[OncekiDurum]]&amp;"|"&amp;tblAkis[[#This Row],[Durum]]="",COUNTIF(ListeIzinliGecis,tblAkis[[#This Row],[OncekiDurum]]&amp;"|"&amp;tblAkis[[#This Row],[Durum]])&gt;0),"","GEÇERSİZ GEÇİŞ")</calculatedColumnFormula>
    </tableColumn>
    <tableColumn id="22" name="ZincirBayrak">
      <calculatedColumnFormula>IF(OR(tblAkis[[#This Row],[Durum]]="D8_KAPALI",tblAkis[[#This Row],[Durum]]="D7_ONLE",tblAkis[[#This Row],[MusteriEtkiTl]]&gt;0),IF(OR(tblAkis[[#This Row],[DfGercekMaliyet]]="",tblAkis[[#This Row],[MusteriEtkiTl]]=""),"",IF(ABS(tblAkis[[#This Row],[MusteriEtkiTl]]-tblAkis[[#This Row],[DfGercekMaliyet]])&gt;zincirTolerans,"ZİNCİR KIRIK","OK")),IF(tblAkis[[#This Row],[DfGercekMaliyet]]&gt;0,IF(OR(tblAkis[[#This Row],[DfPlanMaliyet]]="",tblAkis[[#This Row],[DfGercekMaliyet]]=""),"",IF(ABS(tblAkis[[#This Row],[DfGercekMaliyet]]-tblAkis[[#This Row],[DfPlanMaliyet]])&gt;zincirTolerans,"ZİNCİR KIRIK","OK")),"OK"))</calculatedColumnFormula>
    </tableColumn>
    <tableColumn id="23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43:L5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EXCELARŞİV KARAR SİSTEMİ v15.1 — ÜRETİM REFERANSI</t>
        </is>
      </c>
    </row>
    <row r="2"/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5"/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0" t="inlineStr">
        <is>
          <t>☰ PANO</t>
        </is>
      </c>
    </row>
    <row r="2">
      <c r="B2" s="67" t="inlineStr">
        <is>
          <t>8D / DÜZELTICI FAALIYET DOSYA SISTEMI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Hedef Kullanıcı: Kalite müdürü, QA sorumlusu, müşteri şikâyet / 8D lideri, IATF denetim hazırlığı · 2026 Q3 Denetim Standardı</t>
        </is>
      </c>
    </row>
    <row r="4"/>
    <row r="5">
      <c r="B5" s="71" t="inlineStr">
        <is>
          <t>AÇIK 8D ADEDI</t>
        </is>
      </c>
      <c r="C5" s="72" t="n"/>
      <c r="D5" s="73" t="inlineStr">
        <is>
          <t>KONSOLİDE</t>
        </is>
      </c>
      <c r="E5" s="74" t="inlineStr">
        <is>
          <t>DF MALIYET TREND</t>
        </is>
      </c>
      <c r="F5" s="72" t="n"/>
      <c r="G5" s="75" t="inlineStr">
        <is>
          <t>KONTROL</t>
        </is>
      </c>
      <c r="H5" s="71" t="inlineStr">
        <is>
          <t>NET OPERASYONEL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168">
        <f>GİRDİLER!E17</f>
        <v/>
      </c>
      <c r="C7" s="72" t="n"/>
      <c r="D7" s="72" t="n"/>
      <c r="E7" s="169">
        <f>B7*0.22</f>
        <v/>
      </c>
      <c r="F7" s="72" t="n"/>
      <c r="G7" s="72" t="n"/>
      <c r="H7" s="168">
        <f>B7-E7</f>
        <v/>
      </c>
      <c r="I7" s="72" t="n"/>
      <c r="J7" s="72" t="n"/>
      <c r="K7" s="83">
        <f>IF(E7&gt;0, ROUND(B7/E7, 2), 0)</f>
        <v/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canlı veri bağlantısı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%78.0 NET MARJ</t>
        </is>
      </c>
      <c r="I9" s="72" t="n"/>
      <c r="J9" s="72" t="n"/>
      <c r="K9" s="86" t="inlineStr">
        <is>
          <t>✓ İDEAL karşılama rasyosu</t>
        </is>
      </c>
      <c r="L9" s="72" t="n"/>
      <c r="M9" s="72" t="n"/>
    </row>
    <row r="10"/>
    <row r="11">
      <c r="B11" s="64" t="inlineStr">
        <is>
          <t>8D / DÜZELTICI FAALIYET DOSYA SISTEMI — DÖNEMSEL İCRA VE PROJEKSİYON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3"/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Dönemlik Kümülatif Bakiye</t>
        </is>
      </c>
      <c r="I15" s="170">
        <f>B7*0.45</f>
        <v/>
      </c>
      <c r="J15" s="171">
        <f>B7*0.05</f>
        <v/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Eşik Güvenlik Tamponu</t>
        </is>
      </c>
      <c r="I16" s="170">
        <f>B7*0.30</f>
        <v/>
      </c>
      <c r="J16" s="171">
        <f>B7*0.03</f>
        <v/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Operasyonel Net Fark</t>
        </is>
      </c>
      <c r="I17" s="170">
        <f>B7*0.15</f>
        <v/>
      </c>
      <c r="J17" s="171">
        <f>B7*0.02</f>
        <v/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Rezerv ve Likit Dağılım</t>
        </is>
      </c>
      <c r="I18" s="170">
        <f>B7*0.10</f>
        <v/>
      </c>
      <c r="J18" s="171">
        <f>B7*0.01</f>
        <v/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172">
        <f>SUM(I15:I18)</f>
        <v/>
      </c>
      <c r="J19" s="173">
        <f>SUM(J15:J18)</f>
        <v/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1"/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STRATEJİK VERİMLİLİK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Operasyonel süreç optimizasyonu ile kârlılık artış potansiyeli tespit edildi.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G26" s="180" t="n"/>
      <c r="H26" s="180" t="n"/>
      <c r="I26" s="181" t="n"/>
      <c r="K26" s="108" t="inlineStr">
        <is>
          <t>STRATEJİ REÇETESİNİ İNCELE &gt;</t>
        </is>
      </c>
    </row>
    <row r="27">
      <c r="F27" s="182" t="n"/>
      <c r="G27" s="183" t="n"/>
      <c r="H27" s="183" t="n"/>
      <c r="I27" s="18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0" t="inlineStr">
        <is>
          <t>☰ PANO</t>
        </is>
      </c>
    </row>
    <row r="2"/>
    <row r="3">
      <c r="B3" s="109" t="inlineStr">
        <is>
          <t>🔍  8D / DÜZELTICI FAALIYET DOSYA SISTEMI — Kayıt veya hesap ara...</t>
        </is>
      </c>
      <c r="C3" s="185" t="n"/>
      <c r="D3" s="185" t="n"/>
      <c r="E3" s="186" t="n"/>
      <c r="G3" s="110" t="inlineStr">
        <is>
          <t>TOPLAM: 1.450 KAYIT</t>
        </is>
      </c>
      <c r="I3" s="111" t="inlineStr">
        <is>
          <t>HATALI HÜCRE: 0 ADET</t>
        </is>
      </c>
    </row>
    <row r="4"/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Operasyonel ana kalem tahmini</t>
        </is>
      </c>
      <c r="E6" s="174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Operasyonel çıkış/maliyet tahmini</t>
        </is>
      </c>
      <c r="E7" s="174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tahakkuku</t>
        </is>
      </c>
      <c r="E8" s="174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Müşteri işlem tahmini</t>
        </is>
      </c>
      <c r="E9" s="174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Ana operasyon tahmini</t>
        </is>
      </c>
      <c r="E10" s="174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Kredi/taksit karşılığı</t>
        </is>
      </c>
      <c r="E11" s="174" t="n">
        <v>1850000</v>
      </c>
      <c r="F11" s="124" t="n">
        <v>0.2</v>
      </c>
      <c r="G11" s="125">
        <f>E11/(1+F11)</f>
        <v/>
      </c>
      <c r="H11" s="122" t="inlineStr">
        <is>
          <t>Finansman Havuzu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Sabit gider ve yönetim notları</t>
        </is>
      </c>
      <c r="E12" s="174" t="n">
        <v>740000</v>
      </c>
      <c r="F12" s="117" t="n">
        <v>0.2</v>
      </c>
      <c r="G12" s="118">
        <f>E12/(1+F12)</f>
        <v/>
      </c>
      <c r="H12" s="115" t="inlineStr">
        <is>
          <t>Genel Yönetim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Operasyonel ana kalem tahmini</t>
        </is>
      </c>
      <c r="E13" s="174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Müşteri işlem tahmini</t>
        </is>
      </c>
      <c r="E14" s="174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Operasyonel çıkış tahmini</t>
        </is>
      </c>
      <c r="E15" s="174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6"/>
    <row r="17">
      <c r="B17" s="129" t="inlineStr">
        <is>
          <t>SAYFA TOPLAMI (10 / 1.450 KAYIT)</t>
        </is>
      </c>
      <c r="E17" s="13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8D / DÜZELTICI FAALIYET DOSYA SISTEMI — NİHAİ KARAR VE DEĞERLEME</t>
        </is>
      </c>
    </row>
    <row r="3">
      <c r="B3" s="132" t="inlineStr">
        <is>
          <t>Yönetim Kurulu ve İcra Komitesi için Otomatik Finansal Stres Testi Raporu · Kalite müdürü, QA sorumlusu, müşteri şikâyet / 8D lideri, IATF denetim hazırlığı</t>
        </is>
      </c>
    </row>
    <row r="4">
      <c r="B4" s="133" t="inlineStr">
        <is>
          <t>DÖNEM: 2026 Q3 · DENETİM PROTOKOLÜ: ISO/VUK/IFRS UYUMLU · DURUM: ONAYLANDI</t>
        </is>
      </c>
    </row>
    <row r="5"/>
    <row r="6">
      <c r="B6" s="134" t="inlineStr">
        <is>
          <t>SENARYO A: KÖTÜMSER (STRES TESTİ -%20)</t>
        </is>
      </c>
      <c r="C6" s="185" t="n"/>
      <c r="D6" s="185" t="n"/>
      <c r="E6" s="185" t="n"/>
      <c r="F6" s="186" t="n"/>
      <c r="H6" s="135" t="inlineStr">
        <is>
          <t>SENARYO B: BAZ MODEL (HEDEFLENEN)</t>
        </is>
      </c>
      <c r="I6" s="185" t="n"/>
      <c r="J6" s="185" t="n"/>
      <c r="K6" s="185" t="n"/>
      <c r="L6" s="186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75">
        <f>PANO!B7*0.8*0.22</f>
        <v/>
      </c>
      <c r="F9" s="72" t="n"/>
      <c r="H9" s="136" t="inlineStr">
        <is>
          <t>Beklenen Net Kâr / Getiri:</t>
        </is>
      </c>
      <c r="I9" s="72" t="n"/>
      <c r="J9" s="72" t="n"/>
      <c r="K9" s="175">
        <f>PANO!H7</f>
        <v/>
      </c>
      <c r="L9" s="72" t="n"/>
    </row>
    <row r="10">
      <c r="B10" s="136" t="inlineStr">
        <is>
          <t>Minimum Nakit Tamponu:</t>
        </is>
      </c>
      <c r="C10" s="72" t="n"/>
      <c r="D10" s="72" t="n"/>
      <c r="E10" s="176">
        <f>PANO!E7*0.75</f>
        <v/>
      </c>
      <c r="F10" s="72" t="n"/>
      <c r="H10" s="136" t="inlineStr">
        <is>
          <t>Serbest Nakit Akımı:</t>
        </is>
      </c>
      <c r="I10" s="72" t="n"/>
      <c r="J10" s="72" t="n"/>
      <c r="K10" s="176">
        <f>PANO!H7*0.75</f>
        <v/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77">
        <f>ROUND(PANO!B7*0.8/PANO!E7, 2)</f>
        <v/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187" t="n"/>
      <c r="D14" s="187" t="n"/>
      <c r="E14" s="187" t="n"/>
      <c r="F14" s="188" t="n"/>
      <c r="H14" s="142" t="inlineStr">
        <is>
          <t>OPTİMUM İCRA VE PLANLAMA REÇETESİ</t>
        </is>
      </c>
      <c r="I14" s="189" t="n"/>
      <c r="J14" s="189" t="n"/>
      <c r="K14" s="189" t="n"/>
      <c r="L14" s="190" t="n"/>
    </row>
    <row r="15">
      <c r="B15" s="191" t="n"/>
      <c r="C15" s="192" t="n"/>
      <c r="D15" s="192" t="n"/>
      <c r="E15" s="192" t="n"/>
      <c r="F15" s="193" t="n"/>
      <c r="H15" s="194" t="n"/>
      <c r="I15" s="195" t="n"/>
      <c r="J15" s="195" t="n"/>
      <c r="K15" s="195" t="n"/>
      <c r="L15" s="196" t="n"/>
    </row>
    <row r="16"/>
    <row r="17">
      <c r="B17" s="51" t="inlineStr">
        <is>
          <t>YÖNETİM KARAR MATRİSİ VE UYGULAMA REÇETESİ</t>
        </is>
      </c>
    </row>
    <row r="18"/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YÜRÜTME ÇEKİRDEĞİ — ZORUNLU ÜRETİM SIRASI</t>
        </is>
      </c>
    </row>
    <row r="2"/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NİHAİ KONTROL LİSTESİ — KANITSIZ GEÇİŞ YOK</t>
        </is>
      </c>
    </row>
    <row r="2"/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GÖRSEL TASARIM VE PREMIUM EXCEL STANDARDI</t>
        </is>
      </c>
    </row>
    <row r="2"/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TÜRKİYE MUHASEBE VE TEKDÜZEN HESAP PLANI STANDARDI</t>
        </is>
      </c>
    </row>
    <row r="2"/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KARAR, GÜVEN VE SATIŞA HAZIRLIK STANDARDI</t>
        </is>
      </c>
    </row>
    <row r="2"/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3D2E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KAPAK — 8D / Düzeltici Faaliyet Dosya Sistemi</t>
        </is>
      </c>
    </row>
    <row r="2"/>
    <row r="3" ht="22" customHeight="1">
      <c r="A3" s="197" t="inlineStr">
        <is>
          <t>8D / Düzeltici Faaliyet Dosya Sistemi</t>
        </is>
      </c>
    </row>
    <row r="4">
      <c r="A4" s="4" t="inlineStr">
        <is>
          <t>Müşteri şikâyetinden 8D (D1–D8) kapanışına kadar dosyayı yönetir; kök neden ve DF plan/gerçek maliyet zincirini görünür kılar; müşteri/IATF kanıt raporu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durum: D1 Ekip → D2 Problem → D3 Muhafaza → D4 Kök → D5 DF → D6 Uygula → D7 Önle → D8 Kapalı</t>
        </is>
      </c>
    </row>
    <row r="8">
      <c r="A8" s="6" t="inlineStr">
        <is>
          <t>• Kök neden + DF plan/gerçek maliyet zinciri; ZİNCİR KIRIK bayrağı</t>
        </is>
      </c>
    </row>
    <row r="9">
      <c r="A9" s="6" t="inlineStr">
        <is>
          <t>• Kapanış oranı ve kuyruk yaşlandırması (0-30 / 31-60 / 61-90 / 90+)</t>
        </is>
      </c>
    </row>
    <row r="10">
      <c r="A10" s="6" t="inlineStr">
        <is>
          <t>• Yetim ekip ve geçersiz 8D geçiş uyarıları</t>
        </is>
      </c>
    </row>
    <row r="11">
      <c r="A11" s="6" t="inlineStr">
        <is>
          <t>• KANIT_RAPORU — müşteri / IATF denetim dosyasına imzalı kanıt</t>
        </is>
      </c>
    </row>
    <row r="12"/>
    <row r="13">
      <c r="A13" s="5" t="inlineStr">
        <is>
          <t>Kimler için?</t>
        </is>
      </c>
    </row>
    <row r="14">
      <c r="A14" s="7" t="inlineStr">
        <is>
          <t>• 8D lideri / QA — şikâyet ve D1–D8 satırı girişi</t>
        </is>
      </c>
    </row>
    <row r="15">
      <c r="A15" s="7" t="inlineStr">
        <is>
          <t>• Kalite müdürü — kapanış oranı ve DF maliyet kararı</t>
        </is>
      </c>
    </row>
    <row r="16">
      <c r="A16" s="7" t="inlineStr">
        <is>
          <t>• Müşteri / IATF denetçisi — KANIT_RAPORU imzası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EKIP'e ekip kartı girin. 2) AKIS'e 8D dosya satırlarını yazın. 3) KUYRUKLAR ve PANO'dan günün kararını görün. 4) KANIT_RAPORU'ndan kanıt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/>
  </sheetPr>
  <dimension ref="A1:I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.5" customWidth="1" min="3" max="3"/>
    <col width="14" customWidth="1" min="4" max="4"/>
    <col width="15.5" customWidth="1" min="5" max="5"/>
    <col width="21.5" customWidth="1" min="6" max="6"/>
    <col width="14" customWidth="1" min="7" max="7"/>
    <col width="21.5" customWidth="1" min="8" max="8"/>
    <col width="16.5" customWidth="1" min="9" max="9"/>
    <col width="13" customWidth="1" min="10" max="10"/>
  </cols>
  <sheetData>
    <row r="1" ht="32" customHeight="1">
      <c r="A1" s="178" t="inlineStr">
        <is>
          <t>EKIP — 8D / Düzeltici Faaliyet Dosya Sistemi</t>
        </is>
      </c>
    </row>
    <row r="2"/>
    <row r="3" ht="22" customHeight="1">
      <c r="A3" s="198" t="inlineStr">
        <is>
          <t>8D ekip kartları — her üyenin tek kimliği vardır</t>
        </is>
      </c>
    </row>
    <row r="4">
      <c r="A4" s="11" t="inlineStr">
        <is>
          <t>Sonraki Kimlik</t>
        </is>
      </c>
      <c r="B4" s="25">
        <f>sdf_sonrakiKimlik</f>
        <v/>
      </c>
    </row>
    <row r="5" ht="30" customHeight="1">
      <c r="A5" s="26" t="inlineStr">
        <is>
          <t>EkipId</t>
        </is>
      </c>
      <c r="B5" s="26" t="inlineStr">
        <is>
          <t>AdSoyad</t>
        </is>
      </c>
      <c r="C5" s="26" t="inlineStr">
        <is>
          <t>Bolum</t>
        </is>
      </c>
      <c r="D5" s="26" t="inlineStr">
        <is>
          <t>Rol</t>
        </is>
      </c>
      <c r="E5" s="26" t="inlineStr">
        <is>
          <t>HedefAcik8D</t>
        </is>
      </c>
      <c r="F5" s="26" t="inlineStr">
        <is>
          <t>VarsayşikâyetRisk</t>
        </is>
      </c>
      <c r="G5" s="26" t="inlineStr">
        <is>
          <t>Aktif</t>
        </is>
      </c>
      <c r="H5" s="26" t="inlineStr">
        <is>
          <t>BeklenenDfMaliyet</t>
        </is>
      </c>
      <c r="I5" s="26" t="inlineStr">
        <is>
          <t>Kapali8DAdet</t>
        </is>
      </c>
    </row>
    <row r="6">
      <c r="A6" s="27" t="inlineStr">
        <is>
          <t>EKP-00001</t>
        </is>
      </c>
      <c r="B6" s="27" t="inlineStr">
        <is>
          <t>Ayşe Yılmaz</t>
        </is>
      </c>
      <c r="C6" s="27" t="inlineStr">
        <is>
          <t>Kalite</t>
        </is>
      </c>
      <c r="D6" s="27" t="inlineStr">
        <is>
          <t>8D Lider</t>
        </is>
      </c>
      <c r="E6" s="28" t="n">
        <v>3</v>
      </c>
      <c r="F6" s="29" t="n">
        <v>0.03</v>
      </c>
      <c r="G6" s="27" t="inlineStr">
        <is>
          <t>EVET</t>
        </is>
      </c>
      <c r="H6" s="30">
        <f>IF($A6="","",SUMIF(tblAkis[KaynakEkipId],$A6,tblAkis[Tutar]))</f>
        <v/>
      </c>
      <c r="I6" s="30">
        <f>IF($A6="","",COUNTIFS(tblAkis[KaynakEkipId],$A6,tblAkis[Durum],"D8_KAPALI"))</f>
        <v/>
      </c>
    </row>
    <row r="7">
      <c r="A7" s="27" t="inlineStr">
        <is>
          <t>EKP-00002</t>
        </is>
      </c>
      <c r="B7" s="27" t="inlineStr">
        <is>
          <t>Mehmet Kaya</t>
        </is>
      </c>
      <c r="C7" s="27" t="inlineStr">
        <is>
          <t>Üretim</t>
        </is>
      </c>
      <c r="D7" s="27" t="inlineStr">
        <is>
          <t>Proses</t>
        </is>
      </c>
      <c r="E7" s="28" t="n">
        <v>4</v>
      </c>
      <c r="F7" s="29" t="n">
        <v>0.02</v>
      </c>
      <c r="G7" s="27" t="inlineStr">
        <is>
          <t>EVET</t>
        </is>
      </c>
      <c r="H7" s="30">
        <f>IF($A7="","",SUMIF(tblAkis[KaynakEkipId],$A7,tblAkis[Tutar]))</f>
        <v/>
      </c>
      <c r="I7" s="30">
        <f>IF($A7="","",COUNTIFS(tblAkis[KaynakEkipId],$A7,tblAkis[Durum],"D8_KAPALI"))</f>
        <v/>
      </c>
    </row>
    <row r="8">
      <c r="A8" s="27" t="inlineStr">
        <is>
          <t>EKP-00003</t>
        </is>
      </c>
      <c r="B8" s="27" t="inlineStr">
        <is>
          <t>Zeynep Demir</t>
        </is>
      </c>
      <c r="C8" s="27" t="inlineStr">
        <is>
          <t>Kalite</t>
        </is>
      </c>
      <c r="D8" s="27" t="inlineStr">
        <is>
          <t>MSA</t>
        </is>
      </c>
      <c r="E8" s="28" t="n">
        <v>5</v>
      </c>
      <c r="F8" s="29" t="n">
        <v>0.03</v>
      </c>
      <c r="G8" s="27" t="inlineStr">
        <is>
          <t>EVET</t>
        </is>
      </c>
      <c r="H8" s="30">
        <f>IF($A8="","",SUMIF(tblAkis[KaynakEkipId],$A8,tblAkis[Tutar]))</f>
        <v/>
      </c>
      <c r="I8" s="30">
        <f>IF($A8="","",COUNTIFS(tblAkis[KaynakEkipId],$A8,tblAkis[Durum],"D8_KAPALI"))</f>
        <v/>
      </c>
    </row>
    <row r="9">
      <c r="A9" s="27" t="inlineStr">
        <is>
          <t>EKP-00004</t>
        </is>
      </c>
      <c r="B9" s="27" t="inlineStr">
        <is>
          <t>Can Öztürk</t>
        </is>
      </c>
      <c r="C9" s="27" t="inlineStr">
        <is>
          <t>Bakım</t>
        </is>
      </c>
      <c r="D9" s="27" t="inlineStr">
        <is>
          <t>Ekipman</t>
        </is>
      </c>
      <c r="E9" s="28" t="n">
        <v>6</v>
      </c>
      <c r="F9" s="29" t="n">
        <v>0.02</v>
      </c>
      <c r="G9" s="27" t="inlineStr">
        <is>
          <t>EVET</t>
        </is>
      </c>
      <c r="H9" s="30">
        <f>IF($A9="","",SUMIF(tblAkis[KaynakEkipId],$A9,tblAkis[Tutar]))</f>
        <v/>
      </c>
      <c r="I9" s="30">
        <f>IF($A9="","",COUNTIFS(tblAkis[KaynakEkipId],$A9,tblAkis[Durum],"D8_KAPALI"))</f>
        <v/>
      </c>
    </row>
    <row r="10">
      <c r="A10" s="27" t="inlineStr">
        <is>
          <t>EKP-00005</t>
        </is>
      </c>
      <c r="B10" s="27" t="inlineStr">
        <is>
          <t>Elif Şahin</t>
        </is>
      </c>
      <c r="C10" s="27" t="inlineStr">
        <is>
          <t>Satınalma</t>
        </is>
      </c>
      <c r="D10" s="27" t="inlineStr">
        <is>
          <t>Tedarikçi</t>
        </is>
      </c>
      <c r="E10" s="28" t="n">
        <v>7</v>
      </c>
      <c r="F10" s="29" t="n">
        <v>0.03</v>
      </c>
      <c r="G10" s="27" t="inlineStr">
        <is>
          <t>EVET</t>
        </is>
      </c>
      <c r="H10" s="30">
        <f>IF($A10="","",SUMIF(tblAkis[KaynakEkipId],$A10,tblAkis[Tutar]))</f>
        <v/>
      </c>
      <c r="I10" s="30">
        <f>IF($A10="","",COUNTIFS(tblAkis[KaynakEkipId],$A10,tblAkis[Durum],"D8_KAPALI"))</f>
        <v/>
      </c>
    </row>
    <row r="11">
      <c r="A11" s="27" t="inlineStr">
        <is>
          <t>EKP-00006</t>
        </is>
      </c>
      <c r="B11" s="27" t="inlineStr">
        <is>
          <t>Burak Çelik</t>
        </is>
      </c>
      <c r="C11" s="27" t="inlineStr">
        <is>
          <t>Üretim</t>
        </is>
      </c>
      <c r="D11" s="27" t="inlineStr">
        <is>
          <t>Operatör</t>
        </is>
      </c>
      <c r="E11" s="28" t="n">
        <v>8</v>
      </c>
      <c r="F11" s="29" t="n">
        <v>0.02</v>
      </c>
      <c r="G11" s="27" t="inlineStr">
        <is>
          <t>EVET</t>
        </is>
      </c>
      <c r="H11" s="30">
        <f>IF($A11="","",SUMIF(tblAkis[KaynakEkipId],$A11,tblAkis[Tutar]))</f>
        <v/>
      </c>
      <c r="I11" s="30">
        <f>IF($A11="","",COUNTIFS(tblAkis[KaynakEkipId],$A11,tblAkis[Durum],"D8_KAPALI"))</f>
        <v/>
      </c>
    </row>
    <row r="12">
      <c r="A12" s="27" t="inlineStr">
        <is>
          <t>EKP-00007</t>
        </is>
      </c>
      <c r="B12" s="27" t="inlineStr">
        <is>
          <t>Selin Arslan</t>
        </is>
      </c>
      <c r="C12" s="27" t="inlineStr">
        <is>
          <t>Kalite</t>
        </is>
      </c>
      <c r="D12" s="27" t="inlineStr">
        <is>
          <t>Müşteri</t>
        </is>
      </c>
      <c r="E12" s="28" t="n">
        <v>9</v>
      </c>
      <c r="F12" s="29" t="n">
        <v>0.03</v>
      </c>
      <c r="G12" s="27" t="inlineStr">
        <is>
          <t>EVET</t>
        </is>
      </c>
      <c r="H12" s="30">
        <f>IF($A12="","",SUMIF(tblAkis[KaynakEkipId],$A12,tblAkis[Tutar]))</f>
        <v/>
      </c>
      <c r="I12" s="30">
        <f>IF($A12="","",COUNTIFS(tblAkis[KaynakEkipId],$A12,tblAkis[Durum],"D8_KAPALI"))</f>
        <v/>
      </c>
    </row>
    <row r="13">
      <c r="A13" s="27" t="inlineStr">
        <is>
          <t>EKP-00008</t>
        </is>
      </c>
      <c r="B13" s="27" t="inlineStr">
        <is>
          <t>Emre Koç</t>
        </is>
      </c>
      <c r="C13" s="27" t="inlineStr">
        <is>
          <t>Mühendislik</t>
        </is>
      </c>
      <c r="D13" s="27" t="inlineStr">
        <is>
          <t>Tasarım</t>
        </is>
      </c>
      <c r="E13" s="28" t="n">
        <v>10</v>
      </c>
      <c r="F13" s="29" t="n">
        <v>0.02</v>
      </c>
      <c r="G13" s="27" t="inlineStr">
        <is>
          <t>EVET</t>
        </is>
      </c>
      <c r="H13" s="30">
        <f>IF($A13="","",SUMIF(tblAkis[KaynakEkipId],$A13,tblAkis[Tutar]))</f>
        <v/>
      </c>
      <c r="I13" s="30">
        <f>IF($A13="","",COUNTIFS(tblAkis[KaynakEkipId],$A13,tblAkis[Durum],"D8_KAPALI"))</f>
        <v/>
      </c>
    </row>
    <row r="14">
      <c r="A14" s="27" t="inlineStr">
        <is>
          <t>EKP-00009</t>
        </is>
      </c>
      <c r="B14" s="27" t="inlineStr">
        <is>
          <t>Deniz Acar</t>
        </is>
      </c>
      <c r="C14" s="27" t="inlineStr">
        <is>
          <t>Kalite</t>
        </is>
      </c>
      <c r="D14" s="27" t="inlineStr">
        <is>
          <t>8D Lider</t>
        </is>
      </c>
      <c r="E14" s="28" t="n">
        <v>11</v>
      </c>
      <c r="F14" s="29" t="n">
        <v>0.03</v>
      </c>
      <c r="G14" s="27" t="inlineStr">
        <is>
          <t>EVET</t>
        </is>
      </c>
      <c r="H14" s="30">
        <f>IF($A14="","",SUMIF(tblAkis[KaynakEkipId],$A14,tblAkis[Tutar]))</f>
        <v/>
      </c>
      <c r="I14" s="30">
        <f>IF($A14="","",COUNTIFS(tblAkis[KaynakEkipId],$A14,tblAkis[Durum],"D8_KAPALI"))</f>
        <v/>
      </c>
    </row>
    <row r="15">
      <c r="A15" s="27" t="inlineStr">
        <is>
          <t>EKP-00010</t>
        </is>
      </c>
      <c r="B15" s="27" t="inlineStr">
        <is>
          <t>Burcu Polat</t>
        </is>
      </c>
      <c r="C15" s="27" t="inlineStr">
        <is>
          <t>Lojistik</t>
        </is>
      </c>
      <c r="D15" s="27" t="inlineStr">
        <is>
          <t>Sevkiyat</t>
        </is>
      </c>
      <c r="E15" s="28" t="n">
        <v>12</v>
      </c>
      <c r="F15" s="29" t="n">
        <v>0.02</v>
      </c>
      <c r="G15" s="27" t="inlineStr">
        <is>
          <t>EVET</t>
        </is>
      </c>
      <c r="H15" s="30">
        <f>IF($A15="","",SUMIF(tblAkis[KaynakEkipId],$A15,tblAkis[Tutar]))</f>
        <v/>
      </c>
      <c r="I15" s="30">
        <f>IF($A15="","",COUNTIFS(tblAkis[KaynakEkipId],$A15,tblAkis[Durum],"D8_KAPALI"))</f>
        <v/>
      </c>
    </row>
    <row r="16">
      <c r="A16" s="27" t="n"/>
      <c r="B16" s="27" t="n"/>
      <c r="C16" s="27" t="n"/>
      <c r="D16" s="27" t="n"/>
      <c r="E16" s="31" t="n"/>
      <c r="F16" s="29" t="n"/>
      <c r="G16" s="27" t="n"/>
      <c r="H16" s="30">
        <f>IF($A16="","",SUMIF(tblAkis[KaynakEkipId],$A16,tblAkis[Tutar]))</f>
        <v/>
      </c>
      <c r="I16" s="30">
        <f>IF($A16="","",COUNTIFS(tblAkis[KaynakEkipId],$A16,tblAkis[Durum],"D8_KAPALI"))</f>
        <v/>
      </c>
    </row>
    <row r="17">
      <c r="A17" s="27" t="n"/>
      <c r="B17" s="27" t="n"/>
      <c r="C17" s="27" t="n"/>
      <c r="D17" s="27" t="n"/>
      <c r="E17" s="31" t="n"/>
      <c r="F17" s="29" t="n"/>
      <c r="G17" s="27" t="n"/>
      <c r="H17" s="30">
        <f>IF($A17="","",SUMIF(tblAkis[KaynakEkipId],$A17,tblAkis[Tutar]))</f>
        <v/>
      </c>
      <c r="I17" s="30">
        <f>IF($A17="","",COUNTIFS(tblAkis[KaynakEkipId],$A17,tblAkis[Durum],"D8_KAPALI"))</f>
        <v/>
      </c>
    </row>
    <row r="18">
      <c r="A18" s="27" t="n"/>
      <c r="B18" s="27" t="n"/>
      <c r="C18" s="27" t="n"/>
      <c r="D18" s="27" t="n"/>
      <c r="E18" s="31" t="n"/>
      <c r="F18" s="29" t="n"/>
      <c r="G18" s="27" t="n"/>
      <c r="H18" s="30">
        <f>IF($A18="","",SUMIF(tblAkis[KaynakEkipId],$A18,tblAkis[Tutar]))</f>
        <v/>
      </c>
      <c r="I18" s="30">
        <f>IF($A18="","",COUNTIFS(tblAkis[KaynakEkipId],$A18,tblAkis[Durum],"D8_KAPALI"))</f>
        <v/>
      </c>
    </row>
    <row r="19">
      <c r="A19" s="27" t="n"/>
      <c r="B19" s="27" t="n"/>
      <c r="C19" s="27" t="n"/>
      <c r="D19" s="27" t="n"/>
      <c r="E19" s="31" t="n"/>
      <c r="F19" s="29" t="n"/>
      <c r="G19" s="27" t="n"/>
      <c r="H19" s="30">
        <f>IF($A19="","",SUMIF(tblAkis[KaynakEkipId],$A19,tblAkis[Tutar]))</f>
        <v/>
      </c>
      <c r="I19" s="30">
        <f>IF($A19="","",COUNTIFS(tblAkis[KaynakEkipId],$A19,tblAkis[Durum],"D8_KAPALI"))</f>
        <v/>
      </c>
    </row>
    <row r="20">
      <c r="A20" s="27" t="n"/>
      <c r="B20" s="27" t="n"/>
      <c r="C20" s="27" t="n"/>
      <c r="D20" s="27" t="n"/>
      <c r="E20" s="31" t="n"/>
      <c r="F20" s="29" t="n"/>
      <c r="G20" s="27" t="n"/>
      <c r="H20" s="30">
        <f>IF($A20="","",SUMIF(tblAkis[KaynakEkipId],$A20,tblAkis[Tutar]))</f>
        <v/>
      </c>
      <c r="I20" s="30">
        <f>IF($A20="","",COUNTIFS(tblAkis[KaynakEkipId],$A20,tblAkis[Durum],"D8_KAPALI"))</f>
        <v/>
      </c>
    </row>
    <row r="21">
      <c r="A21" s="27" t="n"/>
      <c r="B21" s="27" t="n"/>
      <c r="C21" s="27" t="n"/>
      <c r="D21" s="27" t="n"/>
      <c r="E21" s="31" t="n"/>
      <c r="F21" s="29" t="n"/>
      <c r="G21" s="27" t="n"/>
      <c r="H21" s="30">
        <f>IF($A21="","",SUMIF(tblAkis[KaynakEkipId],$A21,tblAkis[Tutar]))</f>
        <v/>
      </c>
      <c r="I21" s="30">
        <f>IF($A21="","",COUNTIFS(tblAkis[KaynakEkipId],$A21,tblAkis[Durum],"D8_KAPALI"))</f>
        <v/>
      </c>
    </row>
    <row r="22">
      <c r="A22" s="27" t="n"/>
      <c r="B22" s="27" t="n"/>
      <c r="C22" s="27" t="n"/>
      <c r="D22" s="27" t="n"/>
      <c r="E22" s="31" t="n"/>
      <c r="F22" s="29" t="n"/>
      <c r="G22" s="27" t="n"/>
      <c r="H22" s="30">
        <f>IF($A22="","",SUMIF(tblAkis[KaynakEkipId],$A22,tblAkis[Tutar]))</f>
        <v/>
      </c>
      <c r="I22" s="30">
        <f>IF($A22="","",COUNTIFS(tblAkis[KaynakEkipId],$A22,tblAkis[Durum],"D8_KAPALI"))</f>
        <v/>
      </c>
    </row>
    <row r="23">
      <c r="A23" s="27" t="n"/>
      <c r="B23" s="27" t="n"/>
      <c r="C23" s="27" t="n"/>
      <c r="D23" s="27" t="n"/>
      <c r="E23" s="31" t="n"/>
      <c r="F23" s="29" t="n"/>
      <c r="G23" s="27" t="n"/>
      <c r="H23" s="30">
        <f>IF($A23="","",SUMIF(tblAkis[KaynakEkipId],$A23,tblAkis[Tutar]))</f>
        <v/>
      </c>
      <c r="I23" s="30">
        <f>IF($A23="","",COUNTIFS(tblAkis[KaynakEkipId],$A23,tblAkis[Durum],"D8_KAPALI"))</f>
        <v/>
      </c>
    </row>
    <row r="24">
      <c r="A24" s="27" t="n"/>
      <c r="B24" s="27" t="n"/>
      <c r="C24" s="27" t="n"/>
      <c r="D24" s="27" t="n"/>
      <c r="E24" s="31" t="n"/>
      <c r="F24" s="29" t="n"/>
      <c r="G24" s="27" t="n"/>
      <c r="H24" s="30">
        <f>IF($A24="","",SUMIF(tblAkis[KaynakEkipId],$A24,tblAkis[Tutar]))</f>
        <v/>
      </c>
      <c r="I24" s="30">
        <f>IF($A24="","",COUNTIFS(tblAkis[KaynakEkipId],$A24,tblAkis[Durum],"D8_KAPALI"))</f>
        <v/>
      </c>
    </row>
    <row r="25">
      <c r="A25" s="27" t="n"/>
      <c r="B25" s="27" t="n"/>
      <c r="C25" s="27" t="n"/>
      <c r="D25" s="27" t="n"/>
      <c r="E25" s="31" t="n"/>
      <c r="F25" s="29" t="n"/>
      <c r="G25" s="27" t="n"/>
      <c r="H25" s="30">
        <f>IF($A25="","",SUMIF(tblAkis[KaynakEkipId],$A25,tblAkis[Tutar]))</f>
        <v/>
      </c>
      <c r="I25" s="30">
        <f>IF($A25="","",COUNTIFS(tblAkis[KaynakEkipId],$A25,tblAkis[Durum],"D8_KAPALI"))</f>
        <v/>
      </c>
    </row>
    <row r="26">
      <c r="A26" s="27" t="n"/>
      <c r="B26" s="27" t="n"/>
      <c r="C26" s="27" t="n"/>
      <c r="D26" s="27" t="n"/>
      <c r="E26" s="31" t="n"/>
      <c r="F26" s="29" t="n"/>
      <c r="G26" s="27" t="n"/>
      <c r="H26" s="30">
        <f>IF($A26="","",SUMIF(tblAkis[KaynakEkipId],$A26,tblAkis[Tutar]))</f>
        <v/>
      </c>
      <c r="I26" s="30">
        <f>IF($A26="","",COUNTIFS(tblAkis[KaynakEkipId],$A26,tblAkis[Durum],"D8_KAPALI"))</f>
        <v/>
      </c>
    </row>
    <row r="27">
      <c r="A27" s="27" t="n"/>
      <c r="B27" s="27" t="n"/>
      <c r="C27" s="27" t="n"/>
      <c r="D27" s="27" t="n"/>
      <c r="E27" s="31" t="n"/>
      <c r="F27" s="29" t="n"/>
      <c r="G27" s="27" t="n"/>
      <c r="H27" s="30">
        <f>IF($A27="","",SUMIF(tblAkis[KaynakEkipId],$A27,tblAkis[Tutar]))</f>
        <v/>
      </c>
      <c r="I27" s="30">
        <f>IF($A27="","",COUNTIFS(tblAkis[KaynakEkipId],$A27,tblAkis[Durum],"D8_KAPALI"))</f>
        <v/>
      </c>
    </row>
    <row r="28">
      <c r="A28" s="27" t="n"/>
      <c r="B28" s="27" t="n"/>
      <c r="C28" s="27" t="n"/>
      <c r="D28" s="27" t="n"/>
      <c r="E28" s="31" t="n"/>
      <c r="F28" s="29" t="n"/>
      <c r="G28" s="27" t="n"/>
      <c r="H28" s="30">
        <f>IF($A28="","",SUMIF(tblAkis[KaynakEkipId],$A28,tblAkis[Tutar]))</f>
        <v/>
      </c>
      <c r="I28" s="30">
        <f>IF($A28="","",COUNTIFS(tblAkis[KaynakEkipId],$A28,tblAkis[Durum],"D8_KAPALI"))</f>
        <v/>
      </c>
    </row>
    <row r="29">
      <c r="A29" s="27" t="n"/>
      <c r="B29" s="27" t="n"/>
      <c r="C29" s="27" t="n"/>
      <c r="D29" s="27" t="n"/>
      <c r="E29" s="31" t="n"/>
      <c r="F29" s="29" t="n"/>
      <c r="G29" s="27" t="n"/>
      <c r="H29" s="30">
        <f>IF($A29="","",SUMIF(tblAkis[KaynakEkipId],$A29,tblAkis[Tutar]))</f>
        <v/>
      </c>
      <c r="I29" s="30">
        <f>IF($A29="","",COUNTIFS(tblAkis[KaynakEkipId],$A29,tblAkis[Durum],"D8_KAPALI"))</f>
        <v/>
      </c>
    </row>
    <row r="30">
      <c r="A30" s="27" t="n"/>
      <c r="B30" s="27" t="n"/>
      <c r="C30" s="27" t="n"/>
      <c r="D30" s="27" t="n"/>
      <c r="E30" s="31" t="n"/>
      <c r="F30" s="29" t="n"/>
      <c r="G30" s="27" t="n"/>
      <c r="H30" s="30">
        <f>IF($A30="","",SUMIF(tblAkis[KaynakEkipId],$A30,tblAkis[Tutar]))</f>
        <v/>
      </c>
      <c r="I30" s="30">
        <f>IF($A30="","",COUNTIFS(tblAkis[KaynakEkipId],$A30,tblAkis[Durum],"D8_KAPALI"))</f>
        <v/>
      </c>
    </row>
    <row r="31">
      <c r="A31" s="27" t="n"/>
      <c r="B31" s="27" t="n"/>
      <c r="C31" s="27" t="n"/>
      <c r="D31" s="27" t="n"/>
      <c r="E31" s="31" t="n"/>
      <c r="F31" s="29" t="n"/>
      <c r="G31" s="27" t="n"/>
      <c r="H31" s="30">
        <f>IF($A31="","",SUMIF(tblAkis[KaynakEkipId],$A31,tblAkis[Tutar]))</f>
        <v/>
      </c>
      <c r="I31" s="30">
        <f>IF($A31="","",COUNTIFS(tblAkis[KaynakEkipId],$A31,tblAkis[Durum],"D8_KAPALI"))</f>
        <v/>
      </c>
    </row>
    <row r="32">
      <c r="A32" s="27" t="n"/>
      <c r="B32" s="27" t="n"/>
      <c r="C32" s="27" t="n"/>
      <c r="D32" s="27" t="n"/>
      <c r="E32" s="31" t="n"/>
      <c r="F32" s="29" t="n"/>
      <c r="G32" s="27" t="n"/>
      <c r="H32" s="30">
        <f>IF($A32="","",SUMIF(tblAkis[KaynakEkipId],$A32,tblAkis[Tutar]))</f>
        <v/>
      </c>
      <c r="I32" s="30">
        <f>IF($A32="","",COUNTIFS(tblAkis[KaynakEkipId],$A32,tblAkis[Durum],"D8_KAPALI"))</f>
        <v/>
      </c>
    </row>
    <row r="33">
      <c r="A33" s="27" t="n"/>
      <c r="B33" s="27" t="n"/>
      <c r="C33" s="27" t="n"/>
      <c r="D33" s="27" t="n"/>
      <c r="E33" s="31" t="n"/>
      <c r="F33" s="29" t="n"/>
      <c r="G33" s="27" t="n"/>
      <c r="H33" s="30">
        <f>IF($A33="","",SUMIF(tblAkis[KaynakEkipId],$A33,tblAkis[Tutar]))</f>
        <v/>
      </c>
      <c r="I33" s="30">
        <f>IF($A33="","",COUNTIFS(tblAkis[KaynakEkipId],$A33,tblAkis[Durum],"D8_KAPALI"))</f>
        <v/>
      </c>
    </row>
    <row r="34">
      <c r="A34" s="27" t="n"/>
      <c r="B34" s="27" t="n"/>
      <c r="C34" s="27" t="n"/>
      <c r="D34" s="27" t="n"/>
      <c r="E34" s="31" t="n"/>
      <c r="F34" s="29" t="n"/>
      <c r="G34" s="27" t="n"/>
      <c r="H34" s="30">
        <f>IF($A34="","",SUMIF(tblAkis[KaynakEkipId],$A34,tblAkis[Tutar]))</f>
        <v/>
      </c>
      <c r="I34" s="30">
        <f>IF($A34="","",COUNTIFS(tblAkis[KaynakEkipId],$A34,tblAkis[Durum],"D8_KAPALI"))</f>
        <v/>
      </c>
    </row>
    <row r="35">
      <c r="A35" s="27" t="n"/>
      <c r="B35" s="27" t="n"/>
      <c r="C35" s="27" t="n"/>
      <c r="D35" s="27" t="n"/>
      <c r="E35" s="31" t="n"/>
      <c r="F35" s="29" t="n"/>
      <c r="G35" s="27" t="n"/>
      <c r="H35" s="30">
        <f>IF($A35="","",SUMIF(tblAkis[KaynakEkipId],$A35,tblAkis[Tutar]))</f>
        <v/>
      </c>
      <c r="I35" s="30">
        <f>IF($A35="","",COUNTIFS(tblAkis[KaynakEkipId],$A35,tblAkis[Durum],"D8_KAPALI"))</f>
        <v/>
      </c>
    </row>
    <row r="36">
      <c r="A36" s="27" t="n"/>
      <c r="B36" s="27" t="n"/>
      <c r="C36" s="27" t="n"/>
      <c r="D36" s="27" t="n"/>
      <c r="E36" s="31" t="n"/>
      <c r="F36" s="29" t="n"/>
      <c r="G36" s="27" t="n"/>
      <c r="H36" s="30">
        <f>IF($A36="","",SUMIF(tblAkis[KaynakEkipId],$A36,tblAkis[Tutar]))</f>
        <v/>
      </c>
      <c r="I36" s="30">
        <f>IF($A36="","",COUNTIFS(tblAkis[KaynakEkipId],$A36,tblAkis[Durum],"D8_KAPALI"))</f>
        <v/>
      </c>
    </row>
    <row r="37">
      <c r="A37" s="27" t="n"/>
      <c r="B37" s="27" t="n"/>
      <c r="C37" s="27" t="n"/>
      <c r="D37" s="27" t="n"/>
      <c r="E37" s="31" t="n"/>
      <c r="F37" s="29" t="n"/>
      <c r="G37" s="27" t="n"/>
      <c r="H37" s="30">
        <f>IF($A37="","",SUMIF(tblAkis[KaynakEkipId],$A37,tblAkis[Tutar]))</f>
        <v/>
      </c>
      <c r="I37" s="30">
        <f>IF($A37="","",COUNTIFS(tblAkis[KaynakEkipId],$A37,tblAkis[Durum],"D8_KAPALI"))</f>
        <v/>
      </c>
    </row>
    <row r="38">
      <c r="A38" s="27" t="n"/>
      <c r="B38" s="27" t="n"/>
      <c r="C38" s="27" t="n"/>
      <c r="D38" s="27" t="n"/>
      <c r="E38" s="31" t="n"/>
      <c r="F38" s="29" t="n"/>
      <c r="G38" s="27" t="n"/>
      <c r="H38" s="30">
        <f>IF($A38="","",SUMIF(tblAkis[KaynakEkipId],$A38,tblAkis[Tutar]))</f>
        <v/>
      </c>
      <c r="I38" s="30">
        <f>IF($A38="","",COUNTIFS(tblAkis[KaynakEkipId],$A38,tblAkis[Durum],"D8_KAPALI"))</f>
        <v/>
      </c>
    </row>
    <row r="39">
      <c r="A39" s="27" t="n"/>
      <c r="B39" s="27" t="n"/>
      <c r="C39" s="27" t="n"/>
      <c r="D39" s="27" t="n"/>
      <c r="E39" s="31" t="n"/>
      <c r="F39" s="29" t="n"/>
      <c r="G39" s="27" t="n"/>
      <c r="H39" s="30">
        <f>IF($A39="","",SUMIF(tblAkis[KaynakEkipId],$A39,tblAkis[Tutar]))</f>
        <v/>
      </c>
      <c r="I39" s="30">
        <f>IF($A39="","",COUNTIFS(tblAkis[KaynakEkipId],$A39,tblAkis[Durum],"D8_KAPALI"))</f>
        <v/>
      </c>
    </row>
    <row r="40">
      <c r="A40" s="27" t="n"/>
      <c r="B40" s="27" t="n"/>
      <c r="C40" s="27" t="n"/>
      <c r="D40" s="27" t="n"/>
      <c r="E40" s="31" t="n"/>
      <c r="F40" s="29" t="n"/>
      <c r="G40" s="27" t="n"/>
      <c r="H40" s="30">
        <f>IF($A40="","",SUMIF(tblAkis[KaynakEkipId],$A40,tblAkis[Tutar]))</f>
        <v/>
      </c>
      <c r="I40" s="30">
        <f>IF($A40="","",COUNTIFS(tblAkis[KaynakEkipId],$A40,tblAkis[Durum],"D8_KAPALI"))</f>
        <v/>
      </c>
    </row>
    <row r="41">
      <c r="A41" s="27" t="n"/>
      <c r="B41" s="27" t="n"/>
      <c r="C41" s="27" t="n"/>
      <c r="D41" s="27" t="n"/>
      <c r="E41" s="31" t="n"/>
      <c r="F41" s="29" t="n"/>
      <c r="G41" s="27" t="n"/>
      <c r="H41" s="30">
        <f>IF($A41="","",SUMIF(tblAkis[KaynakEkipId],$A41,tblAkis[Tutar]))</f>
        <v/>
      </c>
      <c r="I41" s="30">
        <f>IF($A41="","",COUNTIFS(tblAkis[KaynakEkipId],$A41,tblAkis[Durum],"D8_KAPALI"))</f>
        <v/>
      </c>
    </row>
    <row r="42">
      <c r="A42" s="27" t="n"/>
      <c r="B42" s="27" t="n"/>
      <c r="C42" s="27" t="n"/>
      <c r="D42" s="27" t="n"/>
      <c r="E42" s="31" t="n"/>
      <c r="F42" s="29" t="n"/>
      <c r="G42" s="27" t="n"/>
      <c r="H42" s="30">
        <f>IF($A42="","",SUMIF(tblAkis[KaynakEkipId],$A42,tblAkis[Tutar]))</f>
        <v/>
      </c>
      <c r="I42" s="30">
        <f>IF($A42="","",COUNTIFS(tblAkis[KaynakEkipId],$A42,tblAkis[Durum],"D8_KAPALI"))</f>
        <v/>
      </c>
    </row>
    <row r="43">
      <c r="A43" s="27" t="n"/>
      <c r="B43" s="27" t="n"/>
      <c r="C43" s="27" t="n"/>
      <c r="D43" s="27" t="n"/>
      <c r="E43" s="31" t="n"/>
      <c r="F43" s="29" t="n"/>
      <c r="G43" s="27" t="n"/>
      <c r="H43" s="30">
        <f>IF($A43="","",SUMIF(tblAkis[KaynakEkipId],$A43,tblAkis[Tutar]))</f>
        <v/>
      </c>
      <c r="I43" s="30">
        <f>IF($A43="","",COUNTIFS(tblAkis[KaynakEkipId],$A43,tblAkis[Durum],"D8_KAPALI"))</f>
        <v/>
      </c>
    </row>
    <row r="44">
      <c r="A44" s="27" t="n"/>
      <c r="B44" s="27" t="n"/>
      <c r="C44" s="27" t="n"/>
      <c r="D44" s="27" t="n"/>
      <c r="E44" s="31" t="n"/>
      <c r="F44" s="29" t="n"/>
      <c r="G44" s="27" t="n"/>
      <c r="H44" s="30">
        <f>IF($A44="","",SUMIF(tblAkis[KaynakEkipId],$A44,tblAkis[Tutar]))</f>
        <v/>
      </c>
      <c r="I44" s="30">
        <f>IF($A44="","",COUNTIFS(tblAkis[KaynakEkipId],$A44,tblAkis[Durum],"D8_KAPALI"))</f>
        <v/>
      </c>
    </row>
    <row r="45">
      <c r="A45" s="27" t="n"/>
      <c r="B45" s="27" t="n"/>
      <c r="C45" s="27" t="n"/>
      <c r="D45" s="27" t="n"/>
      <c r="E45" s="31" t="n"/>
      <c r="F45" s="29" t="n"/>
      <c r="G45" s="27" t="n"/>
      <c r="H45" s="30">
        <f>IF($A45="","",SUMIF(tblAkis[KaynakEkipId],$A45,tblAkis[Tutar]))</f>
        <v/>
      </c>
      <c r="I45" s="30">
        <f>IF($A45="","",COUNTIFS(tblAkis[KaynakEkipId],$A45,tblAkis[Durum],"D8_KAPALI"))</f>
        <v/>
      </c>
    </row>
    <row r="46">
      <c r="A46" s="27" t="n"/>
      <c r="B46" s="27" t="n"/>
      <c r="C46" s="27" t="n"/>
      <c r="D46" s="27" t="n"/>
      <c r="E46" s="31" t="n"/>
      <c r="F46" s="29" t="n"/>
      <c r="G46" s="27" t="n"/>
      <c r="H46" s="30">
        <f>IF($A46="","",SUMIF(tblAkis[KaynakEkipId],$A46,tblAkis[Tutar]))</f>
        <v/>
      </c>
      <c r="I46" s="30">
        <f>IF($A46="","",COUNTIFS(tblAkis[KaynakEkipId],$A46,tblAkis[Durum],"D8_KAPALI"))</f>
        <v/>
      </c>
    </row>
    <row r="47">
      <c r="A47" s="27" t="n"/>
      <c r="B47" s="27" t="n"/>
      <c r="C47" s="27" t="n"/>
      <c r="D47" s="27" t="n"/>
      <c r="E47" s="31" t="n"/>
      <c r="F47" s="29" t="n"/>
      <c r="G47" s="27" t="n"/>
      <c r="H47" s="30">
        <f>IF($A47="","",SUMIF(tblAkis[KaynakEkipId],$A47,tblAkis[Tutar]))</f>
        <v/>
      </c>
      <c r="I47" s="30">
        <f>IF($A47="","",COUNTIFS(tblAkis[KaynakEkipId],$A47,tblAkis[Durum],"D8_KAPALI"))</f>
        <v/>
      </c>
    </row>
    <row r="48">
      <c r="A48" s="27" t="n"/>
      <c r="B48" s="27" t="n"/>
      <c r="C48" s="27" t="n"/>
      <c r="D48" s="27" t="n"/>
      <c r="E48" s="31" t="n"/>
      <c r="F48" s="29" t="n"/>
      <c r="G48" s="27" t="n"/>
      <c r="H48" s="30">
        <f>IF($A48="","",SUMIF(tblAkis[KaynakEkipId],$A48,tblAkis[Tutar]))</f>
        <v/>
      </c>
      <c r="I48" s="30">
        <f>IF($A48="","",COUNTIFS(tblAkis[KaynakEkipId],$A48,tblAkis[Durum],"D8_KAPALI"))</f>
        <v/>
      </c>
    </row>
    <row r="49">
      <c r="A49" s="27" t="n"/>
      <c r="B49" s="27" t="n"/>
      <c r="C49" s="27" t="n"/>
      <c r="D49" s="27" t="n"/>
      <c r="E49" s="31" t="n"/>
      <c r="F49" s="29" t="n"/>
      <c r="G49" s="27" t="n"/>
      <c r="H49" s="30">
        <f>IF($A49="","",SUMIF(tblAkis[KaynakEkipId],$A49,tblAkis[Tutar]))</f>
        <v/>
      </c>
      <c r="I49" s="30">
        <f>IF($A49="","",COUNTIFS(tblAkis[KaynakEkipId],$A49,tblAkis[Durum],"D8_KAPALI"))</f>
        <v/>
      </c>
    </row>
    <row r="50">
      <c r="A50" s="27" t="n"/>
      <c r="B50" s="27" t="n"/>
      <c r="C50" s="27" t="n"/>
      <c r="D50" s="27" t="n"/>
      <c r="E50" s="31" t="n"/>
      <c r="F50" s="29" t="n"/>
      <c r="G50" s="27" t="n"/>
      <c r="H50" s="30">
        <f>IF($A50="","",SUMIF(tblAkis[KaynakEkipId],$A50,tblAkis[Tutar]))</f>
        <v/>
      </c>
      <c r="I50" s="30">
        <f>IF($A50="","",COUNTIFS(tblAkis[KaynakEkipId],$A50,tblAkis[Durum],"D8_KAPALI"))</f>
        <v/>
      </c>
    </row>
    <row r="51">
      <c r="A51" s="27" t="n"/>
      <c r="B51" s="27" t="n"/>
      <c r="C51" s="27" t="n"/>
      <c r="D51" s="27" t="n"/>
      <c r="E51" s="31" t="n"/>
      <c r="F51" s="29" t="n"/>
      <c r="G51" s="27" t="n"/>
      <c r="H51" s="30">
        <f>IF($A51="","",SUMIF(tblAkis[KaynakEkipId],$A51,tblAkis[Tutar]))</f>
        <v/>
      </c>
      <c r="I51" s="30">
        <f>IF($A51="","",COUNTIFS(tblAkis[KaynakEkipId],$A51,tblAkis[Durum],"D8_KAPALI"))</f>
        <v/>
      </c>
    </row>
    <row r="52">
      <c r="A52" s="27" t="n"/>
      <c r="B52" s="27" t="n"/>
      <c r="C52" s="27" t="n"/>
      <c r="D52" s="27" t="n"/>
      <c r="E52" s="31" t="n"/>
      <c r="F52" s="29" t="n"/>
      <c r="G52" s="27" t="n"/>
      <c r="H52" s="30">
        <f>IF($A52="","",SUMIF(tblAkis[KaynakEkipId],$A52,tblAkis[Tutar]))</f>
        <v/>
      </c>
      <c r="I52" s="30">
        <f>IF($A52="","",COUNTIFS(tblAkis[KaynakEkipId],$A52,tblAkis[Durum],"D8_KAPALI"))</f>
        <v/>
      </c>
    </row>
    <row r="53">
      <c r="A53" s="27" t="n"/>
      <c r="B53" s="27" t="n"/>
      <c r="C53" s="27" t="n"/>
      <c r="D53" s="27" t="n"/>
      <c r="E53" s="31" t="n"/>
      <c r="F53" s="29" t="n"/>
      <c r="G53" s="27" t="n"/>
      <c r="H53" s="30">
        <f>IF($A53="","",SUMIF(tblAkis[KaynakEkipId],$A53,tblAkis[Tutar]))</f>
        <v/>
      </c>
      <c r="I53" s="30">
        <f>IF($A53="","",COUNTIFS(tblAkis[KaynakEkipId],$A53,tblAkis[Durum],"D8_KAPALI"))</f>
        <v/>
      </c>
    </row>
    <row r="54">
      <c r="A54" s="27" t="n"/>
      <c r="B54" s="27" t="n"/>
      <c r="C54" s="27" t="n"/>
      <c r="D54" s="27" t="n"/>
      <c r="E54" s="31" t="n"/>
      <c r="F54" s="29" t="n"/>
      <c r="G54" s="27" t="n"/>
      <c r="H54" s="30">
        <f>IF($A54="","",SUMIF(tblAkis[KaynakEkipId],$A54,tblAkis[Tutar]))</f>
        <v/>
      </c>
      <c r="I54" s="30">
        <f>IF($A54="","",COUNTIFS(tblAkis[KaynakEkipId],$A54,tblAkis[Durum],"D8_KAPALI"))</f>
        <v/>
      </c>
    </row>
    <row r="55">
      <c r="A55" s="27" t="n"/>
      <c r="B55" s="27" t="n"/>
      <c r="C55" s="27" t="n"/>
      <c r="D55" s="27" t="n"/>
      <c r="E55" s="31" t="n"/>
      <c r="F55" s="29" t="n"/>
      <c r="G55" s="27" t="n"/>
      <c r="H55" s="30">
        <f>IF($A55="","",SUMIF(tblAkis[KaynakEkipId],$A55,tblAkis[Tutar]))</f>
        <v/>
      </c>
      <c r="I55" s="30">
        <f>IF($A55="","",COUNTIFS(tblAkis[KaynakEkipId],$A55,tblAkis[Durum],"D8_KAPALI"))</f>
        <v/>
      </c>
    </row>
    <row r="56">
      <c r="A56" s="27" t="n"/>
      <c r="B56" s="27" t="n"/>
      <c r="C56" s="27" t="n"/>
      <c r="D56" s="27" t="n"/>
      <c r="E56" s="31" t="n"/>
      <c r="F56" s="29" t="n"/>
      <c r="G56" s="27" t="n"/>
      <c r="H56" s="30">
        <f>IF($A56="","",SUMIF(tblAkis[KaynakEkipId],$A56,tblAkis[Tutar]))</f>
        <v/>
      </c>
      <c r="I56" s="30">
        <f>IF($A56="","",COUNTIFS(tblAkis[KaynakEkipId],$A56,tblAkis[Durum],"D8_KAPALI"))</f>
        <v/>
      </c>
    </row>
    <row r="57">
      <c r="A57" s="27" t="n"/>
      <c r="B57" s="27" t="n"/>
      <c r="C57" s="27" t="n"/>
      <c r="D57" s="27" t="n"/>
      <c r="E57" s="31" t="n"/>
      <c r="F57" s="29" t="n"/>
      <c r="G57" s="27" t="n"/>
      <c r="H57" s="30">
        <f>IF($A57="","",SUMIF(tblAkis[KaynakEkipId],$A57,tblAkis[Tutar]))</f>
        <v/>
      </c>
      <c r="I57" s="30">
        <f>IF($A57="","",COUNTIFS(tblAkis[KaynakEkipId],$A57,tblAkis[Durum],"D8_KAPALI"))</f>
        <v/>
      </c>
    </row>
    <row r="58">
      <c r="A58" s="27" t="n"/>
      <c r="B58" s="27" t="n"/>
      <c r="C58" s="27" t="n"/>
      <c r="D58" s="27" t="n"/>
      <c r="E58" s="31" t="n"/>
      <c r="F58" s="29" t="n"/>
      <c r="G58" s="27" t="n"/>
      <c r="H58" s="30">
        <f>IF($A58="","",SUMIF(tblAkis[KaynakEkipId],$A58,tblAkis[Tutar]))</f>
        <v/>
      </c>
      <c r="I58" s="30">
        <f>IF($A58="","",COUNTIFS(tblAkis[KaynakEkipId],$A58,tblAkis[Durum],"D8_KAPALI"))</f>
        <v/>
      </c>
    </row>
    <row r="59">
      <c r="A59" s="27" t="n"/>
      <c r="B59" s="27" t="n"/>
      <c r="C59" s="27" t="n"/>
      <c r="D59" s="27" t="n"/>
      <c r="E59" s="31" t="n"/>
      <c r="F59" s="29" t="n"/>
      <c r="G59" s="27" t="n"/>
      <c r="H59" s="30">
        <f>IF($A59="","",SUMIF(tblAkis[KaynakEkipId],$A59,tblAkis[Tutar]))</f>
        <v/>
      </c>
      <c r="I59" s="30">
        <f>IF($A59="","",COUNTIFS(tblAkis[KaynakEkipId],$A59,tblAkis[Durum],"D8_KAPALI"))</f>
        <v/>
      </c>
    </row>
    <row r="60">
      <c r="A60" s="27" t="n"/>
      <c r="B60" s="27" t="n"/>
      <c r="C60" s="27" t="n"/>
      <c r="D60" s="27" t="n"/>
      <c r="E60" s="31" t="n"/>
      <c r="F60" s="29" t="n"/>
      <c r="G60" s="27" t="n"/>
      <c r="H60" s="30">
        <f>IF($A60="","",SUMIF(tblAkis[KaynakEkipId],$A60,tblAkis[Tutar]))</f>
        <v/>
      </c>
      <c r="I60" s="30">
        <f>IF($A60="","",COUNTIFS(tblAkis[KaynakEkipId],$A60,tblAkis[Durum],"D8_KAPALI"))</f>
        <v/>
      </c>
    </row>
    <row r="61">
      <c r="A61" s="27" t="n"/>
      <c r="B61" s="27" t="n"/>
      <c r="C61" s="27" t="n"/>
      <c r="D61" s="27" t="n"/>
      <c r="E61" s="31" t="n"/>
      <c r="F61" s="29" t="n"/>
      <c r="G61" s="27" t="n"/>
      <c r="H61" s="30">
        <f>IF($A61="","",SUMIF(tblAkis[KaynakEkipId],$A61,tblAkis[Tutar]))</f>
        <v/>
      </c>
      <c r="I61" s="30">
        <f>IF($A61="","",COUNTIFS(tblAkis[KaynakEkipId],$A61,tblAkis[Durum],"D8_KAPALI"))</f>
        <v/>
      </c>
    </row>
    <row r="62">
      <c r="A62" s="27" t="n"/>
      <c r="B62" s="27" t="n"/>
      <c r="C62" s="27" t="n"/>
      <c r="D62" s="27" t="n"/>
      <c r="E62" s="31" t="n"/>
      <c r="F62" s="29" t="n"/>
      <c r="G62" s="27" t="n"/>
      <c r="H62" s="30">
        <f>IF($A62="","",SUMIF(tblAkis[KaynakEkipId],$A62,tblAkis[Tutar]))</f>
        <v/>
      </c>
      <c r="I62" s="30">
        <f>IF($A62="","",COUNTIFS(tblAkis[KaynakEkipId],$A62,tblAkis[Durum],"D8_KAPALI"))</f>
        <v/>
      </c>
    </row>
    <row r="63">
      <c r="A63" s="27" t="n"/>
      <c r="B63" s="27" t="n"/>
      <c r="C63" s="27" t="n"/>
      <c r="D63" s="27" t="n"/>
      <c r="E63" s="31" t="n"/>
      <c r="F63" s="29" t="n"/>
      <c r="G63" s="27" t="n"/>
      <c r="H63" s="30">
        <f>IF($A63="","",SUMIF(tblAkis[KaynakEkipId],$A63,tblAkis[Tutar]))</f>
        <v/>
      </c>
      <c r="I63" s="30">
        <f>IF($A63="","",COUNTIFS(tblAkis[KaynakEkipId],$A63,tblAkis[Durum],"D8_KAPALI"))</f>
        <v/>
      </c>
    </row>
    <row r="64">
      <c r="A64" s="27" t="n"/>
      <c r="B64" s="27" t="n"/>
      <c r="C64" s="27" t="n"/>
      <c r="D64" s="27" t="n"/>
      <c r="E64" s="31" t="n"/>
      <c r="F64" s="29" t="n"/>
      <c r="G64" s="27" t="n"/>
      <c r="H64" s="30">
        <f>IF($A64="","",SUMIF(tblAkis[KaynakEkipId],$A64,tblAkis[Tutar]))</f>
        <v/>
      </c>
      <c r="I64" s="30">
        <f>IF($A64="","",COUNTIFS(tblAkis[KaynakEkipId],$A64,tblAkis[Durum],"D8_KAPALI"))</f>
        <v/>
      </c>
    </row>
    <row r="65">
      <c r="A65" s="27" t="n"/>
      <c r="B65" s="27" t="n"/>
      <c r="C65" s="27" t="n"/>
      <c r="D65" s="27" t="n"/>
      <c r="E65" s="31" t="n"/>
      <c r="F65" s="29" t="n"/>
      <c r="G65" s="27" t="n"/>
      <c r="H65" s="30">
        <f>IF($A65="","",SUMIF(tblAkis[KaynakEkipId],$A65,tblAkis[Tutar]))</f>
        <v/>
      </c>
      <c r="I65" s="30">
        <f>IF($A65="","",COUNTIFS(tblAkis[KaynakEkipId],$A65,tblAkis[Durum],"D8_KAPALI"))</f>
        <v/>
      </c>
    </row>
    <row r="66">
      <c r="A66" s="27" t="n"/>
      <c r="B66" s="27" t="n"/>
      <c r="C66" s="27" t="n"/>
      <c r="D66" s="27" t="n"/>
      <c r="E66" s="31" t="n"/>
      <c r="F66" s="29" t="n"/>
      <c r="G66" s="27" t="n"/>
      <c r="H66" s="30">
        <f>IF($A66="","",SUMIF(tblAkis[KaynakEkipId],$A66,tblAkis[Tutar]))</f>
        <v/>
      </c>
      <c r="I66" s="30">
        <f>IF($A66="","",COUNTIFS(tblAkis[KaynakEkipId],$A66,tblAkis[Durum],"D8_KAPALI"))</f>
        <v/>
      </c>
    </row>
    <row r="67">
      <c r="A67" s="27" t="n"/>
      <c r="B67" s="27" t="n"/>
      <c r="C67" s="27" t="n"/>
      <c r="D67" s="27" t="n"/>
      <c r="E67" s="31" t="n"/>
      <c r="F67" s="29" t="n"/>
      <c r="G67" s="27" t="n"/>
      <c r="H67" s="30">
        <f>IF($A67="","",SUMIF(tblAkis[KaynakEkipId],$A67,tblAkis[Tutar]))</f>
        <v/>
      </c>
      <c r="I67" s="30">
        <f>IF($A67="","",COUNTIFS(tblAkis[KaynakEkipId],$A67,tblAkis[Durum],"D8_KAPALI"))</f>
        <v/>
      </c>
    </row>
    <row r="68">
      <c r="A68" s="27" t="n"/>
      <c r="B68" s="27" t="n"/>
      <c r="C68" s="27" t="n"/>
      <c r="D68" s="27" t="n"/>
      <c r="E68" s="31" t="n"/>
      <c r="F68" s="29" t="n"/>
      <c r="G68" s="27" t="n"/>
      <c r="H68" s="30">
        <f>IF($A68="","",SUMIF(tblAkis[KaynakEkipId],$A68,tblAkis[Tutar]))</f>
        <v/>
      </c>
      <c r="I68" s="30">
        <f>IF($A68="","",COUNTIFS(tblAkis[KaynakEkipId],$A68,tblAkis[Durum],"D8_KAPALI"))</f>
        <v/>
      </c>
    </row>
    <row r="69">
      <c r="A69" s="27" t="n"/>
      <c r="B69" s="27" t="n"/>
      <c r="C69" s="27" t="n"/>
      <c r="D69" s="27" t="n"/>
      <c r="E69" s="31" t="n"/>
      <c r="F69" s="29" t="n"/>
      <c r="G69" s="27" t="n"/>
      <c r="H69" s="30">
        <f>IF($A69="","",SUMIF(tblAkis[KaynakEkipId],$A69,tblAkis[Tutar]))</f>
        <v/>
      </c>
      <c r="I69" s="30">
        <f>IF($A69="","",COUNTIFS(tblAkis[KaynakEkipId],$A69,tblAkis[Durum],"D8_KAPALI"))</f>
        <v/>
      </c>
    </row>
    <row r="70">
      <c r="A70" s="27" t="n"/>
      <c r="B70" s="27" t="n"/>
      <c r="C70" s="27" t="n"/>
      <c r="D70" s="27" t="n"/>
      <c r="E70" s="31" t="n"/>
      <c r="F70" s="29" t="n"/>
      <c r="G70" s="27" t="n"/>
      <c r="H70" s="30">
        <f>IF($A70="","",SUMIF(tblAkis[KaynakEkipId],$A70,tblAkis[Tutar]))</f>
        <v/>
      </c>
      <c r="I70" s="30">
        <f>IF($A70="","",COUNTIFS(tblAkis[KaynakEkipId],$A70,tblAkis[Durum],"D8_KAPALI"))</f>
        <v/>
      </c>
    </row>
    <row r="71">
      <c r="A71" s="27" t="n"/>
      <c r="B71" s="27" t="n"/>
      <c r="C71" s="27" t="n"/>
      <c r="D71" s="27" t="n"/>
      <c r="E71" s="31" t="n"/>
      <c r="F71" s="29" t="n"/>
      <c r="G71" s="27" t="n"/>
      <c r="H71" s="30">
        <f>IF($A71="","",SUMIF(tblAkis[KaynakEkipId],$A71,tblAkis[Tutar]))</f>
        <v/>
      </c>
      <c r="I71" s="30">
        <f>IF($A71="","",COUNTIFS(tblAkis[KaynakEkipId],$A71,tblAkis[Durum],"D8_KAPALI"))</f>
        <v/>
      </c>
    </row>
    <row r="72">
      <c r="A72" s="27" t="n"/>
      <c r="B72" s="27" t="n"/>
      <c r="C72" s="27" t="n"/>
      <c r="D72" s="27" t="n"/>
      <c r="E72" s="31" t="n"/>
      <c r="F72" s="29" t="n"/>
      <c r="G72" s="27" t="n"/>
      <c r="H72" s="30">
        <f>IF($A72="","",SUMIF(tblAkis[KaynakEkipId],$A72,tblAkis[Tutar]))</f>
        <v/>
      </c>
      <c r="I72" s="30">
        <f>IF($A72="","",COUNTIFS(tblAkis[KaynakEkipId],$A72,tblAkis[Durum],"D8_KAPALI"))</f>
        <v/>
      </c>
    </row>
    <row r="73">
      <c r="A73" s="27" t="n"/>
      <c r="B73" s="27" t="n"/>
      <c r="C73" s="27" t="n"/>
      <c r="D73" s="27" t="n"/>
      <c r="E73" s="31" t="n"/>
      <c r="F73" s="29" t="n"/>
      <c r="G73" s="27" t="n"/>
      <c r="H73" s="30">
        <f>IF($A73="","",SUMIF(tblAkis[KaynakEkipId],$A73,tblAkis[Tutar]))</f>
        <v/>
      </c>
      <c r="I73" s="30">
        <f>IF($A73="","",COUNTIFS(tblAkis[KaynakEkipId],$A73,tblAkis[Durum],"D8_KAPALI"))</f>
        <v/>
      </c>
    </row>
    <row r="74">
      <c r="A74" s="27" t="n"/>
      <c r="B74" s="27" t="n"/>
      <c r="C74" s="27" t="n"/>
      <c r="D74" s="27" t="n"/>
      <c r="E74" s="31" t="n"/>
      <c r="F74" s="29" t="n"/>
      <c r="G74" s="27" t="n"/>
      <c r="H74" s="30">
        <f>IF($A74="","",SUMIF(tblAkis[KaynakEkipId],$A74,tblAkis[Tutar]))</f>
        <v/>
      </c>
      <c r="I74" s="30">
        <f>IF($A74="","",COUNTIFS(tblAkis[KaynakEkipId],$A74,tblAkis[Durum],"D8_KAPALI"))</f>
        <v/>
      </c>
    </row>
    <row r="75">
      <c r="A75" s="27" t="n"/>
      <c r="B75" s="27" t="n"/>
      <c r="C75" s="27" t="n"/>
      <c r="D75" s="27" t="n"/>
      <c r="E75" s="31" t="n"/>
      <c r="F75" s="29" t="n"/>
      <c r="G75" s="27" t="n"/>
      <c r="H75" s="30">
        <f>IF($A75="","",SUMIF(tblAkis[KaynakEkipId],$A75,tblAkis[Tutar]))</f>
        <v/>
      </c>
      <c r="I75" s="30">
        <f>IF($A75="","",COUNTIFS(tblAkis[KaynakEkipId],$A75,tblAkis[Durum],"D8_KAPALI"))</f>
        <v/>
      </c>
    </row>
    <row r="76">
      <c r="A76" s="27" t="n"/>
      <c r="B76" s="27" t="n"/>
      <c r="C76" s="27" t="n"/>
      <c r="D76" s="27" t="n"/>
      <c r="E76" s="31" t="n"/>
      <c r="F76" s="29" t="n"/>
      <c r="G76" s="27" t="n"/>
      <c r="H76" s="30">
        <f>IF($A76="","",SUMIF(tblAkis[KaynakEkipId],$A76,tblAkis[Tutar]))</f>
        <v/>
      </c>
      <c r="I76" s="30">
        <f>IF($A76="","",COUNTIFS(tblAkis[KaynakEkipId],$A76,tblAkis[Durum],"D8_KAPALI"))</f>
        <v/>
      </c>
    </row>
    <row r="77">
      <c r="A77" s="27" t="n"/>
      <c r="B77" s="27" t="n"/>
      <c r="C77" s="27" t="n"/>
      <c r="D77" s="27" t="n"/>
      <c r="E77" s="31" t="n"/>
      <c r="F77" s="29" t="n"/>
      <c r="G77" s="27" t="n"/>
      <c r="H77" s="30">
        <f>IF($A77="","",SUMIF(tblAkis[KaynakEkipId],$A77,tblAkis[Tutar]))</f>
        <v/>
      </c>
      <c r="I77" s="30">
        <f>IF($A77="","",COUNTIFS(tblAkis[KaynakEkipId],$A77,tblAkis[Durum],"D8_KAPALI"))</f>
        <v/>
      </c>
    </row>
    <row r="78">
      <c r="A78" s="27" t="n"/>
      <c r="B78" s="27" t="n"/>
      <c r="C78" s="27" t="n"/>
      <c r="D78" s="27" t="n"/>
      <c r="E78" s="31" t="n"/>
      <c r="F78" s="29" t="n"/>
      <c r="G78" s="27" t="n"/>
      <c r="H78" s="30">
        <f>IF($A78="","",SUMIF(tblAkis[KaynakEkipId],$A78,tblAkis[Tutar]))</f>
        <v/>
      </c>
      <c r="I78" s="30">
        <f>IF($A78="","",COUNTIFS(tblAkis[KaynakEkipId],$A78,tblAkis[Durum],"D8_KAPALI"))</f>
        <v/>
      </c>
    </row>
    <row r="79">
      <c r="A79" s="27" t="n"/>
      <c r="B79" s="27" t="n"/>
      <c r="C79" s="27" t="n"/>
      <c r="D79" s="27" t="n"/>
      <c r="E79" s="31" t="n"/>
      <c r="F79" s="29" t="n"/>
      <c r="G79" s="27" t="n"/>
      <c r="H79" s="30">
        <f>IF($A79="","",SUMIF(tblAkis[KaynakEkipId],$A79,tblAkis[Tutar]))</f>
        <v/>
      </c>
      <c r="I79" s="30">
        <f>IF($A79="","",COUNTIFS(tblAkis[KaynakEkipId],$A79,tblAkis[Durum],"D8_KAPALI"))</f>
        <v/>
      </c>
    </row>
    <row r="80">
      <c r="A80" s="27" t="n"/>
      <c r="B80" s="27" t="n"/>
      <c r="C80" s="27" t="n"/>
      <c r="D80" s="27" t="n"/>
      <c r="E80" s="31" t="n"/>
      <c r="F80" s="29" t="n"/>
      <c r="G80" s="27" t="n"/>
      <c r="H80" s="30">
        <f>IF($A80="","",SUMIF(tblAkis[KaynakEkipId],$A80,tblAkis[Tutar]))</f>
        <v/>
      </c>
      <c r="I80" s="30">
        <f>IF($A80="","",COUNTIFS(tblAkis[KaynakEkipId],$A80,tblAkis[Durum],"D8_KAPALI"))</f>
        <v/>
      </c>
    </row>
    <row r="81">
      <c r="A81" s="27" t="n"/>
      <c r="B81" s="27" t="n"/>
      <c r="C81" s="27" t="n"/>
      <c r="D81" s="27" t="n"/>
      <c r="E81" s="31" t="n"/>
      <c r="F81" s="29" t="n"/>
      <c r="G81" s="27" t="n"/>
      <c r="H81" s="30">
        <f>IF($A81="","",SUMIF(tblAkis[KaynakEkipId],$A81,tblAkis[Tutar]))</f>
        <v/>
      </c>
      <c r="I81" s="30">
        <f>IF($A81="","",COUNTIFS(tblAkis[KaynakEkipId],$A81,tblAkis[Durum],"D8_KAPALI"))</f>
        <v/>
      </c>
    </row>
    <row r="82">
      <c r="A82" s="27" t="n"/>
      <c r="B82" s="27" t="n"/>
      <c r="C82" s="27" t="n"/>
      <c r="D82" s="27" t="n"/>
      <c r="E82" s="31" t="n"/>
      <c r="F82" s="29" t="n"/>
      <c r="G82" s="27" t="n"/>
      <c r="H82" s="30">
        <f>IF($A82="","",SUMIF(tblAkis[KaynakEkipId],$A82,tblAkis[Tutar]))</f>
        <v/>
      </c>
      <c r="I82" s="30">
        <f>IF($A82="","",COUNTIFS(tblAkis[KaynakEkipId],$A82,tblAkis[Durum],"D8_KAPALI"))</f>
        <v/>
      </c>
    </row>
    <row r="83">
      <c r="A83" s="27" t="n"/>
      <c r="B83" s="27" t="n"/>
      <c r="C83" s="27" t="n"/>
      <c r="D83" s="27" t="n"/>
      <c r="E83" s="31" t="n"/>
      <c r="F83" s="29" t="n"/>
      <c r="G83" s="27" t="n"/>
      <c r="H83" s="30">
        <f>IF($A83="","",SUMIF(tblAkis[KaynakEkipId],$A83,tblAkis[Tutar]))</f>
        <v/>
      </c>
      <c r="I83" s="30">
        <f>IF($A83="","",COUNTIFS(tblAkis[KaynakEkipId],$A83,tblAkis[Durum],"D8_KAPALI"))</f>
        <v/>
      </c>
    </row>
    <row r="84">
      <c r="A84" s="27" t="n"/>
      <c r="B84" s="27" t="n"/>
      <c r="C84" s="27" t="n"/>
      <c r="D84" s="27" t="n"/>
      <c r="E84" s="31" t="n"/>
      <c r="F84" s="29" t="n"/>
      <c r="G84" s="27" t="n"/>
      <c r="H84" s="30">
        <f>IF($A84="","",SUMIF(tblAkis[KaynakEkipId],$A84,tblAkis[Tutar]))</f>
        <v/>
      </c>
      <c r="I84" s="30">
        <f>IF($A84="","",COUNTIFS(tblAkis[KaynakEkipId],$A84,tblAkis[Durum],"D8_KAPALI"))</f>
        <v/>
      </c>
    </row>
    <row r="85">
      <c r="A85" s="27" t="n"/>
      <c r="B85" s="27" t="n"/>
      <c r="C85" s="27" t="n"/>
      <c r="D85" s="27" t="n"/>
      <c r="E85" s="31" t="n"/>
      <c r="F85" s="29" t="n"/>
      <c r="G85" s="27" t="n"/>
      <c r="H85" s="30">
        <f>IF($A85="","",SUMIF(tblAkis[KaynakEkipId],$A85,tblAkis[Tutar]))</f>
        <v/>
      </c>
      <c r="I85" s="30">
        <f>IF($A85="","",COUNTIFS(tblAkis[KaynakEkipId],$A85,tblAkis[Durum],"D8_KAPALI"))</f>
        <v/>
      </c>
    </row>
    <row r="86">
      <c r="A86" s="27" t="n"/>
      <c r="B86" s="27" t="n"/>
      <c r="C86" s="27" t="n"/>
      <c r="D86" s="27" t="n"/>
      <c r="E86" s="31" t="n"/>
      <c r="F86" s="29" t="n"/>
      <c r="G86" s="27" t="n"/>
      <c r="H86" s="30">
        <f>IF($A86="","",SUMIF(tblAkis[KaynakEkipId],$A86,tblAkis[Tutar]))</f>
        <v/>
      </c>
      <c r="I86" s="30">
        <f>IF($A86="","",COUNTIFS(tblAkis[KaynakEkipId],$A86,tblAkis[Durum],"D8_KAPALI"))</f>
        <v/>
      </c>
    </row>
    <row r="87">
      <c r="A87" s="27" t="n"/>
      <c r="B87" s="27" t="n"/>
      <c r="C87" s="27" t="n"/>
      <c r="D87" s="27" t="n"/>
      <c r="E87" s="31" t="n"/>
      <c r="F87" s="29" t="n"/>
      <c r="G87" s="27" t="n"/>
      <c r="H87" s="30">
        <f>IF($A87="","",SUMIF(tblAkis[KaynakEkipId],$A87,tblAkis[Tutar]))</f>
        <v/>
      </c>
      <c r="I87" s="30">
        <f>IF($A87="","",COUNTIFS(tblAkis[KaynakEkipId],$A87,tblAkis[Durum],"D8_KAPALI"))</f>
        <v/>
      </c>
    </row>
    <row r="88">
      <c r="A88" s="27" t="n"/>
      <c r="B88" s="27" t="n"/>
      <c r="C88" s="27" t="n"/>
      <c r="D88" s="27" t="n"/>
      <c r="E88" s="31" t="n"/>
      <c r="F88" s="29" t="n"/>
      <c r="G88" s="27" t="n"/>
      <c r="H88" s="30">
        <f>IF($A88="","",SUMIF(tblAkis[KaynakEkipId],$A88,tblAkis[Tutar]))</f>
        <v/>
      </c>
      <c r="I88" s="30">
        <f>IF($A88="","",COUNTIFS(tblAkis[KaynakEkipId],$A88,tblAkis[Durum],"D8_KAPALI"))</f>
        <v/>
      </c>
    </row>
    <row r="89">
      <c r="A89" s="27" t="n"/>
      <c r="B89" s="27" t="n"/>
      <c r="C89" s="27" t="n"/>
      <c r="D89" s="27" t="n"/>
      <c r="E89" s="31" t="n"/>
      <c r="F89" s="29" t="n"/>
      <c r="G89" s="27" t="n"/>
      <c r="H89" s="30">
        <f>IF($A89="","",SUMIF(tblAkis[KaynakEkipId],$A89,tblAkis[Tutar]))</f>
        <v/>
      </c>
      <c r="I89" s="30">
        <f>IF($A89="","",COUNTIFS(tblAkis[KaynakEkipId],$A89,tblAkis[Durum],"D8_KAPALI"))</f>
        <v/>
      </c>
    </row>
    <row r="90">
      <c r="A90" s="27" t="n"/>
      <c r="B90" s="27" t="n"/>
      <c r="C90" s="27" t="n"/>
      <c r="D90" s="27" t="n"/>
      <c r="E90" s="31" t="n"/>
      <c r="F90" s="29" t="n"/>
      <c r="G90" s="27" t="n"/>
      <c r="H90" s="30">
        <f>IF($A90="","",SUMIF(tblAkis[KaynakEkipId],$A90,tblAkis[Tutar]))</f>
        <v/>
      </c>
      <c r="I90" s="30">
        <f>IF($A90="","",COUNTIFS(tblAkis[KaynakEkipId],$A90,tblAkis[Durum],"D8_KAPALI"))</f>
        <v/>
      </c>
    </row>
    <row r="91">
      <c r="A91" s="27" t="n"/>
      <c r="B91" s="27" t="n"/>
      <c r="C91" s="27" t="n"/>
      <c r="D91" s="27" t="n"/>
      <c r="E91" s="31" t="n"/>
      <c r="F91" s="29" t="n"/>
      <c r="G91" s="27" t="n"/>
      <c r="H91" s="30">
        <f>IF($A91="","",SUMIF(tblAkis[KaynakEkipId],$A91,tblAkis[Tutar]))</f>
        <v/>
      </c>
      <c r="I91" s="30">
        <f>IF($A91="","",COUNTIFS(tblAkis[KaynakEkipId],$A91,tblAkis[Durum],"D8_KAPALI"))</f>
        <v/>
      </c>
    </row>
    <row r="92">
      <c r="A92" s="27" t="n"/>
      <c r="B92" s="27" t="n"/>
      <c r="C92" s="27" t="n"/>
      <c r="D92" s="27" t="n"/>
      <c r="E92" s="31" t="n"/>
      <c r="F92" s="29" t="n"/>
      <c r="G92" s="27" t="n"/>
      <c r="H92" s="30">
        <f>IF($A92="","",SUMIF(tblAkis[KaynakEkipId],$A92,tblAkis[Tutar]))</f>
        <v/>
      </c>
      <c r="I92" s="30">
        <f>IF($A92="","",COUNTIFS(tblAkis[KaynakEkipId],$A92,tblAkis[Durum],"D8_KAPALI"))</f>
        <v/>
      </c>
    </row>
    <row r="93">
      <c r="A93" s="27" t="n"/>
      <c r="B93" s="27" t="n"/>
      <c r="C93" s="27" t="n"/>
      <c r="D93" s="27" t="n"/>
      <c r="E93" s="31" t="n"/>
      <c r="F93" s="29" t="n"/>
      <c r="G93" s="27" t="n"/>
      <c r="H93" s="30">
        <f>IF($A93="","",SUMIF(tblAkis[KaynakEkipId],$A93,tblAkis[Tutar]))</f>
        <v/>
      </c>
      <c r="I93" s="30">
        <f>IF($A93="","",COUNTIFS(tblAkis[KaynakEkipId],$A93,tblAkis[Durum],"D8_KAPALI"))</f>
        <v/>
      </c>
    </row>
    <row r="94">
      <c r="A94" s="27" t="n"/>
      <c r="B94" s="27" t="n"/>
      <c r="C94" s="27" t="n"/>
      <c r="D94" s="27" t="n"/>
      <c r="E94" s="31" t="n"/>
      <c r="F94" s="29" t="n"/>
      <c r="G94" s="27" t="n"/>
      <c r="H94" s="30">
        <f>IF($A94="","",SUMIF(tblAkis[KaynakEkipId],$A94,tblAkis[Tutar]))</f>
        <v/>
      </c>
      <c r="I94" s="30">
        <f>IF($A94="","",COUNTIFS(tblAkis[KaynakEkipId],$A94,tblAkis[Durum],"D8_KAPALI"))</f>
        <v/>
      </c>
    </row>
    <row r="95">
      <c r="A95" s="27" t="n"/>
      <c r="B95" s="27" t="n"/>
      <c r="C95" s="27" t="n"/>
      <c r="D95" s="27" t="n"/>
      <c r="E95" s="31" t="n"/>
      <c r="F95" s="29" t="n"/>
      <c r="G95" s="27" t="n"/>
      <c r="H95" s="30">
        <f>IF($A95="","",SUMIF(tblAkis[KaynakEkipId],$A95,tblAkis[Tutar]))</f>
        <v/>
      </c>
      <c r="I95" s="30">
        <f>IF($A95="","",COUNTIFS(tblAkis[KaynakEkipId],$A95,tblAkis[Durum],"D8_KAPALI"))</f>
        <v/>
      </c>
    </row>
    <row r="96">
      <c r="A96" s="27" t="n"/>
      <c r="B96" s="27" t="n"/>
      <c r="C96" s="27" t="n"/>
      <c r="D96" s="27" t="n"/>
      <c r="E96" s="31" t="n"/>
      <c r="F96" s="29" t="n"/>
      <c r="G96" s="27" t="n"/>
      <c r="H96" s="30">
        <f>IF($A96="","",SUMIF(tblAkis[KaynakEkipId],$A96,tblAkis[Tutar]))</f>
        <v/>
      </c>
      <c r="I96" s="30">
        <f>IF($A96="","",COUNTIFS(tblAkis[KaynakEkipId],$A96,tblAkis[Durum],"D8_KAPALI"))</f>
        <v/>
      </c>
    </row>
    <row r="97">
      <c r="A97" s="27" t="n"/>
      <c r="B97" s="27" t="n"/>
      <c r="C97" s="27" t="n"/>
      <c r="D97" s="27" t="n"/>
      <c r="E97" s="31" t="n"/>
      <c r="F97" s="29" t="n"/>
      <c r="G97" s="27" t="n"/>
      <c r="H97" s="30">
        <f>IF($A97="","",SUMIF(tblAkis[KaynakEkipId],$A97,tblAkis[Tutar]))</f>
        <v/>
      </c>
      <c r="I97" s="30">
        <f>IF($A97="","",COUNTIFS(tblAkis[KaynakEkipId],$A97,tblAkis[Durum],"D8_KAPALI"))</f>
        <v/>
      </c>
    </row>
    <row r="98">
      <c r="A98" s="27" t="n"/>
      <c r="B98" s="27" t="n"/>
      <c r="C98" s="27" t="n"/>
      <c r="D98" s="27" t="n"/>
      <c r="E98" s="31" t="n"/>
      <c r="F98" s="29" t="n"/>
      <c r="G98" s="27" t="n"/>
      <c r="H98" s="30">
        <f>IF($A98="","",SUMIF(tblAkis[KaynakEkipId],$A98,tblAkis[Tutar]))</f>
        <v/>
      </c>
      <c r="I98" s="30">
        <f>IF($A98="","",COUNTIFS(tblAkis[KaynakEkipId],$A98,tblAkis[Durum],"D8_KAPALI"))</f>
        <v/>
      </c>
    </row>
    <row r="99">
      <c r="A99" s="27" t="n"/>
      <c r="B99" s="27" t="n"/>
      <c r="C99" s="27" t="n"/>
      <c r="D99" s="27" t="n"/>
      <c r="E99" s="31" t="n"/>
      <c r="F99" s="29" t="n"/>
      <c r="G99" s="27" t="n"/>
      <c r="H99" s="30">
        <f>IF($A99="","",SUMIF(tblAkis[KaynakEkipId],$A99,tblAkis[Tutar]))</f>
        <v/>
      </c>
      <c r="I99" s="30">
        <f>IF($A99="","",COUNTIFS(tblAkis[KaynakEkipId],$A99,tblAkis[Durum],"D8_KAPALI"))</f>
        <v/>
      </c>
    </row>
    <row r="100">
      <c r="A100" s="27" t="n"/>
      <c r="B100" s="27" t="n"/>
      <c r="C100" s="27" t="n"/>
      <c r="D100" s="27" t="n"/>
      <c r="E100" s="31" t="n"/>
      <c r="F100" s="29" t="n"/>
      <c r="G100" s="27" t="n"/>
      <c r="H100" s="30">
        <f>IF($A100="","",SUMIF(tblAkis[KaynakEkipId],$A100,tblAkis[Tutar]))</f>
        <v/>
      </c>
      <c r="I100" s="30">
        <f>IF($A100="","",COUNTIFS(tblAkis[KaynakEkipId],$A100,tblAkis[Durum],"D8_KAPALI"))</f>
        <v/>
      </c>
    </row>
    <row r="101">
      <c r="A101" s="27" t="n"/>
      <c r="B101" s="27" t="n"/>
      <c r="C101" s="27" t="n"/>
      <c r="D101" s="27" t="n"/>
      <c r="E101" s="31" t="n"/>
      <c r="F101" s="29" t="n"/>
      <c r="G101" s="27" t="n"/>
      <c r="H101" s="30">
        <f>IF($A101="","",SUMIF(tblAkis[KaynakEkipId],$A101,tblAkis[Tutar]))</f>
        <v/>
      </c>
      <c r="I101" s="30">
        <f>IF($A101="","",COUNTIFS(tblAkis[KaynakEkipId],$A101,tblAkis[Durum],"D8_KAPALI"))</f>
        <v/>
      </c>
    </row>
    <row r="102">
      <c r="A102" s="27" t="n"/>
      <c r="B102" s="27" t="n"/>
      <c r="C102" s="27" t="n"/>
      <c r="D102" s="27" t="n"/>
      <c r="E102" s="31" t="n"/>
      <c r="F102" s="29" t="n"/>
      <c r="G102" s="27" t="n"/>
      <c r="H102" s="30">
        <f>IF($A102="","",SUMIF(tblAkis[KaynakEkipId],$A102,tblAkis[Tutar]))</f>
        <v/>
      </c>
      <c r="I102" s="30">
        <f>IF($A102="","",COUNTIFS(tblAkis[KaynakEkipId],$A102,tblAkis[Durum],"D8_KAPALI"))</f>
        <v/>
      </c>
    </row>
    <row r="103">
      <c r="A103" s="27" t="n"/>
      <c r="B103" s="27" t="n"/>
      <c r="C103" s="27" t="n"/>
      <c r="D103" s="27" t="n"/>
      <c r="E103" s="31" t="n"/>
      <c r="F103" s="29" t="n"/>
      <c r="G103" s="27" t="n"/>
      <c r="H103" s="30">
        <f>IF($A103="","",SUMIF(tblAkis[KaynakEkipId],$A103,tblAkis[Tutar]))</f>
        <v/>
      </c>
      <c r="I103" s="30">
        <f>IF($A103="","",COUNTIFS(tblAkis[KaynakEkipId],$A103,tblAkis[Durum],"D8_KAPALI"))</f>
        <v/>
      </c>
    </row>
    <row r="104">
      <c r="A104" s="27" t="n"/>
      <c r="B104" s="27" t="n"/>
      <c r="C104" s="27" t="n"/>
      <c r="D104" s="27" t="n"/>
      <c r="E104" s="31" t="n"/>
      <c r="F104" s="29" t="n"/>
      <c r="G104" s="27" t="n"/>
      <c r="H104" s="30">
        <f>IF($A104="","",SUMIF(tblAkis[KaynakEkipId],$A104,tblAkis[Tutar]))</f>
        <v/>
      </c>
      <c r="I104" s="30">
        <f>IF($A104="","",COUNTIFS(tblAkis[KaynakEkipId],$A104,tblAkis[Durum],"D8_KAPALI"))</f>
        <v/>
      </c>
    </row>
    <row r="105">
      <c r="A105" s="27" t="n"/>
      <c r="B105" s="27" t="n"/>
      <c r="C105" s="27" t="n"/>
      <c r="D105" s="27" t="n"/>
      <c r="E105" s="31" t="n"/>
      <c r="F105" s="29" t="n"/>
      <c r="G105" s="27" t="n"/>
      <c r="H105" s="30">
        <f>IF($A105="","",SUMIF(tblAkis[KaynakEkipId],$A105,tblAkis[Tutar]))</f>
        <v/>
      </c>
      <c r="I105" s="30">
        <f>IF($A105="","",COUNTIFS(tblAkis[KaynakEkipId],$A105,tblAkis[Durum],"D8_KAPALI"))</f>
        <v/>
      </c>
    </row>
    <row r="106">
      <c r="A106" s="27" t="n"/>
      <c r="B106" s="27" t="n"/>
      <c r="C106" s="27" t="n"/>
      <c r="D106" s="27" t="n"/>
      <c r="E106" s="31" t="n"/>
      <c r="F106" s="29" t="n"/>
      <c r="G106" s="27" t="n"/>
      <c r="H106" s="30">
        <f>IF($A106="","",SUMIF(tblAkis[KaynakEkipId],$A106,tblAkis[Tutar]))</f>
        <v/>
      </c>
      <c r="I106" s="30">
        <f>IF($A106="","",COUNTIFS(tblAkis[KaynakEkipId],$A106,tblAkis[Durum],"D8_KAPALI"))</f>
        <v/>
      </c>
    </row>
    <row r="107">
      <c r="A107" s="27" t="n"/>
      <c r="B107" s="27" t="n"/>
      <c r="C107" s="27" t="n"/>
      <c r="D107" s="27" t="n"/>
      <c r="E107" s="31" t="n"/>
      <c r="F107" s="29" t="n"/>
      <c r="G107" s="27" t="n"/>
      <c r="H107" s="30">
        <f>IF($A107="","",SUMIF(tblAkis[KaynakEkipId],$A107,tblAkis[Tutar]))</f>
        <v/>
      </c>
      <c r="I107" s="30">
        <f>IF($A107="","",COUNTIFS(tblAkis[KaynakEkipId],$A107,tblAkis[Durum],"D8_KAPALI"))</f>
        <v/>
      </c>
    </row>
    <row r="108">
      <c r="A108" s="27" t="n"/>
      <c r="B108" s="27" t="n"/>
      <c r="C108" s="27" t="n"/>
      <c r="D108" s="27" t="n"/>
      <c r="E108" s="31" t="n"/>
      <c r="F108" s="29" t="n"/>
      <c r="G108" s="27" t="n"/>
      <c r="H108" s="30">
        <f>IF($A108="","",SUMIF(tblAkis[KaynakEkipId],$A108,tblAkis[Tutar]))</f>
        <v/>
      </c>
      <c r="I108" s="30">
        <f>IF($A108="","",COUNTIFS(tblAkis[KaynakEkipId],$A108,tblAkis[Durum],"D8_KAPALI"))</f>
        <v/>
      </c>
    </row>
    <row r="109">
      <c r="A109" s="27" t="n"/>
      <c r="B109" s="27" t="n"/>
      <c r="C109" s="27" t="n"/>
      <c r="D109" s="27" t="n"/>
      <c r="E109" s="31" t="n"/>
      <c r="F109" s="29" t="n"/>
      <c r="G109" s="27" t="n"/>
      <c r="H109" s="30">
        <f>IF($A109="","",SUMIF(tblAkis[KaynakEkipId],$A109,tblAkis[Tutar]))</f>
        <v/>
      </c>
      <c r="I109" s="30">
        <f>IF($A109="","",COUNTIFS(tblAkis[KaynakEkipId],$A109,tblAkis[Durum],"D8_KAPALI"))</f>
        <v/>
      </c>
    </row>
    <row r="110">
      <c r="A110" s="27" t="n"/>
      <c r="B110" s="27" t="n"/>
      <c r="C110" s="27" t="n"/>
      <c r="D110" s="27" t="n"/>
      <c r="E110" s="31" t="n"/>
      <c r="F110" s="29" t="n"/>
      <c r="G110" s="27" t="n"/>
      <c r="H110" s="30">
        <f>IF($A110="","",SUMIF(tblAkis[KaynakEkipId],$A110,tblAkis[Tutar]))</f>
        <v/>
      </c>
      <c r="I110" s="30">
        <f>IF($A110="","",COUNTIFS(tblAkis[KaynakEkipId],$A110,tblAkis[Durum],"D8_KAPALI"))</f>
        <v/>
      </c>
    </row>
    <row r="111">
      <c r="A111" s="27" t="n"/>
      <c r="B111" s="27" t="n"/>
      <c r="C111" s="27" t="n"/>
      <c r="D111" s="27" t="n"/>
      <c r="E111" s="31" t="n"/>
      <c r="F111" s="29" t="n"/>
      <c r="G111" s="27" t="n"/>
      <c r="H111" s="30">
        <f>IF($A111="","",SUMIF(tblAkis[KaynakEkipId],$A111,tblAkis[Tutar]))</f>
        <v/>
      </c>
      <c r="I111" s="30">
        <f>IF($A111="","",COUNTIFS(tblAkis[KaynakEkipId],$A111,tblAkis[Durum],"D8_KAPALI"))</f>
        <v/>
      </c>
    </row>
    <row r="112">
      <c r="A112" s="27" t="n"/>
      <c r="B112" s="27" t="n"/>
      <c r="C112" s="27" t="n"/>
      <c r="D112" s="27" t="n"/>
      <c r="E112" s="31" t="n"/>
      <c r="F112" s="29" t="n"/>
      <c r="G112" s="27" t="n"/>
      <c r="H112" s="30">
        <f>IF($A112="","",SUMIF(tblAkis[KaynakEkipId],$A112,tblAkis[Tutar]))</f>
        <v/>
      </c>
      <c r="I112" s="30">
        <f>IF($A112="","",COUNTIFS(tblAkis[KaynakEkipId],$A112,tblAkis[Durum],"D8_KAPALI"))</f>
        <v/>
      </c>
    </row>
    <row r="113">
      <c r="A113" s="27" t="n"/>
      <c r="B113" s="27" t="n"/>
      <c r="C113" s="27" t="n"/>
      <c r="D113" s="27" t="n"/>
      <c r="E113" s="31" t="n"/>
      <c r="F113" s="29" t="n"/>
      <c r="G113" s="27" t="n"/>
      <c r="H113" s="30">
        <f>IF($A113="","",SUMIF(tblAkis[KaynakEkipId],$A113,tblAkis[Tutar]))</f>
        <v/>
      </c>
      <c r="I113" s="30">
        <f>IF($A113="","",COUNTIFS(tblAkis[KaynakEkipId],$A113,tblAkis[Durum],"D8_KAPALI"))</f>
        <v/>
      </c>
    </row>
    <row r="114">
      <c r="A114" s="27" t="n"/>
      <c r="B114" s="27" t="n"/>
      <c r="C114" s="27" t="n"/>
      <c r="D114" s="27" t="n"/>
      <c r="E114" s="31" t="n"/>
      <c r="F114" s="29" t="n"/>
      <c r="G114" s="27" t="n"/>
      <c r="H114" s="30">
        <f>IF($A114="","",SUMIF(tblAkis[KaynakEkipId],$A114,tblAkis[Tutar]))</f>
        <v/>
      </c>
      <c r="I114" s="30">
        <f>IF($A114="","",COUNTIFS(tblAkis[KaynakEkipId],$A114,tblAkis[Durum],"D8_KAPALI"))</f>
        <v/>
      </c>
    </row>
    <row r="115">
      <c r="A115" s="27" t="n"/>
      <c r="B115" s="27" t="n"/>
      <c r="C115" s="27" t="n"/>
      <c r="D115" s="27" t="n"/>
      <c r="E115" s="31" t="n"/>
      <c r="F115" s="29" t="n"/>
      <c r="G115" s="27" t="n"/>
      <c r="H115" s="30">
        <f>IF($A115="","",SUMIF(tblAkis[KaynakEkipId],$A115,tblAkis[Tutar]))</f>
        <v/>
      </c>
      <c r="I115" s="30">
        <f>IF($A115="","",COUNTIFS(tblAkis[KaynakEkipId],$A115,tblAkis[Durum],"D8_KAPALI"))</f>
        <v/>
      </c>
    </row>
    <row r="116">
      <c r="A116" s="27" t="n"/>
      <c r="B116" s="27" t="n"/>
      <c r="C116" s="27" t="n"/>
      <c r="D116" s="27" t="n"/>
      <c r="E116" s="31" t="n"/>
      <c r="F116" s="29" t="n"/>
      <c r="G116" s="27" t="n"/>
      <c r="H116" s="30">
        <f>IF($A116="","",SUMIF(tblAkis[KaynakEkipId],$A116,tblAkis[Tutar]))</f>
        <v/>
      </c>
      <c r="I116" s="30">
        <f>IF($A116="","",COUNTIFS(tblAkis[KaynakEkipId],$A116,tblAkis[Durum],"D8_KAPALI"))</f>
        <v/>
      </c>
    </row>
    <row r="117">
      <c r="A117" s="27" t="n"/>
      <c r="B117" s="27" t="n"/>
      <c r="C117" s="27" t="n"/>
      <c r="D117" s="27" t="n"/>
      <c r="E117" s="31" t="n"/>
      <c r="F117" s="29" t="n"/>
      <c r="G117" s="27" t="n"/>
      <c r="H117" s="30">
        <f>IF($A117="","",SUMIF(tblAkis[KaynakEkipId],$A117,tblAkis[Tutar]))</f>
        <v/>
      </c>
      <c r="I117" s="30">
        <f>IF($A117="","",COUNTIFS(tblAkis[KaynakEkipId],$A117,tblAkis[Durum],"D8_KAPALI"))</f>
        <v/>
      </c>
    </row>
    <row r="118">
      <c r="A118" s="27" t="n"/>
      <c r="B118" s="27" t="n"/>
      <c r="C118" s="27" t="n"/>
      <c r="D118" s="27" t="n"/>
      <c r="E118" s="31" t="n"/>
      <c r="F118" s="29" t="n"/>
      <c r="G118" s="27" t="n"/>
      <c r="H118" s="30">
        <f>IF($A118="","",SUMIF(tblAkis[KaynakEkipId],$A118,tblAkis[Tutar]))</f>
        <v/>
      </c>
      <c r="I118" s="30">
        <f>IF($A118="","",COUNTIFS(tblAkis[KaynakEkipId],$A118,tblAkis[Durum],"D8_KAPALI"))</f>
        <v/>
      </c>
    </row>
    <row r="119">
      <c r="A119" s="27" t="n"/>
      <c r="B119" s="27" t="n"/>
      <c r="C119" s="27" t="n"/>
      <c r="D119" s="27" t="n"/>
      <c r="E119" s="31" t="n"/>
      <c r="F119" s="29" t="n"/>
      <c r="G119" s="27" t="n"/>
      <c r="H119" s="30">
        <f>IF($A119="","",SUMIF(tblAkis[KaynakEkipId],$A119,tblAkis[Tutar]))</f>
        <v/>
      </c>
      <c r="I119" s="30">
        <f>IF($A119="","",COUNTIFS(tblAkis[KaynakEkipId],$A119,tblAkis[Durum],"D8_KAPALI"))</f>
        <v/>
      </c>
    </row>
    <row r="120">
      <c r="A120" s="27" t="n"/>
      <c r="B120" s="27" t="n"/>
      <c r="C120" s="27" t="n"/>
      <c r="D120" s="27" t="n"/>
      <c r="E120" s="31" t="n"/>
      <c r="F120" s="29" t="n"/>
      <c r="G120" s="27" t="n"/>
      <c r="H120" s="30">
        <f>IF($A120="","",SUMIF(tblAkis[KaynakEkipId],$A120,tblAkis[Tutar]))</f>
        <v/>
      </c>
      <c r="I120" s="30">
        <f>IF($A120="","",COUNTIFS(tblAkis[KaynakEkipId],$A120,tblAkis[Durum],"D8_KAPALI"))</f>
        <v/>
      </c>
    </row>
    <row r="121">
      <c r="A121" s="27" t="n"/>
      <c r="B121" s="27" t="n"/>
      <c r="C121" s="27" t="n"/>
      <c r="D121" s="27" t="n"/>
      <c r="E121" s="31" t="n"/>
      <c r="F121" s="29" t="n"/>
      <c r="G121" s="27" t="n"/>
      <c r="H121" s="30">
        <f>IF($A121="","",SUMIF(tblAkis[KaynakEkipId],$A121,tblAkis[Tutar]))</f>
        <v/>
      </c>
      <c r="I121" s="30">
        <f>IF($A121="","",COUNTIFS(tblAkis[KaynakEkipId],$A121,tblAkis[Durum],"D8_KAPALI"))</f>
        <v/>
      </c>
    </row>
    <row r="122">
      <c r="A122" s="27" t="n"/>
      <c r="B122" s="27" t="n"/>
      <c r="C122" s="27" t="n"/>
      <c r="D122" s="27" t="n"/>
      <c r="E122" s="31" t="n"/>
      <c r="F122" s="29" t="n"/>
      <c r="G122" s="27" t="n"/>
      <c r="H122" s="30">
        <f>IF($A122="","",SUMIF(tblAkis[KaynakEkipId],$A122,tblAkis[Tutar]))</f>
        <v/>
      </c>
      <c r="I122" s="30">
        <f>IF($A122="","",COUNTIFS(tblAkis[KaynakEkipId],$A122,tblAkis[Durum],"D8_KAPALI"))</f>
        <v/>
      </c>
    </row>
    <row r="123">
      <c r="A123" s="27" t="n"/>
      <c r="B123" s="27" t="n"/>
      <c r="C123" s="27" t="n"/>
      <c r="D123" s="27" t="n"/>
      <c r="E123" s="31" t="n"/>
      <c r="F123" s="29" t="n"/>
      <c r="G123" s="27" t="n"/>
      <c r="H123" s="30">
        <f>IF($A123="","",SUMIF(tblAkis[KaynakEkipId],$A123,tblAkis[Tutar]))</f>
        <v/>
      </c>
      <c r="I123" s="30">
        <f>IF($A123="","",COUNTIFS(tblAkis[KaynakEkipId],$A123,tblAkis[Durum],"D8_KAPALI"))</f>
        <v/>
      </c>
    </row>
    <row r="124">
      <c r="A124" s="27" t="n"/>
      <c r="B124" s="27" t="n"/>
      <c r="C124" s="27" t="n"/>
      <c r="D124" s="27" t="n"/>
      <c r="E124" s="31" t="n"/>
      <c r="F124" s="29" t="n"/>
      <c r="G124" s="27" t="n"/>
      <c r="H124" s="30">
        <f>IF($A124="","",SUMIF(tblAkis[KaynakEkipId],$A124,tblAkis[Tutar]))</f>
        <v/>
      </c>
      <c r="I124" s="30">
        <f>IF($A124="","",COUNTIFS(tblAkis[KaynakEkipId],$A124,tblAkis[Durum],"D8_KAPALI"))</f>
        <v/>
      </c>
    </row>
    <row r="125">
      <c r="A125" s="27" t="n"/>
      <c r="B125" s="27" t="n"/>
      <c r="C125" s="27" t="n"/>
      <c r="D125" s="27" t="n"/>
      <c r="E125" s="31" t="n"/>
      <c r="F125" s="29" t="n"/>
      <c r="G125" s="27" t="n"/>
      <c r="H125" s="30">
        <f>IF($A125="","",SUMIF(tblAkis[KaynakEkipId],$A125,tblAkis[Tutar]))</f>
        <v/>
      </c>
      <c r="I125" s="30">
        <f>IF($A125="","",COUNTIFS(tblAkis[KaynakEkipId],$A125,tblAkis[Durum],"D8_KAPALI"))</f>
        <v/>
      </c>
    </row>
    <row r="126">
      <c r="A126" s="27" t="n"/>
      <c r="B126" s="27" t="n"/>
      <c r="C126" s="27" t="n"/>
      <c r="D126" s="27" t="n"/>
      <c r="E126" s="31" t="n"/>
      <c r="F126" s="29" t="n"/>
      <c r="G126" s="27" t="n"/>
      <c r="H126" s="30">
        <f>IF($A126="","",SUMIF(tblAkis[KaynakEkipId],$A126,tblAkis[Tutar]))</f>
        <v/>
      </c>
      <c r="I126" s="30">
        <f>IF($A126="","",COUNTIFS(tblAkis[KaynakEkipId],$A126,tblAkis[Durum],"D8_KAPALI"))</f>
        <v/>
      </c>
    </row>
    <row r="127">
      <c r="A127" s="27" t="n"/>
      <c r="B127" s="27" t="n"/>
      <c r="C127" s="27" t="n"/>
      <c r="D127" s="27" t="n"/>
      <c r="E127" s="31" t="n"/>
      <c r="F127" s="29" t="n"/>
      <c r="G127" s="27" t="n"/>
      <c r="H127" s="30">
        <f>IF($A127="","",SUMIF(tblAkis[KaynakEkipId],$A127,tblAkis[Tutar]))</f>
        <v/>
      </c>
      <c r="I127" s="30">
        <f>IF($A127="","",COUNTIFS(tblAkis[KaynakEkipId],$A127,tblAkis[Durum],"D8_KAPALI"))</f>
        <v/>
      </c>
    </row>
    <row r="128">
      <c r="A128" s="27" t="n"/>
      <c r="B128" s="27" t="n"/>
      <c r="C128" s="27" t="n"/>
      <c r="D128" s="27" t="n"/>
      <c r="E128" s="31" t="n"/>
      <c r="F128" s="29" t="n"/>
      <c r="G128" s="27" t="n"/>
      <c r="H128" s="30">
        <f>IF($A128="","",SUMIF(tblAkis[KaynakEkipId],$A128,tblAkis[Tutar]))</f>
        <v/>
      </c>
      <c r="I128" s="30">
        <f>IF($A128="","",COUNTIFS(tblAkis[KaynakEkipId],$A128,tblAkis[Durum],"D8_KAPALI"))</f>
        <v/>
      </c>
    </row>
    <row r="129">
      <c r="A129" s="27" t="n"/>
      <c r="B129" s="27" t="n"/>
      <c r="C129" s="27" t="n"/>
      <c r="D129" s="27" t="n"/>
      <c r="E129" s="31" t="n"/>
      <c r="F129" s="29" t="n"/>
      <c r="G129" s="27" t="n"/>
      <c r="H129" s="30">
        <f>IF($A129="","",SUMIF(tblAkis[KaynakEkipId],$A129,tblAkis[Tutar]))</f>
        <v/>
      </c>
      <c r="I129" s="30">
        <f>IF($A129="","",COUNTIFS(tblAkis[KaynakEkipId],$A129,tblAkis[Durum],"D8_KAPALI"))</f>
        <v/>
      </c>
    </row>
    <row r="130">
      <c r="A130" s="27" t="n"/>
      <c r="B130" s="27" t="n"/>
      <c r="C130" s="27" t="n"/>
      <c r="D130" s="27" t="n"/>
      <c r="E130" s="31" t="n"/>
      <c r="F130" s="29" t="n"/>
      <c r="G130" s="27" t="n"/>
      <c r="H130" s="30">
        <f>IF($A130="","",SUMIF(tblAkis[KaynakEkipId],$A130,tblAkis[Tutar]))</f>
        <v/>
      </c>
      <c r="I130" s="30">
        <f>IF($A130="","",COUNTIFS(tblAkis[KaynakEkipId],$A130,tblAkis[Durum],"D8_KAPALI"))</f>
        <v/>
      </c>
    </row>
    <row r="131">
      <c r="A131" s="27" t="n"/>
      <c r="B131" s="27" t="n"/>
      <c r="C131" s="27" t="n"/>
      <c r="D131" s="27" t="n"/>
      <c r="E131" s="31" t="n"/>
      <c r="F131" s="29" t="n"/>
      <c r="G131" s="27" t="n"/>
      <c r="H131" s="30">
        <f>IF($A131="","",SUMIF(tblAkis[KaynakEkipId],$A131,tblAkis[Tutar]))</f>
        <v/>
      </c>
      <c r="I131" s="30">
        <f>IF($A131="","",COUNTIFS(tblAkis[KaynakEkipId],$A131,tblAkis[Durum],"D8_KAPALI"))</f>
        <v/>
      </c>
    </row>
    <row r="132">
      <c r="A132" s="27" t="n"/>
      <c r="B132" s="27" t="n"/>
      <c r="C132" s="27" t="n"/>
      <c r="D132" s="27" t="n"/>
      <c r="E132" s="31" t="n"/>
      <c r="F132" s="29" t="n"/>
      <c r="G132" s="27" t="n"/>
      <c r="H132" s="30">
        <f>IF($A132="","",SUMIF(tblAkis[KaynakEkipId],$A132,tblAkis[Tutar]))</f>
        <v/>
      </c>
      <c r="I132" s="30">
        <f>IF($A132="","",COUNTIFS(tblAkis[KaynakEkipId],$A132,tblAkis[Durum],"D8_KAPALI"))</f>
        <v/>
      </c>
    </row>
    <row r="133">
      <c r="A133" s="27" t="n"/>
      <c r="B133" s="27" t="n"/>
      <c r="C133" s="27" t="n"/>
      <c r="D133" s="27" t="n"/>
      <c r="E133" s="31" t="n"/>
      <c r="F133" s="29" t="n"/>
      <c r="G133" s="27" t="n"/>
      <c r="H133" s="30">
        <f>IF($A133="","",SUMIF(tblAkis[KaynakEkipId],$A133,tblAkis[Tutar]))</f>
        <v/>
      </c>
      <c r="I133" s="30">
        <f>IF($A133="","",COUNTIFS(tblAkis[KaynakEkipId],$A133,tblAkis[Durum],"D8_KAPALI"))</f>
        <v/>
      </c>
    </row>
    <row r="134">
      <c r="A134" s="27" t="n"/>
      <c r="B134" s="27" t="n"/>
      <c r="C134" s="27" t="n"/>
      <c r="D134" s="27" t="n"/>
      <c r="E134" s="31" t="n"/>
      <c r="F134" s="29" t="n"/>
      <c r="G134" s="27" t="n"/>
      <c r="H134" s="30">
        <f>IF($A134="","",SUMIF(tblAkis[KaynakEkipId],$A134,tblAkis[Tutar]))</f>
        <v/>
      </c>
      <c r="I134" s="30">
        <f>IF($A134="","",COUNTIFS(tblAkis[KaynakEkipId],$A134,tblAkis[Durum],"D8_KAPALI"))</f>
        <v/>
      </c>
    </row>
    <row r="135">
      <c r="A135" s="27" t="n"/>
      <c r="B135" s="27" t="n"/>
      <c r="C135" s="27" t="n"/>
      <c r="D135" s="27" t="n"/>
      <c r="E135" s="31" t="n"/>
      <c r="F135" s="29" t="n"/>
      <c r="G135" s="27" t="n"/>
      <c r="H135" s="30">
        <f>IF($A135="","",SUMIF(tblAkis[KaynakEkipId],$A135,tblAkis[Tutar]))</f>
        <v/>
      </c>
      <c r="I135" s="30">
        <f>IF($A135="","",COUNTIFS(tblAkis[KaynakEkipId],$A135,tblAkis[Durum],"D8_KAPALI"))</f>
        <v/>
      </c>
    </row>
    <row r="136">
      <c r="A136" s="27" t="n"/>
      <c r="B136" s="27" t="n"/>
      <c r="C136" s="27" t="n"/>
      <c r="D136" s="27" t="n"/>
      <c r="E136" s="31" t="n"/>
      <c r="F136" s="29" t="n"/>
      <c r="G136" s="27" t="n"/>
      <c r="H136" s="30">
        <f>IF($A136="","",SUMIF(tblAkis[KaynakEkipId],$A136,tblAkis[Tutar]))</f>
        <v/>
      </c>
      <c r="I136" s="30">
        <f>IF($A136="","",COUNTIFS(tblAkis[KaynakEkipId],$A136,tblAkis[Durum],"D8_KAPALI"))</f>
        <v/>
      </c>
    </row>
    <row r="137">
      <c r="A137" s="27" t="n"/>
      <c r="B137" s="27" t="n"/>
      <c r="C137" s="27" t="n"/>
      <c r="D137" s="27" t="n"/>
      <c r="E137" s="31" t="n"/>
      <c r="F137" s="29" t="n"/>
      <c r="G137" s="27" t="n"/>
      <c r="H137" s="30">
        <f>IF($A137="","",SUMIF(tblAkis[KaynakEkipId],$A137,tblAkis[Tutar]))</f>
        <v/>
      </c>
      <c r="I137" s="30">
        <f>IF($A137="","",COUNTIFS(tblAkis[KaynakEkipId],$A137,tblAkis[Durum],"D8_KAPALI"))</f>
        <v/>
      </c>
    </row>
    <row r="138">
      <c r="A138" s="27" t="n"/>
      <c r="B138" s="27" t="n"/>
      <c r="C138" s="27" t="n"/>
      <c r="D138" s="27" t="n"/>
      <c r="E138" s="31" t="n"/>
      <c r="F138" s="29" t="n"/>
      <c r="G138" s="27" t="n"/>
      <c r="H138" s="30">
        <f>IF($A138="","",SUMIF(tblAkis[KaynakEkipId],$A138,tblAkis[Tutar]))</f>
        <v/>
      </c>
      <c r="I138" s="30">
        <f>IF($A138="","",COUNTIFS(tblAkis[KaynakEkipId],$A138,tblAkis[Durum],"D8_KAPALI"))</f>
        <v/>
      </c>
    </row>
    <row r="139">
      <c r="A139" s="27" t="n"/>
      <c r="B139" s="27" t="n"/>
      <c r="C139" s="27" t="n"/>
      <c r="D139" s="27" t="n"/>
      <c r="E139" s="31" t="n"/>
      <c r="F139" s="29" t="n"/>
      <c r="G139" s="27" t="n"/>
      <c r="H139" s="30">
        <f>IF($A139="","",SUMIF(tblAkis[KaynakEkipId],$A139,tblAkis[Tutar]))</f>
        <v/>
      </c>
      <c r="I139" s="30">
        <f>IF($A139="","",COUNTIFS(tblAkis[KaynakEkipId],$A139,tblAkis[Durum],"D8_KAPALI"))</f>
        <v/>
      </c>
    </row>
    <row r="140">
      <c r="A140" s="27" t="n"/>
      <c r="B140" s="27" t="n"/>
      <c r="C140" s="27" t="n"/>
      <c r="D140" s="27" t="n"/>
      <c r="E140" s="31" t="n"/>
      <c r="F140" s="29" t="n"/>
      <c r="G140" s="27" t="n"/>
      <c r="H140" s="30">
        <f>IF($A140="","",SUMIF(tblAkis[KaynakEkipId],$A140,tblAkis[Tutar]))</f>
        <v/>
      </c>
      <c r="I140" s="30">
        <f>IF($A140="","",COUNTIFS(tblAkis[KaynakEkipId],$A140,tblAkis[Durum],"D8_KAPALI"))</f>
        <v/>
      </c>
    </row>
    <row r="141">
      <c r="A141" s="27" t="n"/>
      <c r="B141" s="27" t="n"/>
      <c r="C141" s="27" t="n"/>
      <c r="D141" s="27" t="n"/>
      <c r="E141" s="31" t="n"/>
      <c r="F141" s="29" t="n"/>
      <c r="G141" s="27" t="n"/>
      <c r="H141" s="30">
        <f>IF($A141="","",SUMIF(tblAkis[KaynakEkipId],$A141,tblAkis[Tutar]))</f>
        <v/>
      </c>
      <c r="I141" s="30">
        <f>IF($A141="","",COUNTIFS(tblAkis[KaynakEkipId],$A141,tblAkis[Durum],"D8_KAPALI"))</f>
        <v/>
      </c>
    </row>
    <row r="142">
      <c r="A142" s="27" t="n"/>
      <c r="B142" s="27" t="n"/>
      <c r="C142" s="27" t="n"/>
      <c r="D142" s="27" t="n"/>
      <c r="E142" s="31" t="n"/>
      <c r="F142" s="29" t="n"/>
      <c r="G142" s="27" t="n"/>
      <c r="H142" s="30">
        <f>IF($A142="","",SUMIF(tblAkis[KaynakEkipId],$A142,tblAkis[Tutar]))</f>
        <v/>
      </c>
      <c r="I142" s="30">
        <f>IF($A142="","",COUNTIFS(tblAkis[KaynakEkipId],$A142,tblAkis[Durum],"D8_KAPALI"))</f>
        <v/>
      </c>
    </row>
    <row r="143">
      <c r="A143" s="27" t="n"/>
      <c r="B143" s="27" t="n"/>
      <c r="C143" s="27" t="n"/>
      <c r="D143" s="27" t="n"/>
      <c r="E143" s="31" t="n"/>
      <c r="F143" s="29" t="n"/>
      <c r="G143" s="27" t="n"/>
      <c r="H143" s="30">
        <f>IF($A143="","",SUMIF(tblAkis[KaynakEkipId],$A143,tblAkis[Tutar]))</f>
        <v/>
      </c>
      <c r="I143" s="30">
        <f>IF($A143="","",COUNTIFS(tblAkis[KaynakEkipId],$A143,tblAkis[Durum],"D8_KAPALI"))</f>
        <v/>
      </c>
    </row>
    <row r="144">
      <c r="A144" s="27" t="n"/>
      <c r="B144" s="27" t="n"/>
      <c r="C144" s="27" t="n"/>
      <c r="D144" s="27" t="n"/>
      <c r="E144" s="31" t="n"/>
      <c r="F144" s="29" t="n"/>
      <c r="G144" s="27" t="n"/>
      <c r="H144" s="30">
        <f>IF($A144="","",SUMIF(tblAkis[KaynakEkipId],$A144,tblAkis[Tutar]))</f>
        <v/>
      </c>
      <c r="I144" s="30">
        <f>IF($A144="","",COUNTIFS(tblAkis[KaynakEkipId],$A144,tblAkis[Durum],"D8_KAPALI"))</f>
        <v/>
      </c>
    </row>
    <row r="145">
      <c r="A145" s="27" t="n"/>
      <c r="B145" s="27" t="n"/>
      <c r="C145" s="27" t="n"/>
      <c r="D145" s="27" t="n"/>
      <c r="E145" s="31" t="n"/>
      <c r="F145" s="29" t="n"/>
      <c r="G145" s="27" t="n"/>
      <c r="H145" s="30">
        <f>IF($A145="","",SUMIF(tblAkis[KaynakEkipId],$A145,tblAkis[Tutar]))</f>
        <v/>
      </c>
      <c r="I145" s="30">
        <f>IF($A145="","",COUNTIFS(tblAkis[KaynakEkipId],$A145,tblAkis[Durum],"D8_KAPALI"))</f>
        <v/>
      </c>
    </row>
    <row r="146">
      <c r="A146" s="27" t="n"/>
      <c r="B146" s="27" t="n"/>
      <c r="C146" s="27" t="n"/>
      <c r="D146" s="27" t="n"/>
      <c r="E146" s="31" t="n"/>
      <c r="F146" s="29" t="n"/>
      <c r="G146" s="27" t="n"/>
      <c r="H146" s="30">
        <f>IF($A146="","",SUMIF(tblAkis[KaynakEkipId],$A146,tblAkis[Tutar]))</f>
        <v/>
      </c>
      <c r="I146" s="30">
        <f>IF($A146="","",COUNTIFS(tblAkis[KaynakEkipId],$A146,tblAkis[Durum],"D8_KAPALI"))</f>
        <v/>
      </c>
    </row>
    <row r="147">
      <c r="A147" s="27" t="n"/>
      <c r="B147" s="27" t="n"/>
      <c r="C147" s="27" t="n"/>
      <c r="D147" s="27" t="n"/>
      <c r="E147" s="31" t="n"/>
      <c r="F147" s="29" t="n"/>
      <c r="G147" s="27" t="n"/>
      <c r="H147" s="30">
        <f>IF($A147="","",SUMIF(tblAkis[KaynakEkipId],$A147,tblAkis[Tutar]))</f>
        <v/>
      </c>
      <c r="I147" s="30">
        <f>IF($A147="","",COUNTIFS(tblAkis[KaynakEkipId],$A147,tblAkis[Durum],"D8_KAPALI"))</f>
        <v/>
      </c>
    </row>
    <row r="148">
      <c r="A148" s="27" t="n"/>
      <c r="B148" s="27" t="n"/>
      <c r="C148" s="27" t="n"/>
      <c r="D148" s="27" t="n"/>
      <c r="E148" s="31" t="n"/>
      <c r="F148" s="29" t="n"/>
      <c r="G148" s="27" t="n"/>
      <c r="H148" s="30">
        <f>IF($A148="","",SUMIF(tblAkis[KaynakEkipId],$A148,tblAkis[Tutar]))</f>
        <v/>
      </c>
      <c r="I148" s="30">
        <f>IF($A148="","",COUNTIFS(tblAkis[KaynakEkipId],$A148,tblAkis[Durum],"D8_KAPALI"))</f>
        <v/>
      </c>
    </row>
    <row r="149">
      <c r="A149" s="27" t="n"/>
      <c r="B149" s="27" t="n"/>
      <c r="C149" s="27" t="n"/>
      <c r="D149" s="27" t="n"/>
      <c r="E149" s="31" t="n"/>
      <c r="F149" s="29" t="n"/>
      <c r="G149" s="27" t="n"/>
      <c r="H149" s="30">
        <f>IF($A149="","",SUMIF(tblAkis[KaynakEkipId],$A149,tblAkis[Tutar]))</f>
        <v/>
      </c>
      <c r="I149" s="30">
        <f>IF($A149="","",COUNTIFS(tblAkis[KaynakEkipId],$A149,tblAkis[Durum],"D8_KAPALI"))</f>
        <v/>
      </c>
    </row>
    <row r="150">
      <c r="A150" s="27" t="n"/>
      <c r="B150" s="27" t="n"/>
      <c r="C150" s="27" t="n"/>
      <c r="D150" s="27" t="n"/>
      <c r="E150" s="31" t="n"/>
      <c r="F150" s="29" t="n"/>
      <c r="G150" s="27" t="n"/>
      <c r="H150" s="30">
        <f>IF($A150="","",SUMIF(tblAkis[KaynakEkipId],$A150,tblAkis[Tutar]))</f>
        <v/>
      </c>
      <c r="I150" s="30">
        <f>IF($A150="","",COUNTIFS(tblAkis[KaynakEkipId],$A150,tblAkis[Durum],"D8_KAPALI"))</f>
        <v/>
      </c>
    </row>
    <row r="151">
      <c r="A151" s="27" t="n"/>
      <c r="B151" s="27" t="n"/>
      <c r="C151" s="27" t="n"/>
      <c r="D151" s="27" t="n"/>
      <c r="E151" s="31" t="n"/>
      <c r="F151" s="29" t="n"/>
      <c r="G151" s="27" t="n"/>
      <c r="H151" s="30">
        <f>IF($A151="","",SUMIF(tblAkis[KaynakEkipId],$A151,tblAkis[Tutar]))</f>
        <v/>
      </c>
      <c r="I151" s="30">
        <f>IF($A151="","",COUNTIFS(tblAkis[KaynakEkipId],$A151,tblAkis[Durum],"D8_KAPALI"))</f>
        <v/>
      </c>
    </row>
    <row r="152">
      <c r="A152" s="27" t="n"/>
      <c r="B152" s="27" t="n"/>
      <c r="C152" s="27" t="n"/>
      <c r="D152" s="27" t="n"/>
      <c r="E152" s="31" t="n"/>
      <c r="F152" s="29" t="n"/>
      <c r="G152" s="27" t="n"/>
      <c r="H152" s="30">
        <f>IF($A152="","",SUMIF(tblAkis[KaynakEkipId],$A152,tblAkis[Tutar]))</f>
        <v/>
      </c>
      <c r="I152" s="30">
        <f>IF($A152="","",COUNTIFS(tblAkis[KaynakEkipId],$A152,tblAkis[Durum],"D8_KAPALI"))</f>
        <v/>
      </c>
    </row>
    <row r="153">
      <c r="A153" s="27" t="n"/>
      <c r="B153" s="27" t="n"/>
      <c r="C153" s="27" t="n"/>
      <c r="D153" s="27" t="n"/>
      <c r="E153" s="31" t="n"/>
      <c r="F153" s="29" t="n"/>
      <c r="G153" s="27" t="n"/>
      <c r="H153" s="30">
        <f>IF($A153="","",SUMIF(tblAkis[KaynakEkipId],$A153,tblAkis[Tutar]))</f>
        <v/>
      </c>
      <c r="I153" s="30">
        <f>IF($A153="","",COUNTIFS(tblAkis[KaynakEkipId],$A153,tblAkis[Durum],"D8_KAPALI"))</f>
        <v/>
      </c>
    </row>
    <row r="154">
      <c r="A154" s="27" t="n"/>
      <c r="B154" s="27" t="n"/>
      <c r="C154" s="27" t="n"/>
      <c r="D154" s="27" t="n"/>
      <c r="E154" s="31" t="n"/>
      <c r="F154" s="29" t="n"/>
      <c r="G154" s="27" t="n"/>
      <c r="H154" s="30">
        <f>IF($A154="","",SUMIF(tblAkis[KaynakEkipId],$A154,tblAkis[Tutar]))</f>
        <v/>
      </c>
      <c r="I154" s="30">
        <f>IF($A154="","",COUNTIFS(tblAkis[KaynakEkipId],$A154,tblAkis[Durum],"D8_KAPALI"))</f>
        <v/>
      </c>
    </row>
    <row r="155">
      <c r="A155" s="27" t="n"/>
      <c r="B155" s="27" t="n"/>
      <c r="C155" s="27" t="n"/>
      <c r="D155" s="27" t="n"/>
      <c r="E155" s="31" t="n"/>
      <c r="F155" s="29" t="n"/>
      <c r="G155" s="27" t="n"/>
      <c r="H155" s="30">
        <f>IF($A155="","",SUMIF(tblAkis[KaynakEkipId],$A155,tblAkis[Tutar]))</f>
        <v/>
      </c>
      <c r="I155" s="30">
        <f>IF($A155="","",COUNTIFS(tblAkis[KaynakEkipId],$A155,tblAkis[Durum],"D8_KAPALI"))</f>
        <v/>
      </c>
    </row>
    <row r="156">
      <c r="A156" s="27" t="n"/>
      <c r="B156" s="27" t="n"/>
      <c r="C156" s="27" t="n"/>
      <c r="D156" s="27" t="n"/>
      <c r="E156" s="31" t="n"/>
      <c r="F156" s="29" t="n"/>
      <c r="G156" s="27" t="n"/>
      <c r="H156" s="30">
        <f>IF($A156="","",SUMIF(tblAkis[KaynakEkipId],$A156,tblAkis[Tutar]))</f>
        <v/>
      </c>
      <c r="I156" s="30">
        <f>IF($A156="","",COUNTIFS(tblAkis[KaynakEkipId],$A156,tblAkis[Durum],"D8_KAPALI"))</f>
        <v/>
      </c>
    </row>
    <row r="157">
      <c r="A157" s="27" t="n"/>
      <c r="B157" s="27" t="n"/>
      <c r="C157" s="27" t="n"/>
      <c r="D157" s="27" t="n"/>
      <c r="E157" s="31" t="n"/>
      <c r="F157" s="29" t="n"/>
      <c r="G157" s="27" t="n"/>
      <c r="H157" s="30">
        <f>IF($A157="","",SUMIF(tblAkis[KaynakEkipId],$A157,tblAkis[Tutar]))</f>
        <v/>
      </c>
      <c r="I157" s="30">
        <f>IF($A157="","",COUNTIFS(tblAkis[KaynakEkipId],$A157,tblAkis[Durum],"D8_KAPALI"))</f>
        <v/>
      </c>
    </row>
    <row r="158">
      <c r="A158" s="27" t="n"/>
      <c r="B158" s="27" t="n"/>
      <c r="C158" s="27" t="n"/>
      <c r="D158" s="27" t="n"/>
      <c r="E158" s="31" t="n"/>
      <c r="F158" s="29" t="n"/>
      <c r="G158" s="27" t="n"/>
      <c r="H158" s="30">
        <f>IF($A158="","",SUMIF(tblAkis[KaynakEkipId],$A158,tblAkis[Tutar]))</f>
        <v/>
      </c>
      <c r="I158" s="30">
        <f>IF($A158="","",COUNTIFS(tblAkis[KaynakEkipId],$A158,tblAkis[Durum],"D8_KAPALI"))</f>
        <v/>
      </c>
    </row>
    <row r="159">
      <c r="A159" s="27" t="n"/>
      <c r="B159" s="27" t="n"/>
      <c r="C159" s="27" t="n"/>
      <c r="D159" s="27" t="n"/>
      <c r="E159" s="31" t="n"/>
      <c r="F159" s="29" t="n"/>
      <c r="G159" s="27" t="n"/>
      <c r="H159" s="30">
        <f>IF($A159="","",SUMIF(tblAkis[KaynakEkipId],$A159,tblAkis[Tutar]))</f>
        <v/>
      </c>
      <c r="I159" s="30">
        <f>IF($A159="","",COUNTIFS(tblAkis[KaynakEkipId],$A159,tblAkis[Durum],"D8_KAPALI"))</f>
        <v/>
      </c>
    </row>
    <row r="160">
      <c r="A160" s="27" t="n"/>
      <c r="B160" s="27" t="n"/>
      <c r="C160" s="27" t="n"/>
      <c r="D160" s="27" t="n"/>
      <c r="E160" s="31" t="n"/>
      <c r="F160" s="29" t="n"/>
      <c r="G160" s="27" t="n"/>
      <c r="H160" s="30">
        <f>IF($A160="","",SUMIF(tblAkis[KaynakEkipId],$A160,tblAkis[Tutar]))</f>
        <v/>
      </c>
      <c r="I160" s="30">
        <f>IF($A160="","",COUNTIFS(tblAkis[KaynakEkipId],$A160,tblAkis[Durum],"D8_KAPALI"))</f>
        <v/>
      </c>
    </row>
    <row r="161">
      <c r="A161" s="27" t="n"/>
      <c r="B161" s="27" t="n"/>
      <c r="C161" s="27" t="n"/>
      <c r="D161" s="27" t="n"/>
      <c r="E161" s="31" t="n"/>
      <c r="F161" s="29" t="n"/>
      <c r="G161" s="27" t="n"/>
      <c r="H161" s="30">
        <f>IF($A161="","",SUMIF(tblAkis[KaynakEkipId],$A161,tblAkis[Tutar]))</f>
        <v/>
      </c>
      <c r="I161" s="30">
        <f>IF($A161="","",COUNTIFS(tblAkis[KaynakEkipId],$A161,tblAkis[Durum],"D8_KAPALI"))</f>
        <v/>
      </c>
    </row>
    <row r="162">
      <c r="A162" s="27" t="n"/>
      <c r="B162" s="27" t="n"/>
      <c r="C162" s="27" t="n"/>
      <c r="D162" s="27" t="n"/>
      <c r="E162" s="31" t="n"/>
      <c r="F162" s="29" t="n"/>
      <c r="G162" s="27" t="n"/>
      <c r="H162" s="30">
        <f>IF($A162="","",SUMIF(tblAkis[KaynakEkipId],$A162,tblAkis[Tutar]))</f>
        <v/>
      </c>
      <c r="I162" s="30">
        <f>IF($A162="","",COUNTIFS(tblAkis[KaynakEkipId],$A162,tblAkis[Durum],"D8_KAPALI"))</f>
        <v/>
      </c>
    </row>
    <row r="163">
      <c r="A163" s="27" t="n"/>
      <c r="B163" s="27" t="n"/>
      <c r="C163" s="27" t="n"/>
      <c r="D163" s="27" t="n"/>
      <c r="E163" s="31" t="n"/>
      <c r="F163" s="29" t="n"/>
      <c r="G163" s="27" t="n"/>
      <c r="H163" s="30">
        <f>IF($A163="","",SUMIF(tblAkis[KaynakEkipId],$A163,tblAkis[Tutar]))</f>
        <v/>
      </c>
      <c r="I163" s="30">
        <f>IF($A163="","",COUNTIFS(tblAkis[KaynakEkipId],$A163,tblAkis[Durum],"D8_KAPALI"))</f>
        <v/>
      </c>
    </row>
    <row r="164">
      <c r="A164" s="27" t="n"/>
      <c r="B164" s="27" t="n"/>
      <c r="C164" s="27" t="n"/>
      <c r="D164" s="27" t="n"/>
      <c r="E164" s="31" t="n"/>
      <c r="F164" s="29" t="n"/>
      <c r="G164" s="27" t="n"/>
      <c r="H164" s="30">
        <f>IF($A164="","",SUMIF(tblAkis[KaynakEkipId],$A164,tblAkis[Tutar]))</f>
        <v/>
      </c>
      <c r="I164" s="30">
        <f>IF($A164="","",COUNTIFS(tblAkis[KaynakEkipId],$A164,tblAkis[Durum],"D8_KAPALI"))</f>
        <v/>
      </c>
    </row>
    <row r="165">
      <c r="A165" s="27" t="n"/>
      <c r="B165" s="27" t="n"/>
      <c r="C165" s="27" t="n"/>
      <c r="D165" s="27" t="n"/>
      <c r="E165" s="31" t="n"/>
      <c r="F165" s="29" t="n"/>
      <c r="G165" s="27" t="n"/>
      <c r="H165" s="30">
        <f>IF($A165="","",SUMIF(tblAkis[KaynakEkipId],$A165,tblAkis[Tutar]))</f>
        <v/>
      </c>
      <c r="I165" s="30">
        <f>IF($A165="","",COUNTIFS(tblAkis[KaynakEkipId],$A165,tblAkis[Durum],"D8_KAPALI"))</f>
        <v/>
      </c>
    </row>
    <row r="166">
      <c r="A166" s="27" t="n"/>
      <c r="B166" s="27" t="n"/>
      <c r="C166" s="27" t="n"/>
      <c r="D166" s="27" t="n"/>
      <c r="E166" s="31" t="n"/>
      <c r="F166" s="29" t="n"/>
      <c r="G166" s="27" t="n"/>
      <c r="H166" s="30">
        <f>IF($A166="","",SUMIF(tblAkis[KaynakEkipId],$A166,tblAkis[Tutar]))</f>
        <v/>
      </c>
      <c r="I166" s="30">
        <f>IF($A166="","",COUNTIFS(tblAkis[KaynakEkipId],$A166,tblAkis[Durum],"D8_KAPALI"))</f>
        <v/>
      </c>
    </row>
    <row r="167">
      <c r="A167" s="27" t="n"/>
      <c r="B167" s="27" t="n"/>
      <c r="C167" s="27" t="n"/>
      <c r="D167" s="27" t="n"/>
      <c r="E167" s="31" t="n"/>
      <c r="F167" s="29" t="n"/>
      <c r="G167" s="27" t="n"/>
      <c r="H167" s="30">
        <f>IF($A167="","",SUMIF(tblAkis[KaynakEkipId],$A167,tblAkis[Tutar]))</f>
        <v/>
      </c>
      <c r="I167" s="30">
        <f>IF($A167="","",COUNTIFS(tblAkis[KaynakEkipId],$A167,tblAkis[Durum],"D8_KAPALI"))</f>
        <v/>
      </c>
    </row>
    <row r="168">
      <c r="A168" s="27" t="n"/>
      <c r="B168" s="27" t="n"/>
      <c r="C168" s="27" t="n"/>
      <c r="D168" s="27" t="n"/>
      <c r="E168" s="31" t="n"/>
      <c r="F168" s="29" t="n"/>
      <c r="G168" s="27" t="n"/>
      <c r="H168" s="30">
        <f>IF($A168="","",SUMIF(tblAkis[KaynakEkipId],$A168,tblAkis[Tutar]))</f>
        <v/>
      </c>
      <c r="I168" s="30">
        <f>IF($A168="","",COUNTIFS(tblAkis[KaynakEkipId],$A168,tblAkis[Durum],"D8_KAPALI"))</f>
        <v/>
      </c>
    </row>
    <row r="169">
      <c r="A169" s="27" t="n"/>
      <c r="B169" s="27" t="n"/>
      <c r="C169" s="27" t="n"/>
      <c r="D169" s="27" t="n"/>
      <c r="E169" s="31" t="n"/>
      <c r="F169" s="29" t="n"/>
      <c r="G169" s="27" t="n"/>
      <c r="H169" s="30">
        <f>IF($A169="","",SUMIF(tblAkis[KaynakEkipId],$A169,tblAkis[Tutar]))</f>
        <v/>
      </c>
      <c r="I169" s="30">
        <f>IF($A169="","",COUNTIFS(tblAkis[KaynakEkipId],$A169,tblAkis[Durum],"D8_KAPALI"))</f>
        <v/>
      </c>
    </row>
    <row r="170">
      <c r="A170" s="27" t="n"/>
      <c r="B170" s="27" t="n"/>
      <c r="C170" s="27" t="n"/>
      <c r="D170" s="27" t="n"/>
      <c r="E170" s="31" t="n"/>
      <c r="F170" s="29" t="n"/>
      <c r="G170" s="27" t="n"/>
      <c r="H170" s="30">
        <f>IF($A170="","",SUMIF(tblAkis[KaynakEkipId],$A170,tblAkis[Tutar]))</f>
        <v/>
      </c>
      <c r="I170" s="30">
        <f>IF($A170="","",COUNTIFS(tblAkis[KaynakEkipId],$A170,tblAkis[Durum],"D8_KAPALI"))</f>
        <v/>
      </c>
    </row>
    <row r="171">
      <c r="A171" s="27" t="n"/>
      <c r="B171" s="27" t="n"/>
      <c r="C171" s="27" t="n"/>
      <c r="D171" s="27" t="n"/>
      <c r="E171" s="31" t="n"/>
      <c r="F171" s="29" t="n"/>
      <c r="G171" s="27" t="n"/>
      <c r="H171" s="30">
        <f>IF($A171="","",SUMIF(tblAkis[KaynakEkipId],$A171,tblAkis[Tutar]))</f>
        <v/>
      </c>
      <c r="I171" s="30">
        <f>IF($A171="","",COUNTIFS(tblAkis[KaynakEkipId],$A171,tblAkis[Durum],"D8_KAPALI"))</f>
        <v/>
      </c>
    </row>
    <row r="172">
      <c r="A172" s="27" t="n"/>
      <c r="B172" s="27" t="n"/>
      <c r="C172" s="27" t="n"/>
      <c r="D172" s="27" t="n"/>
      <c r="E172" s="31" t="n"/>
      <c r="F172" s="29" t="n"/>
      <c r="G172" s="27" t="n"/>
      <c r="H172" s="30">
        <f>IF($A172="","",SUMIF(tblAkis[KaynakEkipId],$A172,tblAkis[Tutar]))</f>
        <v/>
      </c>
      <c r="I172" s="30">
        <f>IF($A172="","",COUNTIFS(tblAkis[KaynakEkipId],$A172,tblAkis[Durum],"D8_KAPALI"))</f>
        <v/>
      </c>
    </row>
    <row r="173">
      <c r="A173" s="27" t="n"/>
      <c r="B173" s="27" t="n"/>
      <c r="C173" s="27" t="n"/>
      <c r="D173" s="27" t="n"/>
      <c r="E173" s="31" t="n"/>
      <c r="F173" s="29" t="n"/>
      <c r="G173" s="27" t="n"/>
      <c r="H173" s="30">
        <f>IF($A173="","",SUMIF(tblAkis[KaynakEkipId],$A173,tblAkis[Tutar]))</f>
        <v/>
      </c>
      <c r="I173" s="30">
        <f>IF($A173="","",COUNTIFS(tblAkis[KaynakEkipId],$A173,tblAkis[Durum],"D8_KAPALI"))</f>
        <v/>
      </c>
    </row>
    <row r="174">
      <c r="A174" s="27" t="n"/>
      <c r="B174" s="27" t="n"/>
      <c r="C174" s="27" t="n"/>
      <c r="D174" s="27" t="n"/>
      <c r="E174" s="31" t="n"/>
      <c r="F174" s="29" t="n"/>
      <c r="G174" s="27" t="n"/>
      <c r="H174" s="30">
        <f>IF($A174="","",SUMIF(tblAkis[KaynakEkipId],$A174,tblAkis[Tutar]))</f>
        <v/>
      </c>
      <c r="I174" s="30">
        <f>IF($A174="","",COUNTIFS(tblAkis[KaynakEkipId],$A174,tblAkis[Durum],"D8_KAPALI"))</f>
        <v/>
      </c>
    </row>
    <row r="175">
      <c r="A175" s="27" t="n"/>
      <c r="B175" s="27" t="n"/>
      <c r="C175" s="27" t="n"/>
      <c r="D175" s="27" t="n"/>
      <c r="E175" s="31" t="n"/>
      <c r="F175" s="29" t="n"/>
      <c r="G175" s="27" t="n"/>
      <c r="H175" s="30">
        <f>IF($A175="","",SUMIF(tblAkis[KaynakEkipId],$A175,tblAkis[Tutar]))</f>
        <v/>
      </c>
      <c r="I175" s="30">
        <f>IF($A175="","",COUNTIFS(tblAkis[KaynakEkipId],$A175,tblAkis[Durum],"D8_KAPALI"))</f>
        <v/>
      </c>
    </row>
    <row r="176">
      <c r="A176" s="27" t="n"/>
      <c r="B176" s="27" t="n"/>
      <c r="C176" s="27" t="n"/>
      <c r="D176" s="27" t="n"/>
      <c r="E176" s="31" t="n"/>
      <c r="F176" s="29" t="n"/>
      <c r="G176" s="27" t="n"/>
      <c r="H176" s="30">
        <f>IF($A176="","",SUMIF(tblAkis[KaynakEkipId],$A176,tblAkis[Tutar]))</f>
        <v/>
      </c>
      <c r="I176" s="30">
        <f>IF($A176="","",COUNTIFS(tblAkis[KaynakEkipId],$A176,tblAkis[Durum],"D8_KAPALI"))</f>
        <v/>
      </c>
    </row>
    <row r="177">
      <c r="A177" s="27" t="n"/>
      <c r="B177" s="27" t="n"/>
      <c r="C177" s="27" t="n"/>
      <c r="D177" s="27" t="n"/>
      <c r="E177" s="31" t="n"/>
      <c r="F177" s="29" t="n"/>
      <c r="G177" s="27" t="n"/>
      <c r="H177" s="30">
        <f>IF($A177="","",SUMIF(tblAkis[KaynakEkipId],$A177,tblAkis[Tutar]))</f>
        <v/>
      </c>
      <c r="I177" s="30">
        <f>IF($A177="","",COUNTIFS(tblAkis[KaynakEkipId],$A177,tblAkis[Durum],"D8_KAPALI"))</f>
        <v/>
      </c>
    </row>
    <row r="178">
      <c r="A178" s="27" t="n"/>
      <c r="B178" s="27" t="n"/>
      <c r="C178" s="27" t="n"/>
      <c r="D178" s="27" t="n"/>
      <c r="E178" s="31" t="n"/>
      <c r="F178" s="29" t="n"/>
      <c r="G178" s="27" t="n"/>
      <c r="H178" s="30">
        <f>IF($A178="","",SUMIF(tblAkis[KaynakEkipId],$A178,tblAkis[Tutar]))</f>
        <v/>
      </c>
      <c r="I178" s="30">
        <f>IF($A178="","",COUNTIFS(tblAkis[KaynakEkipId],$A178,tblAkis[Durum],"D8_KAPALI"))</f>
        <v/>
      </c>
    </row>
    <row r="179">
      <c r="A179" s="27" t="n"/>
      <c r="B179" s="27" t="n"/>
      <c r="C179" s="27" t="n"/>
      <c r="D179" s="27" t="n"/>
      <c r="E179" s="31" t="n"/>
      <c r="F179" s="29" t="n"/>
      <c r="G179" s="27" t="n"/>
      <c r="H179" s="30">
        <f>IF($A179="","",SUMIF(tblAkis[KaynakEkipId],$A179,tblAkis[Tutar]))</f>
        <v/>
      </c>
      <c r="I179" s="30">
        <f>IF($A179="","",COUNTIFS(tblAkis[KaynakEkipId],$A179,tblAkis[Durum],"D8_KAPALI"))</f>
        <v/>
      </c>
    </row>
    <row r="180">
      <c r="A180" s="27" t="n"/>
      <c r="B180" s="27" t="n"/>
      <c r="C180" s="27" t="n"/>
      <c r="D180" s="27" t="n"/>
      <c r="E180" s="31" t="n"/>
      <c r="F180" s="29" t="n"/>
      <c r="G180" s="27" t="n"/>
      <c r="H180" s="30">
        <f>IF($A180="","",SUMIF(tblAkis[KaynakEkipId],$A180,tblAkis[Tutar]))</f>
        <v/>
      </c>
      <c r="I180" s="30">
        <f>IF($A180="","",COUNTIFS(tblAkis[KaynakEkipId],$A180,tblAkis[Durum],"D8_KAPALI"))</f>
        <v/>
      </c>
    </row>
    <row r="181">
      <c r="A181" s="27" t="n"/>
      <c r="B181" s="27" t="n"/>
      <c r="C181" s="27" t="n"/>
      <c r="D181" s="27" t="n"/>
      <c r="E181" s="31" t="n"/>
      <c r="F181" s="29" t="n"/>
      <c r="G181" s="27" t="n"/>
      <c r="H181" s="30">
        <f>IF($A181="","",SUMIF(tblAkis[KaynakEkipId],$A181,tblAkis[Tutar]))</f>
        <v/>
      </c>
      <c r="I181" s="30">
        <f>IF($A181="","",COUNTIFS(tblAkis[KaynakEkipId],$A181,tblAkis[Durum],"D8_KAPALI"))</f>
        <v/>
      </c>
    </row>
    <row r="182">
      <c r="A182" s="27" t="n"/>
      <c r="B182" s="27" t="n"/>
      <c r="C182" s="27" t="n"/>
      <c r="D182" s="27" t="n"/>
      <c r="E182" s="31" t="n"/>
      <c r="F182" s="29" t="n"/>
      <c r="G182" s="27" t="n"/>
      <c r="H182" s="30">
        <f>IF($A182="","",SUMIF(tblAkis[KaynakEkipId],$A182,tblAkis[Tutar]))</f>
        <v/>
      </c>
      <c r="I182" s="30">
        <f>IF($A182="","",COUNTIFS(tblAkis[KaynakEkipId],$A182,tblAkis[Durum],"D8_KAPALI"))</f>
        <v/>
      </c>
    </row>
    <row r="183">
      <c r="A183" s="27" t="n"/>
      <c r="B183" s="27" t="n"/>
      <c r="C183" s="27" t="n"/>
      <c r="D183" s="27" t="n"/>
      <c r="E183" s="31" t="n"/>
      <c r="F183" s="29" t="n"/>
      <c r="G183" s="27" t="n"/>
      <c r="H183" s="30">
        <f>IF($A183="","",SUMIF(tblAkis[KaynakEkipId],$A183,tblAkis[Tutar]))</f>
        <v/>
      </c>
      <c r="I183" s="30">
        <f>IF($A183="","",COUNTIFS(tblAkis[KaynakEkipId],$A183,tblAkis[Durum],"D8_KAPALI"))</f>
        <v/>
      </c>
    </row>
    <row r="184">
      <c r="A184" s="27" t="n"/>
      <c r="B184" s="27" t="n"/>
      <c r="C184" s="27" t="n"/>
      <c r="D184" s="27" t="n"/>
      <c r="E184" s="31" t="n"/>
      <c r="F184" s="29" t="n"/>
      <c r="G184" s="27" t="n"/>
      <c r="H184" s="30">
        <f>IF($A184="","",SUMIF(tblAkis[KaynakEkipId],$A184,tblAkis[Tutar]))</f>
        <v/>
      </c>
      <c r="I184" s="30">
        <f>IF($A184="","",COUNTIFS(tblAkis[KaynakEkipId],$A184,tblAkis[Durum],"D8_KAPALI"))</f>
        <v/>
      </c>
    </row>
    <row r="185">
      <c r="A185" s="27" t="n"/>
      <c r="B185" s="27" t="n"/>
      <c r="C185" s="27" t="n"/>
      <c r="D185" s="27" t="n"/>
      <c r="E185" s="31" t="n"/>
      <c r="F185" s="29" t="n"/>
      <c r="G185" s="27" t="n"/>
      <c r="H185" s="30">
        <f>IF($A185="","",SUMIF(tblAkis[KaynakEkipId],$A185,tblAkis[Tutar]))</f>
        <v/>
      </c>
      <c r="I185" s="30">
        <f>IF($A185="","",COUNTIFS(tblAkis[KaynakEkipId],$A185,tblAkis[Durum],"D8_KAPALI"))</f>
        <v/>
      </c>
    </row>
    <row r="186">
      <c r="A186" s="27" t="n"/>
      <c r="B186" s="27" t="n"/>
      <c r="C186" s="27" t="n"/>
      <c r="D186" s="27" t="n"/>
      <c r="E186" s="31" t="n"/>
      <c r="F186" s="29" t="n"/>
      <c r="G186" s="27" t="n"/>
      <c r="H186" s="30">
        <f>IF($A186="","",SUMIF(tblAkis[KaynakEkipId],$A186,tblAkis[Tutar]))</f>
        <v/>
      </c>
      <c r="I186" s="30">
        <f>IF($A186="","",COUNTIFS(tblAkis[KaynakEkipId],$A186,tblAkis[Durum],"D8_KAPALI"))</f>
        <v/>
      </c>
    </row>
    <row r="187">
      <c r="A187" s="27" t="n"/>
      <c r="B187" s="27" t="n"/>
      <c r="C187" s="27" t="n"/>
      <c r="D187" s="27" t="n"/>
      <c r="E187" s="31" t="n"/>
      <c r="F187" s="29" t="n"/>
      <c r="G187" s="27" t="n"/>
      <c r="H187" s="30">
        <f>IF($A187="","",SUMIF(tblAkis[KaynakEkipId],$A187,tblAkis[Tutar]))</f>
        <v/>
      </c>
      <c r="I187" s="30">
        <f>IF($A187="","",COUNTIFS(tblAkis[KaynakEkipId],$A187,tblAkis[Durum],"D8_KAPALI"))</f>
        <v/>
      </c>
    </row>
    <row r="188">
      <c r="A188" s="27" t="n"/>
      <c r="B188" s="27" t="n"/>
      <c r="C188" s="27" t="n"/>
      <c r="D188" s="27" t="n"/>
      <c r="E188" s="31" t="n"/>
      <c r="F188" s="29" t="n"/>
      <c r="G188" s="27" t="n"/>
      <c r="H188" s="30">
        <f>IF($A188="","",SUMIF(tblAkis[KaynakEkipId],$A188,tblAkis[Tutar]))</f>
        <v/>
      </c>
      <c r="I188" s="30">
        <f>IF($A188="","",COUNTIFS(tblAkis[KaynakEkipId],$A188,tblAkis[Durum],"D8_KAPALI"))</f>
        <v/>
      </c>
    </row>
    <row r="189">
      <c r="A189" s="27" t="n"/>
      <c r="B189" s="27" t="n"/>
      <c r="C189" s="27" t="n"/>
      <c r="D189" s="27" t="n"/>
      <c r="E189" s="31" t="n"/>
      <c r="F189" s="29" t="n"/>
      <c r="G189" s="27" t="n"/>
      <c r="H189" s="30">
        <f>IF($A189="","",SUMIF(tblAkis[KaynakEkipId],$A189,tblAkis[Tutar]))</f>
        <v/>
      </c>
      <c r="I189" s="30">
        <f>IF($A189="","",COUNTIFS(tblAkis[KaynakEkipId],$A189,tblAkis[Durum],"D8_KAPALI"))</f>
        <v/>
      </c>
    </row>
    <row r="190">
      <c r="A190" s="27" t="n"/>
      <c r="B190" s="27" t="n"/>
      <c r="C190" s="27" t="n"/>
      <c r="D190" s="27" t="n"/>
      <c r="E190" s="31" t="n"/>
      <c r="F190" s="29" t="n"/>
      <c r="G190" s="27" t="n"/>
      <c r="H190" s="30">
        <f>IF($A190="","",SUMIF(tblAkis[KaynakEkipId],$A190,tblAkis[Tutar]))</f>
        <v/>
      </c>
      <c r="I190" s="30">
        <f>IF($A190="","",COUNTIFS(tblAkis[KaynakEkipId],$A190,tblAkis[Durum],"D8_KAPALI"))</f>
        <v/>
      </c>
    </row>
    <row r="191">
      <c r="A191" s="27" t="n"/>
      <c r="B191" s="27" t="n"/>
      <c r="C191" s="27" t="n"/>
      <c r="D191" s="27" t="n"/>
      <c r="E191" s="31" t="n"/>
      <c r="F191" s="29" t="n"/>
      <c r="G191" s="27" t="n"/>
      <c r="H191" s="30">
        <f>IF($A191="","",SUMIF(tblAkis[KaynakEkipId],$A191,tblAkis[Tutar]))</f>
        <v/>
      </c>
      <c r="I191" s="30">
        <f>IF($A191="","",COUNTIFS(tblAkis[KaynakEkipId],$A191,tblAkis[Durum],"D8_KAPALI"))</f>
        <v/>
      </c>
    </row>
    <row r="192">
      <c r="A192" s="27" t="n"/>
      <c r="B192" s="27" t="n"/>
      <c r="C192" s="27" t="n"/>
      <c r="D192" s="27" t="n"/>
      <c r="E192" s="31" t="n"/>
      <c r="F192" s="29" t="n"/>
      <c r="G192" s="27" t="n"/>
      <c r="H192" s="30">
        <f>IF($A192="","",SUMIF(tblAkis[KaynakEkipId],$A192,tblAkis[Tutar]))</f>
        <v/>
      </c>
      <c r="I192" s="30">
        <f>IF($A192="","",COUNTIFS(tblAkis[KaynakEkipId],$A192,tblAkis[Durum],"D8_KAPALI"))</f>
        <v/>
      </c>
    </row>
    <row r="193">
      <c r="A193" s="27" t="n"/>
      <c r="B193" s="27" t="n"/>
      <c r="C193" s="27" t="n"/>
      <c r="D193" s="27" t="n"/>
      <c r="E193" s="31" t="n"/>
      <c r="F193" s="29" t="n"/>
      <c r="G193" s="27" t="n"/>
      <c r="H193" s="30">
        <f>IF($A193="","",SUMIF(tblAkis[KaynakEkipId],$A193,tblAkis[Tutar]))</f>
        <v/>
      </c>
      <c r="I193" s="30">
        <f>IF($A193="","",COUNTIFS(tblAkis[KaynakEkipId],$A193,tblAkis[Durum],"D8_KAPALI"))</f>
        <v/>
      </c>
    </row>
    <row r="194">
      <c r="A194" s="27" t="n"/>
      <c r="B194" s="27" t="n"/>
      <c r="C194" s="27" t="n"/>
      <c r="D194" s="27" t="n"/>
      <c r="E194" s="31" t="n"/>
      <c r="F194" s="29" t="n"/>
      <c r="G194" s="27" t="n"/>
      <c r="H194" s="30">
        <f>IF($A194="","",SUMIF(tblAkis[KaynakEkipId],$A194,tblAkis[Tutar]))</f>
        <v/>
      </c>
      <c r="I194" s="30">
        <f>IF($A194="","",COUNTIFS(tblAkis[KaynakEkipId],$A194,tblAkis[Durum],"D8_KAPALI"))</f>
        <v/>
      </c>
    </row>
    <row r="195">
      <c r="A195" s="27" t="n"/>
      <c r="B195" s="27" t="n"/>
      <c r="C195" s="27" t="n"/>
      <c r="D195" s="27" t="n"/>
      <c r="E195" s="31" t="n"/>
      <c r="F195" s="29" t="n"/>
      <c r="G195" s="27" t="n"/>
      <c r="H195" s="30">
        <f>IF($A195="","",SUMIF(tblAkis[KaynakEkipId],$A195,tblAkis[Tutar]))</f>
        <v/>
      </c>
      <c r="I195" s="30">
        <f>IF($A195="","",COUNTIFS(tblAkis[KaynakEkipId],$A195,tblAkis[Durum],"D8_KAPALI"))</f>
        <v/>
      </c>
    </row>
    <row r="196">
      <c r="A196" s="27" t="n"/>
      <c r="B196" s="27" t="n"/>
      <c r="C196" s="27" t="n"/>
      <c r="D196" s="27" t="n"/>
      <c r="E196" s="31" t="n"/>
      <c r="F196" s="29" t="n"/>
      <c r="G196" s="27" t="n"/>
      <c r="H196" s="30">
        <f>IF($A196="","",SUMIF(tblAkis[KaynakEkipId],$A196,tblAkis[Tutar]))</f>
        <v/>
      </c>
      <c r="I196" s="30">
        <f>IF($A196="","",COUNTIFS(tblAkis[KaynakEkipId],$A196,tblAkis[Durum],"D8_KAPALI"))</f>
        <v/>
      </c>
    </row>
    <row r="197">
      <c r="A197" s="27" t="n"/>
      <c r="B197" s="27" t="n"/>
      <c r="C197" s="27" t="n"/>
      <c r="D197" s="27" t="n"/>
      <c r="E197" s="31" t="n"/>
      <c r="F197" s="29" t="n"/>
      <c r="G197" s="27" t="n"/>
      <c r="H197" s="30">
        <f>IF($A197="","",SUMIF(tblAkis[KaynakEkipId],$A197,tblAkis[Tutar]))</f>
        <v/>
      </c>
      <c r="I197" s="30">
        <f>IF($A197="","",COUNTIFS(tblAkis[KaynakEkipId],$A197,tblAkis[Durum],"D8_KAPALI"))</f>
        <v/>
      </c>
    </row>
    <row r="198">
      <c r="A198" s="27" t="n"/>
      <c r="B198" s="27" t="n"/>
      <c r="C198" s="27" t="n"/>
      <c r="D198" s="27" t="n"/>
      <c r="E198" s="31" t="n"/>
      <c r="F198" s="29" t="n"/>
      <c r="G198" s="27" t="n"/>
      <c r="H198" s="30">
        <f>IF($A198="","",SUMIF(tblAkis[KaynakEkipId],$A198,tblAkis[Tutar]))</f>
        <v/>
      </c>
      <c r="I198" s="30">
        <f>IF($A198="","",COUNTIFS(tblAkis[KaynakEkipId],$A198,tblAkis[Durum],"D8_KAPALI"))</f>
        <v/>
      </c>
    </row>
    <row r="199">
      <c r="A199" s="27" t="n"/>
      <c r="B199" s="27" t="n"/>
      <c r="C199" s="27" t="n"/>
      <c r="D199" s="27" t="n"/>
      <c r="E199" s="31" t="n"/>
      <c r="F199" s="29" t="n"/>
      <c r="G199" s="27" t="n"/>
      <c r="H199" s="30">
        <f>IF($A199="","",SUMIF(tblAkis[KaynakEkipId],$A199,tblAkis[Tutar]))</f>
        <v/>
      </c>
      <c r="I199" s="30">
        <f>IF($A199="","",COUNTIFS(tblAkis[KaynakEkipId],$A199,tblAkis[Durum],"D8_KAPALI"))</f>
        <v/>
      </c>
    </row>
    <row r="200">
      <c r="A200" s="27" t="n"/>
      <c r="B200" s="27" t="n"/>
      <c r="C200" s="27" t="n"/>
      <c r="D200" s="27" t="n"/>
      <c r="E200" s="31" t="n"/>
      <c r="F200" s="29" t="n"/>
      <c r="G200" s="27" t="n"/>
      <c r="H200" s="30">
        <f>IF($A200="","",SUMIF(tblAkis[KaynakEkipId],$A200,tblAkis[Tutar]))</f>
        <v/>
      </c>
      <c r="I200" s="30">
        <f>IF($A200="","",COUNTIFS(tblAkis[KaynakEkipId],$A200,tblAkis[Durum],"D8_KAPALI"))</f>
        <v/>
      </c>
    </row>
    <row r="201">
      <c r="A201" s="27" t="n"/>
      <c r="B201" s="27" t="n"/>
      <c r="C201" s="27" t="n"/>
      <c r="D201" s="27" t="n"/>
      <c r="E201" s="31" t="n"/>
      <c r="F201" s="29" t="n"/>
      <c r="G201" s="27" t="n"/>
      <c r="H201" s="30">
        <f>IF($A201="","",SUMIF(tblAkis[KaynakEkipId],$A201,tblAkis[Tutar]))</f>
        <v/>
      </c>
      <c r="I201" s="30">
        <f>IF($A201="","",COUNTIFS(tblAkis[KaynakEkipId],$A201,tblAkis[Durum],"D8_KAPALI"))</f>
        <v/>
      </c>
    </row>
    <row r="202">
      <c r="A202" s="27" t="n"/>
      <c r="B202" s="27" t="n"/>
      <c r="C202" s="27" t="n"/>
      <c r="D202" s="27" t="n"/>
      <c r="E202" s="31" t="n"/>
      <c r="F202" s="29" t="n"/>
      <c r="G202" s="27" t="n"/>
      <c r="H202" s="30">
        <f>IF($A202="","",SUMIF(tblAkis[KaynakEkipId],$A202,tblAkis[Tutar]))</f>
        <v/>
      </c>
      <c r="I202" s="30">
        <f>IF($A202="","",COUNTIFS(tblAkis[KaynakEkipId],$A202,tblAkis[Durum],"D8_KAPALI"))</f>
        <v/>
      </c>
    </row>
    <row r="203">
      <c r="A203" s="27" t="n"/>
      <c r="B203" s="27" t="n"/>
      <c r="C203" s="27" t="n"/>
      <c r="D203" s="27" t="n"/>
      <c r="E203" s="31" t="n"/>
      <c r="F203" s="29" t="n"/>
      <c r="G203" s="27" t="n"/>
      <c r="H203" s="30">
        <f>IF($A203="","",SUMIF(tblAkis[KaynakEkipId],$A203,tblAkis[Tutar]))</f>
        <v/>
      </c>
      <c r="I203" s="30">
        <f>IF($A203="","",COUNTIFS(tblAkis[KaynakEkipId],$A203,tblAkis[Durum],"D8_KAPALI"))</f>
        <v/>
      </c>
    </row>
    <row r="204">
      <c r="A204" s="27" t="n"/>
      <c r="B204" s="27" t="n"/>
      <c r="C204" s="27" t="n"/>
      <c r="D204" s="27" t="n"/>
      <c r="E204" s="31" t="n"/>
      <c r="F204" s="29" t="n"/>
      <c r="G204" s="27" t="n"/>
      <c r="H204" s="30">
        <f>IF($A204="","",SUMIF(tblAkis[KaynakEkipId],$A204,tblAkis[Tutar]))</f>
        <v/>
      </c>
      <c r="I204" s="30">
        <f>IF($A204="","",COUNTIFS(tblAkis[KaynakEkipId],$A204,tblAkis[Durum],"D8_KAPALI"))</f>
        <v/>
      </c>
    </row>
    <row r="205">
      <c r="A205" s="27" t="n"/>
      <c r="B205" s="27" t="n"/>
      <c r="C205" s="27" t="n"/>
      <c r="D205" s="27" t="n"/>
      <c r="E205" s="31" t="n"/>
      <c r="F205" s="29" t="n"/>
      <c r="G205" s="27" t="n"/>
      <c r="H205" s="30">
        <f>IF($A205="","",SUMIF(tblAkis[KaynakEkipId],$A205,tblAkis[Tutar]))</f>
        <v/>
      </c>
      <c r="I205" s="30">
        <f>IF($A205="","",COUNTIFS(tblAkis[KaynakEkipId],$A205,tblAkis[Durum],"D8_KAPALI"))</f>
        <v/>
      </c>
    </row>
    <row r="206">
      <c r="A206" s="27" t="n"/>
      <c r="B206" s="27" t="n"/>
      <c r="C206" s="27" t="n"/>
      <c r="D206" s="27" t="n"/>
      <c r="E206" s="31" t="n"/>
      <c r="F206" s="29" t="n"/>
      <c r="G206" s="27" t="n"/>
      <c r="H206" s="30">
        <f>IF($A206="","",SUMIF(tblAkis[KaynakEkipId],$A206,tblAkis[Tutar]))</f>
        <v/>
      </c>
      <c r="I206" s="30">
        <f>IF($A206="","",COUNTIFS(tblAkis[KaynakEkipId],$A206,tblAkis[Durum],"D8_KAPALI"))</f>
        <v/>
      </c>
    </row>
    <row r="207">
      <c r="A207" s="27" t="n"/>
      <c r="B207" s="27" t="n"/>
      <c r="C207" s="27" t="n"/>
      <c r="D207" s="27" t="n"/>
      <c r="E207" s="31" t="n"/>
      <c r="F207" s="29" t="n"/>
      <c r="G207" s="27" t="n"/>
      <c r="H207" s="30">
        <f>IF($A207="","",SUMIF(tblAkis[KaynakEkipId],$A207,tblAkis[Tutar]))</f>
        <v/>
      </c>
      <c r="I207" s="30">
        <f>IF($A207="","",COUNTIFS(tblAkis[KaynakEkipId],$A207,tblAkis[Durum],"D8_KAPALI"))</f>
        <v/>
      </c>
    </row>
    <row r="208">
      <c r="A208" s="27" t="n"/>
      <c r="B208" s="27" t="n"/>
      <c r="C208" s="27" t="n"/>
      <c r="D208" s="27" t="n"/>
      <c r="E208" s="31" t="n"/>
      <c r="F208" s="29" t="n"/>
      <c r="G208" s="27" t="n"/>
      <c r="H208" s="30">
        <f>IF($A208="","",SUMIF(tblAkis[KaynakEkipId],$A208,tblAkis[Tutar]))</f>
        <v/>
      </c>
      <c r="I208" s="30">
        <f>IF($A208="","",COUNTIFS(tblAkis[KaynakEkipId],$A208,tblAkis[Durum],"D8_KAPALI"))</f>
        <v/>
      </c>
    </row>
    <row r="209">
      <c r="A209" s="27" t="n"/>
      <c r="B209" s="27" t="n"/>
      <c r="C209" s="27" t="n"/>
      <c r="D209" s="27" t="n"/>
      <c r="E209" s="31" t="n"/>
      <c r="F209" s="29" t="n"/>
      <c r="G209" s="27" t="n"/>
      <c r="H209" s="30">
        <f>IF($A209="","",SUMIF(tblAkis[KaynakEkipId],$A209,tblAkis[Tutar]))</f>
        <v/>
      </c>
      <c r="I209" s="30">
        <f>IF($A209="","",COUNTIFS(tblAkis[KaynakEkipId],$A209,tblAkis[Durum],"D8_KAPALI"))</f>
        <v/>
      </c>
    </row>
    <row r="210">
      <c r="A210" s="27" t="n"/>
      <c r="B210" s="27" t="n"/>
      <c r="C210" s="27" t="n"/>
      <c r="D210" s="27" t="n"/>
      <c r="E210" s="31" t="n"/>
      <c r="F210" s="29" t="n"/>
      <c r="G210" s="27" t="n"/>
      <c r="H210" s="30">
        <f>IF($A210="","",SUMIF(tblAkis[KaynakEkipId],$A210,tblAkis[Tutar]))</f>
        <v/>
      </c>
      <c r="I210" s="30">
        <f>IF($A210="","",COUNTIFS(tblAkis[KaynakEkipId],$A210,tblAkis[Durum],"D8_KAPALI"))</f>
        <v/>
      </c>
    </row>
    <row r="211">
      <c r="A211" s="27" t="n"/>
      <c r="B211" s="27" t="n"/>
      <c r="C211" s="27" t="n"/>
      <c r="D211" s="27" t="n"/>
      <c r="E211" s="31" t="n"/>
      <c r="F211" s="29" t="n"/>
      <c r="G211" s="27" t="n"/>
      <c r="H211" s="30">
        <f>IF($A211="","",SUMIF(tblAkis[KaynakEkipId],$A211,tblAkis[Tutar]))</f>
        <v/>
      </c>
      <c r="I211" s="30">
        <f>IF($A211="","",COUNTIFS(tblAkis[KaynakEkipId],$A211,tblAkis[Durum],"D8_KAPALI"))</f>
        <v/>
      </c>
    </row>
    <row r="212">
      <c r="A212" s="27" t="n"/>
      <c r="B212" s="27" t="n"/>
      <c r="C212" s="27" t="n"/>
      <c r="D212" s="27" t="n"/>
      <c r="E212" s="31" t="n"/>
      <c r="F212" s="29" t="n"/>
      <c r="G212" s="27" t="n"/>
      <c r="H212" s="30">
        <f>IF($A212="","",SUMIF(tblAkis[KaynakEkipId],$A212,tblAkis[Tutar]))</f>
        <v/>
      </c>
      <c r="I212" s="30">
        <f>IF($A212="","",COUNTIFS(tblAkis[KaynakEkipId],$A212,tblAkis[Durum],"D8_KAPALI"))</f>
        <v/>
      </c>
    </row>
    <row r="213">
      <c r="A213" s="27" t="n"/>
      <c r="B213" s="27" t="n"/>
      <c r="C213" s="27" t="n"/>
      <c r="D213" s="27" t="n"/>
      <c r="E213" s="31" t="n"/>
      <c r="F213" s="29" t="n"/>
      <c r="G213" s="27" t="n"/>
      <c r="H213" s="30">
        <f>IF($A213="","",SUMIF(tblAkis[KaynakEkipId],$A213,tblAkis[Tutar]))</f>
        <v/>
      </c>
      <c r="I213" s="30">
        <f>IF($A213="","",COUNTIFS(tblAkis[KaynakEkipId],$A213,tblAkis[Durum],"D8_KAPALI"))</f>
        <v/>
      </c>
    </row>
    <row r="214">
      <c r="A214" s="27" t="n"/>
      <c r="B214" s="27" t="n"/>
      <c r="C214" s="27" t="n"/>
      <c r="D214" s="27" t="n"/>
      <c r="E214" s="31" t="n"/>
      <c r="F214" s="29" t="n"/>
      <c r="G214" s="27" t="n"/>
      <c r="H214" s="30">
        <f>IF($A214="","",SUMIF(tblAkis[KaynakEkipId],$A214,tblAkis[Tutar]))</f>
        <v/>
      </c>
      <c r="I214" s="30">
        <f>IF($A214="","",COUNTIFS(tblAkis[KaynakEkipId],$A214,tblAkis[Durum],"D8_KAPALI"))</f>
        <v/>
      </c>
    </row>
    <row r="215">
      <c r="A215" s="27" t="n"/>
      <c r="B215" s="27" t="n"/>
      <c r="C215" s="27" t="n"/>
      <c r="D215" s="27" t="n"/>
      <c r="E215" s="31" t="n"/>
      <c r="F215" s="29" t="n"/>
      <c r="G215" s="27" t="n"/>
      <c r="H215" s="30">
        <f>IF($A215="","",SUMIF(tblAkis[KaynakEkipId],$A215,tblAkis[Tutar]))</f>
        <v/>
      </c>
      <c r="I215" s="30">
        <f>IF($A215="","",COUNTIFS(tblAkis[KaynakEkipId],$A215,tblAkis[Durum],"D8_KAPALI"))</f>
        <v/>
      </c>
    </row>
    <row r="216">
      <c r="A216" s="27" t="n"/>
      <c r="B216" s="27" t="n"/>
      <c r="C216" s="27" t="n"/>
      <c r="D216" s="27" t="n"/>
      <c r="E216" s="31" t="n"/>
      <c r="F216" s="29" t="n"/>
      <c r="G216" s="27" t="n"/>
      <c r="H216" s="30">
        <f>IF($A216="","",SUMIF(tblAkis[KaynakEkipId],$A216,tblAkis[Tutar]))</f>
        <v/>
      </c>
      <c r="I216" s="30">
        <f>IF($A216="","",COUNTIFS(tblAkis[KaynakEkipId],$A216,tblAkis[Durum],"D8_KAPALI"))</f>
        <v/>
      </c>
    </row>
    <row r="217">
      <c r="A217" s="27" t="n"/>
      <c r="B217" s="27" t="n"/>
      <c r="C217" s="27" t="n"/>
      <c r="D217" s="27" t="n"/>
      <c r="E217" s="31" t="n"/>
      <c r="F217" s="29" t="n"/>
      <c r="G217" s="27" t="n"/>
      <c r="H217" s="30">
        <f>IF($A217="","",SUMIF(tblAkis[KaynakEkipId],$A217,tblAkis[Tutar]))</f>
        <v/>
      </c>
      <c r="I217" s="30">
        <f>IF($A217="","",COUNTIFS(tblAkis[KaynakEkipId],$A217,tblAkis[Durum],"D8_KAPALI"))</f>
        <v/>
      </c>
    </row>
    <row r="218">
      <c r="A218" s="27" t="n"/>
      <c r="B218" s="27" t="n"/>
      <c r="C218" s="27" t="n"/>
      <c r="D218" s="27" t="n"/>
      <c r="E218" s="31" t="n"/>
      <c r="F218" s="29" t="n"/>
      <c r="G218" s="27" t="n"/>
      <c r="H218" s="30">
        <f>IF($A218="","",SUMIF(tblAkis[KaynakEkipId],$A218,tblAkis[Tutar]))</f>
        <v/>
      </c>
      <c r="I218" s="30">
        <f>IF($A218="","",COUNTIFS(tblAkis[KaynakEkipId],$A218,tblAkis[Durum],"D8_KAPALI"))</f>
        <v/>
      </c>
    </row>
    <row r="219">
      <c r="A219" s="27" t="n"/>
      <c r="B219" s="27" t="n"/>
      <c r="C219" s="27" t="n"/>
      <c r="D219" s="27" t="n"/>
      <c r="E219" s="31" t="n"/>
      <c r="F219" s="29" t="n"/>
      <c r="G219" s="27" t="n"/>
      <c r="H219" s="30">
        <f>IF($A219="","",SUMIF(tblAkis[KaynakEkipId],$A219,tblAkis[Tutar]))</f>
        <v/>
      </c>
      <c r="I219" s="30">
        <f>IF($A219="","",COUNTIFS(tblAkis[KaynakEkipId],$A219,tblAkis[Durum],"D8_KAPALI"))</f>
        <v/>
      </c>
    </row>
    <row r="220">
      <c r="A220" s="27" t="n"/>
      <c r="B220" s="27" t="n"/>
      <c r="C220" s="27" t="n"/>
      <c r="D220" s="27" t="n"/>
      <c r="E220" s="31" t="n"/>
      <c r="F220" s="29" t="n"/>
      <c r="G220" s="27" t="n"/>
      <c r="H220" s="30">
        <f>IF($A220="","",SUMIF(tblAkis[KaynakEkipId],$A220,tblAkis[Tutar]))</f>
        <v/>
      </c>
      <c r="I220" s="30">
        <f>IF($A220="","",COUNTIFS(tblAkis[KaynakEkipId],$A220,tblAkis[Durum],"D8_KAPALI"))</f>
        <v/>
      </c>
    </row>
    <row r="221">
      <c r="A221" s="27" t="n"/>
      <c r="B221" s="27" t="n"/>
      <c r="C221" s="27" t="n"/>
      <c r="D221" s="27" t="n"/>
      <c r="E221" s="31" t="n"/>
      <c r="F221" s="29" t="n"/>
      <c r="G221" s="27" t="n"/>
      <c r="H221" s="30">
        <f>IF($A221="","",SUMIF(tblAkis[KaynakEkipId],$A221,tblAkis[Tutar]))</f>
        <v/>
      </c>
      <c r="I221" s="30">
        <f>IF($A221="","",COUNTIFS(tblAkis[KaynakEkipId],$A221,tblAkis[Durum],"D8_KAPALI"))</f>
        <v/>
      </c>
    </row>
    <row r="222">
      <c r="A222" s="27" t="n"/>
      <c r="B222" s="27" t="n"/>
      <c r="C222" s="27" t="n"/>
      <c r="D222" s="27" t="n"/>
      <c r="E222" s="31" t="n"/>
      <c r="F222" s="29" t="n"/>
      <c r="G222" s="27" t="n"/>
      <c r="H222" s="30">
        <f>IF($A222="","",SUMIF(tblAkis[KaynakEkipId],$A222,tblAkis[Tutar]))</f>
        <v/>
      </c>
      <c r="I222" s="30">
        <f>IF($A222="","",COUNTIFS(tblAkis[KaynakEkipId],$A222,tblAkis[Durum],"D8_KAPALI"))</f>
        <v/>
      </c>
    </row>
    <row r="223">
      <c r="A223" s="27" t="n"/>
      <c r="B223" s="27" t="n"/>
      <c r="C223" s="27" t="n"/>
      <c r="D223" s="27" t="n"/>
      <c r="E223" s="31" t="n"/>
      <c r="F223" s="29" t="n"/>
      <c r="G223" s="27" t="n"/>
      <c r="H223" s="30">
        <f>IF($A223="","",SUMIF(tblAkis[KaynakEkipId],$A223,tblAkis[Tutar]))</f>
        <v/>
      </c>
      <c r="I223" s="30">
        <f>IF($A223="","",COUNTIFS(tblAkis[KaynakEkipId],$A223,tblAkis[Durum],"D8_KAPALI"))</f>
        <v/>
      </c>
    </row>
    <row r="224">
      <c r="A224" s="27" t="n"/>
      <c r="B224" s="27" t="n"/>
      <c r="C224" s="27" t="n"/>
      <c r="D224" s="27" t="n"/>
      <c r="E224" s="31" t="n"/>
      <c r="F224" s="29" t="n"/>
      <c r="G224" s="27" t="n"/>
      <c r="H224" s="30">
        <f>IF($A224="","",SUMIF(tblAkis[KaynakEkipId],$A224,tblAkis[Tutar]))</f>
        <v/>
      </c>
      <c r="I224" s="30">
        <f>IF($A224="","",COUNTIFS(tblAkis[KaynakEkipId],$A224,tblAkis[Durum],"D8_KAPALI"))</f>
        <v/>
      </c>
    </row>
    <row r="225">
      <c r="A225" s="27" t="n"/>
      <c r="B225" s="27" t="n"/>
      <c r="C225" s="27" t="n"/>
      <c r="D225" s="27" t="n"/>
      <c r="E225" s="31" t="n"/>
      <c r="F225" s="29" t="n"/>
      <c r="G225" s="27" t="n"/>
      <c r="H225" s="30">
        <f>IF($A225="","",SUMIF(tblAkis[KaynakEkipId],$A225,tblAkis[Tutar]))</f>
        <v/>
      </c>
      <c r="I225" s="30">
        <f>IF($A225="","",COUNTIFS(tblAkis[KaynakEkipId],$A225,tblAkis[Durum],"D8_KAPALI"))</f>
        <v/>
      </c>
    </row>
    <row r="226">
      <c r="A226" s="27" t="n"/>
      <c r="B226" s="27" t="n"/>
      <c r="C226" s="27" t="n"/>
      <c r="D226" s="27" t="n"/>
      <c r="E226" s="31" t="n"/>
      <c r="F226" s="29" t="n"/>
      <c r="G226" s="27" t="n"/>
      <c r="H226" s="30">
        <f>IF($A226="","",SUMIF(tblAkis[KaynakEkipId],$A226,tblAkis[Tutar]))</f>
        <v/>
      </c>
      <c r="I226" s="30">
        <f>IF($A226="","",COUNTIFS(tblAkis[KaynakEkipId],$A226,tblAkis[Durum],"D8_KAPALI"))</f>
        <v/>
      </c>
    </row>
    <row r="227">
      <c r="A227" s="27" t="n"/>
      <c r="B227" s="27" t="n"/>
      <c r="C227" s="27" t="n"/>
      <c r="D227" s="27" t="n"/>
      <c r="E227" s="31" t="n"/>
      <c r="F227" s="29" t="n"/>
      <c r="G227" s="27" t="n"/>
      <c r="H227" s="30">
        <f>IF($A227="","",SUMIF(tblAkis[KaynakEkipId],$A227,tblAkis[Tutar]))</f>
        <v/>
      </c>
      <c r="I227" s="30">
        <f>IF($A227="","",COUNTIFS(tblAkis[KaynakEkipId],$A227,tblAkis[Durum],"D8_KAPALI"))</f>
        <v/>
      </c>
    </row>
    <row r="228">
      <c r="A228" s="27" t="n"/>
      <c r="B228" s="27" t="n"/>
      <c r="C228" s="27" t="n"/>
      <c r="D228" s="27" t="n"/>
      <c r="E228" s="31" t="n"/>
      <c r="F228" s="29" t="n"/>
      <c r="G228" s="27" t="n"/>
      <c r="H228" s="30">
        <f>IF($A228="","",SUMIF(tblAkis[KaynakEkipId],$A228,tblAkis[Tutar]))</f>
        <v/>
      </c>
      <c r="I228" s="30">
        <f>IF($A228="","",COUNTIFS(tblAkis[KaynakEkipId],$A228,tblAkis[Durum],"D8_KAPALI"))</f>
        <v/>
      </c>
    </row>
    <row r="229">
      <c r="A229" s="27" t="n"/>
      <c r="B229" s="27" t="n"/>
      <c r="C229" s="27" t="n"/>
      <c r="D229" s="27" t="n"/>
      <c r="E229" s="31" t="n"/>
      <c r="F229" s="29" t="n"/>
      <c r="G229" s="27" t="n"/>
      <c r="H229" s="30">
        <f>IF($A229="","",SUMIF(tblAkis[KaynakEkipId],$A229,tblAkis[Tutar]))</f>
        <v/>
      </c>
      <c r="I229" s="30">
        <f>IF($A229="","",COUNTIFS(tblAkis[KaynakEkipId],$A229,tblAkis[Durum],"D8_KAPALI"))</f>
        <v/>
      </c>
    </row>
    <row r="230">
      <c r="A230" s="27" t="n"/>
      <c r="B230" s="27" t="n"/>
      <c r="C230" s="27" t="n"/>
      <c r="D230" s="27" t="n"/>
      <c r="E230" s="31" t="n"/>
      <c r="F230" s="29" t="n"/>
      <c r="G230" s="27" t="n"/>
      <c r="H230" s="30">
        <f>IF($A230="","",SUMIF(tblAkis[KaynakEkipId],$A230,tblAkis[Tutar]))</f>
        <v/>
      </c>
      <c r="I230" s="30">
        <f>IF($A230="","",COUNTIFS(tblAkis[KaynakEkipId],$A230,tblAkis[Durum],"D8_KAPALI"))</f>
        <v/>
      </c>
    </row>
    <row r="231">
      <c r="A231" s="27" t="n"/>
      <c r="B231" s="27" t="n"/>
      <c r="C231" s="27" t="n"/>
      <c r="D231" s="27" t="n"/>
      <c r="E231" s="31" t="n"/>
      <c r="F231" s="29" t="n"/>
      <c r="G231" s="27" t="n"/>
      <c r="H231" s="30">
        <f>IF($A231="","",SUMIF(tblAkis[KaynakEkipId],$A231,tblAkis[Tutar]))</f>
        <v/>
      </c>
      <c r="I231" s="30">
        <f>IF($A231="","",COUNTIFS(tblAkis[KaynakEkipId],$A231,tblAkis[Durum],"D8_KAPALI"))</f>
        <v/>
      </c>
    </row>
    <row r="232">
      <c r="A232" s="27" t="n"/>
      <c r="B232" s="27" t="n"/>
      <c r="C232" s="27" t="n"/>
      <c r="D232" s="27" t="n"/>
      <c r="E232" s="31" t="n"/>
      <c r="F232" s="29" t="n"/>
      <c r="G232" s="27" t="n"/>
      <c r="H232" s="30">
        <f>IF($A232="","",SUMIF(tblAkis[KaynakEkipId],$A232,tblAkis[Tutar]))</f>
        <v/>
      </c>
      <c r="I232" s="30">
        <f>IF($A232="","",COUNTIFS(tblAkis[KaynakEkipId],$A232,tblAkis[Durum],"D8_KAPALI"))</f>
        <v/>
      </c>
    </row>
    <row r="233">
      <c r="A233" s="27" t="n"/>
      <c r="B233" s="27" t="n"/>
      <c r="C233" s="27" t="n"/>
      <c r="D233" s="27" t="n"/>
      <c r="E233" s="31" t="n"/>
      <c r="F233" s="29" t="n"/>
      <c r="G233" s="27" t="n"/>
      <c r="H233" s="30">
        <f>IF($A233="","",SUMIF(tblAkis[KaynakEkipId],$A233,tblAkis[Tutar]))</f>
        <v/>
      </c>
      <c r="I233" s="30">
        <f>IF($A233="","",COUNTIFS(tblAkis[KaynakEkipId],$A233,tblAkis[Durum],"D8_KAPALI"))</f>
        <v/>
      </c>
    </row>
    <row r="234">
      <c r="A234" s="27" t="n"/>
      <c r="B234" s="27" t="n"/>
      <c r="C234" s="27" t="n"/>
      <c r="D234" s="27" t="n"/>
      <c r="E234" s="31" t="n"/>
      <c r="F234" s="29" t="n"/>
      <c r="G234" s="27" t="n"/>
      <c r="H234" s="30">
        <f>IF($A234="","",SUMIF(tblAkis[KaynakEkipId],$A234,tblAkis[Tutar]))</f>
        <v/>
      </c>
      <c r="I234" s="30">
        <f>IF($A234="","",COUNTIFS(tblAkis[KaynakEkipId],$A234,tblAkis[Durum],"D8_KAPALI"))</f>
        <v/>
      </c>
    </row>
    <row r="235">
      <c r="A235" s="27" t="n"/>
      <c r="B235" s="27" t="n"/>
      <c r="C235" s="27" t="n"/>
      <c r="D235" s="27" t="n"/>
      <c r="E235" s="31" t="n"/>
      <c r="F235" s="29" t="n"/>
      <c r="G235" s="27" t="n"/>
      <c r="H235" s="30">
        <f>IF($A235="","",SUMIF(tblAkis[KaynakEkipId],$A235,tblAkis[Tutar]))</f>
        <v/>
      </c>
      <c r="I235" s="30">
        <f>IF($A235="","",COUNTIFS(tblAkis[KaynakEkipId],$A235,tblAkis[Durum],"D8_KAPALI"))</f>
        <v/>
      </c>
    </row>
    <row r="236">
      <c r="A236" s="27" t="n"/>
      <c r="B236" s="27" t="n"/>
      <c r="C236" s="27" t="n"/>
      <c r="D236" s="27" t="n"/>
      <c r="E236" s="31" t="n"/>
      <c r="F236" s="29" t="n"/>
      <c r="G236" s="27" t="n"/>
      <c r="H236" s="30">
        <f>IF($A236="","",SUMIF(tblAkis[KaynakEkipId],$A236,tblAkis[Tutar]))</f>
        <v/>
      </c>
      <c r="I236" s="30">
        <f>IF($A236="","",COUNTIFS(tblAkis[KaynakEkipId],$A236,tblAkis[Durum],"D8_KAPALI"))</f>
        <v/>
      </c>
    </row>
    <row r="237">
      <c r="A237" s="27" t="n"/>
      <c r="B237" s="27" t="n"/>
      <c r="C237" s="27" t="n"/>
      <c r="D237" s="27" t="n"/>
      <c r="E237" s="31" t="n"/>
      <c r="F237" s="29" t="n"/>
      <c r="G237" s="27" t="n"/>
      <c r="H237" s="30">
        <f>IF($A237="","",SUMIF(tblAkis[KaynakEkipId],$A237,tblAkis[Tutar]))</f>
        <v/>
      </c>
      <c r="I237" s="30">
        <f>IF($A237="","",COUNTIFS(tblAkis[KaynakEkipId],$A237,tblAkis[Durum],"D8_KAPALI"))</f>
        <v/>
      </c>
    </row>
    <row r="238">
      <c r="A238" s="27" t="n"/>
      <c r="B238" s="27" t="n"/>
      <c r="C238" s="27" t="n"/>
      <c r="D238" s="27" t="n"/>
      <c r="E238" s="31" t="n"/>
      <c r="F238" s="29" t="n"/>
      <c r="G238" s="27" t="n"/>
      <c r="H238" s="30">
        <f>IF($A238="","",SUMIF(tblAkis[KaynakEkipId],$A238,tblAkis[Tutar]))</f>
        <v/>
      </c>
      <c r="I238" s="30">
        <f>IF($A238="","",COUNTIFS(tblAkis[KaynakEkipId],$A238,tblAkis[Durum],"D8_KAPALI"))</f>
        <v/>
      </c>
    </row>
    <row r="239">
      <c r="A239" s="27" t="n"/>
      <c r="B239" s="27" t="n"/>
      <c r="C239" s="27" t="n"/>
      <c r="D239" s="27" t="n"/>
      <c r="E239" s="31" t="n"/>
      <c r="F239" s="29" t="n"/>
      <c r="G239" s="27" t="n"/>
      <c r="H239" s="30">
        <f>IF($A239="","",SUMIF(tblAkis[KaynakEkipId],$A239,tblAkis[Tutar]))</f>
        <v/>
      </c>
      <c r="I239" s="30">
        <f>IF($A239="","",COUNTIFS(tblAkis[KaynakEkipId],$A239,tblAkis[Durum],"D8_KAPALI"))</f>
        <v/>
      </c>
    </row>
    <row r="240">
      <c r="A240" s="27" t="n"/>
      <c r="B240" s="27" t="n"/>
      <c r="C240" s="27" t="n"/>
      <c r="D240" s="27" t="n"/>
      <c r="E240" s="31" t="n"/>
      <c r="F240" s="29" t="n"/>
      <c r="G240" s="27" t="n"/>
      <c r="H240" s="30">
        <f>IF($A240="","",SUMIF(tblAkis[KaynakEkipId],$A240,tblAkis[Tutar]))</f>
        <v/>
      </c>
      <c r="I240" s="30">
        <f>IF($A240="","",COUNTIFS(tblAkis[KaynakEkipId],$A240,tblAkis[Durum],"D8_KAPALI"))</f>
        <v/>
      </c>
    </row>
    <row r="241">
      <c r="A241" s="27" t="n"/>
      <c r="B241" s="27" t="n"/>
      <c r="C241" s="27" t="n"/>
      <c r="D241" s="27" t="n"/>
      <c r="E241" s="31" t="n"/>
      <c r="F241" s="29" t="n"/>
      <c r="G241" s="27" t="n"/>
      <c r="H241" s="30">
        <f>IF($A241="","",SUMIF(tblAkis[KaynakEkipId],$A241,tblAkis[Tutar]))</f>
        <v/>
      </c>
      <c r="I241" s="30">
        <f>IF($A241="","",COUNTIFS(tblAkis[KaynakEkipId],$A241,tblAkis[Durum],"D8_KAPALI"))</f>
        <v/>
      </c>
    </row>
    <row r="242">
      <c r="A242" s="27" t="n"/>
      <c r="B242" s="27" t="n"/>
      <c r="C242" s="27" t="n"/>
      <c r="D242" s="27" t="n"/>
      <c r="E242" s="31" t="n"/>
      <c r="F242" s="29" t="n"/>
      <c r="G242" s="27" t="n"/>
      <c r="H242" s="30">
        <f>IF($A242="","",SUMIF(tblAkis[KaynakEkipId],$A242,tblAkis[Tutar]))</f>
        <v/>
      </c>
      <c r="I242" s="30">
        <f>IF($A242="","",COUNTIFS(tblAkis[KaynakEkipId],$A242,tblAkis[Durum],"D8_KAPALI"))</f>
        <v/>
      </c>
    </row>
    <row r="243">
      <c r="A243" s="27" t="n"/>
      <c r="B243" s="27" t="n"/>
      <c r="C243" s="27" t="n"/>
      <c r="D243" s="27" t="n"/>
      <c r="E243" s="31" t="n"/>
      <c r="F243" s="29" t="n"/>
      <c r="G243" s="27" t="n"/>
      <c r="H243" s="30">
        <f>IF($A243="","",SUMIF(tblAkis[KaynakEkipId],$A243,tblAkis[Tutar]))</f>
        <v/>
      </c>
      <c r="I243" s="30">
        <f>IF($A243="","",COUNTIFS(tblAkis[KaynakEkipId],$A243,tblAkis[Durum],"D8_KAPALI"))</f>
        <v/>
      </c>
    </row>
    <row r="244">
      <c r="A244" s="27" t="n"/>
      <c r="B244" s="27" t="n"/>
      <c r="C244" s="27" t="n"/>
      <c r="D244" s="27" t="n"/>
      <c r="E244" s="31" t="n"/>
      <c r="F244" s="29" t="n"/>
      <c r="G244" s="27" t="n"/>
      <c r="H244" s="30">
        <f>IF($A244="","",SUMIF(tblAkis[KaynakEkipId],$A244,tblAkis[Tutar]))</f>
        <v/>
      </c>
      <c r="I244" s="30">
        <f>IF($A244="","",COUNTIFS(tblAkis[KaynakEkipId],$A244,tblAkis[Durum],"D8_KAPALI"))</f>
        <v/>
      </c>
    </row>
    <row r="245">
      <c r="A245" s="27" t="n"/>
      <c r="B245" s="27" t="n"/>
      <c r="C245" s="27" t="n"/>
      <c r="D245" s="27" t="n"/>
      <c r="E245" s="31" t="n"/>
      <c r="F245" s="29" t="n"/>
      <c r="G245" s="27" t="n"/>
      <c r="H245" s="30">
        <f>IF($A245="","",SUMIF(tblAkis[KaynakEkipId],$A245,tblAkis[Tutar]))</f>
        <v/>
      </c>
      <c r="I245" s="30">
        <f>IF($A245="","",COUNTIFS(tblAkis[KaynakEkipId],$A245,tblAkis[Durum],"D8_KAPALI"))</f>
        <v/>
      </c>
    </row>
    <row r="246">
      <c r="A246" s="27" t="n"/>
      <c r="B246" s="27" t="n"/>
      <c r="C246" s="27" t="n"/>
      <c r="D246" s="27" t="n"/>
      <c r="E246" s="31" t="n"/>
      <c r="F246" s="29" t="n"/>
      <c r="G246" s="27" t="n"/>
      <c r="H246" s="30">
        <f>IF($A246="","",SUMIF(tblAkis[KaynakEkipId],$A246,tblAkis[Tutar]))</f>
        <v/>
      </c>
      <c r="I246" s="30">
        <f>IF($A246="","",COUNTIFS(tblAkis[KaynakEkipId],$A246,tblAkis[Durum],"D8_KAPALI"))</f>
        <v/>
      </c>
    </row>
    <row r="247">
      <c r="A247" s="27" t="n"/>
      <c r="B247" s="27" t="n"/>
      <c r="C247" s="27" t="n"/>
      <c r="D247" s="27" t="n"/>
      <c r="E247" s="31" t="n"/>
      <c r="F247" s="29" t="n"/>
      <c r="G247" s="27" t="n"/>
      <c r="H247" s="30">
        <f>IF($A247="","",SUMIF(tblAkis[KaynakEkipId],$A247,tblAkis[Tutar]))</f>
        <v/>
      </c>
      <c r="I247" s="30">
        <f>IF($A247="","",COUNTIFS(tblAkis[KaynakEkipId],$A247,tblAkis[Durum],"D8_KAPALI"))</f>
        <v/>
      </c>
    </row>
    <row r="248">
      <c r="A248" s="27" t="n"/>
      <c r="B248" s="27" t="n"/>
      <c r="C248" s="27" t="n"/>
      <c r="D248" s="27" t="n"/>
      <c r="E248" s="31" t="n"/>
      <c r="F248" s="29" t="n"/>
      <c r="G248" s="27" t="n"/>
      <c r="H248" s="30">
        <f>IF($A248="","",SUMIF(tblAkis[KaynakEkipId],$A248,tblAkis[Tutar]))</f>
        <v/>
      </c>
      <c r="I248" s="30">
        <f>IF($A248="","",COUNTIFS(tblAkis[KaynakEkipId],$A248,tblAkis[Durum],"D8_KAPALI"))</f>
        <v/>
      </c>
    </row>
    <row r="249">
      <c r="A249" s="27" t="n"/>
      <c r="B249" s="27" t="n"/>
      <c r="C249" s="27" t="n"/>
      <c r="D249" s="27" t="n"/>
      <c r="E249" s="31" t="n"/>
      <c r="F249" s="29" t="n"/>
      <c r="G249" s="27" t="n"/>
      <c r="H249" s="30">
        <f>IF($A249="","",SUMIF(tblAkis[KaynakEkipId],$A249,tblAkis[Tutar]))</f>
        <v/>
      </c>
      <c r="I249" s="30">
        <f>IF($A249="","",COUNTIFS(tblAkis[KaynakEkipId],$A249,tblAkis[Durum],"D8_KAPALI"))</f>
        <v/>
      </c>
    </row>
    <row r="250">
      <c r="A250" s="27" t="n"/>
      <c r="B250" s="27" t="n"/>
      <c r="C250" s="27" t="n"/>
      <c r="D250" s="27" t="n"/>
      <c r="E250" s="31" t="n"/>
      <c r="F250" s="29" t="n"/>
      <c r="G250" s="27" t="n"/>
      <c r="H250" s="30">
        <f>IF($A250="","",SUMIF(tblAkis[KaynakEkipId],$A250,tblAkis[Tutar]))</f>
        <v/>
      </c>
      <c r="I250" s="30">
        <f>IF($A250="","",COUNTIFS(tblAkis[KaynakEkipId],$A250,tblAkis[Durum],"D8_KAPALI"))</f>
        <v/>
      </c>
    </row>
    <row r="251">
      <c r="A251" s="27" t="n"/>
      <c r="B251" s="27" t="n"/>
      <c r="C251" s="27" t="n"/>
      <c r="D251" s="27" t="n"/>
      <c r="E251" s="31" t="n"/>
      <c r="F251" s="29" t="n"/>
      <c r="G251" s="27" t="n"/>
      <c r="H251" s="30">
        <f>IF($A251="","",SUMIF(tblAkis[KaynakEkipId],$A251,tblAkis[Tutar]))</f>
        <v/>
      </c>
      <c r="I251" s="30">
        <f>IF($A251="","",COUNTIFS(tblAkis[KaynakEkipId],$A251,tblAkis[Durum],"D8_KAPALI"))</f>
        <v/>
      </c>
    </row>
    <row r="252">
      <c r="A252" s="27" t="n"/>
      <c r="B252" s="27" t="n"/>
      <c r="C252" s="27" t="n"/>
      <c r="D252" s="27" t="n"/>
      <c r="E252" s="31" t="n"/>
      <c r="F252" s="29" t="n"/>
      <c r="G252" s="27" t="n"/>
      <c r="H252" s="30">
        <f>IF($A252="","",SUMIF(tblAkis[KaynakEkipId],$A252,tblAkis[Tutar]))</f>
        <v/>
      </c>
      <c r="I252" s="30">
        <f>IF($A252="","",COUNTIFS(tblAkis[KaynakEkipId],$A252,tblAkis[Durum],"D8_KAPALI"))</f>
        <v/>
      </c>
    </row>
    <row r="253">
      <c r="A253" s="27" t="n"/>
      <c r="B253" s="27" t="n"/>
      <c r="C253" s="27" t="n"/>
      <c r="D253" s="27" t="n"/>
      <c r="E253" s="31" t="n"/>
      <c r="F253" s="29" t="n"/>
      <c r="G253" s="27" t="n"/>
      <c r="H253" s="30">
        <f>IF($A253="","",SUMIF(tblAkis[KaynakEkipId],$A253,tblAkis[Tutar]))</f>
        <v/>
      </c>
      <c r="I253" s="30">
        <f>IF($A253="","",COUNTIFS(tblAkis[KaynakEkipId],$A253,tblAkis[Durum],"D8_KAPALI"))</f>
        <v/>
      </c>
    </row>
    <row r="254">
      <c r="A254" s="27" t="n"/>
      <c r="B254" s="27" t="n"/>
      <c r="C254" s="27" t="n"/>
      <c r="D254" s="27" t="n"/>
      <c r="E254" s="31" t="n"/>
      <c r="F254" s="29" t="n"/>
      <c r="G254" s="27" t="n"/>
      <c r="H254" s="30">
        <f>IF($A254="","",SUMIF(tblAkis[KaynakEkipId],$A254,tblAkis[Tutar]))</f>
        <v/>
      </c>
      <c r="I254" s="30">
        <f>IF($A254="","",COUNTIFS(tblAkis[KaynakEkipId],$A254,tblAkis[Durum],"D8_KAPALI"))</f>
        <v/>
      </c>
    </row>
    <row r="255">
      <c r="A255" s="27" t="n"/>
      <c r="B255" s="27" t="n"/>
      <c r="C255" s="27" t="n"/>
      <c r="D255" s="27" t="n"/>
      <c r="E255" s="31" t="n"/>
      <c r="F255" s="29" t="n"/>
      <c r="G255" s="27" t="n"/>
      <c r="H255" s="30">
        <f>IF($A255="","",SUMIF(tblAkis[KaynakEkipId],$A255,tblAkis[Tutar]))</f>
        <v/>
      </c>
      <c r="I255" s="30">
        <f>IF($A255="","",COUNTIFS(tblAkis[KaynakEkipId],$A255,tblAkis[Durum],"D8_KAPALI"))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5</formula>
    </cfRule>
  </conditionalFormatting>
  <dataValidations count="7">
    <dataValidation sqref="A6:A255" showDropDown="0" showInputMessage="1" showErrorMessage="1" allowBlank="1" errorTitle="Kimlik" error="En az 1 karakter" promptTitle="Kart Kimliği" prompt="EKP-##### girin" type="textLength" errorStyle="stop" operator="greaterThan">
      <formula1>1</formula1>
      <formula2>40</formula2>
    </dataValidation>
    <dataValidation sqref="B6:B255" showDropDown="0" showInputMessage="1" showErrorMessage="1" allowBlank="1" errorTitle="Ad" error="Geçersiz" promptTitle="Ad" prompt="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Bolum" error="Geçersiz" promptTitle="Bolum" prompt="Bolum girin" type="textLength" errorStyle="stop" operator="greaterThanOrEqual">
      <formula1>0</formula1>
      <formula2>80</formula2>
    </dataValidation>
    <dataValidation sqref="D6:D255" showDropDown="0" showInputMessage="1" showErrorMessage="1" allowBlank="1" errorTitle="Rol" error="Geçersiz" promptTitle="Rol" prompt="Rol girin" type="textLength" errorStyle="stop" operator="greaterThanOrEqual">
      <formula1>0</formula1>
      <formula2>80</formula2>
    </dataValidation>
    <dataValidation sqref="E6:E255" showDropDown="0" showInputMessage="1" showErrorMessage="1" allowBlank="1" errorTitle="Hedef" error="0 veya üzeri" promptTitle="Hedef" prompt="Hedef ≥ 0" type="decimal" errorStyle="stop" operator="greaterThanOrEqual">
      <formula1>0</formula1>
    </dataValidation>
    <dataValidation sqref="F6:F255" showDropDown="0" showInputMessage="1" showErrorMessage="1" allowBlank="1" errorTitle="Oran" error="0–1" promptTitle="Oran" prompt="0–1 arası" type="decimal" errorStyle="stop" operator="between">
      <formula1>0</formula1>
      <formula2>1</formula2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/>
  </sheetPr>
  <dimension ref="A1:W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6.5" customWidth="1" min="2" max="2"/>
    <col width="17.5" customWidth="1" min="3" max="3"/>
    <col width="23.5" customWidth="1" min="4" max="4"/>
    <col width="15.5" customWidth="1" min="5" max="5"/>
    <col width="15.5" customWidth="1" min="6" max="6"/>
    <col width="17.5" customWidth="1" min="7" max="7"/>
    <col width="19.5" customWidth="1" min="8" max="8"/>
    <col width="17.5" customWidth="1" min="9" max="9"/>
    <col width="14.5" customWidth="1" min="10" max="10"/>
    <col width="17.5" customWidth="1" min="11" max="11"/>
    <col width="12" customWidth="1" min="12" max="12"/>
    <col width="15.5" customWidth="1" min="13" max="13"/>
    <col width="12" customWidth="1" min="14" max="14"/>
    <col width="19.5" customWidth="1" min="15" max="15"/>
    <col width="14.5" customWidth="1" min="16" max="16"/>
    <col width="12" customWidth="1" min="17" max="17"/>
    <col width="21.5" customWidth="1" min="18" max="18"/>
    <col width="17.5" customWidth="1" min="19" max="19"/>
    <col width="15.5" customWidth="1" min="20" max="20"/>
    <col width="16.5" customWidth="1" min="21" max="21"/>
    <col width="16.5" customWidth="1" min="22" max="22"/>
    <col width="13.5" customWidth="1" min="23" max="23"/>
    <col width="13" customWidth="1" min="24" max="24"/>
  </cols>
  <sheetData>
    <row r="1" ht="32" customHeight="1">
      <c r="A1" s="178" t="inlineStr">
        <is>
          <t>AKIS — 8D / Düzeltici Faaliyet Dosya Sistemi</t>
        </is>
      </c>
    </row>
    <row r="2"/>
    <row r="3" ht="22" customHeight="1">
      <c r="A3" s="198" t="inlineStr">
        <is>
          <t>8D dosya satırları — D1–D8 durum makinesi + yetim + geçersiz geçiş + DF maliyet zinciri</t>
        </is>
      </c>
    </row>
    <row r="4"/>
    <row r="5" ht="30" customHeight="1">
      <c r="A5" s="26" t="inlineStr">
        <is>
          <t>IslemId</t>
        </is>
      </c>
      <c r="B5" s="26" t="inlineStr">
        <is>
          <t>KaynakEkipId</t>
        </is>
      </c>
      <c r="C5" s="26" t="inlineStr">
        <is>
          <t>SikayetNo</t>
        </is>
      </c>
      <c r="D5" s="26" t="inlineStr">
        <is>
          <t>BaslangicTarihi</t>
        </is>
      </c>
      <c r="E5" s="26" t="inlineStr">
        <is>
          <t>OncekiDurum</t>
        </is>
      </c>
      <c r="F5" s="26" t="inlineStr">
        <is>
          <t>Durum</t>
        </is>
      </c>
      <c r="G5" s="26" t="inlineStr">
        <is>
          <t>DfPlanMaliyet</t>
        </is>
      </c>
      <c r="H5" s="26" t="inlineStr">
        <is>
          <t>DfGercekMaliyet</t>
        </is>
      </c>
      <c r="I5" s="26" t="inlineStr">
        <is>
          <t>MusteriEtkiTl</t>
        </is>
      </c>
      <c r="J5" s="26" t="inlineStr">
        <is>
          <t>TekrarRisk</t>
        </is>
      </c>
      <c r="K5" s="26" t="inlineStr">
        <is>
          <t>DfDogrulamaTl</t>
        </is>
      </c>
      <c r="L5" s="26" t="inlineStr">
        <is>
          <t>Tutar</t>
        </is>
      </c>
      <c r="M5" s="26" t="inlineStr">
        <is>
          <t>KokNedenKod</t>
        </is>
      </c>
      <c r="N5" s="26" t="inlineStr">
        <is>
          <t>DfSinif</t>
        </is>
      </c>
      <c r="O5" s="26" t="inlineStr">
        <is>
          <t>ProblemOzet</t>
        </is>
      </c>
      <c r="P5" s="26" t="inlineStr">
        <is>
          <t>GecikmeGun</t>
        </is>
      </c>
      <c r="Q5" s="26" t="inlineStr">
        <is>
          <t>YasKova</t>
        </is>
      </c>
      <c r="R5" s="26" t="inlineStr">
        <is>
          <t>BeklenenDfMaliyet</t>
        </is>
      </c>
      <c r="S5" s="26" t="inlineStr">
        <is>
          <t>KapanisBayrak</t>
        </is>
      </c>
      <c r="T5" s="26" t="inlineStr">
        <is>
          <t>YetimBayrak</t>
        </is>
      </c>
      <c r="U5" s="26" t="inlineStr">
        <is>
          <t>GecisUyarisi</t>
        </is>
      </c>
      <c r="V5" s="26" t="inlineStr">
        <is>
          <t>ZincirBayrak</t>
        </is>
      </c>
      <c r="W5" s="26" t="inlineStr">
        <is>
          <t>KayitDolu</t>
        </is>
      </c>
    </row>
    <row r="6">
      <c r="A6" s="27" t="inlineStr">
        <is>
          <t>8D-00001</t>
        </is>
      </c>
      <c r="B6" s="27" t="inlineStr">
        <is>
          <t>EKP-00001</t>
        </is>
      </c>
      <c r="C6" s="27" t="inlineStr">
        <is>
          <t>SKY-2026-0001</t>
        </is>
      </c>
      <c r="D6" s="32" t="n">
        <v>46240</v>
      </c>
      <c r="E6" s="27" t="inlineStr"/>
      <c r="F6" s="27" t="inlineStr">
        <is>
          <t>D1_EKIP</t>
        </is>
      </c>
      <c r="G6" s="31" t="n">
        <v>17500</v>
      </c>
      <c r="H6" s="31" t="n">
        <v>16700</v>
      </c>
      <c r="I6" s="31" t="n"/>
      <c r="J6" s="29" t="n">
        <v>0.15</v>
      </c>
      <c r="K6" s="31" t="n"/>
      <c r="L6" s="31" t="n">
        <v>20125</v>
      </c>
      <c r="M6" s="27" t="inlineStr">
        <is>
          <t>Malzeme</t>
        </is>
      </c>
      <c r="N6" s="27" t="inlineStr">
        <is>
          <t>A</t>
        </is>
      </c>
      <c r="O6" s="27" t="inlineStr">
        <is>
          <t>Problem notu 1</t>
        </is>
      </c>
      <c r="P6" s="30">
        <f>IF($D6="","",raporTarihi-$D6)</f>
        <v/>
      </c>
      <c r="Q6" s="30">
        <f>IF($P6="","",IF($P6&lt;=sdf_kovaEsik1,"0-30",IF($P6&lt;=sdf_kovaEsik2,"31-60",IF($P6&lt;=sdf_kovaEsik3,"61-90","90+"))))</f>
        <v/>
      </c>
      <c r="R6" s="30">
        <f>IF($A6="","",IF($H6&gt;0,$H6,$G6))</f>
        <v/>
      </c>
      <c r="S6" s="30">
        <f>IF($F6="D8_KAPALI","KAPANAN",IF($F6="IPTAL","IPTAL","ACIK"))</f>
        <v/>
      </c>
      <c r="T6" s="30">
        <f>IF($B6="","YETİM",IF(COUNTIF(tblEkip[EkipId],$B6)=0,"YETİM",""))</f>
        <v/>
      </c>
      <c r="U6" s="30">
        <f>IF(OR($E6&amp;"|"&amp;$F6="",COUNTIF(ListeIzinliGecis,$E6&amp;"|"&amp;$F6)&gt;0),"","GEÇERSİZ GEÇİŞ")</f>
        <v/>
      </c>
      <c r="V6" s="30">
        <f>IF(OR($F6="D8_KAPALI",$F6="D7_ONLE",$I6&gt;0),IF(OR($H6="",$I6=""),"",IF(ABS($I6-$H6)&gt;zincirTolerans,"ZİNCİR KIRIK","OK")),IF($H6&gt;0,IF(OR($G6="",$H6=""),"",IF(ABS($H6-$G6)&gt;zincirTolerans,"ZİNCİR KIRIK","OK")),"OK"))</f>
        <v/>
      </c>
      <c r="W6" s="30">
        <f>IF($A6="","",1)</f>
        <v/>
      </c>
    </row>
    <row r="7">
      <c r="A7" s="27" t="inlineStr">
        <is>
          <t>8D-00002</t>
        </is>
      </c>
      <c r="B7" s="27" t="inlineStr">
        <is>
          <t>EKP-00002</t>
        </is>
      </c>
      <c r="C7" s="27" t="inlineStr">
        <is>
          <t>SKY-2026-0002</t>
        </is>
      </c>
      <c r="D7" s="32" t="n">
        <v>46235</v>
      </c>
      <c r="E7" s="27" t="inlineStr">
        <is>
          <t>D1_EKIP</t>
        </is>
      </c>
      <c r="F7" s="27" t="inlineStr">
        <is>
          <t>D2_PROBLEM</t>
        </is>
      </c>
      <c r="G7" s="31" t="n">
        <v>20000</v>
      </c>
      <c r="H7" s="31" t="n">
        <v>18400</v>
      </c>
      <c r="I7" s="31" t="n"/>
      <c r="J7" s="29" t="n">
        <v>0.15</v>
      </c>
      <c r="K7" s="31" t="n"/>
      <c r="L7" s="31" t="n">
        <v>23000</v>
      </c>
      <c r="M7" s="27" t="inlineStr">
        <is>
          <t>Makine</t>
        </is>
      </c>
      <c r="N7" s="27" t="inlineStr">
        <is>
          <t>B</t>
        </is>
      </c>
      <c r="O7" s="27" t="inlineStr">
        <is>
          <t>Problem notu 2</t>
        </is>
      </c>
      <c r="P7" s="30">
        <f>IF($D7="","",raporTarihi-$D7)</f>
        <v/>
      </c>
      <c r="Q7" s="30">
        <f>IF($P7="","",IF($P7&lt;=sdf_kovaEsik1,"0-30",IF($P7&lt;=sdf_kovaEsik2,"31-60",IF($P7&lt;=sdf_kovaEsik3,"61-90","90+"))))</f>
        <v/>
      </c>
      <c r="R7" s="30">
        <f>IF($A7="","",IF($H7&gt;0,$H7,$G7))</f>
        <v/>
      </c>
      <c r="S7" s="30">
        <f>IF($F7="D8_KAPALI","KAPANAN",IF($F7="IPTAL","IPTAL","ACIK"))</f>
        <v/>
      </c>
      <c r="T7" s="30">
        <f>IF($B7="","YETİM",IF(COUNTIF(tblEkip[EkipId],$B7)=0,"YETİM",""))</f>
        <v/>
      </c>
      <c r="U7" s="30">
        <f>IF(OR($E7&amp;"|"&amp;$F7="",COUNTIF(ListeIzinliGecis,$E7&amp;"|"&amp;$F7)&gt;0),"","GEÇERSİZ GEÇİŞ")</f>
        <v/>
      </c>
      <c r="V7" s="30">
        <f>IF(OR($F7="D8_KAPALI",$F7="D7_ONLE",$I7&gt;0),IF(OR($H7="",$I7=""),"",IF(ABS($I7-$H7)&gt;zincirTolerans,"ZİNCİR KIRIK","OK")),IF($H7&gt;0,IF(OR($G7="",$H7=""),"",IF(ABS($H7-$G7)&gt;zincirTolerans,"ZİNCİR KIRIK","OK")),"OK"))</f>
        <v/>
      </c>
      <c r="W7" s="30">
        <f>IF($A7="","",1)</f>
        <v/>
      </c>
    </row>
    <row r="8">
      <c r="A8" s="27" t="inlineStr">
        <is>
          <t>8D-00003</t>
        </is>
      </c>
      <c r="B8" s="27" t="inlineStr">
        <is>
          <t>EKP-00003</t>
        </is>
      </c>
      <c r="C8" s="27" t="inlineStr">
        <is>
          <t>SKY-2026-0003</t>
        </is>
      </c>
      <c r="D8" s="32" t="n">
        <v>46230</v>
      </c>
      <c r="E8" s="27" t="inlineStr">
        <is>
          <t>D2_PROBLEM</t>
        </is>
      </c>
      <c r="F8" s="27" t="inlineStr">
        <is>
          <t>D3_MUHAFAZA</t>
        </is>
      </c>
      <c r="G8" s="31" t="n">
        <v>22500</v>
      </c>
      <c r="H8" s="31" t="n">
        <v>20100</v>
      </c>
      <c r="I8" s="31" t="n"/>
      <c r="J8" s="29" t="n">
        <v>0.1</v>
      </c>
      <c r="K8" s="31" t="n"/>
      <c r="L8" s="31" t="n">
        <v>24750</v>
      </c>
      <c r="M8" s="27" t="inlineStr">
        <is>
          <t>Insan</t>
        </is>
      </c>
      <c r="N8" s="27" t="inlineStr">
        <is>
          <t>A</t>
        </is>
      </c>
      <c r="O8" s="27" t="inlineStr">
        <is>
          <t>Problem notu 3</t>
        </is>
      </c>
      <c r="P8" s="30">
        <f>IF($D8="","",raporTarihi-$D8)</f>
        <v/>
      </c>
      <c r="Q8" s="30">
        <f>IF($P8="","",IF($P8&lt;=sdf_kovaEsik1,"0-30",IF($P8&lt;=sdf_kovaEsik2,"31-60",IF($P8&lt;=sdf_kovaEsik3,"61-90","90+"))))</f>
        <v/>
      </c>
      <c r="R8" s="30">
        <f>IF($A8="","",IF($H8&gt;0,$H8,$G8))</f>
        <v/>
      </c>
      <c r="S8" s="30">
        <f>IF($F8="D8_KAPALI","KAPANAN",IF($F8="IPTAL","IPTAL","ACIK"))</f>
        <v/>
      </c>
      <c r="T8" s="30">
        <f>IF($B8="","YETİM",IF(COUNTIF(tblEkip[EkipId],$B8)=0,"YETİM",""))</f>
        <v/>
      </c>
      <c r="U8" s="30">
        <f>IF(OR($E8&amp;"|"&amp;$F8="",COUNTIF(ListeIzinliGecis,$E8&amp;"|"&amp;$F8)&gt;0),"","GEÇERSİZ GEÇİŞ")</f>
        <v/>
      </c>
      <c r="V8" s="30">
        <f>IF(OR($F8="D8_KAPALI",$F8="D7_ONLE",$I8&gt;0),IF(OR($H8="",$I8=""),"",IF(ABS($I8-$H8)&gt;zincirTolerans,"ZİNCİR KIRIK","OK")),IF($H8&gt;0,IF(OR($G8="",$H8=""),"",IF(ABS($H8-$G8)&gt;zincirTolerans,"ZİNCİR KIRIK","OK")),"OK"))</f>
        <v/>
      </c>
      <c r="W8" s="30">
        <f>IF($A8="","",1)</f>
        <v/>
      </c>
    </row>
    <row r="9">
      <c r="A9" s="27" t="inlineStr">
        <is>
          <t>8D-00004</t>
        </is>
      </c>
      <c r="B9" s="27" t="inlineStr">
        <is>
          <t>EKP-00004</t>
        </is>
      </c>
      <c r="C9" s="27" t="inlineStr">
        <is>
          <t>SKY-2026-0004</t>
        </is>
      </c>
      <c r="D9" s="32" t="n">
        <v>46225</v>
      </c>
      <c r="E9" s="27" t="inlineStr">
        <is>
          <t>D3_MUHAFAZA</t>
        </is>
      </c>
      <c r="F9" s="27" t="inlineStr">
        <is>
          <t>D4_KOK</t>
        </is>
      </c>
      <c r="G9" s="31" t="n">
        <v>25000</v>
      </c>
      <c r="H9" s="31" t="n">
        <v>25000</v>
      </c>
      <c r="I9" s="31" t="n"/>
      <c r="J9" s="29" t="n">
        <v>0.15</v>
      </c>
      <c r="K9" s="31" t="n"/>
      <c r="L9" s="31" t="n">
        <v>28750</v>
      </c>
      <c r="M9" s="27" t="inlineStr">
        <is>
          <t>Ortam</t>
        </is>
      </c>
      <c r="N9" s="27" t="inlineStr">
        <is>
          <t>B</t>
        </is>
      </c>
      <c r="O9" s="27" t="inlineStr">
        <is>
          <t>Problem notu 4</t>
        </is>
      </c>
      <c r="P9" s="30">
        <f>IF($D9="","",raporTarihi-$D9)</f>
        <v/>
      </c>
      <c r="Q9" s="30">
        <f>IF($P9="","",IF($P9&lt;=sdf_kovaEsik1,"0-30",IF($P9&lt;=sdf_kovaEsik2,"31-60",IF($P9&lt;=sdf_kovaEsik3,"61-90","90+"))))</f>
        <v/>
      </c>
      <c r="R9" s="30">
        <f>IF($A9="","",IF($H9&gt;0,$H9,$G9))</f>
        <v/>
      </c>
      <c r="S9" s="30">
        <f>IF($F9="D8_KAPALI","KAPANAN",IF($F9="IPTAL","IPTAL","ACIK"))</f>
        <v/>
      </c>
      <c r="T9" s="30">
        <f>IF($B9="","YETİM",IF(COUNTIF(tblEkip[EkipId],$B9)=0,"YETİM",""))</f>
        <v/>
      </c>
      <c r="U9" s="30">
        <f>IF(OR($E9&amp;"|"&amp;$F9="",COUNTIF(ListeIzinliGecis,$E9&amp;"|"&amp;$F9)&gt;0),"","GEÇERSİZ GEÇİŞ")</f>
        <v/>
      </c>
      <c r="V9" s="30">
        <f>IF(OR($F9="D8_KAPALI",$F9="D7_ONLE",$I9&gt;0),IF(OR($H9="",$I9=""),"",IF(ABS($I9-$H9)&gt;zincirTolerans,"ZİNCİR KIRIK","OK")),IF($H9&gt;0,IF(OR($G9="",$H9=""),"",IF(ABS($H9-$G9)&gt;zincirTolerans,"ZİNCİR KIRIK","OK")),"OK"))</f>
        <v/>
      </c>
      <c r="W9" s="30">
        <f>IF($A9="","",1)</f>
        <v/>
      </c>
    </row>
    <row r="10">
      <c r="A10" s="27" t="inlineStr">
        <is>
          <t>8D-00005</t>
        </is>
      </c>
      <c r="B10" s="27" t="inlineStr">
        <is>
          <t>EKP-00005</t>
        </is>
      </c>
      <c r="C10" s="27" t="inlineStr">
        <is>
          <t>SKY-2026-0005</t>
        </is>
      </c>
      <c r="D10" s="32" t="n">
        <v>46220</v>
      </c>
      <c r="E10" s="27" t="inlineStr">
        <is>
          <t>D4_KOK</t>
        </is>
      </c>
      <c r="F10" s="27" t="inlineStr">
        <is>
          <t>D5_DF</t>
        </is>
      </c>
      <c r="G10" s="31" t="n">
        <v>27500</v>
      </c>
      <c r="H10" s="31" t="n">
        <v>26700</v>
      </c>
      <c r="I10" s="31" t="n"/>
      <c r="J10" s="29" t="n">
        <v>0.15</v>
      </c>
      <c r="K10" s="31" t="n"/>
      <c r="L10" s="31" t="n">
        <v>31625</v>
      </c>
      <c r="M10" s="27" t="inlineStr">
        <is>
          <t>Yontem</t>
        </is>
      </c>
      <c r="N10" s="27" t="inlineStr">
        <is>
          <t>A</t>
        </is>
      </c>
      <c r="O10" s="27" t="inlineStr">
        <is>
          <t>Problem notu 5</t>
        </is>
      </c>
      <c r="P10" s="30">
        <f>IF($D10="","",raporTarihi-$D10)</f>
        <v/>
      </c>
      <c r="Q10" s="30">
        <f>IF($P10="","",IF($P10&lt;=sdf_kovaEsik1,"0-30",IF($P10&lt;=sdf_kovaEsik2,"31-60",IF($P10&lt;=sdf_kovaEsik3,"61-90","90+"))))</f>
        <v/>
      </c>
      <c r="R10" s="30">
        <f>IF($A10="","",IF($H10&gt;0,$H10,$G10))</f>
        <v/>
      </c>
      <c r="S10" s="30">
        <f>IF($F10="D8_KAPALI","KAPANAN",IF($F10="IPTAL","IPTAL","ACIK"))</f>
        <v/>
      </c>
      <c r="T10" s="30">
        <f>IF($B10="","YETİM",IF(COUNTIF(tblEkip[EkipId],$B10)=0,"YETİM",""))</f>
        <v/>
      </c>
      <c r="U10" s="30">
        <f>IF(OR($E10&amp;"|"&amp;$F10="",COUNTIF(ListeIzinliGecis,$E10&amp;"|"&amp;$F10)&gt;0),"","GEÇERSİZ GEÇİŞ")</f>
        <v/>
      </c>
      <c r="V10" s="30">
        <f>IF(OR($F10="D8_KAPALI",$F10="D7_ONLE",$I10&gt;0),IF(OR($H10="",$I10=""),"",IF(ABS($I10-$H10)&gt;zincirTolerans,"ZİNCİR KIRIK","OK")),IF($H10&gt;0,IF(OR($G10="",$H10=""),"",IF(ABS($H10-$G10)&gt;zincirTolerans,"ZİNCİR KIRIK","OK")),"OK"))</f>
        <v/>
      </c>
      <c r="W10" s="30">
        <f>IF($A10="","",1)</f>
        <v/>
      </c>
    </row>
    <row r="11">
      <c r="A11" s="27" t="inlineStr">
        <is>
          <t>8D-00006</t>
        </is>
      </c>
      <c r="B11" s="27" t="inlineStr">
        <is>
          <t>EKP-00006</t>
        </is>
      </c>
      <c r="C11" s="27" t="inlineStr">
        <is>
          <t>SKY-2026-0006</t>
        </is>
      </c>
      <c r="D11" s="32" t="n">
        <v>46215</v>
      </c>
      <c r="E11" s="27" t="inlineStr">
        <is>
          <t>D5_DF</t>
        </is>
      </c>
      <c r="F11" s="27" t="inlineStr">
        <is>
          <t>D6_UYGULA</t>
        </is>
      </c>
      <c r="G11" s="31" t="n">
        <v>30000</v>
      </c>
      <c r="H11" s="31" t="n">
        <v>28400</v>
      </c>
      <c r="I11" s="31" t="n"/>
      <c r="J11" s="29" t="n">
        <v>0.1</v>
      </c>
      <c r="K11" s="31" t="n"/>
      <c r="L11" s="31" t="n">
        <v>33000</v>
      </c>
      <c r="M11" s="27" t="inlineStr">
        <is>
          <t>Malzeme</t>
        </is>
      </c>
      <c r="N11" s="27" t="inlineStr">
        <is>
          <t>B</t>
        </is>
      </c>
      <c r="O11" s="27" t="inlineStr">
        <is>
          <t>Problem notu 6</t>
        </is>
      </c>
      <c r="P11" s="30">
        <f>IF($D11="","",raporTarihi-$D11)</f>
        <v/>
      </c>
      <c r="Q11" s="30">
        <f>IF($P11="","",IF($P11&lt;=sdf_kovaEsik1,"0-30",IF($P11&lt;=sdf_kovaEsik2,"31-60",IF($P11&lt;=sdf_kovaEsik3,"61-90","90+"))))</f>
        <v/>
      </c>
      <c r="R11" s="30">
        <f>IF($A11="","",IF($H11&gt;0,$H11,$G11))</f>
        <v/>
      </c>
      <c r="S11" s="30">
        <f>IF($F11="D8_KAPALI","KAPANAN",IF($F11="IPTAL","IPTAL","ACIK"))</f>
        <v/>
      </c>
      <c r="T11" s="30">
        <f>IF($B11="","YETİM",IF(COUNTIF(tblEkip[EkipId],$B11)=0,"YETİM",""))</f>
        <v/>
      </c>
      <c r="U11" s="30">
        <f>IF(OR($E11&amp;"|"&amp;$F11="",COUNTIF(ListeIzinliGecis,$E11&amp;"|"&amp;$F11)&gt;0),"","GEÇERSİZ GEÇİŞ")</f>
        <v/>
      </c>
      <c r="V11" s="30">
        <f>IF(OR($F11="D8_KAPALI",$F11="D7_ONLE",$I11&gt;0),IF(OR($H11="",$I11=""),"",IF(ABS($I11-$H11)&gt;zincirTolerans,"ZİNCİR KIRIK","OK")),IF($H11&gt;0,IF(OR($G11="",$H11=""),"",IF(ABS($H11-$G11)&gt;zincirTolerans,"ZİNCİR KIRIK","OK")),"OK"))</f>
        <v/>
      </c>
      <c r="W11" s="30">
        <f>IF($A11="","",1)</f>
        <v/>
      </c>
    </row>
    <row r="12">
      <c r="A12" s="27" t="inlineStr">
        <is>
          <t>8D-00007</t>
        </is>
      </c>
      <c r="B12" s="27" t="inlineStr">
        <is>
          <t>EKP-00007</t>
        </is>
      </c>
      <c r="C12" s="27" t="inlineStr">
        <is>
          <t>SKY-2026-0007</t>
        </is>
      </c>
      <c r="D12" s="32" t="n">
        <v>46210</v>
      </c>
      <c r="E12" s="27" t="inlineStr">
        <is>
          <t>D6_UYGULA</t>
        </is>
      </c>
      <c r="F12" s="27" t="inlineStr">
        <is>
          <t>D7_ONLE</t>
        </is>
      </c>
      <c r="G12" s="31" t="n">
        <v>32500</v>
      </c>
      <c r="H12" s="31" t="n">
        <v>30100</v>
      </c>
      <c r="I12" s="31" t="n">
        <v>65000</v>
      </c>
      <c r="J12" s="29" t="n">
        <v>0.15</v>
      </c>
      <c r="K12" s="31" t="n"/>
      <c r="L12" s="31" t="n">
        <v>37375</v>
      </c>
      <c r="M12" s="27" t="inlineStr">
        <is>
          <t>Makine</t>
        </is>
      </c>
      <c r="N12" s="27" t="inlineStr">
        <is>
          <t>A</t>
        </is>
      </c>
      <c r="O12" s="27" t="inlineStr">
        <is>
          <t>Problem notu 7</t>
        </is>
      </c>
      <c r="P12" s="30">
        <f>IF($D12="","",raporTarihi-$D12)</f>
        <v/>
      </c>
      <c r="Q12" s="30">
        <f>IF($P12="","",IF($P12&lt;=sdf_kovaEsik1,"0-30",IF($P12&lt;=sdf_kovaEsik2,"31-60",IF($P12&lt;=sdf_kovaEsik3,"61-90","90+"))))</f>
        <v/>
      </c>
      <c r="R12" s="30">
        <f>IF($A12="","",IF($H12&gt;0,$H12,$G12))</f>
        <v/>
      </c>
      <c r="S12" s="30">
        <f>IF($F12="D8_KAPALI","KAPANAN",IF($F12="IPTAL","IPTAL","ACIK"))</f>
        <v/>
      </c>
      <c r="T12" s="30">
        <f>IF($B12="","YETİM",IF(COUNTIF(tblEkip[EkipId],$B12)=0,"YETİM",""))</f>
        <v/>
      </c>
      <c r="U12" s="30">
        <f>IF(OR($E12&amp;"|"&amp;$F12="",COUNTIF(ListeIzinliGecis,$E12&amp;"|"&amp;$F12)&gt;0),"","GEÇERSİZ GEÇİŞ")</f>
        <v/>
      </c>
      <c r="V12" s="30">
        <f>IF(OR($F12="D8_KAPALI",$F12="D7_ONLE",$I12&gt;0),IF(OR($H12="",$I12=""),"",IF(ABS($I12-$H12)&gt;zincirTolerans,"ZİNCİR KIRIK","OK")),IF($H12&gt;0,IF(OR($G12="",$H12=""),"",IF(ABS($H12-$G12)&gt;zincirTolerans,"ZİNCİR KIRIK","OK")),"OK"))</f>
        <v/>
      </c>
      <c r="W12" s="30">
        <f>IF($A12="","",1)</f>
        <v/>
      </c>
    </row>
    <row r="13">
      <c r="A13" s="27" t="inlineStr">
        <is>
          <t>8D-00008</t>
        </is>
      </c>
      <c r="B13" s="27" t="inlineStr">
        <is>
          <t>EKP-00008</t>
        </is>
      </c>
      <c r="C13" s="27" t="inlineStr">
        <is>
          <t>SKY-2026-0008</t>
        </is>
      </c>
      <c r="D13" s="32" t="n">
        <v>46205</v>
      </c>
      <c r="E13" s="27" t="inlineStr">
        <is>
          <t>D7_ONLE</t>
        </is>
      </c>
      <c r="F13" s="27" t="inlineStr">
        <is>
          <t>D8_KAPALI</t>
        </is>
      </c>
      <c r="G13" s="31" t="n">
        <v>35000</v>
      </c>
      <c r="H13" s="31" t="n">
        <v>35000</v>
      </c>
      <c r="I13" s="31" t="n">
        <v>70000</v>
      </c>
      <c r="J13" s="29" t="n">
        <v>0.15</v>
      </c>
      <c r="K13" s="31" t="n">
        <v>35000</v>
      </c>
      <c r="L13" s="31" t="n">
        <v>0</v>
      </c>
      <c r="M13" s="27" t="inlineStr">
        <is>
          <t>Insan</t>
        </is>
      </c>
      <c r="N13" s="27" t="inlineStr">
        <is>
          <t>B</t>
        </is>
      </c>
      <c r="O13" s="27" t="inlineStr">
        <is>
          <t>Problem notu 8</t>
        </is>
      </c>
      <c r="P13" s="30">
        <f>IF($D13="","",raporTarihi-$D13)</f>
        <v/>
      </c>
      <c r="Q13" s="30">
        <f>IF($P13="","",IF($P13&lt;=sdf_kovaEsik1,"0-30",IF($P13&lt;=sdf_kovaEsik2,"31-60",IF($P13&lt;=sdf_kovaEsik3,"61-90","90+"))))</f>
        <v/>
      </c>
      <c r="R13" s="30">
        <f>IF($A13="","",IF($H13&gt;0,$H13,$G13))</f>
        <v/>
      </c>
      <c r="S13" s="30">
        <f>IF($F13="D8_KAPALI","KAPANAN",IF($F13="IPTAL","IPTAL","ACIK"))</f>
        <v/>
      </c>
      <c r="T13" s="30">
        <f>IF($B13="","YETİM",IF(COUNTIF(tblEkip[EkipId],$B13)=0,"YETİM",""))</f>
        <v/>
      </c>
      <c r="U13" s="30">
        <f>IF(OR($E13&amp;"|"&amp;$F13="",COUNTIF(ListeIzinliGecis,$E13&amp;"|"&amp;$F13)&gt;0),"","GEÇERSİZ GEÇİŞ")</f>
        <v/>
      </c>
      <c r="V13" s="30">
        <f>IF(OR($F13="D8_KAPALI",$F13="D7_ONLE",$I13&gt;0),IF(OR($H13="",$I13=""),"",IF(ABS($I13-$H13)&gt;zincirTolerans,"ZİNCİR KIRIK","OK")),IF($H13&gt;0,IF(OR($G13="",$H13=""),"",IF(ABS($H13-$G13)&gt;zincirTolerans,"ZİNCİR KIRIK","OK")),"OK"))</f>
        <v/>
      </c>
      <c r="W13" s="30">
        <f>IF($A13="","",1)</f>
        <v/>
      </c>
    </row>
    <row r="14">
      <c r="A14" s="27" t="inlineStr">
        <is>
          <t>8D-00009</t>
        </is>
      </c>
      <c r="B14" s="27" t="inlineStr">
        <is>
          <t>EKP-00009</t>
        </is>
      </c>
      <c r="C14" s="27" t="inlineStr">
        <is>
          <t>SKY-2026-0009</t>
        </is>
      </c>
      <c r="D14" s="32" t="n">
        <v>46200</v>
      </c>
      <c r="E14" s="27" t="inlineStr">
        <is>
          <t>D5_DF</t>
        </is>
      </c>
      <c r="F14" s="27" t="inlineStr">
        <is>
          <t>IPTAL</t>
        </is>
      </c>
      <c r="G14" s="31" t="n">
        <v>37500</v>
      </c>
      <c r="H14" s="31" t="n">
        <v>36700</v>
      </c>
      <c r="I14" s="31" t="n"/>
      <c r="J14" s="29" t="n">
        <v>0.1</v>
      </c>
      <c r="K14" s="31" t="n"/>
      <c r="L14" s="31" t="n">
        <v>0</v>
      </c>
      <c r="M14" s="27" t="inlineStr">
        <is>
          <t>Ortam</t>
        </is>
      </c>
      <c r="N14" s="27" t="inlineStr">
        <is>
          <t>A</t>
        </is>
      </c>
      <c r="O14" s="27" t="inlineStr">
        <is>
          <t>Problem notu 9</t>
        </is>
      </c>
      <c r="P14" s="30">
        <f>IF($D14="","",raporTarihi-$D14)</f>
        <v/>
      </c>
      <c r="Q14" s="30">
        <f>IF($P14="","",IF($P14&lt;=sdf_kovaEsik1,"0-30",IF($P14&lt;=sdf_kovaEsik2,"31-60",IF($P14&lt;=sdf_kovaEsik3,"61-90","90+"))))</f>
        <v/>
      </c>
      <c r="R14" s="30">
        <f>IF($A14="","",IF($H14&gt;0,$H14,$G14))</f>
        <v/>
      </c>
      <c r="S14" s="30">
        <f>IF($F14="D8_KAPALI","KAPANAN",IF($F14="IPTAL","IPTAL","ACIK"))</f>
        <v/>
      </c>
      <c r="T14" s="30">
        <f>IF($B14="","YETİM",IF(COUNTIF(tblEkip[EkipId],$B14)=0,"YETİM",""))</f>
        <v/>
      </c>
      <c r="U14" s="30">
        <f>IF(OR($E14&amp;"|"&amp;$F14="",COUNTIF(ListeIzinliGecis,$E14&amp;"|"&amp;$F14)&gt;0),"","GEÇERSİZ GEÇİŞ")</f>
        <v/>
      </c>
      <c r="V14" s="30">
        <f>IF(OR($F14="D8_KAPALI",$F14="D7_ONLE",$I14&gt;0),IF(OR($H14="",$I14=""),"",IF(ABS($I14-$H14)&gt;zincirTolerans,"ZİNCİR KIRIK","OK")),IF($H14&gt;0,IF(OR($G14="",$H14=""),"",IF(ABS($H14-$G14)&gt;zincirTolerans,"ZİNCİR KIRIK","OK")),"OK"))</f>
        <v/>
      </c>
      <c r="W14" s="30">
        <f>IF($A14="","",1)</f>
        <v/>
      </c>
    </row>
    <row r="15">
      <c r="A15" s="27" t="inlineStr">
        <is>
          <t>8D-00010</t>
        </is>
      </c>
      <c r="B15" s="27" t="inlineStr">
        <is>
          <t>EKP-00010</t>
        </is>
      </c>
      <c r="C15" s="27" t="inlineStr">
        <is>
          <t>SKY-2026-0010</t>
        </is>
      </c>
      <c r="D15" s="32" t="n">
        <v>46195</v>
      </c>
      <c r="E15" s="27" t="inlineStr">
        <is>
          <t>D4_KOK</t>
        </is>
      </c>
      <c r="F15" s="27" t="inlineStr">
        <is>
          <t>D5_DF</t>
        </is>
      </c>
      <c r="G15" s="31" t="n">
        <v>40000</v>
      </c>
      <c r="H15" s="31" t="n">
        <v>38400</v>
      </c>
      <c r="I15" s="31" t="n"/>
      <c r="J15" s="29" t="n">
        <v>0.15</v>
      </c>
      <c r="K15" s="31" t="n"/>
      <c r="L15" s="31" t="n">
        <v>46000</v>
      </c>
      <c r="M15" s="27" t="inlineStr">
        <is>
          <t>Yontem</t>
        </is>
      </c>
      <c r="N15" s="27" t="inlineStr">
        <is>
          <t>B</t>
        </is>
      </c>
      <c r="O15" s="27" t="inlineStr">
        <is>
          <t>Problem notu 10</t>
        </is>
      </c>
      <c r="P15" s="30">
        <f>IF($D15="","",raporTarihi-$D15)</f>
        <v/>
      </c>
      <c r="Q15" s="30">
        <f>IF($P15="","",IF($P15&lt;=sdf_kovaEsik1,"0-30",IF($P15&lt;=sdf_kovaEsik2,"31-60",IF($P15&lt;=sdf_kovaEsik3,"61-90","90+"))))</f>
        <v/>
      </c>
      <c r="R15" s="30">
        <f>IF($A15="","",IF($H15&gt;0,$H15,$G15))</f>
        <v/>
      </c>
      <c r="S15" s="30">
        <f>IF($F15="D8_KAPALI","KAPANAN",IF($F15="IPTAL","IPTAL","ACIK"))</f>
        <v/>
      </c>
      <c r="T15" s="30">
        <f>IF($B15="","YETİM",IF(COUNTIF(tblEkip[EkipId],$B15)=0,"YETİM",""))</f>
        <v/>
      </c>
      <c r="U15" s="30">
        <f>IF(OR($E15&amp;"|"&amp;$F15="",COUNTIF(ListeIzinliGecis,$E15&amp;"|"&amp;$F15)&gt;0),"","GEÇERSİZ GEÇİŞ")</f>
        <v/>
      </c>
      <c r="V15" s="30">
        <f>IF(OR($F15="D8_KAPALI",$F15="D7_ONLE",$I15&gt;0),IF(OR($H15="",$I15=""),"",IF(ABS($I15-$H15)&gt;zincirTolerans,"ZİNCİR KIRIK","OK")),IF($H15&gt;0,IF(OR($G15="",$H15=""),"",IF(ABS($H15-$G15)&gt;zincirTolerans,"ZİNCİR KIRIK","OK")),"OK"))</f>
        <v/>
      </c>
      <c r="W15" s="30">
        <f>IF($A15="","",1)</f>
        <v/>
      </c>
    </row>
    <row r="16">
      <c r="A16" s="27" t="inlineStr">
        <is>
          <t>8D-00011</t>
        </is>
      </c>
      <c r="B16" s="27" t="inlineStr">
        <is>
          <t>EKP-00001</t>
        </is>
      </c>
      <c r="C16" s="27" t="inlineStr">
        <is>
          <t>SKY-2026-0011</t>
        </is>
      </c>
      <c r="D16" s="32" t="n">
        <v>46190</v>
      </c>
      <c r="E16" s="27" t="inlineStr"/>
      <c r="F16" s="27" t="inlineStr">
        <is>
          <t>D1_EKIP</t>
        </is>
      </c>
      <c r="G16" s="31" t="n">
        <v>42500</v>
      </c>
      <c r="H16" s="31" t="n">
        <v>40100</v>
      </c>
      <c r="I16" s="31" t="n"/>
      <c r="J16" s="29" t="n">
        <v>0.15</v>
      </c>
      <c r="K16" s="31" t="n"/>
      <c r="L16" s="31" t="n">
        <v>48875</v>
      </c>
      <c r="M16" s="27" t="inlineStr">
        <is>
          <t>Malzeme</t>
        </is>
      </c>
      <c r="N16" s="27" t="inlineStr">
        <is>
          <t>A</t>
        </is>
      </c>
      <c r="O16" s="27" t="inlineStr">
        <is>
          <t>Problem notu 11</t>
        </is>
      </c>
      <c r="P16" s="30">
        <f>IF($D16="","",raporTarihi-$D16)</f>
        <v/>
      </c>
      <c r="Q16" s="30">
        <f>IF($P16="","",IF($P16&lt;=sdf_kovaEsik1,"0-30",IF($P16&lt;=sdf_kovaEsik2,"31-60",IF($P16&lt;=sdf_kovaEsik3,"61-90","90+"))))</f>
        <v/>
      </c>
      <c r="R16" s="30">
        <f>IF($A16="","",IF($H16&gt;0,$H16,$G16))</f>
        <v/>
      </c>
      <c r="S16" s="30">
        <f>IF($F16="D8_KAPALI","KAPANAN",IF($F16="IPTAL","IPTAL","ACIK"))</f>
        <v/>
      </c>
      <c r="T16" s="30">
        <f>IF($B16="","YETİM",IF(COUNTIF(tblEkip[EkipId],$B16)=0,"YETİM",""))</f>
        <v/>
      </c>
      <c r="U16" s="30">
        <f>IF(OR($E16&amp;"|"&amp;$F16="",COUNTIF(ListeIzinliGecis,$E16&amp;"|"&amp;$F16)&gt;0),"","GEÇERSİZ GEÇİŞ")</f>
        <v/>
      </c>
      <c r="V16" s="30">
        <f>IF(OR($F16="D8_KAPALI",$F16="D7_ONLE",$I16&gt;0),IF(OR($H16="",$I16=""),"",IF(ABS($I16-$H16)&gt;zincirTolerans,"ZİNCİR KIRIK","OK")),IF($H16&gt;0,IF(OR($G16="",$H16=""),"",IF(ABS($H16-$G16)&gt;zincirTolerans,"ZİNCİR KIRIK","OK")),"OK"))</f>
        <v/>
      </c>
      <c r="W16" s="30">
        <f>IF($A16="","",1)</f>
        <v/>
      </c>
    </row>
    <row r="17">
      <c r="A17" s="27" t="inlineStr">
        <is>
          <t>8D-00012</t>
        </is>
      </c>
      <c r="B17" s="27" t="inlineStr">
        <is>
          <t>EKP-00002</t>
        </is>
      </c>
      <c r="C17" s="27" t="inlineStr">
        <is>
          <t>SKY-2026-0012</t>
        </is>
      </c>
      <c r="D17" s="32" t="n">
        <v>46185</v>
      </c>
      <c r="E17" s="27" t="inlineStr">
        <is>
          <t>D1_EKIP</t>
        </is>
      </c>
      <c r="F17" s="27" t="inlineStr">
        <is>
          <t>D2_PROBLEM</t>
        </is>
      </c>
      <c r="G17" s="31" t="n">
        <v>45000</v>
      </c>
      <c r="H17" s="31" t="n">
        <v>67000</v>
      </c>
      <c r="I17" s="31" t="n"/>
      <c r="J17" s="29" t="n">
        <v>0.1</v>
      </c>
      <c r="K17" s="31" t="n"/>
      <c r="L17" s="31" t="n">
        <v>49500</v>
      </c>
      <c r="M17" s="27" t="inlineStr">
        <is>
          <t>Makine</t>
        </is>
      </c>
      <c r="N17" s="27" t="inlineStr">
        <is>
          <t>B</t>
        </is>
      </c>
      <c r="O17" s="27" t="inlineStr">
        <is>
          <t>Problem notu 12</t>
        </is>
      </c>
      <c r="P17" s="30">
        <f>IF($D17="","",raporTarihi-$D17)</f>
        <v/>
      </c>
      <c r="Q17" s="30">
        <f>IF($P17="","",IF($P17&lt;=sdf_kovaEsik1,"0-30",IF($P17&lt;=sdf_kovaEsik2,"31-60",IF($P17&lt;=sdf_kovaEsik3,"61-90","90+"))))</f>
        <v/>
      </c>
      <c r="R17" s="30">
        <f>IF($A17="","",IF($H17&gt;0,$H17,$G17))</f>
        <v/>
      </c>
      <c r="S17" s="30">
        <f>IF($F17="D8_KAPALI","KAPANAN",IF($F17="IPTAL","IPTAL","ACIK"))</f>
        <v/>
      </c>
      <c r="T17" s="30">
        <f>IF($B17="","YETİM",IF(COUNTIF(tblEkip[EkipId],$B17)=0,"YETİM",""))</f>
        <v/>
      </c>
      <c r="U17" s="30">
        <f>IF(OR($E17&amp;"|"&amp;$F17="",COUNTIF(ListeIzinliGecis,$E17&amp;"|"&amp;$F17)&gt;0),"","GEÇERSİZ GEÇİŞ")</f>
        <v/>
      </c>
      <c r="V17" s="30">
        <f>IF(OR($F17="D8_KAPALI",$F17="D7_ONLE",$I17&gt;0),IF(OR($H17="",$I17=""),"",IF(ABS($I17-$H17)&gt;zincirTolerans,"ZİNCİR KIRIK","OK")),IF($H17&gt;0,IF(OR($G17="",$H17=""),"",IF(ABS($H17-$G17)&gt;zincirTolerans,"ZİNCİR KIRIK","OK")),"OK"))</f>
        <v/>
      </c>
      <c r="W17" s="30">
        <f>IF($A17="","",1)</f>
        <v/>
      </c>
    </row>
    <row r="18">
      <c r="A18" s="27" t="inlineStr">
        <is>
          <t>8D-00013</t>
        </is>
      </c>
      <c r="B18" s="27" t="inlineStr">
        <is>
          <t>EKP-00003</t>
        </is>
      </c>
      <c r="C18" s="27" t="inlineStr">
        <is>
          <t>SKY-2026-0013</t>
        </is>
      </c>
      <c r="D18" s="32" t="n">
        <v>46180</v>
      </c>
      <c r="E18" s="27" t="inlineStr">
        <is>
          <t>D2_PROBLEM</t>
        </is>
      </c>
      <c r="F18" s="27" t="inlineStr">
        <is>
          <t>D3_MUHAFAZA</t>
        </is>
      </c>
      <c r="G18" s="31" t="n">
        <v>47500</v>
      </c>
      <c r="H18" s="31" t="n">
        <v>46700</v>
      </c>
      <c r="I18" s="31" t="n"/>
      <c r="J18" s="29" t="n">
        <v>0.15</v>
      </c>
      <c r="K18" s="31" t="n"/>
      <c r="L18" s="31" t="n">
        <v>54625</v>
      </c>
      <c r="M18" s="27" t="inlineStr">
        <is>
          <t>Insan</t>
        </is>
      </c>
      <c r="N18" s="27" t="inlineStr">
        <is>
          <t>A</t>
        </is>
      </c>
      <c r="O18" s="27" t="inlineStr">
        <is>
          <t>Problem notu 13</t>
        </is>
      </c>
      <c r="P18" s="30">
        <f>IF($D18="","",raporTarihi-$D18)</f>
        <v/>
      </c>
      <c r="Q18" s="30">
        <f>IF($P18="","",IF($P18&lt;=sdf_kovaEsik1,"0-30",IF($P18&lt;=sdf_kovaEsik2,"31-60",IF($P18&lt;=sdf_kovaEsik3,"61-90","90+"))))</f>
        <v/>
      </c>
      <c r="R18" s="30">
        <f>IF($A18="","",IF($H18&gt;0,$H18,$G18))</f>
        <v/>
      </c>
      <c r="S18" s="30">
        <f>IF($F18="D8_KAPALI","KAPANAN",IF($F18="IPTAL","IPTAL","ACIK"))</f>
        <v/>
      </c>
      <c r="T18" s="30">
        <f>IF($B18="","YETİM",IF(COUNTIF(tblEkip[EkipId],$B18)=0,"YETİM",""))</f>
        <v/>
      </c>
      <c r="U18" s="30">
        <f>IF(OR($E18&amp;"|"&amp;$F18="",COUNTIF(ListeIzinliGecis,$E18&amp;"|"&amp;$F18)&gt;0),"","GEÇERSİZ GEÇİŞ")</f>
        <v/>
      </c>
      <c r="V18" s="30">
        <f>IF(OR($F18="D8_KAPALI",$F18="D7_ONLE",$I18&gt;0),IF(OR($H18="",$I18=""),"",IF(ABS($I18-$H18)&gt;zincirTolerans,"ZİNCİR KIRIK","OK")),IF($H18&gt;0,IF(OR($G18="",$H18=""),"",IF(ABS($H18-$G18)&gt;zincirTolerans,"ZİNCİR KIRIK","OK")),"OK"))</f>
        <v/>
      </c>
      <c r="W18" s="30">
        <f>IF($A18="","",1)</f>
        <v/>
      </c>
    </row>
    <row r="19">
      <c r="A19" s="27" t="inlineStr">
        <is>
          <t>8D-00014</t>
        </is>
      </c>
      <c r="B19" s="27" t="inlineStr">
        <is>
          <t>EKP-00004</t>
        </is>
      </c>
      <c r="C19" s="27" t="inlineStr">
        <is>
          <t>SKY-2026-0014</t>
        </is>
      </c>
      <c r="D19" s="32" t="n">
        <v>46175</v>
      </c>
      <c r="E19" s="27" t="inlineStr">
        <is>
          <t>D3_MUHAFAZA</t>
        </is>
      </c>
      <c r="F19" s="27" t="inlineStr">
        <is>
          <t>D4_KOK</t>
        </is>
      </c>
      <c r="G19" s="31" t="n">
        <v>50000</v>
      </c>
      <c r="H19" s="31" t="n">
        <v>48400</v>
      </c>
      <c r="I19" s="31" t="n"/>
      <c r="J19" s="29" t="n">
        <v>0.15</v>
      </c>
      <c r="K19" s="31" t="n"/>
      <c r="L19" s="31" t="n">
        <v>57500</v>
      </c>
      <c r="M19" s="27" t="inlineStr">
        <is>
          <t>Ortam</t>
        </is>
      </c>
      <c r="N19" s="27" t="inlineStr">
        <is>
          <t>B</t>
        </is>
      </c>
      <c r="O19" s="27" t="inlineStr">
        <is>
          <t>Problem notu 14</t>
        </is>
      </c>
      <c r="P19" s="30">
        <f>IF($D19="","",raporTarihi-$D19)</f>
        <v/>
      </c>
      <c r="Q19" s="30">
        <f>IF($P19="","",IF($P19&lt;=sdf_kovaEsik1,"0-30",IF($P19&lt;=sdf_kovaEsik2,"31-60",IF($P19&lt;=sdf_kovaEsik3,"61-90","90+"))))</f>
        <v/>
      </c>
      <c r="R19" s="30">
        <f>IF($A19="","",IF($H19&gt;0,$H19,$G19))</f>
        <v/>
      </c>
      <c r="S19" s="30">
        <f>IF($F19="D8_KAPALI","KAPANAN",IF($F19="IPTAL","IPTAL","ACIK"))</f>
        <v/>
      </c>
      <c r="T19" s="30">
        <f>IF($B19="","YETİM",IF(COUNTIF(tblEkip[EkipId],$B19)=0,"YETİM",""))</f>
        <v/>
      </c>
      <c r="U19" s="30">
        <f>IF(OR($E19&amp;"|"&amp;$F19="",COUNTIF(ListeIzinliGecis,$E19&amp;"|"&amp;$F19)&gt;0),"","GEÇERSİZ GEÇİŞ")</f>
        <v/>
      </c>
      <c r="V19" s="30">
        <f>IF(OR($F19="D8_KAPALI",$F19="D7_ONLE",$I19&gt;0),IF(OR($H19="",$I19=""),"",IF(ABS($I19-$H19)&gt;zincirTolerans,"ZİNCİR KIRIK","OK")),IF($H19&gt;0,IF(OR($G19="",$H19=""),"",IF(ABS($H19-$G19)&gt;zincirTolerans,"ZİNCİR KIRIK","OK")),"OK"))</f>
        <v/>
      </c>
      <c r="W19" s="30">
        <f>IF($A19="","",1)</f>
        <v/>
      </c>
    </row>
    <row r="20">
      <c r="A20" s="27" t="inlineStr">
        <is>
          <t>8D-00015</t>
        </is>
      </c>
      <c r="B20" s="27" t="inlineStr">
        <is>
          <t>EKP-00005</t>
        </is>
      </c>
      <c r="C20" s="27" t="inlineStr">
        <is>
          <t>SKY-2026-0015</t>
        </is>
      </c>
      <c r="D20" s="32" t="n">
        <v>46170</v>
      </c>
      <c r="E20" s="27" t="inlineStr">
        <is>
          <t>D4_KOK</t>
        </is>
      </c>
      <c r="F20" s="27" t="inlineStr">
        <is>
          <t>D5_DF</t>
        </is>
      </c>
      <c r="G20" s="31" t="n">
        <v>52500</v>
      </c>
      <c r="H20" s="31" t="n">
        <v>50100</v>
      </c>
      <c r="I20" s="31" t="n"/>
      <c r="J20" s="29" t="n">
        <v>0.1</v>
      </c>
      <c r="K20" s="31" t="n"/>
      <c r="L20" s="31" t="n">
        <v>57750</v>
      </c>
      <c r="M20" s="27" t="inlineStr">
        <is>
          <t>Yontem</t>
        </is>
      </c>
      <c r="N20" s="27" t="inlineStr">
        <is>
          <t>A</t>
        </is>
      </c>
      <c r="O20" s="27" t="inlineStr">
        <is>
          <t>Problem notu 15</t>
        </is>
      </c>
      <c r="P20" s="30">
        <f>IF($D20="","",raporTarihi-$D20)</f>
        <v/>
      </c>
      <c r="Q20" s="30">
        <f>IF($P20="","",IF($P20&lt;=sdf_kovaEsik1,"0-30",IF($P20&lt;=sdf_kovaEsik2,"31-60",IF($P20&lt;=sdf_kovaEsik3,"61-90","90+"))))</f>
        <v/>
      </c>
      <c r="R20" s="30">
        <f>IF($A20="","",IF($H20&gt;0,$H20,$G20))</f>
        <v/>
      </c>
      <c r="S20" s="30">
        <f>IF($F20="D8_KAPALI","KAPANAN",IF($F20="IPTAL","IPTAL","ACIK"))</f>
        <v/>
      </c>
      <c r="T20" s="30">
        <f>IF($B20="","YETİM",IF(COUNTIF(tblEkip[EkipId],$B20)=0,"YETİM",""))</f>
        <v/>
      </c>
      <c r="U20" s="30">
        <f>IF(OR($E20&amp;"|"&amp;$F20="",COUNTIF(ListeIzinliGecis,$E20&amp;"|"&amp;$F20)&gt;0),"","GEÇERSİZ GEÇİŞ")</f>
        <v/>
      </c>
      <c r="V20" s="30">
        <f>IF(OR($F20="D8_KAPALI",$F20="D7_ONLE",$I20&gt;0),IF(OR($H20="",$I20=""),"",IF(ABS($I20-$H20)&gt;zincirTolerans,"ZİNCİR KIRIK","OK")),IF($H20&gt;0,IF(OR($G20="",$H20=""),"",IF(ABS($H20-$G20)&gt;zincirTolerans,"ZİNCİR KIRIK","OK")),"OK"))</f>
        <v/>
      </c>
      <c r="W20" s="30">
        <f>IF($A20="","",1)</f>
        <v/>
      </c>
    </row>
    <row r="21">
      <c r="A21" s="27" t="inlineStr">
        <is>
          <t>8D-00016</t>
        </is>
      </c>
      <c r="B21" s="27" t="inlineStr">
        <is>
          <t>EKP-00006</t>
        </is>
      </c>
      <c r="C21" s="27" t="inlineStr">
        <is>
          <t>SKY-2026-0016</t>
        </is>
      </c>
      <c r="D21" s="32" t="n">
        <v>46165</v>
      </c>
      <c r="E21" s="27" t="inlineStr">
        <is>
          <t>D5_DF</t>
        </is>
      </c>
      <c r="F21" s="27" t="inlineStr">
        <is>
          <t>D6_UYGULA</t>
        </is>
      </c>
      <c r="G21" s="31" t="n">
        <v>55000</v>
      </c>
      <c r="H21" s="31" t="n">
        <v>55000</v>
      </c>
      <c r="I21" s="31" t="n"/>
      <c r="J21" s="29" t="n">
        <v>0.15</v>
      </c>
      <c r="K21" s="31" t="n"/>
      <c r="L21" s="31" t="n">
        <v>63250</v>
      </c>
      <c r="M21" s="27" t="inlineStr">
        <is>
          <t>Malzeme</t>
        </is>
      </c>
      <c r="N21" s="27" t="inlineStr">
        <is>
          <t>B</t>
        </is>
      </c>
      <c r="O21" s="27" t="inlineStr">
        <is>
          <t>Problem notu 16</t>
        </is>
      </c>
      <c r="P21" s="30">
        <f>IF($D21="","",raporTarihi-$D21)</f>
        <v/>
      </c>
      <c r="Q21" s="30">
        <f>IF($P21="","",IF($P21&lt;=sdf_kovaEsik1,"0-30",IF($P21&lt;=sdf_kovaEsik2,"31-60",IF($P21&lt;=sdf_kovaEsik3,"61-90","90+"))))</f>
        <v/>
      </c>
      <c r="R21" s="30">
        <f>IF($A21="","",IF($H21&gt;0,$H21,$G21))</f>
        <v/>
      </c>
      <c r="S21" s="30">
        <f>IF($F21="D8_KAPALI","KAPANAN",IF($F21="IPTAL","IPTAL","ACIK"))</f>
        <v/>
      </c>
      <c r="T21" s="30">
        <f>IF($B21="","YETİM",IF(COUNTIF(tblEkip[EkipId],$B21)=0,"YETİM",""))</f>
        <v/>
      </c>
      <c r="U21" s="30">
        <f>IF(OR($E21&amp;"|"&amp;$F21="",COUNTIF(ListeIzinliGecis,$E21&amp;"|"&amp;$F21)&gt;0),"","GEÇERSİZ GEÇİŞ")</f>
        <v/>
      </c>
      <c r="V21" s="30">
        <f>IF(OR($F21="D8_KAPALI",$F21="D7_ONLE",$I21&gt;0),IF(OR($H21="",$I21=""),"",IF(ABS($I21-$H21)&gt;zincirTolerans,"ZİNCİR KIRIK","OK")),IF($H21&gt;0,IF(OR($G21="",$H21=""),"",IF(ABS($H21-$G21)&gt;zincirTolerans,"ZİNCİR KIRIK","OK")),"OK"))</f>
        <v/>
      </c>
      <c r="W21" s="30">
        <f>IF($A21="","",1)</f>
        <v/>
      </c>
    </row>
    <row r="22">
      <c r="A22" s="27" t="inlineStr">
        <is>
          <t>8D-00017</t>
        </is>
      </c>
      <c r="B22" s="27" t="inlineStr">
        <is>
          <t>EKP-00007</t>
        </is>
      </c>
      <c r="C22" s="27" t="inlineStr">
        <is>
          <t>SKY-2026-0017</t>
        </is>
      </c>
      <c r="D22" s="32" t="n">
        <v>46160</v>
      </c>
      <c r="E22" s="27" t="inlineStr">
        <is>
          <t>D6_UYGULA</t>
        </is>
      </c>
      <c r="F22" s="27" t="inlineStr">
        <is>
          <t>D7_ONLE</t>
        </is>
      </c>
      <c r="G22" s="31" t="n">
        <v>57500</v>
      </c>
      <c r="H22" s="31" t="n">
        <v>56700</v>
      </c>
      <c r="I22" s="31" t="n">
        <v>115000</v>
      </c>
      <c r="J22" s="29" t="n">
        <v>0.15</v>
      </c>
      <c r="K22" s="31" t="n"/>
      <c r="L22" s="31" t="n">
        <v>66125</v>
      </c>
      <c r="M22" s="27" t="inlineStr">
        <is>
          <t>Makine</t>
        </is>
      </c>
      <c r="N22" s="27" t="inlineStr">
        <is>
          <t>A</t>
        </is>
      </c>
      <c r="O22" s="27" t="inlineStr">
        <is>
          <t>Problem notu 17</t>
        </is>
      </c>
      <c r="P22" s="30">
        <f>IF($D22="","",raporTarihi-$D22)</f>
        <v/>
      </c>
      <c r="Q22" s="30">
        <f>IF($P22="","",IF($P22&lt;=sdf_kovaEsik1,"0-30",IF($P22&lt;=sdf_kovaEsik2,"31-60",IF($P22&lt;=sdf_kovaEsik3,"61-90","90+"))))</f>
        <v/>
      </c>
      <c r="R22" s="30">
        <f>IF($A22="","",IF($H22&gt;0,$H22,$G22))</f>
        <v/>
      </c>
      <c r="S22" s="30">
        <f>IF($F22="D8_KAPALI","KAPANAN",IF($F22="IPTAL","IPTAL","ACIK"))</f>
        <v/>
      </c>
      <c r="T22" s="30">
        <f>IF($B22="","YETİM",IF(COUNTIF(tblEkip[EkipId],$B22)=0,"YETİM",""))</f>
        <v/>
      </c>
      <c r="U22" s="30">
        <f>IF(OR($E22&amp;"|"&amp;$F22="",COUNTIF(ListeIzinliGecis,$E22&amp;"|"&amp;$F22)&gt;0),"","GEÇERSİZ GEÇİŞ")</f>
        <v/>
      </c>
      <c r="V22" s="30">
        <f>IF(OR($F22="D8_KAPALI",$F22="D7_ONLE",$I22&gt;0),IF(OR($H22="",$I22=""),"",IF(ABS($I22-$H22)&gt;zincirTolerans,"ZİNCİR KIRIK","OK")),IF($H22&gt;0,IF(OR($G22="",$H22=""),"",IF(ABS($H22-$G22)&gt;zincirTolerans,"ZİNCİR KIRIK","OK")),"OK"))</f>
        <v/>
      </c>
      <c r="W22" s="30">
        <f>IF($A22="","",1)</f>
        <v/>
      </c>
    </row>
    <row r="23">
      <c r="A23" s="27" t="inlineStr">
        <is>
          <t>8D-00018</t>
        </is>
      </c>
      <c r="B23" s="27" t="inlineStr">
        <is>
          <t>EKP-00008</t>
        </is>
      </c>
      <c r="C23" s="27" t="inlineStr">
        <is>
          <t>SKY-2026-0018</t>
        </is>
      </c>
      <c r="D23" s="32" t="n">
        <v>46155</v>
      </c>
      <c r="E23" s="27" t="inlineStr">
        <is>
          <t>D1_EKIP</t>
        </is>
      </c>
      <c r="F23" s="27" t="inlineStr">
        <is>
          <t>D5_DF</t>
        </is>
      </c>
      <c r="G23" s="31" t="n">
        <v>60000</v>
      </c>
      <c r="H23" s="31" t="n">
        <v>58400</v>
      </c>
      <c r="I23" s="31" t="n"/>
      <c r="J23" s="29" t="n">
        <v>0.1</v>
      </c>
      <c r="K23" s="31" t="n"/>
      <c r="L23" s="31" t="n">
        <v>66000</v>
      </c>
      <c r="M23" s="27" t="inlineStr">
        <is>
          <t>Insan</t>
        </is>
      </c>
      <c r="N23" s="27" t="inlineStr">
        <is>
          <t>B</t>
        </is>
      </c>
      <c r="O23" s="27" t="inlineStr">
        <is>
          <t>Problem notu 18</t>
        </is>
      </c>
      <c r="P23" s="30">
        <f>IF($D23="","",raporTarihi-$D23)</f>
        <v/>
      </c>
      <c r="Q23" s="30">
        <f>IF($P23="","",IF($P23&lt;=sdf_kovaEsik1,"0-30",IF($P23&lt;=sdf_kovaEsik2,"31-60",IF($P23&lt;=sdf_kovaEsik3,"61-90","90+"))))</f>
        <v/>
      </c>
      <c r="R23" s="30">
        <f>IF($A23="","",IF($H23&gt;0,$H23,$G23))</f>
        <v/>
      </c>
      <c r="S23" s="30">
        <f>IF($F23="D8_KAPALI","KAPANAN",IF($F23="IPTAL","IPTAL","ACIK"))</f>
        <v/>
      </c>
      <c r="T23" s="30">
        <f>IF($B23="","YETİM",IF(COUNTIF(tblEkip[EkipId],$B23)=0,"YETİM",""))</f>
        <v/>
      </c>
      <c r="U23" s="30">
        <f>IF(OR($E23&amp;"|"&amp;$F23="",COUNTIF(ListeIzinliGecis,$E23&amp;"|"&amp;$F23)&gt;0),"","GEÇERSİZ GEÇİŞ")</f>
        <v/>
      </c>
      <c r="V23" s="30">
        <f>IF(OR($F23="D8_KAPALI",$F23="D7_ONLE",$I23&gt;0),IF(OR($H23="",$I23=""),"",IF(ABS($I23-$H23)&gt;zincirTolerans,"ZİNCİR KIRIK","OK")),IF($H23&gt;0,IF(OR($G23="",$H23=""),"",IF(ABS($H23-$G23)&gt;zincirTolerans,"ZİNCİR KIRIK","OK")),"OK"))</f>
        <v/>
      </c>
      <c r="W23" s="30">
        <f>IF($A23="","",1)</f>
        <v/>
      </c>
    </row>
    <row r="24">
      <c r="A24" s="27" t="inlineStr">
        <is>
          <t>8D-00019</t>
        </is>
      </c>
      <c r="B24" s="27" t="inlineStr">
        <is>
          <t>EKP-00009</t>
        </is>
      </c>
      <c r="C24" s="27" t="inlineStr">
        <is>
          <t>SKY-2026-0019</t>
        </is>
      </c>
      <c r="D24" s="32" t="n">
        <v>46150</v>
      </c>
      <c r="E24" s="27" t="inlineStr">
        <is>
          <t>D5_DF</t>
        </is>
      </c>
      <c r="F24" s="27" t="inlineStr">
        <is>
          <t>IPTAL</t>
        </is>
      </c>
      <c r="G24" s="31" t="n">
        <v>62500</v>
      </c>
      <c r="H24" s="31" t="n">
        <v>84500</v>
      </c>
      <c r="I24" s="31" t="n"/>
      <c r="J24" s="29" t="n">
        <v>0.15</v>
      </c>
      <c r="K24" s="31" t="n"/>
      <c r="L24" s="31" t="n">
        <v>0</v>
      </c>
      <c r="M24" s="27" t="inlineStr">
        <is>
          <t>Ortam</t>
        </is>
      </c>
      <c r="N24" s="27" t="inlineStr">
        <is>
          <t>A</t>
        </is>
      </c>
      <c r="O24" s="27" t="inlineStr">
        <is>
          <t>Problem notu 19</t>
        </is>
      </c>
      <c r="P24" s="30">
        <f>IF($D24="","",raporTarihi-$D24)</f>
        <v/>
      </c>
      <c r="Q24" s="30">
        <f>IF($P24="","",IF($P24&lt;=sdf_kovaEsik1,"0-30",IF($P24&lt;=sdf_kovaEsik2,"31-60",IF($P24&lt;=sdf_kovaEsik3,"61-90","90+"))))</f>
        <v/>
      </c>
      <c r="R24" s="30">
        <f>IF($A24="","",IF($H24&gt;0,$H24,$G24))</f>
        <v/>
      </c>
      <c r="S24" s="30">
        <f>IF($F24="D8_KAPALI","KAPANAN",IF($F24="IPTAL","IPTAL","ACIK"))</f>
        <v/>
      </c>
      <c r="T24" s="30">
        <f>IF($B24="","YETİM",IF(COUNTIF(tblEkip[EkipId],$B24)=0,"YETİM",""))</f>
        <v/>
      </c>
      <c r="U24" s="30">
        <f>IF(OR($E24&amp;"|"&amp;$F24="",COUNTIF(ListeIzinliGecis,$E24&amp;"|"&amp;$F24)&gt;0),"","GEÇERSİZ GEÇİŞ")</f>
        <v/>
      </c>
      <c r="V24" s="30">
        <f>IF(OR($F24="D8_KAPALI",$F24="D7_ONLE",$I24&gt;0),IF(OR($H24="",$I24=""),"",IF(ABS($I24-$H24)&gt;zincirTolerans,"ZİNCİR KIRIK","OK")),IF($H24&gt;0,IF(OR($G24="",$H24=""),"",IF(ABS($H24-$G24)&gt;zincirTolerans,"ZİNCİR KIRIK","OK")),"OK"))</f>
        <v/>
      </c>
      <c r="W24" s="30">
        <f>IF($A24="","",1)</f>
        <v/>
      </c>
    </row>
    <row r="25">
      <c r="A25" s="27" t="inlineStr">
        <is>
          <t>8D-00020</t>
        </is>
      </c>
      <c r="B25" s="27" t="inlineStr">
        <is>
          <t>EKP-00010</t>
        </is>
      </c>
      <c r="C25" s="27" t="inlineStr">
        <is>
          <t>SKY-2026-0020</t>
        </is>
      </c>
      <c r="D25" s="32" t="n">
        <v>46145</v>
      </c>
      <c r="E25" s="27" t="inlineStr">
        <is>
          <t>D6_UYGULA</t>
        </is>
      </c>
      <c r="F25" s="27" t="inlineStr">
        <is>
          <t>D2_PROBLEM</t>
        </is>
      </c>
      <c r="G25" s="31" t="n">
        <v>65000</v>
      </c>
      <c r="H25" s="31" t="n">
        <v>65000</v>
      </c>
      <c r="I25" s="31" t="n"/>
      <c r="J25" s="29" t="n">
        <v>0.15</v>
      </c>
      <c r="K25" s="31" t="n"/>
      <c r="L25" s="31" t="n">
        <v>74750</v>
      </c>
      <c r="M25" s="27" t="inlineStr">
        <is>
          <t>Yontem</t>
        </is>
      </c>
      <c r="N25" s="27" t="inlineStr">
        <is>
          <t>B</t>
        </is>
      </c>
      <c r="O25" s="27" t="inlineStr">
        <is>
          <t>Problem notu 20</t>
        </is>
      </c>
      <c r="P25" s="30">
        <f>IF($D25="","",raporTarihi-$D25)</f>
        <v/>
      </c>
      <c r="Q25" s="30">
        <f>IF($P25="","",IF($P25&lt;=sdf_kovaEsik1,"0-30",IF($P25&lt;=sdf_kovaEsik2,"31-60",IF($P25&lt;=sdf_kovaEsik3,"61-90","90+"))))</f>
        <v/>
      </c>
      <c r="R25" s="30">
        <f>IF($A25="","",IF($H25&gt;0,$H25,$G25))</f>
        <v/>
      </c>
      <c r="S25" s="30">
        <f>IF($F25="D8_KAPALI","KAPANAN",IF($F25="IPTAL","IPTAL","ACIK"))</f>
        <v/>
      </c>
      <c r="T25" s="30">
        <f>IF($B25="","YETİM",IF(COUNTIF(tblEkip[EkipId],$B25)=0,"YETİM",""))</f>
        <v/>
      </c>
      <c r="U25" s="30">
        <f>IF(OR($E25&amp;"|"&amp;$F25="",COUNTIF(ListeIzinliGecis,$E25&amp;"|"&amp;$F25)&gt;0),"","GEÇERSİZ GEÇİŞ")</f>
        <v/>
      </c>
      <c r="V25" s="30">
        <f>IF(OR($F25="D8_KAPALI",$F25="D7_ONLE",$I25&gt;0),IF(OR($H25="",$I25=""),"",IF(ABS($I25-$H25)&gt;zincirTolerans,"ZİNCİR KIRIK","OK")),IF($H25&gt;0,IF(OR($G25="",$H25=""),"",IF(ABS($H25-$G25)&gt;zincirTolerans,"ZİNCİR KIRIK","OK")),"OK"))</f>
        <v/>
      </c>
      <c r="W25" s="30">
        <f>IF($A25="","",1)</f>
        <v/>
      </c>
    </row>
    <row r="26">
      <c r="A26" s="27" t="inlineStr">
        <is>
          <t>8D-00021</t>
        </is>
      </c>
      <c r="B26" s="27" t="inlineStr">
        <is>
          <t>EKP-00001</t>
        </is>
      </c>
      <c r="C26" s="27" t="inlineStr">
        <is>
          <t>SKY-2026-0021</t>
        </is>
      </c>
      <c r="D26" s="32" t="n">
        <v>46140</v>
      </c>
      <c r="E26" s="27" t="inlineStr"/>
      <c r="F26" s="27" t="inlineStr">
        <is>
          <t>D1_EKIP</t>
        </is>
      </c>
      <c r="G26" s="31" t="n">
        <v>67500</v>
      </c>
      <c r="H26" s="31" t="n">
        <v>66700</v>
      </c>
      <c r="I26" s="31" t="n"/>
      <c r="J26" s="29" t="n">
        <v>0.1</v>
      </c>
      <c r="K26" s="31" t="n"/>
      <c r="L26" s="31" t="n">
        <v>74250</v>
      </c>
      <c r="M26" s="27" t="inlineStr">
        <is>
          <t>Malzeme</t>
        </is>
      </c>
      <c r="N26" s="27" t="inlineStr">
        <is>
          <t>A</t>
        </is>
      </c>
      <c r="O26" s="27" t="inlineStr">
        <is>
          <t>Problem notu 21</t>
        </is>
      </c>
      <c r="P26" s="30">
        <f>IF($D26="","",raporTarihi-$D26)</f>
        <v/>
      </c>
      <c r="Q26" s="30">
        <f>IF($P26="","",IF($P26&lt;=sdf_kovaEsik1,"0-30",IF($P26&lt;=sdf_kovaEsik2,"31-60",IF($P26&lt;=sdf_kovaEsik3,"61-90","90+"))))</f>
        <v/>
      </c>
      <c r="R26" s="30">
        <f>IF($A26="","",IF($H26&gt;0,$H26,$G26))</f>
        <v/>
      </c>
      <c r="S26" s="30">
        <f>IF($F26="D8_KAPALI","KAPANAN",IF($F26="IPTAL","IPTAL","ACIK"))</f>
        <v/>
      </c>
      <c r="T26" s="30">
        <f>IF($B26="","YETİM",IF(COUNTIF(tblEkip[EkipId],$B26)=0,"YETİM",""))</f>
        <v/>
      </c>
      <c r="U26" s="30">
        <f>IF(OR($E26&amp;"|"&amp;$F26="",COUNTIF(ListeIzinliGecis,$E26&amp;"|"&amp;$F26)&gt;0),"","GEÇERSİZ GEÇİŞ")</f>
        <v/>
      </c>
      <c r="V26" s="30">
        <f>IF(OR($F26="D8_KAPALI",$F26="D7_ONLE",$I26&gt;0),IF(OR($H26="",$I26=""),"",IF(ABS($I26-$H26)&gt;zincirTolerans,"ZİNCİR KIRIK","OK")),IF($H26&gt;0,IF(OR($G26="",$H26=""),"",IF(ABS($H26-$G26)&gt;zincirTolerans,"ZİNCİR KIRIK","OK")),"OK"))</f>
        <v/>
      </c>
      <c r="W26" s="30">
        <f>IF($A26="","",1)</f>
        <v/>
      </c>
    </row>
    <row r="27">
      <c r="A27" s="27" t="inlineStr">
        <is>
          <t>8D-00022</t>
        </is>
      </c>
      <c r="B27" s="27" t="inlineStr"/>
      <c r="C27" s="27" t="inlineStr">
        <is>
          <t>SKY-2026-0022</t>
        </is>
      </c>
      <c r="D27" s="32" t="n">
        <v>46135</v>
      </c>
      <c r="E27" s="27" t="inlineStr">
        <is>
          <t>D1_EKIP</t>
        </is>
      </c>
      <c r="F27" s="27" t="inlineStr">
        <is>
          <t>D2_PROBLEM</t>
        </is>
      </c>
      <c r="G27" s="31" t="n">
        <v>70000</v>
      </c>
      <c r="H27" s="31" t="n">
        <v>68400</v>
      </c>
      <c r="I27" s="31" t="n"/>
      <c r="J27" s="29" t="n">
        <v>0.15</v>
      </c>
      <c r="K27" s="31" t="n"/>
      <c r="L27" s="31" t="n">
        <v>80500</v>
      </c>
      <c r="M27" s="27" t="inlineStr">
        <is>
          <t>Makine</t>
        </is>
      </c>
      <c r="N27" s="27" t="inlineStr">
        <is>
          <t>B</t>
        </is>
      </c>
      <c r="O27" s="27" t="inlineStr">
        <is>
          <t>Problem notu 22</t>
        </is>
      </c>
      <c r="P27" s="30">
        <f>IF($D27="","",raporTarihi-$D27)</f>
        <v/>
      </c>
      <c r="Q27" s="30">
        <f>IF($P27="","",IF($P27&lt;=sdf_kovaEsik1,"0-30",IF($P27&lt;=sdf_kovaEsik2,"31-60",IF($P27&lt;=sdf_kovaEsik3,"61-90","90+"))))</f>
        <v/>
      </c>
      <c r="R27" s="30">
        <f>IF($A27="","",IF($H27&gt;0,$H27,$G27))</f>
        <v/>
      </c>
      <c r="S27" s="30">
        <f>IF($F27="D8_KAPALI","KAPANAN",IF($F27="IPTAL","IPTAL","ACIK"))</f>
        <v/>
      </c>
      <c r="T27" s="30">
        <f>IF($B27="","YETİM",IF(COUNTIF(tblEkip[EkipId],$B27)=0,"YETİM",""))</f>
        <v/>
      </c>
      <c r="U27" s="30">
        <f>IF(OR($E27&amp;"|"&amp;$F27="",COUNTIF(ListeIzinliGecis,$E27&amp;"|"&amp;$F27)&gt;0),"","GEÇERSİZ GEÇİŞ")</f>
        <v/>
      </c>
      <c r="V27" s="30">
        <f>IF(OR($F27="D8_KAPALI",$F27="D7_ONLE",$I27&gt;0),IF(OR($H27="",$I27=""),"",IF(ABS($I27-$H27)&gt;zincirTolerans,"ZİNCİR KIRIK","OK")),IF($H27&gt;0,IF(OR($G27="",$H27=""),"",IF(ABS($H27-$G27)&gt;zincirTolerans,"ZİNCİR KIRIK","OK")),"OK"))</f>
        <v/>
      </c>
      <c r="W27" s="30">
        <f>IF($A27="","",1)</f>
        <v/>
      </c>
    </row>
    <row r="28">
      <c r="A28" s="27" t="inlineStr">
        <is>
          <t>8D-00023</t>
        </is>
      </c>
      <c r="B28" s="27" t="inlineStr">
        <is>
          <t>EKP-00003</t>
        </is>
      </c>
      <c r="C28" s="27" t="inlineStr">
        <is>
          <t>SKY-2026-0023</t>
        </is>
      </c>
      <c r="D28" s="32" t="n">
        <v>46130</v>
      </c>
      <c r="E28" s="27" t="inlineStr">
        <is>
          <t>D2_PROBLEM</t>
        </is>
      </c>
      <c r="F28" s="27" t="inlineStr">
        <is>
          <t>D3_MUHAFAZA</t>
        </is>
      </c>
      <c r="G28" s="31" t="n">
        <v>72500</v>
      </c>
      <c r="H28" s="31" t="n">
        <v>70100</v>
      </c>
      <c r="I28" s="31" t="n"/>
      <c r="J28" s="29" t="n">
        <v>0.15</v>
      </c>
      <c r="K28" s="31" t="n"/>
      <c r="L28" s="31" t="n">
        <v>83375</v>
      </c>
      <c r="M28" s="27" t="inlineStr">
        <is>
          <t>Insan</t>
        </is>
      </c>
      <c r="N28" s="27" t="inlineStr">
        <is>
          <t>A</t>
        </is>
      </c>
      <c r="O28" s="27" t="inlineStr">
        <is>
          <t>Problem notu 23</t>
        </is>
      </c>
      <c r="P28" s="30">
        <f>IF($D28="","",raporTarihi-$D28)</f>
        <v/>
      </c>
      <c r="Q28" s="30">
        <f>IF($P28="","",IF($P28&lt;=sdf_kovaEsik1,"0-30",IF($P28&lt;=sdf_kovaEsik2,"31-60",IF($P28&lt;=sdf_kovaEsik3,"61-90","90+"))))</f>
        <v/>
      </c>
      <c r="R28" s="30">
        <f>IF($A28="","",IF($H28&gt;0,$H28,$G28))</f>
        <v/>
      </c>
      <c r="S28" s="30">
        <f>IF($F28="D8_KAPALI","KAPANAN",IF($F28="IPTAL","IPTAL","ACIK"))</f>
        <v/>
      </c>
      <c r="T28" s="30">
        <f>IF($B28="","YETİM",IF(COUNTIF(tblEkip[EkipId],$B28)=0,"YETİM",""))</f>
        <v/>
      </c>
      <c r="U28" s="30">
        <f>IF(OR($E28&amp;"|"&amp;$F28="",COUNTIF(ListeIzinliGecis,$E28&amp;"|"&amp;$F28)&gt;0),"","GEÇERSİZ GEÇİŞ")</f>
        <v/>
      </c>
      <c r="V28" s="30">
        <f>IF(OR($F28="D8_KAPALI",$F28="D7_ONLE",$I28&gt;0),IF(OR($H28="",$I28=""),"",IF(ABS($I28-$H28)&gt;zincirTolerans,"ZİNCİR KIRIK","OK")),IF($H28&gt;0,IF(OR($G28="",$H28=""),"",IF(ABS($H28-$G28)&gt;zincirTolerans,"ZİNCİR KIRIK","OK")),"OK"))</f>
        <v/>
      </c>
      <c r="W28" s="30">
        <f>IF($A28="","",1)</f>
        <v/>
      </c>
    </row>
    <row r="29">
      <c r="A29" s="27" t="inlineStr">
        <is>
          <t>8D-00024</t>
        </is>
      </c>
      <c r="B29" s="27" t="inlineStr">
        <is>
          <t>EKP-00004</t>
        </is>
      </c>
      <c r="C29" s="27" t="inlineStr">
        <is>
          <t>SKY-2026-0024</t>
        </is>
      </c>
      <c r="D29" s="32" t="n">
        <v>46245</v>
      </c>
      <c r="E29" s="27" t="inlineStr">
        <is>
          <t>D3_MUHAFAZA</t>
        </is>
      </c>
      <c r="F29" s="27" t="inlineStr">
        <is>
          <t>D4_KOK</t>
        </is>
      </c>
      <c r="G29" s="31" t="n">
        <v>75000</v>
      </c>
      <c r="H29" s="31" t="n">
        <v>75000</v>
      </c>
      <c r="I29" s="31" t="n"/>
      <c r="J29" s="29" t="n">
        <v>0.1</v>
      </c>
      <c r="K29" s="31" t="n"/>
      <c r="L29" s="31" t="n">
        <v>82500</v>
      </c>
      <c r="M29" s="27" t="inlineStr">
        <is>
          <t>Ortam</t>
        </is>
      </c>
      <c r="N29" s="27" t="inlineStr">
        <is>
          <t>B</t>
        </is>
      </c>
      <c r="O29" s="27" t="inlineStr">
        <is>
          <t>Problem notu 24</t>
        </is>
      </c>
      <c r="P29" s="30">
        <f>IF($D29="","",raporTarihi-$D29)</f>
        <v/>
      </c>
      <c r="Q29" s="30">
        <f>IF($P29="","",IF($P29&lt;=sdf_kovaEsik1,"0-30",IF($P29&lt;=sdf_kovaEsik2,"31-60",IF($P29&lt;=sdf_kovaEsik3,"61-90","90+"))))</f>
        <v/>
      </c>
      <c r="R29" s="30">
        <f>IF($A29="","",IF($H29&gt;0,$H29,$G29))</f>
        <v/>
      </c>
      <c r="S29" s="30">
        <f>IF($F29="D8_KAPALI","KAPANAN",IF($F29="IPTAL","IPTAL","ACIK"))</f>
        <v/>
      </c>
      <c r="T29" s="30">
        <f>IF($B29="","YETİM",IF(COUNTIF(tblEkip[EkipId],$B29)=0,"YETİM",""))</f>
        <v/>
      </c>
      <c r="U29" s="30">
        <f>IF(OR($E29&amp;"|"&amp;$F29="",COUNTIF(ListeIzinliGecis,$E29&amp;"|"&amp;$F29)&gt;0),"","GEÇERSİZ GEÇİŞ")</f>
        <v/>
      </c>
      <c r="V29" s="30">
        <f>IF(OR($F29="D8_KAPALI",$F29="D7_ONLE",$I29&gt;0),IF(OR($H29="",$I29=""),"",IF(ABS($I29-$H29)&gt;zincirTolerans,"ZİNCİR KIRIK","OK")),IF($H29&gt;0,IF(OR($G29="",$H29=""),"",IF(ABS($H29-$G29)&gt;zincirTolerans,"ZİNCİR KIRIK","OK")),"OK"))</f>
        <v/>
      </c>
      <c r="W29" s="30">
        <f>IF($A29="","",1)</f>
        <v/>
      </c>
    </row>
    <row r="30">
      <c r="A30" s="27" t="inlineStr">
        <is>
          <t>8D-00025</t>
        </is>
      </c>
      <c r="B30" s="27" t="inlineStr">
        <is>
          <t>EKP-99999</t>
        </is>
      </c>
      <c r="C30" s="27" t="inlineStr">
        <is>
          <t>SKY-2026-0025</t>
        </is>
      </c>
      <c r="D30" s="32" t="n">
        <v>46240</v>
      </c>
      <c r="E30" s="27" t="inlineStr">
        <is>
          <t>D4_KOK</t>
        </is>
      </c>
      <c r="F30" s="27" t="inlineStr">
        <is>
          <t>D5_DF</t>
        </is>
      </c>
      <c r="G30" s="31" t="n">
        <v>77500</v>
      </c>
      <c r="H30" s="31" t="n">
        <v>76700</v>
      </c>
      <c r="I30" s="31" t="n"/>
      <c r="J30" s="29" t="n">
        <v>0.15</v>
      </c>
      <c r="K30" s="31" t="n"/>
      <c r="L30" s="31" t="n">
        <v>89125</v>
      </c>
      <c r="M30" s="27" t="inlineStr">
        <is>
          <t>Yontem</t>
        </is>
      </c>
      <c r="N30" s="27" t="inlineStr">
        <is>
          <t>A</t>
        </is>
      </c>
      <c r="O30" s="27" t="inlineStr">
        <is>
          <t>Problem notu 25</t>
        </is>
      </c>
      <c r="P30" s="30">
        <f>IF($D30="","",raporTarihi-$D30)</f>
        <v/>
      </c>
      <c r="Q30" s="30">
        <f>IF($P30="","",IF($P30&lt;=sdf_kovaEsik1,"0-30",IF($P30&lt;=sdf_kovaEsik2,"31-60",IF($P30&lt;=sdf_kovaEsik3,"61-90","90+"))))</f>
        <v/>
      </c>
      <c r="R30" s="30">
        <f>IF($A30="","",IF($H30&gt;0,$H30,$G30))</f>
        <v/>
      </c>
      <c r="S30" s="30">
        <f>IF($F30="D8_KAPALI","KAPANAN",IF($F30="IPTAL","IPTAL","ACIK"))</f>
        <v/>
      </c>
      <c r="T30" s="30">
        <f>IF($B30="","YETİM",IF(COUNTIF(tblEkip[EkipId],$B30)=0,"YETİM",""))</f>
        <v/>
      </c>
      <c r="U30" s="30">
        <f>IF(OR($E30&amp;"|"&amp;$F30="",COUNTIF(ListeIzinliGecis,$E30&amp;"|"&amp;$F30)&gt;0),"","GEÇERSİZ GEÇİŞ")</f>
        <v/>
      </c>
      <c r="V30" s="30">
        <f>IF(OR($F30="D8_KAPALI",$F30="D7_ONLE",$I30&gt;0),IF(OR($H30="",$I30=""),"",IF(ABS($I30-$H30)&gt;zincirTolerans,"ZİNCİR KIRIK","OK")),IF($H30&gt;0,IF(OR($G30="",$H30=""),"",IF(ABS($H30-$G30)&gt;zincirTolerans,"ZİNCİR KIRIK","OK")),"OK"))</f>
        <v/>
      </c>
      <c r="W30" s="30">
        <f>IF($A30="","",1)</f>
        <v/>
      </c>
    </row>
    <row r="31">
      <c r="A31" s="27" t="inlineStr">
        <is>
          <t>8D-00026</t>
        </is>
      </c>
      <c r="B31" s="27" t="inlineStr">
        <is>
          <t>EKP-00006</t>
        </is>
      </c>
      <c r="C31" s="27" t="inlineStr">
        <is>
          <t>SKY-2026-0026</t>
        </is>
      </c>
      <c r="D31" s="32" t="n">
        <v>46235</v>
      </c>
      <c r="E31" s="27" t="inlineStr">
        <is>
          <t>D5_DF</t>
        </is>
      </c>
      <c r="F31" s="27" t="inlineStr">
        <is>
          <t>D6_UYGULA</t>
        </is>
      </c>
      <c r="G31" s="31" t="n">
        <v>80000</v>
      </c>
      <c r="H31" s="31" t="n">
        <v>78400</v>
      </c>
      <c r="I31" s="31" t="n"/>
      <c r="J31" s="29" t="n">
        <v>0.15</v>
      </c>
      <c r="K31" s="31" t="n"/>
      <c r="L31" s="31" t="n">
        <v>92000</v>
      </c>
      <c r="M31" s="27" t="inlineStr">
        <is>
          <t>Malzeme</t>
        </is>
      </c>
      <c r="N31" s="27" t="inlineStr">
        <is>
          <t>B</t>
        </is>
      </c>
      <c r="O31" s="27" t="inlineStr">
        <is>
          <t>Problem notu 26</t>
        </is>
      </c>
      <c r="P31" s="30">
        <f>IF($D31="","",raporTarihi-$D31)</f>
        <v/>
      </c>
      <c r="Q31" s="30">
        <f>IF($P31="","",IF($P31&lt;=sdf_kovaEsik1,"0-30",IF($P31&lt;=sdf_kovaEsik2,"31-60",IF($P31&lt;=sdf_kovaEsik3,"61-90","90+"))))</f>
        <v/>
      </c>
      <c r="R31" s="30">
        <f>IF($A31="","",IF($H31&gt;0,$H31,$G31))</f>
        <v/>
      </c>
      <c r="S31" s="30">
        <f>IF($F31="D8_KAPALI","KAPANAN",IF($F31="IPTAL","IPTAL","ACIK"))</f>
        <v/>
      </c>
      <c r="T31" s="30">
        <f>IF($B31="","YETİM",IF(COUNTIF(tblEkip[EkipId],$B31)=0,"YETİM",""))</f>
        <v/>
      </c>
      <c r="U31" s="30">
        <f>IF(OR($E31&amp;"|"&amp;$F31="",COUNTIF(ListeIzinliGecis,$E31&amp;"|"&amp;$F31)&gt;0),"","GEÇERSİZ GEÇİŞ")</f>
        <v/>
      </c>
      <c r="V31" s="30">
        <f>IF(OR($F31="D8_KAPALI",$F31="D7_ONLE",$I31&gt;0),IF(OR($H31="",$I31=""),"",IF(ABS($I31-$H31)&gt;zincirTolerans,"ZİNCİR KIRIK","OK")),IF($H31&gt;0,IF(OR($G31="",$H31=""),"",IF(ABS($H31-$G31)&gt;zincirTolerans,"ZİNCİR KIRIK","OK")),"OK"))</f>
        <v/>
      </c>
      <c r="W31" s="30">
        <f>IF($A31="","",1)</f>
        <v/>
      </c>
    </row>
    <row r="32">
      <c r="A32" s="27" t="inlineStr">
        <is>
          <t>8D-00027</t>
        </is>
      </c>
      <c r="B32" s="27" t="inlineStr">
        <is>
          <t>EKP-00007</t>
        </is>
      </c>
      <c r="C32" s="27" t="inlineStr">
        <is>
          <t>SKY-2026-0027</t>
        </is>
      </c>
      <c r="D32" s="32" t="n">
        <v>46230</v>
      </c>
      <c r="E32" s="27" t="inlineStr">
        <is>
          <t>D6_UYGULA</t>
        </is>
      </c>
      <c r="F32" s="27" t="inlineStr">
        <is>
          <t>D7_ONLE</t>
        </is>
      </c>
      <c r="G32" s="31" t="n">
        <v>82500</v>
      </c>
      <c r="H32" s="31" t="n">
        <v>80100</v>
      </c>
      <c r="I32" s="31" t="n">
        <v>165000</v>
      </c>
      <c r="J32" s="29" t="n">
        <v>0.1</v>
      </c>
      <c r="K32" s="31" t="n"/>
      <c r="L32" s="31" t="n">
        <v>90750</v>
      </c>
      <c r="M32" s="27" t="inlineStr">
        <is>
          <t>Makine</t>
        </is>
      </c>
      <c r="N32" s="27" t="inlineStr">
        <is>
          <t>A</t>
        </is>
      </c>
      <c r="O32" s="27" t="inlineStr">
        <is>
          <t>Problem notu 27</t>
        </is>
      </c>
      <c r="P32" s="30">
        <f>IF($D32="","",raporTarihi-$D32)</f>
        <v/>
      </c>
      <c r="Q32" s="30">
        <f>IF($P32="","",IF($P32&lt;=sdf_kovaEsik1,"0-30",IF($P32&lt;=sdf_kovaEsik2,"31-60",IF($P32&lt;=sdf_kovaEsik3,"61-90","90+"))))</f>
        <v/>
      </c>
      <c r="R32" s="30">
        <f>IF($A32="","",IF($H32&gt;0,$H32,$G32))</f>
        <v/>
      </c>
      <c r="S32" s="30">
        <f>IF($F32="D8_KAPALI","KAPANAN",IF($F32="IPTAL","IPTAL","ACIK"))</f>
        <v/>
      </c>
      <c r="T32" s="30">
        <f>IF($B32="","YETİM",IF(COUNTIF(tblEkip[EkipId],$B32)=0,"YETİM",""))</f>
        <v/>
      </c>
      <c r="U32" s="30">
        <f>IF(OR($E32&amp;"|"&amp;$F32="",COUNTIF(ListeIzinliGecis,$E32&amp;"|"&amp;$F32)&gt;0),"","GEÇERSİZ GEÇİŞ")</f>
        <v/>
      </c>
      <c r="V32" s="30">
        <f>IF(OR($F32="D8_KAPALI",$F32="D7_ONLE",$I32&gt;0),IF(OR($H32="",$I32=""),"",IF(ABS($I32-$H32)&gt;zincirTolerans,"ZİNCİR KIRIK","OK")),IF($H32&gt;0,IF(OR($G32="",$H32=""),"",IF(ABS($H32-$G32)&gt;zincirTolerans,"ZİNCİR KIRIK","OK")),"OK"))</f>
        <v/>
      </c>
      <c r="W32" s="30">
        <f>IF($A32="","",1)</f>
        <v/>
      </c>
    </row>
    <row r="33">
      <c r="A33" s="27" t="inlineStr">
        <is>
          <t>8D-00028</t>
        </is>
      </c>
      <c r="B33" s="27" t="inlineStr">
        <is>
          <t>EKP-00008</t>
        </is>
      </c>
      <c r="C33" s="27" t="inlineStr">
        <is>
          <t>SKY-2026-0028</t>
        </is>
      </c>
      <c r="D33" s="32" t="n">
        <v>46225</v>
      </c>
      <c r="E33" s="27" t="inlineStr">
        <is>
          <t>D7_ONLE</t>
        </is>
      </c>
      <c r="F33" s="27" t="inlineStr">
        <is>
          <t>D8_KAPALI</t>
        </is>
      </c>
      <c r="G33" s="31" t="n">
        <v>85000</v>
      </c>
      <c r="H33" s="31" t="n">
        <v>85000</v>
      </c>
      <c r="I33" s="31" t="n">
        <v>170000</v>
      </c>
      <c r="J33" s="29" t="n">
        <v>0.15</v>
      </c>
      <c r="K33" s="31" t="n">
        <v>85000</v>
      </c>
      <c r="L33" s="31" t="n">
        <v>0</v>
      </c>
      <c r="M33" s="27" t="inlineStr">
        <is>
          <t>Insan</t>
        </is>
      </c>
      <c r="N33" s="27" t="inlineStr">
        <is>
          <t>B</t>
        </is>
      </c>
      <c r="O33" s="27" t="inlineStr">
        <is>
          <t>Problem notu 28</t>
        </is>
      </c>
      <c r="P33" s="30">
        <f>IF($D33="","",raporTarihi-$D33)</f>
        <v/>
      </c>
      <c r="Q33" s="30">
        <f>IF($P33="","",IF($P33&lt;=sdf_kovaEsik1,"0-30",IF($P33&lt;=sdf_kovaEsik2,"31-60",IF($P33&lt;=sdf_kovaEsik3,"61-90","90+"))))</f>
        <v/>
      </c>
      <c r="R33" s="30">
        <f>IF($A33="","",IF($H33&gt;0,$H33,$G33))</f>
        <v/>
      </c>
      <c r="S33" s="30">
        <f>IF($F33="D8_KAPALI","KAPANAN",IF($F33="IPTAL","IPTAL","ACIK"))</f>
        <v/>
      </c>
      <c r="T33" s="30">
        <f>IF($B33="","YETİM",IF(COUNTIF(tblEkip[EkipId],$B33)=0,"YETİM",""))</f>
        <v/>
      </c>
      <c r="U33" s="30">
        <f>IF(OR($E33&amp;"|"&amp;$F33="",COUNTIF(ListeIzinliGecis,$E33&amp;"|"&amp;$F33)&gt;0),"","GEÇERSİZ GEÇİŞ")</f>
        <v/>
      </c>
      <c r="V33" s="30">
        <f>IF(OR($F33="D8_KAPALI",$F33="D7_ONLE",$I33&gt;0),IF(OR($H33="",$I33=""),"",IF(ABS($I33-$H33)&gt;zincirTolerans,"ZİNCİR KIRIK","OK")),IF($H33&gt;0,IF(OR($G33="",$H33=""),"",IF(ABS($H33-$G33)&gt;zincirTolerans,"ZİNCİR KIRIK","OK")),"OK"))</f>
        <v/>
      </c>
      <c r="W33" s="30">
        <f>IF($A33="","",1)</f>
        <v/>
      </c>
    </row>
    <row r="34">
      <c r="A34" s="27" t="inlineStr">
        <is>
          <t>8D-00029</t>
        </is>
      </c>
      <c r="B34" s="27" t="inlineStr">
        <is>
          <t>EKP-00009</t>
        </is>
      </c>
      <c r="C34" s="27" t="inlineStr">
        <is>
          <t>SKY-2026-0029</t>
        </is>
      </c>
      <c r="D34" s="32" t="n">
        <v>46220</v>
      </c>
      <c r="E34" s="27" t="inlineStr">
        <is>
          <t>D5_DF</t>
        </is>
      </c>
      <c r="F34" s="27" t="inlineStr">
        <is>
          <t>IPTAL</t>
        </is>
      </c>
      <c r="G34" s="31" t="n">
        <v>87500</v>
      </c>
      <c r="H34" s="31" t="n">
        <v>86700</v>
      </c>
      <c r="I34" s="31" t="n"/>
      <c r="J34" s="29" t="n">
        <v>0.15</v>
      </c>
      <c r="K34" s="31" t="n"/>
      <c r="L34" s="31" t="n">
        <v>0</v>
      </c>
      <c r="M34" s="27" t="inlineStr">
        <is>
          <t>Ortam</t>
        </is>
      </c>
      <c r="N34" s="27" t="inlineStr">
        <is>
          <t>A</t>
        </is>
      </c>
      <c r="O34" s="27" t="inlineStr">
        <is>
          <t>Problem notu 29</t>
        </is>
      </c>
      <c r="P34" s="30">
        <f>IF($D34="","",raporTarihi-$D34)</f>
        <v/>
      </c>
      <c r="Q34" s="30">
        <f>IF($P34="","",IF($P34&lt;=sdf_kovaEsik1,"0-30",IF($P34&lt;=sdf_kovaEsik2,"31-60",IF($P34&lt;=sdf_kovaEsik3,"61-90","90+"))))</f>
        <v/>
      </c>
      <c r="R34" s="30">
        <f>IF($A34="","",IF($H34&gt;0,$H34,$G34))</f>
        <v/>
      </c>
      <c r="S34" s="30">
        <f>IF($F34="D8_KAPALI","KAPANAN",IF($F34="IPTAL","IPTAL","ACIK"))</f>
        <v/>
      </c>
      <c r="T34" s="30">
        <f>IF($B34="","YETİM",IF(COUNTIF(tblEkip[EkipId],$B34)=0,"YETİM",""))</f>
        <v/>
      </c>
      <c r="U34" s="30">
        <f>IF(OR($E34&amp;"|"&amp;$F34="",COUNTIF(ListeIzinliGecis,$E34&amp;"|"&amp;$F34)&gt;0),"","GEÇERSİZ GEÇİŞ")</f>
        <v/>
      </c>
      <c r="V34" s="30">
        <f>IF(OR($F34="D8_KAPALI",$F34="D7_ONLE",$I34&gt;0),IF(OR($H34="",$I34=""),"",IF(ABS($I34-$H34)&gt;zincirTolerans,"ZİNCİR KIRIK","OK")),IF($H34&gt;0,IF(OR($G34="",$H34=""),"",IF(ABS($H34-$G34)&gt;zincirTolerans,"ZİNCİR KIRIK","OK")),"OK"))</f>
        <v/>
      </c>
      <c r="W34" s="30">
        <f>IF($A34="","",1)</f>
        <v/>
      </c>
    </row>
    <row r="35">
      <c r="A35" s="27" t="inlineStr">
        <is>
          <t>8D-00030</t>
        </is>
      </c>
      <c r="B35" s="27" t="inlineStr">
        <is>
          <t>EKP-00010</t>
        </is>
      </c>
      <c r="C35" s="27" t="inlineStr">
        <is>
          <t>SKY-2026-0030</t>
        </is>
      </c>
      <c r="D35" s="32" t="n">
        <v>46215</v>
      </c>
      <c r="E35" s="27" t="inlineStr">
        <is>
          <t>D4_KOK</t>
        </is>
      </c>
      <c r="F35" s="27" t="inlineStr">
        <is>
          <t>D5_DF</t>
        </is>
      </c>
      <c r="G35" s="31" t="n">
        <v>90000</v>
      </c>
      <c r="H35" s="31" t="n">
        <v>88400</v>
      </c>
      <c r="I35" s="31" t="n"/>
      <c r="J35" s="29" t="n">
        <v>0.1</v>
      </c>
      <c r="K35" s="31" t="n"/>
      <c r="L35" s="31" t="n">
        <v>99000</v>
      </c>
      <c r="M35" s="27" t="inlineStr">
        <is>
          <t>Yontem</t>
        </is>
      </c>
      <c r="N35" s="27" t="inlineStr">
        <is>
          <t>B</t>
        </is>
      </c>
      <c r="O35" s="27" t="inlineStr">
        <is>
          <t>Problem notu 30</t>
        </is>
      </c>
      <c r="P35" s="30">
        <f>IF($D35="","",raporTarihi-$D35)</f>
        <v/>
      </c>
      <c r="Q35" s="30">
        <f>IF($P35="","",IF($P35&lt;=sdf_kovaEsik1,"0-30",IF($P35&lt;=sdf_kovaEsik2,"31-60",IF($P35&lt;=sdf_kovaEsik3,"61-90","90+"))))</f>
        <v/>
      </c>
      <c r="R35" s="30">
        <f>IF($A35="","",IF($H35&gt;0,$H35,$G35))</f>
        <v/>
      </c>
      <c r="S35" s="30">
        <f>IF($F35="D8_KAPALI","KAPANAN",IF($F35="IPTAL","IPTAL","ACIK"))</f>
        <v/>
      </c>
      <c r="T35" s="30">
        <f>IF($B35="","YETİM",IF(COUNTIF(tblEkip[EkipId],$B35)=0,"YETİM",""))</f>
        <v/>
      </c>
      <c r="U35" s="30">
        <f>IF(OR($E35&amp;"|"&amp;$F35="",COUNTIF(ListeIzinliGecis,$E35&amp;"|"&amp;$F35)&gt;0),"","GEÇERSİZ GEÇİŞ")</f>
        <v/>
      </c>
      <c r="V35" s="30">
        <f>IF(OR($F35="D8_KAPALI",$F35="D7_ONLE",$I35&gt;0),IF(OR($H35="",$I35=""),"",IF(ABS($I35-$H35)&gt;zincirTolerans,"ZİNCİR KIRIK","OK")),IF($H35&gt;0,IF(OR($G35="",$H35=""),"",IF(ABS($H35-$G35)&gt;zincirTolerans,"ZİNCİR KIRIK","OK")),"OK"))</f>
        <v/>
      </c>
      <c r="W35" s="30">
        <f>IF($A35="","",1)</f>
        <v/>
      </c>
    </row>
    <row r="36">
      <c r="A36" s="27" t="n"/>
      <c r="B36" s="27" t="n"/>
      <c r="C36" s="27" t="n"/>
      <c r="D36" s="32" t="n"/>
      <c r="E36" s="27" t="n"/>
      <c r="F36" s="27" t="n"/>
      <c r="G36" s="31" t="n"/>
      <c r="H36" s="31" t="n"/>
      <c r="I36" s="31" t="n"/>
      <c r="J36" s="29" t="n"/>
      <c r="K36" s="31" t="n"/>
      <c r="L36" s="31" t="n"/>
      <c r="M36" s="27" t="n"/>
      <c r="N36" s="27" t="n"/>
      <c r="O36" s="27" t="n"/>
      <c r="P36" s="30">
        <f>IF($D36="","",raporTarihi-$D36)</f>
        <v/>
      </c>
      <c r="Q36" s="30">
        <f>IF($P36="","",IF($P36&lt;=sdf_kovaEsik1,"0-30",IF($P36&lt;=sdf_kovaEsik2,"31-60",IF($P36&lt;=sdf_kovaEsik3,"61-90","90+"))))</f>
        <v/>
      </c>
      <c r="R36" s="30">
        <f>IF($A36="","",IF($H36&gt;0,$H36,$G36))</f>
        <v/>
      </c>
      <c r="S36" s="30">
        <f>IF($F36="D8_KAPALI","KAPANAN",IF($F36="IPTAL","IPTAL","ACIK"))</f>
        <v/>
      </c>
      <c r="T36" s="30">
        <f>IF($B36="","YETİM",IF(COUNTIF(tblEkip[EkipId],$B36)=0,"YETİM",""))</f>
        <v/>
      </c>
      <c r="U36" s="30">
        <f>IF(OR($E36&amp;"|"&amp;$F36="",COUNTIF(ListeIzinliGecis,$E36&amp;"|"&amp;$F36)&gt;0),"","GEÇERSİZ GEÇİŞ")</f>
        <v/>
      </c>
      <c r="V36" s="30">
        <f>IF(OR($F36="D8_KAPALI",$F36="D7_ONLE",$I36&gt;0),IF(OR($H36="",$I36=""),"",IF(ABS($I36-$H36)&gt;zincirTolerans,"ZİNCİR KIRIK","OK")),IF($H36&gt;0,IF(OR($G36="",$H36=""),"",IF(ABS($H36-$G36)&gt;zincirTolerans,"ZİNCİR KIRIK","OK")),"OK"))</f>
        <v/>
      </c>
      <c r="W36" s="30">
        <f>IF($A36="","",1)</f>
        <v/>
      </c>
    </row>
    <row r="37">
      <c r="A37" s="27" t="n"/>
      <c r="B37" s="27" t="n"/>
      <c r="C37" s="27" t="n"/>
      <c r="D37" s="32" t="n"/>
      <c r="E37" s="27" t="n"/>
      <c r="F37" s="27" t="n"/>
      <c r="G37" s="31" t="n"/>
      <c r="H37" s="31" t="n"/>
      <c r="I37" s="31" t="n"/>
      <c r="J37" s="29" t="n"/>
      <c r="K37" s="31" t="n"/>
      <c r="L37" s="31" t="n"/>
      <c r="M37" s="27" t="n"/>
      <c r="N37" s="27" t="n"/>
      <c r="O37" s="27" t="n"/>
      <c r="P37" s="30">
        <f>IF($D37="","",raporTarihi-$D37)</f>
        <v/>
      </c>
      <c r="Q37" s="30">
        <f>IF($P37="","",IF($P37&lt;=sdf_kovaEsik1,"0-30",IF($P37&lt;=sdf_kovaEsik2,"31-60",IF($P37&lt;=sdf_kovaEsik3,"61-90","90+"))))</f>
        <v/>
      </c>
      <c r="R37" s="30">
        <f>IF($A37="","",IF($H37&gt;0,$H37,$G37))</f>
        <v/>
      </c>
      <c r="S37" s="30">
        <f>IF($F37="D8_KAPALI","KAPANAN",IF($F37="IPTAL","IPTAL","ACIK"))</f>
        <v/>
      </c>
      <c r="T37" s="30">
        <f>IF($B37="","YETİM",IF(COUNTIF(tblEkip[EkipId],$B37)=0,"YETİM",""))</f>
        <v/>
      </c>
      <c r="U37" s="30">
        <f>IF(OR($E37&amp;"|"&amp;$F37="",COUNTIF(ListeIzinliGecis,$E37&amp;"|"&amp;$F37)&gt;0),"","GEÇERSİZ GEÇİŞ")</f>
        <v/>
      </c>
      <c r="V37" s="30">
        <f>IF(OR($F37="D8_KAPALI",$F37="D7_ONLE",$I37&gt;0),IF(OR($H37="",$I37=""),"",IF(ABS($I37-$H37)&gt;zincirTolerans,"ZİNCİR KIRIK","OK")),IF($H37&gt;0,IF(OR($G37="",$H37=""),"",IF(ABS($H37-$G37)&gt;zincirTolerans,"ZİNCİR KIRIK","OK")),"OK"))</f>
        <v/>
      </c>
      <c r="W37" s="30">
        <f>IF($A37="","",1)</f>
        <v/>
      </c>
    </row>
    <row r="38">
      <c r="A38" s="27" t="n"/>
      <c r="B38" s="27" t="n"/>
      <c r="C38" s="27" t="n"/>
      <c r="D38" s="32" t="n"/>
      <c r="E38" s="27" t="n"/>
      <c r="F38" s="27" t="n"/>
      <c r="G38" s="31" t="n"/>
      <c r="H38" s="31" t="n"/>
      <c r="I38" s="31" t="n"/>
      <c r="J38" s="29" t="n"/>
      <c r="K38" s="31" t="n"/>
      <c r="L38" s="31" t="n"/>
      <c r="M38" s="27" t="n"/>
      <c r="N38" s="27" t="n"/>
      <c r="O38" s="27" t="n"/>
      <c r="P38" s="30">
        <f>IF($D38="","",raporTarihi-$D38)</f>
        <v/>
      </c>
      <c r="Q38" s="30">
        <f>IF($P38="","",IF($P38&lt;=sdf_kovaEsik1,"0-30",IF($P38&lt;=sdf_kovaEsik2,"31-60",IF($P38&lt;=sdf_kovaEsik3,"61-90","90+"))))</f>
        <v/>
      </c>
      <c r="R38" s="30">
        <f>IF($A38="","",IF($H38&gt;0,$H38,$G38))</f>
        <v/>
      </c>
      <c r="S38" s="30">
        <f>IF($F38="D8_KAPALI","KAPANAN",IF($F38="IPTAL","IPTAL","ACIK"))</f>
        <v/>
      </c>
      <c r="T38" s="30">
        <f>IF($B38="","YETİM",IF(COUNTIF(tblEkip[EkipId],$B38)=0,"YETİM",""))</f>
        <v/>
      </c>
      <c r="U38" s="30">
        <f>IF(OR($E38&amp;"|"&amp;$F38="",COUNTIF(ListeIzinliGecis,$E38&amp;"|"&amp;$F38)&gt;0),"","GEÇERSİZ GEÇİŞ")</f>
        <v/>
      </c>
      <c r="V38" s="30">
        <f>IF(OR($F38="D8_KAPALI",$F38="D7_ONLE",$I38&gt;0),IF(OR($H38="",$I38=""),"",IF(ABS($I38-$H38)&gt;zincirTolerans,"ZİNCİR KIRIK","OK")),IF($H38&gt;0,IF(OR($G38="",$H38=""),"",IF(ABS($H38-$G38)&gt;zincirTolerans,"ZİNCİR KIRIK","OK")),"OK"))</f>
        <v/>
      </c>
      <c r="W38" s="30">
        <f>IF($A38="","",1)</f>
        <v/>
      </c>
    </row>
    <row r="39">
      <c r="A39" s="27" t="n"/>
      <c r="B39" s="27" t="n"/>
      <c r="C39" s="27" t="n"/>
      <c r="D39" s="32" t="n"/>
      <c r="E39" s="27" t="n"/>
      <c r="F39" s="27" t="n"/>
      <c r="G39" s="31" t="n"/>
      <c r="H39" s="31" t="n"/>
      <c r="I39" s="31" t="n"/>
      <c r="J39" s="29" t="n"/>
      <c r="K39" s="31" t="n"/>
      <c r="L39" s="31" t="n"/>
      <c r="M39" s="27" t="n"/>
      <c r="N39" s="27" t="n"/>
      <c r="O39" s="27" t="n"/>
      <c r="P39" s="30">
        <f>IF($D39="","",raporTarihi-$D39)</f>
        <v/>
      </c>
      <c r="Q39" s="30">
        <f>IF($P39="","",IF($P39&lt;=sdf_kovaEsik1,"0-30",IF($P39&lt;=sdf_kovaEsik2,"31-60",IF($P39&lt;=sdf_kovaEsik3,"61-90","90+"))))</f>
        <v/>
      </c>
      <c r="R39" s="30">
        <f>IF($A39="","",IF($H39&gt;0,$H39,$G39))</f>
        <v/>
      </c>
      <c r="S39" s="30">
        <f>IF($F39="D8_KAPALI","KAPANAN",IF($F39="IPTAL","IPTAL","ACIK"))</f>
        <v/>
      </c>
      <c r="T39" s="30">
        <f>IF($B39="","YETİM",IF(COUNTIF(tblEkip[EkipId],$B39)=0,"YETİM",""))</f>
        <v/>
      </c>
      <c r="U39" s="30">
        <f>IF(OR($E39&amp;"|"&amp;$F39="",COUNTIF(ListeIzinliGecis,$E39&amp;"|"&amp;$F39)&gt;0),"","GEÇERSİZ GEÇİŞ")</f>
        <v/>
      </c>
      <c r="V39" s="30">
        <f>IF(OR($F39="D8_KAPALI",$F39="D7_ONLE",$I39&gt;0),IF(OR($H39="",$I39=""),"",IF(ABS($I39-$H39)&gt;zincirTolerans,"ZİNCİR KIRIK","OK")),IF($H39&gt;0,IF(OR($G39="",$H39=""),"",IF(ABS($H39-$G39)&gt;zincirTolerans,"ZİNCİR KIRIK","OK")),"OK"))</f>
        <v/>
      </c>
      <c r="W39" s="30">
        <f>IF($A39="","",1)</f>
        <v/>
      </c>
    </row>
    <row r="40">
      <c r="A40" s="27" t="n"/>
      <c r="B40" s="27" t="n"/>
      <c r="C40" s="27" t="n"/>
      <c r="D40" s="32" t="n"/>
      <c r="E40" s="27" t="n"/>
      <c r="F40" s="27" t="n"/>
      <c r="G40" s="31" t="n"/>
      <c r="H40" s="31" t="n"/>
      <c r="I40" s="31" t="n"/>
      <c r="J40" s="29" t="n"/>
      <c r="K40" s="31" t="n"/>
      <c r="L40" s="31" t="n"/>
      <c r="M40" s="27" t="n"/>
      <c r="N40" s="27" t="n"/>
      <c r="O40" s="27" t="n"/>
      <c r="P40" s="30">
        <f>IF($D40="","",raporTarihi-$D40)</f>
        <v/>
      </c>
      <c r="Q40" s="30">
        <f>IF($P40="","",IF($P40&lt;=sdf_kovaEsik1,"0-30",IF($P40&lt;=sdf_kovaEsik2,"31-60",IF($P40&lt;=sdf_kovaEsik3,"61-90","90+"))))</f>
        <v/>
      </c>
      <c r="R40" s="30">
        <f>IF($A40="","",IF($H40&gt;0,$H40,$G40))</f>
        <v/>
      </c>
      <c r="S40" s="30">
        <f>IF($F40="D8_KAPALI","KAPANAN",IF($F40="IPTAL","IPTAL","ACIK"))</f>
        <v/>
      </c>
      <c r="T40" s="30">
        <f>IF($B40="","YETİM",IF(COUNTIF(tblEkip[EkipId],$B40)=0,"YETİM",""))</f>
        <v/>
      </c>
      <c r="U40" s="30">
        <f>IF(OR($E40&amp;"|"&amp;$F40="",COUNTIF(ListeIzinliGecis,$E40&amp;"|"&amp;$F40)&gt;0),"","GEÇERSİZ GEÇİŞ")</f>
        <v/>
      </c>
      <c r="V40" s="30">
        <f>IF(OR($F40="D8_KAPALI",$F40="D7_ONLE",$I40&gt;0),IF(OR($H40="",$I40=""),"",IF(ABS($I40-$H40)&gt;zincirTolerans,"ZİNCİR KIRIK","OK")),IF($H40&gt;0,IF(OR($G40="",$H40=""),"",IF(ABS($H40-$G40)&gt;zincirTolerans,"ZİNCİR KIRIK","OK")),"OK"))</f>
        <v/>
      </c>
      <c r="W40" s="30">
        <f>IF($A40="","",1)</f>
        <v/>
      </c>
    </row>
    <row r="41">
      <c r="A41" s="27" t="n"/>
      <c r="B41" s="27" t="n"/>
      <c r="C41" s="27" t="n"/>
      <c r="D41" s="32" t="n"/>
      <c r="E41" s="27" t="n"/>
      <c r="F41" s="27" t="n"/>
      <c r="G41" s="31" t="n"/>
      <c r="H41" s="31" t="n"/>
      <c r="I41" s="31" t="n"/>
      <c r="J41" s="29" t="n"/>
      <c r="K41" s="31" t="n"/>
      <c r="L41" s="31" t="n"/>
      <c r="M41" s="27" t="n"/>
      <c r="N41" s="27" t="n"/>
      <c r="O41" s="27" t="n"/>
      <c r="P41" s="30">
        <f>IF($D41="","",raporTarihi-$D41)</f>
        <v/>
      </c>
      <c r="Q41" s="30">
        <f>IF($P41="","",IF($P41&lt;=sdf_kovaEsik1,"0-30",IF($P41&lt;=sdf_kovaEsik2,"31-60",IF($P41&lt;=sdf_kovaEsik3,"61-90","90+"))))</f>
        <v/>
      </c>
      <c r="R41" s="30">
        <f>IF($A41="","",IF($H41&gt;0,$H41,$G41))</f>
        <v/>
      </c>
      <c r="S41" s="30">
        <f>IF($F41="D8_KAPALI","KAPANAN",IF($F41="IPTAL","IPTAL","ACIK"))</f>
        <v/>
      </c>
      <c r="T41" s="30">
        <f>IF($B41="","YETİM",IF(COUNTIF(tblEkip[EkipId],$B41)=0,"YETİM",""))</f>
        <v/>
      </c>
      <c r="U41" s="30">
        <f>IF(OR($E41&amp;"|"&amp;$F41="",COUNTIF(ListeIzinliGecis,$E41&amp;"|"&amp;$F41)&gt;0),"","GEÇERSİZ GEÇİŞ")</f>
        <v/>
      </c>
      <c r="V41" s="30">
        <f>IF(OR($F41="D8_KAPALI",$F41="D7_ONLE",$I41&gt;0),IF(OR($H41="",$I41=""),"",IF(ABS($I41-$H41)&gt;zincirTolerans,"ZİNCİR KIRIK","OK")),IF($H41&gt;0,IF(OR($G41="",$H41=""),"",IF(ABS($H41-$G41)&gt;zincirTolerans,"ZİNCİR KIRIK","OK")),"OK"))</f>
        <v/>
      </c>
      <c r="W41" s="30">
        <f>IF($A41="","",1)</f>
        <v/>
      </c>
    </row>
    <row r="42">
      <c r="A42" s="27" t="n"/>
      <c r="B42" s="27" t="n"/>
      <c r="C42" s="27" t="n"/>
      <c r="D42" s="32" t="n"/>
      <c r="E42" s="27" t="n"/>
      <c r="F42" s="27" t="n"/>
      <c r="G42" s="31" t="n"/>
      <c r="H42" s="31" t="n"/>
      <c r="I42" s="31" t="n"/>
      <c r="J42" s="29" t="n"/>
      <c r="K42" s="31" t="n"/>
      <c r="L42" s="31" t="n"/>
      <c r="M42" s="27" t="n"/>
      <c r="N42" s="27" t="n"/>
      <c r="O42" s="27" t="n"/>
      <c r="P42" s="30">
        <f>IF($D42="","",raporTarihi-$D42)</f>
        <v/>
      </c>
      <c r="Q42" s="30">
        <f>IF($P42="","",IF($P42&lt;=sdf_kovaEsik1,"0-30",IF($P42&lt;=sdf_kovaEsik2,"31-60",IF($P42&lt;=sdf_kovaEsik3,"61-90","90+"))))</f>
        <v/>
      </c>
      <c r="R42" s="30">
        <f>IF($A42="","",IF($H42&gt;0,$H42,$G42))</f>
        <v/>
      </c>
      <c r="S42" s="30">
        <f>IF($F42="D8_KAPALI","KAPANAN",IF($F42="IPTAL","IPTAL","ACIK"))</f>
        <v/>
      </c>
      <c r="T42" s="30">
        <f>IF($B42="","YETİM",IF(COUNTIF(tblEkip[EkipId],$B42)=0,"YETİM",""))</f>
        <v/>
      </c>
      <c r="U42" s="30">
        <f>IF(OR($E42&amp;"|"&amp;$F42="",COUNTIF(ListeIzinliGecis,$E42&amp;"|"&amp;$F42)&gt;0),"","GEÇERSİZ GEÇİŞ")</f>
        <v/>
      </c>
      <c r="V42" s="30">
        <f>IF(OR($F42="D8_KAPALI",$F42="D7_ONLE",$I42&gt;0),IF(OR($H42="",$I42=""),"",IF(ABS($I42-$H42)&gt;zincirTolerans,"ZİNCİR KIRIK","OK")),IF($H42&gt;0,IF(OR($G42="",$H42=""),"",IF(ABS($H42-$G42)&gt;zincirTolerans,"ZİNCİR KIRIK","OK")),"OK"))</f>
        <v/>
      </c>
      <c r="W42" s="30">
        <f>IF($A42="","",1)</f>
        <v/>
      </c>
    </row>
    <row r="43">
      <c r="A43" s="27" t="n"/>
      <c r="B43" s="27" t="n"/>
      <c r="C43" s="27" t="n"/>
      <c r="D43" s="32" t="n"/>
      <c r="E43" s="27" t="n"/>
      <c r="F43" s="27" t="n"/>
      <c r="G43" s="31" t="n"/>
      <c r="H43" s="31" t="n"/>
      <c r="I43" s="31" t="n"/>
      <c r="J43" s="29" t="n"/>
      <c r="K43" s="31" t="n"/>
      <c r="L43" s="31" t="n"/>
      <c r="M43" s="27" t="n"/>
      <c r="N43" s="27" t="n"/>
      <c r="O43" s="27" t="n"/>
      <c r="P43" s="30">
        <f>IF($D43="","",raporTarihi-$D43)</f>
        <v/>
      </c>
      <c r="Q43" s="30">
        <f>IF($P43="","",IF($P43&lt;=sdf_kovaEsik1,"0-30",IF($P43&lt;=sdf_kovaEsik2,"31-60",IF($P43&lt;=sdf_kovaEsik3,"61-90","90+"))))</f>
        <v/>
      </c>
      <c r="R43" s="30">
        <f>IF($A43="","",IF($H43&gt;0,$H43,$G43))</f>
        <v/>
      </c>
      <c r="S43" s="30">
        <f>IF($F43="D8_KAPALI","KAPANAN",IF($F43="IPTAL","IPTAL","ACIK"))</f>
        <v/>
      </c>
      <c r="T43" s="30">
        <f>IF($B43="","YETİM",IF(COUNTIF(tblEkip[EkipId],$B43)=0,"YETİM",""))</f>
        <v/>
      </c>
      <c r="U43" s="30">
        <f>IF(OR($E43&amp;"|"&amp;$F43="",COUNTIF(ListeIzinliGecis,$E43&amp;"|"&amp;$F43)&gt;0),"","GEÇERSİZ GEÇİŞ")</f>
        <v/>
      </c>
      <c r="V43" s="30">
        <f>IF(OR($F43="D8_KAPALI",$F43="D7_ONLE",$I43&gt;0),IF(OR($H43="",$I43=""),"",IF(ABS($I43-$H43)&gt;zincirTolerans,"ZİNCİR KIRIK","OK")),IF($H43&gt;0,IF(OR($G43="",$H43=""),"",IF(ABS($H43-$G43)&gt;zincirTolerans,"ZİNCİR KIRIK","OK")),"OK"))</f>
        <v/>
      </c>
      <c r="W43" s="30">
        <f>IF($A43="","",1)</f>
        <v/>
      </c>
    </row>
    <row r="44">
      <c r="A44" s="27" t="n"/>
      <c r="B44" s="27" t="n"/>
      <c r="C44" s="27" t="n"/>
      <c r="D44" s="32" t="n"/>
      <c r="E44" s="27" t="n"/>
      <c r="F44" s="27" t="n"/>
      <c r="G44" s="31" t="n"/>
      <c r="H44" s="31" t="n"/>
      <c r="I44" s="31" t="n"/>
      <c r="J44" s="29" t="n"/>
      <c r="K44" s="31" t="n"/>
      <c r="L44" s="31" t="n"/>
      <c r="M44" s="27" t="n"/>
      <c r="N44" s="27" t="n"/>
      <c r="O44" s="27" t="n"/>
      <c r="P44" s="30">
        <f>IF($D44="","",raporTarihi-$D44)</f>
        <v/>
      </c>
      <c r="Q44" s="30">
        <f>IF($P44="","",IF($P44&lt;=sdf_kovaEsik1,"0-30",IF($P44&lt;=sdf_kovaEsik2,"31-60",IF($P44&lt;=sdf_kovaEsik3,"61-90","90+"))))</f>
        <v/>
      </c>
      <c r="R44" s="30">
        <f>IF($A44="","",IF($H44&gt;0,$H44,$G44))</f>
        <v/>
      </c>
      <c r="S44" s="30">
        <f>IF($F44="D8_KAPALI","KAPANAN",IF($F44="IPTAL","IPTAL","ACIK"))</f>
        <v/>
      </c>
      <c r="T44" s="30">
        <f>IF($B44="","YETİM",IF(COUNTIF(tblEkip[EkipId],$B44)=0,"YETİM",""))</f>
        <v/>
      </c>
      <c r="U44" s="30">
        <f>IF(OR($E44&amp;"|"&amp;$F44="",COUNTIF(ListeIzinliGecis,$E44&amp;"|"&amp;$F44)&gt;0),"","GEÇERSİZ GEÇİŞ")</f>
        <v/>
      </c>
      <c r="V44" s="30">
        <f>IF(OR($F44="D8_KAPALI",$F44="D7_ONLE",$I44&gt;0),IF(OR($H44="",$I44=""),"",IF(ABS($I44-$H44)&gt;zincirTolerans,"ZİNCİR KIRIK","OK")),IF($H44&gt;0,IF(OR($G44="",$H44=""),"",IF(ABS($H44-$G44)&gt;zincirTolerans,"ZİNCİR KIRIK","OK")),"OK"))</f>
        <v/>
      </c>
      <c r="W44" s="30">
        <f>IF($A44="","",1)</f>
        <v/>
      </c>
    </row>
    <row r="45">
      <c r="A45" s="27" t="n"/>
      <c r="B45" s="27" t="n"/>
      <c r="C45" s="27" t="n"/>
      <c r="D45" s="32" t="n"/>
      <c r="E45" s="27" t="n"/>
      <c r="F45" s="27" t="n"/>
      <c r="G45" s="31" t="n"/>
      <c r="H45" s="31" t="n"/>
      <c r="I45" s="31" t="n"/>
      <c r="J45" s="29" t="n"/>
      <c r="K45" s="31" t="n"/>
      <c r="L45" s="31" t="n"/>
      <c r="M45" s="27" t="n"/>
      <c r="N45" s="27" t="n"/>
      <c r="O45" s="27" t="n"/>
      <c r="P45" s="30">
        <f>IF($D45="","",raporTarihi-$D45)</f>
        <v/>
      </c>
      <c r="Q45" s="30">
        <f>IF($P45="","",IF($P45&lt;=sdf_kovaEsik1,"0-30",IF($P45&lt;=sdf_kovaEsik2,"31-60",IF($P45&lt;=sdf_kovaEsik3,"61-90","90+"))))</f>
        <v/>
      </c>
      <c r="R45" s="30">
        <f>IF($A45="","",IF($H45&gt;0,$H45,$G45))</f>
        <v/>
      </c>
      <c r="S45" s="30">
        <f>IF($F45="D8_KAPALI","KAPANAN",IF($F45="IPTAL","IPTAL","ACIK"))</f>
        <v/>
      </c>
      <c r="T45" s="30">
        <f>IF($B45="","YETİM",IF(COUNTIF(tblEkip[EkipId],$B45)=0,"YETİM",""))</f>
        <v/>
      </c>
      <c r="U45" s="30">
        <f>IF(OR($E45&amp;"|"&amp;$F45="",COUNTIF(ListeIzinliGecis,$E45&amp;"|"&amp;$F45)&gt;0),"","GEÇERSİZ GEÇİŞ")</f>
        <v/>
      </c>
      <c r="V45" s="30">
        <f>IF(OR($F45="D8_KAPALI",$F45="D7_ONLE",$I45&gt;0),IF(OR($H45="",$I45=""),"",IF(ABS($I45-$H45)&gt;zincirTolerans,"ZİNCİR KIRIK","OK")),IF($H45&gt;0,IF(OR($G45="",$H45=""),"",IF(ABS($H45-$G45)&gt;zincirTolerans,"ZİNCİR KIRIK","OK")),"OK"))</f>
        <v/>
      </c>
      <c r="W45" s="30">
        <f>IF($A45="","",1)</f>
        <v/>
      </c>
    </row>
    <row r="46">
      <c r="A46" s="27" t="n"/>
      <c r="B46" s="27" t="n"/>
      <c r="C46" s="27" t="n"/>
      <c r="D46" s="32" t="n"/>
      <c r="E46" s="27" t="n"/>
      <c r="F46" s="27" t="n"/>
      <c r="G46" s="31" t="n"/>
      <c r="H46" s="31" t="n"/>
      <c r="I46" s="31" t="n"/>
      <c r="J46" s="29" t="n"/>
      <c r="K46" s="31" t="n"/>
      <c r="L46" s="31" t="n"/>
      <c r="M46" s="27" t="n"/>
      <c r="N46" s="27" t="n"/>
      <c r="O46" s="27" t="n"/>
      <c r="P46" s="30">
        <f>IF($D46="","",raporTarihi-$D46)</f>
        <v/>
      </c>
      <c r="Q46" s="30">
        <f>IF($P46="","",IF($P46&lt;=sdf_kovaEsik1,"0-30",IF($P46&lt;=sdf_kovaEsik2,"31-60",IF($P46&lt;=sdf_kovaEsik3,"61-90","90+"))))</f>
        <v/>
      </c>
      <c r="R46" s="30">
        <f>IF($A46="","",IF($H46&gt;0,$H46,$G46))</f>
        <v/>
      </c>
      <c r="S46" s="30">
        <f>IF($F46="D8_KAPALI","KAPANAN",IF($F46="IPTAL","IPTAL","ACIK"))</f>
        <v/>
      </c>
      <c r="T46" s="30">
        <f>IF($B46="","YETİM",IF(COUNTIF(tblEkip[EkipId],$B46)=0,"YETİM",""))</f>
        <v/>
      </c>
      <c r="U46" s="30">
        <f>IF(OR($E46&amp;"|"&amp;$F46="",COUNTIF(ListeIzinliGecis,$E46&amp;"|"&amp;$F46)&gt;0),"","GEÇERSİZ GEÇİŞ")</f>
        <v/>
      </c>
      <c r="V46" s="30">
        <f>IF(OR($F46="D8_KAPALI",$F46="D7_ONLE",$I46&gt;0),IF(OR($H46="",$I46=""),"",IF(ABS($I46-$H46)&gt;zincirTolerans,"ZİNCİR KIRIK","OK")),IF($H46&gt;0,IF(OR($G46="",$H46=""),"",IF(ABS($H46-$G46)&gt;zincirTolerans,"ZİNCİR KIRIK","OK")),"OK"))</f>
        <v/>
      </c>
      <c r="W46" s="30">
        <f>IF($A46="","",1)</f>
        <v/>
      </c>
    </row>
    <row r="47">
      <c r="A47" s="27" t="n"/>
      <c r="B47" s="27" t="n"/>
      <c r="C47" s="27" t="n"/>
      <c r="D47" s="32" t="n"/>
      <c r="E47" s="27" t="n"/>
      <c r="F47" s="27" t="n"/>
      <c r="G47" s="31" t="n"/>
      <c r="H47" s="31" t="n"/>
      <c r="I47" s="31" t="n"/>
      <c r="J47" s="29" t="n"/>
      <c r="K47" s="31" t="n"/>
      <c r="L47" s="31" t="n"/>
      <c r="M47" s="27" t="n"/>
      <c r="N47" s="27" t="n"/>
      <c r="O47" s="27" t="n"/>
      <c r="P47" s="30">
        <f>IF($D47="","",raporTarihi-$D47)</f>
        <v/>
      </c>
      <c r="Q47" s="30">
        <f>IF($P47="","",IF($P47&lt;=sdf_kovaEsik1,"0-30",IF($P47&lt;=sdf_kovaEsik2,"31-60",IF($P47&lt;=sdf_kovaEsik3,"61-90","90+"))))</f>
        <v/>
      </c>
      <c r="R47" s="30">
        <f>IF($A47="","",IF($H47&gt;0,$H47,$G47))</f>
        <v/>
      </c>
      <c r="S47" s="30">
        <f>IF($F47="D8_KAPALI","KAPANAN",IF($F47="IPTAL","IPTAL","ACIK"))</f>
        <v/>
      </c>
      <c r="T47" s="30">
        <f>IF($B47="","YETİM",IF(COUNTIF(tblEkip[EkipId],$B47)=0,"YETİM",""))</f>
        <v/>
      </c>
      <c r="U47" s="30">
        <f>IF(OR($E47&amp;"|"&amp;$F47="",COUNTIF(ListeIzinliGecis,$E47&amp;"|"&amp;$F47)&gt;0),"","GEÇERSİZ GEÇİŞ")</f>
        <v/>
      </c>
      <c r="V47" s="30">
        <f>IF(OR($F47="D8_KAPALI",$F47="D7_ONLE",$I47&gt;0),IF(OR($H47="",$I47=""),"",IF(ABS($I47-$H47)&gt;zincirTolerans,"ZİNCİR KIRIK","OK")),IF($H47&gt;0,IF(OR($G47="",$H47=""),"",IF(ABS($H47-$G47)&gt;zincirTolerans,"ZİNCİR KIRIK","OK")),"OK"))</f>
        <v/>
      </c>
      <c r="W47" s="30">
        <f>IF($A47="","",1)</f>
        <v/>
      </c>
    </row>
    <row r="48">
      <c r="A48" s="27" t="n"/>
      <c r="B48" s="27" t="n"/>
      <c r="C48" s="27" t="n"/>
      <c r="D48" s="32" t="n"/>
      <c r="E48" s="27" t="n"/>
      <c r="F48" s="27" t="n"/>
      <c r="G48" s="31" t="n"/>
      <c r="H48" s="31" t="n"/>
      <c r="I48" s="31" t="n"/>
      <c r="J48" s="29" t="n"/>
      <c r="K48" s="31" t="n"/>
      <c r="L48" s="31" t="n"/>
      <c r="M48" s="27" t="n"/>
      <c r="N48" s="27" t="n"/>
      <c r="O48" s="27" t="n"/>
      <c r="P48" s="30">
        <f>IF($D48="","",raporTarihi-$D48)</f>
        <v/>
      </c>
      <c r="Q48" s="30">
        <f>IF($P48="","",IF($P48&lt;=sdf_kovaEsik1,"0-30",IF($P48&lt;=sdf_kovaEsik2,"31-60",IF($P48&lt;=sdf_kovaEsik3,"61-90","90+"))))</f>
        <v/>
      </c>
      <c r="R48" s="30">
        <f>IF($A48="","",IF($H48&gt;0,$H48,$G48))</f>
        <v/>
      </c>
      <c r="S48" s="30">
        <f>IF($F48="D8_KAPALI","KAPANAN",IF($F48="IPTAL","IPTAL","ACIK"))</f>
        <v/>
      </c>
      <c r="T48" s="30">
        <f>IF($B48="","YETİM",IF(COUNTIF(tblEkip[EkipId],$B48)=0,"YETİM",""))</f>
        <v/>
      </c>
      <c r="U48" s="30">
        <f>IF(OR($E48&amp;"|"&amp;$F48="",COUNTIF(ListeIzinliGecis,$E48&amp;"|"&amp;$F48)&gt;0),"","GEÇERSİZ GEÇİŞ")</f>
        <v/>
      </c>
      <c r="V48" s="30">
        <f>IF(OR($F48="D8_KAPALI",$F48="D7_ONLE",$I48&gt;0),IF(OR($H48="",$I48=""),"",IF(ABS($I48-$H48)&gt;zincirTolerans,"ZİNCİR KIRIK","OK")),IF($H48&gt;0,IF(OR($G48="",$H48=""),"",IF(ABS($H48-$G48)&gt;zincirTolerans,"ZİNCİR KIRIK","OK")),"OK"))</f>
        <v/>
      </c>
      <c r="W48" s="30">
        <f>IF($A48="","",1)</f>
        <v/>
      </c>
    </row>
    <row r="49">
      <c r="A49" s="27" t="n"/>
      <c r="B49" s="27" t="n"/>
      <c r="C49" s="27" t="n"/>
      <c r="D49" s="32" t="n"/>
      <c r="E49" s="27" t="n"/>
      <c r="F49" s="27" t="n"/>
      <c r="G49" s="31" t="n"/>
      <c r="H49" s="31" t="n"/>
      <c r="I49" s="31" t="n"/>
      <c r="J49" s="29" t="n"/>
      <c r="K49" s="31" t="n"/>
      <c r="L49" s="31" t="n"/>
      <c r="M49" s="27" t="n"/>
      <c r="N49" s="27" t="n"/>
      <c r="O49" s="27" t="n"/>
      <c r="P49" s="30">
        <f>IF($D49="","",raporTarihi-$D49)</f>
        <v/>
      </c>
      <c r="Q49" s="30">
        <f>IF($P49="","",IF($P49&lt;=sdf_kovaEsik1,"0-30",IF($P49&lt;=sdf_kovaEsik2,"31-60",IF($P49&lt;=sdf_kovaEsik3,"61-90","90+"))))</f>
        <v/>
      </c>
      <c r="R49" s="30">
        <f>IF($A49="","",IF($H49&gt;0,$H49,$G49))</f>
        <v/>
      </c>
      <c r="S49" s="30">
        <f>IF($F49="D8_KAPALI","KAPANAN",IF($F49="IPTAL","IPTAL","ACIK"))</f>
        <v/>
      </c>
      <c r="T49" s="30">
        <f>IF($B49="","YETİM",IF(COUNTIF(tblEkip[EkipId],$B49)=0,"YETİM",""))</f>
        <v/>
      </c>
      <c r="U49" s="30">
        <f>IF(OR($E49&amp;"|"&amp;$F49="",COUNTIF(ListeIzinliGecis,$E49&amp;"|"&amp;$F49)&gt;0),"","GEÇERSİZ GEÇİŞ")</f>
        <v/>
      </c>
      <c r="V49" s="30">
        <f>IF(OR($F49="D8_KAPALI",$F49="D7_ONLE",$I49&gt;0),IF(OR($H49="",$I49=""),"",IF(ABS($I49-$H49)&gt;zincirTolerans,"ZİNCİR KIRIK","OK")),IF($H49&gt;0,IF(OR($G49="",$H49=""),"",IF(ABS($H49-$G49)&gt;zincirTolerans,"ZİNCİR KIRIK","OK")),"OK"))</f>
        <v/>
      </c>
      <c r="W49" s="30">
        <f>IF($A49="","",1)</f>
        <v/>
      </c>
    </row>
    <row r="50">
      <c r="A50" s="27" t="n"/>
      <c r="B50" s="27" t="n"/>
      <c r="C50" s="27" t="n"/>
      <c r="D50" s="32" t="n"/>
      <c r="E50" s="27" t="n"/>
      <c r="F50" s="27" t="n"/>
      <c r="G50" s="31" t="n"/>
      <c r="H50" s="31" t="n"/>
      <c r="I50" s="31" t="n"/>
      <c r="J50" s="29" t="n"/>
      <c r="K50" s="31" t="n"/>
      <c r="L50" s="31" t="n"/>
      <c r="M50" s="27" t="n"/>
      <c r="N50" s="27" t="n"/>
      <c r="O50" s="27" t="n"/>
      <c r="P50" s="30">
        <f>IF($D50="","",raporTarihi-$D50)</f>
        <v/>
      </c>
      <c r="Q50" s="30">
        <f>IF($P50="","",IF($P50&lt;=sdf_kovaEsik1,"0-30",IF($P50&lt;=sdf_kovaEsik2,"31-60",IF($P50&lt;=sdf_kovaEsik3,"61-90","90+"))))</f>
        <v/>
      </c>
      <c r="R50" s="30">
        <f>IF($A50="","",IF($H50&gt;0,$H50,$G50))</f>
        <v/>
      </c>
      <c r="S50" s="30">
        <f>IF($F50="D8_KAPALI","KAPANAN",IF($F50="IPTAL","IPTAL","ACIK"))</f>
        <v/>
      </c>
      <c r="T50" s="30">
        <f>IF($B50="","YETİM",IF(COUNTIF(tblEkip[EkipId],$B50)=0,"YETİM",""))</f>
        <v/>
      </c>
      <c r="U50" s="30">
        <f>IF(OR($E50&amp;"|"&amp;$F50="",COUNTIF(ListeIzinliGecis,$E50&amp;"|"&amp;$F50)&gt;0),"","GEÇERSİZ GEÇİŞ")</f>
        <v/>
      </c>
      <c r="V50" s="30">
        <f>IF(OR($F50="D8_KAPALI",$F50="D7_ONLE",$I50&gt;0),IF(OR($H50="",$I50=""),"",IF(ABS($I50-$H50)&gt;zincirTolerans,"ZİNCİR KIRIK","OK")),IF($H50&gt;0,IF(OR($G50="",$H50=""),"",IF(ABS($H50-$G50)&gt;zincirTolerans,"ZİNCİR KIRIK","OK")),"OK"))</f>
        <v/>
      </c>
      <c r="W50" s="30">
        <f>IF($A50="","",1)</f>
        <v/>
      </c>
    </row>
    <row r="51">
      <c r="A51" s="27" t="n"/>
      <c r="B51" s="27" t="n"/>
      <c r="C51" s="27" t="n"/>
      <c r="D51" s="32" t="n"/>
      <c r="E51" s="27" t="n"/>
      <c r="F51" s="27" t="n"/>
      <c r="G51" s="31" t="n"/>
      <c r="H51" s="31" t="n"/>
      <c r="I51" s="31" t="n"/>
      <c r="J51" s="29" t="n"/>
      <c r="K51" s="31" t="n"/>
      <c r="L51" s="31" t="n"/>
      <c r="M51" s="27" t="n"/>
      <c r="N51" s="27" t="n"/>
      <c r="O51" s="27" t="n"/>
      <c r="P51" s="30">
        <f>IF($D51="","",raporTarihi-$D51)</f>
        <v/>
      </c>
      <c r="Q51" s="30">
        <f>IF($P51="","",IF($P51&lt;=sdf_kovaEsik1,"0-30",IF($P51&lt;=sdf_kovaEsik2,"31-60",IF($P51&lt;=sdf_kovaEsik3,"61-90","90+"))))</f>
        <v/>
      </c>
      <c r="R51" s="30">
        <f>IF($A51="","",IF($H51&gt;0,$H51,$G51))</f>
        <v/>
      </c>
      <c r="S51" s="30">
        <f>IF($F51="D8_KAPALI","KAPANAN",IF($F51="IPTAL","IPTAL","ACIK"))</f>
        <v/>
      </c>
      <c r="T51" s="30">
        <f>IF($B51="","YETİM",IF(COUNTIF(tblEkip[EkipId],$B51)=0,"YETİM",""))</f>
        <v/>
      </c>
      <c r="U51" s="30">
        <f>IF(OR($E51&amp;"|"&amp;$F51="",COUNTIF(ListeIzinliGecis,$E51&amp;"|"&amp;$F51)&gt;0),"","GEÇERSİZ GEÇİŞ")</f>
        <v/>
      </c>
      <c r="V51" s="30">
        <f>IF(OR($F51="D8_KAPALI",$F51="D7_ONLE",$I51&gt;0),IF(OR($H51="",$I51=""),"",IF(ABS($I51-$H51)&gt;zincirTolerans,"ZİNCİR KIRIK","OK")),IF($H51&gt;0,IF(OR($G51="",$H51=""),"",IF(ABS($H51-$G51)&gt;zincirTolerans,"ZİNCİR KIRIK","OK")),"OK"))</f>
        <v/>
      </c>
      <c r="W51" s="30">
        <f>IF($A51="","",1)</f>
        <v/>
      </c>
    </row>
    <row r="52">
      <c r="A52" s="27" t="n"/>
      <c r="B52" s="27" t="n"/>
      <c r="C52" s="27" t="n"/>
      <c r="D52" s="32" t="n"/>
      <c r="E52" s="27" t="n"/>
      <c r="F52" s="27" t="n"/>
      <c r="G52" s="31" t="n"/>
      <c r="H52" s="31" t="n"/>
      <c r="I52" s="31" t="n"/>
      <c r="J52" s="29" t="n"/>
      <c r="K52" s="31" t="n"/>
      <c r="L52" s="31" t="n"/>
      <c r="M52" s="27" t="n"/>
      <c r="N52" s="27" t="n"/>
      <c r="O52" s="27" t="n"/>
      <c r="P52" s="30">
        <f>IF($D52="","",raporTarihi-$D52)</f>
        <v/>
      </c>
      <c r="Q52" s="30">
        <f>IF($P52="","",IF($P52&lt;=sdf_kovaEsik1,"0-30",IF($P52&lt;=sdf_kovaEsik2,"31-60",IF($P52&lt;=sdf_kovaEsik3,"61-90","90+"))))</f>
        <v/>
      </c>
      <c r="R52" s="30">
        <f>IF($A52="","",IF($H52&gt;0,$H52,$G52))</f>
        <v/>
      </c>
      <c r="S52" s="30">
        <f>IF($F52="D8_KAPALI","KAPANAN",IF($F52="IPTAL","IPTAL","ACIK"))</f>
        <v/>
      </c>
      <c r="T52" s="30">
        <f>IF($B52="","YETİM",IF(COUNTIF(tblEkip[EkipId],$B52)=0,"YETİM",""))</f>
        <v/>
      </c>
      <c r="U52" s="30">
        <f>IF(OR($E52&amp;"|"&amp;$F52="",COUNTIF(ListeIzinliGecis,$E52&amp;"|"&amp;$F52)&gt;0),"","GEÇERSİZ GEÇİŞ")</f>
        <v/>
      </c>
      <c r="V52" s="30">
        <f>IF(OR($F52="D8_KAPALI",$F52="D7_ONLE",$I52&gt;0),IF(OR($H52="",$I52=""),"",IF(ABS($I52-$H52)&gt;zincirTolerans,"ZİNCİR KIRIK","OK")),IF($H52&gt;0,IF(OR($G52="",$H52=""),"",IF(ABS($H52-$G52)&gt;zincirTolerans,"ZİNCİR KIRIK","OK")),"OK"))</f>
        <v/>
      </c>
      <c r="W52" s="30">
        <f>IF($A52="","",1)</f>
        <v/>
      </c>
    </row>
    <row r="53">
      <c r="A53" s="27" t="n"/>
      <c r="B53" s="27" t="n"/>
      <c r="C53" s="27" t="n"/>
      <c r="D53" s="32" t="n"/>
      <c r="E53" s="27" t="n"/>
      <c r="F53" s="27" t="n"/>
      <c r="G53" s="31" t="n"/>
      <c r="H53" s="31" t="n"/>
      <c r="I53" s="31" t="n"/>
      <c r="J53" s="29" t="n"/>
      <c r="K53" s="31" t="n"/>
      <c r="L53" s="31" t="n"/>
      <c r="M53" s="27" t="n"/>
      <c r="N53" s="27" t="n"/>
      <c r="O53" s="27" t="n"/>
      <c r="P53" s="30">
        <f>IF($D53="","",raporTarihi-$D53)</f>
        <v/>
      </c>
      <c r="Q53" s="30">
        <f>IF($P53="","",IF($P53&lt;=sdf_kovaEsik1,"0-30",IF($P53&lt;=sdf_kovaEsik2,"31-60",IF($P53&lt;=sdf_kovaEsik3,"61-90","90+"))))</f>
        <v/>
      </c>
      <c r="R53" s="30">
        <f>IF($A53="","",IF($H53&gt;0,$H53,$G53))</f>
        <v/>
      </c>
      <c r="S53" s="30">
        <f>IF($F53="D8_KAPALI","KAPANAN",IF($F53="IPTAL","IPTAL","ACIK"))</f>
        <v/>
      </c>
      <c r="T53" s="30">
        <f>IF($B53="","YETİM",IF(COUNTIF(tblEkip[EkipId],$B53)=0,"YETİM",""))</f>
        <v/>
      </c>
      <c r="U53" s="30">
        <f>IF(OR($E53&amp;"|"&amp;$F53="",COUNTIF(ListeIzinliGecis,$E53&amp;"|"&amp;$F53)&gt;0),"","GEÇERSİZ GEÇİŞ")</f>
        <v/>
      </c>
      <c r="V53" s="30">
        <f>IF(OR($F53="D8_KAPALI",$F53="D7_ONLE",$I53&gt;0),IF(OR($H53="",$I53=""),"",IF(ABS($I53-$H53)&gt;zincirTolerans,"ZİNCİR KIRIK","OK")),IF($H53&gt;0,IF(OR($G53="",$H53=""),"",IF(ABS($H53-$G53)&gt;zincirTolerans,"ZİNCİR KIRIK","OK")),"OK"))</f>
        <v/>
      </c>
      <c r="W53" s="30">
        <f>IF($A53="","",1)</f>
        <v/>
      </c>
    </row>
    <row r="54">
      <c r="A54" s="27" t="n"/>
      <c r="B54" s="27" t="n"/>
      <c r="C54" s="27" t="n"/>
      <c r="D54" s="32" t="n"/>
      <c r="E54" s="27" t="n"/>
      <c r="F54" s="27" t="n"/>
      <c r="G54" s="31" t="n"/>
      <c r="H54" s="31" t="n"/>
      <c r="I54" s="31" t="n"/>
      <c r="J54" s="29" t="n"/>
      <c r="K54" s="31" t="n"/>
      <c r="L54" s="31" t="n"/>
      <c r="M54" s="27" t="n"/>
      <c r="N54" s="27" t="n"/>
      <c r="O54" s="27" t="n"/>
      <c r="P54" s="30">
        <f>IF($D54="","",raporTarihi-$D54)</f>
        <v/>
      </c>
      <c r="Q54" s="30">
        <f>IF($P54="","",IF($P54&lt;=sdf_kovaEsik1,"0-30",IF($P54&lt;=sdf_kovaEsik2,"31-60",IF($P54&lt;=sdf_kovaEsik3,"61-90","90+"))))</f>
        <v/>
      </c>
      <c r="R54" s="30">
        <f>IF($A54="","",IF($H54&gt;0,$H54,$G54))</f>
        <v/>
      </c>
      <c r="S54" s="30">
        <f>IF($F54="D8_KAPALI","KAPANAN",IF($F54="IPTAL","IPTAL","ACIK"))</f>
        <v/>
      </c>
      <c r="T54" s="30">
        <f>IF($B54="","YETİM",IF(COUNTIF(tblEkip[EkipId],$B54)=0,"YETİM",""))</f>
        <v/>
      </c>
      <c r="U54" s="30">
        <f>IF(OR($E54&amp;"|"&amp;$F54="",COUNTIF(ListeIzinliGecis,$E54&amp;"|"&amp;$F54)&gt;0),"","GEÇERSİZ GEÇİŞ")</f>
        <v/>
      </c>
      <c r="V54" s="30">
        <f>IF(OR($F54="D8_KAPALI",$F54="D7_ONLE",$I54&gt;0),IF(OR($H54="",$I54=""),"",IF(ABS($I54-$H54)&gt;zincirTolerans,"ZİNCİR KIRIK","OK")),IF($H54&gt;0,IF(OR($G54="",$H54=""),"",IF(ABS($H54-$G54)&gt;zincirTolerans,"ZİNCİR KIRIK","OK")),"OK"))</f>
        <v/>
      </c>
      <c r="W54" s="30">
        <f>IF($A54="","",1)</f>
        <v/>
      </c>
    </row>
    <row r="55">
      <c r="A55" s="27" t="n"/>
      <c r="B55" s="27" t="n"/>
      <c r="C55" s="27" t="n"/>
      <c r="D55" s="32" t="n"/>
      <c r="E55" s="27" t="n"/>
      <c r="F55" s="27" t="n"/>
      <c r="G55" s="31" t="n"/>
      <c r="H55" s="31" t="n"/>
      <c r="I55" s="31" t="n"/>
      <c r="J55" s="29" t="n"/>
      <c r="K55" s="31" t="n"/>
      <c r="L55" s="31" t="n"/>
      <c r="M55" s="27" t="n"/>
      <c r="N55" s="27" t="n"/>
      <c r="O55" s="27" t="n"/>
      <c r="P55" s="30">
        <f>IF($D55="","",raporTarihi-$D55)</f>
        <v/>
      </c>
      <c r="Q55" s="30">
        <f>IF($P55="","",IF($P55&lt;=sdf_kovaEsik1,"0-30",IF($P55&lt;=sdf_kovaEsik2,"31-60",IF($P55&lt;=sdf_kovaEsik3,"61-90","90+"))))</f>
        <v/>
      </c>
      <c r="R55" s="30">
        <f>IF($A55="","",IF($H55&gt;0,$H55,$G55))</f>
        <v/>
      </c>
      <c r="S55" s="30">
        <f>IF($F55="D8_KAPALI","KAPANAN",IF($F55="IPTAL","IPTAL","ACIK"))</f>
        <v/>
      </c>
      <c r="T55" s="30">
        <f>IF($B55="","YETİM",IF(COUNTIF(tblEkip[EkipId],$B55)=0,"YETİM",""))</f>
        <v/>
      </c>
      <c r="U55" s="30">
        <f>IF(OR($E55&amp;"|"&amp;$F55="",COUNTIF(ListeIzinliGecis,$E55&amp;"|"&amp;$F55)&gt;0),"","GEÇERSİZ GEÇİŞ")</f>
        <v/>
      </c>
      <c r="V55" s="30">
        <f>IF(OR($F55="D8_KAPALI",$F55="D7_ONLE",$I55&gt;0),IF(OR($H55="",$I55=""),"",IF(ABS($I55-$H55)&gt;zincirTolerans,"ZİNCİR KIRIK","OK")),IF($H55&gt;0,IF(OR($G55="",$H55=""),"",IF(ABS($H55-$G55)&gt;zincirTolerans,"ZİNCİR KIRIK","OK")),"OK"))</f>
        <v/>
      </c>
      <c r="W55" s="30">
        <f>IF($A55="","",1)</f>
        <v/>
      </c>
    </row>
    <row r="56">
      <c r="A56" s="27" t="n"/>
      <c r="B56" s="27" t="n"/>
      <c r="C56" s="27" t="n"/>
      <c r="D56" s="32" t="n"/>
      <c r="E56" s="27" t="n"/>
      <c r="F56" s="27" t="n"/>
      <c r="G56" s="31" t="n"/>
      <c r="H56" s="31" t="n"/>
      <c r="I56" s="31" t="n"/>
      <c r="J56" s="29" t="n"/>
      <c r="K56" s="31" t="n"/>
      <c r="L56" s="31" t="n"/>
      <c r="M56" s="27" t="n"/>
      <c r="N56" s="27" t="n"/>
      <c r="O56" s="27" t="n"/>
      <c r="P56" s="30">
        <f>IF($D56="","",raporTarihi-$D56)</f>
        <v/>
      </c>
      <c r="Q56" s="30">
        <f>IF($P56="","",IF($P56&lt;=sdf_kovaEsik1,"0-30",IF($P56&lt;=sdf_kovaEsik2,"31-60",IF($P56&lt;=sdf_kovaEsik3,"61-90","90+"))))</f>
        <v/>
      </c>
      <c r="R56" s="30">
        <f>IF($A56="","",IF($H56&gt;0,$H56,$G56))</f>
        <v/>
      </c>
      <c r="S56" s="30">
        <f>IF($F56="D8_KAPALI","KAPANAN",IF($F56="IPTAL","IPTAL","ACIK"))</f>
        <v/>
      </c>
      <c r="T56" s="30">
        <f>IF($B56="","YETİM",IF(COUNTIF(tblEkip[EkipId],$B56)=0,"YETİM",""))</f>
        <v/>
      </c>
      <c r="U56" s="30">
        <f>IF(OR($E56&amp;"|"&amp;$F56="",COUNTIF(ListeIzinliGecis,$E56&amp;"|"&amp;$F56)&gt;0),"","GEÇERSİZ GEÇİŞ")</f>
        <v/>
      </c>
      <c r="V56" s="30">
        <f>IF(OR($F56="D8_KAPALI",$F56="D7_ONLE",$I56&gt;0),IF(OR($H56="",$I56=""),"",IF(ABS($I56-$H56)&gt;zincirTolerans,"ZİNCİR KIRIK","OK")),IF($H56&gt;0,IF(OR($G56="",$H56=""),"",IF(ABS($H56-$G56)&gt;zincirTolerans,"ZİNCİR KIRIK","OK")),"OK"))</f>
        <v/>
      </c>
      <c r="W56" s="30">
        <f>IF($A56="","",1)</f>
        <v/>
      </c>
    </row>
    <row r="57">
      <c r="A57" s="27" t="n"/>
      <c r="B57" s="27" t="n"/>
      <c r="C57" s="27" t="n"/>
      <c r="D57" s="32" t="n"/>
      <c r="E57" s="27" t="n"/>
      <c r="F57" s="27" t="n"/>
      <c r="G57" s="31" t="n"/>
      <c r="H57" s="31" t="n"/>
      <c r="I57" s="31" t="n"/>
      <c r="J57" s="29" t="n"/>
      <c r="K57" s="31" t="n"/>
      <c r="L57" s="31" t="n"/>
      <c r="M57" s="27" t="n"/>
      <c r="N57" s="27" t="n"/>
      <c r="O57" s="27" t="n"/>
      <c r="P57" s="30">
        <f>IF($D57="","",raporTarihi-$D57)</f>
        <v/>
      </c>
      <c r="Q57" s="30">
        <f>IF($P57="","",IF($P57&lt;=sdf_kovaEsik1,"0-30",IF($P57&lt;=sdf_kovaEsik2,"31-60",IF($P57&lt;=sdf_kovaEsik3,"61-90","90+"))))</f>
        <v/>
      </c>
      <c r="R57" s="30">
        <f>IF($A57="","",IF($H57&gt;0,$H57,$G57))</f>
        <v/>
      </c>
      <c r="S57" s="30">
        <f>IF($F57="D8_KAPALI","KAPANAN",IF($F57="IPTAL","IPTAL","ACIK"))</f>
        <v/>
      </c>
      <c r="T57" s="30">
        <f>IF($B57="","YETİM",IF(COUNTIF(tblEkip[EkipId],$B57)=0,"YETİM",""))</f>
        <v/>
      </c>
      <c r="U57" s="30">
        <f>IF(OR($E57&amp;"|"&amp;$F57="",COUNTIF(ListeIzinliGecis,$E57&amp;"|"&amp;$F57)&gt;0),"","GEÇERSİZ GEÇİŞ")</f>
        <v/>
      </c>
      <c r="V57" s="30">
        <f>IF(OR($F57="D8_KAPALI",$F57="D7_ONLE",$I57&gt;0),IF(OR($H57="",$I57=""),"",IF(ABS($I57-$H57)&gt;zincirTolerans,"ZİNCİR KIRIK","OK")),IF($H57&gt;0,IF(OR($G57="",$H57=""),"",IF(ABS($H57-$G57)&gt;zincirTolerans,"ZİNCİR KIRIK","OK")),"OK"))</f>
        <v/>
      </c>
      <c r="W57" s="30">
        <f>IF($A57="","",1)</f>
        <v/>
      </c>
    </row>
    <row r="58">
      <c r="A58" s="27" t="n"/>
      <c r="B58" s="27" t="n"/>
      <c r="C58" s="27" t="n"/>
      <c r="D58" s="32" t="n"/>
      <c r="E58" s="27" t="n"/>
      <c r="F58" s="27" t="n"/>
      <c r="G58" s="31" t="n"/>
      <c r="H58" s="31" t="n"/>
      <c r="I58" s="31" t="n"/>
      <c r="J58" s="29" t="n"/>
      <c r="K58" s="31" t="n"/>
      <c r="L58" s="31" t="n"/>
      <c r="M58" s="27" t="n"/>
      <c r="N58" s="27" t="n"/>
      <c r="O58" s="27" t="n"/>
      <c r="P58" s="30">
        <f>IF($D58="","",raporTarihi-$D58)</f>
        <v/>
      </c>
      <c r="Q58" s="30">
        <f>IF($P58="","",IF($P58&lt;=sdf_kovaEsik1,"0-30",IF($P58&lt;=sdf_kovaEsik2,"31-60",IF($P58&lt;=sdf_kovaEsik3,"61-90","90+"))))</f>
        <v/>
      </c>
      <c r="R58" s="30">
        <f>IF($A58="","",IF($H58&gt;0,$H58,$G58))</f>
        <v/>
      </c>
      <c r="S58" s="30">
        <f>IF($F58="D8_KAPALI","KAPANAN",IF($F58="IPTAL","IPTAL","ACIK"))</f>
        <v/>
      </c>
      <c r="T58" s="30">
        <f>IF($B58="","YETİM",IF(COUNTIF(tblEkip[EkipId],$B58)=0,"YETİM",""))</f>
        <v/>
      </c>
      <c r="U58" s="30">
        <f>IF(OR($E58&amp;"|"&amp;$F58="",COUNTIF(ListeIzinliGecis,$E58&amp;"|"&amp;$F58)&gt;0),"","GEÇERSİZ GEÇİŞ")</f>
        <v/>
      </c>
      <c r="V58" s="30">
        <f>IF(OR($F58="D8_KAPALI",$F58="D7_ONLE",$I58&gt;0),IF(OR($H58="",$I58=""),"",IF(ABS($I58-$H58)&gt;zincirTolerans,"ZİNCİR KIRIK","OK")),IF($H58&gt;0,IF(OR($G58="",$H58=""),"",IF(ABS($H58-$G58)&gt;zincirTolerans,"ZİNCİR KIRIK","OK")),"OK"))</f>
        <v/>
      </c>
      <c r="W58" s="30">
        <f>IF($A58="","",1)</f>
        <v/>
      </c>
    </row>
    <row r="59">
      <c r="A59" s="27" t="n"/>
      <c r="B59" s="27" t="n"/>
      <c r="C59" s="27" t="n"/>
      <c r="D59" s="32" t="n"/>
      <c r="E59" s="27" t="n"/>
      <c r="F59" s="27" t="n"/>
      <c r="G59" s="31" t="n"/>
      <c r="H59" s="31" t="n"/>
      <c r="I59" s="31" t="n"/>
      <c r="J59" s="29" t="n"/>
      <c r="K59" s="31" t="n"/>
      <c r="L59" s="31" t="n"/>
      <c r="M59" s="27" t="n"/>
      <c r="N59" s="27" t="n"/>
      <c r="O59" s="27" t="n"/>
      <c r="P59" s="30">
        <f>IF($D59="","",raporTarihi-$D59)</f>
        <v/>
      </c>
      <c r="Q59" s="30">
        <f>IF($P59="","",IF($P59&lt;=sdf_kovaEsik1,"0-30",IF($P59&lt;=sdf_kovaEsik2,"31-60",IF($P59&lt;=sdf_kovaEsik3,"61-90","90+"))))</f>
        <v/>
      </c>
      <c r="R59" s="30">
        <f>IF($A59="","",IF($H59&gt;0,$H59,$G59))</f>
        <v/>
      </c>
      <c r="S59" s="30">
        <f>IF($F59="D8_KAPALI","KAPANAN",IF($F59="IPTAL","IPTAL","ACIK"))</f>
        <v/>
      </c>
      <c r="T59" s="30">
        <f>IF($B59="","YETİM",IF(COUNTIF(tblEkip[EkipId],$B59)=0,"YETİM",""))</f>
        <v/>
      </c>
      <c r="U59" s="30">
        <f>IF(OR($E59&amp;"|"&amp;$F59="",COUNTIF(ListeIzinliGecis,$E59&amp;"|"&amp;$F59)&gt;0),"","GEÇERSİZ GEÇİŞ")</f>
        <v/>
      </c>
      <c r="V59" s="30">
        <f>IF(OR($F59="D8_KAPALI",$F59="D7_ONLE",$I59&gt;0),IF(OR($H59="",$I59=""),"",IF(ABS($I59-$H59)&gt;zincirTolerans,"ZİNCİR KIRIK","OK")),IF($H59&gt;0,IF(OR($G59="",$H59=""),"",IF(ABS($H59-$G59)&gt;zincirTolerans,"ZİNCİR KIRIK","OK")),"OK"))</f>
        <v/>
      </c>
      <c r="W59" s="30">
        <f>IF($A59="","",1)</f>
        <v/>
      </c>
    </row>
    <row r="60">
      <c r="A60" s="27" t="n"/>
      <c r="B60" s="27" t="n"/>
      <c r="C60" s="27" t="n"/>
      <c r="D60" s="32" t="n"/>
      <c r="E60" s="27" t="n"/>
      <c r="F60" s="27" t="n"/>
      <c r="G60" s="31" t="n"/>
      <c r="H60" s="31" t="n"/>
      <c r="I60" s="31" t="n"/>
      <c r="J60" s="29" t="n"/>
      <c r="K60" s="31" t="n"/>
      <c r="L60" s="31" t="n"/>
      <c r="M60" s="27" t="n"/>
      <c r="N60" s="27" t="n"/>
      <c r="O60" s="27" t="n"/>
      <c r="P60" s="30">
        <f>IF($D60="","",raporTarihi-$D60)</f>
        <v/>
      </c>
      <c r="Q60" s="30">
        <f>IF($P60="","",IF($P60&lt;=sdf_kovaEsik1,"0-30",IF($P60&lt;=sdf_kovaEsik2,"31-60",IF($P60&lt;=sdf_kovaEsik3,"61-90","90+"))))</f>
        <v/>
      </c>
      <c r="R60" s="30">
        <f>IF($A60="","",IF($H60&gt;0,$H60,$G60))</f>
        <v/>
      </c>
      <c r="S60" s="30">
        <f>IF($F60="D8_KAPALI","KAPANAN",IF($F60="IPTAL","IPTAL","ACIK"))</f>
        <v/>
      </c>
      <c r="T60" s="30">
        <f>IF($B60="","YETİM",IF(COUNTIF(tblEkip[EkipId],$B60)=0,"YETİM",""))</f>
        <v/>
      </c>
      <c r="U60" s="30">
        <f>IF(OR($E60&amp;"|"&amp;$F60="",COUNTIF(ListeIzinliGecis,$E60&amp;"|"&amp;$F60)&gt;0),"","GEÇERSİZ GEÇİŞ")</f>
        <v/>
      </c>
      <c r="V60" s="30">
        <f>IF(OR($F60="D8_KAPALI",$F60="D7_ONLE",$I60&gt;0),IF(OR($H60="",$I60=""),"",IF(ABS($I60-$H60)&gt;zincirTolerans,"ZİNCİR KIRIK","OK")),IF($H60&gt;0,IF(OR($G60="",$H60=""),"",IF(ABS($H60-$G60)&gt;zincirTolerans,"ZİNCİR KIRIK","OK")),"OK"))</f>
        <v/>
      </c>
      <c r="W60" s="30">
        <f>IF($A60="","",1)</f>
        <v/>
      </c>
    </row>
    <row r="61">
      <c r="A61" s="27" t="n"/>
      <c r="B61" s="27" t="n"/>
      <c r="C61" s="27" t="n"/>
      <c r="D61" s="32" t="n"/>
      <c r="E61" s="27" t="n"/>
      <c r="F61" s="27" t="n"/>
      <c r="G61" s="31" t="n"/>
      <c r="H61" s="31" t="n"/>
      <c r="I61" s="31" t="n"/>
      <c r="J61" s="29" t="n"/>
      <c r="K61" s="31" t="n"/>
      <c r="L61" s="31" t="n"/>
      <c r="M61" s="27" t="n"/>
      <c r="N61" s="27" t="n"/>
      <c r="O61" s="27" t="n"/>
      <c r="P61" s="30">
        <f>IF($D61="","",raporTarihi-$D61)</f>
        <v/>
      </c>
      <c r="Q61" s="30">
        <f>IF($P61="","",IF($P61&lt;=sdf_kovaEsik1,"0-30",IF($P61&lt;=sdf_kovaEsik2,"31-60",IF($P61&lt;=sdf_kovaEsik3,"61-90","90+"))))</f>
        <v/>
      </c>
      <c r="R61" s="30">
        <f>IF($A61="","",IF($H61&gt;0,$H61,$G61))</f>
        <v/>
      </c>
      <c r="S61" s="30">
        <f>IF($F61="D8_KAPALI","KAPANAN",IF($F61="IPTAL","IPTAL","ACIK"))</f>
        <v/>
      </c>
      <c r="T61" s="30">
        <f>IF($B61="","YETİM",IF(COUNTIF(tblEkip[EkipId],$B61)=0,"YETİM",""))</f>
        <v/>
      </c>
      <c r="U61" s="30">
        <f>IF(OR($E61&amp;"|"&amp;$F61="",COUNTIF(ListeIzinliGecis,$E61&amp;"|"&amp;$F61)&gt;0),"","GEÇERSİZ GEÇİŞ")</f>
        <v/>
      </c>
      <c r="V61" s="30">
        <f>IF(OR($F61="D8_KAPALI",$F61="D7_ONLE",$I61&gt;0),IF(OR($H61="",$I61=""),"",IF(ABS($I61-$H61)&gt;zincirTolerans,"ZİNCİR KIRIK","OK")),IF($H61&gt;0,IF(OR($G61="",$H61=""),"",IF(ABS($H61-$G61)&gt;zincirTolerans,"ZİNCİR KIRIK","OK")),"OK"))</f>
        <v/>
      </c>
      <c r="W61" s="30">
        <f>IF($A61="","",1)</f>
        <v/>
      </c>
    </row>
    <row r="62">
      <c r="A62" s="27" t="n"/>
      <c r="B62" s="27" t="n"/>
      <c r="C62" s="27" t="n"/>
      <c r="D62" s="32" t="n"/>
      <c r="E62" s="27" t="n"/>
      <c r="F62" s="27" t="n"/>
      <c r="G62" s="31" t="n"/>
      <c r="H62" s="31" t="n"/>
      <c r="I62" s="31" t="n"/>
      <c r="J62" s="29" t="n"/>
      <c r="K62" s="31" t="n"/>
      <c r="L62" s="31" t="n"/>
      <c r="M62" s="27" t="n"/>
      <c r="N62" s="27" t="n"/>
      <c r="O62" s="27" t="n"/>
      <c r="P62" s="30">
        <f>IF($D62="","",raporTarihi-$D62)</f>
        <v/>
      </c>
      <c r="Q62" s="30">
        <f>IF($P62="","",IF($P62&lt;=sdf_kovaEsik1,"0-30",IF($P62&lt;=sdf_kovaEsik2,"31-60",IF($P62&lt;=sdf_kovaEsik3,"61-90","90+"))))</f>
        <v/>
      </c>
      <c r="R62" s="30">
        <f>IF($A62="","",IF($H62&gt;0,$H62,$G62))</f>
        <v/>
      </c>
      <c r="S62" s="30">
        <f>IF($F62="D8_KAPALI","KAPANAN",IF($F62="IPTAL","IPTAL","ACIK"))</f>
        <v/>
      </c>
      <c r="T62" s="30">
        <f>IF($B62="","YETİM",IF(COUNTIF(tblEkip[EkipId],$B62)=0,"YETİM",""))</f>
        <v/>
      </c>
      <c r="U62" s="30">
        <f>IF(OR($E62&amp;"|"&amp;$F62="",COUNTIF(ListeIzinliGecis,$E62&amp;"|"&amp;$F62)&gt;0),"","GEÇERSİZ GEÇİŞ")</f>
        <v/>
      </c>
      <c r="V62" s="30">
        <f>IF(OR($F62="D8_KAPALI",$F62="D7_ONLE",$I62&gt;0),IF(OR($H62="",$I62=""),"",IF(ABS($I62-$H62)&gt;zincirTolerans,"ZİNCİR KIRIK","OK")),IF($H62&gt;0,IF(OR($G62="",$H62=""),"",IF(ABS($H62-$G62)&gt;zincirTolerans,"ZİNCİR KIRIK","OK")),"OK"))</f>
        <v/>
      </c>
      <c r="W62" s="30">
        <f>IF($A62="","",1)</f>
        <v/>
      </c>
    </row>
    <row r="63">
      <c r="A63" s="27" t="n"/>
      <c r="B63" s="27" t="n"/>
      <c r="C63" s="27" t="n"/>
      <c r="D63" s="32" t="n"/>
      <c r="E63" s="27" t="n"/>
      <c r="F63" s="27" t="n"/>
      <c r="G63" s="31" t="n"/>
      <c r="H63" s="31" t="n"/>
      <c r="I63" s="31" t="n"/>
      <c r="J63" s="29" t="n"/>
      <c r="K63" s="31" t="n"/>
      <c r="L63" s="31" t="n"/>
      <c r="M63" s="27" t="n"/>
      <c r="N63" s="27" t="n"/>
      <c r="O63" s="27" t="n"/>
      <c r="P63" s="30">
        <f>IF($D63="","",raporTarihi-$D63)</f>
        <v/>
      </c>
      <c r="Q63" s="30">
        <f>IF($P63="","",IF($P63&lt;=sdf_kovaEsik1,"0-30",IF($P63&lt;=sdf_kovaEsik2,"31-60",IF($P63&lt;=sdf_kovaEsik3,"61-90","90+"))))</f>
        <v/>
      </c>
      <c r="R63" s="30">
        <f>IF($A63="","",IF($H63&gt;0,$H63,$G63))</f>
        <v/>
      </c>
      <c r="S63" s="30">
        <f>IF($F63="D8_KAPALI","KAPANAN",IF($F63="IPTAL","IPTAL","ACIK"))</f>
        <v/>
      </c>
      <c r="T63" s="30">
        <f>IF($B63="","YETİM",IF(COUNTIF(tblEkip[EkipId],$B63)=0,"YETİM",""))</f>
        <v/>
      </c>
      <c r="U63" s="30">
        <f>IF(OR($E63&amp;"|"&amp;$F63="",COUNTIF(ListeIzinliGecis,$E63&amp;"|"&amp;$F63)&gt;0),"","GEÇERSİZ GEÇİŞ")</f>
        <v/>
      </c>
      <c r="V63" s="30">
        <f>IF(OR($F63="D8_KAPALI",$F63="D7_ONLE",$I63&gt;0),IF(OR($H63="",$I63=""),"",IF(ABS($I63-$H63)&gt;zincirTolerans,"ZİNCİR KIRIK","OK")),IF($H63&gt;0,IF(OR($G63="",$H63=""),"",IF(ABS($H63-$G63)&gt;zincirTolerans,"ZİNCİR KIRIK","OK")),"OK"))</f>
        <v/>
      </c>
      <c r="W63" s="30">
        <f>IF($A63="","",1)</f>
        <v/>
      </c>
    </row>
    <row r="64">
      <c r="A64" s="27" t="n"/>
      <c r="B64" s="27" t="n"/>
      <c r="C64" s="27" t="n"/>
      <c r="D64" s="32" t="n"/>
      <c r="E64" s="27" t="n"/>
      <c r="F64" s="27" t="n"/>
      <c r="G64" s="31" t="n"/>
      <c r="H64" s="31" t="n"/>
      <c r="I64" s="31" t="n"/>
      <c r="J64" s="29" t="n"/>
      <c r="K64" s="31" t="n"/>
      <c r="L64" s="31" t="n"/>
      <c r="M64" s="27" t="n"/>
      <c r="N64" s="27" t="n"/>
      <c r="O64" s="27" t="n"/>
      <c r="P64" s="30">
        <f>IF($D64="","",raporTarihi-$D64)</f>
        <v/>
      </c>
      <c r="Q64" s="30">
        <f>IF($P64="","",IF($P64&lt;=sdf_kovaEsik1,"0-30",IF($P64&lt;=sdf_kovaEsik2,"31-60",IF($P64&lt;=sdf_kovaEsik3,"61-90","90+"))))</f>
        <v/>
      </c>
      <c r="R64" s="30">
        <f>IF($A64="","",IF($H64&gt;0,$H64,$G64))</f>
        <v/>
      </c>
      <c r="S64" s="30">
        <f>IF($F64="D8_KAPALI","KAPANAN",IF($F64="IPTAL","IPTAL","ACIK"))</f>
        <v/>
      </c>
      <c r="T64" s="30">
        <f>IF($B64="","YETİM",IF(COUNTIF(tblEkip[EkipId],$B64)=0,"YETİM",""))</f>
        <v/>
      </c>
      <c r="U64" s="30">
        <f>IF(OR($E64&amp;"|"&amp;$F64="",COUNTIF(ListeIzinliGecis,$E64&amp;"|"&amp;$F64)&gt;0),"","GEÇERSİZ GEÇİŞ")</f>
        <v/>
      </c>
      <c r="V64" s="30">
        <f>IF(OR($F64="D8_KAPALI",$F64="D7_ONLE",$I64&gt;0),IF(OR($H64="",$I64=""),"",IF(ABS($I64-$H64)&gt;zincirTolerans,"ZİNCİR KIRIK","OK")),IF($H64&gt;0,IF(OR($G64="",$H64=""),"",IF(ABS($H64-$G64)&gt;zincirTolerans,"ZİNCİR KIRIK","OK")),"OK"))</f>
        <v/>
      </c>
      <c r="W64" s="30">
        <f>IF($A64="","",1)</f>
        <v/>
      </c>
    </row>
    <row r="65">
      <c r="A65" s="27" t="n"/>
      <c r="B65" s="27" t="n"/>
      <c r="C65" s="27" t="n"/>
      <c r="D65" s="32" t="n"/>
      <c r="E65" s="27" t="n"/>
      <c r="F65" s="27" t="n"/>
      <c r="G65" s="31" t="n"/>
      <c r="H65" s="31" t="n"/>
      <c r="I65" s="31" t="n"/>
      <c r="J65" s="29" t="n"/>
      <c r="K65" s="31" t="n"/>
      <c r="L65" s="31" t="n"/>
      <c r="M65" s="27" t="n"/>
      <c r="N65" s="27" t="n"/>
      <c r="O65" s="27" t="n"/>
      <c r="P65" s="30">
        <f>IF($D65="","",raporTarihi-$D65)</f>
        <v/>
      </c>
      <c r="Q65" s="30">
        <f>IF($P65="","",IF($P65&lt;=sdf_kovaEsik1,"0-30",IF($P65&lt;=sdf_kovaEsik2,"31-60",IF($P65&lt;=sdf_kovaEsik3,"61-90","90+"))))</f>
        <v/>
      </c>
      <c r="R65" s="30">
        <f>IF($A65="","",IF($H65&gt;0,$H65,$G65))</f>
        <v/>
      </c>
      <c r="S65" s="30">
        <f>IF($F65="D8_KAPALI","KAPANAN",IF($F65="IPTAL","IPTAL","ACIK"))</f>
        <v/>
      </c>
      <c r="T65" s="30">
        <f>IF($B65="","YETİM",IF(COUNTIF(tblEkip[EkipId],$B65)=0,"YETİM",""))</f>
        <v/>
      </c>
      <c r="U65" s="30">
        <f>IF(OR($E65&amp;"|"&amp;$F65="",COUNTIF(ListeIzinliGecis,$E65&amp;"|"&amp;$F65)&gt;0),"","GEÇERSİZ GEÇİŞ")</f>
        <v/>
      </c>
      <c r="V65" s="30">
        <f>IF(OR($F65="D8_KAPALI",$F65="D7_ONLE",$I65&gt;0),IF(OR($H65="",$I65=""),"",IF(ABS($I65-$H65)&gt;zincirTolerans,"ZİNCİR KIRIK","OK")),IF($H65&gt;0,IF(OR($G65="",$H65=""),"",IF(ABS($H65-$G65)&gt;zincirTolerans,"ZİNCİR KIRIK","OK")),"OK"))</f>
        <v/>
      </c>
      <c r="W65" s="30">
        <f>IF($A65="","",1)</f>
        <v/>
      </c>
    </row>
    <row r="66">
      <c r="A66" s="27" t="n"/>
      <c r="B66" s="27" t="n"/>
      <c r="C66" s="27" t="n"/>
      <c r="D66" s="32" t="n"/>
      <c r="E66" s="27" t="n"/>
      <c r="F66" s="27" t="n"/>
      <c r="G66" s="31" t="n"/>
      <c r="H66" s="31" t="n"/>
      <c r="I66" s="31" t="n"/>
      <c r="J66" s="29" t="n"/>
      <c r="K66" s="31" t="n"/>
      <c r="L66" s="31" t="n"/>
      <c r="M66" s="27" t="n"/>
      <c r="N66" s="27" t="n"/>
      <c r="O66" s="27" t="n"/>
      <c r="P66" s="30">
        <f>IF($D66="","",raporTarihi-$D66)</f>
        <v/>
      </c>
      <c r="Q66" s="30">
        <f>IF($P66="","",IF($P66&lt;=sdf_kovaEsik1,"0-30",IF($P66&lt;=sdf_kovaEsik2,"31-60",IF($P66&lt;=sdf_kovaEsik3,"61-90","90+"))))</f>
        <v/>
      </c>
      <c r="R66" s="30">
        <f>IF($A66="","",IF($H66&gt;0,$H66,$G66))</f>
        <v/>
      </c>
      <c r="S66" s="30">
        <f>IF($F66="D8_KAPALI","KAPANAN",IF($F66="IPTAL","IPTAL","ACIK"))</f>
        <v/>
      </c>
      <c r="T66" s="30">
        <f>IF($B66="","YETİM",IF(COUNTIF(tblEkip[EkipId],$B66)=0,"YETİM",""))</f>
        <v/>
      </c>
      <c r="U66" s="30">
        <f>IF(OR($E66&amp;"|"&amp;$F66="",COUNTIF(ListeIzinliGecis,$E66&amp;"|"&amp;$F66)&gt;0),"","GEÇERSİZ GEÇİŞ")</f>
        <v/>
      </c>
      <c r="V66" s="30">
        <f>IF(OR($F66="D8_KAPALI",$F66="D7_ONLE",$I66&gt;0),IF(OR($H66="",$I66=""),"",IF(ABS($I66-$H66)&gt;zincirTolerans,"ZİNCİR KIRIK","OK")),IF($H66&gt;0,IF(OR($G66="",$H66=""),"",IF(ABS($H66-$G66)&gt;zincirTolerans,"ZİNCİR KIRIK","OK")),"OK"))</f>
        <v/>
      </c>
      <c r="W66" s="30">
        <f>IF($A66="","",1)</f>
        <v/>
      </c>
    </row>
    <row r="67">
      <c r="A67" s="27" t="n"/>
      <c r="B67" s="27" t="n"/>
      <c r="C67" s="27" t="n"/>
      <c r="D67" s="32" t="n"/>
      <c r="E67" s="27" t="n"/>
      <c r="F67" s="27" t="n"/>
      <c r="G67" s="31" t="n"/>
      <c r="H67" s="31" t="n"/>
      <c r="I67" s="31" t="n"/>
      <c r="J67" s="29" t="n"/>
      <c r="K67" s="31" t="n"/>
      <c r="L67" s="31" t="n"/>
      <c r="M67" s="27" t="n"/>
      <c r="N67" s="27" t="n"/>
      <c r="O67" s="27" t="n"/>
      <c r="P67" s="30">
        <f>IF($D67="","",raporTarihi-$D67)</f>
        <v/>
      </c>
      <c r="Q67" s="30">
        <f>IF($P67="","",IF($P67&lt;=sdf_kovaEsik1,"0-30",IF($P67&lt;=sdf_kovaEsik2,"31-60",IF($P67&lt;=sdf_kovaEsik3,"61-90","90+"))))</f>
        <v/>
      </c>
      <c r="R67" s="30">
        <f>IF($A67="","",IF($H67&gt;0,$H67,$G67))</f>
        <v/>
      </c>
      <c r="S67" s="30">
        <f>IF($F67="D8_KAPALI","KAPANAN",IF($F67="IPTAL","IPTAL","ACIK"))</f>
        <v/>
      </c>
      <c r="T67" s="30">
        <f>IF($B67="","YETİM",IF(COUNTIF(tblEkip[EkipId],$B67)=0,"YETİM",""))</f>
        <v/>
      </c>
      <c r="U67" s="30">
        <f>IF(OR($E67&amp;"|"&amp;$F67="",COUNTIF(ListeIzinliGecis,$E67&amp;"|"&amp;$F67)&gt;0),"","GEÇERSİZ GEÇİŞ")</f>
        <v/>
      </c>
      <c r="V67" s="30">
        <f>IF(OR($F67="D8_KAPALI",$F67="D7_ONLE",$I67&gt;0),IF(OR($H67="",$I67=""),"",IF(ABS($I67-$H67)&gt;zincirTolerans,"ZİNCİR KIRIK","OK")),IF($H67&gt;0,IF(OR($G67="",$H67=""),"",IF(ABS($H67-$G67)&gt;zincirTolerans,"ZİNCİR KIRIK","OK")),"OK"))</f>
        <v/>
      </c>
      <c r="W67" s="30">
        <f>IF($A67="","",1)</f>
        <v/>
      </c>
    </row>
    <row r="68">
      <c r="A68" s="27" t="n"/>
      <c r="B68" s="27" t="n"/>
      <c r="C68" s="27" t="n"/>
      <c r="D68" s="32" t="n"/>
      <c r="E68" s="27" t="n"/>
      <c r="F68" s="27" t="n"/>
      <c r="G68" s="31" t="n"/>
      <c r="H68" s="31" t="n"/>
      <c r="I68" s="31" t="n"/>
      <c r="J68" s="29" t="n"/>
      <c r="K68" s="31" t="n"/>
      <c r="L68" s="31" t="n"/>
      <c r="M68" s="27" t="n"/>
      <c r="N68" s="27" t="n"/>
      <c r="O68" s="27" t="n"/>
      <c r="P68" s="30">
        <f>IF($D68="","",raporTarihi-$D68)</f>
        <v/>
      </c>
      <c r="Q68" s="30">
        <f>IF($P68="","",IF($P68&lt;=sdf_kovaEsik1,"0-30",IF($P68&lt;=sdf_kovaEsik2,"31-60",IF($P68&lt;=sdf_kovaEsik3,"61-90","90+"))))</f>
        <v/>
      </c>
      <c r="R68" s="30">
        <f>IF($A68="","",IF($H68&gt;0,$H68,$G68))</f>
        <v/>
      </c>
      <c r="S68" s="30">
        <f>IF($F68="D8_KAPALI","KAPANAN",IF($F68="IPTAL","IPTAL","ACIK"))</f>
        <v/>
      </c>
      <c r="T68" s="30">
        <f>IF($B68="","YETİM",IF(COUNTIF(tblEkip[EkipId],$B68)=0,"YETİM",""))</f>
        <v/>
      </c>
      <c r="U68" s="30">
        <f>IF(OR($E68&amp;"|"&amp;$F68="",COUNTIF(ListeIzinliGecis,$E68&amp;"|"&amp;$F68)&gt;0),"","GEÇERSİZ GEÇİŞ")</f>
        <v/>
      </c>
      <c r="V68" s="30">
        <f>IF(OR($F68="D8_KAPALI",$F68="D7_ONLE",$I68&gt;0),IF(OR($H68="",$I68=""),"",IF(ABS($I68-$H68)&gt;zincirTolerans,"ZİNCİR KIRIK","OK")),IF($H68&gt;0,IF(OR($G68="",$H68=""),"",IF(ABS($H68-$G68)&gt;zincirTolerans,"ZİNCİR KIRIK","OK")),"OK"))</f>
        <v/>
      </c>
      <c r="W68" s="30">
        <f>IF($A68="","",1)</f>
        <v/>
      </c>
    </row>
    <row r="69">
      <c r="A69" s="27" t="n"/>
      <c r="B69" s="27" t="n"/>
      <c r="C69" s="27" t="n"/>
      <c r="D69" s="32" t="n"/>
      <c r="E69" s="27" t="n"/>
      <c r="F69" s="27" t="n"/>
      <c r="G69" s="31" t="n"/>
      <c r="H69" s="31" t="n"/>
      <c r="I69" s="31" t="n"/>
      <c r="J69" s="29" t="n"/>
      <c r="K69" s="31" t="n"/>
      <c r="L69" s="31" t="n"/>
      <c r="M69" s="27" t="n"/>
      <c r="N69" s="27" t="n"/>
      <c r="O69" s="27" t="n"/>
      <c r="P69" s="30">
        <f>IF($D69="","",raporTarihi-$D69)</f>
        <v/>
      </c>
      <c r="Q69" s="30">
        <f>IF($P69="","",IF($P69&lt;=sdf_kovaEsik1,"0-30",IF($P69&lt;=sdf_kovaEsik2,"31-60",IF($P69&lt;=sdf_kovaEsik3,"61-90","90+"))))</f>
        <v/>
      </c>
      <c r="R69" s="30">
        <f>IF($A69="","",IF($H69&gt;0,$H69,$G69))</f>
        <v/>
      </c>
      <c r="S69" s="30">
        <f>IF($F69="D8_KAPALI","KAPANAN",IF($F69="IPTAL","IPTAL","ACIK"))</f>
        <v/>
      </c>
      <c r="T69" s="30">
        <f>IF($B69="","YETİM",IF(COUNTIF(tblEkip[EkipId],$B69)=0,"YETİM",""))</f>
        <v/>
      </c>
      <c r="U69" s="30">
        <f>IF(OR($E69&amp;"|"&amp;$F69="",COUNTIF(ListeIzinliGecis,$E69&amp;"|"&amp;$F69)&gt;0),"","GEÇERSİZ GEÇİŞ")</f>
        <v/>
      </c>
      <c r="V69" s="30">
        <f>IF(OR($F69="D8_KAPALI",$F69="D7_ONLE",$I69&gt;0),IF(OR($H69="",$I69=""),"",IF(ABS($I69-$H69)&gt;zincirTolerans,"ZİNCİR KIRIK","OK")),IF($H69&gt;0,IF(OR($G69="",$H69=""),"",IF(ABS($H69-$G69)&gt;zincirTolerans,"ZİNCİR KIRIK","OK")),"OK"))</f>
        <v/>
      </c>
      <c r="W69" s="30">
        <f>IF($A69="","",1)</f>
        <v/>
      </c>
    </row>
    <row r="70">
      <c r="A70" s="27" t="n"/>
      <c r="B70" s="27" t="n"/>
      <c r="C70" s="27" t="n"/>
      <c r="D70" s="32" t="n"/>
      <c r="E70" s="27" t="n"/>
      <c r="F70" s="27" t="n"/>
      <c r="G70" s="31" t="n"/>
      <c r="H70" s="31" t="n"/>
      <c r="I70" s="31" t="n"/>
      <c r="J70" s="29" t="n"/>
      <c r="K70" s="31" t="n"/>
      <c r="L70" s="31" t="n"/>
      <c r="M70" s="27" t="n"/>
      <c r="N70" s="27" t="n"/>
      <c r="O70" s="27" t="n"/>
      <c r="P70" s="30">
        <f>IF($D70="","",raporTarihi-$D70)</f>
        <v/>
      </c>
      <c r="Q70" s="30">
        <f>IF($P70="","",IF($P70&lt;=sdf_kovaEsik1,"0-30",IF($P70&lt;=sdf_kovaEsik2,"31-60",IF($P70&lt;=sdf_kovaEsik3,"61-90","90+"))))</f>
        <v/>
      </c>
      <c r="R70" s="30">
        <f>IF($A70="","",IF($H70&gt;0,$H70,$G70))</f>
        <v/>
      </c>
      <c r="S70" s="30">
        <f>IF($F70="D8_KAPALI","KAPANAN",IF($F70="IPTAL","IPTAL","ACIK"))</f>
        <v/>
      </c>
      <c r="T70" s="30">
        <f>IF($B70="","YETİM",IF(COUNTIF(tblEkip[EkipId],$B70)=0,"YETİM",""))</f>
        <v/>
      </c>
      <c r="U70" s="30">
        <f>IF(OR($E70&amp;"|"&amp;$F70="",COUNTIF(ListeIzinliGecis,$E70&amp;"|"&amp;$F70)&gt;0),"","GEÇERSİZ GEÇİŞ")</f>
        <v/>
      </c>
      <c r="V70" s="30">
        <f>IF(OR($F70="D8_KAPALI",$F70="D7_ONLE",$I70&gt;0),IF(OR($H70="",$I70=""),"",IF(ABS($I70-$H70)&gt;zincirTolerans,"ZİNCİR KIRIK","OK")),IF($H70&gt;0,IF(OR($G70="",$H70=""),"",IF(ABS($H70-$G70)&gt;zincirTolerans,"ZİNCİR KIRIK","OK")),"OK"))</f>
        <v/>
      </c>
      <c r="W70" s="30">
        <f>IF($A70="","",1)</f>
        <v/>
      </c>
    </row>
    <row r="71">
      <c r="A71" s="27" t="n"/>
      <c r="B71" s="27" t="n"/>
      <c r="C71" s="27" t="n"/>
      <c r="D71" s="32" t="n"/>
      <c r="E71" s="27" t="n"/>
      <c r="F71" s="27" t="n"/>
      <c r="G71" s="31" t="n"/>
      <c r="H71" s="31" t="n"/>
      <c r="I71" s="31" t="n"/>
      <c r="J71" s="29" t="n"/>
      <c r="K71" s="31" t="n"/>
      <c r="L71" s="31" t="n"/>
      <c r="M71" s="27" t="n"/>
      <c r="N71" s="27" t="n"/>
      <c r="O71" s="27" t="n"/>
      <c r="P71" s="30">
        <f>IF($D71="","",raporTarihi-$D71)</f>
        <v/>
      </c>
      <c r="Q71" s="30">
        <f>IF($P71="","",IF($P71&lt;=sdf_kovaEsik1,"0-30",IF($P71&lt;=sdf_kovaEsik2,"31-60",IF($P71&lt;=sdf_kovaEsik3,"61-90","90+"))))</f>
        <v/>
      </c>
      <c r="R71" s="30">
        <f>IF($A71="","",IF($H71&gt;0,$H71,$G71))</f>
        <v/>
      </c>
      <c r="S71" s="30">
        <f>IF($F71="D8_KAPALI","KAPANAN",IF($F71="IPTAL","IPTAL","ACIK"))</f>
        <v/>
      </c>
      <c r="T71" s="30">
        <f>IF($B71="","YETİM",IF(COUNTIF(tblEkip[EkipId],$B71)=0,"YETİM",""))</f>
        <v/>
      </c>
      <c r="U71" s="30">
        <f>IF(OR($E71&amp;"|"&amp;$F71="",COUNTIF(ListeIzinliGecis,$E71&amp;"|"&amp;$F71)&gt;0),"","GEÇERSİZ GEÇİŞ")</f>
        <v/>
      </c>
      <c r="V71" s="30">
        <f>IF(OR($F71="D8_KAPALI",$F71="D7_ONLE",$I71&gt;0),IF(OR($H71="",$I71=""),"",IF(ABS($I71-$H71)&gt;zincirTolerans,"ZİNCİR KIRIK","OK")),IF($H71&gt;0,IF(OR($G71="",$H71=""),"",IF(ABS($H71-$G71)&gt;zincirTolerans,"ZİNCİR KIRIK","OK")),"OK"))</f>
        <v/>
      </c>
      <c r="W71" s="30">
        <f>IF($A71="","",1)</f>
        <v/>
      </c>
    </row>
    <row r="72">
      <c r="A72" s="27" t="n"/>
      <c r="B72" s="27" t="n"/>
      <c r="C72" s="27" t="n"/>
      <c r="D72" s="32" t="n"/>
      <c r="E72" s="27" t="n"/>
      <c r="F72" s="27" t="n"/>
      <c r="G72" s="31" t="n"/>
      <c r="H72" s="31" t="n"/>
      <c r="I72" s="31" t="n"/>
      <c r="J72" s="29" t="n"/>
      <c r="K72" s="31" t="n"/>
      <c r="L72" s="31" t="n"/>
      <c r="M72" s="27" t="n"/>
      <c r="N72" s="27" t="n"/>
      <c r="O72" s="27" t="n"/>
      <c r="P72" s="30">
        <f>IF($D72="","",raporTarihi-$D72)</f>
        <v/>
      </c>
      <c r="Q72" s="30">
        <f>IF($P72="","",IF($P72&lt;=sdf_kovaEsik1,"0-30",IF($P72&lt;=sdf_kovaEsik2,"31-60",IF($P72&lt;=sdf_kovaEsik3,"61-90","90+"))))</f>
        <v/>
      </c>
      <c r="R72" s="30">
        <f>IF($A72="","",IF($H72&gt;0,$H72,$G72))</f>
        <v/>
      </c>
      <c r="S72" s="30">
        <f>IF($F72="D8_KAPALI","KAPANAN",IF($F72="IPTAL","IPTAL","ACIK"))</f>
        <v/>
      </c>
      <c r="T72" s="30">
        <f>IF($B72="","YETİM",IF(COUNTIF(tblEkip[EkipId],$B72)=0,"YETİM",""))</f>
        <v/>
      </c>
      <c r="U72" s="30">
        <f>IF(OR($E72&amp;"|"&amp;$F72="",COUNTIF(ListeIzinliGecis,$E72&amp;"|"&amp;$F72)&gt;0),"","GEÇERSİZ GEÇİŞ")</f>
        <v/>
      </c>
      <c r="V72" s="30">
        <f>IF(OR($F72="D8_KAPALI",$F72="D7_ONLE",$I72&gt;0),IF(OR($H72="",$I72=""),"",IF(ABS($I72-$H72)&gt;zincirTolerans,"ZİNCİR KIRIK","OK")),IF($H72&gt;0,IF(OR($G72="",$H72=""),"",IF(ABS($H72-$G72)&gt;zincirTolerans,"ZİNCİR KIRIK","OK")),"OK"))</f>
        <v/>
      </c>
      <c r="W72" s="30">
        <f>IF($A72="","",1)</f>
        <v/>
      </c>
    </row>
    <row r="73">
      <c r="A73" s="27" t="n"/>
      <c r="B73" s="27" t="n"/>
      <c r="C73" s="27" t="n"/>
      <c r="D73" s="32" t="n"/>
      <c r="E73" s="27" t="n"/>
      <c r="F73" s="27" t="n"/>
      <c r="G73" s="31" t="n"/>
      <c r="H73" s="31" t="n"/>
      <c r="I73" s="31" t="n"/>
      <c r="J73" s="29" t="n"/>
      <c r="K73" s="31" t="n"/>
      <c r="L73" s="31" t="n"/>
      <c r="M73" s="27" t="n"/>
      <c r="N73" s="27" t="n"/>
      <c r="O73" s="27" t="n"/>
      <c r="P73" s="30">
        <f>IF($D73="","",raporTarihi-$D73)</f>
        <v/>
      </c>
      <c r="Q73" s="30">
        <f>IF($P73="","",IF($P73&lt;=sdf_kovaEsik1,"0-30",IF($P73&lt;=sdf_kovaEsik2,"31-60",IF($P73&lt;=sdf_kovaEsik3,"61-90","90+"))))</f>
        <v/>
      </c>
      <c r="R73" s="30">
        <f>IF($A73="","",IF($H73&gt;0,$H73,$G73))</f>
        <v/>
      </c>
      <c r="S73" s="30">
        <f>IF($F73="D8_KAPALI","KAPANAN",IF($F73="IPTAL","IPTAL","ACIK"))</f>
        <v/>
      </c>
      <c r="T73" s="30">
        <f>IF($B73="","YETİM",IF(COUNTIF(tblEkip[EkipId],$B73)=0,"YETİM",""))</f>
        <v/>
      </c>
      <c r="U73" s="30">
        <f>IF(OR($E73&amp;"|"&amp;$F73="",COUNTIF(ListeIzinliGecis,$E73&amp;"|"&amp;$F73)&gt;0),"","GEÇERSİZ GEÇİŞ")</f>
        <v/>
      </c>
      <c r="V73" s="30">
        <f>IF(OR($F73="D8_KAPALI",$F73="D7_ONLE",$I73&gt;0),IF(OR($H73="",$I73=""),"",IF(ABS($I73-$H73)&gt;zincirTolerans,"ZİNCİR KIRIK","OK")),IF($H73&gt;0,IF(OR($G73="",$H73=""),"",IF(ABS($H73-$G73)&gt;zincirTolerans,"ZİNCİR KIRIK","OK")),"OK"))</f>
        <v/>
      </c>
      <c r="W73" s="30">
        <f>IF($A73="","",1)</f>
        <v/>
      </c>
    </row>
    <row r="74">
      <c r="A74" s="27" t="n"/>
      <c r="B74" s="27" t="n"/>
      <c r="C74" s="27" t="n"/>
      <c r="D74" s="32" t="n"/>
      <c r="E74" s="27" t="n"/>
      <c r="F74" s="27" t="n"/>
      <c r="G74" s="31" t="n"/>
      <c r="H74" s="31" t="n"/>
      <c r="I74" s="31" t="n"/>
      <c r="J74" s="29" t="n"/>
      <c r="K74" s="31" t="n"/>
      <c r="L74" s="31" t="n"/>
      <c r="M74" s="27" t="n"/>
      <c r="N74" s="27" t="n"/>
      <c r="O74" s="27" t="n"/>
      <c r="P74" s="30">
        <f>IF($D74="","",raporTarihi-$D74)</f>
        <v/>
      </c>
      <c r="Q74" s="30">
        <f>IF($P74="","",IF($P74&lt;=sdf_kovaEsik1,"0-30",IF($P74&lt;=sdf_kovaEsik2,"31-60",IF($P74&lt;=sdf_kovaEsik3,"61-90","90+"))))</f>
        <v/>
      </c>
      <c r="R74" s="30">
        <f>IF($A74="","",IF($H74&gt;0,$H74,$G74))</f>
        <v/>
      </c>
      <c r="S74" s="30">
        <f>IF($F74="D8_KAPALI","KAPANAN",IF($F74="IPTAL","IPTAL","ACIK"))</f>
        <v/>
      </c>
      <c r="T74" s="30">
        <f>IF($B74="","YETİM",IF(COUNTIF(tblEkip[EkipId],$B74)=0,"YETİM",""))</f>
        <v/>
      </c>
      <c r="U74" s="30">
        <f>IF(OR($E74&amp;"|"&amp;$F74="",COUNTIF(ListeIzinliGecis,$E74&amp;"|"&amp;$F74)&gt;0),"","GEÇERSİZ GEÇİŞ")</f>
        <v/>
      </c>
      <c r="V74" s="30">
        <f>IF(OR($F74="D8_KAPALI",$F74="D7_ONLE",$I74&gt;0),IF(OR($H74="",$I74=""),"",IF(ABS($I74-$H74)&gt;zincirTolerans,"ZİNCİR KIRIK","OK")),IF($H74&gt;0,IF(OR($G74="",$H74=""),"",IF(ABS($H74-$G74)&gt;zincirTolerans,"ZİNCİR KIRIK","OK")),"OK"))</f>
        <v/>
      </c>
      <c r="W74" s="30">
        <f>IF($A74="","",1)</f>
        <v/>
      </c>
    </row>
    <row r="75">
      <c r="A75" s="27" t="n"/>
      <c r="B75" s="27" t="n"/>
      <c r="C75" s="27" t="n"/>
      <c r="D75" s="32" t="n"/>
      <c r="E75" s="27" t="n"/>
      <c r="F75" s="27" t="n"/>
      <c r="G75" s="31" t="n"/>
      <c r="H75" s="31" t="n"/>
      <c r="I75" s="31" t="n"/>
      <c r="J75" s="29" t="n"/>
      <c r="K75" s="31" t="n"/>
      <c r="L75" s="31" t="n"/>
      <c r="M75" s="27" t="n"/>
      <c r="N75" s="27" t="n"/>
      <c r="O75" s="27" t="n"/>
      <c r="P75" s="30">
        <f>IF($D75="","",raporTarihi-$D75)</f>
        <v/>
      </c>
      <c r="Q75" s="30">
        <f>IF($P75="","",IF($P75&lt;=sdf_kovaEsik1,"0-30",IF($P75&lt;=sdf_kovaEsik2,"31-60",IF($P75&lt;=sdf_kovaEsik3,"61-90","90+"))))</f>
        <v/>
      </c>
      <c r="R75" s="30">
        <f>IF($A75="","",IF($H75&gt;0,$H75,$G75))</f>
        <v/>
      </c>
      <c r="S75" s="30">
        <f>IF($F75="D8_KAPALI","KAPANAN",IF($F75="IPTAL","IPTAL","ACIK"))</f>
        <v/>
      </c>
      <c r="T75" s="30">
        <f>IF($B75="","YETİM",IF(COUNTIF(tblEkip[EkipId],$B75)=0,"YETİM",""))</f>
        <v/>
      </c>
      <c r="U75" s="30">
        <f>IF(OR($E75&amp;"|"&amp;$F75="",COUNTIF(ListeIzinliGecis,$E75&amp;"|"&amp;$F75)&gt;0),"","GEÇERSİZ GEÇİŞ")</f>
        <v/>
      </c>
      <c r="V75" s="30">
        <f>IF(OR($F75="D8_KAPALI",$F75="D7_ONLE",$I75&gt;0),IF(OR($H75="",$I75=""),"",IF(ABS($I75-$H75)&gt;zincirTolerans,"ZİNCİR KIRIK","OK")),IF($H75&gt;0,IF(OR($G75="",$H75=""),"",IF(ABS($H75-$G75)&gt;zincirTolerans,"ZİNCİR KIRIK","OK")),"OK"))</f>
        <v/>
      </c>
      <c r="W75" s="30">
        <f>IF($A75="","",1)</f>
        <v/>
      </c>
    </row>
    <row r="76">
      <c r="A76" s="27" t="n"/>
      <c r="B76" s="27" t="n"/>
      <c r="C76" s="27" t="n"/>
      <c r="D76" s="32" t="n"/>
      <c r="E76" s="27" t="n"/>
      <c r="F76" s="27" t="n"/>
      <c r="G76" s="31" t="n"/>
      <c r="H76" s="31" t="n"/>
      <c r="I76" s="31" t="n"/>
      <c r="J76" s="29" t="n"/>
      <c r="K76" s="31" t="n"/>
      <c r="L76" s="31" t="n"/>
      <c r="M76" s="27" t="n"/>
      <c r="N76" s="27" t="n"/>
      <c r="O76" s="27" t="n"/>
      <c r="P76" s="30">
        <f>IF($D76="","",raporTarihi-$D76)</f>
        <v/>
      </c>
      <c r="Q76" s="30">
        <f>IF($P76="","",IF($P76&lt;=sdf_kovaEsik1,"0-30",IF($P76&lt;=sdf_kovaEsik2,"31-60",IF($P76&lt;=sdf_kovaEsik3,"61-90","90+"))))</f>
        <v/>
      </c>
      <c r="R76" s="30">
        <f>IF($A76="","",IF($H76&gt;0,$H76,$G76))</f>
        <v/>
      </c>
      <c r="S76" s="30">
        <f>IF($F76="D8_KAPALI","KAPANAN",IF($F76="IPTAL","IPTAL","ACIK"))</f>
        <v/>
      </c>
      <c r="T76" s="30">
        <f>IF($B76="","YETİM",IF(COUNTIF(tblEkip[EkipId],$B76)=0,"YETİM",""))</f>
        <v/>
      </c>
      <c r="U76" s="30">
        <f>IF(OR($E76&amp;"|"&amp;$F76="",COUNTIF(ListeIzinliGecis,$E76&amp;"|"&amp;$F76)&gt;0),"","GEÇERSİZ GEÇİŞ")</f>
        <v/>
      </c>
      <c r="V76" s="30">
        <f>IF(OR($F76="D8_KAPALI",$F76="D7_ONLE",$I76&gt;0),IF(OR($H76="",$I76=""),"",IF(ABS($I76-$H76)&gt;zincirTolerans,"ZİNCİR KIRIK","OK")),IF($H76&gt;0,IF(OR($G76="",$H76=""),"",IF(ABS($H76-$G76)&gt;zincirTolerans,"ZİNCİR KIRIK","OK")),"OK"))</f>
        <v/>
      </c>
      <c r="W76" s="30">
        <f>IF($A76="","",1)</f>
        <v/>
      </c>
    </row>
    <row r="77">
      <c r="A77" s="27" t="n"/>
      <c r="B77" s="27" t="n"/>
      <c r="C77" s="27" t="n"/>
      <c r="D77" s="32" t="n"/>
      <c r="E77" s="27" t="n"/>
      <c r="F77" s="27" t="n"/>
      <c r="G77" s="31" t="n"/>
      <c r="H77" s="31" t="n"/>
      <c r="I77" s="31" t="n"/>
      <c r="J77" s="29" t="n"/>
      <c r="K77" s="31" t="n"/>
      <c r="L77" s="31" t="n"/>
      <c r="M77" s="27" t="n"/>
      <c r="N77" s="27" t="n"/>
      <c r="O77" s="27" t="n"/>
      <c r="P77" s="30">
        <f>IF($D77="","",raporTarihi-$D77)</f>
        <v/>
      </c>
      <c r="Q77" s="30">
        <f>IF($P77="","",IF($P77&lt;=sdf_kovaEsik1,"0-30",IF($P77&lt;=sdf_kovaEsik2,"31-60",IF($P77&lt;=sdf_kovaEsik3,"61-90","90+"))))</f>
        <v/>
      </c>
      <c r="R77" s="30">
        <f>IF($A77="","",IF($H77&gt;0,$H77,$G77))</f>
        <v/>
      </c>
      <c r="S77" s="30">
        <f>IF($F77="D8_KAPALI","KAPANAN",IF($F77="IPTAL","IPTAL","ACIK"))</f>
        <v/>
      </c>
      <c r="T77" s="30">
        <f>IF($B77="","YETİM",IF(COUNTIF(tblEkip[EkipId],$B77)=0,"YETİM",""))</f>
        <v/>
      </c>
      <c r="U77" s="30">
        <f>IF(OR($E77&amp;"|"&amp;$F77="",COUNTIF(ListeIzinliGecis,$E77&amp;"|"&amp;$F77)&gt;0),"","GEÇERSİZ GEÇİŞ")</f>
        <v/>
      </c>
      <c r="V77" s="30">
        <f>IF(OR($F77="D8_KAPALI",$F77="D7_ONLE",$I77&gt;0),IF(OR($H77="",$I77=""),"",IF(ABS($I77-$H77)&gt;zincirTolerans,"ZİNCİR KIRIK","OK")),IF($H77&gt;0,IF(OR($G77="",$H77=""),"",IF(ABS($H77-$G77)&gt;zincirTolerans,"ZİNCİR KIRIK","OK")),"OK"))</f>
        <v/>
      </c>
      <c r="W77" s="30">
        <f>IF($A77="","",1)</f>
        <v/>
      </c>
    </row>
    <row r="78">
      <c r="A78" s="27" t="n"/>
      <c r="B78" s="27" t="n"/>
      <c r="C78" s="27" t="n"/>
      <c r="D78" s="32" t="n"/>
      <c r="E78" s="27" t="n"/>
      <c r="F78" s="27" t="n"/>
      <c r="G78" s="31" t="n"/>
      <c r="H78" s="31" t="n"/>
      <c r="I78" s="31" t="n"/>
      <c r="J78" s="29" t="n"/>
      <c r="K78" s="31" t="n"/>
      <c r="L78" s="31" t="n"/>
      <c r="M78" s="27" t="n"/>
      <c r="N78" s="27" t="n"/>
      <c r="O78" s="27" t="n"/>
      <c r="P78" s="30">
        <f>IF($D78="","",raporTarihi-$D78)</f>
        <v/>
      </c>
      <c r="Q78" s="30">
        <f>IF($P78="","",IF($P78&lt;=sdf_kovaEsik1,"0-30",IF($P78&lt;=sdf_kovaEsik2,"31-60",IF($P78&lt;=sdf_kovaEsik3,"61-90","90+"))))</f>
        <v/>
      </c>
      <c r="R78" s="30">
        <f>IF($A78="","",IF($H78&gt;0,$H78,$G78))</f>
        <v/>
      </c>
      <c r="S78" s="30">
        <f>IF($F78="D8_KAPALI","KAPANAN",IF($F78="IPTAL","IPTAL","ACIK"))</f>
        <v/>
      </c>
      <c r="T78" s="30">
        <f>IF($B78="","YETİM",IF(COUNTIF(tblEkip[EkipId],$B78)=0,"YETİM",""))</f>
        <v/>
      </c>
      <c r="U78" s="30">
        <f>IF(OR($E78&amp;"|"&amp;$F78="",COUNTIF(ListeIzinliGecis,$E78&amp;"|"&amp;$F78)&gt;0),"","GEÇERSİZ GEÇİŞ")</f>
        <v/>
      </c>
      <c r="V78" s="30">
        <f>IF(OR($F78="D8_KAPALI",$F78="D7_ONLE",$I78&gt;0),IF(OR($H78="",$I78=""),"",IF(ABS($I78-$H78)&gt;zincirTolerans,"ZİNCİR KIRIK","OK")),IF($H78&gt;0,IF(OR($G78="",$H78=""),"",IF(ABS($H78-$G78)&gt;zincirTolerans,"ZİNCİR KIRIK","OK")),"OK"))</f>
        <v/>
      </c>
      <c r="W78" s="30">
        <f>IF($A78="","",1)</f>
        <v/>
      </c>
    </row>
    <row r="79">
      <c r="A79" s="27" t="n"/>
      <c r="B79" s="27" t="n"/>
      <c r="C79" s="27" t="n"/>
      <c r="D79" s="32" t="n"/>
      <c r="E79" s="27" t="n"/>
      <c r="F79" s="27" t="n"/>
      <c r="G79" s="31" t="n"/>
      <c r="H79" s="31" t="n"/>
      <c r="I79" s="31" t="n"/>
      <c r="J79" s="29" t="n"/>
      <c r="K79" s="31" t="n"/>
      <c r="L79" s="31" t="n"/>
      <c r="M79" s="27" t="n"/>
      <c r="N79" s="27" t="n"/>
      <c r="O79" s="27" t="n"/>
      <c r="P79" s="30">
        <f>IF($D79="","",raporTarihi-$D79)</f>
        <v/>
      </c>
      <c r="Q79" s="30">
        <f>IF($P79="","",IF($P79&lt;=sdf_kovaEsik1,"0-30",IF($P79&lt;=sdf_kovaEsik2,"31-60",IF($P79&lt;=sdf_kovaEsik3,"61-90","90+"))))</f>
        <v/>
      </c>
      <c r="R79" s="30">
        <f>IF($A79="","",IF($H79&gt;0,$H79,$G79))</f>
        <v/>
      </c>
      <c r="S79" s="30">
        <f>IF($F79="D8_KAPALI","KAPANAN",IF($F79="IPTAL","IPTAL","ACIK"))</f>
        <v/>
      </c>
      <c r="T79" s="30">
        <f>IF($B79="","YETİM",IF(COUNTIF(tblEkip[EkipId],$B79)=0,"YETİM",""))</f>
        <v/>
      </c>
      <c r="U79" s="30">
        <f>IF(OR($E79&amp;"|"&amp;$F79="",COUNTIF(ListeIzinliGecis,$E79&amp;"|"&amp;$F79)&gt;0),"","GEÇERSİZ GEÇİŞ")</f>
        <v/>
      </c>
      <c r="V79" s="30">
        <f>IF(OR($F79="D8_KAPALI",$F79="D7_ONLE",$I79&gt;0),IF(OR($H79="",$I79=""),"",IF(ABS($I79-$H79)&gt;zincirTolerans,"ZİNCİR KIRIK","OK")),IF($H79&gt;0,IF(OR($G79="",$H79=""),"",IF(ABS($H79-$G79)&gt;zincirTolerans,"ZİNCİR KIRIK","OK")),"OK"))</f>
        <v/>
      </c>
      <c r="W79" s="30">
        <f>IF($A79="","",1)</f>
        <v/>
      </c>
    </row>
    <row r="80">
      <c r="A80" s="27" t="n"/>
      <c r="B80" s="27" t="n"/>
      <c r="C80" s="27" t="n"/>
      <c r="D80" s="32" t="n"/>
      <c r="E80" s="27" t="n"/>
      <c r="F80" s="27" t="n"/>
      <c r="G80" s="31" t="n"/>
      <c r="H80" s="31" t="n"/>
      <c r="I80" s="31" t="n"/>
      <c r="J80" s="29" t="n"/>
      <c r="K80" s="31" t="n"/>
      <c r="L80" s="31" t="n"/>
      <c r="M80" s="27" t="n"/>
      <c r="N80" s="27" t="n"/>
      <c r="O80" s="27" t="n"/>
      <c r="P80" s="30">
        <f>IF($D80="","",raporTarihi-$D80)</f>
        <v/>
      </c>
      <c r="Q80" s="30">
        <f>IF($P80="","",IF($P80&lt;=sdf_kovaEsik1,"0-30",IF($P80&lt;=sdf_kovaEsik2,"31-60",IF($P80&lt;=sdf_kovaEsik3,"61-90","90+"))))</f>
        <v/>
      </c>
      <c r="R80" s="30">
        <f>IF($A80="","",IF($H80&gt;0,$H80,$G80))</f>
        <v/>
      </c>
      <c r="S80" s="30">
        <f>IF($F80="D8_KAPALI","KAPANAN",IF($F80="IPTAL","IPTAL","ACIK"))</f>
        <v/>
      </c>
      <c r="T80" s="30">
        <f>IF($B80="","YETİM",IF(COUNTIF(tblEkip[EkipId],$B80)=0,"YETİM",""))</f>
        <v/>
      </c>
      <c r="U80" s="30">
        <f>IF(OR($E80&amp;"|"&amp;$F80="",COUNTIF(ListeIzinliGecis,$E80&amp;"|"&amp;$F80)&gt;0),"","GEÇERSİZ GEÇİŞ")</f>
        <v/>
      </c>
      <c r="V80" s="30">
        <f>IF(OR($F80="D8_KAPALI",$F80="D7_ONLE",$I80&gt;0),IF(OR($H80="",$I80=""),"",IF(ABS($I80-$H80)&gt;zincirTolerans,"ZİNCİR KIRIK","OK")),IF($H80&gt;0,IF(OR($G80="",$H80=""),"",IF(ABS($H80-$G80)&gt;zincirTolerans,"ZİNCİR KIRIK","OK")),"OK"))</f>
        <v/>
      </c>
      <c r="W80" s="30">
        <f>IF($A80="","",1)</f>
        <v/>
      </c>
    </row>
    <row r="81">
      <c r="A81" s="27" t="n"/>
      <c r="B81" s="27" t="n"/>
      <c r="C81" s="27" t="n"/>
      <c r="D81" s="32" t="n"/>
      <c r="E81" s="27" t="n"/>
      <c r="F81" s="27" t="n"/>
      <c r="G81" s="31" t="n"/>
      <c r="H81" s="31" t="n"/>
      <c r="I81" s="31" t="n"/>
      <c r="J81" s="29" t="n"/>
      <c r="K81" s="31" t="n"/>
      <c r="L81" s="31" t="n"/>
      <c r="M81" s="27" t="n"/>
      <c r="N81" s="27" t="n"/>
      <c r="O81" s="27" t="n"/>
      <c r="P81" s="30">
        <f>IF($D81="","",raporTarihi-$D81)</f>
        <v/>
      </c>
      <c r="Q81" s="30">
        <f>IF($P81="","",IF($P81&lt;=sdf_kovaEsik1,"0-30",IF($P81&lt;=sdf_kovaEsik2,"31-60",IF($P81&lt;=sdf_kovaEsik3,"61-90","90+"))))</f>
        <v/>
      </c>
      <c r="R81" s="30">
        <f>IF($A81="","",IF($H81&gt;0,$H81,$G81))</f>
        <v/>
      </c>
      <c r="S81" s="30">
        <f>IF($F81="D8_KAPALI","KAPANAN",IF($F81="IPTAL","IPTAL","ACIK"))</f>
        <v/>
      </c>
      <c r="T81" s="30">
        <f>IF($B81="","YETİM",IF(COUNTIF(tblEkip[EkipId],$B81)=0,"YETİM",""))</f>
        <v/>
      </c>
      <c r="U81" s="30">
        <f>IF(OR($E81&amp;"|"&amp;$F81="",COUNTIF(ListeIzinliGecis,$E81&amp;"|"&amp;$F81)&gt;0),"","GEÇERSİZ GEÇİŞ")</f>
        <v/>
      </c>
      <c r="V81" s="30">
        <f>IF(OR($F81="D8_KAPALI",$F81="D7_ONLE",$I81&gt;0),IF(OR($H81="",$I81=""),"",IF(ABS($I81-$H81)&gt;zincirTolerans,"ZİNCİR KIRIK","OK")),IF($H81&gt;0,IF(OR($G81="",$H81=""),"",IF(ABS($H81-$G81)&gt;zincirTolerans,"ZİNCİR KIRIK","OK")),"OK"))</f>
        <v/>
      </c>
      <c r="W81" s="30">
        <f>IF($A81="","",1)</f>
        <v/>
      </c>
    </row>
    <row r="82">
      <c r="A82" s="27" t="n"/>
      <c r="B82" s="27" t="n"/>
      <c r="C82" s="27" t="n"/>
      <c r="D82" s="32" t="n"/>
      <c r="E82" s="27" t="n"/>
      <c r="F82" s="27" t="n"/>
      <c r="G82" s="31" t="n"/>
      <c r="H82" s="31" t="n"/>
      <c r="I82" s="31" t="n"/>
      <c r="J82" s="29" t="n"/>
      <c r="K82" s="31" t="n"/>
      <c r="L82" s="31" t="n"/>
      <c r="M82" s="27" t="n"/>
      <c r="N82" s="27" t="n"/>
      <c r="O82" s="27" t="n"/>
      <c r="P82" s="30">
        <f>IF($D82="","",raporTarihi-$D82)</f>
        <v/>
      </c>
      <c r="Q82" s="30">
        <f>IF($P82="","",IF($P82&lt;=sdf_kovaEsik1,"0-30",IF($P82&lt;=sdf_kovaEsik2,"31-60",IF($P82&lt;=sdf_kovaEsik3,"61-90","90+"))))</f>
        <v/>
      </c>
      <c r="R82" s="30">
        <f>IF($A82="","",IF($H82&gt;0,$H82,$G82))</f>
        <v/>
      </c>
      <c r="S82" s="30">
        <f>IF($F82="D8_KAPALI","KAPANAN",IF($F82="IPTAL","IPTAL","ACIK"))</f>
        <v/>
      </c>
      <c r="T82" s="30">
        <f>IF($B82="","YETİM",IF(COUNTIF(tblEkip[EkipId],$B82)=0,"YETİM",""))</f>
        <v/>
      </c>
      <c r="U82" s="30">
        <f>IF(OR($E82&amp;"|"&amp;$F82="",COUNTIF(ListeIzinliGecis,$E82&amp;"|"&amp;$F82)&gt;0),"","GEÇERSİZ GEÇİŞ")</f>
        <v/>
      </c>
      <c r="V82" s="30">
        <f>IF(OR($F82="D8_KAPALI",$F82="D7_ONLE",$I82&gt;0),IF(OR($H82="",$I82=""),"",IF(ABS($I82-$H82)&gt;zincirTolerans,"ZİNCİR KIRIK","OK")),IF($H82&gt;0,IF(OR($G82="",$H82=""),"",IF(ABS($H82-$G82)&gt;zincirTolerans,"ZİNCİR KIRIK","OK")),"OK"))</f>
        <v/>
      </c>
      <c r="W82" s="30">
        <f>IF($A82="","",1)</f>
        <v/>
      </c>
    </row>
    <row r="83">
      <c r="A83" s="27" t="n"/>
      <c r="B83" s="27" t="n"/>
      <c r="C83" s="27" t="n"/>
      <c r="D83" s="32" t="n"/>
      <c r="E83" s="27" t="n"/>
      <c r="F83" s="27" t="n"/>
      <c r="G83" s="31" t="n"/>
      <c r="H83" s="31" t="n"/>
      <c r="I83" s="31" t="n"/>
      <c r="J83" s="29" t="n"/>
      <c r="K83" s="31" t="n"/>
      <c r="L83" s="31" t="n"/>
      <c r="M83" s="27" t="n"/>
      <c r="N83" s="27" t="n"/>
      <c r="O83" s="27" t="n"/>
      <c r="P83" s="30">
        <f>IF($D83="","",raporTarihi-$D83)</f>
        <v/>
      </c>
      <c r="Q83" s="30">
        <f>IF($P83="","",IF($P83&lt;=sdf_kovaEsik1,"0-30",IF($P83&lt;=sdf_kovaEsik2,"31-60",IF($P83&lt;=sdf_kovaEsik3,"61-90","90+"))))</f>
        <v/>
      </c>
      <c r="R83" s="30">
        <f>IF($A83="","",IF($H83&gt;0,$H83,$G83))</f>
        <v/>
      </c>
      <c r="S83" s="30">
        <f>IF($F83="D8_KAPALI","KAPANAN",IF($F83="IPTAL","IPTAL","ACIK"))</f>
        <v/>
      </c>
      <c r="T83" s="30">
        <f>IF($B83="","YETİM",IF(COUNTIF(tblEkip[EkipId],$B83)=0,"YETİM",""))</f>
        <v/>
      </c>
      <c r="U83" s="30">
        <f>IF(OR($E83&amp;"|"&amp;$F83="",COUNTIF(ListeIzinliGecis,$E83&amp;"|"&amp;$F83)&gt;0),"","GEÇERSİZ GEÇİŞ")</f>
        <v/>
      </c>
      <c r="V83" s="30">
        <f>IF(OR($F83="D8_KAPALI",$F83="D7_ONLE",$I83&gt;0),IF(OR($H83="",$I83=""),"",IF(ABS($I83-$H83)&gt;zincirTolerans,"ZİNCİR KIRIK","OK")),IF($H83&gt;0,IF(OR($G83="",$H83=""),"",IF(ABS($H83-$G83)&gt;zincirTolerans,"ZİNCİR KIRIK","OK")),"OK"))</f>
        <v/>
      </c>
      <c r="W83" s="30">
        <f>IF($A83="","",1)</f>
        <v/>
      </c>
    </row>
    <row r="84">
      <c r="A84" s="27" t="n"/>
      <c r="B84" s="27" t="n"/>
      <c r="C84" s="27" t="n"/>
      <c r="D84" s="32" t="n"/>
      <c r="E84" s="27" t="n"/>
      <c r="F84" s="27" t="n"/>
      <c r="G84" s="31" t="n"/>
      <c r="H84" s="31" t="n"/>
      <c r="I84" s="31" t="n"/>
      <c r="J84" s="29" t="n"/>
      <c r="K84" s="31" t="n"/>
      <c r="L84" s="31" t="n"/>
      <c r="M84" s="27" t="n"/>
      <c r="N84" s="27" t="n"/>
      <c r="O84" s="27" t="n"/>
      <c r="P84" s="30">
        <f>IF($D84="","",raporTarihi-$D84)</f>
        <v/>
      </c>
      <c r="Q84" s="30">
        <f>IF($P84="","",IF($P84&lt;=sdf_kovaEsik1,"0-30",IF($P84&lt;=sdf_kovaEsik2,"31-60",IF($P84&lt;=sdf_kovaEsik3,"61-90","90+"))))</f>
        <v/>
      </c>
      <c r="R84" s="30">
        <f>IF($A84="","",IF($H84&gt;0,$H84,$G84))</f>
        <v/>
      </c>
      <c r="S84" s="30">
        <f>IF($F84="D8_KAPALI","KAPANAN",IF($F84="IPTAL","IPTAL","ACIK"))</f>
        <v/>
      </c>
      <c r="T84" s="30">
        <f>IF($B84="","YETİM",IF(COUNTIF(tblEkip[EkipId],$B84)=0,"YETİM",""))</f>
        <v/>
      </c>
      <c r="U84" s="30">
        <f>IF(OR($E84&amp;"|"&amp;$F84="",COUNTIF(ListeIzinliGecis,$E84&amp;"|"&amp;$F84)&gt;0),"","GEÇERSİZ GEÇİŞ")</f>
        <v/>
      </c>
      <c r="V84" s="30">
        <f>IF(OR($F84="D8_KAPALI",$F84="D7_ONLE",$I84&gt;0),IF(OR($H84="",$I84=""),"",IF(ABS($I84-$H84)&gt;zincirTolerans,"ZİNCİR KIRIK","OK")),IF($H84&gt;0,IF(OR($G84="",$H84=""),"",IF(ABS($H84-$G84)&gt;zincirTolerans,"ZİNCİR KIRIK","OK")),"OK"))</f>
        <v/>
      </c>
      <c r="W84" s="30">
        <f>IF($A84="","",1)</f>
        <v/>
      </c>
    </row>
    <row r="85">
      <c r="A85" s="27" t="n"/>
      <c r="B85" s="27" t="n"/>
      <c r="C85" s="27" t="n"/>
      <c r="D85" s="32" t="n"/>
      <c r="E85" s="27" t="n"/>
      <c r="F85" s="27" t="n"/>
      <c r="G85" s="31" t="n"/>
      <c r="H85" s="31" t="n"/>
      <c r="I85" s="31" t="n"/>
      <c r="J85" s="29" t="n"/>
      <c r="K85" s="31" t="n"/>
      <c r="L85" s="31" t="n"/>
      <c r="M85" s="27" t="n"/>
      <c r="N85" s="27" t="n"/>
      <c r="O85" s="27" t="n"/>
      <c r="P85" s="30">
        <f>IF($D85="","",raporTarihi-$D85)</f>
        <v/>
      </c>
      <c r="Q85" s="30">
        <f>IF($P85="","",IF($P85&lt;=sdf_kovaEsik1,"0-30",IF($P85&lt;=sdf_kovaEsik2,"31-60",IF($P85&lt;=sdf_kovaEsik3,"61-90","90+"))))</f>
        <v/>
      </c>
      <c r="R85" s="30">
        <f>IF($A85="","",IF($H85&gt;0,$H85,$G85))</f>
        <v/>
      </c>
      <c r="S85" s="30">
        <f>IF($F85="D8_KAPALI","KAPANAN",IF($F85="IPTAL","IPTAL","ACIK"))</f>
        <v/>
      </c>
      <c r="T85" s="30">
        <f>IF($B85="","YETİM",IF(COUNTIF(tblEkip[EkipId],$B85)=0,"YETİM",""))</f>
        <v/>
      </c>
      <c r="U85" s="30">
        <f>IF(OR($E85&amp;"|"&amp;$F85="",COUNTIF(ListeIzinliGecis,$E85&amp;"|"&amp;$F85)&gt;0),"","GEÇERSİZ GEÇİŞ")</f>
        <v/>
      </c>
      <c r="V85" s="30">
        <f>IF(OR($F85="D8_KAPALI",$F85="D7_ONLE",$I85&gt;0),IF(OR($H85="",$I85=""),"",IF(ABS($I85-$H85)&gt;zincirTolerans,"ZİNCİR KIRIK","OK")),IF($H85&gt;0,IF(OR($G85="",$H85=""),"",IF(ABS($H85-$G85)&gt;zincirTolerans,"ZİNCİR KIRIK","OK")),"OK"))</f>
        <v/>
      </c>
      <c r="W85" s="30">
        <f>IF($A85="","",1)</f>
        <v/>
      </c>
    </row>
    <row r="86">
      <c r="A86" s="27" t="n"/>
      <c r="B86" s="27" t="n"/>
      <c r="C86" s="27" t="n"/>
      <c r="D86" s="32" t="n"/>
      <c r="E86" s="27" t="n"/>
      <c r="F86" s="27" t="n"/>
      <c r="G86" s="31" t="n"/>
      <c r="H86" s="31" t="n"/>
      <c r="I86" s="31" t="n"/>
      <c r="J86" s="29" t="n"/>
      <c r="K86" s="31" t="n"/>
      <c r="L86" s="31" t="n"/>
      <c r="M86" s="27" t="n"/>
      <c r="N86" s="27" t="n"/>
      <c r="O86" s="27" t="n"/>
      <c r="P86" s="30">
        <f>IF($D86="","",raporTarihi-$D86)</f>
        <v/>
      </c>
      <c r="Q86" s="30">
        <f>IF($P86="","",IF($P86&lt;=sdf_kovaEsik1,"0-30",IF($P86&lt;=sdf_kovaEsik2,"31-60",IF($P86&lt;=sdf_kovaEsik3,"61-90","90+"))))</f>
        <v/>
      </c>
      <c r="R86" s="30">
        <f>IF($A86="","",IF($H86&gt;0,$H86,$G86))</f>
        <v/>
      </c>
      <c r="S86" s="30">
        <f>IF($F86="D8_KAPALI","KAPANAN",IF($F86="IPTAL","IPTAL","ACIK"))</f>
        <v/>
      </c>
      <c r="T86" s="30">
        <f>IF($B86="","YETİM",IF(COUNTIF(tblEkip[EkipId],$B86)=0,"YETİM",""))</f>
        <v/>
      </c>
      <c r="U86" s="30">
        <f>IF(OR($E86&amp;"|"&amp;$F86="",COUNTIF(ListeIzinliGecis,$E86&amp;"|"&amp;$F86)&gt;0),"","GEÇERSİZ GEÇİŞ")</f>
        <v/>
      </c>
      <c r="V86" s="30">
        <f>IF(OR($F86="D8_KAPALI",$F86="D7_ONLE",$I86&gt;0),IF(OR($H86="",$I86=""),"",IF(ABS($I86-$H86)&gt;zincirTolerans,"ZİNCİR KIRIK","OK")),IF($H86&gt;0,IF(OR($G86="",$H86=""),"",IF(ABS($H86-$G86)&gt;zincirTolerans,"ZİNCİR KIRIK","OK")),"OK"))</f>
        <v/>
      </c>
      <c r="W86" s="30">
        <f>IF($A86="","",1)</f>
        <v/>
      </c>
    </row>
    <row r="87">
      <c r="A87" s="27" t="n"/>
      <c r="B87" s="27" t="n"/>
      <c r="C87" s="27" t="n"/>
      <c r="D87" s="32" t="n"/>
      <c r="E87" s="27" t="n"/>
      <c r="F87" s="27" t="n"/>
      <c r="G87" s="31" t="n"/>
      <c r="H87" s="31" t="n"/>
      <c r="I87" s="31" t="n"/>
      <c r="J87" s="29" t="n"/>
      <c r="K87" s="31" t="n"/>
      <c r="L87" s="31" t="n"/>
      <c r="M87" s="27" t="n"/>
      <c r="N87" s="27" t="n"/>
      <c r="O87" s="27" t="n"/>
      <c r="P87" s="30">
        <f>IF($D87="","",raporTarihi-$D87)</f>
        <v/>
      </c>
      <c r="Q87" s="30">
        <f>IF($P87="","",IF($P87&lt;=sdf_kovaEsik1,"0-30",IF($P87&lt;=sdf_kovaEsik2,"31-60",IF($P87&lt;=sdf_kovaEsik3,"61-90","90+"))))</f>
        <v/>
      </c>
      <c r="R87" s="30">
        <f>IF($A87="","",IF($H87&gt;0,$H87,$G87))</f>
        <v/>
      </c>
      <c r="S87" s="30">
        <f>IF($F87="D8_KAPALI","KAPANAN",IF($F87="IPTAL","IPTAL","ACIK"))</f>
        <v/>
      </c>
      <c r="T87" s="30">
        <f>IF($B87="","YETİM",IF(COUNTIF(tblEkip[EkipId],$B87)=0,"YETİM",""))</f>
        <v/>
      </c>
      <c r="U87" s="30">
        <f>IF(OR($E87&amp;"|"&amp;$F87="",COUNTIF(ListeIzinliGecis,$E87&amp;"|"&amp;$F87)&gt;0),"","GEÇERSİZ GEÇİŞ")</f>
        <v/>
      </c>
      <c r="V87" s="30">
        <f>IF(OR($F87="D8_KAPALI",$F87="D7_ONLE",$I87&gt;0),IF(OR($H87="",$I87=""),"",IF(ABS($I87-$H87)&gt;zincirTolerans,"ZİNCİR KIRIK","OK")),IF($H87&gt;0,IF(OR($G87="",$H87=""),"",IF(ABS($H87-$G87)&gt;zincirTolerans,"ZİNCİR KIRIK","OK")),"OK"))</f>
        <v/>
      </c>
      <c r="W87" s="30">
        <f>IF($A87="","",1)</f>
        <v/>
      </c>
    </row>
    <row r="88">
      <c r="A88" s="27" t="n"/>
      <c r="B88" s="27" t="n"/>
      <c r="C88" s="27" t="n"/>
      <c r="D88" s="32" t="n"/>
      <c r="E88" s="27" t="n"/>
      <c r="F88" s="27" t="n"/>
      <c r="G88" s="31" t="n"/>
      <c r="H88" s="31" t="n"/>
      <c r="I88" s="31" t="n"/>
      <c r="J88" s="29" t="n"/>
      <c r="K88" s="31" t="n"/>
      <c r="L88" s="31" t="n"/>
      <c r="M88" s="27" t="n"/>
      <c r="N88" s="27" t="n"/>
      <c r="O88" s="27" t="n"/>
      <c r="P88" s="30">
        <f>IF($D88="","",raporTarihi-$D88)</f>
        <v/>
      </c>
      <c r="Q88" s="30">
        <f>IF($P88="","",IF($P88&lt;=sdf_kovaEsik1,"0-30",IF($P88&lt;=sdf_kovaEsik2,"31-60",IF($P88&lt;=sdf_kovaEsik3,"61-90","90+"))))</f>
        <v/>
      </c>
      <c r="R88" s="30">
        <f>IF($A88="","",IF($H88&gt;0,$H88,$G88))</f>
        <v/>
      </c>
      <c r="S88" s="30">
        <f>IF($F88="D8_KAPALI","KAPANAN",IF($F88="IPTAL","IPTAL","ACIK"))</f>
        <v/>
      </c>
      <c r="T88" s="30">
        <f>IF($B88="","YETİM",IF(COUNTIF(tblEkip[EkipId],$B88)=0,"YETİM",""))</f>
        <v/>
      </c>
      <c r="U88" s="30">
        <f>IF(OR($E88&amp;"|"&amp;$F88="",COUNTIF(ListeIzinliGecis,$E88&amp;"|"&amp;$F88)&gt;0),"","GEÇERSİZ GEÇİŞ")</f>
        <v/>
      </c>
      <c r="V88" s="30">
        <f>IF(OR($F88="D8_KAPALI",$F88="D7_ONLE",$I88&gt;0),IF(OR($H88="",$I88=""),"",IF(ABS($I88-$H88)&gt;zincirTolerans,"ZİNCİR KIRIK","OK")),IF($H88&gt;0,IF(OR($G88="",$H88=""),"",IF(ABS($H88-$G88)&gt;zincirTolerans,"ZİNCİR KIRIK","OK")),"OK"))</f>
        <v/>
      </c>
      <c r="W88" s="30">
        <f>IF($A88="","",1)</f>
        <v/>
      </c>
    </row>
    <row r="89">
      <c r="A89" s="27" t="n"/>
      <c r="B89" s="27" t="n"/>
      <c r="C89" s="27" t="n"/>
      <c r="D89" s="32" t="n"/>
      <c r="E89" s="27" t="n"/>
      <c r="F89" s="27" t="n"/>
      <c r="G89" s="31" t="n"/>
      <c r="H89" s="31" t="n"/>
      <c r="I89" s="31" t="n"/>
      <c r="J89" s="29" t="n"/>
      <c r="K89" s="31" t="n"/>
      <c r="L89" s="31" t="n"/>
      <c r="M89" s="27" t="n"/>
      <c r="N89" s="27" t="n"/>
      <c r="O89" s="27" t="n"/>
      <c r="P89" s="30">
        <f>IF($D89="","",raporTarihi-$D89)</f>
        <v/>
      </c>
      <c r="Q89" s="30">
        <f>IF($P89="","",IF($P89&lt;=sdf_kovaEsik1,"0-30",IF($P89&lt;=sdf_kovaEsik2,"31-60",IF($P89&lt;=sdf_kovaEsik3,"61-90","90+"))))</f>
        <v/>
      </c>
      <c r="R89" s="30">
        <f>IF($A89="","",IF($H89&gt;0,$H89,$G89))</f>
        <v/>
      </c>
      <c r="S89" s="30">
        <f>IF($F89="D8_KAPALI","KAPANAN",IF($F89="IPTAL","IPTAL","ACIK"))</f>
        <v/>
      </c>
      <c r="T89" s="30">
        <f>IF($B89="","YETİM",IF(COUNTIF(tblEkip[EkipId],$B89)=0,"YETİM",""))</f>
        <v/>
      </c>
      <c r="U89" s="30">
        <f>IF(OR($E89&amp;"|"&amp;$F89="",COUNTIF(ListeIzinliGecis,$E89&amp;"|"&amp;$F89)&gt;0),"","GEÇERSİZ GEÇİŞ")</f>
        <v/>
      </c>
      <c r="V89" s="30">
        <f>IF(OR($F89="D8_KAPALI",$F89="D7_ONLE",$I89&gt;0),IF(OR($H89="",$I89=""),"",IF(ABS($I89-$H89)&gt;zincirTolerans,"ZİNCİR KIRIK","OK")),IF($H89&gt;0,IF(OR($G89="",$H89=""),"",IF(ABS($H89-$G89)&gt;zincirTolerans,"ZİNCİR KIRIK","OK")),"OK"))</f>
        <v/>
      </c>
      <c r="W89" s="30">
        <f>IF($A89="","",1)</f>
        <v/>
      </c>
    </row>
    <row r="90">
      <c r="A90" s="27" t="n"/>
      <c r="B90" s="27" t="n"/>
      <c r="C90" s="27" t="n"/>
      <c r="D90" s="32" t="n"/>
      <c r="E90" s="27" t="n"/>
      <c r="F90" s="27" t="n"/>
      <c r="G90" s="31" t="n"/>
      <c r="H90" s="31" t="n"/>
      <c r="I90" s="31" t="n"/>
      <c r="J90" s="29" t="n"/>
      <c r="K90" s="31" t="n"/>
      <c r="L90" s="31" t="n"/>
      <c r="M90" s="27" t="n"/>
      <c r="N90" s="27" t="n"/>
      <c r="O90" s="27" t="n"/>
      <c r="P90" s="30">
        <f>IF($D90="","",raporTarihi-$D90)</f>
        <v/>
      </c>
      <c r="Q90" s="30">
        <f>IF($P90="","",IF($P90&lt;=sdf_kovaEsik1,"0-30",IF($P90&lt;=sdf_kovaEsik2,"31-60",IF($P90&lt;=sdf_kovaEsik3,"61-90","90+"))))</f>
        <v/>
      </c>
      <c r="R90" s="30">
        <f>IF($A90="","",IF($H90&gt;0,$H90,$G90))</f>
        <v/>
      </c>
      <c r="S90" s="30">
        <f>IF($F90="D8_KAPALI","KAPANAN",IF($F90="IPTAL","IPTAL","ACIK"))</f>
        <v/>
      </c>
      <c r="T90" s="30">
        <f>IF($B90="","YETİM",IF(COUNTIF(tblEkip[EkipId],$B90)=0,"YETİM",""))</f>
        <v/>
      </c>
      <c r="U90" s="30">
        <f>IF(OR($E90&amp;"|"&amp;$F90="",COUNTIF(ListeIzinliGecis,$E90&amp;"|"&amp;$F90)&gt;0),"","GEÇERSİZ GEÇİŞ")</f>
        <v/>
      </c>
      <c r="V90" s="30">
        <f>IF(OR($F90="D8_KAPALI",$F90="D7_ONLE",$I90&gt;0),IF(OR($H90="",$I90=""),"",IF(ABS($I90-$H90)&gt;zincirTolerans,"ZİNCİR KIRIK","OK")),IF($H90&gt;0,IF(OR($G90="",$H90=""),"",IF(ABS($H90-$G90)&gt;zincirTolerans,"ZİNCİR KIRIK","OK")),"OK"))</f>
        <v/>
      </c>
      <c r="W90" s="30">
        <f>IF($A90="","",1)</f>
        <v/>
      </c>
    </row>
    <row r="91">
      <c r="A91" s="27" t="n"/>
      <c r="B91" s="27" t="n"/>
      <c r="C91" s="27" t="n"/>
      <c r="D91" s="32" t="n"/>
      <c r="E91" s="27" t="n"/>
      <c r="F91" s="27" t="n"/>
      <c r="G91" s="31" t="n"/>
      <c r="H91" s="31" t="n"/>
      <c r="I91" s="31" t="n"/>
      <c r="J91" s="29" t="n"/>
      <c r="K91" s="31" t="n"/>
      <c r="L91" s="31" t="n"/>
      <c r="M91" s="27" t="n"/>
      <c r="N91" s="27" t="n"/>
      <c r="O91" s="27" t="n"/>
      <c r="P91" s="30">
        <f>IF($D91="","",raporTarihi-$D91)</f>
        <v/>
      </c>
      <c r="Q91" s="30">
        <f>IF($P91="","",IF($P91&lt;=sdf_kovaEsik1,"0-30",IF($P91&lt;=sdf_kovaEsik2,"31-60",IF($P91&lt;=sdf_kovaEsik3,"61-90","90+"))))</f>
        <v/>
      </c>
      <c r="R91" s="30">
        <f>IF($A91="","",IF($H91&gt;0,$H91,$G91))</f>
        <v/>
      </c>
      <c r="S91" s="30">
        <f>IF($F91="D8_KAPALI","KAPANAN",IF($F91="IPTAL","IPTAL","ACIK"))</f>
        <v/>
      </c>
      <c r="T91" s="30">
        <f>IF($B91="","YETİM",IF(COUNTIF(tblEkip[EkipId],$B91)=0,"YETİM",""))</f>
        <v/>
      </c>
      <c r="U91" s="30">
        <f>IF(OR($E91&amp;"|"&amp;$F91="",COUNTIF(ListeIzinliGecis,$E91&amp;"|"&amp;$F91)&gt;0),"","GEÇERSİZ GEÇİŞ")</f>
        <v/>
      </c>
      <c r="V91" s="30">
        <f>IF(OR($F91="D8_KAPALI",$F91="D7_ONLE",$I91&gt;0),IF(OR($H91="",$I91=""),"",IF(ABS($I91-$H91)&gt;zincirTolerans,"ZİNCİR KIRIK","OK")),IF($H91&gt;0,IF(OR($G91="",$H91=""),"",IF(ABS($H91-$G91)&gt;zincirTolerans,"ZİNCİR KIRIK","OK")),"OK"))</f>
        <v/>
      </c>
      <c r="W91" s="30">
        <f>IF($A91="","",1)</f>
        <v/>
      </c>
    </row>
    <row r="92">
      <c r="A92" s="27" t="n"/>
      <c r="B92" s="27" t="n"/>
      <c r="C92" s="27" t="n"/>
      <c r="D92" s="32" t="n"/>
      <c r="E92" s="27" t="n"/>
      <c r="F92" s="27" t="n"/>
      <c r="G92" s="31" t="n"/>
      <c r="H92" s="31" t="n"/>
      <c r="I92" s="31" t="n"/>
      <c r="J92" s="29" t="n"/>
      <c r="K92" s="31" t="n"/>
      <c r="L92" s="31" t="n"/>
      <c r="M92" s="27" t="n"/>
      <c r="N92" s="27" t="n"/>
      <c r="O92" s="27" t="n"/>
      <c r="P92" s="30">
        <f>IF($D92="","",raporTarihi-$D92)</f>
        <v/>
      </c>
      <c r="Q92" s="30">
        <f>IF($P92="","",IF($P92&lt;=sdf_kovaEsik1,"0-30",IF($P92&lt;=sdf_kovaEsik2,"31-60",IF($P92&lt;=sdf_kovaEsik3,"61-90","90+"))))</f>
        <v/>
      </c>
      <c r="R92" s="30">
        <f>IF($A92="","",IF($H92&gt;0,$H92,$G92))</f>
        <v/>
      </c>
      <c r="S92" s="30">
        <f>IF($F92="D8_KAPALI","KAPANAN",IF($F92="IPTAL","IPTAL","ACIK"))</f>
        <v/>
      </c>
      <c r="T92" s="30">
        <f>IF($B92="","YETİM",IF(COUNTIF(tblEkip[EkipId],$B92)=0,"YETİM",""))</f>
        <v/>
      </c>
      <c r="U92" s="30">
        <f>IF(OR($E92&amp;"|"&amp;$F92="",COUNTIF(ListeIzinliGecis,$E92&amp;"|"&amp;$F92)&gt;0),"","GEÇERSİZ GEÇİŞ")</f>
        <v/>
      </c>
      <c r="V92" s="30">
        <f>IF(OR($F92="D8_KAPALI",$F92="D7_ONLE",$I92&gt;0),IF(OR($H92="",$I92=""),"",IF(ABS($I92-$H92)&gt;zincirTolerans,"ZİNCİR KIRIK","OK")),IF($H92&gt;0,IF(OR($G92="",$H92=""),"",IF(ABS($H92-$G92)&gt;zincirTolerans,"ZİNCİR KIRIK","OK")),"OK"))</f>
        <v/>
      </c>
      <c r="W92" s="30">
        <f>IF($A92="","",1)</f>
        <v/>
      </c>
    </row>
    <row r="93">
      <c r="A93" s="27" t="n"/>
      <c r="B93" s="27" t="n"/>
      <c r="C93" s="27" t="n"/>
      <c r="D93" s="32" t="n"/>
      <c r="E93" s="27" t="n"/>
      <c r="F93" s="27" t="n"/>
      <c r="G93" s="31" t="n"/>
      <c r="H93" s="31" t="n"/>
      <c r="I93" s="31" t="n"/>
      <c r="J93" s="29" t="n"/>
      <c r="K93" s="31" t="n"/>
      <c r="L93" s="31" t="n"/>
      <c r="M93" s="27" t="n"/>
      <c r="N93" s="27" t="n"/>
      <c r="O93" s="27" t="n"/>
      <c r="P93" s="30">
        <f>IF($D93="","",raporTarihi-$D93)</f>
        <v/>
      </c>
      <c r="Q93" s="30">
        <f>IF($P93="","",IF($P93&lt;=sdf_kovaEsik1,"0-30",IF($P93&lt;=sdf_kovaEsik2,"31-60",IF($P93&lt;=sdf_kovaEsik3,"61-90","90+"))))</f>
        <v/>
      </c>
      <c r="R93" s="30">
        <f>IF($A93="","",IF($H93&gt;0,$H93,$G93))</f>
        <v/>
      </c>
      <c r="S93" s="30">
        <f>IF($F93="D8_KAPALI","KAPANAN",IF($F93="IPTAL","IPTAL","ACIK"))</f>
        <v/>
      </c>
      <c r="T93" s="30">
        <f>IF($B93="","YETİM",IF(COUNTIF(tblEkip[EkipId],$B93)=0,"YETİM",""))</f>
        <v/>
      </c>
      <c r="U93" s="30">
        <f>IF(OR($E93&amp;"|"&amp;$F93="",COUNTIF(ListeIzinliGecis,$E93&amp;"|"&amp;$F93)&gt;0),"","GEÇERSİZ GEÇİŞ")</f>
        <v/>
      </c>
      <c r="V93" s="30">
        <f>IF(OR($F93="D8_KAPALI",$F93="D7_ONLE",$I93&gt;0),IF(OR($H93="",$I93=""),"",IF(ABS($I93-$H93)&gt;zincirTolerans,"ZİNCİR KIRIK","OK")),IF($H93&gt;0,IF(OR($G93="",$H93=""),"",IF(ABS($H93-$G93)&gt;zincirTolerans,"ZİNCİR KIRIK","OK")),"OK"))</f>
        <v/>
      </c>
      <c r="W93" s="30">
        <f>IF($A93="","",1)</f>
        <v/>
      </c>
    </row>
    <row r="94">
      <c r="A94" s="27" t="n"/>
      <c r="B94" s="27" t="n"/>
      <c r="C94" s="27" t="n"/>
      <c r="D94" s="32" t="n"/>
      <c r="E94" s="27" t="n"/>
      <c r="F94" s="27" t="n"/>
      <c r="G94" s="31" t="n"/>
      <c r="H94" s="31" t="n"/>
      <c r="I94" s="31" t="n"/>
      <c r="J94" s="29" t="n"/>
      <c r="K94" s="31" t="n"/>
      <c r="L94" s="31" t="n"/>
      <c r="M94" s="27" t="n"/>
      <c r="N94" s="27" t="n"/>
      <c r="O94" s="27" t="n"/>
      <c r="P94" s="30">
        <f>IF($D94="","",raporTarihi-$D94)</f>
        <v/>
      </c>
      <c r="Q94" s="30">
        <f>IF($P94="","",IF($P94&lt;=sdf_kovaEsik1,"0-30",IF($P94&lt;=sdf_kovaEsik2,"31-60",IF($P94&lt;=sdf_kovaEsik3,"61-90","90+"))))</f>
        <v/>
      </c>
      <c r="R94" s="30">
        <f>IF($A94="","",IF($H94&gt;0,$H94,$G94))</f>
        <v/>
      </c>
      <c r="S94" s="30">
        <f>IF($F94="D8_KAPALI","KAPANAN",IF($F94="IPTAL","IPTAL","ACIK"))</f>
        <v/>
      </c>
      <c r="T94" s="30">
        <f>IF($B94="","YETİM",IF(COUNTIF(tblEkip[EkipId],$B94)=0,"YETİM",""))</f>
        <v/>
      </c>
      <c r="U94" s="30">
        <f>IF(OR($E94&amp;"|"&amp;$F94="",COUNTIF(ListeIzinliGecis,$E94&amp;"|"&amp;$F94)&gt;0),"","GEÇERSİZ GEÇİŞ")</f>
        <v/>
      </c>
      <c r="V94" s="30">
        <f>IF(OR($F94="D8_KAPALI",$F94="D7_ONLE",$I94&gt;0),IF(OR($H94="",$I94=""),"",IF(ABS($I94-$H94)&gt;zincirTolerans,"ZİNCİR KIRIK","OK")),IF($H94&gt;0,IF(OR($G94="",$H94=""),"",IF(ABS($H94-$G94)&gt;zincirTolerans,"ZİNCİR KIRIK","OK")),"OK"))</f>
        <v/>
      </c>
      <c r="W94" s="30">
        <f>IF($A94="","",1)</f>
        <v/>
      </c>
    </row>
    <row r="95">
      <c r="A95" s="27" t="n"/>
      <c r="B95" s="27" t="n"/>
      <c r="C95" s="27" t="n"/>
      <c r="D95" s="32" t="n"/>
      <c r="E95" s="27" t="n"/>
      <c r="F95" s="27" t="n"/>
      <c r="G95" s="31" t="n"/>
      <c r="H95" s="31" t="n"/>
      <c r="I95" s="31" t="n"/>
      <c r="J95" s="29" t="n"/>
      <c r="K95" s="31" t="n"/>
      <c r="L95" s="31" t="n"/>
      <c r="M95" s="27" t="n"/>
      <c r="N95" s="27" t="n"/>
      <c r="O95" s="27" t="n"/>
      <c r="P95" s="30">
        <f>IF($D95="","",raporTarihi-$D95)</f>
        <v/>
      </c>
      <c r="Q95" s="30">
        <f>IF($P95="","",IF($P95&lt;=sdf_kovaEsik1,"0-30",IF($P95&lt;=sdf_kovaEsik2,"31-60",IF($P95&lt;=sdf_kovaEsik3,"61-90","90+"))))</f>
        <v/>
      </c>
      <c r="R95" s="30">
        <f>IF($A95="","",IF($H95&gt;0,$H95,$G95))</f>
        <v/>
      </c>
      <c r="S95" s="30">
        <f>IF($F95="D8_KAPALI","KAPANAN",IF($F95="IPTAL","IPTAL","ACIK"))</f>
        <v/>
      </c>
      <c r="T95" s="30">
        <f>IF($B95="","YETİM",IF(COUNTIF(tblEkip[EkipId],$B95)=0,"YETİM",""))</f>
        <v/>
      </c>
      <c r="U95" s="30">
        <f>IF(OR($E95&amp;"|"&amp;$F95="",COUNTIF(ListeIzinliGecis,$E95&amp;"|"&amp;$F95)&gt;0),"","GEÇERSİZ GEÇİŞ")</f>
        <v/>
      </c>
      <c r="V95" s="30">
        <f>IF(OR($F95="D8_KAPALI",$F95="D7_ONLE",$I95&gt;0),IF(OR($H95="",$I95=""),"",IF(ABS($I95-$H95)&gt;zincirTolerans,"ZİNCİR KIRIK","OK")),IF($H95&gt;0,IF(OR($G95="",$H95=""),"",IF(ABS($H95-$G95)&gt;zincirTolerans,"ZİNCİR KIRIK","OK")),"OK"))</f>
        <v/>
      </c>
      <c r="W95" s="30">
        <f>IF($A95="","",1)</f>
        <v/>
      </c>
    </row>
    <row r="96">
      <c r="A96" s="27" t="n"/>
      <c r="B96" s="27" t="n"/>
      <c r="C96" s="27" t="n"/>
      <c r="D96" s="32" t="n"/>
      <c r="E96" s="27" t="n"/>
      <c r="F96" s="27" t="n"/>
      <c r="G96" s="31" t="n"/>
      <c r="H96" s="31" t="n"/>
      <c r="I96" s="31" t="n"/>
      <c r="J96" s="29" t="n"/>
      <c r="K96" s="31" t="n"/>
      <c r="L96" s="31" t="n"/>
      <c r="M96" s="27" t="n"/>
      <c r="N96" s="27" t="n"/>
      <c r="O96" s="27" t="n"/>
      <c r="P96" s="30">
        <f>IF($D96="","",raporTarihi-$D96)</f>
        <v/>
      </c>
      <c r="Q96" s="30">
        <f>IF($P96="","",IF($P96&lt;=sdf_kovaEsik1,"0-30",IF($P96&lt;=sdf_kovaEsik2,"31-60",IF($P96&lt;=sdf_kovaEsik3,"61-90","90+"))))</f>
        <v/>
      </c>
      <c r="R96" s="30">
        <f>IF($A96="","",IF($H96&gt;0,$H96,$G96))</f>
        <v/>
      </c>
      <c r="S96" s="30">
        <f>IF($F96="D8_KAPALI","KAPANAN",IF($F96="IPTAL","IPTAL","ACIK"))</f>
        <v/>
      </c>
      <c r="T96" s="30">
        <f>IF($B96="","YETİM",IF(COUNTIF(tblEkip[EkipId],$B96)=0,"YETİM",""))</f>
        <v/>
      </c>
      <c r="U96" s="30">
        <f>IF(OR($E96&amp;"|"&amp;$F96="",COUNTIF(ListeIzinliGecis,$E96&amp;"|"&amp;$F96)&gt;0),"","GEÇERSİZ GEÇİŞ")</f>
        <v/>
      </c>
      <c r="V96" s="30">
        <f>IF(OR($F96="D8_KAPALI",$F96="D7_ONLE",$I96&gt;0),IF(OR($H96="",$I96=""),"",IF(ABS($I96-$H96)&gt;zincirTolerans,"ZİNCİR KIRIK","OK")),IF($H96&gt;0,IF(OR($G96="",$H96=""),"",IF(ABS($H96-$G96)&gt;zincirTolerans,"ZİNCİR KIRIK","OK")),"OK"))</f>
        <v/>
      </c>
      <c r="W96" s="30">
        <f>IF($A96="","",1)</f>
        <v/>
      </c>
    </row>
    <row r="97">
      <c r="A97" s="27" t="n"/>
      <c r="B97" s="27" t="n"/>
      <c r="C97" s="27" t="n"/>
      <c r="D97" s="32" t="n"/>
      <c r="E97" s="27" t="n"/>
      <c r="F97" s="27" t="n"/>
      <c r="G97" s="31" t="n"/>
      <c r="H97" s="31" t="n"/>
      <c r="I97" s="31" t="n"/>
      <c r="J97" s="29" t="n"/>
      <c r="K97" s="31" t="n"/>
      <c r="L97" s="31" t="n"/>
      <c r="M97" s="27" t="n"/>
      <c r="N97" s="27" t="n"/>
      <c r="O97" s="27" t="n"/>
      <c r="P97" s="30">
        <f>IF($D97="","",raporTarihi-$D97)</f>
        <v/>
      </c>
      <c r="Q97" s="30">
        <f>IF($P97="","",IF($P97&lt;=sdf_kovaEsik1,"0-30",IF($P97&lt;=sdf_kovaEsik2,"31-60",IF($P97&lt;=sdf_kovaEsik3,"61-90","90+"))))</f>
        <v/>
      </c>
      <c r="R97" s="30">
        <f>IF($A97="","",IF($H97&gt;0,$H97,$G97))</f>
        <v/>
      </c>
      <c r="S97" s="30">
        <f>IF($F97="D8_KAPALI","KAPANAN",IF($F97="IPTAL","IPTAL","ACIK"))</f>
        <v/>
      </c>
      <c r="T97" s="30">
        <f>IF($B97="","YETİM",IF(COUNTIF(tblEkip[EkipId],$B97)=0,"YETİM",""))</f>
        <v/>
      </c>
      <c r="U97" s="30">
        <f>IF(OR($E97&amp;"|"&amp;$F97="",COUNTIF(ListeIzinliGecis,$E97&amp;"|"&amp;$F97)&gt;0),"","GEÇERSİZ GEÇİŞ")</f>
        <v/>
      </c>
      <c r="V97" s="30">
        <f>IF(OR($F97="D8_KAPALI",$F97="D7_ONLE",$I97&gt;0),IF(OR($H97="",$I97=""),"",IF(ABS($I97-$H97)&gt;zincirTolerans,"ZİNCİR KIRIK","OK")),IF($H97&gt;0,IF(OR($G97="",$H97=""),"",IF(ABS($H97-$G97)&gt;zincirTolerans,"ZİNCİR KIRIK","OK")),"OK"))</f>
        <v/>
      </c>
      <c r="W97" s="30">
        <f>IF($A97="","",1)</f>
        <v/>
      </c>
    </row>
    <row r="98">
      <c r="A98" s="27" t="n"/>
      <c r="B98" s="27" t="n"/>
      <c r="C98" s="27" t="n"/>
      <c r="D98" s="32" t="n"/>
      <c r="E98" s="27" t="n"/>
      <c r="F98" s="27" t="n"/>
      <c r="G98" s="31" t="n"/>
      <c r="H98" s="31" t="n"/>
      <c r="I98" s="31" t="n"/>
      <c r="J98" s="29" t="n"/>
      <c r="K98" s="31" t="n"/>
      <c r="L98" s="31" t="n"/>
      <c r="M98" s="27" t="n"/>
      <c r="N98" s="27" t="n"/>
      <c r="O98" s="27" t="n"/>
      <c r="P98" s="30">
        <f>IF($D98="","",raporTarihi-$D98)</f>
        <v/>
      </c>
      <c r="Q98" s="30">
        <f>IF($P98="","",IF($P98&lt;=sdf_kovaEsik1,"0-30",IF($P98&lt;=sdf_kovaEsik2,"31-60",IF($P98&lt;=sdf_kovaEsik3,"61-90","90+"))))</f>
        <v/>
      </c>
      <c r="R98" s="30">
        <f>IF($A98="","",IF($H98&gt;0,$H98,$G98))</f>
        <v/>
      </c>
      <c r="S98" s="30">
        <f>IF($F98="D8_KAPALI","KAPANAN",IF($F98="IPTAL","IPTAL","ACIK"))</f>
        <v/>
      </c>
      <c r="T98" s="30">
        <f>IF($B98="","YETİM",IF(COUNTIF(tblEkip[EkipId],$B98)=0,"YETİM",""))</f>
        <v/>
      </c>
      <c r="U98" s="30">
        <f>IF(OR($E98&amp;"|"&amp;$F98="",COUNTIF(ListeIzinliGecis,$E98&amp;"|"&amp;$F98)&gt;0),"","GEÇERSİZ GEÇİŞ")</f>
        <v/>
      </c>
      <c r="V98" s="30">
        <f>IF(OR($F98="D8_KAPALI",$F98="D7_ONLE",$I98&gt;0),IF(OR($H98="",$I98=""),"",IF(ABS($I98-$H98)&gt;zincirTolerans,"ZİNCİR KIRIK","OK")),IF($H98&gt;0,IF(OR($G98="",$H98=""),"",IF(ABS($H98-$G98)&gt;zincirTolerans,"ZİNCİR KIRIK","OK")),"OK"))</f>
        <v/>
      </c>
      <c r="W98" s="30">
        <f>IF($A98="","",1)</f>
        <v/>
      </c>
    </row>
    <row r="99">
      <c r="A99" s="27" t="n"/>
      <c r="B99" s="27" t="n"/>
      <c r="C99" s="27" t="n"/>
      <c r="D99" s="32" t="n"/>
      <c r="E99" s="27" t="n"/>
      <c r="F99" s="27" t="n"/>
      <c r="G99" s="31" t="n"/>
      <c r="H99" s="31" t="n"/>
      <c r="I99" s="31" t="n"/>
      <c r="J99" s="29" t="n"/>
      <c r="K99" s="31" t="n"/>
      <c r="L99" s="31" t="n"/>
      <c r="M99" s="27" t="n"/>
      <c r="N99" s="27" t="n"/>
      <c r="O99" s="27" t="n"/>
      <c r="P99" s="30">
        <f>IF($D99="","",raporTarihi-$D99)</f>
        <v/>
      </c>
      <c r="Q99" s="30">
        <f>IF($P99="","",IF($P99&lt;=sdf_kovaEsik1,"0-30",IF($P99&lt;=sdf_kovaEsik2,"31-60",IF($P99&lt;=sdf_kovaEsik3,"61-90","90+"))))</f>
        <v/>
      </c>
      <c r="R99" s="30">
        <f>IF($A99="","",IF($H99&gt;0,$H99,$G99))</f>
        <v/>
      </c>
      <c r="S99" s="30">
        <f>IF($F99="D8_KAPALI","KAPANAN",IF($F99="IPTAL","IPTAL","ACIK"))</f>
        <v/>
      </c>
      <c r="T99" s="30">
        <f>IF($B99="","YETİM",IF(COUNTIF(tblEkip[EkipId],$B99)=0,"YETİM",""))</f>
        <v/>
      </c>
      <c r="U99" s="30">
        <f>IF(OR($E99&amp;"|"&amp;$F99="",COUNTIF(ListeIzinliGecis,$E99&amp;"|"&amp;$F99)&gt;0),"","GEÇERSİZ GEÇİŞ")</f>
        <v/>
      </c>
      <c r="V99" s="30">
        <f>IF(OR($F99="D8_KAPALI",$F99="D7_ONLE",$I99&gt;0),IF(OR($H99="",$I99=""),"",IF(ABS($I99-$H99)&gt;zincirTolerans,"ZİNCİR KIRIK","OK")),IF($H99&gt;0,IF(OR($G99="",$H99=""),"",IF(ABS($H99-$G99)&gt;zincirTolerans,"ZİNCİR KIRIK","OK")),"OK"))</f>
        <v/>
      </c>
      <c r="W99" s="30">
        <f>IF($A99="","",1)</f>
        <v/>
      </c>
    </row>
    <row r="100">
      <c r="A100" s="27" t="n"/>
      <c r="B100" s="27" t="n"/>
      <c r="C100" s="27" t="n"/>
      <c r="D100" s="32" t="n"/>
      <c r="E100" s="27" t="n"/>
      <c r="F100" s="27" t="n"/>
      <c r="G100" s="31" t="n"/>
      <c r="H100" s="31" t="n"/>
      <c r="I100" s="31" t="n"/>
      <c r="J100" s="29" t="n"/>
      <c r="K100" s="31" t="n"/>
      <c r="L100" s="31" t="n"/>
      <c r="M100" s="27" t="n"/>
      <c r="N100" s="27" t="n"/>
      <c r="O100" s="27" t="n"/>
      <c r="P100" s="30">
        <f>IF($D100="","",raporTarihi-$D100)</f>
        <v/>
      </c>
      <c r="Q100" s="30">
        <f>IF($P100="","",IF($P100&lt;=sdf_kovaEsik1,"0-30",IF($P100&lt;=sdf_kovaEsik2,"31-60",IF($P100&lt;=sdf_kovaEsik3,"61-90","90+"))))</f>
        <v/>
      </c>
      <c r="R100" s="30">
        <f>IF($A100="","",IF($H100&gt;0,$H100,$G100))</f>
        <v/>
      </c>
      <c r="S100" s="30">
        <f>IF($F100="D8_KAPALI","KAPANAN",IF($F100="IPTAL","IPTAL","ACIK"))</f>
        <v/>
      </c>
      <c r="T100" s="30">
        <f>IF($B100="","YETİM",IF(COUNTIF(tblEkip[EkipId],$B100)=0,"YETİM",""))</f>
        <v/>
      </c>
      <c r="U100" s="30">
        <f>IF(OR($E100&amp;"|"&amp;$F100="",COUNTIF(ListeIzinliGecis,$E100&amp;"|"&amp;$F100)&gt;0),"","GEÇERSİZ GEÇİŞ")</f>
        <v/>
      </c>
      <c r="V100" s="30">
        <f>IF(OR($F100="D8_KAPALI",$F100="D7_ONLE",$I100&gt;0),IF(OR($H100="",$I100=""),"",IF(ABS($I100-$H100)&gt;zincirTolerans,"ZİNCİR KIRIK","OK")),IF($H100&gt;0,IF(OR($G100="",$H100=""),"",IF(ABS($H100-$G100)&gt;zincirTolerans,"ZİNCİR KIRIK","OK")),"OK"))</f>
        <v/>
      </c>
      <c r="W100" s="30">
        <f>IF($A100="","",1)</f>
        <v/>
      </c>
    </row>
    <row r="101">
      <c r="A101" s="27" t="n"/>
      <c r="B101" s="27" t="n"/>
      <c r="C101" s="27" t="n"/>
      <c r="D101" s="32" t="n"/>
      <c r="E101" s="27" t="n"/>
      <c r="F101" s="27" t="n"/>
      <c r="G101" s="31" t="n"/>
      <c r="H101" s="31" t="n"/>
      <c r="I101" s="31" t="n"/>
      <c r="J101" s="29" t="n"/>
      <c r="K101" s="31" t="n"/>
      <c r="L101" s="31" t="n"/>
      <c r="M101" s="27" t="n"/>
      <c r="N101" s="27" t="n"/>
      <c r="O101" s="27" t="n"/>
      <c r="P101" s="30">
        <f>IF($D101="","",raporTarihi-$D101)</f>
        <v/>
      </c>
      <c r="Q101" s="30">
        <f>IF($P101="","",IF($P101&lt;=sdf_kovaEsik1,"0-30",IF($P101&lt;=sdf_kovaEsik2,"31-60",IF($P101&lt;=sdf_kovaEsik3,"61-90","90+"))))</f>
        <v/>
      </c>
      <c r="R101" s="30">
        <f>IF($A101="","",IF($H101&gt;0,$H101,$G101))</f>
        <v/>
      </c>
      <c r="S101" s="30">
        <f>IF($F101="D8_KAPALI","KAPANAN",IF($F101="IPTAL","IPTAL","ACIK"))</f>
        <v/>
      </c>
      <c r="T101" s="30">
        <f>IF($B101="","YETİM",IF(COUNTIF(tblEkip[EkipId],$B101)=0,"YETİM",""))</f>
        <v/>
      </c>
      <c r="U101" s="30">
        <f>IF(OR($E101&amp;"|"&amp;$F101="",COUNTIF(ListeIzinliGecis,$E101&amp;"|"&amp;$F101)&gt;0),"","GEÇERSİZ GEÇİŞ")</f>
        <v/>
      </c>
      <c r="V101" s="30">
        <f>IF(OR($F101="D8_KAPALI",$F101="D7_ONLE",$I101&gt;0),IF(OR($H101="",$I101=""),"",IF(ABS($I101-$H101)&gt;zincirTolerans,"ZİNCİR KIRIK","OK")),IF($H101&gt;0,IF(OR($G101="",$H101=""),"",IF(ABS($H101-$G101)&gt;zincirTolerans,"ZİNCİR KIRIK","OK")),"OK"))</f>
        <v/>
      </c>
      <c r="W101" s="30">
        <f>IF($A101="","",1)</f>
        <v/>
      </c>
    </row>
    <row r="102">
      <c r="A102" s="27" t="n"/>
      <c r="B102" s="27" t="n"/>
      <c r="C102" s="27" t="n"/>
      <c r="D102" s="32" t="n"/>
      <c r="E102" s="27" t="n"/>
      <c r="F102" s="27" t="n"/>
      <c r="G102" s="31" t="n"/>
      <c r="H102" s="31" t="n"/>
      <c r="I102" s="31" t="n"/>
      <c r="J102" s="29" t="n"/>
      <c r="K102" s="31" t="n"/>
      <c r="L102" s="31" t="n"/>
      <c r="M102" s="27" t="n"/>
      <c r="N102" s="27" t="n"/>
      <c r="O102" s="27" t="n"/>
      <c r="P102" s="30">
        <f>IF($D102="","",raporTarihi-$D102)</f>
        <v/>
      </c>
      <c r="Q102" s="30">
        <f>IF($P102="","",IF($P102&lt;=sdf_kovaEsik1,"0-30",IF($P102&lt;=sdf_kovaEsik2,"31-60",IF($P102&lt;=sdf_kovaEsik3,"61-90","90+"))))</f>
        <v/>
      </c>
      <c r="R102" s="30">
        <f>IF($A102="","",IF($H102&gt;0,$H102,$G102))</f>
        <v/>
      </c>
      <c r="S102" s="30">
        <f>IF($F102="D8_KAPALI","KAPANAN",IF($F102="IPTAL","IPTAL","ACIK"))</f>
        <v/>
      </c>
      <c r="T102" s="30">
        <f>IF($B102="","YETİM",IF(COUNTIF(tblEkip[EkipId],$B102)=0,"YETİM",""))</f>
        <v/>
      </c>
      <c r="U102" s="30">
        <f>IF(OR($E102&amp;"|"&amp;$F102="",COUNTIF(ListeIzinliGecis,$E102&amp;"|"&amp;$F102)&gt;0),"","GEÇERSİZ GEÇİŞ")</f>
        <v/>
      </c>
      <c r="V102" s="30">
        <f>IF(OR($F102="D8_KAPALI",$F102="D7_ONLE",$I102&gt;0),IF(OR($H102="",$I102=""),"",IF(ABS($I102-$H102)&gt;zincirTolerans,"ZİNCİR KIRIK","OK")),IF($H102&gt;0,IF(OR($G102="",$H102=""),"",IF(ABS($H102-$G102)&gt;zincirTolerans,"ZİNCİR KIRIK","OK")),"OK"))</f>
        <v/>
      </c>
      <c r="W102" s="30">
        <f>IF($A102="","",1)</f>
        <v/>
      </c>
    </row>
    <row r="103">
      <c r="A103" s="27" t="n"/>
      <c r="B103" s="27" t="n"/>
      <c r="C103" s="27" t="n"/>
      <c r="D103" s="32" t="n"/>
      <c r="E103" s="27" t="n"/>
      <c r="F103" s="27" t="n"/>
      <c r="G103" s="31" t="n"/>
      <c r="H103" s="31" t="n"/>
      <c r="I103" s="31" t="n"/>
      <c r="J103" s="29" t="n"/>
      <c r="K103" s="31" t="n"/>
      <c r="L103" s="31" t="n"/>
      <c r="M103" s="27" t="n"/>
      <c r="N103" s="27" t="n"/>
      <c r="O103" s="27" t="n"/>
      <c r="P103" s="30">
        <f>IF($D103="","",raporTarihi-$D103)</f>
        <v/>
      </c>
      <c r="Q103" s="30">
        <f>IF($P103="","",IF($P103&lt;=sdf_kovaEsik1,"0-30",IF($P103&lt;=sdf_kovaEsik2,"31-60",IF($P103&lt;=sdf_kovaEsik3,"61-90","90+"))))</f>
        <v/>
      </c>
      <c r="R103" s="30">
        <f>IF($A103="","",IF($H103&gt;0,$H103,$G103))</f>
        <v/>
      </c>
      <c r="S103" s="30">
        <f>IF($F103="D8_KAPALI","KAPANAN",IF($F103="IPTAL","IPTAL","ACIK"))</f>
        <v/>
      </c>
      <c r="T103" s="30">
        <f>IF($B103="","YETİM",IF(COUNTIF(tblEkip[EkipId],$B103)=0,"YETİM",""))</f>
        <v/>
      </c>
      <c r="U103" s="30">
        <f>IF(OR($E103&amp;"|"&amp;$F103="",COUNTIF(ListeIzinliGecis,$E103&amp;"|"&amp;$F103)&gt;0),"","GEÇERSİZ GEÇİŞ")</f>
        <v/>
      </c>
      <c r="V103" s="30">
        <f>IF(OR($F103="D8_KAPALI",$F103="D7_ONLE",$I103&gt;0),IF(OR($H103="",$I103=""),"",IF(ABS($I103-$H103)&gt;zincirTolerans,"ZİNCİR KIRIK","OK")),IF($H103&gt;0,IF(OR($G103="",$H103=""),"",IF(ABS($H103-$G103)&gt;zincirTolerans,"ZİNCİR KIRIK","OK")),"OK"))</f>
        <v/>
      </c>
      <c r="W103" s="30">
        <f>IF($A103="","",1)</f>
        <v/>
      </c>
    </row>
    <row r="104">
      <c r="A104" s="27" t="n"/>
      <c r="B104" s="27" t="n"/>
      <c r="C104" s="27" t="n"/>
      <c r="D104" s="32" t="n"/>
      <c r="E104" s="27" t="n"/>
      <c r="F104" s="27" t="n"/>
      <c r="G104" s="31" t="n"/>
      <c r="H104" s="31" t="n"/>
      <c r="I104" s="31" t="n"/>
      <c r="J104" s="29" t="n"/>
      <c r="K104" s="31" t="n"/>
      <c r="L104" s="31" t="n"/>
      <c r="M104" s="27" t="n"/>
      <c r="N104" s="27" t="n"/>
      <c r="O104" s="27" t="n"/>
      <c r="P104" s="30">
        <f>IF($D104="","",raporTarihi-$D104)</f>
        <v/>
      </c>
      <c r="Q104" s="30">
        <f>IF($P104="","",IF($P104&lt;=sdf_kovaEsik1,"0-30",IF($P104&lt;=sdf_kovaEsik2,"31-60",IF($P104&lt;=sdf_kovaEsik3,"61-90","90+"))))</f>
        <v/>
      </c>
      <c r="R104" s="30">
        <f>IF($A104="","",IF($H104&gt;0,$H104,$G104))</f>
        <v/>
      </c>
      <c r="S104" s="30">
        <f>IF($F104="D8_KAPALI","KAPANAN",IF($F104="IPTAL","IPTAL","ACIK"))</f>
        <v/>
      </c>
      <c r="T104" s="30">
        <f>IF($B104="","YETİM",IF(COUNTIF(tblEkip[EkipId],$B104)=0,"YETİM",""))</f>
        <v/>
      </c>
      <c r="U104" s="30">
        <f>IF(OR($E104&amp;"|"&amp;$F104="",COUNTIF(ListeIzinliGecis,$E104&amp;"|"&amp;$F104)&gt;0),"","GEÇERSİZ GEÇİŞ")</f>
        <v/>
      </c>
      <c r="V104" s="30">
        <f>IF(OR($F104="D8_KAPALI",$F104="D7_ONLE",$I104&gt;0),IF(OR($H104="",$I104=""),"",IF(ABS($I104-$H104)&gt;zincirTolerans,"ZİNCİR KIRIK","OK")),IF($H104&gt;0,IF(OR($G104="",$H104=""),"",IF(ABS($H104-$G104)&gt;zincirTolerans,"ZİNCİR KIRIK","OK")),"OK"))</f>
        <v/>
      </c>
      <c r="W104" s="30">
        <f>IF($A104="","",1)</f>
        <v/>
      </c>
    </row>
    <row r="105">
      <c r="A105" s="27" t="n"/>
      <c r="B105" s="27" t="n"/>
      <c r="C105" s="27" t="n"/>
      <c r="D105" s="32" t="n"/>
      <c r="E105" s="27" t="n"/>
      <c r="F105" s="27" t="n"/>
      <c r="G105" s="31" t="n"/>
      <c r="H105" s="31" t="n"/>
      <c r="I105" s="31" t="n"/>
      <c r="J105" s="29" t="n"/>
      <c r="K105" s="31" t="n"/>
      <c r="L105" s="31" t="n"/>
      <c r="M105" s="27" t="n"/>
      <c r="N105" s="27" t="n"/>
      <c r="O105" s="27" t="n"/>
      <c r="P105" s="30">
        <f>IF($D105="","",raporTarihi-$D105)</f>
        <v/>
      </c>
      <c r="Q105" s="30">
        <f>IF($P105="","",IF($P105&lt;=sdf_kovaEsik1,"0-30",IF($P105&lt;=sdf_kovaEsik2,"31-60",IF($P105&lt;=sdf_kovaEsik3,"61-90","90+"))))</f>
        <v/>
      </c>
      <c r="R105" s="30">
        <f>IF($A105="","",IF($H105&gt;0,$H105,$G105))</f>
        <v/>
      </c>
      <c r="S105" s="30">
        <f>IF($F105="D8_KAPALI","KAPANAN",IF($F105="IPTAL","IPTAL","ACIK"))</f>
        <v/>
      </c>
      <c r="T105" s="30">
        <f>IF($B105="","YETİM",IF(COUNTIF(tblEkip[EkipId],$B105)=0,"YETİM",""))</f>
        <v/>
      </c>
      <c r="U105" s="30">
        <f>IF(OR($E105&amp;"|"&amp;$F105="",COUNTIF(ListeIzinliGecis,$E105&amp;"|"&amp;$F105)&gt;0),"","GEÇERSİZ GEÇİŞ")</f>
        <v/>
      </c>
      <c r="V105" s="30">
        <f>IF(OR($F105="D8_KAPALI",$F105="D7_ONLE",$I105&gt;0),IF(OR($H105="",$I105=""),"",IF(ABS($I105-$H105)&gt;zincirTolerans,"ZİNCİR KIRIK","OK")),IF($H105&gt;0,IF(OR($G105="",$H105=""),"",IF(ABS($H105-$G105)&gt;zincirTolerans,"ZİNCİR KIRIK","OK")),"OK"))</f>
        <v/>
      </c>
      <c r="W105" s="30">
        <f>IF($A105="","",1)</f>
        <v/>
      </c>
    </row>
    <row r="106">
      <c r="A106" s="27" t="n"/>
      <c r="B106" s="27" t="n"/>
      <c r="C106" s="27" t="n"/>
      <c r="D106" s="32" t="n"/>
      <c r="E106" s="27" t="n"/>
      <c r="F106" s="27" t="n"/>
      <c r="G106" s="31" t="n"/>
      <c r="H106" s="31" t="n"/>
      <c r="I106" s="31" t="n"/>
      <c r="J106" s="29" t="n"/>
      <c r="K106" s="31" t="n"/>
      <c r="L106" s="31" t="n"/>
      <c r="M106" s="27" t="n"/>
      <c r="N106" s="27" t="n"/>
      <c r="O106" s="27" t="n"/>
      <c r="P106" s="30">
        <f>IF($D106="","",raporTarihi-$D106)</f>
        <v/>
      </c>
      <c r="Q106" s="30">
        <f>IF($P106="","",IF($P106&lt;=sdf_kovaEsik1,"0-30",IF($P106&lt;=sdf_kovaEsik2,"31-60",IF($P106&lt;=sdf_kovaEsik3,"61-90","90+"))))</f>
        <v/>
      </c>
      <c r="R106" s="30">
        <f>IF($A106="","",IF($H106&gt;0,$H106,$G106))</f>
        <v/>
      </c>
      <c r="S106" s="30">
        <f>IF($F106="D8_KAPALI","KAPANAN",IF($F106="IPTAL","IPTAL","ACIK"))</f>
        <v/>
      </c>
      <c r="T106" s="30">
        <f>IF($B106="","YETİM",IF(COUNTIF(tblEkip[EkipId],$B106)=0,"YETİM",""))</f>
        <v/>
      </c>
      <c r="U106" s="30">
        <f>IF(OR($E106&amp;"|"&amp;$F106="",COUNTIF(ListeIzinliGecis,$E106&amp;"|"&amp;$F106)&gt;0),"","GEÇERSİZ GEÇİŞ")</f>
        <v/>
      </c>
      <c r="V106" s="30">
        <f>IF(OR($F106="D8_KAPALI",$F106="D7_ONLE",$I106&gt;0),IF(OR($H106="",$I106=""),"",IF(ABS($I106-$H106)&gt;zincirTolerans,"ZİNCİR KIRIK","OK")),IF($H106&gt;0,IF(OR($G106="",$H106=""),"",IF(ABS($H106-$G106)&gt;zincirTolerans,"ZİNCİR KIRIK","OK")),"OK"))</f>
        <v/>
      </c>
      <c r="W106" s="30">
        <f>IF($A106="","",1)</f>
        <v/>
      </c>
    </row>
    <row r="107">
      <c r="A107" s="27" t="n"/>
      <c r="B107" s="27" t="n"/>
      <c r="C107" s="27" t="n"/>
      <c r="D107" s="32" t="n"/>
      <c r="E107" s="27" t="n"/>
      <c r="F107" s="27" t="n"/>
      <c r="G107" s="31" t="n"/>
      <c r="H107" s="31" t="n"/>
      <c r="I107" s="31" t="n"/>
      <c r="J107" s="29" t="n"/>
      <c r="K107" s="31" t="n"/>
      <c r="L107" s="31" t="n"/>
      <c r="M107" s="27" t="n"/>
      <c r="N107" s="27" t="n"/>
      <c r="O107" s="27" t="n"/>
      <c r="P107" s="30">
        <f>IF($D107="","",raporTarihi-$D107)</f>
        <v/>
      </c>
      <c r="Q107" s="30">
        <f>IF($P107="","",IF($P107&lt;=sdf_kovaEsik1,"0-30",IF($P107&lt;=sdf_kovaEsik2,"31-60",IF($P107&lt;=sdf_kovaEsik3,"61-90","90+"))))</f>
        <v/>
      </c>
      <c r="R107" s="30">
        <f>IF($A107="","",IF($H107&gt;0,$H107,$G107))</f>
        <v/>
      </c>
      <c r="S107" s="30">
        <f>IF($F107="D8_KAPALI","KAPANAN",IF($F107="IPTAL","IPTAL","ACIK"))</f>
        <v/>
      </c>
      <c r="T107" s="30">
        <f>IF($B107="","YETİM",IF(COUNTIF(tblEkip[EkipId],$B107)=0,"YETİM",""))</f>
        <v/>
      </c>
      <c r="U107" s="30">
        <f>IF(OR($E107&amp;"|"&amp;$F107="",COUNTIF(ListeIzinliGecis,$E107&amp;"|"&amp;$F107)&gt;0),"","GEÇERSİZ GEÇİŞ")</f>
        <v/>
      </c>
      <c r="V107" s="30">
        <f>IF(OR($F107="D8_KAPALI",$F107="D7_ONLE",$I107&gt;0),IF(OR($H107="",$I107=""),"",IF(ABS($I107-$H107)&gt;zincirTolerans,"ZİNCİR KIRIK","OK")),IF($H107&gt;0,IF(OR($G107="",$H107=""),"",IF(ABS($H107-$G107)&gt;zincirTolerans,"ZİNCİR KIRIK","OK")),"OK"))</f>
        <v/>
      </c>
      <c r="W107" s="30">
        <f>IF($A107="","",1)</f>
        <v/>
      </c>
    </row>
    <row r="108">
      <c r="A108" s="27" t="n"/>
      <c r="B108" s="27" t="n"/>
      <c r="C108" s="27" t="n"/>
      <c r="D108" s="32" t="n"/>
      <c r="E108" s="27" t="n"/>
      <c r="F108" s="27" t="n"/>
      <c r="G108" s="31" t="n"/>
      <c r="H108" s="31" t="n"/>
      <c r="I108" s="31" t="n"/>
      <c r="J108" s="29" t="n"/>
      <c r="K108" s="31" t="n"/>
      <c r="L108" s="31" t="n"/>
      <c r="M108" s="27" t="n"/>
      <c r="N108" s="27" t="n"/>
      <c r="O108" s="27" t="n"/>
      <c r="P108" s="30">
        <f>IF($D108="","",raporTarihi-$D108)</f>
        <v/>
      </c>
      <c r="Q108" s="30">
        <f>IF($P108="","",IF($P108&lt;=sdf_kovaEsik1,"0-30",IF($P108&lt;=sdf_kovaEsik2,"31-60",IF($P108&lt;=sdf_kovaEsik3,"61-90","90+"))))</f>
        <v/>
      </c>
      <c r="R108" s="30">
        <f>IF($A108="","",IF($H108&gt;0,$H108,$G108))</f>
        <v/>
      </c>
      <c r="S108" s="30">
        <f>IF($F108="D8_KAPALI","KAPANAN",IF($F108="IPTAL","IPTAL","ACIK"))</f>
        <v/>
      </c>
      <c r="T108" s="30">
        <f>IF($B108="","YETİM",IF(COUNTIF(tblEkip[EkipId],$B108)=0,"YETİM",""))</f>
        <v/>
      </c>
      <c r="U108" s="30">
        <f>IF(OR($E108&amp;"|"&amp;$F108="",COUNTIF(ListeIzinliGecis,$E108&amp;"|"&amp;$F108)&gt;0),"","GEÇERSİZ GEÇİŞ")</f>
        <v/>
      </c>
      <c r="V108" s="30">
        <f>IF(OR($F108="D8_KAPALI",$F108="D7_ONLE",$I108&gt;0),IF(OR($H108="",$I108=""),"",IF(ABS($I108-$H108)&gt;zincirTolerans,"ZİNCİR KIRIK","OK")),IF($H108&gt;0,IF(OR($G108="",$H108=""),"",IF(ABS($H108-$G108)&gt;zincirTolerans,"ZİNCİR KIRIK","OK")),"OK"))</f>
        <v/>
      </c>
      <c r="W108" s="30">
        <f>IF($A108="","",1)</f>
        <v/>
      </c>
    </row>
    <row r="109">
      <c r="A109" s="27" t="n"/>
      <c r="B109" s="27" t="n"/>
      <c r="C109" s="27" t="n"/>
      <c r="D109" s="32" t="n"/>
      <c r="E109" s="27" t="n"/>
      <c r="F109" s="27" t="n"/>
      <c r="G109" s="31" t="n"/>
      <c r="H109" s="31" t="n"/>
      <c r="I109" s="31" t="n"/>
      <c r="J109" s="29" t="n"/>
      <c r="K109" s="31" t="n"/>
      <c r="L109" s="31" t="n"/>
      <c r="M109" s="27" t="n"/>
      <c r="N109" s="27" t="n"/>
      <c r="O109" s="27" t="n"/>
      <c r="P109" s="30">
        <f>IF($D109="","",raporTarihi-$D109)</f>
        <v/>
      </c>
      <c r="Q109" s="30">
        <f>IF($P109="","",IF($P109&lt;=sdf_kovaEsik1,"0-30",IF($P109&lt;=sdf_kovaEsik2,"31-60",IF($P109&lt;=sdf_kovaEsik3,"61-90","90+"))))</f>
        <v/>
      </c>
      <c r="R109" s="30">
        <f>IF($A109="","",IF($H109&gt;0,$H109,$G109))</f>
        <v/>
      </c>
      <c r="S109" s="30">
        <f>IF($F109="D8_KAPALI","KAPANAN",IF($F109="IPTAL","IPTAL","ACIK"))</f>
        <v/>
      </c>
      <c r="T109" s="30">
        <f>IF($B109="","YETİM",IF(COUNTIF(tblEkip[EkipId],$B109)=0,"YETİM",""))</f>
        <v/>
      </c>
      <c r="U109" s="30">
        <f>IF(OR($E109&amp;"|"&amp;$F109="",COUNTIF(ListeIzinliGecis,$E109&amp;"|"&amp;$F109)&gt;0),"","GEÇERSİZ GEÇİŞ")</f>
        <v/>
      </c>
      <c r="V109" s="30">
        <f>IF(OR($F109="D8_KAPALI",$F109="D7_ONLE",$I109&gt;0),IF(OR($H109="",$I109=""),"",IF(ABS($I109-$H109)&gt;zincirTolerans,"ZİNCİR KIRIK","OK")),IF($H109&gt;0,IF(OR($G109="",$H109=""),"",IF(ABS($H109-$G109)&gt;zincirTolerans,"ZİNCİR KIRIK","OK")),"OK"))</f>
        <v/>
      </c>
      <c r="W109" s="30">
        <f>IF($A109="","",1)</f>
        <v/>
      </c>
    </row>
    <row r="110">
      <c r="A110" s="27" t="n"/>
      <c r="B110" s="27" t="n"/>
      <c r="C110" s="27" t="n"/>
      <c r="D110" s="32" t="n"/>
      <c r="E110" s="27" t="n"/>
      <c r="F110" s="27" t="n"/>
      <c r="G110" s="31" t="n"/>
      <c r="H110" s="31" t="n"/>
      <c r="I110" s="31" t="n"/>
      <c r="J110" s="29" t="n"/>
      <c r="K110" s="31" t="n"/>
      <c r="L110" s="31" t="n"/>
      <c r="M110" s="27" t="n"/>
      <c r="N110" s="27" t="n"/>
      <c r="O110" s="27" t="n"/>
      <c r="P110" s="30">
        <f>IF($D110="","",raporTarihi-$D110)</f>
        <v/>
      </c>
      <c r="Q110" s="30">
        <f>IF($P110="","",IF($P110&lt;=sdf_kovaEsik1,"0-30",IF($P110&lt;=sdf_kovaEsik2,"31-60",IF($P110&lt;=sdf_kovaEsik3,"61-90","90+"))))</f>
        <v/>
      </c>
      <c r="R110" s="30">
        <f>IF($A110="","",IF($H110&gt;0,$H110,$G110))</f>
        <v/>
      </c>
      <c r="S110" s="30">
        <f>IF($F110="D8_KAPALI","KAPANAN",IF($F110="IPTAL","IPTAL","ACIK"))</f>
        <v/>
      </c>
      <c r="T110" s="30">
        <f>IF($B110="","YETİM",IF(COUNTIF(tblEkip[EkipId],$B110)=0,"YETİM",""))</f>
        <v/>
      </c>
      <c r="U110" s="30">
        <f>IF(OR($E110&amp;"|"&amp;$F110="",COUNTIF(ListeIzinliGecis,$E110&amp;"|"&amp;$F110)&gt;0),"","GEÇERSİZ GEÇİŞ")</f>
        <v/>
      </c>
      <c r="V110" s="30">
        <f>IF(OR($F110="D8_KAPALI",$F110="D7_ONLE",$I110&gt;0),IF(OR($H110="",$I110=""),"",IF(ABS($I110-$H110)&gt;zincirTolerans,"ZİNCİR KIRIK","OK")),IF($H110&gt;0,IF(OR($G110="",$H110=""),"",IF(ABS($H110-$G110)&gt;zincirTolerans,"ZİNCİR KIRIK","OK")),"OK"))</f>
        <v/>
      </c>
      <c r="W110" s="30">
        <f>IF($A110="","",1)</f>
        <v/>
      </c>
    </row>
    <row r="111">
      <c r="A111" s="27" t="n"/>
      <c r="B111" s="27" t="n"/>
      <c r="C111" s="27" t="n"/>
      <c r="D111" s="32" t="n"/>
      <c r="E111" s="27" t="n"/>
      <c r="F111" s="27" t="n"/>
      <c r="G111" s="31" t="n"/>
      <c r="H111" s="31" t="n"/>
      <c r="I111" s="31" t="n"/>
      <c r="J111" s="29" t="n"/>
      <c r="K111" s="31" t="n"/>
      <c r="L111" s="31" t="n"/>
      <c r="M111" s="27" t="n"/>
      <c r="N111" s="27" t="n"/>
      <c r="O111" s="27" t="n"/>
      <c r="P111" s="30">
        <f>IF($D111="","",raporTarihi-$D111)</f>
        <v/>
      </c>
      <c r="Q111" s="30">
        <f>IF($P111="","",IF($P111&lt;=sdf_kovaEsik1,"0-30",IF($P111&lt;=sdf_kovaEsik2,"31-60",IF($P111&lt;=sdf_kovaEsik3,"61-90","90+"))))</f>
        <v/>
      </c>
      <c r="R111" s="30">
        <f>IF($A111="","",IF($H111&gt;0,$H111,$G111))</f>
        <v/>
      </c>
      <c r="S111" s="30">
        <f>IF($F111="D8_KAPALI","KAPANAN",IF($F111="IPTAL","IPTAL","ACIK"))</f>
        <v/>
      </c>
      <c r="T111" s="30">
        <f>IF($B111="","YETİM",IF(COUNTIF(tblEkip[EkipId],$B111)=0,"YETİM",""))</f>
        <v/>
      </c>
      <c r="U111" s="30">
        <f>IF(OR($E111&amp;"|"&amp;$F111="",COUNTIF(ListeIzinliGecis,$E111&amp;"|"&amp;$F111)&gt;0),"","GEÇERSİZ GEÇİŞ")</f>
        <v/>
      </c>
      <c r="V111" s="30">
        <f>IF(OR($F111="D8_KAPALI",$F111="D7_ONLE",$I111&gt;0),IF(OR($H111="",$I111=""),"",IF(ABS($I111-$H111)&gt;zincirTolerans,"ZİNCİR KIRIK","OK")),IF($H111&gt;0,IF(OR($G111="",$H111=""),"",IF(ABS($H111-$G111)&gt;zincirTolerans,"ZİNCİR KIRIK","OK")),"OK"))</f>
        <v/>
      </c>
      <c r="W111" s="30">
        <f>IF($A111="","",1)</f>
        <v/>
      </c>
    </row>
    <row r="112">
      <c r="A112" s="27" t="n"/>
      <c r="B112" s="27" t="n"/>
      <c r="C112" s="27" t="n"/>
      <c r="D112" s="32" t="n"/>
      <c r="E112" s="27" t="n"/>
      <c r="F112" s="27" t="n"/>
      <c r="G112" s="31" t="n"/>
      <c r="H112" s="31" t="n"/>
      <c r="I112" s="31" t="n"/>
      <c r="J112" s="29" t="n"/>
      <c r="K112" s="31" t="n"/>
      <c r="L112" s="31" t="n"/>
      <c r="M112" s="27" t="n"/>
      <c r="N112" s="27" t="n"/>
      <c r="O112" s="27" t="n"/>
      <c r="P112" s="30">
        <f>IF($D112="","",raporTarihi-$D112)</f>
        <v/>
      </c>
      <c r="Q112" s="30">
        <f>IF($P112="","",IF($P112&lt;=sdf_kovaEsik1,"0-30",IF($P112&lt;=sdf_kovaEsik2,"31-60",IF($P112&lt;=sdf_kovaEsik3,"61-90","90+"))))</f>
        <v/>
      </c>
      <c r="R112" s="30">
        <f>IF($A112="","",IF($H112&gt;0,$H112,$G112))</f>
        <v/>
      </c>
      <c r="S112" s="30">
        <f>IF($F112="D8_KAPALI","KAPANAN",IF($F112="IPTAL","IPTAL","ACIK"))</f>
        <v/>
      </c>
      <c r="T112" s="30">
        <f>IF($B112="","YETİM",IF(COUNTIF(tblEkip[EkipId],$B112)=0,"YETİM",""))</f>
        <v/>
      </c>
      <c r="U112" s="30">
        <f>IF(OR($E112&amp;"|"&amp;$F112="",COUNTIF(ListeIzinliGecis,$E112&amp;"|"&amp;$F112)&gt;0),"","GEÇERSİZ GEÇİŞ")</f>
        <v/>
      </c>
      <c r="V112" s="30">
        <f>IF(OR($F112="D8_KAPALI",$F112="D7_ONLE",$I112&gt;0),IF(OR($H112="",$I112=""),"",IF(ABS($I112-$H112)&gt;zincirTolerans,"ZİNCİR KIRIK","OK")),IF($H112&gt;0,IF(OR($G112="",$H112=""),"",IF(ABS($H112-$G112)&gt;zincirTolerans,"ZİNCİR KIRIK","OK")),"OK"))</f>
        <v/>
      </c>
      <c r="W112" s="30">
        <f>IF($A112="","",1)</f>
        <v/>
      </c>
    </row>
    <row r="113">
      <c r="A113" s="27" t="n"/>
      <c r="B113" s="27" t="n"/>
      <c r="C113" s="27" t="n"/>
      <c r="D113" s="32" t="n"/>
      <c r="E113" s="27" t="n"/>
      <c r="F113" s="27" t="n"/>
      <c r="G113" s="31" t="n"/>
      <c r="H113" s="31" t="n"/>
      <c r="I113" s="31" t="n"/>
      <c r="J113" s="29" t="n"/>
      <c r="K113" s="31" t="n"/>
      <c r="L113" s="31" t="n"/>
      <c r="M113" s="27" t="n"/>
      <c r="N113" s="27" t="n"/>
      <c r="O113" s="27" t="n"/>
      <c r="P113" s="30">
        <f>IF($D113="","",raporTarihi-$D113)</f>
        <v/>
      </c>
      <c r="Q113" s="30">
        <f>IF($P113="","",IF($P113&lt;=sdf_kovaEsik1,"0-30",IF($P113&lt;=sdf_kovaEsik2,"31-60",IF($P113&lt;=sdf_kovaEsik3,"61-90","90+"))))</f>
        <v/>
      </c>
      <c r="R113" s="30">
        <f>IF($A113="","",IF($H113&gt;0,$H113,$G113))</f>
        <v/>
      </c>
      <c r="S113" s="30">
        <f>IF($F113="D8_KAPALI","KAPANAN",IF($F113="IPTAL","IPTAL","ACIK"))</f>
        <v/>
      </c>
      <c r="T113" s="30">
        <f>IF($B113="","YETİM",IF(COUNTIF(tblEkip[EkipId],$B113)=0,"YETİM",""))</f>
        <v/>
      </c>
      <c r="U113" s="30">
        <f>IF(OR($E113&amp;"|"&amp;$F113="",COUNTIF(ListeIzinliGecis,$E113&amp;"|"&amp;$F113)&gt;0),"","GEÇERSİZ GEÇİŞ")</f>
        <v/>
      </c>
      <c r="V113" s="30">
        <f>IF(OR($F113="D8_KAPALI",$F113="D7_ONLE",$I113&gt;0),IF(OR($H113="",$I113=""),"",IF(ABS($I113-$H113)&gt;zincirTolerans,"ZİNCİR KIRIK","OK")),IF($H113&gt;0,IF(OR($G113="",$H113=""),"",IF(ABS($H113-$G113)&gt;zincirTolerans,"ZİNCİR KIRIK","OK")),"OK"))</f>
        <v/>
      </c>
      <c r="W113" s="30">
        <f>IF($A113="","",1)</f>
        <v/>
      </c>
    </row>
    <row r="114">
      <c r="A114" s="27" t="n"/>
      <c r="B114" s="27" t="n"/>
      <c r="C114" s="27" t="n"/>
      <c r="D114" s="32" t="n"/>
      <c r="E114" s="27" t="n"/>
      <c r="F114" s="27" t="n"/>
      <c r="G114" s="31" t="n"/>
      <c r="H114" s="31" t="n"/>
      <c r="I114" s="31" t="n"/>
      <c r="J114" s="29" t="n"/>
      <c r="K114" s="31" t="n"/>
      <c r="L114" s="31" t="n"/>
      <c r="M114" s="27" t="n"/>
      <c r="N114" s="27" t="n"/>
      <c r="O114" s="27" t="n"/>
      <c r="P114" s="30">
        <f>IF($D114="","",raporTarihi-$D114)</f>
        <v/>
      </c>
      <c r="Q114" s="30">
        <f>IF($P114="","",IF($P114&lt;=sdf_kovaEsik1,"0-30",IF($P114&lt;=sdf_kovaEsik2,"31-60",IF($P114&lt;=sdf_kovaEsik3,"61-90","90+"))))</f>
        <v/>
      </c>
      <c r="R114" s="30">
        <f>IF($A114="","",IF($H114&gt;0,$H114,$G114))</f>
        <v/>
      </c>
      <c r="S114" s="30">
        <f>IF($F114="D8_KAPALI","KAPANAN",IF($F114="IPTAL","IPTAL","ACIK"))</f>
        <v/>
      </c>
      <c r="T114" s="30">
        <f>IF($B114="","YETİM",IF(COUNTIF(tblEkip[EkipId],$B114)=0,"YETİM",""))</f>
        <v/>
      </c>
      <c r="U114" s="30">
        <f>IF(OR($E114&amp;"|"&amp;$F114="",COUNTIF(ListeIzinliGecis,$E114&amp;"|"&amp;$F114)&gt;0),"","GEÇERSİZ GEÇİŞ")</f>
        <v/>
      </c>
      <c r="V114" s="30">
        <f>IF(OR($F114="D8_KAPALI",$F114="D7_ONLE",$I114&gt;0),IF(OR($H114="",$I114=""),"",IF(ABS($I114-$H114)&gt;zincirTolerans,"ZİNCİR KIRIK","OK")),IF($H114&gt;0,IF(OR($G114="",$H114=""),"",IF(ABS($H114-$G114)&gt;zincirTolerans,"ZİNCİR KIRIK","OK")),"OK"))</f>
        <v/>
      </c>
      <c r="W114" s="30">
        <f>IF($A114="","",1)</f>
        <v/>
      </c>
    </row>
    <row r="115">
      <c r="A115" s="27" t="n"/>
      <c r="B115" s="27" t="n"/>
      <c r="C115" s="27" t="n"/>
      <c r="D115" s="32" t="n"/>
      <c r="E115" s="27" t="n"/>
      <c r="F115" s="27" t="n"/>
      <c r="G115" s="31" t="n"/>
      <c r="H115" s="31" t="n"/>
      <c r="I115" s="31" t="n"/>
      <c r="J115" s="29" t="n"/>
      <c r="K115" s="31" t="n"/>
      <c r="L115" s="31" t="n"/>
      <c r="M115" s="27" t="n"/>
      <c r="N115" s="27" t="n"/>
      <c r="O115" s="27" t="n"/>
      <c r="P115" s="30">
        <f>IF($D115="","",raporTarihi-$D115)</f>
        <v/>
      </c>
      <c r="Q115" s="30">
        <f>IF($P115="","",IF($P115&lt;=sdf_kovaEsik1,"0-30",IF($P115&lt;=sdf_kovaEsik2,"31-60",IF($P115&lt;=sdf_kovaEsik3,"61-90","90+"))))</f>
        <v/>
      </c>
      <c r="R115" s="30">
        <f>IF($A115="","",IF($H115&gt;0,$H115,$G115))</f>
        <v/>
      </c>
      <c r="S115" s="30">
        <f>IF($F115="D8_KAPALI","KAPANAN",IF($F115="IPTAL","IPTAL","ACIK"))</f>
        <v/>
      </c>
      <c r="T115" s="30">
        <f>IF($B115="","YETİM",IF(COUNTIF(tblEkip[EkipId],$B115)=0,"YETİM",""))</f>
        <v/>
      </c>
      <c r="U115" s="30">
        <f>IF(OR($E115&amp;"|"&amp;$F115="",COUNTIF(ListeIzinliGecis,$E115&amp;"|"&amp;$F115)&gt;0),"","GEÇERSİZ GEÇİŞ")</f>
        <v/>
      </c>
      <c r="V115" s="30">
        <f>IF(OR($F115="D8_KAPALI",$F115="D7_ONLE",$I115&gt;0),IF(OR($H115="",$I115=""),"",IF(ABS($I115-$H115)&gt;zincirTolerans,"ZİNCİR KIRIK","OK")),IF($H115&gt;0,IF(OR($G115="",$H115=""),"",IF(ABS($H115-$G115)&gt;zincirTolerans,"ZİNCİR KIRIK","OK")),"OK"))</f>
        <v/>
      </c>
      <c r="W115" s="30">
        <f>IF($A115="","",1)</f>
        <v/>
      </c>
    </row>
    <row r="116">
      <c r="A116" s="27" t="n"/>
      <c r="B116" s="27" t="n"/>
      <c r="C116" s="27" t="n"/>
      <c r="D116" s="32" t="n"/>
      <c r="E116" s="27" t="n"/>
      <c r="F116" s="27" t="n"/>
      <c r="G116" s="31" t="n"/>
      <c r="H116" s="31" t="n"/>
      <c r="I116" s="31" t="n"/>
      <c r="J116" s="29" t="n"/>
      <c r="K116" s="31" t="n"/>
      <c r="L116" s="31" t="n"/>
      <c r="M116" s="27" t="n"/>
      <c r="N116" s="27" t="n"/>
      <c r="O116" s="27" t="n"/>
      <c r="P116" s="30">
        <f>IF($D116="","",raporTarihi-$D116)</f>
        <v/>
      </c>
      <c r="Q116" s="30">
        <f>IF($P116="","",IF($P116&lt;=sdf_kovaEsik1,"0-30",IF($P116&lt;=sdf_kovaEsik2,"31-60",IF($P116&lt;=sdf_kovaEsik3,"61-90","90+"))))</f>
        <v/>
      </c>
      <c r="R116" s="30">
        <f>IF($A116="","",IF($H116&gt;0,$H116,$G116))</f>
        <v/>
      </c>
      <c r="S116" s="30">
        <f>IF($F116="D8_KAPALI","KAPANAN",IF($F116="IPTAL","IPTAL","ACIK"))</f>
        <v/>
      </c>
      <c r="T116" s="30">
        <f>IF($B116="","YETİM",IF(COUNTIF(tblEkip[EkipId],$B116)=0,"YETİM",""))</f>
        <v/>
      </c>
      <c r="U116" s="30">
        <f>IF(OR($E116&amp;"|"&amp;$F116="",COUNTIF(ListeIzinliGecis,$E116&amp;"|"&amp;$F116)&gt;0),"","GEÇERSİZ GEÇİŞ")</f>
        <v/>
      </c>
      <c r="V116" s="30">
        <f>IF(OR($F116="D8_KAPALI",$F116="D7_ONLE",$I116&gt;0),IF(OR($H116="",$I116=""),"",IF(ABS($I116-$H116)&gt;zincirTolerans,"ZİNCİR KIRIK","OK")),IF($H116&gt;0,IF(OR($G116="",$H116=""),"",IF(ABS($H116-$G116)&gt;zincirTolerans,"ZİNCİR KIRIK","OK")),"OK"))</f>
        <v/>
      </c>
      <c r="W116" s="30">
        <f>IF($A116="","",1)</f>
        <v/>
      </c>
    </row>
    <row r="117">
      <c r="A117" s="27" t="n"/>
      <c r="B117" s="27" t="n"/>
      <c r="C117" s="27" t="n"/>
      <c r="D117" s="32" t="n"/>
      <c r="E117" s="27" t="n"/>
      <c r="F117" s="27" t="n"/>
      <c r="G117" s="31" t="n"/>
      <c r="H117" s="31" t="n"/>
      <c r="I117" s="31" t="n"/>
      <c r="J117" s="29" t="n"/>
      <c r="K117" s="31" t="n"/>
      <c r="L117" s="31" t="n"/>
      <c r="M117" s="27" t="n"/>
      <c r="N117" s="27" t="n"/>
      <c r="O117" s="27" t="n"/>
      <c r="P117" s="30">
        <f>IF($D117="","",raporTarihi-$D117)</f>
        <v/>
      </c>
      <c r="Q117" s="30">
        <f>IF($P117="","",IF($P117&lt;=sdf_kovaEsik1,"0-30",IF($P117&lt;=sdf_kovaEsik2,"31-60",IF($P117&lt;=sdf_kovaEsik3,"61-90","90+"))))</f>
        <v/>
      </c>
      <c r="R117" s="30">
        <f>IF($A117="","",IF($H117&gt;0,$H117,$G117))</f>
        <v/>
      </c>
      <c r="S117" s="30">
        <f>IF($F117="D8_KAPALI","KAPANAN",IF($F117="IPTAL","IPTAL","ACIK"))</f>
        <v/>
      </c>
      <c r="T117" s="30">
        <f>IF($B117="","YETİM",IF(COUNTIF(tblEkip[EkipId],$B117)=0,"YETİM",""))</f>
        <v/>
      </c>
      <c r="U117" s="30">
        <f>IF(OR($E117&amp;"|"&amp;$F117="",COUNTIF(ListeIzinliGecis,$E117&amp;"|"&amp;$F117)&gt;0),"","GEÇERSİZ GEÇİŞ")</f>
        <v/>
      </c>
      <c r="V117" s="30">
        <f>IF(OR($F117="D8_KAPALI",$F117="D7_ONLE",$I117&gt;0),IF(OR($H117="",$I117=""),"",IF(ABS($I117-$H117)&gt;zincirTolerans,"ZİNCİR KIRIK","OK")),IF($H117&gt;0,IF(OR($G117="",$H117=""),"",IF(ABS($H117-$G117)&gt;zincirTolerans,"ZİNCİR KIRIK","OK")),"OK"))</f>
        <v/>
      </c>
      <c r="W117" s="30">
        <f>IF($A117="","",1)</f>
        <v/>
      </c>
    </row>
    <row r="118">
      <c r="A118" s="27" t="n"/>
      <c r="B118" s="27" t="n"/>
      <c r="C118" s="27" t="n"/>
      <c r="D118" s="32" t="n"/>
      <c r="E118" s="27" t="n"/>
      <c r="F118" s="27" t="n"/>
      <c r="G118" s="31" t="n"/>
      <c r="H118" s="31" t="n"/>
      <c r="I118" s="31" t="n"/>
      <c r="J118" s="29" t="n"/>
      <c r="K118" s="31" t="n"/>
      <c r="L118" s="31" t="n"/>
      <c r="M118" s="27" t="n"/>
      <c r="N118" s="27" t="n"/>
      <c r="O118" s="27" t="n"/>
      <c r="P118" s="30">
        <f>IF($D118="","",raporTarihi-$D118)</f>
        <v/>
      </c>
      <c r="Q118" s="30">
        <f>IF($P118="","",IF($P118&lt;=sdf_kovaEsik1,"0-30",IF($P118&lt;=sdf_kovaEsik2,"31-60",IF($P118&lt;=sdf_kovaEsik3,"61-90","90+"))))</f>
        <v/>
      </c>
      <c r="R118" s="30">
        <f>IF($A118="","",IF($H118&gt;0,$H118,$G118))</f>
        <v/>
      </c>
      <c r="S118" s="30">
        <f>IF($F118="D8_KAPALI","KAPANAN",IF($F118="IPTAL","IPTAL","ACIK"))</f>
        <v/>
      </c>
      <c r="T118" s="30">
        <f>IF($B118="","YETİM",IF(COUNTIF(tblEkip[EkipId],$B118)=0,"YETİM",""))</f>
        <v/>
      </c>
      <c r="U118" s="30">
        <f>IF(OR($E118&amp;"|"&amp;$F118="",COUNTIF(ListeIzinliGecis,$E118&amp;"|"&amp;$F118)&gt;0),"","GEÇERSİZ GEÇİŞ")</f>
        <v/>
      </c>
      <c r="V118" s="30">
        <f>IF(OR($F118="D8_KAPALI",$F118="D7_ONLE",$I118&gt;0),IF(OR($H118="",$I118=""),"",IF(ABS($I118-$H118)&gt;zincirTolerans,"ZİNCİR KIRIK","OK")),IF($H118&gt;0,IF(OR($G118="",$H118=""),"",IF(ABS($H118-$G118)&gt;zincirTolerans,"ZİNCİR KIRIK","OK")),"OK"))</f>
        <v/>
      </c>
      <c r="W118" s="30">
        <f>IF($A118="","",1)</f>
        <v/>
      </c>
    </row>
    <row r="119">
      <c r="A119" s="27" t="n"/>
      <c r="B119" s="27" t="n"/>
      <c r="C119" s="27" t="n"/>
      <c r="D119" s="32" t="n"/>
      <c r="E119" s="27" t="n"/>
      <c r="F119" s="27" t="n"/>
      <c r="G119" s="31" t="n"/>
      <c r="H119" s="31" t="n"/>
      <c r="I119" s="31" t="n"/>
      <c r="J119" s="29" t="n"/>
      <c r="K119" s="31" t="n"/>
      <c r="L119" s="31" t="n"/>
      <c r="M119" s="27" t="n"/>
      <c r="N119" s="27" t="n"/>
      <c r="O119" s="27" t="n"/>
      <c r="P119" s="30">
        <f>IF($D119="","",raporTarihi-$D119)</f>
        <v/>
      </c>
      <c r="Q119" s="30">
        <f>IF($P119="","",IF($P119&lt;=sdf_kovaEsik1,"0-30",IF($P119&lt;=sdf_kovaEsik2,"31-60",IF($P119&lt;=sdf_kovaEsik3,"61-90","90+"))))</f>
        <v/>
      </c>
      <c r="R119" s="30">
        <f>IF($A119="","",IF($H119&gt;0,$H119,$G119))</f>
        <v/>
      </c>
      <c r="S119" s="30">
        <f>IF($F119="D8_KAPALI","KAPANAN",IF($F119="IPTAL","IPTAL","ACIK"))</f>
        <v/>
      </c>
      <c r="T119" s="30">
        <f>IF($B119="","YETİM",IF(COUNTIF(tblEkip[EkipId],$B119)=0,"YETİM",""))</f>
        <v/>
      </c>
      <c r="U119" s="30">
        <f>IF(OR($E119&amp;"|"&amp;$F119="",COUNTIF(ListeIzinliGecis,$E119&amp;"|"&amp;$F119)&gt;0),"","GEÇERSİZ GEÇİŞ")</f>
        <v/>
      </c>
      <c r="V119" s="30">
        <f>IF(OR($F119="D8_KAPALI",$F119="D7_ONLE",$I119&gt;0),IF(OR($H119="",$I119=""),"",IF(ABS($I119-$H119)&gt;zincirTolerans,"ZİNCİR KIRIK","OK")),IF($H119&gt;0,IF(OR($G119="",$H119=""),"",IF(ABS($H119-$G119)&gt;zincirTolerans,"ZİNCİR KIRIK","OK")),"OK"))</f>
        <v/>
      </c>
      <c r="W119" s="30">
        <f>IF($A119="","",1)</f>
        <v/>
      </c>
    </row>
    <row r="120">
      <c r="A120" s="27" t="n"/>
      <c r="B120" s="27" t="n"/>
      <c r="C120" s="27" t="n"/>
      <c r="D120" s="32" t="n"/>
      <c r="E120" s="27" t="n"/>
      <c r="F120" s="27" t="n"/>
      <c r="G120" s="31" t="n"/>
      <c r="H120" s="31" t="n"/>
      <c r="I120" s="31" t="n"/>
      <c r="J120" s="29" t="n"/>
      <c r="K120" s="31" t="n"/>
      <c r="L120" s="31" t="n"/>
      <c r="M120" s="27" t="n"/>
      <c r="N120" s="27" t="n"/>
      <c r="O120" s="27" t="n"/>
      <c r="P120" s="30">
        <f>IF($D120="","",raporTarihi-$D120)</f>
        <v/>
      </c>
      <c r="Q120" s="30">
        <f>IF($P120="","",IF($P120&lt;=sdf_kovaEsik1,"0-30",IF($P120&lt;=sdf_kovaEsik2,"31-60",IF($P120&lt;=sdf_kovaEsik3,"61-90","90+"))))</f>
        <v/>
      </c>
      <c r="R120" s="30">
        <f>IF($A120="","",IF($H120&gt;0,$H120,$G120))</f>
        <v/>
      </c>
      <c r="S120" s="30">
        <f>IF($F120="D8_KAPALI","KAPANAN",IF($F120="IPTAL","IPTAL","ACIK"))</f>
        <v/>
      </c>
      <c r="T120" s="30">
        <f>IF($B120="","YETİM",IF(COUNTIF(tblEkip[EkipId],$B120)=0,"YETİM",""))</f>
        <v/>
      </c>
      <c r="U120" s="30">
        <f>IF(OR($E120&amp;"|"&amp;$F120="",COUNTIF(ListeIzinliGecis,$E120&amp;"|"&amp;$F120)&gt;0),"","GEÇERSİZ GEÇİŞ")</f>
        <v/>
      </c>
      <c r="V120" s="30">
        <f>IF(OR($F120="D8_KAPALI",$F120="D7_ONLE",$I120&gt;0),IF(OR($H120="",$I120=""),"",IF(ABS($I120-$H120)&gt;zincirTolerans,"ZİNCİR KIRIK","OK")),IF($H120&gt;0,IF(OR($G120="",$H120=""),"",IF(ABS($H120-$G120)&gt;zincirTolerans,"ZİNCİR KIRIK","OK")),"OK"))</f>
        <v/>
      </c>
      <c r="W120" s="30">
        <f>IF($A120="","",1)</f>
        <v/>
      </c>
    </row>
    <row r="121">
      <c r="A121" s="27" t="n"/>
      <c r="B121" s="27" t="n"/>
      <c r="C121" s="27" t="n"/>
      <c r="D121" s="32" t="n"/>
      <c r="E121" s="27" t="n"/>
      <c r="F121" s="27" t="n"/>
      <c r="G121" s="31" t="n"/>
      <c r="H121" s="31" t="n"/>
      <c r="I121" s="31" t="n"/>
      <c r="J121" s="29" t="n"/>
      <c r="K121" s="31" t="n"/>
      <c r="L121" s="31" t="n"/>
      <c r="M121" s="27" t="n"/>
      <c r="N121" s="27" t="n"/>
      <c r="O121" s="27" t="n"/>
      <c r="P121" s="30">
        <f>IF($D121="","",raporTarihi-$D121)</f>
        <v/>
      </c>
      <c r="Q121" s="30">
        <f>IF($P121="","",IF($P121&lt;=sdf_kovaEsik1,"0-30",IF($P121&lt;=sdf_kovaEsik2,"31-60",IF($P121&lt;=sdf_kovaEsik3,"61-90","90+"))))</f>
        <v/>
      </c>
      <c r="R121" s="30">
        <f>IF($A121="","",IF($H121&gt;0,$H121,$G121))</f>
        <v/>
      </c>
      <c r="S121" s="30">
        <f>IF($F121="D8_KAPALI","KAPANAN",IF($F121="IPTAL","IPTAL","ACIK"))</f>
        <v/>
      </c>
      <c r="T121" s="30">
        <f>IF($B121="","YETİM",IF(COUNTIF(tblEkip[EkipId],$B121)=0,"YETİM",""))</f>
        <v/>
      </c>
      <c r="U121" s="30">
        <f>IF(OR($E121&amp;"|"&amp;$F121="",COUNTIF(ListeIzinliGecis,$E121&amp;"|"&amp;$F121)&gt;0),"","GEÇERSİZ GEÇİŞ")</f>
        <v/>
      </c>
      <c r="V121" s="30">
        <f>IF(OR($F121="D8_KAPALI",$F121="D7_ONLE",$I121&gt;0),IF(OR($H121="",$I121=""),"",IF(ABS($I121-$H121)&gt;zincirTolerans,"ZİNCİR KIRIK","OK")),IF($H121&gt;0,IF(OR($G121="",$H121=""),"",IF(ABS($H121-$G121)&gt;zincirTolerans,"ZİNCİR KIRIK","OK")),"OK"))</f>
        <v/>
      </c>
      <c r="W121" s="30">
        <f>IF($A121="","",1)</f>
        <v/>
      </c>
    </row>
    <row r="122">
      <c r="A122" s="27" t="n"/>
      <c r="B122" s="27" t="n"/>
      <c r="C122" s="27" t="n"/>
      <c r="D122" s="32" t="n"/>
      <c r="E122" s="27" t="n"/>
      <c r="F122" s="27" t="n"/>
      <c r="G122" s="31" t="n"/>
      <c r="H122" s="31" t="n"/>
      <c r="I122" s="31" t="n"/>
      <c r="J122" s="29" t="n"/>
      <c r="K122" s="31" t="n"/>
      <c r="L122" s="31" t="n"/>
      <c r="M122" s="27" t="n"/>
      <c r="N122" s="27" t="n"/>
      <c r="O122" s="27" t="n"/>
      <c r="P122" s="30">
        <f>IF($D122="","",raporTarihi-$D122)</f>
        <v/>
      </c>
      <c r="Q122" s="30">
        <f>IF($P122="","",IF($P122&lt;=sdf_kovaEsik1,"0-30",IF($P122&lt;=sdf_kovaEsik2,"31-60",IF($P122&lt;=sdf_kovaEsik3,"61-90","90+"))))</f>
        <v/>
      </c>
      <c r="R122" s="30">
        <f>IF($A122="","",IF($H122&gt;0,$H122,$G122))</f>
        <v/>
      </c>
      <c r="S122" s="30">
        <f>IF($F122="D8_KAPALI","KAPANAN",IF($F122="IPTAL","IPTAL","ACIK"))</f>
        <v/>
      </c>
      <c r="T122" s="30">
        <f>IF($B122="","YETİM",IF(COUNTIF(tblEkip[EkipId],$B122)=0,"YETİM",""))</f>
        <v/>
      </c>
      <c r="U122" s="30">
        <f>IF(OR($E122&amp;"|"&amp;$F122="",COUNTIF(ListeIzinliGecis,$E122&amp;"|"&amp;$F122)&gt;0),"","GEÇERSİZ GEÇİŞ")</f>
        <v/>
      </c>
      <c r="V122" s="30">
        <f>IF(OR($F122="D8_KAPALI",$F122="D7_ONLE",$I122&gt;0),IF(OR($H122="",$I122=""),"",IF(ABS($I122-$H122)&gt;zincirTolerans,"ZİNCİR KIRIK","OK")),IF($H122&gt;0,IF(OR($G122="",$H122=""),"",IF(ABS($H122-$G122)&gt;zincirTolerans,"ZİNCİR KIRIK","OK")),"OK"))</f>
        <v/>
      </c>
      <c r="W122" s="30">
        <f>IF($A122="","",1)</f>
        <v/>
      </c>
    </row>
    <row r="123">
      <c r="A123" s="27" t="n"/>
      <c r="B123" s="27" t="n"/>
      <c r="C123" s="27" t="n"/>
      <c r="D123" s="32" t="n"/>
      <c r="E123" s="27" t="n"/>
      <c r="F123" s="27" t="n"/>
      <c r="G123" s="31" t="n"/>
      <c r="H123" s="31" t="n"/>
      <c r="I123" s="31" t="n"/>
      <c r="J123" s="29" t="n"/>
      <c r="K123" s="31" t="n"/>
      <c r="L123" s="31" t="n"/>
      <c r="M123" s="27" t="n"/>
      <c r="N123" s="27" t="n"/>
      <c r="O123" s="27" t="n"/>
      <c r="P123" s="30">
        <f>IF($D123="","",raporTarihi-$D123)</f>
        <v/>
      </c>
      <c r="Q123" s="30">
        <f>IF($P123="","",IF($P123&lt;=sdf_kovaEsik1,"0-30",IF($P123&lt;=sdf_kovaEsik2,"31-60",IF($P123&lt;=sdf_kovaEsik3,"61-90","90+"))))</f>
        <v/>
      </c>
      <c r="R123" s="30">
        <f>IF($A123="","",IF($H123&gt;0,$H123,$G123))</f>
        <v/>
      </c>
      <c r="S123" s="30">
        <f>IF($F123="D8_KAPALI","KAPANAN",IF($F123="IPTAL","IPTAL","ACIK"))</f>
        <v/>
      </c>
      <c r="T123" s="30">
        <f>IF($B123="","YETİM",IF(COUNTIF(tblEkip[EkipId],$B123)=0,"YETİM",""))</f>
        <v/>
      </c>
      <c r="U123" s="30">
        <f>IF(OR($E123&amp;"|"&amp;$F123="",COUNTIF(ListeIzinliGecis,$E123&amp;"|"&amp;$F123)&gt;0),"","GEÇERSİZ GEÇİŞ")</f>
        <v/>
      </c>
      <c r="V123" s="30">
        <f>IF(OR($F123="D8_KAPALI",$F123="D7_ONLE",$I123&gt;0),IF(OR($H123="",$I123=""),"",IF(ABS($I123-$H123)&gt;zincirTolerans,"ZİNCİR KIRIK","OK")),IF($H123&gt;0,IF(OR($G123="",$H123=""),"",IF(ABS($H123-$G123)&gt;zincirTolerans,"ZİNCİR KIRIK","OK")),"OK"))</f>
        <v/>
      </c>
      <c r="W123" s="30">
        <f>IF($A123="","",1)</f>
        <v/>
      </c>
    </row>
    <row r="124">
      <c r="A124" s="27" t="n"/>
      <c r="B124" s="27" t="n"/>
      <c r="C124" s="27" t="n"/>
      <c r="D124" s="32" t="n"/>
      <c r="E124" s="27" t="n"/>
      <c r="F124" s="27" t="n"/>
      <c r="G124" s="31" t="n"/>
      <c r="H124" s="31" t="n"/>
      <c r="I124" s="31" t="n"/>
      <c r="J124" s="29" t="n"/>
      <c r="K124" s="31" t="n"/>
      <c r="L124" s="31" t="n"/>
      <c r="M124" s="27" t="n"/>
      <c r="N124" s="27" t="n"/>
      <c r="O124" s="27" t="n"/>
      <c r="P124" s="30">
        <f>IF($D124="","",raporTarihi-$D124)</f>
        <v/>
      </c>
      <c r="Q124" s="30">
        <f>IF($P124="","",IF($P124&lt;=sdf_kovaEsik1,"0-30",IF($P124&lt;=sdf_kovaEsik2,"31-60",IF($P124&lt;=sdf_kovaEsik3,"61-90","90+"))))</f>
        <v/>
      </c>
      <c r="R124" s="30">
        <f>IF($A124="","",IF($H124&gt;0,$H124,$G124))</f>
        <v/>
      </c>
      <c r="S124" s="30">
        <f>IF($F124="D8_KAPALI","KAPANAN",IF($F124="IPTAL","IPTAL","ACIK"))</f>
        <v/>
      </c>
      <c r="T124" s="30">
        <f>IF($B124="","YETİM",IF(COUNTIF(tblEkip[EkipId],$B124)=0,"YETİM",""))</f>
        <v/>
      </c>
      <c r="U124" s="30">
        <f>IF(OR($E124&amp;"|"&amp;$F124="",COUNTIF(ListeIzinliGecis,$E124&amp;"|"&amp;$F124)&gt;0),"","GEÇERSİZ GEÇİŞ")</f>
        <v/>
      </c>
      <c r="V124" s="30">
        <f>IF(OR($F124="D8_KAPALI",$F124="D7_ONLE",$I124&gt;0),IF(OR($H124="",$I124=""),"",IF(ABS($I124-$H124)&gt;zincirTolerans,"ZİNCİR KIRIK","OK")),IF($H124&gt;0,IF(OR($G124="",$H124=""),"",IF(ABS($H124-$G124)&gt;zincirTolerans,"ZİNCİR KIRIK","OK")),"OK"))</f>
        <v/>
      </c>
      <c r="W124" s="30">
        <f>IF($A124="","",1)</f>
        <v/>
      </c>
    </row>
    <row r="125">
      <c r="A125" s="27" t="n"/>
      <c r="B125" s="27" t="n"/>
      <c r="C125" s="27" t="n"/>
      <c r="D125" s="32" t="n"/>
      <c r="E125" s="27" t="n"/>
      <c r="F125" s="27" t="n"/>
      <c r="G125" s="31" t="n"/>
      <c r="H125" s="31" t="n"/>
      <c r="I125" s="31" t="n"/>
      <c r="J125" s="29" t="n"/>
      <c r="K125" s="31" t="n"/>
      <c r="L125" s="31" t="n"/>
      <c r="M125" s="27" t="n"/>
      <c r="N125" s="27" t="n"/>
      <c r="O125" s="27" t="n"/>
      <c r="P125" s="30">
        <f>IF($D125="","",raporTarihi-$D125)</f>
        <v/>
      </c>
      <c r="Q125" s="30">
        <f>IF($P125="","",IF($P125&lt;=sdf_kovaEsik1,"0-30",IF($P125&lt;=sdf_kovaEsik2,"31-60",IF($P125&lt;=sdf_kovaEsik3,"61-90","90+"))))</f>
        <v/>
      </c>
      <c r="R125" s="30">
        <f>IF($A125="","",IF($H125&gt;0,$H125,$G125))</f>
        <v/>
      </c>
      <c r="S125" s="30">
        <f>IF($F125="D8_KAPALI","KAPANAN",IF($F125="IPTAL","IPTAL","ACIK"))</f>
        <v/>
      </c>
      <c r="T125" s="30">
        <f>IF($B125="","YETİM",IF(COUNTIF(tblEkip[EkipId],$B125)=0,"YETİM",""))</f>
        <v/>
      </c>
      <c r="U125" s="30">
        <f>IF(OR($E125&amp;"|"&amp;$F125="",COUNTIF(ListeIzinliGecis,$E125&amp;"|"&amp;$F125)&gt;0),"","GEÇERSİZ GEÇİŞ")</f>
        <v/>
      </c>
      <c r="V125" s="30">
        <f>IF(OR($F125="D8_KAPALI",$F125="D7_ONLE",$I125&gt;0),IF(OR($H125="",$I125=""),"",IF(ABS($I125-$H125)&gt;zincirTolerans,"ZİNCİR KIRIK","OK")),IF($H125&gt;0,IF(OR($G125="",$H125=""),"",IF(ABS($H125-$G125)&gt;zincirTolerans,"ZİNCİR KIRIK","OK")),"OK"))</f>
        <v/>
      </c>
      <c r="W125" s="30">
        <f>IF($A125="","",1)</f>
        <v/>
      </c>
    </row>
    <row r="126">
      <c r="A126" s="27" t="n"/>
      <c r="B126" s="27" t="n"/>
      <c r="C126" s="27" t="n"/>
      <c r="D126" s="32" t="n"/>
      <c r="E126" s="27" t="n"/>
      <c r="F126" s="27" t="n"/>
      <c r="G126" s="31" t="n"/>
      <c r="H126" s="31" t="n"/>
      <c r="I126" s="31" t="n"/>
      <c r="J126" s="29" t="n"/>
      <c r="K126" s="31" t="n"/>
      <c r="L126" s="31" t="n"/>
      <c r="M126" s="27" t="n"/>
      <c r="N126" s="27" t="n"/>
      <c r="O126" s="27" t="n"/>
      <c r="P126" s="30">
        <f>IF($D126="","",raporTarihi-$D126)</f>
        <v/>
      </c>
      <c r="Q126" s="30">
        <f>IF($P126="","",IF($P126&lt;=sdf_kovaEsik1,"0-30",IF($P126&lt;=sdf_kovaEsik2,"31-60",IF($P126&lt;=sdf_kovaEsik3,"61-90","90+"))))</f>
        <v/>
      </c>
      <c r="R126" s="30">
        <f>IF($A126="","",IF($H126&gt;0,$H126,$G126))</f>
        <v/>
      </c>
      <c r="S126" s="30">
        <f>IF($F126="D8_KAPALI","KAPANAN",IF($F126="IPTAL","IPTAL","ACIK"))</f>
        <v/>
      </c>
      <c r="T126" s="30">
        <f>IF($B126="","YETİM",IF(COUNTIF(tblEkip[EkipId],$B126)=0,"YETİM",""))</f>
        <v/>
      </c>
      <c r="U126" s="30">
        <f>IF(OR($E126&amp;"|"&amp;$F126="",COUNTIF(ListeIzinliGecis,$E126&amp;"|"&amp;$F126)&gt;0),"","GEÇERSİZ GEÇİŞ")</f>
        <v/>
      </c>
      <c r="V126" s="30">
        <f>IF(OR($F126="D8_KAPALI",$F126="D7_ONLE",$I126&gt;0),IF(OR($H126="",$I126=""),"",IF(ABS($I126-$H126)&gt;zincirTolerans,"ZİNCİR KIRIK","OK")),IF($H126&gt;0,IF(OR($G126="",$H126=""),"",IF(ABS($H126-$G126)&gt;zincirTolerans,"ZİNCİR KIRIK","OK")),"OK"))</f>
        <v/>
      </c>
      <c r="W126" s="30">
        <f>IF($A126="","",1)</f>
        <v/>
      </c>
    </row>
    <row r="127">
      <c r="A127" s="27" t="n"/>
      <c r="B127" s="27" t="n"/>
      <c r="C127" s="27" t="n"/>
      <c r="D127" s="32" t="n"/>
      <c r="E127" s="27" t="n"/>
      <c r="F127" s="27" t="n"/>
      <c r="G127" s="31" t="n"/>
      <c r="H127" s="31" t="n"/>
      <c r="I127" s="31" t="n"/>
      <c r="J127" s="29" t="n"/>
      <c r="K127" s="31" t="n"/>
      <c r="L127" s="31" t="n"/>
      <c r="M127" s="27" t="n"/>
      <c r="N127" s="27" t="n"/>
      <c r="O127" s="27" t="n"/>
      <c r="P127" s="30">
        <f>IF($D127="","",raporTarihi-$D127)</f>
        <v/>
      </c>
      <c r="Q127" s="30">
        <f>IF($P127="","",IF($P127&lt;=sdf_kovaEsik1,"0-30",IF($P127&lt;=sdf_kovaEsik2,"31-60",IF($P127&lt;=sdf_kovaEsik3,"61-90","90+"))))</f>
        <v/>
      </c>
      <c r="R127" s="30">
        <f>IF($A127="","",IF($H127&gt;0,$H127,$G127))</f>
        <v/>
      </c>
      <c r="S127" s="30">
        <f>IF($F127="D8_KAPALI","KAPANAN",IF($F127="IPTAL","IPTAL","ACIK"))</f>
        <v/>
      </c>
      <c r="T127" s="30">
        <f>IF($B127="","YETİM",IF(COUNTIF(tblEkip[EkipId],$B127)=0,"YETİM",""))</f>
        <v/>
      </c>
      <c r="U127" s="30">
        <f>IF(OR($E127&amp;"|"&amp;$F127="",COUNTIF(ListeIzinliGecis,$E127&amp;"|"&amp;$F127)&gt;0),"","GEÇERSİZ GEÇİŞ")</f>
        <v/>
      </c>
      <c r="V127" s="30">
        <f>IF(OR($F127="D8_KAPALI",$F127="D7_ONLE",$I127&gt;0),IF(OR($H127="",$I127=""),"",IF(ABS($I127-$H127)&gt;zincirTolerans,"ZİNCİR KIRIK","OK")),IF($H127&gt;0,IF(OR($G127="",$H127=""),"",IF(ABS($H127-$G127)&gt;zincirTolerans,"ZİNCİR KIRIK","OK")),"OK"))</f>
        <v/>
      </c>
      <c r="W127" s="30">
        <f>IF($A127="","",1)</f>
        <v/>
      </c>
    </row>
    <row r="128">
      <c r="A128" s="27" t="n"/>
      <c r="B128" s="27" t="n"/>
      <c r="C128" s="27" t="n"/>
      <c r="D128" s="32" t="n"/>
      <c r="E128" s="27" t="n"/>
      <c r="F128" s="27" t="n"/>
      <c r="G128" s="31" t="n"/>
      <c r="H128" s="31" t="n"/>
      <c r="I128" s="31" t="n"/>
      <c r="J128" s="29" t="n"/>
      <c r="K128" s="31" t="n"/>
      <c r="L128" s="31" t="n"/>
      <c r="M128" s="27" t="n"/>
      <c r="N128" s="27" t="n"/>
      <c r="O128" s="27" t="n"/>
      <c r="P128" s="30">
        <f>IF($D128="","",raporTarihi-$D128)</f>
        <v/>
      </c>
      <c r="Q128" s="30">
        <f>IF($P128="","",IF($P128&lt;=sdf_kovaEsik1,"0-30",IF($P128&lt;=sdf_kovaEsik2,"31-60",IF($P128&lt;=sdf_kovaEsik3,"61-90","90+"))))</f>
        <v/>
      </c>
      <c r="R128" s="30">
        <f>IF($A128="","",IF($H128&gt;0,$H128,$G128))</f>
        <v/>
      </c>
      <c r="S128" s="30">
        <f>IF($F128="D8_KAPALI","KAPANAN",IF($F128="IPTAL","IPTAL","ACIK"))</f>
        <v/>
      </c>
      <c r="T128" s="30">
        <f>IF($B128="","YETİM",IF(COUNTIF(tblEkip[EkipId],$B128)=0,"YETİM",""))</f>
        <v/>
      </c>
      <c r="U128" s="30">
        <f>IF(OR($E128&amp;"|"&amp;$F128="",COUNTIF(ListeIzinliGecis,$E128&amp;"|"&amp;$F128)&gt;0),"","GEÇERSİZ GEÇİŞ")</f>
        <v/>
      </c>
      <c r="V128" s="30">
        <f>IF(OR($F128="D8_KAPALI",$F128="D7_ONLE",$I128&gt;0),IF(OR($H128="",$I128=""),"",IF(ABS($I128-$H128)&gt;zincirTolerans,"ZİNCİR KIRIK","OK")),IF($H128&gt;0,IF(OR($G128="",$H128=""),"",IF(ABS($H128-$G128)&gt;zincirTolerans,"ZİNCİR KIRIK","OK")),"OK"))</f>
        <v/>
      </c>
      <c r="W128" s="30">
        <f>IF($A128="","",1)</f>
        <v/>
      </c>
    </row>
    <row r="129">
      <c r="A129" s="27" t="n"/>
      <c r="B129" s="27" t="n"/>
      <c r="C129" s="27" t="n"/>
      <c r="D129" s="32" t="n"/>
      <c r="E129" s="27" t="n"/>
      <c r="F129" s="27" t="n"/>
      <c r="G129" s="31" t="n"/>
      <c r="H129" s="31" t="n"/>
      <c r="I129" s="31" t="n"/>
      <c r="J129" s="29" t="n"/>
      <c r="K129" s="31" t="n"/>
      <c r="L129" s="31" t="n"/>
      <c r="M129" s="27" t="n"/>
      <c r="N129" s="27" t="n"/>
      <c r="O129" s="27" t="n"/>
      <c r="P129" s="30">
        <f>IF($D129="","",raporTarihi-$D129)</f>
        <v/>
      </c>
      <c r="Q129" s="30">
        <f>IF($P129="","",IF($P129&lt;=sdf_kovaEsik1,"0-30",IF($P129&lt;=sdf_kovaEsik2,"31-60",IF($P129&lt;=sdf_kovaEsik3,"61-90","90+"))))</f>
        <v/>
      </c>
      <c r="R129" s="30">
        <f>IF($A129="","",IF($H129&gt;0,$H129,$G129))</f>
        <v/>
      </c>
      <c r="S129" s="30">
        <f>IF($F129="D8_KAPALI","KAPANAN",IF($F129="IPTAL","IPTAL","ACIK"))</f>
        <v/>
      </c>
      <c r="T129" s="30">
        <f>IF($B129="","YETİM",IF(COUNTIF(tblEkip[EkipId],$B129)=0,"YETİM",""))</f>
        <v/>
      </c>
      <c r="U129" s="30">
        <f>IF(OR($E129&amp;"|"&amp;$F129="",COUNTIF(ListeIzinliGecis,$E129&amp;"|"&amp;$F129)&gt;0),"","GEÇERSİZ GEÇİŞ")</f>
        <v/>
      </c>
      <c r="V129" s="30">
        <f>IF(OR($F129="D8_KAPALI",$F129="D7_ONLE",$I129&gt;0),IF(OR($H129="",$I129=""),"",IF(ABS($I129-$H129)&gt;zincirTolerans,"ZİNCİR KIRIK","OK")),IF($H129&gt;0,IF(OR($G129="",$H129=""),"",IF(ABS($H129-$G129)&gt;zincirTolerans,"ZİNCİR KIRIK","OK")),"OK"))</f>
        <v/>
      </c>
      <c r="W129" s="30">
        <f>IF($A129="","",1)</f>
        <v/>
      </c>
    </row>
    <row r="130">
      <c r="A130" s="27" t="n"/>
      <c r="B130" s="27" t="n"/>
      <c r="C130" s="27" t="n"/>
      <c r="D130" s="32" t="n"/>
      <c r="E130" s="27" t="n"/>
      <c r="F130" s="27" t="n"/>
      <c r="G130" s="31" t="n"/>
      <c r="H130" s="31" t="n"/>
      <c r="I130" s="31" t="n"/>
      <c r="J130" s="29" t="n"/>
      <c r="K130" s="31" t="n"/>
      <c r="L130" s="31" t="n"/>
      <c r="M130" s="27" t="n"/>
      <c r="N130" s="27" t="n"/>
      <c r="O130" s="27" t="n"/>
      <c r="P130" s="30">
        <f>IF($D130="","",raporTarihi-$D130)</f>
        <v/>
      </c>
      <c r="Q130" s="30">
        <f>IF($P130="","",IF($P130&lt;=sdf_kovaEsik1,"0-30",IF($P130&lt;=sdf_kovaEsik2,"31-60",IF($P130&lt;=sdf_kovaEsik3,"61-90","90+"))))</f>
        <v/>
      </c>
      <c r="R130" s="30">
        <f>IF($A130="","",IF($H130&gt;0,$H130,$G130))</f>
        <v/>
      </c>
      <c r="S130" s="30">
        <f>IF($F130="D8_KAPALI","KAPANAN",IF($F130="IPTAL","IPTAL","ACIK"))</f>
        <v/>
      </c>
      <c r="T130" s="30">
        <f>IF($B130="","YETİM",IF(COUNTIF(tblEkip[EkipId],$B130)=0,"YETİM",""))</f>
        <v/>
      </c>
      <c r="U130" s="30">
        <f>IF(OR($E130&amp;"|"&amp;$F130="",COUNTIF(ListeIzinliGecis,$E130&amp;"|"&amp;$F130)&gt;0),"","GEÇERSİZ GEÇİŞ")</f>
        <v/>
      </c>
      <c r="V130" s="30">
        <f>IF(OR($F130="D8_KAPALI",$F130="D7_ONLE",$I130&gt;0),IF(OR($H130="",$I130=""),"",IF(ABS($I130-$H130)&gt;zincirTolerans,"ZİNCİR KIRIK","OK")),IF($H130&gt;0,IF(OR($G130="",$H130=""),"",IF(ABS($H130-$G130)&gt;zincirTolerans,"ZİNCİR KIRIK","OK")),"OK"))</f>
        <v/>
      </c>
      <c r="W130" s="30">
        <f>IF($A130="","",1)</f>
        <v/>
      </c>
    </row>
    <row r="131">
      <c r="A131" s="27" t="n"/>
      <c r="B131" s="27" t="n"/>
      <c r="C131" s="27" t="n"/>
      <c r="D131" s="32" t="n"/>
      <c r="E131" s="27" t="n"/>
      <c r="F131" s="27" t="n"/>
      <c r="G131" s="31" t="n"/>
      <c r="H131" s="31" t="n"/>
      <c r="I131" s="31" t="n"/>
      <c r="J131" s="29" t="n"/>
      <c r="K131" s="31" t="n"/>
      <c r="L131" s="31" t="n"/>
      <c r="M131" s="27" t="n"/>
      <c r="N131" s="27" t="n"/>
      <c r="O131" s="27" t="n"/>
      <c r="P131" s="30">
        <f>IF($D131="","",raporTarihi-$D131)</f>
        <v/>
      </c>
      <c r="Q131" s="30">
        <f>IF($P131="","",IF($P131&lt;=sdf_kovaEsik1,"0-30",IF($P131&lt;=sdf_kovaEsik2,"31-60",IF($P131&lt;=sdf_kovaEsik3,"61-90","90+"))))</f>
        <v/>
      </c>
      <c r="R131" s="30">
        <f>IF($A131="","",IF($H131&gt;0,$H131,$G131))</f>
        <v/>
      </c>
      <c r="S131" s="30">
        <f>IF($F131="D8_KAPALI","KAPANAN",IF($F131="IPTAL","IPTAL","ACIK"))</f>
        <v/>
      </c>
      <c r="T131" s="30">
        <f>IF($B131="","YETİM",IF(COUNTIF(tblEkip[EkipId],$B131)=0,"YETİM",""))</f>
        <v/>
      </c>
      <c r="U131" s="30">
        <f>IF(OR($E131&amp;"|"&amp;$F131="",COUNTIF(ListeIzinliGecis,$E131&amp;"|"&amp;$F131)&gt;0),"","GEÇERSİZ GEÇİŞ")</f>
        <v/>
      </c>
      <c r="V131" s="30">
        <f>IF(OR($F131="D8_KAPALI",$F131="D7_ONLE",$I131&gt;0),IF(OR($H131="",$I131=""),"",IF(ABS($I131-$H131)&gt;zincirTolerans,"ZİNCİR KIRIK","OK")),IF($H131&gt;0,IF(OR($G131="",$H131=""),"",IF(ABS($H131-$G131)&gt;zincirTolerans,"ZİNCİR KIRIK","OK")),"OK"))</f>
        <v/>
      </c>
      <c r="W131" s="30">
        <f>IF($A131="","",1)</f>
        <v/>
      </c>
    </row>
    <row r="132">
      <c r="A132" s="27" t="n"/>
      <c r="B132" s="27" t="n"/>
      <c r="C132" s="27" t="n"/>
      <c r="D132" s="32" t="n"/>
      <c r="E132" s="27" t="n"/>
      <c r="F132" s="27" t="n"/>
      <c r="G132" s="31" t="n"/>
      <c r="H132" s="31" t="n"/>
      <c r="I132" s="31" t="n"/>
      <c r="J132" s="29" t="n"/>
      <c r="K132" s="31" t="n"/>
      <c r="L132" s="31" t="n"/>
      <c r="M132" s="27" t="n"/>
      <c r="N132" s="27" t="n"/>
      <c r="O132" s="27" t="n"/>
      <c r="P132" s="30">
        <f>IF($D132="","",raporTarihi-$D132)</f>
        <v/>
      </c>
      <c r="Q132" s="30">
        <f>IF($P132="","",IF($P132&lt;=sdf_kovaEsik1,"0-30",IF($P132&lt;=sdf_kovaEsik2,"31-60",IF($P132&lt;=sdf_kovaEsik3,"61-90","90+"))))</f>
        <v/>
      </c>
      <c r="R132" s="30">
        <f>IF($A132="","",IF($H132&gt;0,$H132,$G132))</f>
        <v/>
      </c>
      <c r="S132" s="30">
        <f>IF($F132="D8_KAPALI","KAPANAN",IF($F132="IPTAL","IPTAL","ACIK"))</f>
        <v/>
      </c>
      <c r="T132" s="30">
        <f>IF($B132="","YETİM",IF(COUNTIF(tblEkip[EkipId],$B132)=0,"YETİM",""))</f>
        <v/>
      </c>
      <c r="U132" s="30">
        <f>IF(OR($E132&amp;"|"&amp;$F132="",COUNTIF(ListeIzinliGecis,$E132&amp;"|"&amp;$F132)&gt;0),"","GEÇERSİZ GEÇİŞ")</f>
        <v/>
      </c>
      <c r="V132" s="30">
        <f>IF(OR($F132="D8_KAPALI",$F132="D7_ONLE",$I132&gt;0),IF(OR($H132="",$I132=""),"",IF(ABS($I132-$H132)&gt;zincirTolerans,"ZİNCİR KIRIK","OK")),IF($H132&gt;0,IF(OR($G132="",$H132=""),"",IF(ABS($H132-$G132)&gt;zincirTolerans,"ZİNCİR KIRIK","OK")),"OK"))</f>
        <v/>
      </c>
      <c r="W132" s="30">
        <f>IF($A132="","",1)</f>
        <v/>
      </c>
    </row>
    <row r="133">
      <c r="A133" s="27" t="n"/>
      <c r="B133" s="27" t="n"/>
      <c r="C133" s="27" t="n"/>
      <c r="D133" s="32" t="n"/>
      <c r="E133" s="27" t="n"/>
      <c r="F133" s="27" t="n"/>
      <c r="G133" s="31" t="n"/>
      <c r="H133" s="31" t="n"/>
      <c r="I133" s="31" t="n"/>
      <c r="J133" s="29" t="n"/>
      <c r="K133" s="31" t="n"/>
      <c r="L133" s="31" t="n"/>
      <c r="M133" s="27" t="n"/>
      <c r="N133" s="27" t="n"/>
      <c r="O133" s="27" t="n"/>
      <c r="P133" s="30">
        <f>IF($D133="","",raporTarihi-$D133)</f>
        <v/>
      </c>
      <c r="Q133" s="30">
        <f>IF($P133="","",IF($P133&lt;=sdf_kovaEsik1,"0-30",IF($P133&lt;=sdf_kovaEsik2,"31-60",IF($P133&lt;=sdf_kovaEsik3,"61-90","90+"))))</f>
        <v/>
      </c>
      <c r="R133" s="30">
        <f>IF($A133="","",IF($H133&gt;0,$H133,$G133))</f>
        <v/>
      </c>
      <c r="S133" s="30">
        <f>IF($F133="D8_KAPALI","KAPANAN",IF($F133="IPTAL","IPTAL","ACIK"))</f>
        <v/>
      </c>
      <c r="T133" s="30">
        <f>IF($B133="","YETİM",IF(COUNTIF(tblEkip[EkipId],$B133)=0,"YETİM",""))</f>
        <v/>
      </c>
      <c r="U133" s="30">
        <f>IF(OR($E133&amp;"|"&amp;$F133="",COUNTIF(ListeIzinliGecis,$E133&amp;"|"&amp;$F133)&gt;0),"","GEÇERSİZ GEÇİŞ")</f>
        <v/>
      </c>
      <c r="V133" s="30">
        <f>IF(OR($F133="D8_KAPALI",$F133="D7_ONLE",$I133&gt;0),IF(OR($H133="",$I133=""),"",IF(ABS($I133-$H133)&gt;zincirTolerans,"ZİNCİR KIRIK","OK")),IF($H133&gt;0,IF(OR($G133="",$H133=""),"",IF(ABS($H133-$G133)&gt;zincirTolerans,"ZİNCİR KIRIK","OK")),"OK"))</f>
        <v/>
      </c>
      <c r="W133" s="30">
        <f>IF($A133="","",1)</f>
        <v/>
      </c>
    </row>
    <row r="134">
      <c r="A134" s="27" t="n"/>
      <c r="B134" s="27" t="n"/>
      <c r="C134" s="27" t="n"/>
      <c r="D134" s="32" t="n"/>
      <c r="E134" s="27" t="n"/>
      <c r="F134" s="27" t="n"/>
      <c r="G134" s="31" t="n"/>
      <c r="H134" s="31" t="n"/>
      <c r="I134" s="31" t="n"/>
      <c r="J134" s="29" t="n"/>
      <c r="K134" s="31" t="n"/>
      <c r="L134" s="31" t="n"/>
      <c r="M134" s="27" t="n"/>
      <c r="N134" s="27" t="n"/>
      <c r="O134" s="27" t="n"/>
      <c r="P134" s="30">
        <f>IF($D134="","",raporTarihi-$D134)</f>
        <v/>
      </c>
      <c r="Q134" s="30">
        <f>IF($P134="","",IF($P134&lt;=sdf_kovaEsik1,"0-30",IF($P134&lt;=sdf_kovaEsik2,"31-60",IF($P134&lt;=sdf_kovaEsik3,"61-90","90+"))))</f>
        <v/>
      </c>
      <c r="R134" s="30">
        <f>IF($A134="","",IF($H134&gt;0,$H134,$G134))</f>
        <v/>
      </c>
      <c r="S134" s="30">
        <f>IF($F134="D8_KAPALI","KAPANAN",IF($F134="IPTAL","IPTAL","ACIK"))</f>
        <v/>
      </c>
      <c r="T134" s="30">
        <f>IF($B134="","YETİM",IF(COUNTIF(tblEkip[EkipId],$B134)=0,"YETİM",""))</f>
        <v/>
      </c>
      <c r="U134" s="30">
        <f>IF(OR($E134&amp;"|"&amp;$F134="",COUNTIF(ListeIzinliGecis,$E134&amp;"|"&amp;$F134)&gt;0),"","GEÇERSİZ GEÇİŞ")</f>
        <v/>
      </c>
      <c r="V134" s="30">
        <f>IF(OR($F134="D8_KAPALI",$F134="D7_ONLE",$I134&gt;0),IF(OR($H134="",$I134=""),"",IF(ABS($I134-$H134)&gt;zincirTolerans,"ZİNCİR KIRIK","OK")),IF($H134&gt;0,IF(OR($G134="",$H134=""),"",IF(ABS($H134-$G134)&gt;zincirTolerans,"ZİNCİR KIRIK","OK")),"OK"))</f>
        <v/>
      </c>
      <c r="W134" s="30">
        <f>IF($A134="","",1)</f>
        <v/>
      </c>
    </row>
    <row r="135">
      <c r="A135" s="27" t="n"/>
      <c r="B135" s="27" t="n"/>
      <c r="C135" s="27" t="n"/>
      <c r="D135" s="32" t="n"/>
      <c r="E135" s="27" t="n"/>
      <c r="F135" s="27" t="n"/>
      <c r="G135" s="31" t="n"/>
      <c r="H135" s="31" t="n"/>
      <c r="I135" s="31" t="n"/>
      <c r="J135" s="29" t="n"/>
      <c r="K135" s="31" t="n"/>
      <c r="L135" s="31" t="n"/>
      <c r="M135" s="27" t="n"/>
      <c r="N135" s="27" t="n"/>
      <c r="O135" s="27" t="n"/>
      <c r="P135" s="30">
        <f>IF($D135="","",raporTarihi-$D135)</f>
        <v/>
      </c>
      <c r="Q135" s="30">
        <f>IF($P135="","",IF($P135&lt;=sdf_kovaEsik1,"0-30",IF($P135&lt;=sdf_kovaEsik2,"31-60",IF($P135&lt;=sdf_kovaEsik3,"61-90","90+"))))</f>
        <v/>
      </c>
      <c r="R135" s="30">
        <f>IF($A135="","",IF($H135&gt;0,$H135,$G135))</f>
        <v/>
      </c>
      <c r="S135" s="30">
        <f>IF($F135="D8_KAPALI","KAPANAN",IF($F135="IPTAL","IPTAL","ACIK"))</f>
        <v/>
      </c>
      <c r="T135" s="30">
        <f>IF($B135="","YETİM",IF(COUNTIF(tblEkip[EkipId],$B135)=0,"YETİM",""))</f>
        <v/>
      </c>
      <c r="U135" s="30">
        <f>IF(OR($E135&amp;"|"&amp;$F135="",COUNTIF(ListeIzinliGecis,$E135&amp;"|"&amp;$F135)&gt;0),"","GEÇERSİZ GEÇİŞ")</f>
        <v/>
      </c>
      <c r="V135" s="30">
        <f>IF(OR($F135="D8_KAPALI",$F135="D7_ONLE",$I135&gt;0),IF(OR($H135="",$I135=""),"",IF(ABS($I135-$H135)&gt;zincirTolerans,"ZİNCİR KIRIK","OK")),IF($H135&gt;0,IF(OR($G135="",$H135=""),"",IF(ABS($H135-$G135)&gt;zincirTolerans,"ZİNCİR KIRIK","OK")),"OK"))</f>
        <v/>
      </c>
      <c r="W135" s="30">
        <f>IF($A135="","",1)</f>
        <v/>
      </c>
    </row>
    <row r="136">
      <c r="A136" s="27" t="n"/>
      <c r="B136" s="27" t="n"/>
      <c r="C136" s="27" t="n"/>
      <c r="D136" s="32" t="n"/>
      <c r="E136" s="27" t="n"/>
      <c r="F136" s="27" t="n"/>
      <c r="G136" s="31" t="n"/>
      <c r="H136" s="31" t="n"/>
      <c r="I136" s="31" t="n"/>
      <c r="J136" s="29" t="n"/>
      <c r="K136" s="31" t="n"/>
      <c r="L136" s="31" t="n"/>
      <c r="M136" s="27" t="n"/>
      <c r="N136" s="27" t="n"/>
      <c r="O136" s="27" t="n"/>
      <c r="P136" s="30">
        <f>IF($D136="","",raporTarihi-$D136)</f>
        <v/>
      </c>
      <c r="Q136" s="30">
        <f>IF($P136="","",IF($P136&lt;=sdf_kovaEsik1,"0-30",IF($P136&lt;=sdf_kovaEsik2,"31-60",IF($P136&lt;=sdf_kovaEsik3,"61-90","90+"))))</f>
        <v/>
      </c>
      <c r="R136" s="30">
        <f>IF($A136="","",IF($H136&gt;0,$H136,$G136))</f>
        <v/>
      </c>
      <c r="S136" s="30">
        <f>IF($F136="D8_KAPALI","KAPANAN",IF($F136="IPTAL","IPTAL","ACIK"))</f>
        <v/>
      </c>
      <c r="T136" s="30">
        <f>IF($B136="","YETİM",IF(COUNTIF(tblEkip[EkipId],$B136)=0,"YETİM",""))</f>
        <v/>
      </c>
      <c r="U136" s="30">
        <f>IF(OR($E136&amp;"|"&amp;$F136="",COUNTIF(ListeIzinliGecis,$E136&amp;"|"&amp;$F136)&gt;0),"","GEÇERSİZ GEÇİŞ")</f>
        <v/>
      </c>
      <c r="V136" s="30">
        <f>IF(OR($F136="D8_KAPALI",$F136="D7_ONLE",$I136&gt;0),IF(OR($H136="",$I136=""),"",IF(ABS($I136-$H136)&gt;zincirTolerans,"ZİNCİR KIRIK","OK")),IF($H136&gt;0,IF(OR($G136="",$H136=""),"",IF(ABS($H136-$G136)&gt;zincirTolerans,"ZİNCİR KIRIK","OK")),"OK"))</f>
        <v/>
      </c>
      <c r="W136" s="30">
        <f>IF($A136="","",1)</f>
        <v/>
      </c>
    </row>
    <row r="137">
      <c r="A137" s="27" t="n"/>
      <c r="B137" s="27" t="n"/>
      <c r="C137" s="27" t="n"/>
      <c r="D137" s="32" t="n"/>
      <c r="E137" s="27" t="n"/>
      <c r="F137" s="27" t="n"/>
      <c r="G137" s="31" t="n"/>
      <c r="H137" s="31" t="n"/>
      <c r="I137" s="31" t="n"/>
      <c r="J137" s="29" t="n"/>
      <c r="K137" s="31" t="n"/>
      <c r="L137" s="31" t="n"/>
      <c r="M137" s="27" t="n"/>
      <c r="N137" s="27" t="n"/>
      <c r="O137" s="27" t="n"/>
      <c r="P137" s="30">
        <f>IF($D137="","",raporTarihi-$D137)</f>
        <v/>
      </c>
      <c r="Q137" s="30">
        <f>IF($P137="","",IF($P137&lt;=sdf_kovaEsik1,"0-30",IF($P137&lt;=sdf_kovaEsik2,"31-60",IF($P137&lt;=sdf_kovaEsik3,"61-90","90+"))))</f>
        <v/>
      </c>
      <c r="R137" s="30">
        <f>IF($A137="","",IF($H137&gt;0,$H137,$G137))</f>
        <v/>
      </c>
      <c r="S137" s="30">
        <f>IF($F137="D8_KAPALI","KAPANAN",IF($F137="IPTAL","IPTAL","ACIK"))</f>
        <v/>
      </c>
      <c r="T137" s="30">
        <f>IF($B137="","YETİM",IF(COUNTIF(tblEkip[EkipId],$B137)=0,"YETİM",""))</f>
        <v/>
      </c>
      <c r="U137" s="30">
        <f>IF(OR($E137&amp;"|"&amp;$F137="",COUNTIF(ListeIzinliGecis,$E137&amp;"|"&amp;$F137)&gt;0),"","GEÇERSİZ GEÇİŞ")</f>
        <v/>
      </c>
      <c r="V137" s="30">
        <f>IF(OR($F137="D8_KAPALI",$F137="D7_ONLE",$I137&gt;0),IF(OR($H137="",$I137=""),"",IF(ABS($I137-$H137)&gt;zincirTolerans,"ZİNCİR KIRIK","OK")),IF($H137&gt;0,IF(OR($G137="",$H137=""),"",IF(ABS($H137-$G137)&gt;zincirTolerans,"ZİNCİR KIRIK","OK")),"OK"))</f>
        <v/>
      </c>
      <c r="W137" s="30">
        <f>IF($A137="","",1)</f>
        <v/>
      </c>
    </row>
    <row r="138">
      <c r="A138" s="27" t="n"/>
      <c r="B138" s="27" t="n"/>
      <c r="C138" s="27" t="n"/>
      <c r="D138" s="32" t="n"/>
      <c r="E138" s="27" t="n"/>
      <c r="F138" s="27" t="n"/>
      <c r="G138" s="31" t="n"/>
      <c r="H138" s="31" t="n"/>
      <c r="I138" s="31" t="n"/>
      <c r="J138" s="29" t="n"/>
      <c r="K138" s="31" t="n"/>
      <c r="L138" s="31" t="n"/>
      <c r="M138" s="27" t="n"/>
      <c r="N138" s="27" t="n"/>
      <c r="O138" s="27" t="n"/>
      <c r="P138" s="30">
        <f>IF($D138="","",raporTarihi-$D138)</f>
        <v/>
      </c>
      <c r="Q138" s="30">
        <f>IF($P138="","",IF($P138&lt;=sdf_kovaEsik1,"0-30",IF($P138&lt;=sdf_kovaEsik2,"31-60",IF($P138&lt;=sdf_kovaEsik3,"61-90","90+"))))</f>
        <v/>
      </c>
      <c r="R138" s="30">
        <f>IF($A138="","",IF($H138&gt;0,$H138,$G138))</f>
        <v/>
      </c>
      <c r="S138" s="30">
        <f>IF($F138="D8_KAPALI","KAPANAN",IF($F138="IPTAL","IPTAL","ACIK"))</f>
        <v/>
      </c>
      <c r="T138" s="30">
        <f>IF($B138="","YETİM",IF(COUNTIF(tblEkip[EkipId],$B138)=0,"YETİM",""))</f>
        <v/>
      </c>
      <c r="U138" s="30">
        <f>IF(OR($E138&amp;"|"&amp;$F138="",COUNTIF(ListeIzinliGecis,$E138&amp;"|"&amp;$F138)&gt;0),"","GEÇERSİZ GEÇİŞ")</f>
        <v/>
      </c>
      <c r="V138" s="30">
        <f>IF(OR($F138="D8_KAPALI",$F138="D7_ONLE",$I138&gt;0),IF(OR($H138="",$I138=""),"",IF(ABS($I138-$H138)&gt;zincirTolerans,"ZİNCİR KIRIK","OK")),IF($H138&gt;0,IF(OR($G138="",$H138=""),"",IF(ABS($H138-$G138)&gt;zincirTolerans,"ZİNCİR KIRIK","OK")),"OK"))</f>
        <v/>
      </c>
      <c r="W138" s="30">
        <f>IF($A138="","",1)</f>
        <v/>
      </c>
    </row>
    <row r="139">
      <c r="A139" s="27" t="n"/>
      <c r="B139" s="27" t="n"/>
      <c r="C139" s="27" t="n"/>
      <c r="D139" s="32" t="n"/>
      <c r="E139" s="27" t="n"/>
      <c r="F139" s="27" t="n"/>
      <c r="G139" s="31" t="n"/>
      <c r="H139" s="31" t="n"/>
      <c r="I139" s="31" t="n"/>
      <c r="J139" s="29" t="n"/>
      <c r="K139" s="31" t="n"/>
      <c r="L139" s="31" t="n"/>
      <c r="M139" s="27" t="n"/>
      <c r="N139" s="27" t="n"/>
      <c r="O139" s="27" t="n"/>
      <c r="P139" s="30">
        <f>IF($D139="","",raporTarihi-$D139)</f>
        <v/>
      </c>
      <c r="Q139" s="30">
        <f>IF($P139="","",IF($P139&lt;=sdf_kovaEsik1,"0-30",IF($P139&lt;=sdf_kovaEsik2,"31-60",IF($P139&lt;=sdf_kovaEsik3,"61-90","90+"))))</f>
        <v/>
      </c>
      <c r="R139" s="30">
        <f>IF($A139="","",IF($H139&gt;0,$H139,$G139))</f>
        <v/>
      </c>
      <c r="S139" s="30">
        <f>IF($F139="D8_KAPALI","KAPANAN",IF($F139="IPTAL","IPTAL","ACIK"))</f>
        <v/>
      </c>
      <c r="T139" s="30">
        <f>IF($B139="","YETİM",IF(COUNTIF(tblEkip[EkipId],$B139)=0,"YETİM",""))</f>
        <v/>
      </c>
      <c r="U139" s="30">
        <f>IF(OR($E139&amp;"|"&amp;$F139="",COUNTIF(ListeIzinliGecis,$E139&amp;"|"&amp;$F139)&gt;0),"","GEÇERSİZ GEÇİŞ")</f>
        <v/>
      </c>
      <c r="V139" s="30">
        <f>IF(OR($F139="D8_KAPALI",$F139="D7_ONLE",$I139&gt;0),IF(OR($H139="",$I139=""),"",IF(ABS($I139-$H139)&gt;zincirTolerans,"ZİNCİR KIRIK","OK")),IF($H139&gt;0,IF(OR($G139="",$H139=""),"",IF(ABS($H139-$G139)&gt;zincirTolerans,"ZİNCİR KIRIK","OK")),"OK"))</f>
        <v/>
      </c>
      <c r="W139" s="30">
        <f>IF($A139="","",1)</f>
        <v/>
      </c>
    </row>
    <row r="140">
      <c r="A140" s="27" t="n"/>
      <c r="B140" s="27" t="n"/>
      <c r="C140" s="27" t="n"/>
      <c r="D140" s="32" t="n"/>
      <c r="E140" s="27" t="n"/>
      <c r="F140" s="27" t="n"/>
      <c r="G140" s="31" t="n"/>
      <c r="H140" s="31" t="n"/>
      <c r="I140" s="31" t="n"/>
      <c r="J140" s="29" t="n"/>
      <c r="K140" s="31" t="n"/>
      <c r="L140" s="31" t="n"/>
      <c r="M140" s="27" t="n"/>
      <c r="N140" s="27" t="n"/>
      <c r="O140" s="27" t="n"/>
      <c r="P140" s="30">
        <f>IF($D140="","",raporTarihi-$D140)</f>
        <v/>
      </c>
      <c r="Q140" s="30">
        <f>IF($P140="","",IF($P140&lt;=sdf_kovaEsik1,"0-30",IF($P140&lt;=sdf_kovaEsik2,"31-60",IF($P140&lt;=sdf_kovaEsik3,"61-90","90+"))))</f>
        <v/>
      </c>
      <c r="R140" s="30">
        <f>IF($A140="","",IF($H140&gt;0,$H140,$G140))</f>
        <v/>
      </c>
      <c r="S140" s="30">
        <f>IF($F140="D8_KAPALI","KAPANAN",IF($F140="IPTAL","IPTAL","ACIK"))</f>
        <v/>
      </c>
      <c r="T140" s="30">
        <f>IF($B140="","YETİM",IF(COUNTIF(tblEkip[EkipId],$B140)=0,"YETİM",""))</f>
        <v/>
      </c>
      <c r="U140" s="30">
        <f>IF(OR($E140&amp;"|"&amp;$F140="",COUNTIF(ListeIzinliGecis,$E140&amp;"|"&amp;$F140)&gt;0),"","GEÇERSİZ GEÇİŞ")</f>
        <v/>
      </c>
      <c r="V140" s="30">
        <f>IF(OR($F140="D8_KAPALI",$F140="D7_ONLE",$I140&gt;0),IF(OR($H140="",$I140=""),"",IF(ABS($I140-$H140)&gt;zincirTolerans,"ZİNCİR KIRIK","OK")),IF($H140&gt;0,IF(OR($G140="",$H140=""),"",IF(ABS($H140-$G140)&gt;zincirTolerans,"ZİNCİR KIRIK","OK")),"OK"))</f>
        <v/>
      </c>
      <c r="W140" s="30">
        <f>IF($A140="","",1)</f>
        <v/>
      </c>
    </row>
    <row r="141">
      <c r="A141" s="27" t="n"/>
      <c r="B141" s="27" t="n"/>
      <c r="C141" s="27" t="n"/>
      <c r="D141" s="32" t="n"/>
      <c r="E141" s="27" t="n"/>
      <c r="F141" s="27" t="n"/>
      <c r="G141" s="31" t="n"/>
      <c r="H141" s="31" t="n"/>
      <c r="I141" s="31" t="n"/>
      <c r="J141" s="29" t="n"/>
      <c r="K141" s="31" t="n"/>
      <c r="L141" s="31" t="n"/>
      <c r="M141" s="27" t="n"/>
      <c r="N141" s="27" t="n"/>
      <c r="O141" s="27" t="n"/>
      <c r="P141" s="30">
        <f>IF($D141="","",raporTarihi-$D141)</f>
        <v/>
      </c>
      <c r="Q141" s="30">
        <f>IF($P141="","",IF($P141&lt;=sdf_kovaEsik1,"0-30",IF($P141&lt;=sdf_kovaEsik2,"31-60",IF($P141&lt;=sdf_kovaEsik3,"61-90","90+"))))</f>
        <v/>
      </c>
      <c r="R141" s="30">
        <f>IF($A141="","",IF($H141&gt;0,$H141,$G141))</f>
        <v/>
      </c>
      <c r="S141" s="30">
        <f>IF($F141="D8_KAPALI","KAPANAN",IF($F141="IPTAL","IPTAL","ACIK"))</f>
        <v/>
      </c>
      <c r="T141" s="30">
        <f>IF($B141="","YETİM",IF(COUNTIF(tblEkip[EkipId],$B141)=0,"YETİM",""))</f>
        <v/>
      </c>
      <c r="U141" s="30">
        <f>IF(OR($E141&amp;"|"&amp;$F141="",COUNTIF(ListeIzinliGecis,$E141&amp;"|"&amp;$F141)&gt;0),"","GEÇERSİZ GEÇİŞ")</f>
        <v/>
      </c>
      <c r="V141" s="30">
        <f>IF(OR($F141="D8_KAPALI",$F141="D7_ONLE",$I141&gt;0),IF(OR($H141="",$I141=""),"",IF(ABS($I141-$H141)&gt;zincirTolerans,"ZİNCİR KIRIK","OK")),IF($H141&gt;0,IF(OR($G141="",$H141=""),"",IF(ABS($H141-$G141)&gt;zincirTolerans,"ZİNCİR KIRIK","OK")),"OK"))</f>
        <v/>
      </c>
      <c r="W141" s="30">
        <f>IF($A141="","",1)</f>
        <v/>
      </c>
    </row>
    <row r="142">
      <c r="A142" s="27" t="n"/>
      <c r="B142" s="27" t="n"/>
      <c r="C142" s="27" t="n"/>
      <c r="D142" s="32" t="n"/>
      <c r="E142" s="27" t="n"/>
      <c r="F142" s="27" t="n"/>
      <c r="G142" s="31" t="n"/>
      <c r="H142" s="31" t="n"/>
      <c r="I142" s="31" t="n"/>
      <c r="J142" s="29" t="n"/>
      <c r="K142" s="31" t="n"/>
      <c r="L142" s="31" t="n"/>
      <c r="M142" s="27" t="n"/>
      <c r="N142" s="27" t="n"/>
      <c r="O142" s="27" t="n"/>
      <c r="P142" s="30">
        <f>IF($D142="","",raporTarihi-$D142)</f>
        <v/>
      </c>
      <c r="Q142" s="30">
        <f>IF($P142="","",IF($P142&lt;=sdf_kovaEsik1,"0-30",IF($P142&lt;=sdf_kovaEsik2,"31-60",IF($P142&lt;=sdf_kovaEsik3,"61-90","90+"))))</f>
        <v/>
      </c>
      <c r="R142" s="30">
        <f>IF($A142="","",IF($H142&gt;0,$H142,$G142))</f>
        <v/>
      </c>
      <c r="S142" s="30">
        <f>IF($F142="D8_KAPALI","KAPANAN",IF($F142="IPTAL","IPTAL","ACIK"))</f>
        <v/>
      </c>
      <c r="T142" s="30">
        <f>IF($B142="","YETİM",IF(COUNTIF(tblEkip[EkipId],$B142)=0,"YETİM",""))</f>
        <v/>
      </c>
      <c r="U142" s="30">
        <f>IF(OR($E142&amp;"|"&amp;$F142="",COUNTIF(ListeIzinliGecis,$E142&amp;"|"&amp;$F142)&gt;0),"","GEÇERSİZ GEÇİŞ")</f>
        <v/>
      </c>
      <c r="V142" s="30">
        <f>IF(OR($F142="D8_KAPALI",$F142="D7_ONLE",$I142&gt;0),IF(OR($H142="",$I142=""),"",IF(ABS($I142-$H142)&gt;zincirTolerans,"ZİNCİR KIRIK","OK")),IF($H142&gt;0,IF(OR($G142="",$H142=""),"",IF(ABS($H142-$G142)&gt;zincirTolerans,"ZİNCİR KIRIK","OK")),"OK"))</f>
        <v/>
      </c>
      <c r="W142" s="30">
        <f>IF($A142="","",1)</f>
        <v/>
      </c>
    </row>
    <row r="143">
      <c r="A143" s="27" t="n"/>
      <c r="B143" s="27" t="n"/>
      <c r="C143" s="27" t="n"/>
      <c r="D143" s="32" t="n"/>
      <c r="E143" s="27" t="n"/>
      <c r="F143" s="27" t="n"/>
      <c r="G143" s="31" t="n"/>
      <c r="H143" s="31" t="n"/>
      <c r="I143" s="31" t="n"/>
      <c r="J143" s="29" t="n"/>
      <c r="K143" s="31" t="n"/>
      <c r="L143" s="31" t="n"/>
      <c r="M143" s="27" t="n"/>
      <c r="N143" s="27" t="n"/>
      <c r="O143" s="27" t="n"/>
      <c r="P143" s="30">
        <f>IF($D143="","",raporTarihi-$D143)</f>
        <v/>
      </c>
      <c r="Q143" s="30">
        <f>IF($P143="","",IF($P143&lt;=sdf_kovaEsik1,"0-30",IF($P143&lt;=sdf_kovaEsik2,"31-60",IF($P143&lt;=sdf_kovaEsik3,"61-90","90+"))))</f>
        <v/>
      </c>
      <c r="R143" s="30">
        <f>IF($A143="","",IF($H143&gt;0,$H143,$G143))</f>
        <v/>
      </c>
      <c r="S143" s="30">
        <f>IF($F143="D8_KAPALI","KAPANAN",IF($F143="IPTAL","IPTAL","ACIK"))</f>
        <v/>
      </c>
      <c r="T143" s="30">
        <f>IF($B143="","YETİM",IF(COUNTIF(tblEkip[EkipId],$B143)=0,"YETİM",""))</f>
        <v/>
      </c>
      <c r="U143" s="30">
        <f>IF(OR($E143&amp;"|"&amp;$F143="",COUNTIF(ListeIzinliGecis,$E143&amp;"|"&amp;$F143)&gt;0),"","GEÇERSİZ GEÇİŞ")</f>
        <v/>
      </c>
      <c r="V143" s="30">
        <f>IF(OR($F143="D8_KAPALI",$F143="D7_ONLE",$I143&gt;0),IF(OR($H143="",$I143=""),"",IF(ABS($I143-$H143)&gt;zincirTolerans,"ZİNCİR KIRIK","OK")),IF($H143&gt;0,IF(OR($G143="",$H143=""),"",IF(ABS($H143-$G143)&gt;zincirTolerans,"ZİNCİR KIRIK","OK")),"OK"))</f>
        <v/>
      </c>
      <c r="W143" s="30">
        <f>IF($A143="","",1)</f>
        <v/>
      </c>
    </row>
    <row r="144">
      <c r="A144" s="27" t="n"/>
      <c r="B144" s="27" t="n"/>
      <c r="C144" s="27" t="n"/>
      <c r="D144" s="32" t="n"/>
      <c r="E144" s="27" t="n"/>
      <c r="F144" s="27" t="n"/>
      <c r="G144" s="31" t="n"/>
      <c r="H144" s="31" t="n"/>
      <c r="I144" s="31" t="n"/>
      <c r="J144" s="29" t="n"/>
      <c r="K144" s="31" t="n"/>
      <c r="L144" s="31" t="n"/>
      <c r="M144" s="27" t="n"/>
      <c r="N144" s="27" t="n"/>
      <c r="O144" s="27" t="n"/>
      <c r="P144" s="30">
        <f>IF($D144="","",raporTarihi-$D144)</f>
        <v/>
      </c>
      <c r="Q144" s="30">
        <f>IF($P144="","",IF($P144&lt;=sdf_kovaEsik1,"0-30",IF($P144&lt;=sdf_kovaEsik2,"31-60",IF($P144&lt;=sdf_kovaEsik3,"61-90","90+"))))</f>
        <v/>
      </c>
      <c r="R144" s="30">
        <f>IF($A144="","",IF($H144&gt;0,$H144,$G144))</f>
        <v/>
      </c>
      <c r="S144" s="30">
        <f>IF($F144="D8_KAPALI","KAPANAN",IF($F144="IPTAL","IPTAL","ACIK"))</f>
        <v/>
      </c>
      <c r="T144" s="30">
        <f>IF($B144="","YETİM",IF(COUNTIF(tblEkip[EkipId],$B144)=0,"YETİM",""))</f>
        <v/>
      </c>
      <c r="U144" s="30">
        <f>IF(OR($E144&amp;"|"&amp;$F144="",COUNTIF(ListeIzinliGecis,$E144&amp;"|"&amp;$F144)&gt;0),"","GEÇERSİZ GEÇİŞ")</f>
        <v/>
      </c>
      <c r="V144" s="30">
        <f>IF(OR($F144="D8_KAPALI",$F144="D7_ONLE",$I144&gt;0),IF(OR($H144="",$I144=""),"",IF(ABS($I144-$H144)&gt;zincirTolerans,"ZİNCİR KIRIK","OK")),IF($H144&gt;0,IF(OR($G144="",$H144=""),"",IF(ABS($H144-$G144)&gt;zincirTolerans,"ZİNCİR KIRIK","OK")),"OK"))</f>
        <v/>
      </c>
      <c r="W144" s="30">
        <f>IF($A144="","",1)</f>
        <v/>
      </c>
    </row>
    <row r="145">
      <c r="A145" s="27" t="n"/>
      <c r="B145" s="27" t="n"/>
      <c r="C145" s="27" t="n"/>
      <c r="D145" s="32" t="n"/>
      <c r="E145" s="27" t="n"/>
      <c r="F145" s="27" t="n"/>
      <c r="G145" s="31" t="n"/>
      <c r="H145" s="31" t="n"/>
      <c r="I145" s="31" t="n"/>
      <c r="J145" s="29" t="n"/>
      <c r="K145" s="31" t="n"/>
      <c r="L145" s="31" t="n"/>
      <c r="M145" s="27" t="n"/>
      <c r="N145" s="27" t="n"/>
      <c r="O145" s="27" t="n"/>
      <c r="P145" s="30">
        <f>IF($D145="","",raporTarihi-$D145)</f>
        <v/>
      </c>
      <c r="Q145" s="30">
        <f>IF($P145="","",IF($P145&lt;=sdf_kovaEsik1,"0-30",IF($P145&lt;=sdf_kovaEsik2,"31-60",IF($P145&lt;=sdf_kovaEsik3,"61-90","90+"))))</f>
        <v/>
      </c>
      <c r="R145" s="30">
        <f>IF($A145="","",IF($H145&gt;0,$H145,$G145))</f>
        <v/>
      </c>
      <c r="S145" s="30">
        <f>IF($F145="D8_KAPALI","KAPANAN",IF($F145="IPTAL","IPTAL","ACIK"))</f>
        <v/>
      </c>
      <c r="T145" s="30">
        <f>IF($B145="","YETİM",IF(COUNTIF(tblEkip[EkipId],$B145)=0,"YETİM",""))</f>
        <v/>
      </c>
      <c r="U145" s="30">
        <f>IF(OR($E145&amp;"|"&amp;$F145="",COUNTIF(ListeIzinliGecis,$E145&amp;"|"&amp;$F145)&gt;0),"","GEÇERSİZ GEÇİŞ")</f>
        <v/>
      </c>
      <c r="V145" s="30">
        <f>IF(OR($F145="D8_KAPALI",$F145="D7_ONLE",$I145&gt;0),IF(OR($H145="",$I145=""),"",IF(ABS($I145-$H145)&gt;zincirTolerans,"ZİNCİR KIRIK","OK")),IF($H145&gt;0,IF(OR($G145="",$H145=""),"",IF(ABS($H145-$G145)&gt;zincirTolerans,"ZİNCİR KIRIK","OK")),"OK"))</f>
        <v/>
      </c>
      <c r="W145" s="30">
        <f>IF($A145="","",1)</f>
        <v/>
      </c>
    </row>
    <row r="146">
      <c r="A146" s="27" t="n"/>
      <c r="B146" s="27" t="n"/>
      <c r="C146" s="27" t="n"/>
      <c r="D146" s="32" t="n"/>
      <c r="E146" s="27" t="n"/>
      <c r="F146" s="27" t="n"/>
      <c r="G146" s="31" t="n"/>
      <c r="H146" s="31" t="n"/>
      <c r="I146" s="31" t="n"/>
      <c r="J146" s="29" t="n"/>
      <c r="K146" s="31" t="n"/>
      <c r="L146" s="31" t="n"/>
      <c r="M146" s="27" t="n"/>
      <c r="N146" s="27" t="n"/>
      <c r="O146" s="27" t="n"/>
      <c r="P146" s="30">
        <f>IF($D146="","",raporTarihi-$D146)</f>
        <v/>
      </c>
      <c r="Q146" s="30">
        <f>IF($P146="","",IF($P146&lt;=sdf_kovaEsik1,"0-30",IF($P146&lt;=sdf_kovaEsik2,"31-60",IF($P146&lt;=sdf_kovaEsik3,"61-90","90+"))))</f>
        <v/>
      </c>
      <c r="R146" s="30">
        <f>IF($A146="","",IF($H146&gt;0,$H146,$G146))</f>
        <v/>
      </c>
      <c r="S146" s="30">
        <f>IF($F146="D8_KAPALI","KAPANAN",IF($F146="IPTAL","IPTAL","ACIK"))</f>
        <v/>
      </c>
      <c r="T146" s="30">
        <f>IF($B146="","YETİM",IF(COUNTIF(tblEkip[EkipId],$B146)=0,"YETİM",""))</f>
        <v/>
      </c>
      <c r="U146" s="30">
        <f>IF(OR($E146&amp;"|"&amp;$F146="",COUNTIF(ListeIzinliGecis,$E146&amp;"|"&amp;$F146)&gt;0),"","GEÇERSİZ GEÇİŞ")</f>
        <v/>
      </c>
      <c r="V146" s="30">
        <f>IF(OR($F146="D8_KAPALI",$F146="D7_ONLE",$I146&gt;0),IF(OR($H146="",$I146=""),"",IF(ABS($I146-$H146)&gt;zincirTolerans,"ZİNCİR KIRIK","OK")),IF($H146&gt;0,IF(OR($G146="",$H146=""),"",IF(ABS($H146-$G146)&gt;zincirTolerans,"ZİNCİR KIRIK","OK")),"OK"))</f>
        <v/>
      </c>
      <c r="W146" s="30">
        <f>IF($A146="","",1)</f>
        <v/>
      </c>
    </row>
    <row r="147">
      <c r="A147" s="27" t="n"/>
      <c r="B147" s="27" t="n"/>
      <c r="C147" s="27" t="n"/>
      <c r="D147" s="32" t="n"/>
      <c r="E147" s="27" t="n"/>
      <c r="F147" s="27" t="n"/>
      <c r="G147" s="31" t="n"/>
      <c r="H147" s="31" t="n"/>
      <c r="I147" s="31" t="n"/>
      <c r="J147" s="29" t="n"/>
      <c r="K147" s="31" t="n"/>
      <c r="L147" s="31" t="n"/>
      <c r="M147" s="27" t="n"/>
      <c r="N147" s="27" t="n"/>
      <c r="O147" s="27" t="n"/>
      <c r="P147" s="30">
        <f>IF($D147="","",raporTarihi-$D147)</f>
        <v/>
      </c>
      <c r="Q147" s="30">
        <f>IF($P147="","",IF($P147&lt;=sdf_kovaEsik1,"0-30",IF($P147&lt;=sdf_kovaEsik2,"31-60",IF($P147&lt;=sdf_kovaEsik3,"61-90","90+"))))</f>
        <v/>
      </c>
      <c r="R147" s="30">
        <f>IF($A147="","",IF($H147&gt;0,$H147,$G147))</f>
        <v/>
      </c>
      <c r="S147" s="30">
        <f>IF($F147="D8_KAPALI","KAPANAN",IF($F147="IPTAL","IPTAL","ACIK"))</f>
        <v/>
      </c>
      <c r="T147" s="30">
        <f>IF($B147="","YETİM",IF(COUNTIF(tblEkip[EkipId],$B147)=0,"YETİM",""))</f>
        <v/>
      </c>
      <c r="U147" s="30">
        <f>IF(OR($E147&amp;"|"&amp;$F147="",COUNTIF(ListeIzinliGecis,$E147&amp;"|"&amp;$F147)&gt;0),"","GEÇERSİZ GEÇİŞ")</f>
        <v/>
      </c>
      <c r="V147" s="30">
        <f>IF(OR($F147="D8_KAPALI",$F147="D7_ONLE",$I147&gt;0),IF(OR($H147="",$I147=""),"",IF(ABS($I147-$H147)&gt;zincirTolerans,"ZİNCİR KIRIK","OK")),IF($H147&gt;0,IF(OR($G147="",$H147=""),"",IF(ABS($H147-$G147)&gt;zincirTolerans,"ZİNCİR KIRIK","OK")),"OK"))</f>
        <v/>
      </c>
      <c r="W147" s="30">
        <f>IF($A147="","",1)</f>
        <v/>
      </c>
    </row>
    <row r="148">
      <c r="A148" s="27" t="n"/>
      <c r="B148" s="27" t="n"/>
      <c r="C148" s="27" t="n"/>
      <c r="D148" s="32" t="n"/>
      <c r="E148" s="27" t="n"/>
      <c r="F148" s="27" t="n"/>
      <c r="G148" s="31" t="n"/>
      <c r="H148" s="31" t="n"/>
      <c r="I148" s="31" t="n"/>
      <c r="J148" s="29" t="n"/>
      <c r="K148" s="31" t="n"/>
      <c r="L148" s="31" t="n"/>
      <c r="M148" s="27" t="n"/>
      <c r="N148" s="27" t="n"/>
      <c r="O148" s="27" t="n"/>
      <c r="P148" s="30">
        <f>IF($D148="","",raporTarihi-$D148)</f>
        <v/>
      </c>
      <c r="Q148" s="30">
        <f>IF($P148="","",IF($P148&lt;=sdf_kovaEsik1,"0-30",IF($P148&lt;=sdf_kovaEsik2,"31-60",IF($P148&lt;=sdf_kovaEsik3,"61-90","90+"))))</f>
        <v/>
      </c>
      <c r="R148" s="30">
        <f>IF($A148="","",IF($H148&gt;0,$H148,$G148))</f>
        <v/>
      </c>
      <c r="S148" s="30">
        <f>IF($F148="D8_KAPALI","KAPANAN",IF($F148="IPTAL","IPTAL","ACIK"))</f>
        <v/>
      </c>
      <c r="T148" s="30">
        <f>IF($B148="","YETİM",IF(COUNTIF(tblEkip[EkipId],$B148)=0,"YETİM",""))</f>
        <v/>
      </c>
      <c r="U148" s="30">
        <f>IF(OR($E148&amp;"|"&amp;$F148="",COUNTIF(ListeIzinliGecis,$E148&amp;"|"&amp;$F148)&gt;0),"","GEÇERSİZ GEÇİŞ")</f>
        <v/>
      </c>
      <c r="V148" s="30">
        <f>IF(OR($F148="D8_KAPALI",$F148="D7_ONLE",$I148&gt;0),IF(OR($H148="",$I148=""),"",IF(ABS($I148-$H148)&gt;zincirTolerans,"ZİNCİR KIRIK","OK")),IF($H148&gt;0,IF(OR($G148="",$H148=""),"",IF(ABS($H148-$G148)&gt;zincirTolerans,"ZİNCİR KIRIK","OK")),"OK"))</f>
        <v/>
      </c>
      <c r="W148" s="30">
        <f>IF($A148="","",1)</f>
        <v/>
      </c>
    </row>
    <row r="149">
      <c r="A149" s="27" t="n"/>
      <c r="B149" s="27" t="n"/>
      <c r="C149" s="27" t="n"/>
      <c r="D149" s="32" t="n"/>
      <c r="E149" s="27" t="n"/>
      <c r="F149" s="27" t="n"/>
      <c r="G149" s="31" t="n"/>
      <c r="H149" s="31" t="n"/>
      <c r="I149" s="31" t="n"/>
      <c r="J149" s="29" t="n"/>
      <c r="K149" s="31" t="n"/>
      <c r="L149" s="31" t="n"/>
      <c r="M149" s="27" t="n"/>
      <c r="N149" s="27" t="n"/>
      <c r="O149" s="27" t="n"/>
      <c r="P149" s="30">
        <f>IF($D149="","",raporTarihi-$D149)</f>
        <v/>
      </c>
      <c r="Q149" s="30">
        <f>IF($P149="","",IF($P149&lt;=sdf_kovaEsik1,"0-30",IF($P149&lt;=sdf_kovaEsik2,"31-60",IF($P149&lt;=sdf_kovaEsik3,"61-90","90+"))))</f>
        <v/>
      </c>
      <c r="R149" s="30">
        <f>IF($A149="","",IF($H149&gt;0,$H149,$G149))</f>
        <v/>
      </c>
      <c r="S149" s="30">
        <f>IF($F149="D8_KAPALI","KAPANAN",IF($F149="IPTAL","IPTAL","ACIK"))</f>
        <v/>
      </c>
      <c r="T149" s="30">
        <f>IF($B149="","YETİM",IF(COUNTIF(tblEkip[EkipId],$B149)=0,"YETİM",""))</f>
        <v/>
      </c>
      <c r="U149" s="30">
        <f>IF(OR($E149&amp;"|"&amp;$F149="",COUNTIF(ListeIzinliGecis,$E149&amp;"|"&amp;$F149)&gt;0),"","GEÇERSİZ GEÇİŞ")</f>
        <v/>
      </c>
      <c r="V149" s="30">
        <f>IF(OR($F149="D8_KAPALI",$F149="D7_ONLE",$I149&gt;0),IF(OR($H149="",$I149=""),"",IF(ABS($I149-$H149)&gt;zincirTolerans,"ZİNCİR KIRIK","OK")),IF($H149&gt;0,IF(OR($G149="",$H149=""),"",IF(ABS($H149-$G149)&gt;zincirTolerans,"ZİNCİR KIRIK","OK")),"OK"))</f>
        <v/>
      </c>
      <c r="W149" s="30">
        <f>IF($A149="","",1)</f>
        <v/>
      </c>
    </row>
    <row r="150">
      <c r="A150" s="27" t="n"/>
      <c r="B150" s="27" t="n"/>
      <c r="C150" s="27" t="n"/>
      <c r="D150" s="32" t="n"/>
      <c r="E150" s="27" t="n"/>
      <c r="F150" s="27" t="n"/>
      <c r="G150" s="31" t="n"/>
      <c r="H150" s="31" t="n"/>
      <c r="I150" s="31" t="n"/>
      <c r="J150" s="29" t="n"/>
      <c r="K150" s="31" t="n"/>
      <c r="L150" s="31" t="n"/>
      <c r="M150" s="27" t="n"/>
      <c r="N150" s="27" t="n"/>
      <c r="O150" s="27" t="n"/>
      <c r="P150" s="30">
        <f>IF($D150="","",raporTarihi-$D150)</f>
        <v/>
      </c>
      <c r="Q150" s="30">
        <f>IF($P150="","",IF($P150&lt;=sdf_kovaEsik1,"0-30",IF($P150&lt;=sdf_kovaEsik2,"31-60",IF($P150&lt;=sdf_kovaEsik3,"61-90","90+"))))</f>
        <v/>
      </c>
      <c r="R150" s="30">
        <f>IF($A150="","",IF($H150&gt;0,$H150,$G150))</f>
        <v/>
      </c>
      <c r="S150" s="30">
        <f>IF($F150="D8_KAPALI","KAPANAN",IF($F150="IPTAL","IPTAL","ACIK"))</f>
        <v/>
      </c>
      <c r="T150" s="30">
        <f>IF($B150="","YETİM",IF(COUNTIF(tblEkip[EkipId],$B150)=0,"YETİM",""))</f>
        <v/>
      </c>
      <c r="U150" s="30">
        <f>IF(OR($E150&amp;"|"&amp;$F150="",COUNTIF(ListeIzinliGecis,$E150&amp;"|"&amp;$F150)&gt;0),"","GEÇERSİZ GEÇİŞ")</f>
        <v/>
      </c>
      <c r="V150" s="30">
        <f>IF(OR($F150="D8_KAPALI",$F150="D7_ONLE",$I150&gt;0),IF(OR($H150="",$I150=""),"",IF(ABS($I150-$H150)&gt;zincirTolerans,"ZİNCİR KIRIK","OK")),IF($H150&gt;0,IF(OR($G150="",$H150=""),"",IF(ABS($H150-$G150)&gt;zincirTolerans,"ZİNCİR KIRIK","OK")),"OK"))</f>
        <v/>
      </c>
      <c r="W150" s="30">
        <f>IF($A150="","",1)</f>
        <v/>
      </c>
    </row>
    <row r="151">
      <c r="A151" s="27" t="n"/>
      <c r="B151" s="27" t="n"/>
      <c r="C151" s="27" t="n"/>
      <c r="D151" s="32" t="n"/>
      <c r="E151" s="27" t="n"/>
      <c r="F151" s="27" t="n"/>
      <c r="G151" s="31" t="n"/>
      <c r="H151" s="31" t="n"/>
      <c r="I151" s="31" t="n"/>
      <c r="J151" s="29" t="n"/>
      <c r="K151" s="31" t="n"/>
      <c r="L151" s="31" t="n"/>
      <c r="M151" s="27" t="n"/>
      <c r="N151" s="27" t="n"/>
      <c r="O151" s="27" t="n"/>
      <c r="P151" s="30">
        <f>IF($D151="","",raporTarihi-$D151)</f>
        <v/>
      </c>
      <c r="Q151" s="30">
        <f>IF($P151="","",IF($P151&lt;=sdf_kovaEsik1,"0-30",IF($P151&lt;=sdf_kovaEsik2,"31-60",IF($P151&lt;=sdf_kovaEsik3,"61-90","90+"))))</f>
        <v/>
      </c>
      <c r="R151" s="30">
        <f>IF($A151="","",IF($H151&gt;0,$H151,$G151))</f>
        <v/>
      </c>
      <c r="S151" s="30">
        <f>IF($F151="D8_KAPALI","KAPANAN",IF($F151="IPTAL","IPTAL","ACIK"))</f>
        <v/>
      </c>
      <c r="T151" s="30">
        <f>IF($B151="","YETİM",IF(COUNTIF(tblEkip[EkipId],$B151)=0,"YETİM",""))</f>
        <v/>
      </c>
      <c r="U151" s="30">
        <f>IF(OR($E151&amp;"|"&amp;$F151="",COUNTIF(ListeIzinliGecis,$E151&amp;"|"&amp;$F151)&gt;0),"","GEÇERSİZ GEÇİŞ")</f>
        <v/>
      </c>
      <c r="V151" s="30">
        <f>IF(OR($F151="D8_KAPALI",$F151="D7_ONLE",$I151&gt;0),IF(OR($H151="",$I151=""),"",IF(ABS($I151-$H151)&gt;zincirTolerans,"ZİNCİR KIRIK","OK")),IF($H151&gt;0,IF(OR($G151="",$H151=""),"",IF(ABS($H151-$G151)&gt;zincirTolerans,"ZİNCİR KIRIK","OK")),"OK"))</f>
        <v/>
      </c>
      <c r="W151" s="30">
        <f>IF($A151="","",1)</f>
        <v/>
      </c>
    </row>
    <row r="152">
      <c r="A152" s="27" t="n"/>
      <c r="B152" s="27" t="n"/>
      <c r="C152" s="27" t="n"/>
      <c r="D152" s="32" t="n"/>
      <c r="E152" s="27" t="n"/>
      <c r="F152" s="27" t="n"/>
      <c r="G152" s="31" t="n"/>
      <c r="H152" s="31" t="n"/>
      <c r="I152" s="31" t="n"/>
      <c r="J152" s="29" t="n"/>
      <c r="K152" s="31" t="n"/>
      <c r="L152" s="31" t="n"/>
      <c r="M152" s="27" t="n"/>
      <c r="N152" s="27" t="n"/>
      <c r="O152" s="27" t="n"/>
      <c r="P152" s="30">
        <f>IF($D152="","",raporTarihi-$D152)</f>
        <v/>
      </c>
      <c r="Q152" s="30">
        <f>IF($P152="","",IF($P152&lt;=sdf_kovaEsik1,"0-30",IF($P152&lt;=sdf_kovaEsik2,"31-60",IF($P152&lt;=sdf_kovaEsik3,"61-90","90+"))))</f>
        <v/>
      </c>
      <c r="R152" s="30">
        <f>IF($A152="","",IF($H152&gt;0,$H152,$G152))</f>
        <v/>
      </c>
      <c r="S152" s="30">
        <f>IF($F152="D8_KAPALI","KAPANAN",IF($F152="IPTAL","IPTAL","ACIK"))</f>
        <v/>
      </c>
      <c r="T152" s="30">
        <f>IF($B152="","YETİM",IF(COUNTIF(tblEkip[EkipId],$B152)=0,"YETİM",""))</f>
        <v/>
      </c>
      <c r="U152" s="30">
        <f>IF(OR($E152&amp;"|"&amp;$F152="",COUNTIF(ListeIzinliGecis,$E152&amp;"|"&amp;$F152)&gt;0),"","GEÇERSİZ GEÇİŞ")</f>
        <v/>
      </c>
      <c r="V152" s="30">
        <f>IF(OR($F152="D8_KAPALI",$F152="D7_ONLE",$I152&gt;0),IF(OR($H152="",$I152=""),"",IF(ABS($I152-$H152)&gt;zincirTolerans,"ZİNCİR KIRIK","OK")),IF($H152&gt;0,IF(OR($G152="",$H152=""),"",IF(ABS($H152-$G152)&gt;zincirTolerans,"ZİNCİR KIRIK","OK")),"OK"))</f>
        <v/>
      </c>
      <c r="W152" s="30">
        <f>IF($A152="","",1)</f>
        <v/>
      </c>
    </row>
    <row r="153">
      <c r="A153" s="27" t="n"/>
      <c r="B153" s="27" t="n"/>
      <c r="C153" s="27" t="n"/>
      <c r="D153" s="32" t="n"/>
      <c r="E153" s="27" t="n"/>
      <c r="F153" s="27" t="n"/>
      <c r="G153" s="31" t="n"/>
      <c r="H153" s="31" t="n"/>
      <c r="I153" s="31" t="n"/>
      <c r="J153" s="29" t="n"/>
      <c r="K153" s="31" t="n"/>
      <c r="L153" s="31" t="n"/>
      <c r="M153" s="27" t="n"/>
      <c r="N153" s="27" t="n"/>
      <c r="O153" s="27" t="n"/>
      <c r="P153" s="30">
        <f>IF($D153="","",raporTarihi-$D153)</f>
        <v/>
      </c>
      <c r="Q153" s="30">
        <f>IF($P153="","",IF($P153&lt;=sdf_kovaEsik1,"0-30",IF($P153&lt;=sdf_kovaEsik2,"31-60",IF($P153&lt;=sdf_kovaEsik3,"61-90","90+"))))</f>
        <v/>
      </c>
      <c r="R153" s="30">
        <f>IF($A153="","",IF($H153&gt;0,$H153,$G153))</f>
        <v/>
      </c>
      <c r="S153" s="30">
        <f>IF($F153="D8_KAPALI","KAPANAN",IF($F153="IPTAL","IPTAL","ACIK"))</f>
        <v/>
      </c>
      <c r="T153" s="30">
        <f>IF($B153="","YETİM",IF(COUNTIF(tblEkip[EkipId],$B153)=0,"YETİM",""))</f>
        <v/>
      </c>
      <c r="U153" s="30">
        <f>IF(OR($E153&amp;"|"&amp;$F153="",COUNTIF(ListeIzinliGecis,$E153&amp;"|"&amp;$F153)&gt;0),"","GEÇERSİZ GEÇİŞ")</f>
        <v/>
      </c>
      <c r="V153" s="30">
        <f>IF(OR($F153="D8_KAPALI",$F153="D7_ONLE",$I153&gt;0),IF(OR($H153="",$I153=""),"",IF(ABS($I153-$H153)&gt;zincirTolerans,"ZİNCİR KIRIK","OK")),IF($H153&gt;0,IF(OR($G153="",$H153=""),"",IF(ABS($H153-$G153)&gt;zincirTolerans,"ZİNCİR KIRIK","OK")),"OK"))</f>
        <v/>
      </c>
      <c r="W153" s="30">
        <f>IF($A153="","",1)</f>
        <v/>
      </c>
    </row>
    <row r="154">
      <c r="A154" s="27" t="n"/>
      <c r="B154" s="27" t="n"/>
      <c r="C154" s="27" t="n"/>
      <c r="D154" s="32" t="n"/>
      <c r="E154" s="27" t="n"/>
      <c r="F154" s="27" t="n"/>
      <c r="G154" s="31" t="n"/>
      <c r="H154" s="31" t="n"/>
      <c r="I154" s="31" t="n"/>
      <c r="J154" s="29" t="n"/>
      <c r="K154" s="31" t="n"/>
      <c r="L154" s="31" t="n"/>
      <c r="M154" s="27" t="n"/>
      <c r="N154" s="27" t="n"/>
      <c r="O154" s="27" t="n"/>
      <c r="P154" s="30">
        <f>IF($D154="","",raporTarihi-$D154)</f>
        <v/>
      </c>
      <c r="Q154" s="30">
        <f>IF($P154="","",IF($P154&lt;=sdf_kovaEsik1,"0-30",IF($P154&lt;=sdf_kovaEsik2,"31-60",IF($P154&lt;=sdf_kovaEsik3,"61-90","90+"))))</f>
        <v/>
      </c>
      <c r="R154" s="30">
        <f>IF($A154="","",IF($H154&gt;0,$H154,$G154))</f>
        <v/>
      </c>
      <c r="S154" s="30">
        <f>IF($F154="D8_KAPALI","KAPANAN",IF($F154="IPTAL","IPTAL","ACIK"))</f>
        <v/>
      </c>
      <c r="T154" s="30">
        <f>IF($B154="","YETİM",IF(COUNTIF(tblEkip[EkipId],$B154)=0,"YETİM",""))</f>
        <v/>
      </c>
      <c r="U154" s="30">
        <f>IF(OR($E154&amp;"|"&amp;$F154="",COUNTIF(ListeIzinliGecis,$E154&amp;"|"&amp;$F154)&gt;0),"","GEÇERSİZ GEÇİŞ")</f>
        <v/>
      </c>
      <c r="V154" s="30">
        <f>IF(OR($F154="D8_KAPALI",$F154="D7_ONLE",$I154&gt;0),IF(OR($H154="",$I154=""),"",IF(ABS($I154-$H154)&gt;zincirTolerans,"ZİNCİR KIRIK","OK")),IF($H154&gt;0,IF(OR($G154="",$H154=""),"",IF(ABS($H154-$G154)&gt;zincirTolerans,"ZİNCİR KIRIK","OK")),"OK"))</f>
        <v/>
      </c>
      <c r="W154" s="30">
        <f>IF($A154="","",1)</f>
        <v/>
      </c>
    </row>
    <row r="155">
      <c r="A155" s="27" t="n"/>
      <c r="B155" s="27" t="n"/>
      <c r="C155" s="27" t="n"/>
      <c r="D155" s="32" t="n"/>
      <c r="E155" s="27" t="n"/>
      <c r="F155" s="27" t="n"/>
      <c r="G155" s="31" t="n"/>
      <c r="H155" s="31" t="n"/>
      <c r="I155" s="31" t="n"/>
      <c r="J155" s="29" t="n"/>
      <c r="K155" s="31" t="n"/>
      <c r="L155" s="31" t="n"/>
      <c r="M155" s="27" t="n"/>
      <c r="N155" s="27" t="n"/>
      <c r="O155" s="27" t="n"/>
      <c r="P155" s="30">
        <f>IF($D155="","",raporTarihi-$D155)</f>
        <v/>
      </c>
      <c r="Q155" s="30">
        <f>IF($P155="","",IF($P155&lt;=sdf_kovaEsik1,"0-30",IF($P155&lt;=sdf_kovaEsik2,"31-60",IF($P155&lt;=sdf_kovaEsik3,"61-90","90+"))))</f>
        <v/>
      </c>
      <c r="R155" s="30">
        <f>IF($A155="","",IF($H155&gt;0,$H155,$G155))</f>
        <v/>
      </c>
      <c r="S155" s="30">
        <f>IF($F155="D8_KAPALI","KAPANAN",IF($F155="IPTAL","IPTAL","ACIK"))</f>
        <v/>
      </c>
      <c r="T155" s="30">
        <f>IF($B155="","YETİM",IF(COUNTIF(tblEkip[EkipId],$B155)=0,"YETİM",""))</f>
        <v/>
      </c>
      <c r="U155" s="30">
        <f>IF(OR($E155&amp;"|"&amp;$F155="",COUNTIF(ListeIzinliGecis,$E155&amp;"|"&amp;$F155)&gt;0),"","GEÇERSİZ GEÇİŞ")</f>
        <v/>
      </c>
      <c r="V155" s="30">
        <f>IF(OR($F155="D8_KAPALI",$F155="D7_ONLE",$I155&gt;0),IF(OR($H155="",$I155=""),"",IF(ABS($I155-$H155)&gt;zincirTolerans,"ZİNCİR KIRIK","OK")),IF($H155&gt;0,IF(OR($G155="",$H155=""),"",IF(ABS($H155-$G155)&gt;zincirTolerans,"ZİNCİR KIRIK","OK")),"OK"))</f>
        <v/>
      </c>
      <c r="W155" s="30">
        <f>IF($A155="","",1)</f>
        <v/>
      </c>
    </row>
    <row r="156">
      <c r="A156" s="27" t="n"/>
      <c r="B156" s="27" t="n"/>
      <c r="C156" s="27" t="n"/>
      <c r="D156" s="32" t="n"/>
      <c r="E156" s="27" t="n"/>
      <c r="F156" s="27" t="n"/>
      <c r="G156" s="31" t="n"/>
      <c r="H156" s="31" t="n"/>
      <c r="I156" s="31" t="n"/>
      <c r="J156" s="29" t="n"/>
      <c r="K156" s="31" t="n"/>
      <c r="L156" s="31" t="n"/>
      <c r="M156" s="27" t="n"/>
      <c r="N156" s="27" t="n"/>
      <c r="O156" s="27" t="n"/>
      <c r="P156" s="30">
        <f>IF($D156="","",raporTarihi-$D156)</f>
        <v/>
      </c>
      <c r="Q156" s="30">
        <f>IF($P156="","",IF($P156&lt;=sdf_kovaEsik1,"0-30",IF($P156&lt;=sdf_kovaEsik2,"31-60",IF($P156&lt;=sdf_kovaEsik3,"61-90","90+"))))</f>
        <v/>
      </c>
      <c r="R156" s="30">
        <f>IF($A156="","",IF($H156&gt;0,$H156,$G156))</f>
        <v/>
      </c>
      <c r="S156" s="30">
        <f>IF($F156="D8_KAPALI","KAPANAN",IF($F156="IPTAL","IPTAL","ACIK"))</f>
        <v/>
      </c>
      <c r="T156" s="30">
        <f>IF($B156="","YETİM",IF(COUNTIF(tblEkip[EkipId],$B156)=0,"YETİM",""))</f>
        <v/>
      </c>
      <c r="U156" s="30">
        <f>IF(OR($E156&amp;"|"&amp;$F156="",COUNTIF(ListeIzinliGecis,$E156&amp;"|"&amp;$F156)&gt;0),"","GEÇERSİZ GEÇİŞ")</f>
        <v/>
      </c>
      <c r="V156" s="30">
        <f>IF(OR($F156="D8_KAPALI",$F156="D7_ONLE",$I156&gt;0),IF(OR($H156="",$I156=""),"",IF(ABS($I156-$H156)&gt;zincirTolerans,"ZİNCİR KIRIK","OK")),IF($H156&gt;0,IF(OR($G156="",$H156=""),"",IF(ABS($H156-$G156)&gt;zincirTolerans,"ZİNCİR KIRIK","OK")),"OK"))</f>
        <v/>
      </c>
      <c r="W156" s="30">
        <f>IF($A156="","",1)</f>
        <v/>
      </c>
    </row>
    <row r="157">
      <c r="A157" s="27" t="n"/>
      <c r="B157" s="27" t="n"/>
      <c r="C157" s="27" t="n"/>
      <c r="D157" s="32" t="n"/>
      <c r="E157" s="27" t="n"/>
      <c r="F157" s="27" t="n"/>
      <c r="G157" s="31" t="n"/>
      <c r="H157" s="31" t="n"/>
      <c r="I157" s="31" t="n"/>
      <c r="J157" s="29" t="n"/>
      <c r="K157" s="31" t="n"/>
      <c r="L157" s="31" t="n"/>
      <c r="M157" s="27" t="n"/>
      <c r="N157" s="27" t="n"/>
      <c r="O157" s="27" t="n"/>
      <c r="P157" s="30">
        <f>IF($D157="","",raporTarihi-$D157)</f>
        <v/>
      </c>
      <c r="Q157" s="30">
        <f>IF($P157="","",IF($P157&lt;=sdf_kovaEsik1,"0-30",IF($P157&lt;=sdf_kovaEsik2,"31-60",IF($P157&lt;=sdf_kovaEsik3,"61-90","90+"))))</f>
        <v/>
      </c>
      <c r="R157" s="30">
        <f>IF($A157="","",IF($H157&gt;0,$H157,$G157))</f>
        <v/>
      </c>
      <c r="S157" s="30">
        <f>IF($F157="D8_KAPALI","KAPANAN",IF($F157="IPTAL","IPTAL","ACIK"))</f>
        <v/>
      </c>
      <c r="T157" s="30">
        <f>IF($B157="","YETİM",IF(COUNTIF(tblEkip[EkipId],$B157)=0,"YETİM",""))</f>
        <v/>
      </c>
      <c r="U157" s="30">
        <f>IF(OR($E157&amp;"|"&amp;$F157="",COUNTIF(ListeIzinliGecis,$E157&amp;"|"&amp;$F157)&gt;0),"","GEÇERSİZ GEÇİŞ")</f>
        <v/>
      </c>
      <c r="V157" s="30">
        <f>IF(OR($F157="D8_KAPALI",$F157="D7_ONLE",$I157&gt;0),IF(OR($H157="",$I157=""),"",IF(ABS($I157-$H157)&gt;zincirTolerans,"ZİNCİR KIRIK","OK")),IF($H157&gt;0,IF(OR($G157="",$H157=""),"",IF(ABS($H157-$G157)&gt;zincirTolerans,"ZİNCİR KIRIK","OK")),"OK"))</f>
        <v/>
      </c>
      <c r="W157" s="30">
        <f>IF($A157="","",1)</f>
        <v/>
      </c>
    </row>
    <row r="158">
      <c r="A158" s="27" t="n"/>
      <c r="B158" s="27" t="n"/>
      <c r="C158" s="27" t="n"/>
      <c r="D158" s="32" t="n"/>
      <c r="E158" s="27" t="n"/>
      <c r="F158" s="27" t="n"/>
      <c r="G158" s="31" t="n"/>
      <c r="H158" s="31" t="n"/>
      <c r="I158" s="31" t="n"/>
      <c r="J158" s="29" t="n"/>
      <c r="K158" s="31" t="n"/>
      <c r="L158" s="31" t="n"/>
      <c r="M158" s="27" t="n"/>
      <c r="N158" s="27" t="n"/>
      <c r="O158" s="27" t="n"/>
      <c r="P158" s="30">
        <f>IF($D158="","",raporTarihi-$D158)</f>
        <v/>
      </c>
      <c r="Q158" s="30">
        <f>IF($P158="","",IF($P158&lt;=sdf_kovaEsik1,"0-30",IF($P158&lt;=sdf_kovaEsik2,"31-60",IF($P158&lt;=sdf_kovaEsik3,"61-90","90+"))))</f>
        <v/>
      </c>
      <c r="R158" s="30">
        <f>IF($A158="","",IF($H158&gt;0,$H158,$G158))</f>
        <v/>
      </c>
      <c r="S158" s="30">
        <f>IF($F158="D8_KAPALI","KAPANAN",IF($F158="IPTAL","IPTAL","ACIK"))</f>
        <v/>
      </c>
      <c r="T158" s="30">
        <f>IF($B158="","YETİM",IF(COUNTIF(tblEkip[EkipId],$B158)=0,"YETİM",""))</f>
        <v/>
      </c>
      <c r="U158" s="30">
        <f>IF(OR($E158&amp;"|"&amp;$F158="",COUNTIF(ListeIzinliGecis,$E158&amp;"|"&amp;$F158)&gt;0),"","GEÇERSİZ GEÇİŞ")</f>
        <v/>
      </c>
      <c r="V158" s="30">
        <f>IF(OR($F158="D8_KAPALI",$F158="D7_ONLE",$I158&gt;0),IF(OR($H158="",$I158=""),"",IF(ABS($I158-$H158)&gt;zincirTolerans,"ZİNCİR KIRIK","OK")),IF($H158&gt;0,IF(OR($G158="",$H158=""),"",IF(ABS($H158-$G158)&gt;zincirTolerans,"ZİNCİR KIRIK","OK")),"OK"))</f>
        <v/>
      </c>
      <c r="W158" s="30">
        <f>IF($A158="","",1)</f>
        <v/>
      </c>
    </row>
    <row r="159">
      <c r="A159" s="27" t="n"/>
      <c r="B159" s="27" t="n"/>
      <c r="C159" s="27" t="n"/>
      <c r="D159" s="32" t="n"/>
      <c r="E159" s="27" t="n"/>
      <c r="F159" s="27" t="n"/>
      <c r="G159" s="31" t="n"/>
      <c r="H159" s="31" t="n"/>
      <c r="I159" s="31" t="n"/>
      <c r="J159" s="29" t="n"/>
      <c r="K159" s="31" t="n"/>
      <c r="L159" s="31" t="n"/>
      <c r="M159" s="27" t="n"/>
      <c r="N159" s="27" t="n"/>
      <c r="O159" s="27" t="n"/>
      <c r="P159" s="30">
        <f>IF($D159="","",raporTarihi-$D159)</f>
        <v/>
      </c>
      <c r="Q159" s="30">
        <f>IF($P159="","",IF($P159&lt;=sdf_kovaEsik1,"0-30",IF($P159&lt;=sdf_kovaEsik2,"31-60",IF($P159&lt;=sdf_kovaEsik3,"61-90","90+"))))</f>
        <v/>
      </c>
      <c r="R159" s="30">
        <f>IF($A159="","",IF($H159&gt;0,$H159,$G159))</f>
        <v/>
      </c>
      <c r="S159" s="30">
        <f>IF($F159="D8_KAPALI","KAPANAN",IF($F159="IPTAL","IPTAL","ACIK"))</f>
        <v/>
      </c>
      <c r="T159" s="30">
        <f>IF($B159="","YETİM",IF(COUNTIF(tblEkip[EkipId],$B159)=0,"YETİM",""))</f>
        <v/>
      </c>
      <c r="U159" s="30">
        <f>IF(OR($E159&amp;"|"&amp;$F159="",COUNTIF(ListeIzinliGecis,$E159&amp;"|"&amp;$F159)&gt;0),"","GEÇERSİZ GEÇİŞ")</f>
        <v/>
      </c>
      <c r="V159" s="30">
        <f>IF(OR($F159="D8_KAPALI",$F159="D7_ONLE",$I159&gt;0),IF(OR($H159="",$I159=""),"",IF(ABS($I159-$H159)&gt;zincirTolerans,"ZİNCİR KIRIK","OK")),IF($H159&gt;0,IF(OR($G159="",$H159=""),"",IF(ABS($H159-$G159)&gt;zincirTolerans,"ZİNCİR KIRIK","OK")),"OK"))</f>
        <v/>
      </c>
      <c r="W159" s="30">
        <f>IF($A159="","",1)</f>
        <v/>
      </c>
    </row>
    <row r="160">
      <c r="A160" s="27" t="n"/>
      <c r="B160" s="27" t="n"/>
      <c r="C160" s="27" t="n"/>
      <c r="D160" s="32" t="n"/>
      <c r="E160" s="27" t="n"/>
      <c r="F160" s="27" t="n"/>
      <c r="G160" s="31" t="n"/>
      <c r="H160" s="31" t="n"/>
      <c r="I160" s="31" t="n"/>
      <c r="J160" s="29" t="n"/>
      <c r="K160" s="31" t="n"/>
      <c r="L160" s="31" t="n"/>
      <c r="M160" s="27" t="n"/>
      <c r="N160" s="27" t="n"/>
      <c r="O160" s="27" t="n"/>
      <c r="P160" s="30">
        <f>IF($D160="","",raporTarihi-$D160)</f>
        <v/>
      </c>
      <c r="Q160" s="30">
        <f>IF($P160="","",IF($P160&lt;=sdf_kovaEsik1,"0-30",IF($P160&lt;=sdf_kovaEsik2,"31-60",IF($P160&lt;=sdf_kovaEsik3,"61-90","90+"))))</f>
        <v/>
      </c>
      <c r="R160" s="30">
        <f>IF($A160="","",IF($H160&gt;0,$H160,$G160))</f>
        <v/>
      </c>
      <c r="S160" s="30">
        <f>IF($F160="D8_KAPALI","KAPANAN",IF($F160="IPTAL","IPTAL","ACIK"))</f>
        <v/>
      </c>
      <c r="T160" s="30">
        <f>IF($B160="","YETİM",IF(COUNTIF(tblEkip[EkipId],$B160)=0,"YETİM",""))</f>
        <v/>
      </c>
      <c r="U160" s="30">
        <f>IF(OR($E160&amp;"|"&amp;$F160="",COUNTIF(ListeIzinliGecis,$E160&amp;"|"&amp;$F160)&gt;0),"","GEÇERSİZ GEÇİŞ")</f>
        <v/>
      </c>
      <c r="V160" s="30">
        <f>IF(OR($F160="D8_KAPALI",$F160="D7_ONLE",$I160&gt;0),IF(OR($H160="",$I160=""),"",IF(ABS($I160-$H160)&gt;zincirTolerans,"ZİNCİR KIRIK","OK")),IF($H160&gt;0,IF(OR($G160="",$H160=""),"",IF(ABS($H160-$G160)&gt;zincirTolerans,"ZİNCİR KIRIK","OK")),"OK"))</f>
        <v/>
      </c>
      <c r="W160" s="30">
        <f>IF($A160="","",1)</f>
        <v/>
      </c>
    </row>
    <row r="161">
      <c r="A161" s="27" t="n"/>
      <c r="B161" s="27" t="n"/>
      <c r="C161" s="27" t="n"/>
      <c r="D161" s="32" t="n"/>
      <c r="E161" s="27" t="n"/>
      <c r="F161" s="27" t="n"/>
      <c r="G161" s="31" t="n"/>
      <c r="H161" s="31" t="n"/>
      <c r="I161" s="31" t="n"/>
      <c r="J161" s="29" t="n"/>
      <c r="K161" s="31" t="n"/>
      <c r="L161" s="31" t="n"/>
      <c r="M161" s="27" t="n"/>
      <c r="N161" s="27" t="n"/>
      <c r="O161" s="27" t="n"/>
      <c r="P161" s="30">
        <f>IF($D161="","",raporTarihi-$D161)</f>
        <v/>
      </c>
      <c r="Q161" s="30">
        <f>IF($P161="","",IF($P161&lt;=sdf_kovaEsik1,"0-30",IF($P161&lt;=sdf_kovaEsik2,"31-60",IF($P161&lt;=sdf_kovaEsik3,"61-90","90+"))))</f>
        <v/>
      </c>
      <c r="R161" s="30">
        <f>IF($A161="","",IF($H161&gt;0,$H161,$G161))</f>
        <v/>
      </c>
      <c r="S161" s="30">
        <f>IF($F161="D8_KAPALI","KAPANAN",IF($F161="IPTAL","IPTAL","ACIK"))</f>
        <v/>
      </c>
      <c r="T161" s="30">
        <f>IF($B161="","YETİM",IF(COUNTIF(tblEkip[EkipId],$B161)=0,"YETİM",""))</f>
        <v/>
      </c>
      <c r="U161" s="30">
        <f>IF(OR($E161&amp;"|"&amp;$F161="",COUNTIF(ListeIzinliGecis,$E161&amp;"|"&amp;$F161)&gt;0),"","GEÇERSİZ GEÇİŞ")</f>
        <v/>
      </c>
      <c r="V161" s="30">
        <f>IF(OR($F161="D8_KAPALI",$F161="D7_ONLE",$I161&gt;0),IF(OR($H161="",$I161=""),"",IF(ABS($I161-$H161)&gt;zincirTolerans,"ZİNCİR KIRIK","OK")),IF($H161&gt;0,IF(OR($G161="",$H161=""),"",IF(ABS($H161-$G161)&gt;zincirTolerans,"ZİNCİR KIRIK","OK")),"OK"))</f>
        <v/>
      </c>
      <c r="W161" s="30">
        <f>IF($A161="","",1)</f>
        <v/>
      </c>
    </row>
    <row r="162">
      <c r="A162" s="27" t="n"/>
      <c r="B162" s="27" t="n"/>
      <c r="C162" s="27" t="n"/>
      <c r="D162" s="32" t="n"/>
      <c r="E162" s="27" t="n"/>
      <c r="F162" s="27" t="n"/>
      <c r="G162" s="31" t="n"/>
      <c r="H162" s="31" t="n"/>
      <c r="I162" s="31" t="n"/>
      <c r="J162" s="29" t="n"/>
      <c r="K162" s="31" t="n"/>
      <c r="L162" s="31" t="n"/>
      <c r="M162" s="27" t="n"/>
      <c r="N162" s="27" t="n"/>
      <c r="O162" s="27" t="n"/>
      <c r="P162" s="30">
        <f>IF($D162="","",raporTarihi-$D162)</f>
        <v/>
      </c>
      <c r="Q162" s="30">
        <f>IF($P162="","",IF($P162&lt;=sdf_kovaEsik1,"0-30",IF($P162&lt;=sdf_kovaEsik2,"31-60",IF($P162&lt;=sdf_kovaEsik3,"61-90","90+"))))</f>
        <v/>
      </c>
      <c r="R162" s="30">
        <f>IF($A162="","",IF($H162&gt;0,$H162,$G162))</f>
        <v/>
      </c>
      <c r="S162" s="30">
        <f>IF($F162="D8_KAPALI","KAPANAN",IF($F162="IPTAL","IPTAL","ACIK"))</f>
        <v/>
      </c>
      <c r="T162" s="30">
        <f>IF($B162="","YETİM",IF(COUNTIF(tblEkip[EkipId],$B162)=0,"YETİM",""))</f>
        <v/>
      </c>
      <c r="U162" s="30">
        <f>IF(OR($E162&amp;"|"&amp;$F162="",COUNTIF(ListeIzinliGecis,$E162&amp;"|"&amp;$F162)&gt;0),"","GEÇERSİZ GEÇİŞ")</f>
        <v/>
      </c>
      <c r="V162" s="30">
        <f>IF(OR($F162="D8_KAPALI",$F162="D7_ONLE",$I162&gt;0),IF(OR($H162="",$I162=""),"",IF(ABS($I162-$H162)&gt;zincirTolerans,"ZİNCİR KIRIK","OK")),IF($H162&gt;0,IF(OR($G162="",$H162=""),"",IF(ABS($H162-$G162)&gt;zincirTolerans,"ZİNCİR KIRIK","OK")),"OK"))</f>
        <v/>
      </c>
      <c r="W162" s="30">
        <f>IF($A162="","",1)</f>
        <v/>
      </c>
    </row>
    <row r="163">
      <c r="A163" s="27" t="n"/>
      <c r="B163" s="27" t="n"/>
      <c r="C163" s="27" t="n"/>
      <c r="D163" s="32" t="n"/>
      <c r="E163" s="27" t="n"/>
      <c r="F163" s="27" t="n"/>
      <c r="G163" s="31" t="n"/>
      <c r="H163" s="31" t="n"/>
      <c r="I163" s="31" t="n"/>
      <c r="J163" s="29" t="n"/>
      <c r="K163" s="31" t="n"/>
      <c r="L163" s="31" t="n"/>
      <c r="M163" s="27" t="n"/>
      <c r="N163" s="27" t="n"/>
      <c r="O163" s="27" t="n"/>
      <c r="P163" s="30">
        <f>IF($D163="","",raporTarihi-$D163)</f>
        <v/>
      </c>
      <c r="Q163" s="30">
        <f>IF($P163="","",IF($P163&lt;=sdf_kovaEsik1,"0-30",IF($P163&lt;=sdf_kovaEsik2,"31-60",IF($P163&lt;=sdf_kovaEsik3,"61-90","90+"))))</f>
        <v/>
      </c>
      <c r="R163" s="30">
        <f>IF($A163="","",IF($H163&gt;0,$H163,$G163))</f>
        <v/>
      </c>
      <c r="S163" s="30">
        <f>IF($F163="D8_KAPALI","KAPANAN",IF($F163="IPTAL","IPTAL","ACIK"))</f>
        <v/>
      </c>
      <c r="T163" s="30">
        <f>IF($B163="","YETİM",IF(COUNTIF(tblEkip[EkipId],$B163)=0,"YETİM",""))</f>
        <v/>
      </c>
      <c r="U163" s="30">
        <f>IF(OR($E163&amp;"|"&amp;$F163="",COUNTIF(ListeIzinliGecis,$E163&amp;"|"&amp;$F163)&gt;0),"","GEÇERSİZ GEÇİŞ")</f>
        <v/>
      </c>
      <c r="V163" s="30">
        <f>IF(OR($F163="D8_KAPALI",$F163="D7_ONLE",$I163&gt;0),IF(OR($H163="",$I163=""),"",IF(ABS($I163-$H163)&gt;zincirTolerans,"ZİNCİR KIRIK","OK")),IF($H163&gt;0,IF(OR($G163="",$H163=""),"",IF(ABS($H163-$G163)&gt;zincirTolerans,"ZİNCİR KIRIK","OK")),"OK"))</f>
        <v/>
      </c>
      <c r="W163" s="30">
        <f>IF($A163="","",1)</f>
        <v/>
      </c>
    </row>
    <row r="164">
      <c r="A164" s="27" t="n"/>
      <c r="B164" s="27" t="n"/>
      <c r="C164" s="27" t="n"/>
      <c r="D164" s="32" t="n"/>
      <c r="E164" s="27" t="n"/>
      <c r="F164" s="27" t="n"/>
      <c r="G164" s="31" t="n"/>
      <c r="H164" s="31" t="n"/>
      <c r="I164" s="31" t="n"/>
      <c r="J164" s="29" t="n"/>
      <c r="K164" s="31" t="n"/>
      <c r="L164" s="31" t="n"/>
      <c r="M164" s="27" t="n"/>
      <c r="N164" s="27" t="n"/>
      <c r="O164" s="27" t="n"/>
      <c r="P164" s="30">
        <f>IF($D164="","",raporTarihi-$D164)</f>
        <v/>
      </c>
      <c r="Q164" s="30">
        <f>IF($P164="","",IF($P164&lt;=sdf_kovaEsik1,"0-30",IF($P164&lt;=sdf_kovaEsik2,"31-60",IF($P164&lt;=sdf_kovaEsik3,"61-90","90+"))))</f>
        <v/>
      </c>
      <c r="R164" s="30">
        <f>IF($A164="","",IF($H164&gt;0,$H164,$G164))</f>
        <v/>
      </c>
      <c r="S164" s="30">
        <f>IF($F164="D8_KAPALI","KAPANAN",IF($F164="IPTAL","IPTAL","ACIK"))</f>
        <v/>
      </c>
      <c r="T164" s="30">
        <f>IF($B164="","YETİM",IF(COUNTIF(tblEkip[EkipId],$B164)=0,"YETİM",""))</f>
        <v/>
      </c>
      <c r="U164" s="30">
        <f>IF(OR($E164&amp;"|"&amp;$F164="",COUNTIF(ListeIzinliGecis,$E164&amp;"|"&amp;$F164)&gt;0),"","GEÇERSİZ GEÇİŞ")</f>
        <v/>
      </c>
      <c r="V164" s="30">
        <f>IF(OR($F164="D8_KAPALI",$F164="D7_ONLE",$I164&gt;0),IF(OR($H164="",$I164=""),"",IF(ABS($I164-$H164)&gt;zincirTolerans,"ZİNCİR KIRIK","OK")),IF($H164&gt;0,IF(OR($G164="",$H164=""),"",IF(ABS($H164-$G164)&gt;zincirTolerans,"ZİNCİR KIRIK","OK")),"OK"))</f>
        <v/>
      </c>
      <c r="W164" s="30">
        <f>IF($A164="","",1)</f>
        <v/>
      </c>
    </row>
    <row r="165">
      <c r="A165" s="27" t="n"/>
      <c r="B165" s="27" t="n"/>
      <c r="C165" s="27" t="n"/>
      <c r="D165" s="32" t="n"/>
      <c r="E165" s="27" t="n"/>
      <c r="F165" s="27" t="n"/>
      <c r="G165" s="31" t="n"/>
      <c r="H165" s="31" t="n"/>
      <c r="I165" s="31" t="n"/>
      <c r="J165" s="29" t="n"/>
      <c r="K165" s="31" t="n"/>
      <c r="L165" s="31" t="n"/>
      <c r="M165" s="27" t="n"/>
      <c r="N165" s="27" t="n"/>
      <c r="O165" s="27" t="n"/>
      <c r="P165" s="30">
        <f>IF($D165="","",raporTarihi-$D165)</f>
        <v/>
      </c>
      <c r="Q165" s="30">
        <f>IF($P165="","",IF($P165&lt;=sdf_kovaEsik1,"0-30",IF($P165&lt;=sdf_kovaEsik2,"31-60",IF($P165&lt;=sdf_kovaEsik3,"61-90","90+"))))</f>
        <v/>
      </c>
      <c r="R165" s="30">
        <f>IF($A165="","",IF($H165&gt;0,$H165,$G165))</f>
        <v/>
      </c>
      <c r="S165" s="30">
        <f>IF($F165="D8_KAPALI","KAPANAN",IF($F165="IPTAL","IPTAL","ACIK"))</f>
        <v/>
      </c>
      <c r="T165" s="30">
        <f>IF($B165="","YETİM",IF(COUNTIF(tblEkip[EkipId],$B165)=0,"YETİM",""))</f>
        <v/>
      </c>
      <c r="U165" s="30">
        <f>IF(OR($E165&amp;"|"&amp;$F165="",COUNTIF(ListeIzinliGecis,$E165&amp;"|"&amp;$F165)&gt;0),"","GEÇERSİZ GEÇİŞ")</f>
        <v/>
      </c>
      <c r="V165" s="30">
        <f>IF(OR($F165="D8_KAPALI",$F165="D7_ONLE",$I165&gt;0),IF(OR($H165="",$I165=""),"",IF(ABS($I165-$H165)&gt;zincirTolerans,"ZİNCİR KIRIK","OK")),IF($H165&gt;0,IF(OR($G165="",$H165=""),"",IF(ABS($H165-$G165)&gt;zincirTolerans,"ZİNCİR KIRIK","OK")),"OK"))</f>
        <v/>
      </c>
      <c r="W165" s="30">
        <f>IF($A165="","",1)</f>
        <v/>
      </c>
    </row>
    <row r="166">
      <c r="A166" s="27" t="n"/>
      <c r="B166" s="27" t="n"/>
      <c r="C166" s="27" t="n"/>
      <c r="D166" s="32" t="n"/>
      <c r="E166" s="27" t="n"/>
      <c r="F166" s="27" t="n"/>
      <c r="G166" s="31" t="n"/>
      <c r="H166" s="31" t="n"/>
      <c r="I166" s="31" t="n"/>
      <c r="J166" s="29" t="n"/>
      <c r="K166" s="31" t="n"/>
      <c r="L166" s="31" t="n"/>
      <c r="M166" s="27" t="n"/>
      <c r="N166" s="27" t="n"/>
      <c r="O166" s="27" t="n"/>
      <c r="P166" s="30">
        <f>IF($D166="","",raporTarihi-$D166)</f>
        <v/>
      </c>
      <c r="Q166" s="30">
        <f>IF($P166="","",IF($P166&lt;=sdf_kovaEsik1,"0-30",IF($P166&lt;=sdf_kovaEsik2,"31-60",IF($P166&lt;=sdf_kovaEsik3,"61-90","90+"))))</f>
        <v/>
      </c>
      <c r="R166" s="30">
        <f>IF($A166="","",IF($H166&gt;0,$H166,$G166))</f>
        <v/>
      </c>
      <c r="S166" s="30">
        <f>IF($F166="D8_KAPALI","KAPANAN",IF($F166="IPTAL","IPTAL","ACIK"))</f>
        <v/>
      </c>
      <c r="T166" s="30">
        <f>IF($B166="","YETİM",IF(COUNTIF(tblEkip[EkipId],$B166)=0,"YETİM",""))</f>
        <v/>
      </c>
      <c r="U166" s="30">
        <f>IF(OR($E166&amp;"|"&amp;$F166="",COUNTIF(ListeIzinliGecis,$E166&amp;"|"&amp;$F166)&gt;0),"","GEÇERSİZ GEÇİŞ")</f>
        <v/>
      </c>
      <c r="V166" s="30">
        <f>IF(OR($F166="D8_KAPALI",$F166="D7_ONLE",$I166&gt;0),IF(OR($H166="",$I166=""),"",IF(ABS($I166-$H166)&gt;zincirTolerans,"ZİNCİR KIRIK","OK")),IF($H166&gt;0,IF(OR($G166="",$H166=""),"",IF(ABS($H166-$G166)&gt;zincirTolerans,"ZİNCİR KIRIK","OK")),"OK"))</f>
        <v/>
      </c>
      <c r="W166" s="30">
        <f>IF($A166="","",1)</f>
        <v/>
      </c>
    </row>
    <row r="167">
      <c r="A167" s="27" t="n"/>
      <c r="B167" s="27" t="n"/>
      <c r="C167" s="27" t="n"/>
      <c r="D167" s="32" t="n"/>
      <c r="E167" s="27" t="n"/>
      <c r="F167" s="27" t="n"/>
      <c r="G167" s="31" t="n"/>
      <c r="H167" s="31" t="n"/>
      <c r="I167" s="31" t="n"/>
      <c r="J167" s="29" t="n"/>
      <c r="K167" s="31" t="n"/>
      <c r="L167" s="31" t="n"/>
      <c r="M167" s="27" t="n"/>
      <c r="N167" s="27" t="n"/>
      <c r="O167" s="27" t="n"/>
      <c r="P167" s="30">
        <f>IF($D167="","",raporTarihi-$D167)</f>
        <v/>
      </c>
      <c r="Q167" s="30">
        <f>IF($P167="","",IF($P167&lt;=sdf_kovaEsik1,"0-30",IF($P167&lt;=sdf_kovaEsik2,"31-60",IF($P167&lt;=sdf_kovaEsik3,"61-90","90+"))))</f>
        <v/>
      </c>
      <c r="R167" s="30">
        <f>IF($A167="","",IF($H167&gt;0,$H167,$G167))</f>
        <v/>
      </c>
      <c r="S167" s="30">
        <f>IF($F167="D8_KAPALI","KAPANAN",IF($F167="IPTAL","IPTAL","ACIK"))</f>
        <v/>
      </c>
      <c r="T167" s="30">
        <f>IF($B167="","YETİM",IF(COUNTIF(tblEkip[EkipId],$B167)=0,"YETİM",""))</f>
        <v/>
      </c>
      <c r="U167" s="30">
        <f>IF(OR($E167&amp;"|"&amp;$F167="",COUNTIF(ListeIzinliGecis,$E167&amp;"|"&amp;$F167)&gt;0),"","GEÇERSİZ GEÇİŞ")</f>
        <v/>
      </c>
      <c r="V167" s="30">
        <f>IF(OR($F167="D8_KAPALI",$F167="D7_ONLE",$I167&gt;0),IF(OR($H167="",$I167=""),"",IF(ABS($I167-$H167)&gt;zincirTolerans,"ZİNCİR KIRIK","OK")),IF($H167&gt;0,IF(OR($G167="",$H167=""),"",IF(ABS($H167-$G167)&gt;zincirTolerans,"ZİNCİR KIRIK","OK")),"OK"))</f>
        <v/>
      </c>
      <c r="W167" s="30">
        <f>IF($A167="","",1)</f>
        <v/>
      </c>
    </row>
    <row r="168">
      <c r="A168" s="27" t="n"/>
      <c r="B168" s="27" t="n"/>
      <c r="C168" s="27" t="n"/>
      <c r="D168" s="32" t="n"/>
      <c r="E168" s="27" t="n"/>
      <c r="F168" s="27" t="n"/>
      <c r="G168" s="31" t="n"/>
      <c r="H168" s="31" t="n"/>
      <c r="I168" s="31" t="n"/>
      <c r="J168" s="29" t="n"/>
      <c r="K168" s="31" t="n"/>
      <c r="L168" s="31" t="n"/>
      <c r="M168" s="27" t="n"/>
      <c r="N168" s="27" t="n"/>
      <c r="O168" s="27" t="n"/>
      <c r="P168" s="30">
        <f>IF($D168="","",raporTarihi-$D168)</f>
        <v/>
      </c>
      <c r="Q168" s="30">
        <f>IF($P168="","",IF($P168&lt;=sdf_kovaEsik1,"0-30",IF($P168&lt;=sdf_kovaEsik2,"31-60",IF($P168&lt;=sdf_kovaEsik3,"61-90","90+"))))</f>
        <v/>
      </c>
      <c r="R168" s="30">
        <f>IF($A168="","",IF($H168&gt;0,$H168,$G168))</f>
        <v/>
      </c>
      <c r="S168" s="30">
        <f>IF($F168="D8_KAPALI","KAPANAN",IF($F168="IPTAL","IPTAL","ACIK"))</f>
        <v/>
      </c>
      <c r="T168" s="30">
        <f>IF($B168="","YETİM",IF(COUNTIF(tblEkip[EkipId],$B168)=0,"YETİM",""))</f>
        <v/>
      </c>
      <c r="U168" s="30">
        <f>IF(OR($E168&amp;"|"&amp;$F168="",COUNTIF(ListeIzinliGecis,$E168&amp;"|"&amp;$F168)&gt;0),"","GEÇERSİZ GEÇİŞ")</f>
        <v/>
      </c>
      <c r="V168" s="30">
        <f>IF(OR($F168="D8_KAPALI",$F168="D7_ONLE",$I168&gt;0),IF(OR($H168="",$I168=""),"",IF(ABS($I168-$H168)&gt;zincirTolerans,"ZİNCİR KIRIK","OK")),IF($H168&gt;0,IF(OR($G168="",$H168=""),"",IF(ABS($H168-$G168)&gt;zincirTolerans,"ZİNCİR KIRIK","OK")),"OK"))</f>
        <v/>
      </c>
      <c r="W168" s="30">
        <f>IF($A168="","",1)</f>
        <v/>
      </c>
    </row>
    <row r="169">
      <c r="A169" s="27" t="n"/>
      <c r="B169" s="27" t="n"/>
      <c r="C169" s="27" t="n"/>
      <c r="D169" s="32" t="n"/>
      <c r="E169" s="27" t="n"/>
      <c r="F169" s="27" t="n"/>
      <c r="G169" s="31" t="n"/>
      <c r="H169" s="31" t="n"/>
      <c r="I169" s="31" t="n"/>
      <c r="J169" s="29" t="n"/>
      <c r="K169" s="31" t="n"/>
      <c r="L169" s="31" t="n"/>
      <c r="M169" s="27" t="n"/>
      <c r="N169" s="27" t="n"/>
      <c r="O169" s="27" t="n"/>
      <c r="P169" s="30">
        <f>IF($D169="","",raporTarihi-$D169)</f>
        <v/>
      </c>
      <c r="Q169" s="30">
        <f>IF($P169="","",IF($P169&lt;=sdf_kovaEsik1,"0-30",IF($P169&lt;=sdf_kovaEsik2,"31-60",IF($P169&lt;=sdf_kovaEsik3,"61-90","90+"))))</f>
        <v/>
      </c>
      <c r="R169" s="30">
        <f>IF($A169="","",IF($H169&gt;0,$H169,$G169))</f>
        <v/>
      </c>
      <c r="S169" s="30">
        <f>IF($F169="D8_KAPALI","KAPANAN",IF($F169="IPTAL","IPTAL","ACIK"))</f>
        <v/>
      </c>
      <c r="T169" s="30">
        <f>IF($B169="","YETİM",IF(COUNTIF(tblEkip[EkipId],$B169)=0,"YETİM",""))</f>
        <v/>
      </c>
      <c r="U169" s="30">
        <f>IF(OR($E169&amp;"|"&amp;$F169="",COUNTIF(ListeIzinliGecis,$E169&amp;"|"&amp;$F169)&gt;0),"","GEÇERSİZ GEÇİŞ")</f>
        <v/>
      </c>
      <c r="V169" s="30">
        <f>IF(OR($F169="D8_KAPALI",$F169="D7_ONLE",$I169&gt;0),IF(OR($H169="",$I169=""),"",IF(ABS($I169-$H169)&gt;zincirTolerans,"ZİNCİR KIRIK","OK")),IF($H169&gt;0,IF(OR($G169="",$H169=""),"",IF(ABS($H169-$G169)&gt;zincirTolerans,"ZİNCİR KIRIK","OK")),"OK"))</f>
        <v/>
      </c>
      <c r="W169" s="30">
        <f>IF($A169="","",1)</f>
        <v/>
      </c>
    </row>
    <row r="170">
      <c r="A170" s="27" t="n"/>
      <c r="B170" s="27" t="n"/>
      <c r="C170" s="27" t="n"/>
      <c r="D170" s="32" t="n"/>
      <c r="E170" s="27" t="n"/>
      <c r="F170" s="27" t="n"/>
      <c r="G170" s="31" t="n"/>
      <c r="H170" s="31" t="n"/>
      <c r="I170" s="31" t="n"/>
      <c r="J170" s="29" t="n"/>
      <c r="K170" s="31" t="n"/>
      <c r="L170" s="31" t="n"/>
      <c r="M170" s="27" t="n"/>
      <c r="N170" s="27" t="n"/>
      <c r="O170" s="27" t="n"/>
      <c r="P170" s="30">
        <f>IF($D170="","",raporTarihi-$D170)</f>
        <v/>
      </c>
      <c r="Q170" s="30">
        <f>IF($P170="","",IF($P170&lt;=sdf_kovaEsik1,"0-30",IF($P170&lt;=sdf_kovaEsik2,"31-60",IF($P170&lt;=sdf_kovaEsik3,"61-90","90+"))))</f>
        <v/>
      </c>
      <c r="R170" s="30">
        <f>IF($A170="","",IF($H170&gt;0,$H170,$G170))</f>
        <v/>
      </c>
      <c r="S170" s="30">
        <f>IF($F170="D8_KAPALI","KAPANAN",IF($F170="IPTAL","IPTAL","ACIK"))</f>
        <v/>
      </c>
      <c r="T170" s="30">
        <f>IF($B170="","YETİM",IF(COUNTIF(tblEkip[EkipId],$B170)=0,"YETİM",""))</f>
        <v/>
      </c>
      <c r="U170" s="30">
        <f>IF(OR($E170&amp;"|"&amp;$F170="",COUNTIF(ListeIzinliGecis,$E170&amp;"|"&amp;$F170)&gt;0),"","GEÇERSİZ GEÇİŞ")</f>
        <v/>
      </c>
      <c r="V170" s="30">
        <f>IF(OR($F170="D8_KAPALI",$F170="D7_ONLE",$I170&gt;0),IF(OR($H170="",$I170=""),"",IF(ABS($I170-$H170)&gt;zincirTolerans,"ZİNCİR KIRIK","OK")),IF($H170&gt;0,IF(OR($G170="",$H170=""),"",IF(ABS($H170-$G170)&gt;zincirTolerans,"ZİNCİR KIRIK","OK")),"OK"))</f>
        <v/>
      </c>
      <c r="W170" s="30">
        <f>IF($A170="","",1)</f>
        <v/>
      </c>
    </row>
    <row r="171">
      <c r="A171" s="27" t="n"/>
      <c r="B171" s="27" t="n"/>
      <c r="C171" s="27" t="n"/>
      <c r="D171" s="32" t="n"/>
      <c r="E171" s="27" t="n"/>
      <c r="F171" s="27" t="n"/>
      <c r="G171" s="31" t="n"/>
      <c r="H171" s="31" t="n"/>
      <c r="I171" s="31" t="n"/>
      <c r="J171" s="29" t="n"/>
      <c r="K171" s="31" t="n"/>
      <c r="L171" s="31" t="n"/>
      <c r="M171" s="27" t="n"/>
      <c r="N171" s="27" t="n"/>
      <c r="O171" s="27" t="n"/>
      <c r="P171" s="30">
        <f>IF($D171="","",raporTarihi-$D171)</f>
        <v/>
      </c>
      <c r="Q171" s="30">
        <f>IF($P171="","",IF($P171&lt;=sdf_kovaEsik1,"0-30",IF($P171&lt;=sdf_kovaEsik2,"31-60",IF($P171&lt;=sdf_kovaEsik3,"61-90","90+"))))</f>
        <v/>
      </c>
      <c r="R171" s="30">
        <f>IF($A171="","",IF($H171&gt;0,$H171,$G171))</f>
        <v/>
      </c>
      <c r="S171" s="30">
        <f>IF($F171="D8_KAPALI","KAPANAN",IF($F171="IPTAL","IPTAL","ACIK"))</f>
        <v/>
      </c>
      <c r="T171" s="30">
        <f>IF($B171="","YETİM",IF(COUNTIF(tblEkip[EkipId],$B171)=0,"YETİM",""))</f>
        <v/>
      </c>
      <c r="U171" s="30">
        <f>IF(OR($E171&amp;"|"&amp;$F171="",COUNTIF(ListeIzinliGecis,$E171&amp;"|"&amp;$F171)&gt;0),"","GEÇERSİZ GEÇİŞ")</f>
        <v/>
      </c>
      <c r="V171" s="30">
        <f>IF(OR($F171="D8_KAPALI",$F171="D7_ONLE",$I171&gt;0),IF(OR($H171="",$I171=""),"",IF(ABS($I171-$H171)&gt;zincirTolerans,"ZİNCİR KIRIK","OK")),IF($H171&gt;0,IF(OR($G171="",$H171=""),"",IF(ABS($H171-$G171)&gt;zincirTolerans,"ZİNCİR KIRIK","OK")),"OK"))</f>
        <v/>
      </c>
      <c r="W171" s="30">
        <f>IF($A171="","",1)</f>
        <v/>
      </c>
    </row>
    <row r="172">
      <c r="A172" s="27" t="n"/>
      <c r="B172" s="27" t="n"/>
      <c r="C172" s="27" t="n"/>
      <c r="D172" s="32" t="n"/>
      <c r="E172" s="27" t="n"/>
      <c r="F172" s="27" t="n"/>
      <c r="G172" s="31" t="n"/>
      <c r="H172" s="31" t="n"/>
      <c r="I172" s="31" t="n"/>
      <c r="J172" s="29" t="n"/>
      <c r="K172" s="31" t="n"/>
      <c r="L172" s="31" t="n"/>
      <c r="M172" s="27" t="n"/>
      <c r="N172" s="27" t="n"/>
      <c r="O172" s="27" t="n"/>
      <c r="P172" s="30">
        <f>IF($D172="","",raporTarihi-$D172)</f>
        <v/>
      </c>
      <c r="Q172" s="30">
        <f>IF($P172="","",IF($P172&lt;=sdf_kovaEsik1,"0-30",IF($P172&lt;=sdf_kovaEsik2,"31-60",IF($P172&lt;=sdf_kovaEsik3,"61-90","90+"))))</f>
        <v/>
      </c>
      <c r="R172" s="30">
        <f>IF($A172="","",IF($H172&gt;0,$H172,$G172))</f>
        <v/>
      </c>
      <c r="S172" s="30">
        <f>IF($F172="D8_KAPALI","KAPANAN",IF($F172="IPTAL","IPTAL","ACIK"))</f>
        <v/>
      </c>
      <c r="T172" s="30">
        <f>IF($B172="","YETİM",IF(COUNTIF(tblEkip[EkipId],$B172)=0,"YETİM",""))</f>
        <v/>
      </c>
      <c r="U172" s="30">
        <f>IF(OR($E172&amp;"|"&amp;$F172="",COUNTIF(ListeIzinliGecis,$E172&amp;"|"&amp;$F172)&gt;0),"","GEÇERSİZ GEÇİŞ")</f>
        <v/>
      </c>
      <c r="V172" s="30">
        <f>IF(OR($F172="D8_KAPALI",$F172="D7_ONLE",$I172&gt;0),IF(OR($H172="",$I172=""),"",IF(ABS($I172-$H172)&gt;zincirTolerans,"ZİNCİR KIRIK","OK")),IF($H172&gt;0,IF(OR($G172="",$H172=""),"",IF(ABS($H172-$G172)&gt;zincirTolerans,"ZİNCİR KIRIK","OK")),"OK"))</f>
        <v/>
      </c>
      <c r="W172" s="30">
        <f>IF($A172="","",1)</f>
        <v/>
      </c>
    </row>
    <row r="173">
      <c r="A173" s="27" t="n"/>
      <c r="B173" s="27" t="n"/>
      <c r="C173" s="27" t="n"/>
      <c r="D173" s="32" t="n"/>
      <c r="E173" s="27" t="n"/>
      <c r="F173" s="27" t="n"/>
      <c r="G173" s="31" t="n"/>
      <c r="H173" s="31" t="n"/>
      <c r="I173" s="31" t="n"/>
      <c r="J173" s="29" t="n"/>
      <c r="K173" s="31" t="n"/>
      <c r="L173" s="31" t="n"/>
      <c r="M173" s="27" t="n"/>
      <c r="N173" s="27" t="n"/>
      <c r="O173" s="27" t="n"/>
      <c r="P173" s="30">
        <f>IF($D173="","",raporTarihi-$D173)</f>
        <v/>
      </c>
      <c r="Q173" s="30">
        <f>IF($P173="","",IF($P173&lt;=sdf_kovaEsik1,"0-30",IF($P173&lt;=sdf_kovaEsik2,"31-60",IF($P173&lt;=sdf_kovaEsik3,"61-90","90+"))))</f>
        <v/>
      </c>
      <c r="R173" s="30">
        <f>IF($A173="","",IF($H173&gt;0,$H173,$G173))</f>
        <v/>
      </c>
      <c r="S173" s="30">
        <f>IF($F173="D8_KAPALI","KAPANAN",IF($F173="IPTAL","IPTAL","ACIK"))</f>
        <v/>
      </c>
      <c r="T173" s="30">
        <f>IF($B173="","YETİM",IF(COUNTIF(tblEkip[EkipId],$B173)=0,"YETİM",""))</f>
        <v/>
      </c>
      <c r="U173" s="30">
        <f>IF(OR($E173&amp;"|"&amp;$F173="",COUNTIF(ListeIzinliGecis,$E173&amp;"|"&amp;$F173)&gt;0),"","GEÇERSİZ GEÇİŞ")</f>
        <v/>
      </c>
      <c r="V173" s="30">
        <f>IF(OR($F173="D8_KAPALI",$F173="D7_ONLE",$I173&gt;0),IF(OR($H173="",$I173=""),"",IF(ABS($I173-$H173)&gt;zincirTolerans,"ZİNCİR KIRIK","OK")),IF($H173&gt;0,IF(OR($G173="",$H173=""),"",IF(ABS($H173-$G173)&gt;zincirTolerans,"ZİNCİR KIRIK","OK")),"OK"))</f>
        <v/>
      </c>
      <c r="W173" s="30">
        <f>IF($A173="","",1)</f>
        <v/>
      </c>
    </row>
    <row r="174">
      <c r="A174" s="27" t="n"/>
      <c r="B174" s="27" t="n"/>
      <c r="C174" s="27" t="n"/>
      <c r="D174" s="32" t="n"/>
      <c r="E174" s="27" t="n"/>
      <c r="F174" s="27" t="n"/>
      <c r="G174" s="31" t="n"/>
      <c r="H174" s="31" t="n"/>
      <c r="I174" s="31" t="n"/>
      <c r="J174" s="29" t="n"/>
      <c r="K174" s="31" t="n"/>
      <c r="L174" s="31" t="n"/>
      <c r="M174" s="27" t="n"/>
      <c r="N174" s="27" t="n"/>
      <c r="O174" s="27" t="n"/>
      <c r="P174" s="30">
        <f>IF($D174="","",raporTarihi-$D174)</f>
        <v/>
      </c>
      <c r="Q174" s="30">
        <f>IF($P174="","",IF($P174&lt;=sdf_kovaEsik1,"0-30",IF($P174&lt;=sdf_kovaEsik2,"31-60",IF($P174&lt;=sdf_kovaEsik3,"61-90","90+"))))</f>
        <v/>
      </c>
      <c r="R174" s="30">
        <f>IF($A174="","",IF($H174&gt;0,$H174,$G174))</f>
        <v/>
      </c>
      <c r="S174" s="30">
        <f>IF($F174="D8_KAPALI","KAPANAN",IF($F174="IPTAL","IPTAL","ACIK"))</f>
        <v/>
      </c>
      <c r="T174" s="30">
        <f>IF($B174="","YETİM",IF(COUNTIF(tblEkip[EkipId],$B174)=0,"YETİM",""))</f>
        <v/>
      </c>
      <c r="U174" s="30">
        <f>IF(OR($E174&amp;"|"&amp;$F174="",COUNTIF(ListeIzinliGecis,$E174&amp;"|"&amp;$F174)&gt;0),"","GEÇERSİZ GEÇİŞ")</f>
        <v/>
      </c>
      <c r="V174" s="30">
        <f>IF(OR($F174="D8_KAPALI",$F174="D7_ONLE",$I174&gt;0),IF(OR($H174="",$I174=""),"",IF(ABS($I174-$H174)&gt;zincirTolerans,"ZİNCİR KIRIK","OK")),IF($H174&gt;0,IF(OR($G174="",$H174=""),"",IF(ABS($H174-$G174)&gt;zincirTolerans,"ZİNCİR KIRIK","OK")),"OK"))</f>
        <v/>
      </c>
      <c r="W174" s="30">
        <f>IF($A174="","",1)</f>
        <v/>
      </c>
    </row>
    <row r="175">
      <c r="A175" s="27" t="n"/>
      <c r="B175" s="27" t="n"/>
      <c r="C175" s="27" t="n"/>
      <c r="D175" s="32" t="n"/>
      <c r="E175" s="27" t="n"/>
      <c r="F175" s="27" t="n"/>
      <c r="G175" s="31" t="n"/>
      <c r="H175" s="31" t="n"/>
      <c r="I175" s="31" t="n"/>
      <c r="J175" s="29" t="n"/>
      <c r="K175" s="31" t="n"/>
      <c r="L175" s="31" t="n"/>
      <c r="M175" s="27" t="n"/>
      <c r="N175" s="27" t="n"/>
      <c r="O175" s="27" t="n"/>
      <c r="P175" s="30">
        <f>IF($D175="","",raporTarihi-$D175)</f>
        <v/>
      </c>
      <c r="Q175" s="30">
        <f>IF($P175="","",IF($P175&lt;=sdf_kovaEsik1,"0-30",IF($P175&lt;=sdf_kovaEsik2,"31-60",IF($P175&lt;=sdf_kovaEsik3,"61-90","90+"))))</f>
        <v/>
      </c>
      <c r="R175" s="30">
        <f>IF($A175="","",IF($H175&gt;0,$H175,$G175))</f>
        <v/>
      </c>
      <c r="S175" s="30">
        <f>IF($F175="D8_KAPALI","KAPANAN",IF($F175="IPTAL","IPTAL","ACIK"))</f>
        <v/>
      </c>
      <c r="T175" s="30">
        <f>IF($B175="","YETİM",IF(COUNTIF(tblEkip[EkipId],$B175)=0,"YETİM",""))</f>
        <v/>
      </c>
      <c r="U175" s="30">
        <f>IF(OR($E175&amp;"|"&amp;$F175="",COUNTIF(ListeIzinliGecis,$E175&amp;"|"&amp;$F175)&gt;0),"","GEÇERSİZ GEÇİŞ")</f>
        <v/>
      </c>
      <c r="V175" s="30">
        <f>IF(OR($F175="D8_KAPALI",$F175="D7_ONLE",$I175&gt;0),IF(OR($H175="",$I175=""),"",IF(ABS($I175-$H175)&gt;zincirTolerans,"ZİNCİR KIRIK","OK")),IF($H175&gt;0,IF(OR($G175="",$H175=""),"",IF(ABS($H175-$G175)&gt;zincirTolerans,"ZİNCİR KIRIK","OK")),"OK"))</f>
        <v/>
      </c>
      <c r="W175" s="30">
        <f>IF($A175="","",1)</f>
        <v/>
      </c>
    </row>
    <row r="176">
      <c r="A176" s="27" t="n"/>
      <c r="B176" s="27" t="n"/>
      <c r="C176" s="27" t="n"/>
      <c r="D176" s="32" t="n"/>
      <c r="E176" s="27" t="n"/>
      <c r="F176" s="27" t="n"/>
      <c r="G176" s="31" t="n"/>
      <c r="H176" s="31" t="n"/>
      <c r="I176" s="31" t="n"/>
      <c r="J176" s="29" t="n"/>
      <c r="K176" s="31" t="n"/>
      <c r="L176" s="31" t="n"/>
      <c r="M176" s="27" t="n"/>
      <c r="N176" s="27" t="n"/>
      <c r="O176" s="27" t="n"/>
      <c r="P176" s="30">
        <f>IF($D176="","",raporTarihi-$D176)</f>
        <v/>
      </c>
      <c r="Q176" s="30">
        <f>IF($P176="","",IF($P176&lt;=sdf_kovaEsik1,"0-30",IF($P176&lt;=sdf_kovaEsik2,"31-60",IF($P176&lt;=sdf_kovaEsik3,"61-90","90+"))))</f>
        <v/>
      </c>
      <c r="R176" s="30">
        <f>IF($A176="","",IF($H176&gt;0,$H176,$G176))</f>
        <v/>
      </c>
      <c r="S176" s="30">
        <f>IF($F176="D8_KAPALI","KAPANAN",IF($F176="IPTAL","IPTAL","ACIK"))</f>
        <v/>
      </c>
      <c r="T176" s="30">
        <f>IF($B176="","YETİM",IF(COUNTIF(tblEkip[EkipId],$B176)=0,"YETİM",""))</f>
        <v/>
      </c>
      <c r="U176" s="30">
        <f>IF(OR($E176&amp;"|"&amp;$F176="",COUNTIF(ListeIzinliGecis,$E176&amp;"|"&amp;$F176)&gt;0),"","GEÇERSİZ GEÇİŞ")</f>
        <v/>
      </c>
      <c r="V176" s="30">
        <f>IF(OR($F176="D8_KAPALI",$F176="D7_ONLE",$I176&gt;0),IF(OR($H176="",$I176=""),"",IF(ABS($I176-$H176)&gt;zincirTolerans,"ZİNCİR KIRIK","OK")),IF($H176&gt;0,IF(OR($G176="",$H176=""),"",IF(ABS($H176-$G176)&gt;zincirTolerans,"ZİNCİR KIRIK","OK")),"OK"))</f>
        <v/>
      </c>
      <c r="W176" s="30">
        <f>IF($A176="","",1)</f>
        <v/>
      </c>
    </row>
    <row r="177">
      <c r="A177" s="27" t="n"/>
      <c r="B177" s="27" t="n"/>
      <c r="C177" s="27" t="n"/>
      <c r="D177" s="32" t="n"/>
      <c r="E177" s="27" t="n"/>
      <c r="F177" s="27" t="n"/>
      <c r="G177" s="31" t="n"/>
      <c r="H177" s="31" t="n"/>
      <c r="I177" s="31" t="n"/>
      <c r="J177" s="29" t="n"/>
      <c r="K177" s="31" t="n"/>
      <c r="L177" s="31" t="n"/>
      <c r="M177" s="27" t="n"/>
      <c r="N177" s="27" t="n"/>
      <c r="O177" s="27" t="n"/>
      <c r="P177" s="30">
        <f>IF($D177="","",raporTarihi-$D177)</f>
        <v/>
      </c>
      <c r="Q177" s="30">
        <f>IF($P177="","",IF($P177&lt;=sdf_kovaEsik1,"0-30",IF($P177&lt;=sdf_kovaEsik2,"31-60",IF($P177&lt;=sdf_kovaEsik3,"61-90","90+"))))</f>
        <v/>
      </c>
      <c r="R177" s="30">
        <f>IF($A177="","",IF($H177&gt;0,$H177,$G177))</f>
        <v/>
      </c>
      <c r="S177" s="30">
        <f>IF($F177="D8_KAPALI","KAPANAN",IF($F177="IPTAL","IPTAL","ACIK"))</f>
        <v/>
      </c>
      <c r="T177" s="30">
        <f>IF($B177="","YETİM",IF(COUNTIF(tblEkip[EkipId],$B177)=0,"YETİM",""))</f>
        <v/>
      </c>
      <c r="U177" s="30">
        <f>IF(OR($E177&amp;"|"&amp;$F177="",COUNTIF(ListeIzinliGecis,$E177&amp;"|"&amp;$F177)&gt;0),"","GEÇERSİZ GEÇİŞ")</f>
        <v/>
      </c>
      <c r="V177" s="30">
        <f>IF(OR($F177="D8_KAPALI",$F177="D7_ONLE",$I177&gt;0),IF(OR($H177="",$I177=""),"",IF(ABS($I177-$H177)&gt;zincirTolerans,"ZİNCİR KIRIK","OK")),IF($H177&gt;0,IF(OR($G177="",$H177=""),"",IF(ABS($H177-$G177)&gt;zincirTolerans,"ZİNCİR KIRIK","OK")),"OK"))</f>
        <v/>
      </c>
      <c r="W177" s="30">
        <f>IF($A177="","",1)</f>
        <v/>
      </c>
    </row>
    <row r="178">
      <c r="A178" s="27" t="n"/>
      <c r="B178" s="27" t="n"/>
      <c r="C178" s="27" t="n"/>
      <c r="D178" s="32" t="n"/>
      <c r="E178" s="27" t="n"/>
      <c r="F178" s="27" t="n"/>
      <c r="G178" s="31" t="n"/>
      <c r="H178" s="31" t="n"/>
      <c r="I178" s="31" t="n"/>
      <c r="J178" s="29" t="n"/>
      <c r="K178" s="31" t="n"/>
      <c r="L178" s="31" t="n"/>
      <c r="M178" s="27" t="n"/>
      <c r="N178" s="27" t="n"/>
      <c r="O178" s="27" t="n"/>
      <c r="P178" s="30">
        <f>IF($D178="","",raporTarihi-$D178)</f>
        <v/>
      </c>
      <c r="Q178" s="30">
        <f>IF($P178="","",IF($P178&lt;=sdf_kovaEsik1,"0-30",IF($P178&lt;=sdf_kovaEsik2,"31-60",IF($P178&lt;=sdf_kovaEsik3,"61-90","90+"))))</f>
        <v/>
      </c>
      <c r="R178" s="30">
        <f>IF($A178="","",IF($H178&gt;0,$H178,$G178))</f>
        <v/>
      </c>
      <c r="S178" s="30">
        <f>IF($F178="D8_KAPALI","KAPANAN",IF($F178="IPTAL","IPTAL","ACIK"))</f>
        <v/>
      </c>
      <c r="T178" s="30">
        <f>IF($B178="","YETİM",IF(COUNTIF(tblEkip[EkipId],$B178)=0,"YETİM",""))</f>
        <v/>
      </c>
      <c r="U178" s="30">
        <f>IF(OR($E178&amp;"|"&amp;$F178="",COUNTIF(ListeIzinliGecis,$E178&amp;"|"&amp;$F178)&gt;0),"","GEÇERSİZ GEÇİŞ")</f>
        <v/>
      </c>
      <c r="V178" s="30">
        <f>IF(OR($F178="D8_KAPALI",$F178="D7_ONLE",$I178&gt;0),IF(OR($H178="",$I178=""),"",IF(ABS($I178-$H178)&gt;zincirTolerans,"ZİNCİR KIRIK","OK")),IF($H178&gt;0,IF(OR($G178="",$H178=""),"",IF(ABS($H178-$G178)&gt;zincirTolerans,"ZİNCİR KIRIK","OK")),"OK"))</f>
        <v/>
      </c>
      <c r="W178" s="30">
        <f>IF($A178="","",1)</f>
        <v/>
      </c>
    </row>
    <row r="179">
      <c r="A179" s="27" t="n"/>
      <c r="B179" s="27" t="n"/>
      <c r="C179" s="27" t="n"/>
      <c r="D179" s="32" t="n"/>
      <c r="E179" s="27" t="n"/>
      <c r="F179" s="27" t="n"/>
      <c r="G179" s="31" t="n"/>
      <c r="H179" s="31" t="n"/>
      <c r="I179" s="31" t="n"/>
      <c r="J179" s="29" t="n"/>
      <c r="K179" s="31" t="n"/>
      <c r="L179" s="31" t="n"/>
      <c r="M179" s="27" t="n"/>
      <c r="N179" s="27" t="n"/>
      <c r="O179" s="27" t="n"/>
      <c r="P179" s="30">
        <f>IF($D179="","",raporTarihi-$D179)</f>
        <v/>
      </c>
      <c r="Q179" s="30">
        <f>IF($P179="","",IF($P179&lt;=sdf_kovaEsik1,"0-30",IF($P179&lt;=sdf_kovaEsik2,"31-60",IF($P179&lt;=sdf_kovaEsik3,"61-90","90+"))))</f>
        <v/>
      </c>
      <c r="R179" s="30">
        <f>IF($A179="","",IF($H179&gt;0,$H179,$G179))</f>
        <v/>
      </c>
      <c r="S179" s="30">
        <f>IF($F179="D8_KAPALI","KAPANAN",IF($F179="IPTAL","IPTAL","ACIK"))</f>
        <v/>
      </c>
      <c r="T179" s="30">
        <f>IF($B179="","YETİM",IF(COUNTIF(tblEkip[EkipId],$B179)=0,"YETİM",""))</f>
        <v/>
      </c>
      <c r="U179" s="30">
        <f>IF(OR($E179&amp;"|"&amp;$F179="",COUNTIF(ListeIzinliGecis,$E179&amp;"|"&amp;$F179)&gt;0),"","GEÇERSİZ GEÇİŞ")</f>
        <v/>
      </c>
      <c r="V179" s="30">
        <f>IF(OR($F179="D8_KAPALI",$F179="D7_ONLE",$I179&gt;0),IF(OR($H179="",$I179=""),"",IF(ABS($I179-$H179)&gt;zincirTolerans,"ZİNCİR KIRIK","OK")),IF($H179&gt;0,IF(OR($G179="",$H179=""),"",IF(ABS($H179-$G179)&gt;zincirTolerans,"ZİNCİR KIRIK","OK")),"OK"))</f>
        <v/>
      </c>
      <c r="W179" s="30">
        <f>IF($A179="","",1)</f>
        <v/>
      </c>
    </row>
    <row r="180">
      <c r="A180" s="27" t="n"/>
      <c r="B180" s="27" t="n"/>
      <c r="C180" s="27" t="n"/>
      <c r="D180" s="32" t="n"/>
      <c r="E180" s="27" t="n"/>
      <c r="F180" s="27" t="n"/>
      <c r="G180" s="31" t="n"/>
      <c r="H180" s="31" t="n"/>
      <c r="I180" s="31" t="n"/>
      <c r="J180" s="29" t="n"/>
      <c r="K180" s="31" t="n"/>
      <c r="L180" s="31" t="n"/>
      <c r="M180" s="27" t="n"/>
      <c r="N180" s="27" t="n"/>
      <c r="O180" s="27" t="n"/>
      <c r="P180" s="30">
        <f>IF($D180="","",raporTarihi-$D180)</f>
        <v/>
      </c>
      <c r="Q180" s="30">
        <f>IF($P180="","",IF($P180&lt;=sdf_kovaEsik1,"0-30",IF($P180&lt;=sdf_kovaEsik2,"31-60",IF($P180&lt;=sdf_kovaEsik3,"61-90","90+"))))</f>
        <v/>
      </c>
      <c r="R180" s="30">
        <f>IF($A180="","",IF($H180&gt;0,$H180,$G180))</f>
        <v/>
      </c>
      <c r="S180" s="30">
        <f>IF($F180="D8_KAPALI","KAPANAN",IF($F180="IPTAL","IPTAL","ACIK"))</f>
        <v/>
      </c>
      <c r="T180" s="30">
        <f>IF($B180="","YETİM",IF(COUNTIF(tblEkip[EkipId],$B180)=0,"YETİM",""))</f>
        <v/>
      </c>
      <c r="U180" s="30">
        <f>IF(OR($E180&amp;"|"&amp;$F180="",COUNTIF(ListeIzinliGecis,$E180&amp;"|"&amp;$F180)&gt;0),"","GEÇERSİZ GEÇİŞ")</f>
        <v/>
      </c>
      <c r="V180" s="30">
        <f>IF(OR($F180="D8_KAPALI",$F180="D7_ONLE",$I180&gt;0),IF(OR($H180="",$I180=""),"",IF(ABS($I180-$H180)&gt;zincirTolerans,"ZİNCİR KIRIK","OK")),IF($H180&gt;0,IF(OR($G180="",$H180=""),"",IF(ABS($H180-$G180)&gt;zincirTolerans,"ZİNCİR KIRIK","OK")),"OK"))</f>
        <v/>
      </c>
      <c r="W180" s="30">
        <f>IF($A180="","",1)</f>
        <v/>
      </c>
    </row>
    <row r="181">
      <c r="A181" s="27" t="n"/>
      <c r="B181" s="27" t="n"/>
      <c r="C181" s="27" t="n"/>
      <c r="D181" s="32" t="n"/>
      <c r="E181" s="27" t="n"/>
      <c r="F181" s="27" t="n"/>
      <c r="G181" s="31" t="n"/>
      <c r="H181" s="31" t="n"/>
      <c r="I181" s="31" t="n"/>
      <c r="J181" s="29" t="n"/>
      <c r="K181" s="31" t="n"/>
      <c r="L181" s="31" t="n"/>
      <c r="M181" s="27" t="n"/>
      <c r="N181" s="27" t="n"/>
      <c r="O181" s="27" t="n"/>
      <c r="P181" s="30">
        <f>IF($D181="","",raporTarihi-$D181)</f>
        <v/>
      </c>
      <c r="Q181" s="30">
        <f>IF($P181="","",IF($P181&lt;=sdf_kovaEsik1,"0-30",IF($P181&lt;=sdf_kovaEsik2,"31-60",IF($P181&lt;=sdf_kovaEsik3,"61-90","90+"))))</f>
        <v/>
      </c>
      <c r="R181" s="30">
        <f>IF($A181="","",IF($H181&gt;0,$H181,$G181))</f>
        <v/>
      </c>
      <c r="S181" s="30">
        <f>IF($F181="D8_KAPALI","KAPANAN",IF($F181="IPTAL","IPTAL","ACIK"))</f>
        <v/>
      </c>
      <c r="T181" s="30">
        <f>IF($B181="","YETİM",IF(COUNTIF(tblEkip[EkipId],$B181)=0,"YETİM",""))</f>
        <v/>
      </c>
      <c r="U181" s="30">
        <f>IF(OR($E181&amp;"|"&amp;$F181="",COUNTIF(ListeIzinliGecis,$E181&amp;"|"&amp;$F181)&gt;0),"","GEÇERSİZ GEÇİŞ")</f>
        <v/>
      </c>
      <c r="V181" s="30">
        <f>IF(OR($F181="D8_KAPALI",$F181="D7_ONLE",$I181&gt;0),IF(OR($H181="",$I181=""),"",IF(ABS($I181-$H181)&gt;zincirTolerans,"ZİNCİR KIRIK","OK")),IF($H181&gt;0,IF(OR($G181="",$H181=""),"",IF(ABS($H181-$G181)&gt;zincirTolerans,"ZİNCİR KIRIK","OK")),"OK"))</f>
        <v/>
      </c>
      <c r="W181" s="30">
        <f>IF($A181="","",1)</f>
        <v/>
      </c>
    </row>
    <row r="182">
      <c r="A182" s="27" t="n"/>
      <c r="B182" s="27" t="n"/>
      <c r="C182" s="27" t="n"/>
      <c r="D182" s="32" t="n"/>
      <c r="E182" s="27" t="n"/>
      <c r="F182" s="27" t="n"/>
      <c r="G182" s="31" t="n"/>
      <c r="H182" s="31" t="n"/>
      <c r="I182" s="31" t="n"/>
      <c r="J182" s="29" t="n"/>
      <c r="K182" s="31" t="n"/>
      <c r="L182" s="31" t="n"/>
      <c r="M182" s="27" t="n"/>
      <c r="N182" s="27" t="n"/>
      <c r="O182" s="27" t="n"/>
      <c r="P182" s="30">
        <f>IF($D182="","",raporTarihi-$D182)</f>
        <v/>
      </c>
      <c r="Q182" s="30">
        <f>IF($P182="","",IF($P182&lt;=sdf_kovaEsik1,"0-30",IF($P182&lt;=sdf_kovaEsik2,"31-60",IF($P182&lt;=sdf_kovaEsik3,"61-90","90+"))))</f>
        <v/>
      </c>
      <c r="R182" s="30">
        <f>IF($A182="","",IF($H182&gt;0,$H182,$G182))</f>
        <v/>
      </c>
      <c r="S182" s="30">
        <f>IF($F182="D8_KAPALI","KAPANAN",IF($F182="IPTAL","IPTAL","ACIK"))</f>
        <v/>
      </c>
      <c r="T182" s="30">
        <f>IF($B182="","YETİM",IF(COUNTIF(tblEkip[EkipId],$B182)=0,"YETİM",""))</f>
        <v/>
      </c>
      <c r="U182" s="30">
        <f>IF(OR($E182&amp;"|"&amp;$F182="",COUNTIF(ListeIzinliGecis,$E182&amp;"|"&amp;$F182)&gt;0),"","GEÇERSİZ GEÇİŞ")</f>
        <v/>
      </c>
      <c r="V182" s="30">
        <f>IF(OR($F182="D8_KAPALI",$F182="D7_ONLE",$I182&gt;0),IF(OR($H182="",$I182=""),"",IF(ABS($I182-$H182)&gt;zincirTolerans,"ZİNCİR KIRIK","OK")),IF($H182&gt;0,IF(OR($G182="",$H182=""),"",IF(ABS($H182-$G182)&gt;zincirTolerans,"ZİNCİR KIRIK","OK")),"OK"))</f>
        <v/>
      </c>
      <c r="W182" s="30">
        <f>IF($A182="","",1)</f>
        <v/>
      </c>
    </row>
    <row r="183">
      <c r="A183" s="27" t="n"/>
      <c r="B183" s="27" t="n"/>
      <c r="C183" s="27" t="n"/>
      <c r="D183" s="32" t="n"/>
      <c r="E183" s="27" t="n"/>
      <c r="F183" s="27" t="n"/>
      <c r="G183" s="31" t="n"/>
      <c r="H183" s="31" t="n"/>
      <c r="I183" s="31" t="n"/>
      <c r="J183" s="29" t="n"/>
      <c r="K183" s="31" t="n"/>
      <c r="L183" s="31" t="n"/>
      <c r="M183" s="27" t="n"/>
      <c r="N183" s="27" t="n"/>
      <c r="O183" s="27" t="n"/>
      <c r="P183" s="30">
        <f>IF($D183="","",raporTarihi-$D183)</f>
        <v/>
      </c>
      <c r="Q183" s="30">
        <f>IF($P183="","",IF($P183&lt;=sdf_kovaEsik1,"0-30",IF($P183&lt;=sdf_kovaEsik2,"31-60",IF($P183&lt;=sdf_kovaEsik3,"61-90","90+"))))</f>
        <v/>
      </c>
      <c r="R183" s="30">
        <f>IF($A183="","",IF($H183&gt;0,$H183,$G183))</f>
        <v/>
      </c>
      <c r="S183" s="30">
        <f>IF($F183="D8_KAPALI","KAPANAN",IF($F183="IPTAL","IPTAL","ACIK"))</f>
        <v/>
      </c>
      <c r="T183" s="30">
        <f>IF($B183="","YETİM",IF(COUNTIF(tblEkip[EkipId],$B183)=0,"YETİM",""))</f>
        <v/>
      </c>
      <c r="U183" s="30">
        <f>IF(OR($E183&amp;"|"&amp;$F183="",COUNTIF(ListeIzinliGecis,$E183&amp;"|"&amp;$F183)&gt;0),"","GEÇERSİZ GEÇİŞ")</f>
        <v/>
      </c>
      <c r="V183" s="30">
        <f>IF(OR($F183="D8_KAPALI",$F183="D7_ONLE",$I183&gt;0),IF(OR($H183="",$I183=""),"",IF(ABS($I183-$H183)&gt;zincirTolerans,"ZİNCİR KIRIK","OK")),IF($H183&gt;0,IF(OR($G183="",$H183=""),"",IF(ABS($H183-$G183)&gt;zincirTolerans,"ZİNCİR KIRIK","OK")),"OK"))</f>
        <v/>
      </c>
      <c r="W183" s="30">
        <f>IF($A183="","",1)</f>
        <v/>
      </c>
    </row>
    <row r="184">
      <c r="A184" s="27" t="n"/>
      <c r="B184" s="27" t="n"/>
      <c r="C184" s="27" t="n"/>
      <c r="D184" s="32" t="n"/>
      <c r="E184" s="27" t="n"/>
      <c r="F184" s="27" t="n"/>
      <c r="G184" s="31" t="n"/>
      <c r="H184" s="31" t="n"/>
      <c r="I184" s="31" t="n"/>
      <c r="J184" s="29" t="n"/>
      <c r="K184" s="31" t="n"/>
      <c r="L184" s="31" t="n"/>
      <c r="M184" s="27" t="n"/>
      <c r="N184" s="27" t="n"/>
      <c r="O184" s="27" t="n"/>
      <c r="P184" s="30">
        <f>IF($D184="","",raporTarihi-$D184)</f>
        <v/>
      </c>
      <c r="Q184" s="30">
        <f>IF($P184="","",IF($P184&lt;=sdf_kovaEsik1,"0-30",IF($P184&lt;=sdf_kovaEsik2,"31-60",IF($P184&lt;=sdf_kovaEsik3,"61-90","90+"))))</f>
        <v/>
      </c>
      <c r="R184" s="30">
        <f>IF($A184="","",IF($H184&gt;0,$H184,$G184))</f>
        <v/>
      </c>
      <c r="S184" s="30">
        <f>IF($F184="D8_KAPALI","KAPANAN",IF($F184="IPTAL","IPTAL","ACIK"))</f>
        <v/>
      </c>
      <c r="T184" s="30">
        <f>IF($B184="","YETİM",IF(COUNTIF(tblEkip[EkipId],$B184)=0,"YETİM",""))</f>
        <v/>
      </c>
      <c r="U184" s="30">
        <f>IF(OR($E184&amp;"|"&amp;$F184="",COUNTIF(ListeIzinliGecis,$E184&amp;"|"&amp;$F184)&gt;0),"","GEÇERSİZ GEÇİŞ")</f>
        <v/>
      </c>
      <c r="V184" s="30">
        <f>IF(OR($F184="D8_KAPALI",$F184="D7_ONLE",$I184&gt;0),IF(OR($H184="",$I184=""),"",IF(ABS($I184-$H184)&gt;zincirTolerans,"ZİNCİR KIRIK","OK")),IF($H184&gt;0,IF(OR($G184="",$H184=""),"",IF(ABS($H184-$G184)&gt;zincirTolerans,"ZİNCİR KIRIK","OK")),"OK"))</f>
        <v/>
      </c>
      <c r="W184" s="30">
        <f>IF($A184="","",1)</f>
        <v/>
      </c>
    </row>
    <row r="185">
      <c r="A185" s="27" t="n"/>
      <c r="B185" s="27" t="n"/>
      <c r="C185" s="27" t="n"/>
      <c r="D185" s="32" t="n"/>
      <c r="E185" s="27" t="n"/>
      <c r="F185" s="27" t="n"/>
      <c r="G185" s="31" t="n"/>
      <c r="H185" s="31" t="n"/>
      <c r="I185" s="31" t="n"/>
      <c r="J185" s="29" t="n"/>
      <c r="K185" s="31" t="n"/>
      <c r="L185" s="31" t="n"/>
      <c r="M185" s="27" t="n"/>
      <c r="N185" s="27" t="n"/>
      <c r="O185" s="27" t="n"/>
      <c r="P185" s="30">
        <f>IF($D185="","",raporTarihi-$D185)</f>
        <v/>
      </c>
      <c r="Q185" s="30">
        <f>IF($P185="","",IF($P185&lt;=sdf_kovaEsik1,"0-30",IF($P185&lt;=sdf_kovaEsik2,"31-60",IF($P185&lt;=sdf_kovaEsik3,"61-90","90+"))))</f>
        <v/>
      </c>
      <c r="R185" s="30">
        <f>IF($A185="","",IF($H185&gt;0,$H185,$G185))</f>
        <v/>
      </c>
      <c r="S185" s="30">
        <f>IF($F185="D8_KAPALI","KAPANAN",IF($F185="IPTAL","IPTAL","ACIK"))</f>
        <v/>
      </c>
      <c r="T185" s="30">
        <f>IF($B185="","YETİM",IF(COUNTIF(tblEkip[EkipId],$B185)=0,"YETİM",""))</f>
        <v/>
      </c>
      <c r="U185" s="30">
        <f>IF(OR($E185&amp;"|"&amp;$F185="",COUNTIF(ListeIzinliGecis,$E185&amp;"|"&amp;$F185)&gt;0),"","GEÇERSİZ GEÇİŞ")</f>
        <v/>
      </c>
      <c r="V185" s="30">
        <f>IF(OR($F185="D8_KAPALI",$F185="D7_ONLE",$I185&gt;0),IF(OR($H185="",$I185=""),"",IF(ABS($I185-$H185)&gt;zincirTolerans,"ZİNCİR KIRIK","OK")),IF($H185&gt;0,IF(OR($G185="",$H185=""),"",IF(ABS($H185-$G185)&gt;zincirTolerans,"ZİNCİR KIRIK","OK")),"OK"))</f>
        <v/>
      </c>
      <c r="W185" s="30">
        <f>IF($A185="","",1)</f>
        <v/>
      </c>
    </row>
    <row r="186">
      <c r="A186" s="27" t="n"/>
      <c r="B186" s="27" t="n"/>
      <c r="C186" s="27" t="n"/>
      <c r="D186" s="32" t="n"/>
      <c r="E186" s="27" t="n"/>
      <c r="F186" s="27" t="n"/>
      <c r="G186" s="31" t="n"/>
      <c r="H186" s="31" t="n"/>
      <c r="I186" s="31" t="n"/>
      <c r="J186" s="29" t="n"/>
      <c r="K186" s="31" t="n"/>
      <c r="L186" s="31" t="n"/>
      <c r="M186" s="27" t="n"/>
      <c r="N186" s="27" t="n"/>
      <c r="O186" s="27" t="n"/>
      <c r="P186" s="30">
        <f>IF($D186="","",raporTarihi-$D186)</f>
        <v/>
      </c>
      <c r="Q186" s="30">
        <f>IF($P186="","",IF($P186&lt;=sdf_kovaEsik1,"0-30",IF($P186&lt;=sdf_kovaEsik2,"31-60",IF($P186&lt;=sdf_kovaEsik3,"61-90","90+"))))</f>
        <v/>
      </c>
      <c r="R186" s="30">
        <f>IF($A186="","",IF($H186&gt;0,$H186,$G186))</f>
        <v/>
      </c>
      <c r="S186" s="30">
        <f>IF($F186="D8_KAPALI","KAPANAN",IF($F186="IPTAL","IPTAL","ACIK"))</f>
        <v/>
      </c>
      <c r="T186" s="30">
        <f>IF($B186="","YETİM",IF(COUNTIF(tblEkip[EkipId],$B186)=0,"YETİM",""))</f>
        <v/>
      </c>
      <c r="U186" s="30">
        <f>IF(OR($E186&amp;"|"&amp;$F186="",COUNTIF(ListeIzinliGecis,$E186&amp;"|"&amp;$F186)&gt;0),"","GEÇERSİZ GEÇİŞ")</f>
        <v/>
      </c>
      <c r="V186" s="30">
        <f>IF(OR($F186="D8_KAPALI",$F186="D7_ONLE",$I186&gt;0),IF(OR($H186="",$I186=""),"",IF(ABS($I186-$H186)&gt;zincirTolerans,"ZİNCİR KIRIK","OK")),IF($H186&gt;0,IF(OR($G186="",$H186=""),"",IF(ABS($H186-$G186)&gt;zincirTolerans,"ZİNCİR KIRIK","OK")),"OK"))</f>
        <v/>
      </c>
      <c r="W186" s="30">
        <f>IF($A186="","",1)</f>
        <v/>
      </c>
    </row>
    <row r="187">
      <c r="A187" s="27" t="n"/>
      <c r="B187" s="27" t="n"/>
      <c r="C187" s="27" t="n"/>
      <c r="D187" s="32" t="n"/>
      <c r="E187" s="27" t="n"/>
      <c r="F187" s="27" t="n"/>
      <c r="G187" s="31" t="n"/>
      <c r="H187" s="31" t="n"/>
      <c r="I187" s="31" t="n"/>
      <c r="J187" s="29" t="n"/>
      <c r="K187" s="31" t="n"/>
      <c r="L187" s="31" t="n"/>
      <c r="M187" s="27" t="n"/>
      <c r="N187" s="27" t="n"/>
      <c r="O187" s="27" t="n"/>
      <c r="P187" s="30">
        <f>IF($D187="","",raporTarihi-$D187)</f>
        <v/>
      </c>
      <c r="Q187" s="30">
        <f>IF($P187="","",IF($P187&lt;=sdf_kovaEsik1,"0-30",IF($P187&lt;=sdf_kovaEsik2,"31-60",IF($P187&lt;=sdf_kovaEsik3,"61-90","90+"))))</f>
        <v/>
      </c>
      <c r="R187" s="30">
        <f>IF($A187="","",IF($H187&gt;0,$H187,$G187))</f>
        <v/>
      </c>
      <c r="S187" s="30">
        <f>IF($F187="D8_KAPALI","KAPANAN",IF($F187="IPTAL","IPTAL","ACIK"))</f>
        <v/>
      </c>
      <c r="T187" s="30">
        <f>IF($B187="","YETİM",IF(COUNTIF(tblEkip[EkipId],$B187)=0,"YETİM",""))</f>
        <v/>
      </c>
      <c r="U187" s="30">
        <f>IF(OR($E187&amp;"|"&amp;$F187="",COUNTIF(ListeIzinliGecis,$E187&amp;"|"&amp;$F187)&gt;0),"","GEÇERSİZ GEÇİŞ")</f>
        <v/>
      </c>
      <c r="V187" s="30">
        <f>IF(OR($F187="D8_KAPALI",$F187="D7_ONLE",$I187&gt;0),IF(OR($H187="",$I187=""),"",IF(ABS($I187-$H187)&gt;zincirTolerans,"ZİNCİR KIRIK","OK")),IF($H187&gt;0,IF(OR($G187="",$H187=""),"",IF(ABS($H187-$G187)&gt;zincirTolerans,"ZİNCİR KIRIK","OK")),"OK"))</f>
        <v/>
      </c>
      <c r="W187" s="30">
        <f>IF($A187="","",1)</f>
        <v/>
      </c>
    </row>
    <row r="188">
      <c r="A188" s="27" t="n"/>
      <c r="B188" s="27" t="n"/>
      <c r="C188" s="27" t="n"/>
      <c r="D188" s="32" t="n"/>
      <c r="E188" s="27" t="n"/>
      <c r="F188" s="27" t="n"/>
      <c r="G188" s="31" t="n"/>
      <c r="H188" s="31" t="n"/>
      <c r="I188" s="31" t="n"/>
      <c r="J188" s="29" t="n"/>
      <c r="K188" s="31" t="n"/>
      <c r="L188" s="31" t="n"/>
      <c r="M188" s="27" t="n"/>
      <c r="N188" s="27" t="n"/>
      <c r="O188" s="27" t="n"/>
      <c r="P188" s="30">
        <f>IF($D188="","",raporTarihi-$D188)</f>
        <v/>
      </c>
      <c r="Q188" s="30">
        <f>IF($P188="","",IF($P188&lt;=sdf_kovaEsik1,"0-30",IF($P188&lt;=sdf_kovaEsik2,"31-60",IF($P188&lt;=sdf_kovaEsik3,"61-90","90+"))))</f>
        <v/>
      </c>
      <c r="R188" s="30">
        <f>IF($A188="","",IF($H188&gt;0,$H188,$G188))</f>
        <v/>
      </c>
      <c r="S188" s="30">
        <f>IF($F188="D8_KAPALI","KAPANAN",IF($F188="IPTAL","IPTAL","ACIK"))</f>
        <v/>
      </c>
      <c r="T188" s="30">
        <f>IF($B188="","YETİM",IF(COUNTIF(tblEkip[EkipId],$B188)=0,"YETİM",""))</f>
        <v/>
      </c>
      <c r="U188" s="30">
        <f>IF(OR($E188&amp;"|"&amp;$F188="",COUNTIF(ListeIzinliGecis,$E188&amp;"|"&amp;$F188)&gt;0),"","GEÇERSİZ GEÇİŞ")</f>
        <v/>
      </c>
      <c r="V188" s="30">
        <f>IF(OR($F188="D8_KAPALI",$F188="D7_ONLE",$I188&gt;0),IF(OR($H188="",$I188=""),"",IF(ABS($I188-$H188)&gt;zincirTolerans,"ZİNCİR KIRIK","OK")),IF($H188&gt;0,IF(OR($G188="",$H188=""),"",IF(ABS($H188-$G188)&gt;zincirTolerans,"ZİNCİR KIRIK","OK")),"OK"))</f>
        <v/>
      </c>
      <c r="W188" s="30">
        <f>IF($A188="","",1)</f>
        <v/>
      </c>
    </row>
    <row r="189">
      <c r="A189" s="27" t="n"/>
      <c r="B189" s="27" t="n"/>
      <c r="C189" s="27" t="n"/>
      <c r="D189" s="32" t="n"/>
      <c r="E189" s="27" t="n"/>
      <c r="F189" s="27" t="n"/>
      <c r="G189" s="31" t="n"/>
      <c r="H189" s="31" t="n"/>
      <c r="I189" s="31" t="n"/>
      <c r="J189" s="29" t="n"/>
      <c r="K189" s="31" t="n"/>
      <c r="L189" s="31" t="n"/>
      <c r="M189" s="27" t="n"/>
      <c r="N189" s="27" t="n"/>
      <c r="O189" s="27" t="n"/>
      <c r="P189" s="30">
        <f>IF($D189="","",raporTarihi-$D189)</f>
        <v/>
      </c>
      <c r="Q189" s="30">
        <f>IF($P189="","",IF($P189&lt;=sdf_kovaEsik1,"0-30",IF($P189&lt;=sdf_kovaEsik2,"31-60",IF($P189&lt;=sdf_kovaEsik3,"61-90","90+"))))</f>
        <v/>
      </c>
      <c r="R189" s="30">
        <f>IF($A189="","",IF($H189&gt;0,$H189,$G189))</f>
        <v/>
      </c>
      <c r="S189" s="30">
        <f>IF($F189="D8_KAPALI","KAPANAN",IF($F189="IPTAL","IPTAL","ACIK"))</f>
        <v/>
      </c>
      <c r="T189" s="30">
        <f>IF($B189="","YETİM",IF(COUNTIF(tblEkip[EkipId],$B189)=0,"YETİM",""))</f>
        <v/>
      </c>
      <c r="U189" s="30">
        <f>IF(OR($E189&amp;"|"&amp;$F189="",COUNTIF(ListeIzinliGecis,$E189&amp;"|"&amp;$F189)&gt;0),"","GEÇERSİZ GEÇİŞ")</f>
        <v/>
      </c>
      <c r="V189" s="30">
        <f>IF(OR($F189="D8_KAPALI",$F189="D7_ONLE",$I189&gt;0),IF(OR($H189="",$I189=""),"",IF(ABS($I189-$H189)&gt;zincirTolerans,"ZİNCİR KIRIK","OK")),IF($H189&gt;0,IF(OR($G189="",$H189=""),"",IF(ABS($H189-$G189)&gt;zincirTolerans,"ZİNCİR KIRIK","OK")),"OK"))</f>
        <v/>
      </c>
      <c r="W189" s="30">
        <f>IF($A189="","",1)</f>
        <v/>
      </c>
    </row>
    <row r="190">
      <c r="A190" s="27" t="n"/>
      <c r="B190" s="27" t="n"/>
      <c r="C190" s="27" t="n"/>
      <c r="D190" s="32" t="n"/>
      <c r="E190" s="27" t="n"/>
      <c r="F190" s="27" t="n"/>
      <c r="G190" s="31" t="n"/>
      <c r="H190" s="31" t="n"/>
      <c r="I190" s="31" t="n"/>
      <c r="J190" s="29" t="n"/>
      <c r="K190" s="31" t="n"/>
      <c r="L190" s="31" t="n"/>
      <c r="M190" s="27" t="n"/>
      <c r="N190" s="27" t="n"/>
      <c r="O190" s="27" t="n"/>
      <c r="P190" s="30">
        <f>IF($D190="","",raporTarihi-$D190)</f>
        <v/>
      </c>
      <c r="Q190" s="30">
        <f>IF($P190="","",IF($P190&lt;=sdf_kovaEsik1,"0-30",IF($P190&lt;=sdf_kovaEsik2,"31-60",IF($P190&lt;=sdf_kovaEsik3,"61-90","90+"))))</f>
        <v/>
      </c>
      <c r="R190" s="30">
        <f>IF($A190="","",IF($H190&gt;0,$H190,$G190))</f>
        <v/>
      </c>
      <c r="S190" s="30">
        <f>IF($F190="D8_KAPALI","KAPANAN",IF($F190="IPTAL","IPTAL","ACIK"))</f>
        <v/>
      </c>
      <c r="T190" s="30">
        <f>IF($B190="","YETİM",IF(COUNTIF(tblEkip[EkipId],$B190)=0,"YETİM",""))</f>
        <v/>
      </c>
      <c r="U190" s="30">
        <f>IF(OR($E190&amp;"|"&amp;$F190="",COUNTIF(ListeIzinliGecis,$E190&amp;"|"&amp;$F190)&gt;0),"","GEÇERSİZ GEÇİŞ")</f>
        <v/>
      </c>
      <c r="V190" s="30">
        <f>IF(OR($F190="D8_KAPALI",$F190="D7_ONLE",$I190&gt;0),IF(OR($H190="",$I190=""),"",IF(ABS($I190-$H190)&gt;zincirTolerans,"ZİNCİR KIRIK","OK")),IF($H190&gt;0,IF(OR($G190="",$H190=""),"",IF(ABS($H190-$G190)&gt;zincirTolerans,"ZİNCİR KIRIK","OK")),"OK"))</f>
        <v/>
      </c>
      <c r="W190" s="30">
        <f>IF($A190="","",1)</f>
        <v/>
      </c>
    </row>
    <row r="191">
      <c r="A191" s="27" t="n"/>
      <c r="B191" s="27" t="n"/>
      <c r="C191" s="27" t="n"/>
      <c r="D191" s="32" t="n"/>
      <c r="E191" s="27" t="n"/>
      <c r="F191" s="27" t="n"/>
      <c r="G191" s="31" t="n"/>
      <c r="H191" s="31" t="n"/>
      <c r="I191" s="31" t="n"/>
      <c r="J191" s="29" t="n"/>
      <c r="K191" s="31" t="n"/>
      <c r="L191" s="31" t="n"/>
      <c r="M191" s="27" t="n"/>
      <c r="N191" s="27" t="n"/>
      <c r="O191" s="27" t="n"/>
      <c r="P191" s="30">
        <f>IF($D191="","",raporTarihi-$D191)</f>
        <v/>
      </c>
      <c r="Q191" s="30">
        <f>IF($P191="","",IF($P191&lt;=sdf_kovaEsik1,"0-30",IF($P191&lt;=sdf_kovaEsik2,"31-60",IF($P191&lt;=sdf_kovaEsik3,"61-90","90+"))))</f>
        <v/>
      </c>
      <c r="R191" s="30">
        <f>IF($A191="","",IF($H191&gt;0,$H191,$G191))</f>
        <v/>
      </c>
      <c r="S191" s="30">
        <f>IF($F191="D8_KAPALI","KAPANAN",IF($F191="IPTAL","IPTAL","ACIK"))</f>
        <v/>
      </c>
      <c r="T191" s="30">
        <f>IF($B191="","YETİM",IF(COUNTIF(tblEkip[EkipId],$B191)=0,"YETİM",""))</f>
        <v/>
      </c>
      <c r="U191" s="30">
        <f>IF(OR($E191&amp;"|"&amp;$F191="",COUNTIF(ListeIzinliGecis,$E191&amp;"|"&amp;$F191)&gt;0),"","GEÇERSİZ GEÇİŞ")</f>
        <v/>
      </c>
      <c r="V191" s="30">
        <f>IF(OR($F191="D8_KAPALI",$F191="D7_ONLE",$I191&gt;0),IF(OR($H191="",$I191=""),"",IF(ABS($I191-$H191)&gt;zincirTolerans,"ZİNCİR KIRIK","OK")),IF($H191&gt;0,IF(OR($G191="",$H191=""),"",IF(ABS($H191-$G191)&gt;zincirTolerans,"ZİNCİR KIRIK","OK")),"OK"))</f>
        <v/>
      </c>
      <c r="W191" s="30">
        <f>IF($A191="","",1)</f>
        <v/>
      </c>
    </row>
    <row r="192">
      <c r="A192" s="27" t="n"/>
      <c r="B192" s="27" t="n"/>
      <c r="C192" s="27" t="n"/>
      <c r="D192" s="32" t="n"/>
      <c r="E192" s="27" t="n"/>
      <c r="F192" s="27" t="n"/>
      <c r="G192" s="31" t="n"/>
      <c r="H192" s="31" t="n"/>
      <c r="I192" s="31" t="n"/>
      <c r="J192" s="29" t="n"/>
      <c r="K192" s="31" t="n"/>
      <c r="L192" s="31" t="n"/>
      <c r="M192" s="27" t="n"/>
      <c r="N192" s="27" t="n"/>
      <c r="O192" s="27" t="n"/>
      <c r="P192" s="30">
        <f>IF($D192="","",raporTarihi-$D192)</f>
        <v/>
      </c>
      <c r="Q192" s="30">
        <f>IF($P192="","",IF($P192&lt;=sdf_kovaEsik1,"0-30",IF($P192&lt;=sdf_kovaEsik2,"31-60",IF($P192&lt;=sdf_kovaEsik3,"61-90","90+"))))</f>
        <v/>
      </c>
      <c r="R192" s="30">
        <f>IF($A192="","",IF($H192&gt;0,$H192,$G192))</f>
        <v/>
      </c>
      <c r="S192" s="30">
        <f>IF($F192="D8_KAPALI","KAPANAN",IF($F192="IPTAL","IPTAL","ACIK"))</f>
        <v/>
      </c>
      <c r="T192" s="30">
        <f>IF($B192="","YETİM",IF(COUNTIF(tblEkip[EkipId],$B192)=0,"YETİM",""))</f>
        <v/>
      </c>
      <c r="U192" s="30">
        <f>IF(OR($E192&amp;"|"&amp;$F192="",COUNTIF(ListeIzinliGecis,$E192&amp;"|"&amp;$F192)&gt;0),"","GEÇERSİZ GEÇİŞ")</f>
        <v/>
      </c>
      <c r="V192" s="30">
        <f>IF(OR($F192="D8_KAPALI",$F192="D7_ONLE",$I192&gt;0),IF(OR($H192="",$I192=""),"",IF(ABS($I192-$H192)&gt;zincirTolerans,"ZİNCİR KIRIK","OK")),IF($H192&gt;0,IF(OR($G192="",$H192=""),"",IF(ABS($H192-$G192)&gt;zincirTolerans,"ZİNCİR KIRIK","OK")),"OK"))</f>
        <v/>
      </c>
      <c r="W192" s="30">
        <f>IF($A192="","",1)</f>
        <v/>
      </c>
    </row>
    <row r="193">
      <c r="A193" s="27" t="n"/>
      <c r="B193" s="27" t="n"/>
      <c r="C193" s="27" t="n"/>
      <c r="D193" s="32" t="n"/>
      <c r="E193" s="27" t="n"/>
      <c r="F193" s="27" t="n"/>
      <c r="G193" s="31" t="n"/>
      <c r="H193" s="31" t="n"/>
      <c r="I193" s="31" t="n"/>
      <c r="J193" s="29" t="n"/>
      <c r="K193" s="31" t="n"/>
      <c r="L193" s="31" t="n"/>
      <c r="M193" s="27" t="n"/>
      <c r="N193" s="27" t="n"/>
      <c r="O193" s="27" t="n"/>
      <c r="P193" s="30">
        <f>IF($D193="","",raporTarihi-$D193)</f>
        <v/>
      </c>
      <c r="Q193" s="30">
        <f>IF($P193="","",IF($P193&lt;=sdf_kovaEsik1,"0-30",IF($P193&lt;=sdf_kovaEsik2,"31-60",IF($P193&lt;=sdf_kovaEsik3,"61-90","90+"))))</f>
        <v/>
      </c>
      <c r="R193" s="30">
        <f>IF($A193="","",IF($H193&gt;0,$H193,$G193))</f>
        <v/>
      </c>
      <c r="S193" s="30">
        <f>IF($F193="D8_KAPALI","KAPANAN",IF($F193="IPTAL","IPTAL","ACIK"))</f>
        <v/>
      </c>
      <c r="T193" s="30">
        <f>IF($B193="","YETİM",IF(COUNTIF(tblEkip[EkipId],$B193)=0,"YETİM",""))</f>
        <v/>
      </c>
      <c r="U193" s="30">
        <f>IF(OR($E193&amp;"|"&amp;$F193="",COUNTIF(ListeIzinliGecis,$E193&amp;"|"&amp;$F193)&gt;0),"","GEÇERSİZ GEÇİŞ")</f>
        <v/>
      </c>
      <c r="V193" s="30">
        <f>IF(OR($F193="D8_KAPALI",$F193="D7_ONLE",$I193&gt;0),IF(OR($H193="",$I193=""),"",IF(ABS($I193-$H193)&gt;zincirTolerans,"ZİNCİR KIRIK","OK")),IF($H193&gt;0,IF(OR($G193="",$H193=""),"",IF(ABS($H193-$G193)&gt;zincirTolerans,"ZİNCİR KIRIK","OK")),"OK"))</f>
        <v/>
      </c>
      <c r="W193" s="30">
        <f>IF($A193="","",1)</f>
        <v/>
      </c>
    </row>
    <row r="194">
      <c r="A194" s="27" t="n"/>
      <c r="B194" s="27" t="n"/>
      <c r="C194" s="27" t="n"/>
      <c r="D194" s="32" t="n"/>
      <c r="E194" s="27" t="n"/>
      <c r="F194" s="27" t="n"/>
      <c r="G194" s="31" t="n"/>
      <c r="H194" s="31" t="n"/>
      <c r="I194" s="31" t="n"/>
      <c r="J194" s="29" t="n"/>
      <c r="K194" s="31" t="n"/>
      <c r="L194" s="31" t="n"/>
      <c r="M194" s="27" t="n"/>
      <c r="N194" s="27" t="n"/>
      <c r="O194" s="27" t="n"/>
      <c r="P194" s="30">
        <f>IF($D194="","",raporTarihi-$D194)</f>
        <v/>
      </c>
      <c r="Q194" s="30">
        <f>IF($P194="","",IF($P194&lt;=sdf_kovaEsik1,"0-30",IF($P194&lt;=sdf_kovaEsik2,"31-60",IF($P194&lt;=sdf_kovaEsik3,"61-90","90+"))))</f>
        <v/>
      </c>
      <c r="R194" s="30">
        <f>IF($A194="","",IF($H194&gt;0,$H194,$G194))</f>
        <v/>
      </c>
      <c r="S194" s="30">
        <f>IF($F194="D8_KAPALI","KAPANAN",IF($F194="IPTAL","IPTAL","ACIK"))</f>
        <v/>
      </c>
      <c r="T194" s="30">
        <f>IF($B194="","YETİM",IF(COUNTIF(tblEkip[EkipId],$B194)=0,"YETİM",""))</f>
        <v/>
      </c>
      <c r="U194" s="30">
        <f>IF(OR($E194&amp;"|"&amp;$F194="",COUNTIF(ListeIzinliGecis,$E194&amp;"|"&amp;$F194)&gt;0),"","GEÇERSİZ GEÇİŞ")</f>
        <v/>
      </c>
      <c r="V194" s="30">
        <f>IF(OR($F194="D8_KAPALI",$F194="D7_ONLE",$I194&gt;0),IF(OR($H194="",$I194=""),"",IF(ABS($I194-$H194)&gt;zincirTolerans,"ZİNCİR KIRIK","OK")),IF($H194&gt;0,IF(OR($G194="",$H194=""),"",IF(ABS($H194-$G194)&gt;zincirTolerans,"ZİNCİR KIRIK","OK")),"OK"))</f>
        <v/>
      </c>
      <c r="W194" s="30">
        <f>IF($A194="","",1)</f>
        <v/>
      </c>
    </row>
    <row r="195">
      <c r="A195" s="27" t="n"/>
      <c r="B195" s="27" t="n"/>
      <c r="C195" s="27" t="n"/>
      <c r="D195" s="32" t="n"/>
      <c r="E195" s="27" t="n"/>
      <c r="F195" s="27" t="n"/>
      <c r="G195" s="31" t="n"/>
      <c r="H195" s="31" t="n"/>
      <c r="I195" s="31" t="n"/>
      <c r="J195" s="29" t="n"/>
      <c r="K195" s="31" t="n"/>
      <c r="L195" s="31" t="n"/>
      <c r="M195" s="27" t="n"/>
      <c r="N195" s="27" t="n"/>
      <c r="O195" s="27" t="n"/>
      <c r="P195" s="30">
        <f>IF($D195="","",raporTarihi-$D195)</f>
        <v/>
      </c>
      <c r="Q195" s="30">
        <f>IF($P195="","",IF($P195&lt;=sdf_kovaEsik1,"0-30",IF($P195&lt;=sdf_kovaEsik2,"31-60",IF($P195&lt;=sdf_kovaEsik3,"61-90","90+"))))</f>
        <v/>
      </c>
      <c r="R195" s="30">
        <f>IF($A195="","",IF($H195&gt;0,$H195,$G195))</f>
        <v/>
      </c>
      <c r="S195" s="30">
        <f>IF($F195="D8_KAPALI","KAPANAN",IF($F195="IPTAL","IPTAL","ACIK"))</f>
        <v/>
      </c>
      <c r="T195" s="30">
        <f>IF($B195="","YETİM",IF(COUNTIF(tblEkip[EkipId],$B195)=0,"YETİM",""))</f>
        <v/>
      </c>
      <c r="U195" s="30">
        <f>IF(OR($E195&amp;"|"&amp;$F195="",COUNTIF(ListeIzinliGecis,$E195&amp;"|"&amp;$F195)&gt;0),"","GEÇERSİZ GEÇİŞ")</f>
        <v/>
      </c>
      <c r="V195" s="30">
        <f>IF(OR($F195="D8_KAPALI",$F195="D7_ONLE",$I195&gt;0),IF(OR($H195="",$I195=""),"",IF(ABS($I195-$H195)&gt;zincirTolerans,"ZİNCİR KIRIK","OK")),IF($H195&gt;0,IF(OR($G195="",$H195=""),"",IF(ABS($H195-$G195)&gt;zincirTolerans,"ZİNCİR KIRIK","OK")),"OK"))</f>
        <v/>
      </c>
      <c r="W195" s="30">
        <f>IF($A195="","",1)</f>
        <v/>
      </c>
    </row>
    <row r="196">
      <c r="A196" s="27" t="n"/>
      <c r="B196" s="27" t="n"/>
      <c r="C196" s="27" t="n"/>
      <c r="D196" s="32" t="n"/>
      <c r="E196" s="27" t="n"/>
      <c r="F196" s="27" t="n"/>
      <c r="G196" s="31" t="n"/>
      <c r="H196" s="31" t="n"/>
      <c r="I196" s="31" t="n"/>
      <c r="J196" s="29" t="n"/>
      <c r="K196" s="31" t="n"/>
      <c r="L196" s="31" t="n"/>
      <c r="M196" s="27" t="n"/>
      <c r="N196" s="27" t="n"/>
      <c r="O196" s="27" t="n"/>
      <c r="P196" s="30">
        <f>IF($D196="","",raporTarihi-$D196)</f>
        <v/>
      </c>
      <c r="Q196" s="30">
        <f>IF($P196="","",IF($P196&lt;=sdf_kovaEsik1,"0-30",IF($P196&lt;=sdf_kovaEsik2,"31-60",IF($P196&lt;=sdf_kovaEsik3,"61-90","90+"))))</f>
        <v/>
      </c>
      <c r="R196" s="30">
        <f>IF($A196="","",IF($H196&gt;0,$H196,$G196))</f>
        <v/>
      </c>
      <c r="S196" s="30">
        <f>IF($F196="D8_KAPALI","KAPANAN",IF($F196="IPTAL","IPTAL","ACIK"))</f>
        <v/>
      </c>
      <c r="T196" s="30">
        <f>IF($B196="","YETİM",IF(COUNTIF(tblEkip[EkipId],$B196)=0,"YETİM",""))</f>
        <v/>
      </c>
      <c r="U196" s="30">
        <f>IF(OR($E196&amp;"|"&amp;$F196="",COUNTIF(ListeIzinliGecis,$E196&amp;"|"&amp;$F196)&gt;0),"","GEÇERSİZ GEÇİŞ")</f>
        <v/>
      </c>
      <c r="V196" s="30">
        <f>IF(OR($F196="D8_KAPALI",$F196="D7_ONLE",$I196&gt;0),IF(OR($H196="",$I196=""),"",IF(ABS($I196-$H196)&gt;zincirTolerans,"ZİNCİR KIRIK","OK")),IF($H196&gt;0,IF(OR($G196="",$H196=""),"",IF(ABS($H196-$G196)&gt;zincirTolerans,"ZİNCİR KIRIK","OK")),"OK"))</f>
        <v/>
      </c>
      <c r="W196" s="30">
        <f>IF($A196="","",1)</f>
        <v/>
      </c>
    </row>
    <row r="197">
      <c r="A197" s="27" t="n"/>
      <c r="B197" s="27" t="n"/>
      <c r="C197" s="27" t="n"/>
      <c r="D197" s="32" t="n"/>
      <c r="E197" s="27" t="n"/>
      <c r="F197" s="27" t="n"/>
      <c r="G197" s="31" t="n"/>
      <c r="H197" s="31" t="n"/>
      <c r="I197" s="31" t="n"/>
      <c r="J197" s="29" t="n"/>
      <c r="K197" s="31" t="n"/>
      <c r="L197" s="31" t="n"/>
      <c r="M197" s="27" t="n"/>
      <c r="N197" s="27" t="n"/>
      <c r="O197" s="27" t="n"/>
      <c r="P197" s="30">
        <f>IF($D197="","",raporTarihi-$D197)</f>
        <v/>
      </c>
      <c r="Q197" s="30">
        <f>IF($P197="","",IF($P197&lt;=sdf_kovaEsik1,"0-30",IF($P197&lt;=sdf_kovaEsik2,"31-60",IF($P197&lt;=sdf_kovaEsik3,"61-90","90+"))))</f>
        <v/>
      </c>
      <c r="R197" s="30">
        <f>IF($A197="","",IF($H197&gt;0,$H197,$G197))</f>
        <v/>
      </c>
      <c r="S197" s="30">
        <f>IF($F197="D8_KAPALI","KAPANAN",IF($F197="IPTAL","IPTAL","ACIK"))</f>
        <v/>
      </c>
      <c r="T197" s="30">
        <f>IF($B197="","YETİM",IF(COUNTIF(tblEkip[EkipId],$B197)=0,"YETİM",""))</f>
        <v/>
      </c>
      <c r="U197" s="30">
        <f>IF(OR($E197&amp;"|"&amp;$F197="",COUNTIF(ListeIzinliGecis,$E197&amp;"|"&amp;$F197)&gt;0),"","GEÇERSİZ GEÇİŞ")</f>
        <v/>
      </c>
      <c r="V197" s="30">
        <f>IF(OR($F197="D8_KAPALI",$F197="D7_ONLE",$I197&gt;0),IF(OR($H197="",$I197=""),"",IF(ABS($I197-$H197)&gt;zincirTolerans,"ZİNCİR KIRIK","OK")),IF($H197&gt;0,IF(OR($G197="",$H197=""),"",IF(ABS($H197-$G197)&gt;zincirTolerans,"ZİNCİR KIRIK","OK")),"OK"))</f>
        <v/>
      </c>
      <c r="W197" s="30">
        <f>IF($A197="","",1)</f>
        <v/>
      </c>
    </row>
    <row r="198">
      <c r="A198" s="27" t="n"/>
      <c r="B198" s="27" t="n"/>
      <c r="C198" s="27" t="n"/>
      <c r="D198" s="32" t="n"/>
      <c r="E198" s="27" t="n"/>
      <c r="F198" s="27" t="n"/>
      <c r="G198" s="31" t="n"/>
      <c r="H198" s="31" t="n"/>
      <c r="I198" s="31" t="n"/>
      <c r="J198" s="29" t="n"/>
      <c r="K198" s="31" t="n"/>
      <c r="L198" s="31" t="n"/>
      <c r="M198" s="27" t="n"/>
      <c r="N198" s="27" t="n"/>
      <c r="O198" s="27" t="n"/>
      <c r="P198" s="30">
        <f>IF($D198="","",raporTarihi-$D198)</f>
        <v/>
      </c>
      <c r="Q198" s="30">
        <f>IF($P198="","",IF($P198&lt;=sdf_kovaEsik1,"0-30",IF($P198&lt;=sdf_kovaEsik2,"31-60",IF($P198&lt;=sdf_kovaEsik3,"61-90","90+"))))</f>
        <v/>
      </c>
      <c r="R198" s="30">
        <f>IF($A198="","",IF($H198&gt;0,$H198,$G198))</f>
        <v/>
      </c>
      <c r="S198" s="30">
        <f>IF($F198="D8_KAPALI","KAPANAN",IF($F198="IPTAL","IPTAL","ACIK"))</f>
        <v/>
      </c>
      <c r="T198" s="30">
        <f>IF($B198="","YETİM",IF(COUNTIF(tblEkip[EkipId],$B198)=0,"YETİM",""))</f>
        <v/>
      </c>
      <c r="U198" s="30">
        <f>IF(OR($E198&amp;"|"&amp;$F198="",COUNTIF(ListeIzinliGecis,$E198&amp;"|"&amp;$F198)&gt;0),"","GEÇERSİZ GEÇİŞ")</f>
        <v/>
      </c>
      <c r="V198" s="30">
        <f>IF(OR($F198="D8_KAPALI",$F198="D7_ONLE",$I198&gt;0),IF(OR($H198="",$I198=""),"",IF(ABS($I198-$H198)&gt;zincirTolerans,"ZİNCİR KIRIK","OK")),IF($H198&gt;0,IF(OR($G198="",$H198=""),"",IF(ABS($H198-$G198)&gt;zincirTolerans,"ZİNCİR KIRIK","OK")),"OK"))</f>
        <v/>
      </c>
      <c r="W198" s="30">
        <f>IF($A198="","",1)</f>
        <v/>
      </c>
    </row>
    <row r="199">
      <c r="A199" s="27" t="n"/>
      <c r="B199" s="27" t="n"/>
      <c r="C199" s="27" t="n"/>
      <c r="D199" s="32" t="n"/>
      <c r="E199" s="27" t="n"/>
      <c r="F199" s="27" t="n"/>
      <c r="G199" s="31" t="n"/>
      <c r="H199" s="31" t="n"/>
      <c r="I199" s="31" t="n"/>
      <c r="J199" s="29" t="n"/>
      <c r="K199" s="31" t="n"/>
      <c r="L199" s="31" t="n"/>
      <c r="M199" s="27" t="n"/>
      <c r="N199" s="27" t="n"/>
      <c r="O199" s="27" t="n"/>
      <c r="P199" s="30">
        <f>IF($D199="","",raporTarihi-$D199)</f>
        <v/>
      </c>
      <c r="Q199" s="30">
        <f>IF($P199="","",IF($P199&lt;=sdf_kovaEsik1,"0-30",IF($P199&lt;=sdf_kovaEsik2,"31-60",IF($P199&lt;=sdf_kovaEsik3,"61-90","90+"))))</f>
        <v/>
      </c>
      <c r="R199" s="30">
        <f>IF($A199="","",IF($H199&gt;0,$H199,$G199))</f>
        <v/>
      </c>
      <c r="S199" s="30">
        <f>IF($F199="D8_KAPALI","KAPANAN",IF($F199="IPTAL","IPTAL","ACIK"))</f>
        <v/>
      </c>
      <c r="T199" s="30">
        <f>IF($B199="","YETİM",IF(COUNTIF(tblEkip[EkipId],$B199)=0,"YETİM",""))</f>
        <v/>
      </c>
      <c r="U199" s="30">
        <f>IF(OR($E199&amp;"|"&amp;$F199="",COUNTIF(ListeIzinliGecis,$E199&amp;"|"&amp;$F199)&gt;0),"","GEÇERSİZ GEÇİŞ")</f>
        <v/>
      </c>
      <c r="V199" s="30">
        <f>IF(OR($F199="D8_KAPALI",$F199="D7_ONLE",$I199&gt;0),IF(OR($H199="",$I199=""),"",IF(ABS($I199-$H199)&gt;zincirTolerans,"ZİNCİR KIRIK","OK")),IF($H199&gt;0,IF(OR($G199="",$H199=""),"",IF(ABS($H199-$G199)&gt;zincirTolerans,"ZİNCİR KIRIK","OK")),"OK"))</f>
        <v/>
      </c>
      <c r="W199" s="30">
        <f>IF($A199="","",1)</f>
        <v/>
      </c>
    </row>
    <row r="200">
      <c r="A200" s="27" t="n"/>
      <c r="B200" s="27" t="n"/>
      <c r="C200" s="27" t="n"/>
      <c r="D200" s="32" t="n"/>
      <c r="E200" s="27" t="n"/>
      <c r="F200" s="27" t="n"/>
      <c r="G200" s="31" t="n"/>
      <c r="H200" s="31" t="n"/>
      <c r="I200" s="31" t="n"/>
      <c r="J200" s="29" t="n"/>
      <c r="K200" s="31" t="n"/>
      <c r="L200" s="31" t="n"/>
      <c r="M200" s="27" t="n"/>
      <c r="N200" s="27" t="n"/>
      <c r="O200" s="27" t="n"/>
      <c r="P200" s="30">
        <f>IF($D200="","",raporTarihi-$D200)</f>
        <v/>
      </c>
      <c r="Q200" s="30">
        <f>IF($P200="","",IF($P200&lt;=sdf_kovaEsik1,"0-30",IF($P200&lt;=sdf_kovaEsik2,"31-60",IF($P200&lt;=sdf_kovaEsik3,"61-90","90+"))))</f>
        <v/>
      </c>
      <c r="R200" s="30">
        <f>IF($A200="","",IF($H200&gt;0,$H200,$G200))</f>
        <v/>
      </c>
      <c r="S200" s="30">
        <f>IF($F200="D8_KAPALI","KAPANAN",IF($F200="IPTAL","IPTAL","ACIK"))</f>
        <v/>
      </c>
      <c r="T200" s="30">
        <f>IF($B200="","YETİM",IF(COUNTIF(tblEkip[EkipId],$B200)=0,"YETİM",""))</f>
        <v/>
      </c>
      <c r="U200" s="30">
        <f>IF(OR($E200&amp;"|"&amp;$F200="",COUNTIF(ListeIzinliGecis,$E200&amp;"|"&amp;$F200)&gt;0),"","GEÇERSİZ GEÇİŞ")</f>
        <v/>
      </c>
      <c r="V200" s="30">
        <f>IF(OR($F200="D8_KAPALI",$F200="D7_ONLE",$I200&gt;0),IF(OR($H200="",$I200=""),"",IF(ABS($I200-$H200)&gt;zincirTolerans,"ZİNCİR KIRIK","OK")),IF($H200&gt;0,IF(OR($G200="",$H200=""),"",IF(ABS($H200-$G200)&gt;zincirTolerans,"ZİNCİR KIRIK","OK")),"OK"))</f>
        <v/>
      </c>
      <c r="W200" s="30">
        <f>IF($A200="","",1)</f>
        <v/>
      </c>
    </row>
    <row r="201">
      <c r="A201" s="27" t="n"/>
      <c r="B201" s="27" t="n"/>
      <c r="C201" s="27" t="n"/>
      <c r="D201" s="32" t="n"/>
      <c r="E201" s="27" t="n"/>
      <c r="F201" s="27" t="n"/>
      <c r="G201" s="31" t="n"/>
      <c r="H201" s="31" t="n"/>
      <c r="I201" s="31" t="n"/>
      <c r="J201" s="29" t="n"/>
      <c r="K201" s="31" t="n"/>
      <c r="L201" s="31" t="n"/>
      <c r="M201" s="27" t="n"/>
      <c r="N201" s="27" t="n"/>
      <c r="O201" s="27" t="n"/>
      <c r="P201" s="30">
        <f>IF($D201="","",raporTarihi-$D201)</f>
        <v/>
      </c>
      <c r="Q201" s="30">
        <f>IF($P201="","",IF($P201&lt;=sdf_kovaEsik1,"0-30",IF($P201&lt;=sdf_kovaEsik2,"31-60",IF($P201&lt;=sdf_kovaEsik3,"61-90","90+"))))</f>
        <v/>
      </c>
      <c r="R201" s="30">
        <f>IF($A201="","",IF($H201&gt;0,$H201,$G201))</f>
        <v/>
      </c>
      <c r="S201" s="30">
        <f>IF($F201="D8_KAPALI","KAPANAN",IF($F201="IPTAL","IPTAL","ACIK"))</f>
        <v/>
      </c>
      <c r="T201" s="30">
        <f>IF($B201="","YETİM",IF(COUNTIF(tblEkip[EkipId],$B201)=0,"YETİM",""))</f>
        <v/>
      </c>
      <c r="U201" s="30">
        <f>IF(OR($E201&amp;"|"&amp;$F201="",COUNTIF(ListeIzinliGecis,$E201&amp;"|"&amp;$F201)&gt;0),"","GEÇERSİZ GEÇİŞ")</f>
        <v/>
      </c>
      <c r="V201" s="30">
        <f>IF(OR($F201="D8_KAPALI",$F201="D7_ONLE",$I201&gt;0),IF(OR($H201="",$I201=""),"",IF(ABS($I201-$H201)&gt;zincirTolerans,"ZİNCİR KIRIK","OK")),IF($H201&gt;0,IF(OR($G201="",$H201=""),"",IF(ABS($H201-$G201)&gt;zincirTolerans,"ZİNCİR KIRIK","OK")),"OK"))</f>
        <v/>
      </c>
      <c r="W201" s="30">
        <f>IF($A201="","",1)</f>
        <v/>
      </c>
    </row>
    <row r="202">
      <c r="A202" s="27" t="n"/>
      <c r="B202" s="27" t="n"/>
      <c r="C202" s="27" t="n"/>
      <c r="D202" s="32" t="n"/>
      <c r="E202" s="27" t="n"/>
      <c r="F202" s="27" t="n"/>
      <c r="G202" s="31" t="n"/>
      <c r="H202" s="31" t="n"/>
      <c r="I202" s="31" t="n"/>
      <c r="J202" s="29" t="n"/>
      <c r="K202" s="31" t="n"/>
      <c r="L202" s="31" t="n"/>
      <c r="M202" s="27" t="n"/>
      <c r="N202" s="27" t="n"/>
      <c r="O202" s="27" t="n"/>
      <c r="P202" s="30">
        <f>IF($D202="","",raporTarihi-$D202)</f>
        <v/>
      </c>
      <c r="Q202" s="30">
        <f>IF($P202="","",IF($P202&lt;=sdf_kovaEsik1,"0-30",IF($P202&lt;=sdf_kovaEsik2,"31-60",IF($P202&lt;=sdf_kovaEsik3,"61-90","90+"))))</f>
        <v/>
      </c>
      <c r="R202" s="30">
        <f>IF($A202="","",IF($H202&gt;0,$H202,$G202))</f>
        <v/>
      </c>
      <c r="S202" s="30">
        <f>IF($F202="D8_KAPALI","KAPANAN",IF($F202="IPTAL","IPTAL","ACIK"))</f>
        <v/>
      </c>
      <c r="T202" s="30">
        <f>IF($B202="","YETİM",IF(COUNTIF(tblEkip[EkipId],$B202)=0,"YETİM",""))</f>
        <v/>
      </c>
      <c r="U202" s="30">
        <f>IF(OR($E202&amp;"|"&amp;$F202="",COUNTIF(ListeIzinliGecis,$E202&amp;"|"&amp;$F202)&gt;0),"","GEÇERSİZ GEÇİŞ")</f>
        <v/>
      </c>
      <c r="V202" s="30">
        <f>IF(OR($F202="D8_KAPALI",$F202="D7_ONLE",$I202&gt;0),IF(OR($H202="",$I202=""),"",IF(ABS($I202-$H202)&gt;zincirTolerans,"ZİNCİR KIRIK","OK")),IF($H202&gt;0,IF(OR($G202="",$H202=""),"",IF(ABS($H202-$G202)&gt;zincirTolerans,"ZİNCİR KIRIK","OK")),"OK"))</f>
        <v/>
      </c>
      <c r="W202" s="30">
        <f>IF($A202="","",1)</f>
        <v/>
      </c>
    </row>
    <row r="203">
      <c r="A203" s="27" t="n"/>
      <c r="B203" s="27" t="n"/>
      <c r="C203" s="27" t="n"/>
      <c r="D203" s="32" t="n"/>
      <c r="E203" s="27" t="n"/>
      <c r="F203" s="27" t="n"/>
      <c r="G203" s="31" t="n"/>
      <c r="H203" s="31" t="n"/>
      <c r="I203" s="31" t="n"/>
      <c r="J203" s="29" t="n"/>
      <c r="K203" s="31" t="n"/>
      <c r="L203" s="31" t="n"/>
      <c r="M203" s="27" t="n"/>
      <c r="N203" s="27" t="n"/>
      <c r="O203" s="27" t="n"/>
      <c r="P203" s="30">
        <f>IF($D203="","",raporTarihi-$D203)</f>
        <v/>
      </c>
      <c r="Q203" s="30">
        <f>IF($P203="","",IF($P203&lt;=sdf_kovaEsik1,"0-30",IF($P203&lt;=sdf_kovaEsik2,"31-60",IF($P203&lt;=sdf_kovaEsik3,"61-90","90+"))))</f>
        <v/>
      </c>
      <c r="R203" s="30">
        <f>IF($A203="","",IF($H203&gt;0,$H203,$G203))</f>
        <v/>
      </c>
      <c r="S203" s="30">
        <f>IF($F203="D8_KAPALI","KAPANAN",IF($F203="IPTAL","IPTAL","ACIK"))</f>
        <v/>
      </c>
      <c r="T203" s="30">
        <f>IF($B203="","YETİM",IF(COUNTIF(tblEkip[EkipId],$B203)=0,"YETİM",""))</f>
        <v/>
      </c>
      <c r="U203" s="30">
        <f>IF(OR($E203&amp;"|"&amp;$F203="",COUNTIF(ListeIzinliGecis,$E203&amp;"|"&amp;$F203)&gt;0),"","GEÇERSİZ GEÇİŞ")</f>
        <v/>
      </c>
      <c r="V203" s="30">
        <f>IF(OR($F203="D8_KAPALI",$F203="D7_ONLE",$I203&gt;0),IF(OR($H203="",$I203=""),"",IF(ABS($I203-$H203)&gt;zincirTolerans,"ZİNCİR KIRIK","OK")),IF($H203&gt;0,IF(OR($G203="",$H203=""),"",IF(ABS($H203-$G203)&gt;zincirTolerans,"ZİNCİR KIRIK","OK")),"OK"))</f>
        <v/>
      </c>
      <c r="W203" s="30">
        <f>IF($A203="","",1)</f>
        <v/>
      </c>
    </row>
    <row r="204">
      <c r="A204" s="27" t="n"/>
      <c r="B204" s="27" t="n"/>
      <c r="C204" s="27" t="n"/>
      <c r="D204" s="32" t="n"/>
      <c r="E204" s="27" t="n"/>
      <c r="F204" s="27" t="n"/>
      <c r="G204" s="31" t="n"/>
      <c r="H204" s="31" t="n"/>
      <c r="I204" s="31" t="n"/>
      <c r="J204" s="29" t="n"/>
      <c r="K204" s="31" t="n"/>
      <c r="L204" s="31" t="n"/>
      <c r="M204" s="27" t="n"/>
      <c r="N204" s="27" t="n"/>
      <c r="O204" s="27" t="n"/>
      <c r="P204" s="30">
        <f>IF($D204="","",raporTarihi-$D204)</f>
        <v/>
      </c>
      <c r="Q204" s="30">
        <f>IF($P204="","",IF($P204&lt;=sdf_kovaEsik1,"0-30",IF($P204&lt;=sdf_kovaEsik2,"31-60",IF($P204&lt;=sdf_kovaEsik3,"61-90","90+"))))</f>
        <v/>
      </c>
      <c r="R204" s="30">
        <f>IF($A204="","",IF($H204&gt;0,$H204,$G204))</f>
        <v/>
      </c>
      <c r="S204" s="30">
        <f>IF($F204="D8_KAPALI","KAPANAN",IF($F204="IPTAL","IPTAL","ACIK"))</f>
        <v/>
      </c>
      <c r="T204" s="30">
        <f>IF($B204="","YETİM",IF(COUNTIF(tblEkip[EkipId],$B204)=0,"YETİM",""))</f>
        <v/>
      </c>
      <c r="U204" s="30">
        <f>IF(OR($E204&amp;"|"&amp;$F204="",COUNTIF(ListeIzinliGecis,$E204&amp;"|"&amp;$F204)&gt;0),"","GEÇERSİZ GEÇİŞ")</f>
        <v/>
      </c>
      <c r="V204" s="30">
        <f>IF(OR($F204="D8_KAPALI",$F204="D7_ONLE",$I204&gt;0),IF(OR($H204="",$I204=""),"",IF(ABS($I204-$H204)&gt;zincirTolerans,"ZİNCİR KIRIK","OK")),IF($H204&gt;0,IF(OR($G204="",$H204=""),"",IF(ABS($H204-$G204)&gt;zincirTolerans,"ZİNCİR KIRIK","OK")),"OK"))</f>
        <v/>
      </c>
      <c r="W204" s="30">
        <f>IF($A204="","",1)</f>
        <v/>
      </c>
    </row>
    <row r="205">
      <c r="A205" s="27" t="n"/>
      <c r="B205" s="27" t="n"/>
      <c r="C205" s="27" t="n"/>
      <c r="D205" s="32" t="n"/>
      <c r="E205" s="27" t="n"/>
      <c r="F205" s="27" t="n"/>
      <c r="G205" s="31" t="n"/>
      <c r="H205" s="31" t="n"/>
      <c r="I205" s="31" t="n"/>
      <c r="J205" s="29" t="n"/>
      <c r="K205" s="31" t="n"/>
      <c r="L205" s="31" t="n"/>
      <c r="M205" s="27" t="n"/>
      <c r="N205" s="27" t="n"/>
      <c r="O205" s="27" t="n"/>
      <c r="P205" s="30">
        <f>IF($D205="","",raporTarihi-$D205)</f>
        <v/>
      </c>
      <c r="Q205" s="30">
        <f>IF($P205="","",IF($P205&lt;=sdf_kovaEsik1,"0-30",IF($P205&lt;=sdf_kovaEsik2,"31-60",IF($P205&lt;=sdf_kovaEsik3,"61-90","90+"))))</f>
        <v/>
      </c>
      <c r="R205" s="30">
        <f>IF($A205="","",IF($H205&gt;0,$H205,$G205))</f>
        <v/>
      </c>
      <c r="S205" s="30">
        <f>IF($F205="D8_KAPALI","KAPANAN",IF($F205="IPTAL","IPTAL","ACIK"))</f>
        <v/>
      </c>
      <c r="T205" s="30">
        <f>IF($B205="","YETİM",IF(COUNTIF(tblEkip[EkipId],$B205)=0,"YETİM",""))</f>
        <v/>
      </c>
      <c r="U205" s="30">
        <f>IF(OR($E205&amp;"|"&amp;$F205="",COUNTIF(ListeIzinliGecis,$E205&amp;"|"&amp;$F205)&gt;0),"","GEÇERSİZ GEÇİŞ")</f>
        <v/>
      </c>
      <c r="V205" s="30">
        <f>IF(OR($F205="D8_KAPALI",$F205="D7_ONLE",$I205&gt;0),IF(OR($H205="",$I205=""),"",IF(ABS($I205-$H205)&gt;zincirTolerans,"ZİNCİR KIRIK","OK")),IF($H205&gt;0,IF(OR($G205="",$H205=""),"",IF(ABS($H205-$G205)&gt;zincirTolerans,"ZİNCİR KIRIK","OK")),"OK"))</f>
        <v/>
      </c>
      <c r="W205" s="30">
        <f>IF($A205="","",1)</f>
        <v/>
      </c>
    </row>
    <row r="206">
      <c r="A206" s="27" t="n"/>
      <c r="B206" s="27" t="n"/>
      <c r="C206" s="27" t="n"/>
      <c r="D206" s="32" t="n"/>
      <c r="E206" s="27" t="n"/>
      <c r="F206" s="27" t="n"/>
      <c r="G206" s="31" t="n"/>
      <c r="H206" s="31" t="n"/>
      <c r="I206" s="31" t="n"/>
      <c r="J206" s="29" t="n"/>
      <c r="K206" s="31" t="n"/>
      <c r="L206" s="31" t="n"/>
      <c r="M206" s="27" t="n"/>
      <c r="N206" s="27" t="n"/>
      <c r="O206" s="27" t="n"/>
      <c r="P206" s="30">
        <f>IF($D206="","",raporTarihi-$D206)</f>
        <v/>
      </c>
      <c r="Q206" s="30">
        <f>IF($P206="","",IF($P206&lt;=sdf_kovaEsik1,"0-30",IF($P206&lt;=sdf_kovaEsik2,"31-60",IF($P206&lt;=sdf_kovaEsik3,"61-90","90+"))))</f>
        <v/>
      </c>
      <c r="R206" s="30">
        <f>IF($A206="","",IF($H206&gt;0,$H206,$G206))</f>
        <v/>
      </c>
      <c r="S206" s="30">
        <f>IF($F206="D8_KAPALI","KAPANAN",IF($F206="IPTAL","IPTAL","ACIK"))</f>
        <v/>
      </c>
      <c r="T206" s="30">
        <f>IF($B206="","YETİM",IF(COUNTIF(tblEkip[EkipId],$B206)=0,"YETİM",""))</f>
        <v/>
      </c>
      <c r="U206" s="30">
        <f>IF(OR($E206&amp;"|"&amp;$F206="",COUNTIF(ListeIzinliGecis,$E206&amp;"|"&amp;$F206)&gt;0),"","GEÇERSİZ GEÇİŞ")</f>
        <v/>
      </c>
      <c r="V206" s="30">
        <f>IF(OR($F206="D8_KAPALI",$F206="D7_ONLE",$I206&gt;0),IF(OR($H206="",$I206=""),"",IF(ABS($I206-$H206)&gt;zincirTolerans,"ZİNCİR KIRIK","OK")),IF($H206&gt;0,IF(OR($G206="",$H206=""),"",IF(ABS($H206-$G206)&gt;zincirTolerans,"ZİNCİR KIRIK","OK")),"OK"))</f>
        <v/>
      </c>
      <c r="W206" s="30">
        <f>IF($A206="","",1)</f>
        <v/>
      </c>
    </row>
    <row r="207">
      <c r="A207" s="27" t="n"/>
      <c r="B207" s="27" t="n"/>
      <c r="C207" s="27" t="n"/>
      <c r="D207" s="32" t="n"/>
      <c r="E207" s="27" t="n"/>
      <c r="F207" s="27" t="n"/>
      <c r="G207" s="31" t="n"/>
      <c r="H207" s="31" t="n"/>
      <c r="I207" s="31" t="n"/>
      <c r="J207" s="29" t="n"/>
      <c r="K207" s="31" t="n"/>
      <c r="L207" s="31" t="n"/>
      <c r="M207" s="27" t="n"/>
      <c r="N207" s="27" t="n"/>
      <c r="O207" s="27" t="n"/>
      <c r="P207" s="30">
        <f>IF($D207="","",raporTarihi-$D207)</f>
        <v/>
      </c>
      <c r="Q207" s="30">
        <f>IF($P207="","",IF($P207&lt;=sdf_kovaEsik1,"0-30",IF($P207&lt;=sdf_kovaEsik2,"31-60",IF($P207&lt;=sdf_kovaEsik3,"61-90","90+"))))</f>
        <v/>
      </c>
      <c r="R207" s="30">
        <f>IF($A207="","",IF($H207&gt;0,$H207,$G207))</f>
        <v/>
      </c>
      <c r="S207" s="30">
        <f>IF($F207="D8_KAPALI","KAPANAN",IF($F207="IPTAL","IPTAL","ACIK"))</f>
        <v/>
      </c>
      <c r="T207" s="30">
        <f>IF($B207="","YETİM",IF(COUNTIF(tblEkip[EkipId],$B207)=0,"YETİM",""))</f>
        <v/>
      </c>
      <c r="U207" s="30">
        <f>IF(OR($E207&amp;"|"&amp;$F207="",COUNTIF(ListeIzinliGecis,$E207&amp;"|"&amp;$F207)&gt;0),"","GEÇERSİZ GEÇİŞ")</f>
        <v/>
      </c>
      <c r="V207" s="30">
        <f>IF(OR($F207="D8_KAPALI",$F207="D7_ONLE",$I207&gt;0),IF(OR($H207="",$I207=""),"",IF(ABS($I207-$H207)&gt;zincirTolerans,"ZİNCİR KIRIK","OK")),IF($H207&gt;0,IF(OR($G207="",$H207=""),"",IF(ABS($H207-$G207)&gt;zincirTolerans,"ZİNCİR KIRIK","OK")),"OK"))</f>
        <v/>
      </c>
      <c r="W207" s="30">
        <f>IF($A207="","",1)</f>
        <v/>
      </c>
    </row>
    <row r="208">
      <c r="A208" s="27" t="n"/>
      <c r="B208" s="27" t="n"/>
      <c r="C208" s="27" t="n"/>
      <c r="D208" s="32" t="n"/>
      <c r="E208" s="27" t="n"/>
      <c r="F208" s="27" t="n"/>
      <c r="G208" s="31" t="n"/>
      <c r="H208" s="31" t="n"/>
      <c r="I208" s="31" t="n"/>
      <c r="J208" s="29" t="n"/>
      <c r="K208" s="31" t="n"/>
      <c r="L208" s="31" t="n"/>
      <c r="M208" s="27" t="n"/>
      <c r="N208" s="27" t="n"/>
      <c r="O208" s="27" t="n"/>
      <c r="P208" s="30">
        <f>IF($D208="","",raporTarihi-$D208)</f>
        <v/>
      </c>
      <c r="Q208" s="30">
        <f>IF($P208="","",IF($P208&lt;=sdf_kovaEsik1,"0-30",IF($P208&lt;=sdf_kovaEsik2,"31-60",IF($P208&lt;=sdf_kovaEsik3,"61-90","90+"))))</f>
        <v/>
      </c>
      <c r="R208" s="30">
        <f>IF($A208="","",IF($H208&gt;0,$H208,$G208))</f>
        <v/>
      </c>
      <c r="S208" s="30">
        <f>IF($F208="D8_KAPALI","KAPANAN",IF($F208="IPTAL","IPTAL","ACIK"))</f>
        <v/>
      </c>
      <c r="T208" s="30">
        <f>IF($B208="","YETİM",IF(COUNTIF(tblEkip[EkipId],$B208)=0,"YETİM",""))</f>
        <v/>
      </c>
      <c r="U208" s="30">
        <f>IF(OR($E208&amp;"|"&amp;$F208="",COUNTIF(ListeIzinliGecis,$E208&amp;"|"&amp;$F208)&gt;0),"","GEÇERSİZ GEÇİŞ")</f>
        <v/>
      </c>
      <c r="V208" s="30">
        <f>IF(OR($F208="D8_KAPALI",$F208="D7_ONLE",$I208&gt;0),IF(OR($H208="",$I208=""),"",IF(ABS($I208-$H208)&gt;zincirTolerans,"ZİNCİR KIRIK","OK")),IF($H208&gt;0,IF(OR($G208="",$H208=""),"",IF(ABS($H208-$G208)&gt;zincirTolerans,"ZİNCİR KIRIK","OK")),"OK"))</f>
        <v/>
      </c>
      <c r="W208" s="30">
        <f>IF($A208="","",1)</f>
        <v/>
      </c>
    </row>
    <row r="209">
      <c r="A209" s="27" t="n"/>
      <c r="B209" s="27" t="n"/>
      <c r="C209" s="27" t="n"/>
      <c r="D209" s="32" t="n"/>
      <c r="E209" s="27" t="n"/>
      <c r="F209" s="27" t="n"/>
      <c r="G209" s="31" t="n"/>
      <c r="H209" s="31" t="n"/>
      <c r="I209" s="31" t="n"/>
      <c r="J209" s="29" t="n"/>
      <c r="K209" s="31" t="n"/>
      <c r="L209" s="31" t="n"/>
      <c r="M209" s="27" t="n"/>
      <c r="N209" s="27" t="n"/>
      <c r="O209" s="27" t="n"/>
      <c r="P209" s="30">
        <f>IF($D209="","",raporTarihi-$D209)</f>
        <v/>
      </c>
      <c r="Q209" s="30">
        <f>IF($P209="","",IF($P209&lt;=sdf_kovaEsik1,"0-30",IF($P209&lt;=sdf_kovaEsik2,"31-60",IF($P209&lt;=sdf_kovaEsik3,"61-90","90+"))))</f>
        <v/>
      </c>
      <c r="R209" s="30">
        <f>IF($A209="","",IF($H209&gt;0,$H209,$G209))</f>
        <v/>
      </c>
      <c r="S209" s="30">
        <f>IF($F209="D8_KAPALI","KAPANAN",IF($F209="IPTAL","IPTAL","ACIK"))</f>
        <v/>
      </c>
      <c r="T209" s="30">
        <f>IF($B209="","YETİM",IF(COUNTIF(tblEkip[EkipId],$B209)=0,"YETİM",""))</f>
        <v/>
      </c>
      <c r="U209" s="30">
        <f>IF(OR($E209&amp;"|"&amp;$F209="",COUNTIF(ListeIzinliGecis,$E209&amp;"|"&amp;$F209)&gt;0),"","GEÇERSİZ GEÇİŞ")</f>
        <v/>
      </c>
      <c r="V209" s="30">
        <f>IF(OR($F209="D8_KAPALI",$F209="D7_ONLE",$I209&gt;0),IF(OR($H209="",$I209=""),"",IF(ABS($I209-$H209)&gt;zincirTolerans,"ZİNCİR KIRIK","OK")),IF($H209&gt;0,IF(OR($G209="",$H209=""),"",IF(ABS($H209-$G209)&gt;zincirTolerans,"ZİNCİR KIRIK","OK")),"OK"))</f>
        <v/>
      </c>
      <c r="W209" s="30">
        <f>IF($A209="","",1)</f>
        <v/>
      </c>
    </row>
    <row r="210">
      <c r="A210" s="27" t="n"/>
      <c r="B210" s="27" t="n"/>
      <c r="C210" s="27" t="n"/>
      <c r="D210" s="32" t="n"/>
      <c r="E210" s="27" t="n"/>
      <c r="F210" s="27" t="n"/>
      <c r="G210" s="31" t="n"/>
      <c r="H210" s="31" t="n"/>
      <c r="I210" s="31" t="n"/>
      <c r="J210" s="29" t="n"/>
      <c r="K210" s="31" t="n"/>
      <c r="L210" s="31" t="n"/>
      <c r="M210" s="27" t="n"/>
      <c r="N210" s="27" t="n"/>
      <c r="O210" s="27" t="n"/>
      <c r="P210" s="30">
        <f>IF($D210="","",raporTarihi-$D210)</f>
        <v/>
      </c>
      <c r="Q210" s="30">
        <f>IF($P210="","",IF($P210&lt;=sdf_kovaEsik1,"0-30",IF($P210&lt;=sdf_kovaEsik2,"31-60",IF($P210&lt;=sdf_kovaEsik3,"61-90","90+"))))</f>
        <v/>
      </c>
      <c r="R210" s="30">
        <f>IF($A210="","",IF($H210&gt;0,$H210,$G210))</f>
        <v/>
      </c>
      <c r="S210" s="30">
        <f>IF($F210="D8_KAPALI","KAPANAN",IF($F210="IPTAL","IPTAL","ACIK"))</f>
        <v/>
      </c>
      <c r="T210" s="30">
        <f>IF($B210="","YETİM",IF(COUNTIF(tblEkip[EkipId],$B210)=0,"YETİM",""))</f>
        <v/>
      </c>
      <c r="U210" s="30">
        <f>IF(OR($E210&amp;"|"&amp;$F210="",COUNTIF(ListeIzinliGecis,$E210&amp;"|"&amp;$F210)&gt;0),"","GEÇERSİZ GEÇİŞ")</f>
        <v/>
      </c>
      <c r="V210" s="30">
        <f>IF(OR($F210="D8_KAPALI",$F210="D7_ONLE",$I210&gt;0),IF(OR($H210="",$I210=""),"",IF(ABS($I210-$H210)&gt;zincirTolerans,"ZİNCİR KIRIK","OK")),IF($H210&gt;0,IF(OR($G210="",$H210=""),"",IF(ABS($H210-$G210)&gt;zincirTolerans,"ZİNCİR KIRIK","OK")),"OK"))</f>
        <v/>
      </c>
      <c r="W210" s="30">
        <f>IF($A210="","",1)</f>
        <v/>
      </c>
    </row>
    <row r="211">
      <c r="A211" s="27" t="n"/>
      <c r="B211" s="27" t="n"/>
      <c r="C211" s="27" t="n"/>
      <c r="D211" s="32" t="n"/>
      <c r="E211" s="27" t="n"/>
      <c r="F211" s="27" t="n"/>
      <c r="G211" s="31" t="n"/>
      <c r="H211" s="31" t="n"/>
      <c r="I211" s="31" t="n"/>
      <c r="J211" s="29" t="n"/>
      <c r="K211" s="31" t="n"/>
      <c r="L211" s="31" t="n"/>
      <c r="M211" s="27" t="n"/>
      <c r="N211" s="27" t="n"/>
      <c r="O211" s="27" t="n"/>
      <c r="P211" s="30">
        <f>IF($D211="","",raporTarihi-$D211)</f>
        <v/>
      </c>
      <c r="Q211" s="30">
        <f>IF($P211="","",IF($P211&lt;=sdf_kovaEsik1,"0-30",IF($P211&lt;=sdf_kovaEsik2,"31-60",IF($P211&lt;=sdf_kovaEsik3,"61-90","90+"))))</f>
        <v/>
      </c>
      <c r="R211" s="30">
        <f>IF($A211="","",IF($H211&gt;0,$H211,$G211))</f>
        <v/>
      </c>
      <c r="S211" s="30">
        <f>IF($F211="D8_KAPALI","KAPANAN",IF($F211="IPTAL","IPTAL","ACIK"))</f>
        <v/>
      </c>
      <c r="T211" s="30">
        <f>IF($B211="","YETİM",IF(COUNTIF(tblEkip[EkipId],$B211)=0,"YETİM",""))</f>
        <v/>
      </c>
      <c r="U211" s="30">
        <f>IF(OR($E211&amp;"|"&amp;$F211="",COUNTIF(ListeIzinliGecis,$E211&amp;"|"&amp;$F211)&gt;0),"","GEÇERSİZ GEÇİŞ")</f>
        <v/>
      </c>
      <c r="V211" s="30">
        <f>IF(OR($F211="D8_KAPALI",$F211="D7_ONLE",$I211&gt;0),IF(OR($H211="",$I211=""),"",IF(ABS($I211-$H211)&gt;zincirTolerans,"ZİNCİR KIRIK","OK")),IF($H211&gt;0,IF(OR($G211="",$H211=""),"",IF(ABS($H211-$G211)&gt;zincirTolerans,"ZİNCİR KIRIK","OK")),"OK"))</f>
        <v/>
      </c>
      <c r="W211" s="30">
        <f>IF($A211="","",1)</f>
        <v/>
      </c>
    </row>
    <row r="212">
      <c r="A212" s="27" t="n"/>
      <c r="B212" s="27" t="n"/>
      <c r="C212" s="27" t="n"/>
      <c r="D212" s="32" t="n"/>
      <c r="E212" s="27" t="n"/>
      <c r="F212" s="27" t="n"/>
      <c r="G212" s="31" t="n"/>
      <c r="H212" s="31" t="n"/>
      <c r="I212" s="31" t="n"/>
      <c r="J212" s="29" t="n"/>
      <c r="K212" s="31" t="n"/>
      <c r="L212" s="31" t="n"/>
      <c r="M212" s="27" t="n"/>
      <c r="N212" s="27" t="n"/>
      <c r="O212" s="27" t="n"/>
      <c r="P212" s="30">
        <f>IF($D212="","",raporTarihi-$D212)</f>
        <v/>
      </c>
      <c r="Q212" s="30">
        <f>IF($P212="","",IF($P212&lt;=sdf_kovaEsik1,"0-30",IF($P212&lt;=sdf_kovaEsik2,"31-60",IF($P212&lt;=sdf_kovaEsik3,"61-90","90+"))))</f>
        <v/>
      </c>
      <c r="R212" s="30">
        <f>IF($A212="","",IF($H212&gt;0,$H212,$G212))</f>
        <v/>
      </c>
      <c r="S212" s="30">
        <f>IF($F212="D8_KAPALI","KAPANAN",IF($F212="IPTAL","IPTAL","ACIK"))</f>
        <v/>
      </c>
      <c r="T212" s="30">
        <f>IF($B212="","YETİM",IF(COUNTIF(tblEkip[EkipId],$B212)=0,"YETİM",""))</f>
        <v/>
      </c>
      <c r="U212" s="30">
        <f>IF(OR($E212&amp;"|"&amp;$F212="",COUNTIF(ListeIzinliGecis,$E212&amp;"|"&amp;$F212)&gt;0),"","GEÇERSİZ GEÇİŞ")</f>
        <v/>
      </c>
      <c r="V212" s="30">
        <f>IF(OR($F212="D8_KAPALI",$F212="D7_ONLE",$I212&gt;0),IF(OR($H212="",$I212=""),"",IF(ABS($I212-$H212)&gt;zincirTolerans,"ZİNCİR KIRIK","OK")),IF($H212&gt;0,IF(OR($G212="",$H212=""),"",IF(ABS($H212-$G212)&gt;zincirTolerans,"ZİNCİR KIRIK","OK")),"OK"))</f>
        <v/>
      </c>
      <c r="W212" s="30">
        <f>IF($A212="","",1)</f>
        <v/>
      </c>
    </row>
    <row r="213">
      <c r="A213" s="27" t="n"/>
      <c r="B213" s="27" t="n"/>
      <c r="C213" s="27" t="n"/>
      <c r="D213" s="32" t="n"/>
      <c r="E213" s="27" t="n"/>
      <c r="F213" s="27" t="n"/>
      <c r="G213" s="31" t="n"/>
      <c r="H213" s="31" t="n"/>
      <c r="I213" s="31" t="n"/>
      <c r="J213" s="29" t="n"/>
      <c r="K213" s="31" t="n"/>
      <c r="L213" s="31" t="n"/>
      <c r="M213" s="27" t="n"/>
      <c r="N213" s="27" t="n"/>
      <c r="O213" s="27" t="n"/>
      <c r="P213" s="30">
        <f>IF($D213="","",raporTarihi-$D213)</f>
        <v/>
      </c>
      <c r="Q213" s="30">
        <f>IF($P213="","",IF($P213&lt;=sdf_kovaEsik1,"0-30",IF($P213&lt;=sdf_kovaEsik2,"31-60",IF($P213&lt;=sdf_kovaEsik3,"61-90","90+"))))</f>
        <v/>
      </c>
      <c r="R213" s="30">
        <f>IF($A213="","",IF($H213&gt;0,$H213,$G213))</f>
        <v/>
      </c>
      <c r="S213" s="30">
        <f>IF($F213="D8_KAPALI","KAPANAN",IF($F213="IPTAL","IPTAL","ACIK"))</f>
        <v/>
      </c>
      <c r="T213" s="30">
        <f>IF($B213="","YETİM",IF(COUNTIF(tblEkip[EkipId],$B213)=0,"YETİM",""))</f>
        <v/>
      </c>
      <c r="U213" s="30">
        <f>IF(OR($E213&amp;"|"&amp;$F213="",COUNTIF(ListeIzinliGecis,$E213&amp;"|"&amp;$F213)&gt;0),"","GEÇERSİZ GEÇİŞ")</f>
        <v/>
      </c>
      <c r="V213" s="30">
        <f>IF(OR($F213="D8_KAPALI",$F213="D7_ONLE",$I213&gt;0),IF(OR($H213="",$I213=""),"",IF(ABS($I213-$H213)&gt;zincirTolerans,"ZİNCİR KIRIK","OK")),IF($H213&gt;0,IF(OR($G213="",$H213=""),"",IF(ABS($H213-$G213)&gt;zincirTolerans,"ZİNCİR KIRIK","OK")),"OK"))</f>
        <v/>
      </c>
      <c r="W213" s="30">
        <f>IF($A213="","",1)</f>
        <v/>
      </c>
    </row>
    <row r="214">
      <c r="A214" s="27" t="n"/>
      <c r="B214" s="27" t="n"/>
      <c r="C214" s="27" t="n"/>
      <c r="D214" s="32" t="n"/>
      <c r="E214" s="27" t="n"/>
      <c r="F214" s="27" t="n"/>
      <c r="G214" s="31" t="n"/>
      <c r="H214" s="31" t="n"/>
      <c r="I214" s="31" t="n"/>
      <c r="J214" s="29" t="n"/>
      <c r="K214" s="31" t="n"/>
      <c r="L214" s="31" t="n"/>
      <c r="M214" s="27" t="n"/>
      <c r="N214" s="27" t="n"/>
      <c r="O214" s="27" t="n"/>
      <c r="P214" s="30">
        <f>IF($D214="","",raporTarihi-$D214)</f>
        <v/>
      </c>
      <c r="Q214" s="30">
        <f>IF($P214="","",IF($P214&lt;=sdf_kovaEsik1,"0-30",IF($P214&lt;=sdf_kovaEsik2,"31-60",IF($P214&lt;=sdf_kovaEsik3,"61-90","90+"))))</f>
        <v/>
      </c>
      <c r="R214" s="30">
        <f>IF($A214="","",IF($H214&gt;0,$H214,$G214))</f>
        <v/>
      </c>
      <c r="S214" s="30">
        <f>IF($F214="D8_KAPALI","KAPANAN",IF($F214="IPTAL","IPTAL","ACIK"))</f>
        <v/>
      </c>
      <c r="T214" s="30">
        <f>IF($B214="","YETİM",IF(COUNTIF(tblEkip[EkipId],$B214)=0,"YETİM",""))</f>
        <v/>
      </c>
      <c r="U214" s="30">
        <f>IF(OR($E214&amp;"|"&amp;$F214="",COUNTIF(ListeIzinliGecis,$E214&amp;"|"&amp;$F214)&gt;0),"","GEÇERSİZ GEÇİŞ")</f>
        <v/>
      </c>
      <c r="V214" s="30">
        <f>IF(OR($F214="D8_KAPALI",$F214="D7_ONLE",$I214&gt;0),IF(OR($H214="",$I214=""),"",IF(ABS($I214-$H214)&gt;zincirTolerans,"ZİNCİR KIRIK","OK")),IF($H214&gt;0,IF(OR($G214="",$H214=""),"",IF(ABS($H214-$G214)&gt;zincirTolerans,"ZİNCİR KIRIK","OK")),"OK"))</f>
        <v/>
      </c>
      <c r="W214" s="30">
        <f>IF($A214="","",1)</f>
        <v/>
      </c>
    </row>
    <row r="215">
      <c r="A215" s="27" t="n"/>
      <c r="B215" s="27" t="n"/>
      <c r="C215" s="27" t="n"/>
      <c r="D215" s="32" t="n"/>
      <c r="E215" s="27" t="n"/>
      <c r="F215" s="27" t="n"/>
      <c r="G215" s="31" t="n"/>
      <c r="H215" s="31" t="n"/>
      <c r="I215" s="31" t="n"/>
      <c r="J215" s="29" t="n"/>
      <c r="K215" s="31" t="n"/>
      <c r="L215" s="31" t="n"/>
      <c r="M215" s="27" t="n"/>
      <c r="N215" s="27" t="n"/>
      <c r="O215" s="27" t="n"/>
      <c r="P215" s="30">
        <f>IF($D215="","",raporTarihi-$D215)</f>
        <v/>
      </c>
      <c r="Q215" s="30">
        <f>IF($P215="","",IF($P215&lt;=sdf_kovaEsik1,"0-30",IF($P215&lt;=sdf_kovaEsik2,"31-60",IF($P215&lt;=sdf_kovaEsik3,"61-90","90+"))))</f>
        <v/>
      </c>
      <c r="R215" s="30">
        <f>IF($A215="","",IF($H215&gt;0,$H215,$G215))</f>
        <v/>
      </c>
      <c r="S215" s="30">
        <f>IF($F215="D8_KAPALI","KAPANAN",IF($F215="IPTAL","IPTAL","ACIK"))</f>
        <v/>
      </c>
      <c r="T215" s="30">
        <f>IF($B215="","YETİM",IF(COUNTIF(tblEkip[EkipId],$B215)=0,"YETİM",""))</f>
        <v/>
      </c>
      <c r="U215" s="30">
        <f>IF(OR($E215&amp;"|"&amp;$F215="",COUNTIF(ListeIzinliGecis,$E215&amp;"|"&amp;$F215)&gt;0),"","GEÇERSİZ GEÇİŞ")</f>
        <v/>
      </c>
      <c r="V215" s="30">
        <f>IF(OR($F215="D8_KAPALI",$F215="D7_ONLE",$I215&gt;0),IF(OR($H215="",$I215=""),"",IF(ABS($I215-$H215)&gt;zincirTolerans,"ZİNCİR KIRIK","OK")),IF($H215&gt;0,IF(OR($G215="",$H215=""),"",IF(ABS($H215-$G215)&gt;zincirTolerans,"ZİNCİR KIRIK","OK")),"OK"))</f>
        <v/>
      </c>
      <c r="W215" s="30">
        <f>IF($A215="","",1)</f>
        <v/>
      </c>
    </row>
    <row r="216">
      <c r="A216" s="27" t="n"/>
      <c r="B216" s="27" t="n"/>
      <c r="C216" s="27" t="n"/>
      <c r="D216" s="32" t="n"/>
      <c r="E216" s="27" t="n"/>
      <c r="F216" s="27" t="n"/>
      <c r="G216" s="31" t="n"/>
      <c r="H216" s="31" t="n"/>
      <c r="I216" s="31" t="n"/>
      <c r="J216" s="29" t="n"/>
      <c r="K216" s="31" t="n"/>
      <c r="L216" s="31" t="n"/>
      <c r="M216" s="27" t="n"/>
      <c r="N216" s="27" t="n"/>
      <c r="O216" s="27" t="n"/>
      <c r="P216" s="30">
        <f>IF($D216="","",raporTarihi-$D216)</f>
        <v/>
      </c>
      <c r="Q216" s="30">
        <f>IF($P216="","",IF($P216&lt;=sdf_kovaEsik1,"0-30",IF($P216&lt;=sdf_kovaEsik2,"31-60",IF($P216&lt;=sdf_kovaEsik3,"61-90","90+"))))</f>
        <v/>
      </c>
      <c r="R216" s="30">
        <f>IF($A216="","",IF($H216&gt;0,$H216,$G216))</f>
        <v/>
      </c>
      <c r="S216" s="30">
        <f>IF($F216="D8_KAPALI","KAPANAN",IF($F216="IPTAL","IPTAL","ACIK"))</f>
        <v/>
      </c>
      <c r="T216" s="30">
        <f>IF($B216="","YETİM",IF(COUNTIF(tblEkip[EkipId],$B216)=0,"YETİM",""))</f>
        <v/>
      </c>
      <c r="U216" s="30">
        <f>IF(OR($E216&amp;"|"&amp;$F216="",COUNTIF(ListeIzinliGecis,$E216&amp;"|"&amp;$F216)&gt;0),"","GEÇERSİZ GEÇİŞ")</f>
        <v/>
      </c>
      <c r="V216" s="30">
        <f>IF(OR($F216="D8_KAPALI",$F216="D7_ONLE",$I216&gt;0),IF(OR($H216="",$I216=""),"",IF(ABS($I216-$H216)&gt;zincirTolerans,"ZİNCİR KIRIK","OK")),IF($H216&gt;0,IF(OR($G216="",$H216=""),"",IF(ABS($H216-$G216)&gt;zincirTolerans,"ZİNCİR KIRIK","OK")),"OK"))</f>
        <v/>
      </c>
      <c r="W216" s="30">
        <f>IF($A216="","",1)</f>
        <v/>
      </c>
    </row>
    <row r="217">
      <c r="A217" s="27" t="n"/>
      <c r="B217" s="27" t="n"/>
      <c r="C217" s="27" t="n"/>
      <c r="D217" s="32" t="n"/>
      <c r="E217" s="27" t="n"/>
      <c r="F217" s="27" t="n"/>
      <c r="G217" s="31" t="n"/>
      <c r="H217" s="31" t="n"/>
      <c r="I217" s="31" t="n"/>
      <c r="J217" s="29" t="n"/>
      <c r="K217" s="31" t="n"/>
      <c r="L217" s="31" t="n"/>
      <c r="M217" s="27" t="n"/>
      <c r="N217" s="27" t="n"/>
      <c r="O217" s="27" t="n"/>
      <c r="P217" s="30">
        <f>IF($D217="","",raporTarihi-$D217)</f>
        <v/>
      </c>
      <c r="Q217" s="30">
        <f>IF($P217="","",IF($P217&lt;=sdf_kovaEsik1,"0-30",IF($P217&lt;=sdf_kovaEsik2,"31-60",IF($P217&lt;=sdf_kovaEsik3,"61-90","90+"))))</f>
        <v/>
      </c>
      <c r="R217" s="30">
        <f>IF($A217="","",IF($H217&gt;0,$H217,$G217))</f>
        <v/>
      </c>
      <c r="S217" s="30">
        <f>IF($F217="D8_KAPALI","KAPANAN",IF($F217="IPTAL","IPTAL","ACIK"))</f>
        <v/>
      </c>
      <c r="T217" s="30">
        <f>IF($B217="","YETİM",IF(COUNTIF(tblEkip[EkipId],$B217)=0,"YETİM",""))</f>
        <v/>
      </c>
      <c r="U217" s="30">
        <f>IF(OR($E217&amp;"|"&amp;$F217="",COUNTIF(ListeIzinliGecis,$E217&amp;"|"&amp;$F217)&gt;0),"","GEÇERSİZ GEÇİŞ")</f>
        <v/>
      </c>
      <c r="V217" s="30">
        <f>IF(OR($F217="D8_KAPALI",$F217="D7_ONLE",$I217&gt;0),IF(OR($H217="",$I217=""),"",IF(ABS($I217-$H217)&gt;zincirTolerans,"ZİNCİR KIRIK","OK")),IF($H217&gt;0,IF(OR($G217="",$H217=""),"",IF(ABS($H217-$G217)&gt;zincirTolerans,"ZİNCİR KIRIK","OK")),"OK"))</f>
        <v/>
      </c>
      <c r="W217" s="30">
        <f>IF($A217="","",1)</f>
        <v/>
      </c>
    </row>
    <row r="218">
      <c r="A218" s="27" t="n"/>
      <c r="B218" s="27" t="n"/>
      <c r="C218" s="27" t="n"/>
      <c r="D218" s="32" t="n"/>
      <c r="E218" s="27" t="n"/>
      <c r="F218" s="27" t="n"/>
      <c r="G218" s="31" t="n"/>
      <c r="H218" s="31" t="n"/>
      <c r="I218" s="31" t="n"/>
      <c r="J218" s="29" t="n"/>
      <c r="K218" s="31" t="n"/>
      <c r="L218" s="31" t="n"/>
      <c r="M218" s="27" t="n"/>
      <c r="N218" s="27" t="n"/>
      <c r="O218" s="27" t="n"/>
      <c r="P218" s="30">
        <f>IF($D218="","",raporTarihi-$D218)</f>
        <v/>
      </c>
      <c r="Q218" s="30">
        <f>IF($P218="","",IF($P218&lt;=sdf_kovaEsik1,"0-30",IF($P218&lt;=sdf_kovaEsik2,"31-60",IF($P218&lt;=sdf_kovaEsik3,"61-90","90+"))))</f>
        <v/>
      </c>
      <c r="R218" s="30">
        <f>IF($A218="","",IF($H218&gt;0,$H218,$G218))</f>
        <v/>
      </c>
      <c r="S218" s="30">
        <f>IF($F218="D8_KAPALI","KAPANAN",IF($F218="IPTAL","IPTAL","ACIK"))</f>
        <v/>
      </c>
      <c r="T218" s="30">
        <f>IF($B218="","YETİM",IF(COUNTIF(tblEkip[EkipId],$B218)=0,"YETİM",""))</f>
        <v/>
      </c>
      <c r="U218" s="30">
        <f>IF(OR($E218&amp;"|"&amp;$F218="",COUNTIF(ListeIzinliGecis,$E218&amp;"|"&amp;$F218)&gt;0),"","GEÇERSİZ GEÇİŞ")</f>
        <v/>
      </c>
      <c r="V218" s="30">
        <f>IF(OR($F218="D8_KAPALI",$F218="D7_ONLE",$I218&gt;0),IF(OR($H218="",$I218=""),"",IF(ABS($I218-$H218)&gt;zincirTolerans,"ZİNCİR KIRIK","OK")),IF($H218&gt;0,IF(OR($G218="",$H218=""),"",IF(ABS($H218-$G218)&gt;zincirTolerans,"ZİNCİR KIRIK","OK")),"OK"))</f>
        <v/>
      </c>
      <c r="W218" s="30">
        <f>IF($A218="","",1)</f>
        <v/>
      </c>
    </row>
    <row r="219">
      <c r="A219" s="27" t="n"/>
      <c r="B219" s="27" t="n"/>
      <c r="C219" s="27" t="n"/>
      <c r="D219" s="32" t="n"/>
      <c r="E219" s="27" t="n"/>
      <c r="F219" s="27" t="n"/>
      <c r="G219" s="31" t="n"/>
      <c r="H219" s="31" t="n"/>
      <c r="I219" s="31" t="n"/>
      <c r="J219" s="29" t="n"/>
      <c r="K219" s="31" t="n"/>
      <c r="L219" s="31" t="n"/>
      <c r="M219" s="27" t="n"/>
      <c r="N219" s="27" t="n"/>
      <c r="O219" s="27" t="n"/>
      <c r="P219" s="30">
        <f>IF($D219="","",raporTarihi-$D219)</f>
        <v/>
      </c>
      <c r="Q219" s="30">
        <f>IF($P219="","",IF($P219&lt;=sdf_kovaEsik1,"0-30",IF($P219&lt;=sdf_kovaEsik2,"31-60",IF($P219&lt;=sdf_kovaEsik3,"61-90","90+"))))</f>
        <v/>
      </c>
      <c r="R219" s="30">
        <f>IF($A219="","",IF($H219&gt;0,$H219,$G219))</f>
        <v/>
      </c>
      <c r="S219" s="30">
        <f>IF($F219="D8_KAPALI","KAPANAN",IF($F219="IPTAL","IPTAL","ACIK"))</f>
        <v/>
      </c>
      <c r="T219" s="30">
        <f>IF($B219="","YETİM",IF(COUNTIF(tblEkip[EkipId],$B219)=0,"YETİM",""))</f>
        <v/>
      </c>
      <c r="U219" s="30">
        <f>IF(OR($E219&amp;"|"&amp;$F219="",COUNTIF(ListeIzinliGecis,$E219&amp;"|"&amp;$F219)&gt;0),"","GEÇERSİZ GEÇİŞ")</f>
        <v/>
      </c>
      <c r="V219" s="30">
        <f>IF(OR($F219="D8_KAPALI",$F219="D7_ONLE",$I219&gt;0),IF(OR($H219="",$I219=""),"",IF(ABS($I219-$H219)&gt;zincirTolerans,"ZİNCİR KIRIK","OK")),IF($H219&gt;0,IF(OR($G219="",$H219=""),"",IF(ABS($H219-$G219)&gt;zincirTolerans,"ZİNCİR KIRIK","OK")),"OK"))</f>
        <v/>
      </c>
      <c r="W219" s="30">
        <f>IF($A219="","",1)</f>
        <v/>
      </c>
    </row>
    <row r="220">
      <c r="A220" s="27" t="n"/>
      <c r="B220" s="27" t="n"/>
      <c r="C220" s="27" t="n"/>
      <c r="D220" s="32" t="n"/>
      <c r="E220" s="27" t="n"/>
      <c r="F220" s="27" t="n"/>
      <c r="G220" s="31" t="n"/>
      <c r="H220" s="31" t="n"/>
      <c r="I220" s="31" t="n"/>
      <c r="J220" s="29" t="n"/>
      <c r="K220" s="31" t="n"/>
      <c r="L220" s="31" t="n"/>
      <c r="M220" s="27" t="n"/>
      <c r="N220" s="27" t="n"/>
      <c r="O220" s="27" t="n"/>
      <c r="P220" s="30">
        <f>IF($D220="","",raporTarihi-$D220)</f>
        <v/>
      </c>
      <c r="Q220" s="30">
        <f>IF($P220="","",IF($P220&lt;=sdf_kovaEsik1,"0-30",IF($P220&lt;=sdf_kovaEsik2,"31-60",IF($P220&lt;=sdf_kovaEsik3,"61-90","90+"))))</f>
        <v/>
      </c>
      <c r="R220" s="30">
        <f>IF($A220="","",IF($H220&gt;0,$H220,$G220))</f>
        <v/>
      </c>
      <c r="S220" s="30">
        <f>IF($F220="D8_KAPALI","KAPANAN",IF($F220="IPTAL","IPTAL","ACIK"))</f>
        <v/>
      </c>
      <c r="T220" s="30">
        <f>IF($B220="","YETİM",IF(COUNTIF(tblEkip[EkipId],$B220)=0,"YETİM",""))</f>
        <v/>
      </c>
      <c r="U220" s="30">
        <f>IF(OR($E220&amp;"|"&amp;$F220="",COUNTIF(ListeIzinliGecis,$E220&amp;"|"&amp;$F220)&gt;0),"","GEÇERSİZ GEÇİŞ")</f>
        <v/>
      </c>
      <c r="V220" s="30">
        <f>IF(OR($F220="D8_KAPALI",$F220="D7_ONLE",$I220&gt;0),IF(OR($H220="",$I220=""),"",IF(ABS($I220-$H220)&gt;zincirTolerans,"ZİNCİR KIRIK","OK")),IF($H220&gt;0,IF(OR($G220="",$H220=""),"",IF(ABS($H220-$G220)&gt;zincirTolerans,"ZİNCİR KIRIK","OK")),"OK"))</f>
        <v/>
      </c>
      <c r="W220" s="30">
        <f>IF($A220="","",1)</f>
        <v/>
      </c>
    </row>
    <row r="221">
      <c r="A221" s="27" t="n"/>
      <c r="B221" s="27" t="n"/>
      <c r="C221" s="27" t="n"/>
      <c r="D221" s="32" t="n"/>
      <c r="E221" s="27" t="n"/>
      <c r="F221" s="27" t="n"/>
      <c r="G221" s="31" t="n"/>
      <c r="H221" s="31" t="n"/>
      <c r="I221" s="31" t="n"/>
      <c r="J221" s="29" t="n"/>
      <c r="K221" s="31" t="n"/>
      <c r="L221" s="31" t="n"/>
      <c r="M221" s="27" t="n"/>
      <c r="N221" s="27" t="n"/>
      <c r="O221" s="27" t="n"/>
      <c r="P221" s="30">
        <f>IF($D221="","",raporTarihi-$D221)</f>
        <v/>
      </c>
      <c r="Q221" s="30">
        <f>IF($P221="","",IF($P221&lt;=sdf_kovaEsik1,"0-30",IF($P221&lt;=sdf_kovaEsik2,"31-60",IF($P221&lt;=sdf_kovaEsik3,"61-90","90+"))))</f>
        <v/>
      </c>
      <c r="R221" s="30">
        <f>IF($A221="","",IF($H221&gt;0,$H221,$G221))</f>
        <v/>
      </c>
      <c r="S221" s="30">
        <f>IF($F221="D8_KAPALI","KAPANAN",IF($F221="IPTAL","IPTAL","ACIK"))</f>
        <v/>
      </c>
      <c r="T221" s="30">
        <f>IF($B221="","YETİM",IF(COUNTIF(tblEkip[EkipId],$B221)=0,"YETİM",""))</f>
        <v/>
      </c>
      <c r="U221" s="30">
        <f>IF(OR($E221&amp;"|"&amp;$F221="",COUNTIF(ListeIzinliGecis,$E221&amp;"|"&amp;$F221)&gt;0),"","GEÇERSİZ GEÇİŞ")</f>
        <v/>
      </c>
      <c r="V221" s="30">
        <f>IF(OR($F221="D8_KAPALI",$F221="D7_ONLE",$I221&gt;0),IF(OR($H221="",$I221=""),"",IF(ABS($I221-$H221)&gt;zincirTolerans,"ZİNCİR KIRIK","OK")),IF($H221&gt;0,IF(OR($G221="",$H221=""),"",IF(ABS($H221-$G221)&gt;zincirTolerans,"ZİNCİR KIRIK","OK")),"OK"))</f>
        <v/>
      </c>
      <c r="W221" s="30">
        <f>IF($A221="","",1)</f>
        <v/>
      </c>
    </row>
    <row r="222">
      <c r="A222" s="27" t="n"/>
      <c r="B222" s="27" t="n"/>
      <c r="C222" s="27" t="n"/>
      <c r="D222" s="32" t="n"/>
      <c r="E222" s="27" t="n"/>
      <c r="F222" s="27" t="n"/>
      <c r="G222" s="31" t="n"/>
      <c r="H222" s="31" t="n"/>
      <c r="I222" s="31" t="n"/>
      <c r="J222" s="29" t="n"/>
      <c r="K222" s="31" t="n"/>
      <c r="L222" s="31" t="n"/>
      <c r="M222" s="27" t="n"/>
      <c r="N222" s="27" t="n"/>
      <c r="O222" s="27" t="n"/>
      <c r="P222" s="30">
        <f>IF($D222="","",raporTarihi-$D222)</f>
        <v/>
      </c>
      <c r="Q222" s="30">
        <f>IF($P222="","",IF($P222&lt;=sdf_kovaEsik1,"0-30",IF($P222&lt;=sdf_kovaEsik2,"31-60",IF($P222&lt;=sdf_kovaEsik3,"61-90","90+"))))</f>
        <v/>
      </c>
      <c r="R222" s="30">
        <f>IF($A222="","",IF($H222&gt;0,$H222,$G222))</f>
        <v/>
      </c>
      <c r="S222" s="30">
        <f>IF($F222="D8_KAPALI","KAPANAN",IF($F222="IPTAL","IPTAL","ACIK"))</f>
        <v/>
      </c>
      <c r="T222" s="30">
        <f>IF($B222="","YETİM",IF(COUNTIF(tblEkip[EkipId],$B222)=0,"YETİM",""))</f>
        <v/>
      </c>
      <c r="U222" s="30">
        <f>IF(OR($E222&amp;"|"&amp;$F222="",COUNTIF(ListeIzinliGecis,$E222&amp;"|"&amp;$F222)&gt;0),"","GEÇERSİZ GEÇİŞ")</f>
        <v/>
      </c>
      <c r="V222" s="30">
        <f>IF(OR($F222="D8_KAPALI",$F222="D7_ONLE",$I222&gt;0),IF(OR($H222="",$I222=""),"",IF(ABS($I222-$H222)&gt;zincirTolerans,"ZİNCİR KIRIK","OK")),IF($H222&gt;0,IF(OR($G222="",$H222=""),"",IF(ABS($H222-$G222)&gt;zincirTolerans,"ZİNCİR KIRIK","OK")),"OK"))</f>
        <v/>
      </c>
      <c r="W222" s="30">
        <f>IF($A222="","",1)</f>
        <v/>
      </c>
    </row>
    <row r="223">
      <c r="A223" s="27" t="n"/>
      <c r="B223" s="27" t="n"/>
      <c r="C223" s="27" t="n"/>
      <c r="D223" s="32" t="n"/>
      <c r="E223" s="27" t="n"/>
      <c r="F223" s="27" t="n"/>
      <c r="G223" s="31" t="n"/>
      <c r="H223" s="31" t="n"/>
      <c r="I223" s="31" t="n"/>
      <c r="J223" s="29" t="n"/>
      <c r="K223" s="31" t="n"/>
      <c r="L223" s="31" t="n"/>
      <c r="M223" s="27" t="n"/>
      <c r="N223" s="27" t="n"/>
      <c r="O223" s="27" t="n"/>
      <c r="P223" s="30">
        <f>IF($D223="","",raporTarihi-$D223)</f>
        <v/>
      </c>
      <c r="Q223" s="30">
        <f>IF($P223="","",IF($P223&lt;=sdf_kovaEsik1,"0-30",IF($P223&lt;=sdf_kovaEsik2,"31-60",IF($P223&lt;=sdf_kovaEsik3,"61-90","90+"))))</f>
        <v/>
      </c>
      <c r="R223" s="30">
        <f>IF($A223="","",IF($H223&gt;0,$H223,$G223))</f>
        <v/>
      </c>
      <c r="S223" s="30">
        <f>IF($F223="D8_KAPALI","KAPANAN",IF($F223="IPTAL","IPTAL","ACIK"))</f>
        <v/>
      </c>
      <c r="T223" s="30">
        <f>IF($B223="","YETİM",IF(COUNTIF(tblEkip[EkipId],$B223)=0,"YETİM",""))</f>
        <v/>
      </c>
      <c r="U223" s="30">
        <f>IF(OR($E223&amp;"|"&amp;$F223="",COUNTIF(ListeIzinliGecis,$E223&amp;"|"&amp;$F223)&gt;0),"","GEÇERSİZ GEÇİŞ")</f>
        <v/>
      </c>
      <c r="V223" s="30">
        <f>IF(OR($F223="D8_KAPALI",$F223="D7_ONLE",$I223&gt;0),IF(OR($H223="",$I223=""),"",IF(ABS($I223-$H223)&gt;zincirTolerans,"ZİNCİR KIRIK","OK")),IF($H223&gt;0,IF(OR($G223="",$H223=""),"",IF(ABS($H223-$G223)&gt;zincirTolerans,"ZİNCİR KIRIK","OK")),"OK"))</f>
        <v/>
      </c>
      <c r="W223" s="30">
        <f>IF($A223="","",1)</f>
        <v/>
      </c>
    </row>
    <row r="224">
      <c r="A224" s="27" t="n"/>
      <c r="B224" s="27" t="n"/>
      <c r="C224" s="27" t="n"/>
      <c r="D224" s="32" t="n"/>
      <c r="E224" s="27" t="n"/>
      <c r="F224" s="27" t="n"/>
      <c r="G224" s="31" t="n"/>
      <c r="H224" s="31" t="n"/>
      <c r="I224" s="31" t="n"/>
      <c r="J224" s="29" t="n"/>
      <c r="K224" s="31" t="n"/>
      <c r="L224" s="31" t="n"/>
      <c r="M224" s="27" t="n"/>
      <c r="N224" s="27" t="n"/>
      <c r="O224" s="27" t="n"/>
      <c r="P224" s="30">
        <f>IF($D224="","",raporTarihi-$D224)</f>
        <v/>
      </c>
      <c r="Q224" s="30">
        <f>IF($P224="","",IF($P224&lt;=sdf_kovaEsik1,"0-30",IF($P224&lt;=sdf_kovaEsik2,"31-60",IF($P224&lt;=sdf_kovaEsik3,"61-90","90+"))))</f>
        <v/>
      </c>
      <c r="R224" s="30">
        <f>IF($A224="","",IF($H224&gt;0,$H224,$G224))</f>
        <v/>
      </c>
      <c r="S224" s="30">
        <f>IF($F224="D8_KAPALI","KAPANAN",IF($F224="IPTAL","IPTAL","ACIK"))</f>
        <v/>
      </c>
      <c r="T224" s="30">
        <f>IF($B224="","YETİM",IF(COUNTIF(tblEkip[EkipId],$B224)=0,"YETİM",""))</f>
        <v/>
      </c>
      <c r="U224" s="30">
        <f>IF(OR($E224&amp;"|"&amp;$F224="",COUNTIF(ListeIzinliGecis,$E224&amp;"|"&amp;$F224)&gt;0),"","GEÇERSİZ GEÇİŞ")</f>
        <v/>
      </c>
      <c r="V224" s="30">
        <f>IF(OR($F224="D8_KAPALI",$F224="D7_ONLE",$I224&gt;0),IF(OR($H224="",$I224=""),"",IF(ABS($I224-$H224)&gt;zincirTolerans,"ZİNCİR KIRIK","OK")),IF($H224&gt;0,IF(OR($G224="",$H224=""),"",IF(ABS($H224-$G224)&gt;zincirTolerans,"ZİNCİR KIRIK","OK")),"OK"))</f>
        <v/>
      </c>
      <c r="W224" s="30">
        <f>IF($A224="","",1)</f>
        <v/>
      </c>
    </row>
    <row r="225">
      <c r="A225" s="27" t="n"/>
      <c r="B225" s="27" t="n"/>
      <c r="C225" s="27" t="n"/>
      <c r="D225" s="32" t="n"/>
      <c r="E225" s="27" t="n"/>
      <c r="F225" s="27" t="n"/>
      <c r="G225" s="31" t="n"/>
      <c r="H225" s="31" t="n"/>
      <c r="I225" s="31" t="n"/>
      <c r="J225" s="29" t="n"/>
      <c r="K225" s="31" t="n"/>
      <c r="L225" s="31" t="n"/>
      <c r="M225" s="27" t="n"/>
      <c r="N225" s="27" t="n"/>
      <c r="O225" s="27" t="n"/>
      <c r="P225" s="30">
        <f>IF($D225="","",raporTarihi-$D225)</f>
        <v/>
      </c>
      <c r="Q225" s="30">
        <f>IF($P225="","",IF($P225&lt;=sdf_kovaEsik1,"0-30",IF($P225&lt;=sdf_kovaEsik2,"31-60",IF($P225&lt;=sdf_kovaEsik3,"61-90","90+"))))</f>
        <v/>
      </c>
      <c r="R225" s="30">
        <f>IF($A225="","",IF($H225&gt;0,$H225,$G225))</f>
        <v/>
      </c>
      <c r="S225" s="30">
        <f>IF($F225="D8_KAPALI","KAPANAN",IF($F225="IPTAL","IPTAL","ACIK"))</f>
        <v/>
      </c>
      <c r="T225" s="30">
        <f>IF($B225="","YETİM",IF(COUNTIF(tblEkip[EkipId],$B225)=0,"YETİM",""))</f>
        <v/>
      </c>
      <c r="U225" s="30">
        <f>IF(OR($E225&amp;"|"&amp;$F225="",COUNTIF(ListeIzinliGecis,$E225&amp;"|"&amp;$F225)&gt;0),"","GEÇERSİZ GEÇİŞ")</f>
        <v/>
      </c>
      <c r="V225" s="30">
        <f>IF(OR($F225="D8_KAPALI",$F225="D7_ONLE",$I225&gt;0),IF(OR($H225="",$I225=""),"",IF(ABS($I225-$H225)&gt;zincirTolerans,"ZİNCİR KIRIK","OK")),IF($H225&gt;0,IF(OR($G225="",$H225=""),"",IF(ABS($H225-$G225)&gt;zincirTolerans,"ZİNCİR KIRIK","OK")),"OK"))</f>
        <v/>
      </c>
      <c r="W225" s="30">
        <f>IF($A225="","",1)</f>
        <v/>
      </c>
    </row>
    <row r="226">
      <c r="A226" s="27" t="n"/>
      <c r="B226" s="27" t="n"/>
      <c r="C226" s="27" t="n"/>
      <c r="D226" s="32" t="n"/>
      <c r="E226" s="27" t="n"/>
      <c r="F226" s="27" t="n"/>
      <c r="G226" s="31" t="n"/>
      <c r="H226" s="31" t="n"/>
      <c r="I226" s="31" t="n"/>
      <c r="J226" s="29" t="n"/>
      <c r="K226" s="31" t="n"/>
      <c r="L226" s="31" t="n"/>
      <c r="M226" s="27" t="n"/>
      <c r="N226" s="27" t="n"/>
      <c r="O226" s="27" t="n"/>
      <c r="P226" s="30">
        <f>IF($D226="","",raporTarihi-$D226)</f>
        <v/>
      </c>
      <c r="Q226" s="30">
        <f>IF($P226="","",IF($P226&lt;=sdf_kovaEsik1,"0-30",IF($P226&lt;=sdf_kovaEsik2,"31-60",IF($P226&lt;=sdf_kovaEsik3,"61-90","90+"))))</f>
        <v/>
      </c>
      <c r="R226" s="30">
        <f>IF($A226="","",IF($H226&gt;0,$H226,$G226))</f>
        <v/>
      </c>
      <c r="S226" s="30">
        <f>IF($F226="D8_KAPALI","KAPANAN",IF($F226="IPTAL","IPTAL","ACIK"))</f>
        <v/>
      </c>
      <c r="T226" s="30">
        <f>IF($B226="","YETİM",IF(COUNTIF(tblEkip[EkipId],$B226)=0,"YETİM",""))</f>
        <v/>
      </c>
      <c r="U226" s="30">
        <f>IF(OR($E226&amp;"|"&amp;$F226="",COUNTIF(ListeIzinliGecis,$E226&amp;"|"&amp;$F226)&gt;0),"","GEÇERSİZ GEÇİŞ")</f>
        <v/>
      </c>
      <c r="V226" s="30">
        <f>IF(OR($F226="D8_KAPALI",$F226="D7_ONLE",$I226&gt;0),IF(OR($H226="",$I226=""),"",IF(ABS($I226-$H226)&gt;zincirTolerans,"ZİNCİR KIRIK","OK")),IF($H226&gt;0,IF(OR($G226="",$H226=""),"",IF(ABS($H226-$G226)&gt;zincirTolerans,"ZİNCİR KIRIK","OK")),"OK"))</f>
        <v/>
      </c>
      <c r="W226" s="30">
        <f>IF($A226="","",1)</f>
        <v/>
      </c>
    </row>
    <row r="227">
      <c r="A227" s="27" t="n"/>
      <c r="B227" s="27" t="n"/>
      <c r="C227" s="27" t="n"/>
      <c r="D227" s="32" t="n"/>
      <c r="E227" s="27" t="n"/>
      <c r="F227" s="27" t="n"/>
      <c r="G227" s="31" t="n"/>
      <c r="H227" s="31" t="n"/>
      <c r="I227" s="31" t="n"/>
      <c r="J227" s="29" t="n"/>
      <c r="K227" s="31" t="n"/>
      <c r="L227" s="31" t="n"/>
      <c r="M227" s="27" t="n"/>
      <c r="N227" s="27" t="n"/>
      <c r="O227" s="27" t="n"/>
      <c r="P227" s="30">
        <f>IF($D227="","",raporTarihi-$D227)</f>
        <v/>
      </c>
      <c r="Q227" s="30">
        <f>IF($P227="","",IF($P227&lt;=sdf_kovaEsik1,"0-30",IF($P227&lt;=sdf_kovaEsik2,"31-60",IF($P227&lt;=sdf_kovaEsik3,"61-90","90+"))))</f>
        <v/>
      </c>
      <c r="R227" s="30">
        <f>IF($A227="","",IF($H227&gt;0,$H227,$G227))</f>
        <v/>
      </c>
      <c r="S227" s="30">
        <f>IF($F227="D8_KAPALI","KAPANAN",IF($F227="IPTAL","IPTAL","ACIK"))</f>
        <v/>
      </c>
      <c r="T227" s="30">
        <f>IF($B227="","YETİM",IF(COUNTIF(tblEkip[EkipId],$B227)=0,"YETİM",""))</f>
        <v/>
      </c>
      <c r="U227" s="30">
        <f>IF(OR($E227&amp;"|"&amp;$F227="",COUNTIF(ListeIzinliGecis,$E227&amp;"|"&amp;$F227)&gt;0),"","GEÇERSİZ GEÇİŞ")</f>
        <v/>
      </c>
      <c r="V227" s="30">
        <f>IF(OR($F227="D8_KAPALI",$F227="D7_ONLE",$I227&gt;0),IF(OR($H227="",$I227=""),"",IF(ABS($I227-$H227)&gt;zincirTolerans,"ZİNCİR KIRIK","OK")),IF($H227&gt;0,IF(OR($G227="",$H227=""),"",IF(ABS($H227-$G227)&gt;zincirTolerans,"ZİNCİR KIRIK","OK")),"OK"))</f>
        <v/>
      </c>
      <c r="W227" s="30">
        <f>IF($A227="","",1)</f>
        <v/>
      </c>
    </row>
    <row r="228">
      <c r="A228" s="27" t="n"/>
      <c r="B228" s="27" t="n"/>
      <c r="C228" s="27" t="n"/>
      <c r="D228" s="32" t="n"/>
      <c r="E228" s="27" t="n"/>
      <c r="F228" s="27" t="n"/>
      <c r="G228" s="31" t="n"/>
      <c r="H228" s="31" t="n"/>
      <c r="I228" s="31" t="n"/>
      <c r="J228" s="29" t="n"/>
      <c r="K228" s="31" t="n"/>
      <c r="L228" s="31" t="n"/>
      <c r="M228" s="27" t="n"/>
      <c r="N228" s="27" t="n"/>
      <c r="O228" s="27" t="n"/>
      <c r="P228" s="30">
        <f>IF($D228="","",raporTarihi-$D228)</f>
        <v/>
      </c>
      <c r="Q228" s="30">
        <f>IF($P228="","",IF($P228&lt;=sdf_kovaEsik1,"0-30",IF($P228&lt;=sdf_kovaEsik2,"31-60",IF($P228&lt;=sdf_kovaEsik3,"61-90","90+"))))</f>
        <v/>
      </c>
      <c r="R228" s="30">
        <f>IF($A228="","",IF($H228&gt;0,$H228,$G228))</f>
        <v/>
      </c>
      <c r="S228" s="30">
        <f>IF($F228="D8_KAPALI","KAPANAN",IF($F228="IPTAL","IPTAL","ACIK"))</f>
        <v/>
      </c>
      <c r="T228" s="30">
        <f>IF($B228="","YETİM",IF(COUNTIF(tblEkip[EkipId],$B228)=0,"YETİM",""))</f>
        <v/>
      </c>
      <c r="U228" s="30">
        <f>IF(OR($E228&amp;"|"&amp;$F228="",COUNTIF(ListeIzinliGecis,$E228&amp;"|"&amp;$F228)&gt;0),"","GEÇERSİZ GEÇİŞ")</f>
        <v/>
      </c>
      <c r="V228" s="30">
        <f>IF(OR($F228="D8_KAPALI",$F228="D7_ONLE",$I228&gt;0),IF(OR($H228="",$I228=""),"",IF(ABS($I228-$H228)&gt;zincirTolerans,"ZİNCİR KIRIK","OK")),IF($H228&gt;0,IF(OR($G228="",$H228=""),"",IF(ABS($H228-$G228)&gt;zincirTolerans,"ZİNCİR KIRIK","OK")),"OK"))</f>
        <v/>
      </c>
      <c r="W228" s="30">
        <f>IF($A228="","",1)</f>
        <v/>
      </c>
    </row>
    <row r="229">
      <c r="A229" s="27" t="n"/>
      <c r="B229" s="27" t="n"/>
      <c r="C229" s="27" t="n"/>
      <c r="D229" s="32" t="n"/>
      <c r="E229" s="27" t="n"/>
      <c r="F229" s="27" t="n"/>
      <c r="G229" s="31" t="n"/>
      <c r="H229" s="31" t="n"/>
      <c r="I229" s="31" t="n"/>
      <c r="J229" s="29" t="n"/>
      <c r="K229" s="31" t="n"/>
      <c r="L229" s="31" t="n"/>
      <c r="M229" s="27" t="n"/>
      <c r="N229" s="27" t="n"/>
      <c r="O229" s="27" t="n"/>
      <c r="P229" s="30">
        <f>IF($D229="","",raporTarihi-$D229)</f>
        <v/>
      </c>
      <c r="Q229" s="30">
        <f>IF($P229="","",IF($P229&lt;=sdf_kovaEsik1,"0-30",IF($P229&lt;=sdf_kovaEsik2,"31-60",IF($P229&lt;=sdf_kovaEsik3,"61-90","90+"))))</f>
        <v/>
      </c>
      <c r="R229" s="30">
        <f>IF($A229="","",IF($H229&gt;0,$H229,$G229))</f>
        <v/>
      </c>
      <c r="S229" s="30">
        <f>IF($F229="D8_KAPALI","KAPANAN",IF($F229="IPTAL","IPTAL","ACIK"))</f>
        <v/>
      </c>
      <c r="T229" s="30">
        <f>IF($B229="","YETİM",IF(COUNTIF(tblEkip[EkipId],$B229)=0,"YETİM",""))</f>
        <v/>
      </c>
      <c r="U229" s="30">
        <f>IF(OR($E229&amp;"|"&amp;$F229="",COUNTIF(ListeIzinliGecis,$E229&amp;"|"&amp;$F229)&gt;0),"","GEÇERSİZ GEÇİŞ")</f>
        <v/>
      </c>
      <c r="V229" s="30">
        <f>IF(OR($F229="D8_KAPALI",$F229="D7_ONLE",$I229&gt;0),IF(OR($H229="",$I229=""),"",IF(ABS($I229-$H229)&gt;zincirTolerans,"ZİNCİR KIRIK","OK")),IF($H229&gt;0,IF(OR($G229="",$H229=""),"",IF(ABS($H229-$G229)&gt;zincirTolerans,"ZİNCİR KIRIK","OK")),"OK"))</f>
        <v/>
      </c>
      <c r="W229" s="30">
        <f>IF($A229="","",1)</f>
        <v/>
      </c>
    </row>
    <row r="230">
      <c r="A230" s="27" t="n"/>
      <c r="B230" s="27" t="n"/>
      <c r="C230" s="27" t="n"/>
      <c r="D230" s="32" t="n"/>
      <c r="E230" s="27" t="n"/>
      <c r="F230" s="27" t="n"/>
      <c r="G230" s="31" t="n"/>
      <c r="H230" s="31" t="n"/>
      <c r="I230" s="31" t="n"/>
      <c r="J230" s="29" t="n"/>
      <c r="K230" s="31" t="n"/>
      <c r="L230" s="31" t="n"/>
      <c r="M230" s="27" t="n"/>
      <c r="N230" s="27" t="n"/>
      <c r="O230" s="27" t="n"/>
      <c r="P230" s="30">
        <f>IF($D230="","",raporTarihi-$D230)</f>
        <v/>
      </c>
      <c r="Q230" s="30">
        <f>IF($P230="","",IF($P230&lt;=sdf_kovaEsik1,"0-30",IF($P230&lt;=sdf_kovaEsik2,"31-60",IF($P230&lt;=sdf_kovaEsik3,"61-90","90+"))))</f>
        <v/>
      </c>
      <c r="R230" s="30">
        <f>IF($A230="","",IF($H230&gt;0,$H230,$G230))</f>
        <v/>
      </c>
      <c r="S230" s="30">
        <f>IF($F230="D8_KAPALI","KAPANAN",IF($F230="IPTAL","IPTAL","ACIK"))</f>
        <v/>
      </c>
      <c r="T230" s="30">
        <f>IF($B230="","YETİM",IF(COUNTIF(tblEkip[EkipId],$B230)=0,"YETİM",""))</f>
        <v/>
      </c>
      <c r="U230" s="30">
        <f>IF(OR($E230&amp;"|"&amp;$F230="",COUNTIF(ListeIzinliGecis,$E230&amp;"|"&amp;$F230)&gt;0),"","GEÇERSİZ GEÇİŞ")</f>
        <v/>
      </c>
      <c r="V230" s="30">
        <f>IF(OR($F230="D8_KAPALI",$F230="D7_ONLE",$I230&gt;0),IF(OR($H230="",$I230=""),"",IF(ABS($I230-$H230)&gt;zincirTolerans,"ZİNCİR KIRIK","OK")),IF($H230&gt;0,IF(OR($G230="",$H230=""),"",IF(ABS($H230-$G230)&gt;zincirTolerans,"ZİNCİR KIRIK","OK")),"OK"))</f>
        <v/>
      </c>
      <c r="W230" s="30">
        <f>IF($A230="","",1)</f>
        <v/>
      </c>
    </row>
    <row r="231">
      <c r="A231" s="27" t="n"/>
      <c r="B231" s="27" t="n"/>
      <c r="C231" s="27" t="n"/>
      <c r="D231" s="32" t="n"/>
      <c r="E231" s="27" t="n"/>
      <c r="F231" s="27" t="n"/>
      <c r="G231" s="31" t="n"/>
      <c r="H231" s="31" t="n"/>
      <c r="I231" s="31" t="n"/>
      <c r="J231" s="29" t="n"/>
      <c r="K231" s="31" t="n"/>
      <c r="L231" s="31" t="n"/>
      <c r="M231" s="27" t="n"/>
      <c r="N231" s="27" t="n"/>
      <c r="O231" s="27" t="n"/>
      <c r="P231" s="30">
        <f>IF($D231="","",raporTarihi-$D231)</f>
        <v/>
      </c>
      <c r="Q231" s="30">
        <f>IF($P231="","",IF($P231&lt;=sdf_kovaEsik1,"0-30",IF($P231&lt;=sdf_kovaEsik2,"31-60",IF($P231&lt;=sdf_kovaEsik3,"61-90","90+"))))</f>
        <v/>
      </c>
      <c r="R231" s="30">
        <f>IF($A231="","",IF($H231&gt;0,$H231,$G231))</f>
        <v/>
      </c>
      <c r="S231" s="30">
        <f>IF($F231="D8_KAPALI","KAPANAN",IF($F231="IPTAL","IPTAL","ACIK"))</f>
        <v/>
      </c>
      <c r="T231" s="30">
        <f>IF($B231="","YETİM",IF(COUNTIF(tblEkip[EkipId],$B231)=0,"YETİM",""))</f>
        <v/>
      </c>
      <c r="U231" s="30">
        <f>IF(OR($E231&amp;"|"&amp;$F231="",COUNTIF(ListeIzinliGecis,$E231&amp;"|"&amp;$F231)&gt;0),"","GEÇERSİZ GEÇİŞ")</f>
        <v/>
      </c>
      <c r="V231" s="30">
        <f>IF(OR($F231="D8_KAPALI",$F231="D7_ONLE",$I231&gt;0),IF(OR($H231="",$I231=""),"",IF(ABS($I231-$H231)&gt;zincirTolerans,"ZİNCİR KIRIK","OK")),IF($H231&gt;0,IF(OR($G231="",$H231=""),"",IF(ABS($H231-$G231)&gt;zincirTolerans,"ZİNCİR KIRIK","OK")),"OK"))</f>
        <v/>
      </c>
      <c r="W231" s="30">
        <f>IF($A231="","",1)</f>
        <v/>
      </c>
    </row>
    <row r="232">
      <c r="A232" s="27" t="n"/>
      <c r="B232" s="27" t="n"/>
      <c r="C232" s="27" t="n"/>
      <c r="D232" s="32" t="n"/>
      <c r="E232" s="27" t="n"/>
      <c r="F232" s="27" t="n"/>
      <c r="G232" s="31" t="n"/>
      <c r="H232" s="31" t="n"/>
      <c r="I232" s="31" t="n"/>
      <c r="J232" s="29" t="n"/>
      <c r="K232" s="31" t="n"/>
      <c r="L232" s="31" t="n"/>
      <c r="M232" s="27" t="n"/>
      <c r="N232" s="27" t="n"/>
      <c r="O232" s="27" t="n"/>
      <c r="P232" s="30">
        <f>IF($D232="","",raporTarihi-$D232)</f>
        <v/>
      </c>
      <c r="Q232" s="30">
        <f>IF($P232="","",IF($P232&lt;=sdf_kovaEsik1,"0-30",IF($P232&lt;=sdf_kovaEsik2,"31-60",IF($P232&lt;=sdf_kovaEsik3,"61-90","90+"))))</f>
        <v/>
      </c>
      <c r="R232" s="30">
        <f>IF($A232="","",IF($H232&gt;0,$H232,$G232))</f>
        <v/>
      </c>
      <c r="S232" s="30">
        <f>IF($F232="D8_KAPALI","KAPANAN",IF($F232="IPTAL","IPTAL","ACIK"))</f>
        <v/>
      </c>
      <c r="T232" s="30">
        <f>IF($B232="","YETİM",IF(COUNTIF(tblEkip[EkipId],$B232)=0,"YETİM",""))</f>
        <v/>
      </c>
      <c r="U232" s="30">
        <f>IF(OR($E232&amp;"|"&amp;$F232="",COUNTIF(ListeIzinliGecis,$E232&amp;"|"&amp;$F232)&gt;0),"","GEÇERSİZ GEÇİŞ")</f>
        <v/>
      </c>
      <c r="V232" s="30">
        <f>IF(OR($F232="D8_KAPALI",$F232="D7_ONLE",$I232&gt;0),IF(OR($H232="",$I232=""),"",IF(ABS($I232-$H232)&gt;zincirTolerans,"ZİNCİR KIRIK","OK")),IF($H232&gt;0,IF(OR($G232="",$H232=""),"",IF(ABS($H232-$G232)&gt;zincirTolerans,"ZİNCİR KIRIK","OK")),"OK"))</f>
        <v/>
      </c>
      <c r="W232" s="30">
        <f>IF($A232="","",1)</f>
        <v/>
      </c>
    </row>
    <row r="233">
      <c r="A233" s="27" t="n"/>
      <c r="B233" s="27" t="n"/>
      <c r="C233" s="27" t="n"/>
      <c r="D233" s="32" t="n"/>
      <c r="E233" s="27" t="n"/>
      <c r="F233" s="27" t="n"/>
      <c r="G233" s="31" t="n"/>
      <c r="H233" s="31" t="n"/>
      <c r="I233" s="31" t="n"/>
      <c r="J233" s="29" t="n"/>
      <c r="K233" s="31" t="n"/>
      <c r="L233" s="31" t="n"/>
      <c r="M233" s="27" t="n"/>
      <c r="N233" s="27" t="n"/>
      <c r="O233" s="27" t="n"/>
      <c r="P233" s="30">
        <f>IF($D233="","",raporTarihi-$D233)</f>
        <v/>
      </c>
      <c r="Q233" s="30">
        <f>IF($P233="","",IF($P233&lt;=sdf_kovaEsik1,"0-30",IF($P233&lt;=sdf_kovaEsik2,"31-60",IF($P233&lt;=sdf_kovaEsik3,"61-90","90+"))))</f>
        <v/>
      </c>
      <c r="R233" s="30">
        <f>IF($A233="","",IF($H233&gt;0,$H233,$G233))</f>
        <v/>
      </c>
      <c r="S233" s="30">
        <f>IF($F233="D8_KAPALI","KAPANAN",IF($F233="IPTAL","IPTAL","ACIK"))</f>
        <v/>
      </c>
      <c r="T233" s="30">
        <f>IF($B233="","YETİM",IF(COUNTIF(tblEkip[EkipId],$B233)=0,"YETİM",""))</f>
        <v/>
      </c>
      <c r="U233" s="30">
        <f>IF(OR($E233&amp;"|"&amp;$F233="",COUNTIF(ListeIzinliGecis,$E233&amp;"|"&amp;$F233)&gt;0),"","GEÇERSİZ GEÇİŞ")</f>
        <v/>
      </c>
      <c r="V233" s="30">
        <f>IF(OR($F233="D8_KAPALI",$F233="D7_ONLE",$I233&gt;0),IF(OR($H233="",$I233=""),"",IF(ABS($I233-$H233)&gt;zincirTolerans,"ZİNCİR KIRIK","OK")),IF($H233&gt;0,IF(OR($G233="",$H233=""),"",IF(ABS($H233-$G233)&gt;zincirTolerans,"ZİNCİR KIRIK","OK")),"OK"))</f>
        <v/>
      </c>
      <c r="W233" s="30">
        <f>IF($A233="","",1)</f>
        <v/>
      </c>
    </row>
    <row r="234">
      <c r="A234" s="27" t="n"/>
      <c r="B234" s="27" t="n"/>
      <c r="C234" s="27" t="n"/>
      <c r="D234" s="32" t="n"/>
      <c r="E234" s="27" t="n"/>
      <c r="F234" s="27" t="n"/>
      <c r="G234" s="31" t="n"/>
      <c r="H234" s="31" t="n"/>
      <c r="I234" s="31" t="n"/>
      <c r="J234" s="29" t="n"/>
      <c r="K234" s="31" t="n"/>
      <c r="L234" s="31" t="n"/>
      <c r="M234" s="27" t="n"/>
      <c r="N234" s="27" t="n"/>
      <c r="O234" s="27" t="n"/>
      <c r="P234" s="30">
        <f>IF($D234="","",raporTarihi-$D234)</f>
        <v/>
      </c>
      <c r="Q234" s="30">
        <f>IF($P234="","",IF($P234&lt;=sdf_kovaEsik1,"0-30",IF($P234&lt;=sdf_kovaEsik2,"31-60",IF($P234&lt;=sdf_kovaEsik3,"61-90","90+"))))</f>
        <v/>
      </c>
      <c r="R234" s="30">
        <f>IF($A234="","",IF($H234&gt;0,$H234,$G234))</f>
        <v/>
      </c>
      <c r="S234" s="30">
        <f>IF($F234="D8_KAPALI","KAPANAN",IF($F234="IPTAL","IPTAL","ACIK"))</f>
        <v/>
      </c>
      <c r="T234" s="30">
        <f>IF($B234="","YETİM",IF(COUNTIF(tblEkip[EkipId],$B234)=0,"YETİM",""))</f>
        <v/>
      </c>
      <c r="U234" s="30">
        <f>IF(OR($E234&amp;"|"&amp;$F234="",COUNTIF(ListeIzinliGecis,$E234&amp;"|"&amp;$F234)&gt;0),"","GEÇERSİZ GEÇİŞ")</f>
        <v/>
      </c>
      <c r="V234" s="30">
        <f>IF(OR($F234="D8_KAPALI",$F234="D7_ONLE",$I234&gt;0),IF(OR($H234="",$I234=""),"",IF(ABS($I234-$H234)&gt;zincirTolerans,"ZİNCİR KIRIK","OK")),IF($H234&gt;0,IF(OR($G234="",$H234=""),"",IF(ABS($H234-$G234)&gt;zincirTolerans,"ZİNCİR KIRIK","OK")),"OK"))</f>
        <v/>
      </c>
      <c r="W234" s="30">
        <f>IF($A234="","",1)</f>
        <v/>
      </c>
    </row>
    <row r="235">
      <c r="A235" s="27" t="n"/>
      <c r="B235" s="27" t="n"/>
      <c r="C235" s="27" t="n"/>
      <c r="D235" s="32" t="n"/>
      <c r="E235" s="27" t="n"/>
      <c r="F235" s="27" t="n"/>
      <c r="G235" s="31" t="n"/>
      <c r="H235" s="31" t="n"/>
      <c r="I235" s="31" t="n"/>
      <c r="J235" s="29" t="n"/>
      <c r="K235" s="31" t="n"/>
      <c r="L235" s="31" t="n"/>
      <c r="M235" s="27" t="n"/>
      <c r="N235" s="27" t="n"/>
      <c r="O235" s="27" t="n"/>
      <c r="P235" s="30">
        <f>IF($D235="","",raporTarihi-$D235)</f>
        <v/>
      </c>
      <c r="Q235" s="30">
        <f>IF($P235="","",IF($P235&lt;=sdf_kovaEsik1,"0-30",IF($P235&lt;=sdf_kovaEsik2,"31-60",IF($P235&lt;=sdf_kovaEsik3,"61-90","90+"))))</f>
        <v/>
      </c>
      <c r="R235" s="30">
        <f>IF($A235="","",IF($H235&gt;0,$H235,$G235))</f>
        <v/>
      </c>
      <c r="S235" s="30">
        <f>IF($F235="D8_KAPALI","KAPANAN",IF($F235="IPTAL","IPTAL","ACIK"))</f>
        <v/>
      </c>
      <c r="T235" s="30">
        <f>IF($B235="","YETİM",IF(COUNTIF(tblEkip[EkipId],$B235)=0,"YETİM",""))</f>
        <v/>
      </c>
      <c r="U235" s="30">
        <f>IF(OR($E235&amp;"|"&amp;$F235="",COUNTIF(ListeIzinliGecis,$E235&amp;"|"&amp;$F235)&gt;0),"","GEÇERSİZ GEÇİŞ")</f>
        <v/>
      </c>
      <c r="V235" s="30">
        <f>IF(OR($F235="D8_KAPALI",$F235="D7_ONLE",$I235&gt;0),IF(OR($H235="",$I235=""),"",IF(ABS($I235-$H235)&gt;zincirTolerans,"ZİNCİR KIRIK","OK")),IF($H235&gt;0,IF(OR($G235="",$H235=""),"",IF(ABS($H235-$G235)&gt;zincirTolerans,"ZİNCİR KIRIK","OK")),"OK"))</f>
        <v/>
      </c>
      <c r="W235" s="30">
        <f>IF($A235="","",1)</f>
        <v/>
      </c>
    </row>
    <row r="236">
      <c r="A236" s="27" t="n"/>
      <c r="B236" s="27" t="n"/>
      <c r="C236" s="27" t="n"/>
      <c r="D236" s="32" t="n"/>
      <c r="E236" s="27" t="n"/>
      <c r="F236" s="27" t="n"/>
      <c r="G236" s="31" t="n"/>
      <c r="H236" s="31" t="n"/>
      <c r="I236" s="31" t="n"/>
      <c r="J236" s="29" t="n"/>
      <c r="K236" s="31" t="n"/>
      <c r="L236" s="31" t="n"/>
      <c r="M236" s="27" t="n"/>
      <c r="N236" s="27" t="n"/>
      <c r="O236" s="27" t="n"/>
      <c r="P236" s="30">
        <f>IF($D236="","",raporTarihi-$D236)</f>
        <v/>
      </c>
      <c r="Q236" s="30">
        <f>IF($P236="","",IF($P236&lt;=sdf_kovaEsik1,"0-30",IF($P236&lt;=sdf_kovaEsik2,"31-60",IF($P236&lt;=sdf_kovaEsik3,"61-90","90+"))))</f>
        <v/>
      </c>
      <c r="R236" s="30">
        <f>IF($A236="","",IF($H236&gt;0,$H236,$G236))</f>
        <v/>
      </c>
      <c r="S236" s="30">
        <f>IF($F236="D8_KAPALI","KAPANAN",IF($F236="IPTAL","IPTAL","ACIK"))</f>
        <v/>
      </c>
      <c r="T236" s="30">
        <f>IF($B236="","YETİM",IF(COUNTIF(tblEkip[EkipId],$B236)=0,"YETİM",""))</f>
        <v/>
      </c>
      <c r="U236" s="30">
        <f>IF(OR($E236&amp;"|"&amp;$F236="",COUNTIF(ListeIzinliGecis,$E236&amp;"|"&amp;$F236)&gt;0),"","GEÇERSİZ GEÇİŞ")</f>
        <v/>
      </c>
      <c r="V236" s="30">
        <f>IF(OR($F236="D8_KAPALI",$F236="D7_ONLE",$I236&gt;0),IF(OR($H236="",$I236=""),"",IF(ABS($I236-$H236)&gt;zincirTolerans,"ZİNCİR KIRIK","OK")),IF($H236&gt;0,IF(OR($G236="",$H236=""),"",IF(ABS($H236-$G236)&gt;zincirTolerans,"ZİNCİR KIRIK","OK")),"OK"))</f>
        <v/>
      </c>
      <c r="W236" s="30">
        <f>IF($A236="","",1)</f>
        <v/>
      </c>
    </row>
    <row r="237">
      <c r="A237" s="27" t="n"/>
      <c r="B237" s="27" t="n"/>
      <c r="C237" s="27" t="n"/>
      <c r="D237" s="32" t="n"/>
      <c r="E237" s="27" t="n"/>
      <c r="F237" s="27" t="n"/>
      <c r="G237" s="31" t="n"/>
      <c r="H237" s="31" t="n"/>
      <c r="I237" s="31" t="n"/>
      <c r="J237" s="29" t="n"/>
      <c r="K237" s="31" t="n"/>
      <c r="L237" s="31" t="n"/>
      <c r="M237" s="27" t="n"/>
      <c r="N237" s="27" t="n"/>
      <c r="O237" s="27" t="n"/>
      <c r="P237" s="30">
        <f>IF($D237="","",raporTarihi-$D237)</f>
        <v/>
      </c>
      <c r="Q237" s="30">
        <f>IF($P237="","",IF($P237&lt;=sdf_kovaEsik1,"0-30",IF($P237&lt;=sdf_kovaEsik2,"31-60",IF($P237&lt;=sdf_kovaEsik3,"61-90","90+"))))</f>
        <v/>
      </c>
      <c r="R237" s="30">
        <f>IF($A237="","",IF($H237&gt;0,$H237,$G237))</f>
        <v/>
      </c>
      <c r="S237" s="30">
        <f>IF($F237="D8_KAPALI","KAPANAN",IF($F237="IPTAL","IPTAL","ACIK"))</f>
        <v/>
      </c>
      <c r="T237" s="30">
        <f>IF($B237="","YETİM",IF(COUNTIF(tblEkip[EkipId],$B237)=0,"YETİM",""))</f>
        <v/>
      </c>
      <c r="U237" s="30">
        <f>IF(OR($E237&amp;"|"&amp;$F237="",COUNTIF(ListeIzinliGecis,$E237&amp;"|"&amp;$F237)&gt;0),"","GEÇERSİZ GEÇİŞ")</f>
        <v/>
      </c>
      <c r="V237" s="30">
        <f>IF(OR($F237="D8_KAPALI",$F237="D7_ONLE",$I237&gt;0),IF(OR($H237="",$I237=""),"",IF(ABS($I237-$H237)&gt;zincirTolerans,"ZİNCİR KIRIK","OK")),IF($H237&gt;0,IF(OR($G237="",$H237=""),"",IF(ABS($H237-$G237)&gt;zincirTolerans,"ZİNCİR KIRIK","OK")),"OK"))</f>
        <v/>
      </c>
      <c r="W237" s="30">
        <f>IF($A237="","",1)</f>
        <v/>
      </c>
    </row>
    <row r="238">
      <c r="A238" s="27" t="n"/>
      <c r="B238" s="27" t="n"/>
      <c r="C238" s="27" t="n"/>
      <c r="D238" s="32" t="n"/>
      <c r="E238" s="27" t="n"/>
      <c r="F238" s="27" t="n"/>
      <c r="G238" s="31" t="n"/>
      <c r="H238" s="31" t="n"/>
      <c r="I238" s="31" t="n"/>
      <c r="J238" s="29" t="n"/>
      <c r="K238" s="31" t="n"/>
      <c r="L238" s="31" t="n"/>
      <c r="M238" s="27" t="n"/>
      <c r="N238" s="27" t="n"/>
      <c r="O238" s="27" t="n"/>
      <c r="P238" s="30">
        <f>IF($D238="","",raporTarihi-$D238)</f>
        <v/>
      </c>
      <c r="Q238" s="30">
        <f>IF($P238="","",IF($P238&lt;=sdf_kovaEsik1,"0-30",IF($P238&lt;=sdf_kovaEsik2,"31-60",IF($P238&lt;=sdf_kovaEsik3,"61-90","90+"))))</f>
        <v/>
      </c>
      <c r="R238" s="30">
        <f>IF($A238="","",IF($H238&gt;0,$H238,$G238))</f>
        <v/>
      </c>
      <c r="S238" s="30">
        <f>IF($F238="D8_KAPALI","KAPANAN",IF($F238="IPTAL","IPTAL","ACIK"))</f>
        <v/>
      </c>
      <c r="T238" s="30">
        <f>IF($B238="","YETİM",IF(COUNTIF(tblEkip[EkipId],$B238)=0,"YETİM",""))</f>
        <v/>
      </c>
      <c r="U238" s="30">
        <f>IF(OR($E238&amp;"|"&amp;$F238="",COUNTIF(ListeIzinliGecis,$E238&amp;"|"&amp;$F238)&gt;0),"","GEÇERSİZ GEÇİŞ")</f>
        <v/>
      </c>
      <c r="V238" s="30">
        <f>IF(OR($F238="D8_KAPALI",$F238="D7_ONLE",$I238&gt;0),IF(OR($H238="",$I238=""),"",IF(ABS($I238-$H238)&gt;zincirTolerans,"ZİNCİR KIRIK","OK")),IF($H238&gt;0,IF(OR($G238="",$H238=""),"",IF(ABS($H238-$G238)&gt;zincirTolerans,"ZİNCİR KIRIK","OK")),"OK"))</f>
        <v/>
      </c>
      <c r="W238" s="30">
        <f>IF($A238="","",1)</f>
        <v/>
      </c>
    </row>
    <row r="239">
      <c r="A239" s="27" t="n"/>
      <c r="B239" s="27" t="n"/>
      <c r="C239" s="27" t="n"/>
      <c r="D239" s="32" t="n"/>
      <c r="E239" s="27" t="n"/>
      <c r="F239" s="27" t="n"/>
      <c r="G239" s="31" t="n"/>
      <c r="H239" s="31" t="n"/>
      <c r="I239" s="31" t="n"/>
      <c r="J239" s="29" t="n"/>
      <c r="K239" s="31" t="n"/>
      <c r="L239" s="31" t="n"/>
      <c r="M239" s="27" t="n"/>
      <c r="N239" s="27" t="n"/>
      <c r="O239" s="27" t="n"/>
      <c r="P239" s="30">
        <f>IF($D239="","",raporTarihi-$D239)</f>
        <v/>
      </c>
      <c r="Q239" s="30">
        <f>IF($P239="","",IF($P239&lt;=sdf_kovaEsik1,"0-30",IF($P239&lt;=sdf_kovaEsik2,"31-60",IF($P239&lt;=sdf_kovaEsik3,"61-90","90+"))))</f>
        <v/>
      </c>
      <c r="R239" s="30">
        <f>IF($A239="","",IF($H239&gt;0,$H239,$G239))</f>
        <v/>
      </c>
      <c r="S239" s="30">
        <f>IF($F239="D8_KAPALI","KAPANAN",IF($F239="IPTAL","IPTAL","ACIK"))</f>
        <v/>
      </c>
      <c r="T239" s="30">
        <f>IF($B239="","YETİM",IF(COUNTIF(tblEkip[EkipId],$B239)=0,"YETİM",""))</f>
        <v/>
      </c>
      <c r="U239" s="30">
        <f>IF(OR($E239&amp;"|"&amp;$F239="",COUNTIF(ListeIzinliGecis,$E239&amp;"|"&amp;$F239)&gt;0),"","GEÇERSİZ GEÇİŞ")</f>
        <v/>
      </c>
      <c r="V239" s="30">
        <f>IF(OR($F239="D8_KAPALI",$F239="D7_ONLE",$I239&gt;0),IF(OR($H239="",$I239=""),"",IF(ABS($I239-$H239)&gt;zincirTolerans,"ZİNCİR KIRIK","OK")),IF($H239&gt;0,IF(OR($G239="",$H239=""),"",IF(ABS($H239-$G239)&gt;zincirTolerans,"ZİNCİR KIRIK","OK")),"OK"))</f>
        <v/>
      </c>
      <c r="W239" s="30">
        <f>IF($A239="","",1)</f>
        <v/>
      </c>
    </row>
    <row r="240">
      <c r="A240" s="27" t="n"/>
      <c r="B240" s="27" t="n"/>
      <c r="C240" s="27" t="n"/>
      <c r="D240" s="32" t="n"/>
      <c r="E240" s="27" t="n"/>
      <c r="F240" s="27" t="n"/>
      <c r="G240" s="31" t="n"/>
      <c r="H240" s="31" t="n"/>
      <c r="I240" s="31" t="n"/>
      <c r="J240" s="29" t="n"/>
      <c r="K240" s="31" t="n"/>
      <c r="L240" s="31" t="n"/>
      <c r="M240" s="27" t="n"/>
      <c r="N240" s="27" t="n"/>
      <c r="O240" s="27" t="n"/>
      <c r="P240" s="30">
        <f>IF($D240="","",raporTarihi-$D240)</f>
        <v/>
      </c>
      <c r="Q240" s="30">
        <f>IF($P240="","",IF($P240&lt;=sdf_kovaEsik1,"0-30",IF($P240&lt;=sdf_kovaEsik2,"31-60",IF($P240&lt;=sdf_kovaEsik3,"61-90","90+"))))</f>
        <v/>
      </c>
      <c r="R240" s="30">
        <f>IF($A240="","",IF($H240&gt;0,$H240,$G240))</f>
        <v/>
      </c>
      <c r="S240" s="30">
        <f>IF($F240="D8_KAPALI","KAPANAN",IF($F240="IPTAL","IPTAL","ACIK"))</f>
        <v/>
      </c>
      <c r="T240" s="30">
        <f>IF($B240="","YETİM",IF(COUNTIF(tblEkip[EkipId],$B240)=0,"YETİM",""))</f>
        <v/>
      </c>
      <c r="U240" s="30">
        <f>IF(OR($E240&amp;"|"&amp;$F240="",COUNTIF(ListeIzinliGecis,$E240&amp;"|"&amp;$F240)&gt;0),"","GEÇERSİZ GEÇİŞ")</f>
        <v/>
      </c>
      <c r="V240" s="30">
        <f>IF(OR($F240="D8_KAPALI",$F240="D7_ONLE",$I240&gt;0),IF(OR($H240="",$I240=""),"",IF(ABS($I240-$H240)&gt;zincirTolerans,"ZİNCİR KIRIK","OK")),IF($H240&gt;0,IF(OR($G240="",$H240=""),"",IF(ABS($H240-$G240)&gt;zincirTolerans,"ZİNCİR KIRIK","OK")),"OK"))</f>
        <v/>
      </c>
      <c r="W240" s="30">
        <f>IF($A240="","",1)</f>
        <v/>
      </c>
    </row>
    <row r="241">
      <c r="A241" s="27" t="n"/>
      <c r="B241" s="27" t="n"/>
      <c r="C241" s="27" t="n"/>
      <c r="D241" s="32" t="n"/>
      <c r="E241" s="27" t="n"/>
      <c r="F241" s="27" t="n"/>
      <c r="G241" s="31" t="n"/>
      <c r="H241" s="31" t="n"/>
      <c r="I241" s="31" t="n"/>
      <c r="J241" s="29" t="n"/>
      <c r="K241" s="31" t="n"/>
      <c r="L241" s="31" t="n"/>
      <c r="M241" s="27" t="n"/>
      <c r="N241" s="27" t="n"/>
      <c r="O241" s="27" t="n"/>
      <c r="P241" s="30">
        <f>IF($D241="","",raporTarihi-$D241)</f>
        <v/>
      </c>
      <c r="Q241" s="30">
        <f>IF($P241="","",IF($P241&lt;=sdf_kovaEsik1,"0-30",IF($P241&lt;=sdf_kovaEsik2,"31-60",IF($P241&lt;=sdf_kovaEsik3,"61-90","90+"))))</f>
        <v/>
      </c>
      <c r="R241" s="30">
        <f>IF($A241="","",IF($H241&gt;0,$H241,$G241))</f>
        <v/>
      </c>
      <c r="S241" s="30">
        <f>IF($F241="D8_KAPALI","KAPANAN",IF($F241="IPTAL","IPTAL","ACIK"))</f>
        <v/>
      </c>
      <c r="T241" s="30">
        <f>IF($B241="","YETİM",IF(COUNTIF(tblEkip[EkipId],$B241)=0,"YETİM",""))</f>
        <v/>
      </c>
      <c r="U241" s="30">
        <f>IF(OR($E241&amp;"|"&amp;$F241="",COUNTIF(ListeIzinliGecis,$E241&amp;"|"&amp;$F241)&gt;0),"","GEÇERSİZ GEÇİŞ")</f>
        <v/>
      </c>
      <c r="V241" s="30">
        <f>IF(OR($F241="D8_KAPALI",$F241="D7_ONLE",$I241&gt;0),IF(OR($H241="",$I241=""),"",IF(ABS($I241-$H241)&gt;zincirTolerans,"ZİNCİR KIRIK","OK")),IF($H241&gt;0,IF(OR($G241="",$H241=""),"",IF(ABS($H241-$G241)&gt;zincirTolerans,"ZİNCİR KIRIK","OK")),"OK"))</f>
        <v/>
      </c>
      <c r="W241" s="30">
        <f>IF($A241="","",1)</f>
        <v/>
      </c>
    </row>
    <row r="242">
      <c r="A242" s="27" t="n"/>
      <c r="B242" s="27" t="n"/>
      <c r="C242" s="27" t="n"/>
      <c r="D242" s="32" t="n"/>
      <c r="E242" s="27" t="n"/>
      <c r="F242" s="27" t="n"/>
      <c r="G242" s="31" t="n"/>
      <c r="H242" s="31" t="n"/>
      <c r="I242" s="31" t="n"/>
      <c r="J242" s="29" t="n"/>
      <c r="K242" s="31" t="n"/>
      <c r="L242" s="31" t="n"/>
      <c r="M242" s="27" t="n"/>
      <c r="N242" s="27" t="n"/>
      <c r="O242" s="27" t="n"/>
      <c r="P242" s="30">
        <f>IF($D242="","",raporTarihi-$D242)</f>
        <v/>
      </c>
      <c r="Q242" s="30">
        <f>IF($P242="","",IF($P242&lt;=sdf_kovaEsik1,"0-30",IF($P242&lt;=sdf_kovaEsik2,"31-60",IF($P242&lt;=sdf_kovaEsik3,"61-90","90+"))))</f>
        <v/>
      </c>
      <c r="R242" s="30">
        <f>IF($A242="","",IF($H242&gt;0,$H242,$G242))</f>
        <v/>
      </c>
      <c r="S242" s="30">
        <f>IF($F242="D8_KAPALI","KAPANAN",IF($F242="IPTAL","IPTAL","ACIK"))</f>
        <v/>
      </c>
      <c r="T242" s="30">
        <f>IF($B242="","YETİM",IF(COUNTIF(tblEkip[EkipId],$B242)=0,"YETİM",""))</f>
        <v/>
      </c>
      <c r="U242" s="30">
        <f>IF(OR($E242&amp;"|"&amp;$F242="",COUNTIF(ListeIzinliGecis,$E242&amp;"|"&amp;$F242)&gt;0),"","GEÇERSİZ GEÇİŞ")</f>
        <v/>
      </c>
      <c r="V242" s="30">
        <f>IF(OR($F242="D8_KAPALI",$F242="D7_ONLE",$I242&gt;0),IF(OR($H242="",$I242=""),"",IF(ABS($I242-$H242)&gt;zincirTolerans,"ZİNCİR KIRIK","OK")),IF($H242&gt;0,IF(OR($G242="",$H242=""),"",IF(ABS($H242-$G242)&gt;zincirTolerans,"ZİNCİR KIRIK","OK")),"OK"))</f>
        <v/>
      </c>
      <c r="W242" s="30">
        <f>IF($A242="","",1)</f>
        <v/>
      </c>
    </row>
    <row r="243">
      <c r="A243" s="27" t="n"/>
      <c r="B243" s="27" t="n"/>
      <c r="C243" s="27" t="n"/>
      <c r="D243" s="32" t="n"/>
      <c r="E243" s="27" t="n"/>
      <c r="F243" s="27" t="n"/>
      <c r="G243" s="31" t="n"/>
      <c r="H243" s="31" t="n"/>
      <c r="I243" s="31" t="n"/>
      <c r="J243" s="29" t="n"/>
      <c r="K243" s="31" t="n"/>
      <c r="L243" s="31" t="n"/>
      <c r="M243" s="27" t="n"/>
      <c r="N243" s="27" t="n"/>
      <c r="O243" s="27" t="n"/>
      <c r="P243" s="30">
        <f>IF($D243="","",raporTarihi-$D243)</f>
        <v/>
      </c>
      <c r="Q243" s="30">
        <f>IF($P243="","",IF($P243&lt;=sdf_kovaEsik1,"0-30",IF($P243&lt;=sdf_kovaEsik2,"31-60",IF($P243&lt;=sdf_kovaEsik3,"61-90","90+"))))</f>
        <v/>
      </c>
      <c r="R243" s="30">
        <f>IF($A243="","",IF($H243&gt;0,$H243,$G243))</f>
        <v/>
      </c>
      <c r="S243" s="30">
        <f>IF($F243="D8_KAPALI","KAPANAN",IF($F243="IPTAL","IPTAL","ACIK"))</f>
        <v/>
      </c>
      <c r="T243" s="30">
        <f>IF($B243="","YETİM",IF(COUNTIF(tblEkip[EkipId],$B243)=0,"YETİM",""))</f>
        <v/>
      </c>
      <c r="U243" s="30">
        <f>IF(OR($E243&amp;"|"&amp;$F243="",COUNTIF(ListeIzinliGecis,$E243&amp;"|"&amp;$F243)&gt;0),"","GEÇERSİZ GEÇİŞ")</f>
        <v/>
      </c>
      <c r="V243" s="30">
        <f>IF(OR($F243="D8_KAPALI",$F243="D7_ONLE",$I243&gt;0),IF(OR($H243="",$I243=""),"",IF(ABS($I243-$H243)&gt;zincirTolerans,"ZİNCİR KIRIK","OK")),IF($H243&gt;0,IF(OR($G243="",$H243=""),"",IF(ABS($H243-$G243)&gt;zincirTolerans,"ZİNCİR KIRIK","OK")),"OK"))</f>
        <v/>
      </c>
      <c r="W243" s="30">
        <f>IF($A243="","",1)</f>
        <v/>
      </c>
    </row>
    <row r="244">
      <c r="A244" s="27" t="n"/>
      <c r="B244" s="27" t="n"/>
      <c r="C244" s="27" t="n"/>
      <c r="D244" s="32" t="n"/>
      <c r="E244" s="27" t="n"/>
      <c r="F244" s="27" t="n"/>
      <c r="G244" s="31" t="n"/>
      <c r="H244" s="31" t="n"/>
      <c r="I244" s="31" t="n"/>
      <c r="J244" s="29" t="n"/>
      <c r="K244" s="31" t="n"/>
      <c r="L244" s="31" t="n"/>
      <c r="M244" s="27" t="n"/>
      <c r="N244" s="27" t="n"/>
      <c r="O244" s="27" t="n"/>
      <c r="P244" s="30">
        <f>IF($D244="","",raporTarihi-$D244)</f>
        <v/>
      </c>
      <c r="Q244" s="30">
        <f>IF($P244="","",IF($P244&lt;=sdf_kovaEsik1,"0-30",IF($P244&lt;=sdf_kovaEsik2,"31-60",IF($P244&lt;=sdf_kovaEsik3,"61-90","90+"))))</f>
        <v/>
      </c>
      <c r="R244" s="30">
        <f>IF($A244="","",IF($H244&gt;0,$H244,$G244))</f>
        <v/>
      </c>
      <c r="S244" s="30">
        <f>IF($F244="D8_KAPALI","KAPANAN",IF($F244="IPTAL","IPTAL","ACIK"))</f>
        <v/>
      </c>
      <c r="T244" s="30">
        <f>IF($B244="","YETİM",IF(COUNTIF(tblEkip[EkipId],$B244)=0,"YETİM",""))</f>
        <v/>
      </c>
      <c r="U244" s="30">
        <f>IF(OR($E244&amp;"|"&amp;$F244="",COUNTIF(ListeIzinliGecis,$E244&amp;"|"&amp;$F244)&gt;0),"","GEÇERSİZ GEÇİŞ")</f>
        <v/>
      </c>
      <c r="V244" s="30">
        <f>IF(OR($F244="D8_KAPALI",$F244="D7_ONLE",$I244&gt;0),IF(OR($H244="",$I244=""),"",IF(ABS($I244-$H244)&gt;zincirTolerans,"ZİNCİR KIRIK","OK")),IF($H244&gt;0,IF(OR($G244="",$H244=""),"",IF(ABS($H244-$G244)&gt;zincirTolerans,"ZİNCİR KIRIK","OK")),"OK"))</f>
        <v/>
      </c>
      <c r="W244" s="30">
        <f>IF($A244="","",1)</f>
        <v/>
      </c>
    </row>
    <row r="245">
      <c r="A245" s="27" t="n"/>
      <c r="B245" s="27" t="n"/>
      <c r="C245" s="27" t="n"/>
      <c r="D245" s="32" t="n"/>
      <c r="E245" s="27" t="n"/>
      <c r="F245" s="27" t="n"/>
      <c r="G245" s="31" t="n"/>
      <c r="H245" s="31" t="n"/>
      <c r="I245" s="31" t="n"/>
      <c r="J245" s="29" t="n"/>
      <c r="K245" s="31" t="n"/>
      <c r="L245" s="31" t="n"/>
      <c r="M245" s="27" t="n"/>
      <c r="N245" s="27" t="n"/>
      <c r="O245" s="27" t="n"/>
      <c r="P245" s="30">
        <f>IF($D245="","",raporTarihi-$D245)</f>
        <v/>
      </c>
      <c r="Q245" s="30">
        <f>IF($P245="","",IF($P245&lt;=sdf_kovaEsik1,"0-30",IF($P245&lt;=sdf_kovaEsik2,"31-60",IF($P245&lt;=sdf_kovaEsik3,"61-90","90+"))))</f>
        <v/>
      </c>
      <c r="R245" s="30">
        <f>IF($A245="","",IF($H245&gt;0,$H245,$G245))</f>
        <v/>
      </c>
      <c r="S245" s="30">
        <f>IF($F245="D8_KAPALI","KAPANAN",IF($F245="IPTAL","IPTAL","ACIK"))</f>
        <v/>
      </c>
      <c r="T245" s="30">
        <f>IF($B245="","YETİM",IF(COUNTIF(tblEkip[EkipId],$B245)=0,"YETİM",""))</f>
        <v/>
      </c>
      <c r="U245" s="30">
        <f>IF(OR($E245&amp;"|"&amp;$F245="",COUNTIF(ListeIzinliGecis,$E245&amp;"|"&amp;$F245)&gt;0),"","GEÇERSİZ GEÇİŞ")</f>
        <v/>
      </c>
      <c r="V245" s="30">
        <f>IF(OR($F245="D8_KAPALI",$F245="D7_ONLE",$I245&gt;0),IF(OR($H245="",$I245=""),"",IF(ABS($I245-$H245)&gt;zincirTolerans,"ZİNCİR KIRIK","OK")),IF($H245&gt;0,IF(OR($G245="",$H245=""),"",IF(ABS($H245-$G245)&gt;zincirTolerans,"ZİNCİR KIRIK","OK")),"OK"))</f>
        <v/>
      </c>
      <c r="W245" s="30">
        <f>IF($A245="","",1)</f>
        <v/>
      </c>
    </row>
    <row r="246">
      <c r="A246" s="27" t="n"/>
      <c r="B246" s="27" t="n"/>
      <c r="C246" s="27" t="n"/>
      <c r="D246" s="32" t="n"/>
      <c r="E246" s="27" t="n"/>
      <c r="F246" s="27" t="n"/>
      <c r="G246" s="31" t="n"/>
      <c r="H246" s="31" t="n"/>
      <c r="I246" s="31" t="n"/>
      <c r="J246" s="29" t="n"/>
      <c r="K246" s="31" t="n"/>
      <c r="L246" s="31" t="n"/>
      <c r="M246" s="27" t="n"/>
      <c r="N246" s="27" t="n"/>
      <c r="O246" s="27" t="n"/>
      <c r="P246" s="30">
        <f>IF($D246="","",raporTarihi-$D246)</f>
        <v/>
      </c>
      <c r="Q246" s="30">
        <f>IF($P246="","",IF($P246&lt;=sdf_kovaEsik1,"0-30",IF($P246&lt;=sdf_kovaEsik2,"31-60",IF($P246&lt;=sdf_kovaEsik3,"61-90","90+"))))</f>
        <v/>
      </c>
      <c r="R246" s="30">
        <f>IF($A246="","",IF($H246&gt;0,$H246,$G246))</f>
        <v/>
      </c>
      <c r="S246" s="30">
        <f>IF($F246="D8_KAPALI","KAPANAN",IF($F246="IPTAL","IPTAL","ACIK"))</f>
        <v/>
      </c>
      <c r="T246" s="30">
        <f>IF($B246="","YETİM",IF(COUNTIF(tblEkip[EkipId],$B246)=0,"YETİM",""))</f>
        <v/>
      </c>
      <c r="U246" s="30">
        <f>IF(OR($E246&amp;"|"&amp;$F246="",COUNTIF(ListeIzinliGecis,$E246&amp;"|"&amp;$F246)&gt;0),"","GEÇERSİZ GEÇİŞ")</f>
        <v/>
      </c>
      <c r="V246" s="30">
        <f>IF(OR($F246="D8_KAPALI",$F246="D7_ONLE",$I246&gt;0),IF(OR($H246="",$I246=""),"",IF(ABS($I246-$H246)&gt;zincirTolerans,"ZİNCİR KIRIK","OK")),IF($H246&gt;0,IF(OR($G246="",$H246=""),"",IF(ABS($H246-$G246)&gt;zincirTolerans,"ZİNCİR KIRIK","OK")),"OK"))</f>
        <v/>
      </c>
      <c r="W246" s="30">
        <f>IF($A246="","",1)</f>
        <v/>
      </c>
    </row>
    <row r="247">
      <c r="A247" s="27" t="n"/>
      <c r="B247" s="27" t="n"/>
      <c r="C247" s="27" t="n"/>
      <c r="D247" s="32" t="n"/>
      <c r="E247" s="27" t="n"/>
      <c r="F247" s="27" t="n"/>
      <c r="G247" s="31" t="n"/>
      <c r="H247" s="31" t="n"/>
      <c r="I247" s="31" t="n"/>
      <c r="J247" s="29" t="n"/>
      <c r="K247" s="31" t="n"/>
      <c r="L247" s="31" t="n"/>
      <c r="M247" s="27" t="n"/>
      <c r="N247" s="27" t="n"/>
      <c r="O247" s="27" t="n"/>
      <c r="P247" s="30">
        <f>IF($D247="","",raporTarihi-$D247)</f>
        <v/>
      </c>
      <c r="Q247" s="30">
        <f>IF($P247="","",IF($P247&lt;=sdf_kovaEsik1,"0-30",IF($P247&lt;=sdf_kovaEsik2,"31-60",IF($P247&lt;=sdf_kovaEsik3,"61-90","90+"))))</f>
        <v/>
      </c>
      <c r="R247" s="30">
        <f>IF($A247="","",IF($H247&gt;0,$H247,$G247))</f>
        <v/>
      </c>
      <c r="S247" s="30">
        <f>IF($F247="D8_KAPALI","KAPANAN",IF($F247="IPTAL","IPTAL","ACIK"))</f>
        <v/>
      </c>
      <c r="T247" s="30">
        <f>IF($B247="","YETİM",IF(COUNTIF(tblEkip[EkipId],$B247)=0,"YETİM",""))</f>
        <v/>
      </c>
      <c r="U247" s="30">
        <f>IF(OR($E247&amp;"|"&amp;$F247="",COUNTIF(ListeIzinliGecis,$E247&amp;"|"&amp;$F247)&gt;0),"","GEÇERSİZ GEÇİŞ")</f>
        <v/>
      </c>
      <c r="V247" s="30">
        <f>IF(OR($F247="D8_KAPALI",$F247="D7_ONLE",$I247&gt;0),IF(OR($H247="",$I247=""),"",IF(ABS($I247-$H247)&gt;zincirTolerans,"ZİNCİR KIRIK","OK")),IF($H247&gt;0,IF(OR($G247="",$H247=""),"",IF(ABS($H247-$G247)&gt;zincirTolerans,"ZİNCİR KIRIK","OK")),"OK"))</f>
        <v/>
      </c>
      <c r="W247" s="30">
        <f>IF($A247="","",1)</f>
        <v/>
      </c>
    </row>
    <row r="248">
      <c r="A248" s="27" t="n"/>
      <c r="B248" s="27" t="n"/>
      <c r="C248" s="27" t="n"/>
      <c r="D248" s="32" t="n"/>
      <c r="E248" s="27" t="n"/>
      <c r="F248" s="27" t="n"/>
      <c r="G248" s="31" t="n"/>
      <c r="H248" s="31" t="n"/>
      <c r="I248" s="31" t="n"/>
      <c r="J248" s="29" t="n"/>
      <c r="K248" s="31" t="n"/>
      <c r="L248" s="31" t="n"/>
      <c r="M248" s="27" t="n"/>
      <c r="N248" s="27" t="n"/>
      <c r="O248" s="27" t="n"/>
      <c r="P248" s="30">
        <f>IF($D248="","",raporTarihi-$D248)</f>
        <v/>
      </c>
      <c r="Q248" s="30">
        <f>IF($P248="","",IF($P248&lt;=sdf_kovaEsik1,"0-30",IF($P248&lt;=sdf_kovaEsik2,"31-60",IF($P248&lt;=sdf_kovaEsik3,"61-90","90+"))))</f>
        <v/>
      </c>
      <c r="R248" s="30">
        <f>IF($A248="","",IF($H248&gt;0,$H248,$G248))</f>
        <v/>
      </c>
      <c r="S248" s="30">
        <f>IF($F248="D8_KAPALI","KAPANAN",IF($F248="IPTAL","IPTAL","ACIK"))</f>
        <v/>
      </c>
      <c r="T248" s="30">
        <f>IF($B248="","YETİM",IF(COUNTIF(tblEkip[EkipId],$B248)=0,"YETİM",""))</f>
        <v/>
      </c>
      <c r="U248" s="30">
        <f>IF(OR($E248&amp;"|"&amp;$F248="",COUNTIF(ListeIzinliGecis,$E248&amp;"|"&amp;$F248)&gt;0),"","GEÇERSİZ GEÇİŞ")</f>
        <v/>
      </c>
      <c r="V248" s="30">
        <f>IF(OR($F248="D8_KAPALI",$F248="D7_ONLE",$I248&gt;0),IF(OR($H248="",$I248=""),"",IF(ABS($I248-$H248)&gt;zincirTolerans,"ZİNCİR KIRIK","OK")),IF($H248&gt;0,IF(OR($G248="",$H248=""),"",IF(ABS($H248-$G248)&gt;zincirTolerans,"ZİNCİR KIRIK","OK")),"OK"))</f>
        <v/>
      </c>
      <c r="W248" s="30">
        <f>IF($A248="","",1)</f>
        <v/>
      </c>
    </row>
    <row r="249">
      <c r="A249" s="27" t="n"/>
      <c r="B249" s="27" t="n"/>
      <c r="C249" s="27" t="n"/>
      <c r="D249" s="32" t="n"/>
      <c r="E249" s="27" t="n"/>
      <c r="F249" s="27" t="n"/>
      <c r="G249" s="31" t="n"/>
      <c r="H249" s="31" t="n"/>
      <c r="I249" s="31" t="n"/>
      <c r="J249" s="29" t="n"/>
      <c r="K249" s="31" t="n"/>
      <c r="L249" s="31" t="n"/>
      <c r="M249" s="27" t="n"/>
      <c r="N249" s="27" t="n"/>
      <c r="O249" s="27" t="n"/>
      <c r="P249" s="30">
        <f>IF($D249="","",raporTarihi-$D249)</f>
        <v/>
      </c>
      <c r="Q249" s="30">
        <f>IF($P249="","",IF($P249&lt;=sdf_kovaEsik1,"0-30",IF($P249&lt;=sdf_kovaEsik2,"31-60",IF($P249&lt;=sdf_kovaEsik3,"61-90","90+"))))</f>
        <v/>
      </c>
      <c r="R249" s="30">
        <f>IF($A249="","",IF($H249&gt;0,$H249,$G249))</f>
        <v/>
      </c>
      <c r="S249" s="30">
        <f>IF($F249="D8_KAPALI","KAPANAN",IF($F249="IPTAL","IPTAL","ACIK"))</f>
        <v/>
      </c>
      <c r="T249" s="30">
        <f>IF($B249="","YETİM",IF(COUNTIF(tblEkip[EkipId],$B249)=0,"YETİM",""))</f>
        <v/>
      </c>
      <c r="U249" s="30">
        <f>IF(OR($E249&amp;"|"&amp;$F249="",COUNTIF(ListeIzinliGecis,$E249&amp;"|"&amp;$F249)&gt;0),"","GEÇERSİZ GEÇİŞ")</f>
        <v/>
      </c>
      <c r="V249" s="30">
        <f>IF(OR($F249="D8_KAPALI",$F249="D7_ONLE",$I249&gt;0),IF(OR($H249="",$I249=""),"",IF(ABS($I249-$H249)&gt;zincirTolerans,"ZİNCİR KIRIK","OK")),IF($H249&gt;0,IF(OR($G249="",$H249=""),"",IF(ABS($H249-$G249)&gt;zincirTolerans,"ZİNCİR KIRIK","OK")),"OK"))</f>
        <v/>
      </c>
      <c r="W249" s="30">
        <f>IF($A249="","",1)</f>
        <v/>
      </c>
    </row>
    <row r="250">
      <c r="A250" s="27" t="n"/>
      <c r="B250" s="27" t="n"/>
      <c r="C250" s="27" t="n"/>
      <c r="D250" s="32" t="n"/>
      <c r="E250" s="27" t="n"/>
      <c r="F250" s="27" t="n"/>
      <c r="G250" s="31" t="n"/>
      <c r="H250" s="31" t="n"/>
      <c r="I250" s="31" t="n"/>
      <c r="J250" s="29" t="n"/>
      <c r="K250" s="31" t="n"/>
      <c r="L250" s="31" t="n"/>
      <c r="M250" s="27" t="n"/>
      <c r="N250" s="27" t="n"/>
      <c r="O250" s="27" t="n"/>
      <c r="P250" s="30">
        <f>IF($D250="","",raporTarihi-$D250)</f>
        <v/>
      </c>
      <c r="Q250" s="30">
        <f>IF($P250="","",IF($P250&lt;=sdf_kovaEsik1,"0-30",IF($P250&lt;=sdf_kovaEsik2,"31-60",IF($P250&lt;=sdf_kovaEsik3,"61-90","90+"))))</f>
        <v/>
      </c>
      <c r="R250" s="30">
        <f>IF($A250="","",IF($H250&gt;0,$H250,$G250))</f>
        <v/>
      </c>
      <c r="S250" s="30">
        <f>IF($F250="D8_KAPALI","KAPANAN",IF($F250="IPTAL","IPTAL","ACIK"))</f>
        <v/>
      </c>
      <c r="T250" s="30">
        <f>IF($B250="","YETİM",IF(COUNTIF(tblEkip[EkipId],$B250)=0,"YETİM",""))</f>
        <v/>
      </c>
      <c r="U250" s="30">
        <f>IF(OR($E250&amp;"|"&amp;$F250="",COUNTIF(ListeIzinliGecis,$E250&amp;"|"&amp;$F250)&gt;0),"","GEÇERSİZ GEÇİŞ")</f>
        <v/>
      </c>
      <c r="V250" s="30">
        <f>IF(OR($F250="D8_KAPALI",$F250="D7_ONLE",$I250&gt;0),IF(OR($H250="",$I250=""),"",IF(ABS($I250-$H250)&gt;zincirTolerans,"ZİNCİR KIRIK","OK")),IF($H250&gt;0,IF(OR($G250="",$H250=""),"",IF(ABS($H250-$G250)&gt;zincirTolerans,"ZİNCİR KIRIK","OK")),"OK"))</f>
        <v/>
      </c>
      <c r="W250" s="30">
        <f>IF($A250="","",1)</f>
        <v/>
      </c>
    </row>
    <row r="251">
      <c r="A251" s="27" t="n"/>
      <c r="B251" s="27" t="n"/>
      <c r="C251" s="27" t="n"/>
      <c r="D251" s="32" t="n"/>
      <c r="E251" s="27" t="n"/>
      <c r="F251" s="27" t="n"/>
      <c r="G251" s="31" t="n"/>
      <c r="H251" s="31" t="n"/>
      <c r="I251" s="31" t="n"/>
      <c r="J251" s="29" t="n"/>
      <c r="K251" s="31" t="n"/>
      <c r="L251" s="31" t="n"/>
      <c r="M251" s="27" t="n"/>
      <c r="N251" s="27" t="n"/>
      <c r="O251" s="27" t="n"/>
      <c r="P251" s="30">
        <f>IF($D251="","",raporTarihi-$D251)</f>
        <v/>
      </c>
      <c r="Q251" s="30">
        <f>IF($P251="","",IF($P251&lt;=sdf_kovaEsik1,"0-30",IF($P251&lt;=sdf_kovaEsik2,"31-60",IF($P251&lt;=sdf_kovaEsik3,"61-90","90+"))))</f>
        <v/>
      </c>
      <c r="R251" s="30">
        <f>IF($A251="","",IF($H251&gt;0,$H251,$G251))</f>
        <v/>
      </c>
      <c r="S251" s="30">
        <f>IF($F251="D8_KAPALI","KAPANAN",IF($F251="IPTAL","IPTAL","ACIK"))</f>
        <v/>
      </c>
      <c r="T251" s="30">
        <f>IF($B251="","YETİM",IF(COUNTIF(tblEkip[EkipId],$B251)=0,"YETİM",""))</f>
        <v/>
      </c>
      <c r="U251" s="30">
        <f>IF(OR($E251&amp;"|"&amp;$F251="",COUNTIF(ListeIzinliGecis,$E251&amp;"|"&amp;$F251)&gt;0),"","GEÇERSİZ GEÇİŞ")</f>
        <v/>
      </c>
      <c r="V251" s="30">
        <f>IF(OR($F251="D8_KAPALI",$F251="D7_ONLE",$I251&gt;0),IF(OR($H251="",$I251=""),"",IF(ABS($I251-$H251)&gt;zincirTolerans,"ZİNCİR KIRIK","OK")),IF($H251&gt;0,IF(OR($G251="",$H251=""),"",IF(ABS($H251-$G251)&gt;zincirTolerans,"ZİNCİR KIRIK","OK")),"OK"))</f>
        <v/>
      </c>
      <c r="W251" s="30">
        <f>IF($A251="","",1)</f>
        <v/>
      </c>
    </row>
    <row r="252">
      <c r="A252" s="27" t="n"/>
      <c r="B252" s="27" t="n"/>
      <c r="C252" s="27" t="n"/>
      <c r="D252" s="32" t="n"/>
      <c r="E252" s="27" t="n"/>
      <c r="F252" s="27" t="n"/>
      <c r="G252" s="31" t="n"/>
      <c r="H252" s="31" t="n"/>
      <c r="I252" s="31" t="n"/>
      <c r="J252" s="29" t="n"/>
      <c r="K252" s="31" t="n"/>
      <c r="L252" s="31" t="n"/>
      <c r="M252" s="27" t="n"/>
      <c r="N252" s="27" t="n"/>
      <c r="O252" s="27" t="n"/>
      <c r="P252" s="30">
        <f>IF($D252="","",raporTarihi-$D252)</f>
        <v/>
      </c>
      <c r="Q252" s="30">
        <f>IF($P252="","",IF($P252&lt;=sdf_kovaEsik1,"0-30",IF($P252&lt;=sdf_kovaEsik2,"31-60",IF($P252&lt;=sdf_kovaEsik3,"61-90","90+"))))</f>
        <v/>
      </c>
      <c r="R252" s="30">
        <f>IF($A252="","",IF($H252&gt;0,$H252,$G252))</f>
        <v/>
      </c>
      <c r="S252" s="30">
        <f>IF($F252="D8_KAPALI","KAPANAN",IF($F252="IPTAL","IPTAL","ACIK"))</f>
        <v/>
      </c>
      <c r="T252" s="30">
        <f>IF($B252="","YETİM",IF(COUNTIF(tblEkip[EkipId],$B252)=0,"YETİM",""))</f>
        <v/>
      </c>
      <c r="U252" s="30">
        <f>IF(OR($E252&amp;"|"&amp;$F252="",COUNTIF(ListeIzinliGecis,$E252&amp;"|"&amp;$F252)&gt;0),"","GEÇERSİZ GEÇİŞ")</f>
        <v/>
      </c>
      <c r="V252" s="30">
        <f>IF(OR($F252="D8_KAPALI",$F252="D7_ONLE",$I252&gt;0),IF(OR($H252="",$I252=""),"",IF(ABS($I252-$H252)&gt;zincirTolerans,"ZİNCİR KIRIK","OK")),IF($H252&gt;0,IF(OR($G252="",$H252=""),"",IF(ABS($H252-$G252)&gt;zincirTolerans,"ZİNCİR KIRIK","OK")),"OK"))</f>
        <v/>
      </c>
      <c r="W252" s="30">
        <f>IF($A252="","",1)</f>
        <v/>
      </c>
    </row>
    <row r="253">
      <c r="A253" s="27" t="n"/>
      <c r="B253" s="27" t="n"/>
      <c r="C253" s="27" t="n"/>
      <c r="D253" s="32" t="n"/>
      <c r="E253" s="27" t="n"/>
      <c r="F253" s="27" t="n"/>
      <c r="G253" s="31" t="n"/>
      <c r="H253" s="31" t="n"/>
      <c r="I253" s="31" t="n"/>
      <c r="J253" s="29" t="n"/>
      <c r="K253" s="31" t="n"/>
      <c r="L253" s="31" t="n"/>
      <c r="M253" s="27" t="n"/>
      <c r="N253" s="27" t="n"/>
      <c r="O253" s="27" t="n"/>
      <c r="P253" s="30">
        <f>IF($D253="","",raporTarihi-$D253)</f>
        <v/>
      </c>
      <c r="Q253" s="30">
        <f>IF($P253="","",IF($P253&lt;=sdf_kovaEsik1,"0-30",IF($P253&lt;=sdf_kovaEsik2,"31-60",IF($P253&lt;=sdf_kovaEsik3,"61-90","90+"))))</f>
        <v/>
      </c>
      <c r="R253" s="30">
        <f>IF($A253="","",IF($H253&gt;0,$H253,$G253))</f>
        <v/>
      </c>
      <c r="S253" s="30">
        <f>IF($F253="D8_KAPALI","KAPANAN",IF($F253="IPTAL","IPTAL","ACIK"))</f>
        <v/>
      </c>
      <c r="T253" s="30">
        <f>IF($B253="","YETİM",IF(COUNTIF(tblEkip[EkipId],$B253)=0,"YETİM",""))</f>
        <v/>
      </c>
      <c r="U253" s="30">
        <f>IF(OR($E253&amp;"|"&amp;$F253="",COUNTIF(ListeIzinliGecis,$E253&amp;"|"&amp;$F253)&gt;0),"","GEÇERSİZ GEÇİŞ")</f>
        <v/>
      </c>
      <c r="V253" s="30">
        <f>IF(OR($F253="D8_KAPALI",$F253="D7_ONLE",$I253&gt;0),IF(OR($H253="",$I253=""),"",IF(ABS($I253-$H253)&gt;zincirTolerans,"ZİNCİR KIRIK","OK")),IF($H253&gt;0,IF(OR($G253="",$H253=""),"",IF(ABS($H253-$G253)&gt;zincirTolerans,"ZİNCİR KIRIK","OK")),"OK"))</f>
        <v/>
      </c>
      <c r="W253" s="30">
        <f>IF($A253="","",1)</f>
        <v/>
      </c>
    </row>
    <row r="254">
      <c r="A254" s="27" t="n"/>
      <c r="B254" s="27" t="n"/>
      <c r="C254" s="27" t="n"/>
      <c r="D254" s="32" t="n"/>
      <c r="E254" s="27" t="n"/>
      <c r="F254" s="27" t="n"/>
      <c r="G254" s="31" t="n"/>
      <c r="H254" s="31" t="n"/>
      <c r="I254" s="31" t="n"/>
      <c r="J254" s="29" t="n"/>
      <c r="K254" s="31" t="n"/>
      <c r="L254" s="31" t="n"/>
      <c r="M254" s="27" t="n"/>
      <c r="N254" s="27" t="n"/>
      <c r="O254" s="27" t="n"/>
      <c r="P254" s="30">
        <f>IF($D254="","",raporTarihi-$D254)</f>
        <v/>
      </c>
      <c r="Q254" s="30">
        <f>IF($P254="","",IF($P254&lt;=sdf_kovaEsik1,"0-30",IF($P254&lt;=sdf_kovaEsik2,"31-60",IF($P254&lt;=sdf_kovaEsik3,"61-90","90+"))))</f>
        <v/>
      </c>
      <c r="R254" s="30">
        <f>IF($A254="","",IF($H254&gt;0,$H254,$G254))</f>
        <v/>
      </c>
      <c r="S254" s="30">
        <f>IF($F254="D8_KAPALI","KAPANAN",IF($F254="IPTAL","IPTAL","ACIK"))</f>
        <v/>
      </c>
      <c r="T254" s="30">
        <f>IF($B254="","YETİM",IF(COUNTIF(tblEkip[EkipId],$B254)=0,"YETİM",""))</f>
        <v/>
      </c>
      <c r="U254" s="30">
        <f>IF(OR($E254&amp;"|"&amp;$F254="",COUNTIF(ListeIzinliGecis,$E254&amp;"|"&amp;$F254)&gt;0),"","GEÇERSİZ GEÇİŞ")</f>
        <v/>
      </c>
      <c r="V254" s="30">
        <f>IF(OR($F254="D8_KAPALI",$F254="D7_ONLE",$I254&gt;0),IF(OR($H254="",$I254=""),"",IF(ABS($I254-$H254)&gt;zincirTolerans,"ZİNCİR KIRIK","OK")),IF($H254&gt;0,IF(OR($G254="",$H254=""),"",IF(ABS($H254-$G254)&gt;zincirTolerans,"ZİNCİR KIRIK","OK")),"OK"))</f>
        <v/>
      </c>
      <c r="W254" s="30">
        <f>IF($A254="","",1)</f>
        <v/>
      </c>
    </row>
    <row r="255">
      <c r="A255" s="27" t="n"/>
      <c r="B255" s="27" t="n"/>
      <c r="C255" s="27" t="n"/>
      <c r="D255" s="32" t="n"/>
      <c r="E255" s="27" t="n"/>
      <c r="F255" s="27" t="n"/>
      <c r="G255" s="31" t="n"/>
      <c r="H255" s="31" t="n"/>
      <c r="I255" s="31" t="n"/>
      <c r="J255" s="29" t="n"/>
      <c r="K255" s="31" t="n"/>
      <c r="L255" s="31" t="n"/>
      <c r="M255" s="27" t="n"/>
      <c r="N255" s="27" t="n"/>
      <c r="O255" s="27" t="n"/>
      <c r="P255" s="30">
        <f>IF($D255="","",raporTarihi-$D255)</f>
        <v/>
      </c>
      <c r="Q255" s="30">
        <f>IF($P255="","",IF($P255&lt;=sdf_kovaEsik1,"0-30",IF($P255&lt;=sdf_kovaEsik2,"31-60",IF($P255&lt;=sdf_kovaEsik3,"61-90","90+"))))</f>
        <v/>
      </c>
      <c r="R255" s="30">
        <f>IF($A255="","",IF($H255&gt;0,$H255,$G255))</f>
        <v/>
      </c>
      <c r="S255" s="30">
        <f>IF($F255="D8_KAPALI","KAPANAN",IF($F255="IPTAL","IPTAL","ACIK"))</f>
        <v/>
      </c>
      <c r="T255" s="30">
        <f>IF($B255="","YETİM",IF(COUNTIF(tblEkip[EkipId],$B255)=0,"YETİM",""))</f>
        <v/>
      </c>
      <c r="U255" s="30">
        <f>IF(OR($E255&amp;"|"&amp;$F255="",COUNTIF(ListeIzinliGecis,$E255&amp;"|"&amp;$F255)&gt;0),"","GEÇERSİZ GEÇİŞ")</f>
        <v/>
      </c>
      <c r="V255" s="30">
        <f>IF(OR($F255="D8_KAPALI",$F255="D7_ONLE",$I255&gt;0),IF(OR($H255="",$I255=""),"",IF(ABS($I255-$H255)&gt;zincirTolerans,"ZİNCİR KIRIK","OK")),IF($H255&gt;0,IF(OR($G255="",$H255=""),"",IF(ABS($H255-$G255)&gt;zincirTolerans,"ZİNCİR KIRIK","OK")),"OK"))</f>
        <v/>
      </c>
      <c r="W255" s="30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W3"/>
    <mergeCell ref="A1:W1"/>
  </mergeCells>
  <conditionalFormatting sqref="T6:T255">
    <cfRule type="cellIs" priority="1" operator="equal" dxfId="2">
      <formula>"YETİM"</formula>
    </cfRule>
  </conditionalFormatting>
  <conditionalFormatting sqref="U6:U255">
    <cfRule type="cellIs" priority="2" operator="equal" dxfId="1">
      <formula>"GEÇERSİZ GEÇİŞ"</formula>
    </cfRule>
  </conditionalFormatting>
  <conditionalFormatting sqref="V6:V255">
    <cfRule type="cellIs" priority="3" operator="equal" dxfId="2">
      <formula>"ZİNCİR KIRIK"</formula>
    </cfRule>
  </conditionalFormatting>
  <conditionalFormatting sqref="Q6:Q255">
    <cfRule type="cellIs" priority="4" operator="equal" dxfId="4">
      <formula>"90+"</formula>
    </cfRule>
  </conditionalFormatting>
  <dataValidations count="12">
    <dataValidation sqref="A6:A255" showDropDown="0" showInputMessage="1" showErrorMessage="1" allowBlank="1" errorTitle="Kimlik" error="En az 1 karakter" promptTitle="İşlem" prompt="8D-#####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Ekip" prompt="Kart kimliği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Başlangıç" prompt="Şikâyet tarihi" type="date" errorStyle="stop" operator="greaterThan">
      <formula1>1</formula1>
    </dataValidation>
    <dataValidation sqref="E6:E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G6:G255" showDropDown="0" showInputMessage="1" showErrorMessage="1" allowBlank="1" errorTitle="Liste" error="0 veya üzeri" promptTitle="Liste" prompt="Liste ≥ 0" type="decimal" errorStyle="stop" operator="greaterThanOrEqual">
      <formula1>0</formula1>
    </dataValidation>
    <dataValidation sqref="H6:H255" showDropDown="0" showInputMessage="1" showErrorMessage="1" allowBlank="1" errorTitle="D5" error="0 veya üzeri" promptTitle="D5" prompt="D5 ≥ 0" type="decimal" errorStyle="stop" operator="greaterThanOrEqual">
      <formula1>0</formula1>
    </dataValidation>
    <dataValidation sqref="I6:I255" showDropDown="0" showInputMessage="1" showErrorMessage="1" allowBlank="1" errorTitle="Satış" error="0 veya üzeri" promptTitle="Satış" prompt="Satış ≥ 0" type="decimal" errorStyle="stop" operator="greaterThanOrEqual">
      <formula1>0</formula1>
    </dataValidation>
    <dataValidation sqref="K6:K255" showDropDown="0" showInputMessage="1" showErrorMessage="1" allowBlank="1" errorTitle="Tahsil" error="0 veya üzeri" promptTitle="Tahsil" prompt="Tahsil ≥ 0" type="decimal" errorStyle="stop" operator="greaterThanOrEqual">
      <formula1>0</formula1>
    </dataValidation>
    <dataValidation sqref="L6:L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J6:J255" showDropDown="0" showInputMessage="1" showErrorMessage="1" allowBlank="1" errorTitle="Oran" error="0–1" promptTitle="Oran" prompt="0–1" type="decimal" errorStyle="stop" operator="between">
      <formula1>0</formula1>
      <formula2>1</formula2>
    </dataValidation>
    <dataValidation sqref="N6:N255" showDropDown="0" showInputMessage="1" showErrorMessage="1" allowBlank="1" errorTitle="Liste" error="A veya B" promptTitle="Yorum A" prompt="A veya B" type="list" errorStyle="stop">
      <formula1>ListeDfSinifB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3D2E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9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KUYRUKLAR — 8D / Düzeltici Faaliyet Dosya Sistemi</t>
        </is>
      </c>
    </row>
    <row r="2"/>
    <row r="3" ht="22" customHeight="1">
      <c r="A3" s="198" t="inlineStr">
        <is>
          <t>Durum bazlı canlı kuyruk — kapalı/iptal kayıtlar düşer</t>
        </is>
      </c>
    </row>
    <row r="4"/>
    <row r="5">
      <c r="A5" s="33" t="inlineStr">
        <is>
          <t>Kuyruk</t>
        </is>
      </c>
      <c r="B5" s="33" t="inlineStr">
        <is>
          <t>Adet</t>
        </is>
      </c>
      <c r="C5" s="33" t="inlineStr">
        <is>
          <t>Tutar</t>
        </is>
      </c>
    </row>
    <row r="6">
      <c r="A6" s="7" t="inlineStr">
        <is>
          <t>Kuyruk D1 Ekip</t>
        </is>
      </c>
      <c r="B6" s="20">
        <f>COUNTIFS(tblAkis[Durum],"D1_EKIP",tblAkis[Tutar],"&gt;0")</f>
        <v/>
      </c>
      <c r="C6" s="21">
        <f>SUMIFS(tblAkis[Tutar],tblAkis[Durum],"D1_EKIP")</f>
        <v/>
      </c>
    </row>
    <row r="7">
      <c r="A7" s="7" t="inlineStr">
        <is>
          <t>Kuyruk D2 Problem</t>
        </is>
      </c>
      <c r="B7" s="20">
        <f>COUNTIFS(tblAkis[Durum],"D2_PROBLEM",tblAkis[Tutar],"&gt;0")</f>
        <v/>
      </c>
      <c r="C7" s="21">
        <f>SUMIFS(tblAkis[Tutar],tblAkis[Durum],"D2_PROBLEM")</f>
        <v/>
      </c>
    </row>
    <row r="8">
      <c r="A8" s="7" t="inlineStr">
        <is>
          <t>Kuyruk D3 Muhafaza</t>
        </is>
      </c>
      <c r="B8" s="20">
        <f>COUNTIFS(tblAkis[Durum],"D3_MUHAFAZA",tblAkis[Tutar],"&gt;0")</f>
        <v/>
      </c>
      <c r="C8" s="21">
        <f>SUMIFS(tblAkis[Tutar],tblAkis[Durum],"D3_MUHAFAZA")</f>
        <v/>
      </c>
    </row>
    <row r="9">
      <c r="A9" s="7" t="inlineStr">
        <is>
          <t>Kuyruk D4 Kök</t>
        </is>
      </c>
      <c r="B9" s="20">
        <f>COUNTIFS(tblAkis[Durum],"D4_KOK",tblAkis[Tutar],"&gt;0")</f>
        <v/>
      </c>
      <c r="C9" s="21">
        <f>SUMIFS(tblAkis[Tutar],tblAkis[Durum],"D4_KOK")</f>
        <v/>
      </c>
    </row>
    <row r="10">
      <c r="A10" s="7" t="inlineStr">
        <is>
          <t>Kuyruk D5 DF</t>
        </is>
      </c>
      <c r="B10" s="20">
        <f>COUNTIFS(tblAkis[Durum],"D5_DF",tblAkis[Tutar],"&gt;0")</f>
        <v/>
      </c>
      <c r="C10" s="21">
        <f>SUMIFS(tblAkis[Tutar],tblAkis[Durum],"D5_DF")</f>
        <v/>
      </c>
    </row>
    <row r="11">
      <c r="A11" s="7" t="inlineStr">
        <is>
          <t>Geciken (açık, yaş&gt;eşik)</t>
        </is>
      </c>
      <c r="B11" s="20">
        <f>COUNTIFS(tblAkis[GecikmeGun],"&gt;"&amp;sdf_esikGecikmeGun,tblAkis[Durum],"&lt;&gt;D8_KAPALI",tblAkis[Durum],"&lt;&gt;IPTAL",tblAkis[Tutar],"&gt;0")</f>
        <v/>
      </c>
      <c r="C11" s="21">
        <f>SUMIFS(tblAkis[Tutar],tblAkis[GecikmeGun],"&gt;"&amp;sdf_esikGecikmeGun,tblAkis[Durum],"&lt;&gt;D8_KAPALI",tblAkis[Durum],"&lt;&gt;IPTAL")</f>
        <v/>
      </c>
    </row>
    <row r="12">
      <c r="A12" s="7" t="inlineStr">
        <is>
          <t>Kuyruk D7 Önleme</t>
        </is>
      </c>
      <c r="B12" s="20">
        <f>COUNTIFS(tblAkis[Durum],"D7_ONLE",tblAkis[Tutar],"&gt;0")</f>
        <v/>
      </c>
      <c r="C12" s="21">
        <f>SUMIFS(tblAkis[Tutar],tblAkis[Durum],"D7_ONLE")</f>
        <v/>
      </c>
    </row>
    <row r="13">
      <c r="A13" s="16" t="inlineStr">
        <is>
          <t>D8 Kapalı / İptal — kuyruktan düşer</t>
        </is>
      </c>
    </row>
    <row r="14">
      <c r="A14" s="7" t="inlineStr">
        <is>
          <t>D8_KAPALI</t>
        </is>
      </c>
      <c r="B14" s="20">
        <f>COUNTIF(tblAkis[Durum],"D8_KAPALI")</f>
        <v/>
      </c>
      <c r="C14" s="21">
        <f>SUMIF(tblAkis[Durum],"D8_KAPALI",tblAkis[DfDogrulamaTl])</f>
        <v/>
      </c>
    </row>
    <row r="15">
      <c r="A15" s="7" t="inlineStr">
        <is>
          <t>İptal</t>
        </is>
      </c>
      <c r="B15" s="20">
        <f>COUNTIF(tblAkis[Durum],"IPTAL")</f>
        <v/>
      </c>
      <c r="C15" s="21">
        <f>SUMIF(tblAkis[Durum],"IPTAL",tblAkis[Tutar])</f>
        <v/>
      </c>
    </row>
    <row r="16"/>
    <row r="17">
      <c r="A17" s="25" t="inlineStr">
        <is>
          <t>Kuyruk Özeti</t>
        </is>
      </c>
      <c r="B17" s="8">
        <f>sdf_kuyrukOzeti</f>
        <v/>
      </c>
    </row>
    <row r="18"/>
    <row r="19">
      <c r="A19" s="16" t="inlineStr">
        <is>
          <t>Yaş Kova Dağılımı</t>
        </is>
      </c>
    </row>
    <row r="20">
      <c r="A20" s="7" t="inlineStr">
        <is>
          <t>0-30</t>
        </is>
      </c>
      <c r="B20" s="20">
        <f>COUNTIF(tblAkis[YasKova],"0-30")</f>
        <v/>
      </c>
      <c r="C20" s="21">
        <f>SUMIF(tblAkis[YasKova],"0-30",tblAkis[Tutar])</f>
        <v/>
      </c>
    </row>
    <row r="21">
      <c r="A21" s="7" t="inlineStr">
        <is>
          <t>31-60</t>
        </is>
      </c>
      <c r="B21" s="20">
        <f>COUNTIF(tblAkis[YasKova],"31-60")</f>
        <v/>
      </c>
      <c r="C21" s="21">
        <f>SUMIF(tblAkis[YasKova],"31-60",tblAkis[Tutar])</f>
        <v/>
      </c>
    </row>
    <row r="22">
      <c r="A22" s="7" t="inlineStr">
        <is>
          <t>61-90</t>
        </is>
      </c>
      <c r="B22" s="20">
        <f>COUNTIF(tblAkis[YasKova],"61-90")</f>
        <v/>
      </c>
      <c r="C22" s="21">
        <f>SUMIF(tblAkis[YasKova],"61-90",tblAkis[Tutar])</f>
        <v/>
      </c>
    </row>
    <row r="23">
      <c r="A23" s="7" t="inlineStr">
        <is>
          <t>90+</t>
        </is>
      </c>
      <c r="B23" s="20">
        <f>COUNTIF(tblAkis[YasKova],"90+")</f>
        <v/>
      </c>
      <c r="C23" s="21">
        <f>SUMIF(tblAkis[YasKova],"90+",tblAkis[Tutar])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7:F17"/>
    <mergeCell ref="A3:I3"/>
  </mergeCells>
  <conditionalFormatting sqref="B6">
    <cfRule type="cellIs" priority="1" operator="greaterThan" dxfId="3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3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3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0">
    <cfRule type="cellIs" priority="9" operator="greaterThan" dxfId="3">
      <formula>0</formula>
    </cfRule>
  </conditionalFormatting>
  <conditionalFormatting sqref="C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C11">
    <cfRule type="cellIs" priority="12" operator="greaterThan" dxfId="3">
      <formula>0</formula>
    </cfRule>
  </conditionalFormatting>
  <conditionalFormatting sqref="B12">
    <cfRule type="cellIs" priority="13" operator="greaterThan" dxfId="3">
      <formula>0</formula>
    </cfRule>
  </conditionalFormatting>
  <conditionalFormatting sqref="C12">
    <cfRule type="cellIs" priority="14" operator="greaterThan" dxfId="3">
      <formula>0</formula>
    </cfRule>
  </conditionalFormatting>
  <conditionalFormatting sqref="B13">
    <cfRule type="cellIs" priority="15" operator="greaterThan" dxfId="3">
      <formula>0</formula>
    </cfRule>
  </conditionalFormatting>
  <conditionalFormatting sqref="C13">
    <cfRule type="cellIs" priority="16" operator="greaterThan" dxfId="3">
      <formula>0</formula>
    </cfRule>
  </conditionalFormatting>
  <conditionalFormatting sqref="B14">
    <cfRule type="cellIs" priority="17" operator="greaterThan" dxfId="3">
      <formula>0</formula>
    </cfRule>
  </conditionalFormatting>
  <conditionalFormatting sqref="C14">
    <cfRule type="cellIs" priority="18" operator="greaterThan" dxfId="3">
      <formula>0</formula>
    </cfRule>
  </conditionalFormatting>
  <conditionalFormatting sqref="B15">
    <cfRule type="cellIs" priority="19" operator="greaterThan" dxfId="3">
      <formula>0</formula>
    </cfRule>
  </conditionalFormatting>
  <conditionalFormatting sqref="C15">
    <cfRule type="cellIs" priority="20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3D2E"/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HESAP — 8D / Düzeltici Faaliyet Dosya Sistemi</t>
        </is>
      </c>
    </row>
    <row r="2"/>
    <row r="3" ht="22" customHeight="1">
      <c r="A3" s="198" t="inlineStr">
        <is>
          <t>Hesap motoru — ≥40 adım; sabitler AYARLAR'dan</t>
        </is>
      </c>
    </row>
    <row r="4"/>
    <row r="5">
      <c r="A5" s="33" t="inlineStr">
        <is>
          <t>Adım</t>
        </is>
      </c>
      <c r="B5" s="33" t="inlineStr">
        <is>
          <t>Açıklama</t>
        </is>
      </c>
      <c r="C5" s="33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4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4">
        <f>SUM(tblAkis[KayitDolu])</f>
        <v/>
      </c>
    </row>
    <row r="8">
      <c r="A8" s="7" t="inlineStr">
        <is>
          <t>H03</t>
        </is>
      </c>
      <c r="B8" s="7" t="inlineStr">
        <is>
          <t>Toplam 8D dosya tutar</t>
        </is>
      </c>
      <c r="C8" s="35">
        <f>SUM(tblAkis[Tutar])</f>
        <v/>
      </c>
    </row>
    <row r="9">
      <c r="A9" s="7" t="inlineStr">
        <is>
          <t>H04</t>
        </is>
      </c>
      <c r="B9" s="7" t="inlineStr">
        <is>
          <t>DF plan toplam</t>
        </is>
      </c>
      <c r="C9" s="34">
        <f>SUM(tblAkis[DfPlanMaliyet])</f>
        <v/>
      </c>
    </row>
    <row r="10">
      <c r="A10" s="7" t="inlineStr">
        <is>
          <t>H05</t>
        </is>
      </c>
      <c r="B10" s="7" t="inlineStr">
        <is>
          <t>DF gerçek toplam</t>
        </is>
      </c>
      <c r="C10" s="34">
        <f>SUM(tblAkis[DfGercekMaliyet])</f>
        <v/>
      </c>
    </row>
    <row r="11">
      <c r="A11" s="7" t="inlineStr">
        <is>
          <t>H06</t>
        </is>
      </c>
      <c r="B11" s="7" t="inlineStr">
        <is>
          <t>Müşteri etki toplam</t>
        </is>
      </c>
      <c r="C11" s="34">
        <f>SUM(tblAkis[MusteriEtkiTl])</f>
        <v/>
      </c>
    </row>
    <row r="12">
      <c r="A12" s="7" t="inlineStr">
        <is>
          <t>H07</t>
        </is>
      </c>
      <c r="B12" s="7" t="inlineStr">
        <is>
          <t>Şikâyet adet</t>
        </is>
      </c>
      <c r="C12" s="34">
        <f>COUNTIF(tblAkis[Durum],"D1_EKIP")</f>
        <v/>
      </c>
    </row>
    <row r="13">
      <c r="A13" s="7" t="inlineStr">
        <is>
          <t>H08</t>
        </is>
      </c>
      <c r="B13" s="7" t="inlineStr">
        <is>
          <t>D2 Problem adet</t>
        </is>
      </c>
      <c r="C13" s="34">
        <f>COUNTIF(tblAkis[Durum],"D2_PROBLEM")</f>
        <v/>
      </c>
    </row>
    <row r="14">
      <c r="A14" s="7" t="inlineStr">
        <is>
          <t>H09</t>
        </is>
      </c>
      <c r="B14" s="7" t="inlineStr">
        <is>
          <t>D5 DF adet</t>
        </is>
      </c>
      <c r="C14" s="34">
        <f>COUNTIF(tblAkis[Durum],"D5_DF")</f>
        <v/>
      </c>
    </row>
    <row r="15">
      <c r="A15" s="7" t="inlineStr">
        <is>
          <t>H10</t>
        </is>
      </c>
      <c r="B15" s="7" t="inlineStr">
        <is>
          <t>D6 Uygulama adet</t>
        </is>
      </c>
      <c r="C15" s="34">
        <f>COUNTIF(tblAkis[Durum],"D6_UYGULA")</f>
        <v/>
      </c>
    </row>
    <row r="16">
      <c r="A16" s="7" t="inlineStr">
        <is>
          <t>H11</t>
        </is>
      </c>
      <c r="B16" s="7" t="inlineStr">
        <is>
          <t>D7 Önleme adet</t>
        </is>
      </c>
      <c r="C16" s="34">
        <f>COUNTIF(tblAkis[Durum],"D7_ONLE")</f>
        <v/>
      </c>
    </row>
    <row r="17">
      <c r="A17" s="7" t="inlineStr">
        <is>
          <t>H12</t>
        </is>
      </c>
      <c r="B17" s="7" t="inlineStr">
        <is>
          <t>D8 Kapalı adet</t>
        </is>
      </c>
      <c r="C17" s="34">
        <f>COUNTIF(tblAkis[Durum],"D8_KAPALI")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4">
        <f>COUNTIF(tblAkis[Durum],"IPTAL")</f>
        <v/>
      </c>
    </row>
    <row r="19">
      <c r="A19" s="7" t="inlineStr">
        <is>
          <t>H14</t>
        </is>
      </c>
      <c r="B19" s="7" t="inlineStr">
        <is>
          <t>Açık 8D kuyruk</t>
        </is>
      </c>
      <c r="C19" s="34">
        <f>C12+C13+C14+C15+C16</f>
        <v/>
      </c>
    </row>
    <row r="20">
      <c r="A20" s="7" t="inlineStr">
        <is>
          <t>H15</t>
        </is>
      </c>
      <c r="B20" s="7" t="inlineStr">
        <is>
          <t>D8 Kapalı düşüm adet</t>
        </is>
      </c>
      <c r="C20" s="34">
        <f>C17+C18</f>
        <v/>
      </c>
    </row>
    <row r="21">
      <c r="A21" s="7" t="inlineStr">
        <is>
          <t>H16</t>
        </is>
      </c>
      <c r="B21" s="7" t="inlineStr">
        <is>
          <t>Açık 8D tutar</t>
        </is>
      </c>
      <c r="C21" s="35">
        <f>SUMIF(tblAkis[Durum],"D1_EKIP",tblAkis[Tutar])+SUMIF(tblAkis[Durum],"D2_PROBLEM",tblAkis[Tutar])+SUMIF(tblAkis[Durum],"D3_MUHAFAZA",tblAkis[Tutar])+SUMIF(tblAkis[Durum],"D4_KOK",tblAkis[Tutar])+SUMIF(tblAkis[Durum],"D5_DF",tblAkis[Tutar])+SUMIF(tblAkis[Durum],"D6_UYGULA",tblAkis[Tutar])+SUMIF(tblAkis[Durum],"D7_ONLE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4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4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4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OK</t>
        </is>
      </c>
      <c r="C25" s="34">
        <f>COUNTIF(tblAkis[ZincirBayrak],"OK")</f>
        <v/>
      </c>
    </row>
    <row r="26">
      <c r="A26" s="7" t="inlineStr">
        <is>
          <t>H21</t>
        </is>
      </c>
      <c r="B26" s="7" t="inlineStr">
        <is>
          <t>Yaş 0-30</t>
        </is>
      </c>
      <c r="C26" s="34">
        <f>COUNTIF(tblAkis[YasKova],"0-30")</f>
        <v/>
      </c>
    </row>
    <row r="27">
      <c r="A27" s="7" t="inlineStr">
        <is>
          <t>H22</t>
        </is>
      </c>
      <c r="B27" s="7" t="inlineStr">
        <is>
          <t>Yaş 31-60</t>
        </is>
      </c>
      <c r="C27" s="34">
        <f>COUNTIF(tblAkis[YasKova],"31-60")</f>
        <v/>
      </c>
    </row>
    <row r="28">
      <c r="A28" s="7" t="inlineStr">
        <is>
          <t>H23</t>
        </is>
      </c>
      <c r="B28" s="7" t="inlineStr">
        <is>
          <t>Yaş 61-90</t>
        </is>
      </c>
      <c r="C28" s="34">
        <f>COUNTIF(tblAkis[YasKova],"61-90")</f>
        <v/>
      </c>
    </row>
    <row r="29">
      <c r="A29" s="7" t="inlineStr">
        <is>
          <t>H24</t>
        </is>
      </c>
      <c r="B29" s="7" t="inlineStr">
        <is>
          <t>Yaş 90+</t>
        </is>
      </c>
      <c r="C29" s="34">
        <f>COUNTIF(tblAkis[YasKova],"90+")</f>
        <v/>
      </c>
    </row>
    <row r="30">
      <c r="A30" s="7" t="inlineStr">
        <is>
          <t>H25</t>
        </is>
      </c>
      <c r="B30" s="7" t="inlineStr">
        <is>
          <t>Ort gecikme gün</t>
        </is>
      </c>
      <c r="C30" s="66">
        <f>IFERROR(AVERAGEIF(tblAkis[KayitDolu],1,tblAkis[GecikmeGun]),0)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4">
        <f>COUNTIFS(tblAkis[GecikmeGun],"&gt;"&amp;sdf_esikGecikmeGun,tblAkis[Durum],"&lt;&gt;D8_KAPALI",tblAkis[Durum],"&lt;&gt;IPTAL",tblAkis[Tutar],"&gt;0")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5">
        <f>SUMIFS(tblAkis[Tutar],tblAkis[GecikmeGun],"&gt;"&amp;sdf_esikGecikmeGun,tblAkis[Durum],"&lt;&gt;D8_KAPALI",tblAkis[Durum],"&lt;&gt;IPTAL")</f>
        <v/>
      </c>
    </row>
    <row r="33">
      <c r="A33" s="7" t="inlineStr">
        <is>
          <t>H28</t>
        </is>
      </c>
      <c r="B33" s="7" t="inlineStr">
        <is>
          <t>Beklenen DF maliyet</t>
        </is>
      </c>
      <c r="C33" s="34">
        <f>C21</f>
        <v/>
      </c>
    </row>
    <row r="34">
      <c r="A34" s="7" t="inlineStr">
        <is>
          <t>H29</t>
        </is>
      </c>
      <c r="B34" s="7" t="inlineStr">
        <is>
          <t>Tahsil DF maliyet</t>
        </is>
      </c>
      <c r="C34" s="34">
        <f>SUMIF(tblAkis[Durum],"D8_KAPALI",tblAkis[DfDogrulamaTl])</f>
        <v/>
      </c>
    </row>
    <row r="35">
      <c r="A35" s="7" t="inlineStr">
        <is>
          <t>H30</t>
        </is>
      </c>
      <c r="B35" s="7" t="inlineStr">
        <is>
          <t>Kapanış oranı</t>
        </is>
      </c>
      <c r="C35" s="37">
        <f>IFERROR(C17/MAX(C7,1),0)</f>
        <v/>
      </c>
    </row>
    <row r="36">
      <c r="A36" s="7" t="inlineStr">
        <is>
          <t>H31</t>
        </is>
      </c>
      <c r="B36" s="7" t="inlineStr">
        <is>
          <t>Kapanış sapma</t>
        </is>
      </c>
      <c r="C36" s="37">
        <f>C35-sdf_hedefKapanis</f>
        <v/>
      </c>
    </row>
    <row r="37">
      <c r="A37" s="7" t="inlineStr">
        <is>
          <t>H32</t>
        </is>
      </c>
      <c r="B37" s="7" t="inlineStr">
        <is>
          <t>Temkinli senaryo</t>
        </is>
      </c>
      <c r="C37" s="35">
        <f>C33*sdf_senaryoTemkinli</f>
        <v/>
      </c>
    </row>
    <row r="38">
      <c r="A38" s="7" t="inlineStr">
        <is>
          <t>H33</t>
        </is>
      </c>
      <c r="B38" s="7" t="inlineStr">
        <is>
          <t>Baz senaryo</t>
        </is>
      </c>
      <c r="C38" s="35">
        <f>C33*sdf_senaryoBaz</f>
        <v/>
      </c>
    </row>
    <row r="39">
      <c r="A39" s="7" t="inlineStr">
        <is>
          <t>H34</t>
        </is>
      </c>
      <c r="B39" s="7" t="inlineStr">
        <is>
          <t>İyimser senaryo</t>
        </is>
      </c>
      <c r="C39" s="35">
        <f>C33*sdf_senaryoIyimser</f>
        <v/>
      </c>
    </row>
    <row r="40">
      <c r="A40" s="7" t="inlineStr">
        <is>
          <t>H35</t>
        </is>
      </c>
      <c r="B40" s="7" t="inlineStr">
        <is>
          <t>Senaryo farkı</t>
        </is>
      </c>
      <c r="C40" s="35">
        <f>C39-C37</f>
        <v/>
      </c>
    </row>
    <row r="41">
      <c r="A41" s="7" t="inlineStr">
        <is>
          <t>H36</t>
        </is>
      </c>
      <c r="B41" s="7" t="inlineStr">
        <is>
          <t>Tornado (oran×tutar)</t>
        </is>
      </c>
      <c r="C41" s="37">
        <f>C33*sdf_tornadoOran</f>
        <v/>
      </c>
    </row>
    <row r="42">
      <c r="A42" s="7" t="inlineStr">
        <is>
          <t>H37</t>
        </is>
      </c>
      <c r="B42" s="7" t="inlineStr">
        <is>
          <t>HHI proxy</t>
        </is>
      </c>
      <c r="C42" s="37">
        <f>IFERROR((MAX(C12,C13,C14)/MAX(C19,1))^2,0)</f>
        <v/>
      </c>
    </row>
    <row r="43">
      <c r="A43" s="7" t="inlineStr">
        <is>
          <t>H38</t>
        </is>
      </c>
      <c r="B43" s="7" t="inlineStr">
        <is>
          <t>Kalite skoru</t>
        </is>
      </c>
      <c r="C43" s="34">
        <f>IF(C6=0,0,MAX(sdf_sifir,sdf_kaliteTaban-C22*sdf_kaliteCeza-C23*sdf_kaliteCeza-C24*sdf_kaliteCeza-C31*2))</f>
        <v/>
      </c>
    </row>
    <row r="44">
      <c r="A44" s="7" t="inlineStr">
        <is>
          <t>H39</t>
        </is>
      </c>
      <c r="B44" s="7" t="inlineStr">
        <is>
          <t>Tahmin PERCENTILE</t>
        </is>
      </c>
      <c r="C44" s="35">
        <f>IFERROR(_xlfn.PERCENTILE.INC(tblAkis[Tutar],sdf_yuzdelikOran),0)</f>
        <v/>
      </c>
    </row>
    <row r="45">
      <c r="A45" s="7" t="inlineStr">
        <is>
          <t>H40</t>
        </is>
      </c>
      <c r="B45" s="7" t="inlineStr">
        <is>
          <t>Tahmin FORECAST</t>
        </is>
      </c>
      <c r="C45" s="35">
        <f>IFERROR(FORECAST(COUNTA(tblAkis[IslemId])+1,tblAkis[Tutar],tblAkis[KayitDolu]),C44)</f>
        <v/>
      </c>
    </row>
    <row r="46">
      <c r="A46" s="7" t="inlineStr">
        <is>
          <t>H41</t>
        </is>
      </c>
      <c r="B46" s="7" t="inlineStr">
        <is>
          <t>Tahmin aralık</t>
        </is>
      </c>
      <c r="C46" s="35">
        <f>IFERROR((C44+C45)/2,0)</f>
        <v/>
      </c>
    </row>
    <row r="47">
      <c r="A47" s="7" t="inlineStr">
        <is>
          <t>H42</t>
        </is>
      </c>
      <c r="B47" s="7" t="inlineStr">
        <is>
          <t>P90 DF plan</t>
        </is>
      </c>
      <c r="C47" s="35">
        <f>IFERROR(_xlfn.PERCENTILE.INC(tblAkis[DfPlanMaliyet],sdf_yuzdelikOran),0)</f>
        <v/>
      </c>
    </row>
    <row r="48">
      <c r="A48" s="7" t="inlineStr">
        <is>
          <t>H43</t>
        </is>
      </c>
      <c r="B48" s="7" t="inlineStr">
        <is>
          <t>Ekip sayısı</t>
        </is>
      </c>
      <c r="C48" s="34">
        <f>COUNTA(tblEkip[EkipId])</f>
        <v/>
      </c>
    </row>
    <row r="49">
      <c r="A49" s="7" t="inlineStr">
        <is>
          <t>H44</t>
        </is>
      </c>
      <c r="B49" s="7" t="inlineStr">
        <is>
          <t>Hedef açık 8D toplam</t>
        </is>
      </c>
      <c r="C49" s="35">
        <f>SUM(tblEkip[HedefAcik8D])</f>
        <v/>
      </c>
    </row>
    <row r="50">
      <c r="A50" s="7" t="inlineStr">
        <is>
          <t>H45</t>
        </is>
      </c>
      <c r="B50" s="7" t="inlineStr">
        <is>
          <t>Hedef karşılama</t>
        </is>
      </c>
      <c r="C50" s="37">
        <f>IFERROR(C33/MAX(C49,1),0)</f>
        <v/>
      </c>
    </row>
    <row r="51">
      <c r="A51" s="7" t="inlineStr">
        <is>
          <t>H46</t>
        </is>
      </c>
      <c r="B51" s="7" t="inlineStr">
        <is>
          <t>8D kuyruk özeti</t>
        </is>
      </c>
      <c r="C51" s="25">
        <f>IFERROR(_xlfn.TEXTJOIN(" | ",TRUE,"Şikâyet",C12,"D2",C13,"D5",C14,"D6",C15,"D7",C16,"Geciken",C31),"")</f>
        <v/>
      </c>
    </row>
    <row r="52">
      <c r="A52" s="7" t="inlineStr">
        <is>
          <t>H47</t>
        </is>
      </c>
      <c r="B52" s="7" t="inlineStr">
        <is>
          <t>Yaş kova metin</t>
        </is>
      </c>
      <c r="C52" s="25">
        <f>IFERROR(_xlfn.TEXTJOIN("/",TRUE,C26,C27,C28,C29),"")</f>
        <v/>
      </c>
    </row>
    <row r="53">
      <c r="A53" s="7" t="inlineStr">
        <is>
          <t>H48</t>
        </is>
      </c>
      <c r="B53" s="7" t="inlineStr">
        <is>
          <t>Senaryo motor özet</t>
        </is>
      </c>
      <c r="C53" s="25">
        <f>IFERROR(_xlfn.TEXTJOIN(" | ",TRUE,"Temkinli",C37,"Baz",C38,"İyimser",C39),"")</f>
        <v/>
      </c>
    </row>
    <row r="54">
      <c r="A54" s="7" t="inlineStr">
        <is>
          <t>H49</t>
        </is>
      </c>
      <c r="B54" s="7" t="inlineStr">
        <is>
          <t>Veri hazırlık</t>
        </is>
      </c>
      <c r="C54" s="37">
        <f>IF(C6=0,0,C7/MAX(C6,1))</f>
        <v/>
      </c>
    </row>
    <row r="55">
      <c r="A55" s="7" t="inlineStr">
        <is>
          <t>H50</t>
        </is>
      </c>
      <c r="B55" s="7" t="inlineStr">
        <is>
          <t>Trend ortalama</t>
        </is>
      </c>
      <c r="C55" s="37">
        <f>IFERROR(C35*(sdf_trendOcak+sdf_trendSubat+sdf_trendMart+sdf_trendNisan+sdf_trendMayis+sdf_trendHaziran+sdf_trendTemmuz+sdf_trendAgustos+sdf_trendEylul+sdf_trendEkim+sdf_trendKasim+sdf_trendAralik)/12,0)</f>
        <v/>
      </c>
    </row>
    <row r="56"/>
    <row r="57"/>
    <row r="58">
      <c r="A58" s="33" t="inlineStr">
        <is>
          <t>Senaryo</t>
        </is>
      </c>
      <c r="B58" s="33" t="inlineStr">
        <is>
          <t>Çarpan</t>
        </is>
      </c>
      <c r="C58" s="33" t="inlineStr">
        <is>
          <t>Sonuç</t>
        </is>
      </c>
    </row>
    <row r="59">
      <c r="A59" s="7" t="inlineStr">
        <is>
          <t>Temkinli</t>
        </is>
      </c>
      <c r="B59" s="22">
        <f>sdf_senaryoTemkinli*IF(COUNTA(tblAkis[IslemId])&gt;=0,1,1)</f>
        <v/>
      </c>
      <c r="C59" s="21">
        <f>C37</f>
        <v/>
      </c>
    </row>
    <row r="60">
      <c r="A60" s="7" t="inlineStr">
        <is>
          <t>Baz</t>
        </is>
      </c>
      <c r="B60" s="22">
        <f>sdf_senaryoBaz*IF(COUNTA(tblAkis[IslemId])&gt;=0,1,1)</f>
        <v/>
      </c>
      <c r="C60" s="21">
        <f>C38</f>
        <v/>
      </c>
    </row>
    <row r="61">
      <c r="A61" s="7" t="inlineStr">
        <is>
          <t>İyimser</t>
        </is>
      </c>
      <c r="B61" s="22">
        <f>sdf_senaryoIyimser*IF(COUNTA(tblAkis[IslemId])&gt;=0,1,1)</f>
        <v/>
      </c>
      <c r="C61" s="21">
        <f>C39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</conditionalFormatting>
  <conditionalFormatting sqref="C7">
    <cfRule type="cellIs" priority="2" operator="greaterThan" dxfId="3">
      <formula>0</formula>
    </cfRule>
  </conditionalFormatting>
  <conditionalFormatting sqref="C8">
    <cfRule type="cellIs" priority="3" operator="greaterThan" dxfId="3">
      <formula>0</formula>
    </cfRule>
  </conditionalFormatting>
  <conditionalFormatting sqref="C9">
    <cfRule type="cellIs" priority="4" operator="greaterThan" dxfId="3">
      <formula>0</formula>
    </cfRule>
  </conditionalFormatting>
  <conditionalFormatting sqref="C10">
    <cfRule type="cellIs" priority="5" operator="greaterThan" dxfId="3">
      <formula>0</formula>
    </cfRule>
  </conditionalFormatting>
  <conditionalFormatting sqref="C11">
    <cfRule type="cellIs" priority="6" operator="greaterThan" dxfId="3">
      <formula>0</formula>
    </cfRule>
  </conditionalFormatting>
  <conditionalFormatting sqref="C12">
    <cfRule type="cellIs" priority="7" operator="greaterThan" dxfId="3">
      <formula>0</formula>
    </cfRule>
  </conditionalFormatting>
  <conditionalFormatting sqref="C13">
    <cfRule type="cellIs" priority="8" operator="greaterThan" dxfId="3">
      <formula>0</formula>
    </cfRule>
  </conditionalFormatting>
  <conditionalFormatting sqref="C14">
    <cfRule type="cellIs" priority="9" operator="greaterThan" dxfId="3">
      <formula>0</formula>
    </cfRule>
  </conditionalFormatting>
  <conditionalFormatting sqref="C15">
    <cfRule type="cellIs" priority="10" operator="greaterThan" dxfId="3">
      <formula>0</formula>
    </cfRule>
  </conditionalFormatting>
  <conditionalFormatting sqref="C16">
    <cfRule type="cellIs" priority="11" operator="greaterThan" dxfId="3">
      <formula>0</formula>
    </cfRule>
  </conditionalFormatting>
  <conditionalFormatting sqref="C17">
    <cfRule type="cellIs" priority="12" operator="greaterThan" dxfId="3">
      <formula>0</formula>
    </cfRule>
  </conditionalFormatting>
  <conditionalFormatting sqref="C18">
    <cfRule type="cellIs" priority="13" operator="greaterThan" dxfId="3">
      <formula>0</formula>
    </cfRule>
  </conditionalFormatting>
  <conditionalFormatting sqref="C19">
    <cfRule type="cellIs" priority="14" operator="greaterThan" dxfId="3">
      <formula>0</formula>
    </cfRule>
  </conditionalFormatting>
  <conditionalFormatting sqref="C20">
    <cfRule type="cellIs" priority="15" operator="greaterThan" dxfId="3">
      <formula>0</formula>
    </cfRule>
  </conditionalFormatting>
  <conditionalFormatting sqref="C21">
    <cfRule type="cellIs" priority="16" operator="greaterThan" dxfId="3">
      <formula>0</formula>
    </cfRule>
  </conditionalFormatting>
  <conditionalFormatting sqref="C22">
    <cfRule type="cellIs" priority="17" operator="greaterThan" dxfId="3">
      <formula>0</formula>
    </cfRule>
  </conditionalFormatting>
  <conditionalFormatting sqref="C23">
    <cfRule type="cellIs" priority="18" operator="greaterThan" dxfId="3">
      <formula>0</formula>
    </cfRule>
  </conditionalFormatting>
  <conditionalFormatting sqref="C24">
    <cfRule type="cellIs" priority="19" operator="greaterThan" dxfId="3">
      <formula>0</formula>
    </cfRule>
  </conditionalFormatting>
  <conditionalFormatting sqref="C25">
    <cfRule type="cellIs" priority="20" operator="greaterThan" dxfId="3">
      <formula>0</formula>
    </cfRule>
  </conditionalFormatting>
  <conditionalFormatting sqref="C26">
    <cfRule type="cellIs" priority="21" operator="greaterThan" dxfId="3">
      <formula>0</formula>
    </cfRule>
  </conditionalFormatting>
  <conditionalFormatting sqref="C27">
    <cfRule type="cellIs" priority="22" operator="greaterThan" dxfId="3">
      <formula>0</formula>
    </cfRule>
  </conditionalFormatting>
  <conditionalFormatting sqref="C28">
    <cfRule type="cellIs" priority="23" operator="greaterThan" dxfId="3">
      <formula>0</formula>
    </cfRule>
  </conditionalFormatting>
  <conditionalFormatting sqref="C29">
    <cfRule type="cellIs" priority="24" operator="greaterThan" dxfId="3">
      <formula>0</formula>
    </cfRule>
  </conditionalFormatting>
  <conditionalFormatting sqref="C30">
    <cfRule type="cellIs" priority="25" operator="greaterThan" dxfId="3">
      <formula>0</formula>
    </cfRule>
  </conditionalFormatting>
  <conditionalFormatting sqref="C31">
    <cfRule type="cellIs" priority="26" operator="greaterThan" dxfId="3">
      <formula>0</formula>
    </cfRule>
  </conditionalFormatting>
  <conditionalFormatting sqref="C32">
    <cfRule type="cellIs" priority="27" operator="greaterThan" dxfId="3">
      <formula>0</formula>
    </cfRule>
  </conditionalFormatting>
  <conditionalFormatting sqref="C33">
    <cfRule type="cellIs" priority="28" operator="greaterThan" dxfId="3">
      <formula>0</formula>
    </cfRule>
  </conditionalFormatting>
  <conditionalFormatting sqref="C34">
    <cfRule type="cellIs" priority="29" operator="greaterThan" dxfId="3">
      <formula>0</formula>
    </cfRule>
  </conditionalFormatting>
  <conditionalFormatting sqref="C35">
    <cfRule type="cellIs" priority="30" operator="greaterThan" dxfId="3">
      <formula>0</formula>
    </cfRule>
  </conditionalFormatting>
  <conditionalFormatting sqref="C36">
    <cfRule type="cellIs" priority="31" operator="greaterThan" dxfId="3">
      <formula>0</formula>
    </cfRule>
  </conditionalFormatting>
  <conditionalFormatting sqref="C37">
    <cfRule type="cellIs" priority="32" operator="greaterThan" dxfId="3">
      <formula>0</formula>
    </cfRule>
  </conditionalFormatting>
  <conditionalFormatting sqref="C38">
    <cfRule type="cellIs" priority="33" operator="greaterThan" dxfId="3">
      <formula>0</formula>
    </cfRule>
  </conditionalFormatting>
  <conditionalFormatting sqref="C39">
    <cfRule type="cellIs" priority="34" operator="greaterThan" dxfId="3">
      <formula>0</formula>
    </cfRule>
  </conditionalFormatting>
  <conditionalFormatting sqref="C40">
    <cfRule type="cellIs" priority="35" operator="greaterThan" dxfId="3">
      <formula>0</formula>
    </cfRule>
  </conditionalFormatting>
  <conditionalFormatting sqref="C41">
    <cfRule type="cellIs" priority="36" operator="greaterThan" dxfId="3">
      <formula>0</formula>
    </cfRule>
  </conditionalFormatting>
  <conditionalFormatting sqref="C42">
    <cfRule type="cellIs" priority="37" operator="greaterThan" dxfId="3">
      <formula>0</formula>
    </cfRule>
  </conditionalFormatting>
  <conditionalFormatting sqref="C43">
    <cfRule type="cellIs" priority="38" operator="greaterThan" dxfId="3">
      <formula>0</formula>
    </cfRule>
  </conditionalFormatting>
  <conditionalFormatting sqref="C44">
    <cfRule type="cellIs" priority="39" operator="greaterThan" dxfId="3">
      <formula>0</formula>
    </cfRule>
  </conditionalFormatting>
  <conditionalFormatting sqref="C45">
    <cfRule type="cellIs" priority="40" operator="greaterThan" dxfId="3">
      <formula>0</formula>
    </cfRule>
  </conditionalFormatting>
  <conditionalFormatting sqref="C46">
    <cfRule type="cellIs" priority="41" operator="greaterThan" dxfId="3">
      <formula>0</formula>
    </cfRule>
  </conditionalFormatting>
  <conditionalFormatting sqref="C47">
    <cfRule type="cellIs" priority="42" operator="greaterThan" dxfId="3">
      <formula>0</formula>
    </cfRule>
  </conditionalFormatting>
  <conditionalFormatting sqref="C48">
    <cfRule type="cellIs" priority="43" operator="greaterThan" dxfId="3">
      <formula>0</formula>
    </cfRule>
  </conditionalFormatting>
  <conditionalFormatting sqref="C49">
    <cfRule type="cellIs" priority="44" operator="greaterThan" dxfId="3">
      <formula>0</formula>
    </cfRule>
  </conditionalFormatting>
  <conditionalFormatting sqref="C50">
    <cfRule type="cellIs" priority="45" operator="greaterThan" dxfId="3">
      <formula>0</formula>
    </cfRule>
  </conditionalFormatting>
  <conditionalFormatting sqref="C51">
    <cfRule type="cellIs" priority="46" operator="greaterThan" dxfId="3">
      <formula>0</formula>
    </cfRule>
  </conditionalFormatting>
  <conditionalFormatting sqref="C52">
    <cfRule type="cellIs" priority="47" operator="greaterThan" dxfId="3">
      <formula>0</formula>
    </cfRule>
  </conditionalFormatting>
  <conditionalFormatting sqref="C53">
    <cfRule type="cellIs" priority="48" operator="greaterThan" dxfId="3">
      <formula>0</formula>
    </cfRule>
  </conditionalFormatting>
  <conditionalFormatting sqref="C54">
    <cfRule type="cellIs" priority="49" operator="greaterThan" dxfId="3">
      <formula>0</formula>
    </cfRule>
  </conditionalFormatting>
  <conditionalFormatting sqref="C55">
    <cfRule type="cellIs" priority="50" operator="greaterThan" dxfId="3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183.5" customWidth="1" min="1" max="1"/>
    <col width="93.5" customWidth="1" min="2" max="2"/>
    <col width="24" customWidth="1" min="3" max="3"/>
    <col width="14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KANIT RAPORU — 8D / Düzeltici Faaliyet Dosya Sistemi</t>
        </is>
      </c>
    </row>
    <row r="2"/>
    <row r="3" ht="22" customHeight="1">
      <c r="A3" s="197" t="inlineStr">
        <is>
          <t>8D / DF Kapanış Kanıt Raporu — Müşteri / IATF</t>
        </is>
      </c>
    </row>
    <row r="4">
      <c r="A4" s="7" t="inlineStr">
        <is>
          <t>Ürün</t>
        </is>
      </c>
      <c r="B4" s="7" t="inlineStr">
        <is>
          <t>8D / Düzeltici Faaliyet Dosya Sistemi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Tarihi</t>
        </is>
      </c>
      <c r="B6" s="12">
        <f>raporTarihi</f>
        <v/>
      </c>
    </row>
    <row r="7">
      <c r="A7" s="25" t="inlineStr">
        <is>
          <t>KARAR</t>
        </is>
      </c>
      <c r="B7" s="39">
        <f>PANO!B4</f>
        <v/>
      </c>
    </row>
    <row r="8"/>
    <row r="9">
      <c r="A9" s="16" t="inlineStr">
        <is>
          <t>Girdi özeti</t>
        </is>
      </c>
    </row>
    <row r="10">
      <c r="A10" s="7" t="inlineStr">
        <is>
          <t>Açık 8D</t>
        </is>
      </c>
      <c r="B10" s="34">
        <f>sdf_acik8D</f>
        <v/>
      </c>
    </row>
    <row r="11">
      <c r="A11" s="7" t="inlineStr">
        <is>
          <t>DF plan toplam</t>
        </is>
      </c>
      <c r="B11" s="35">
        <f>sdf_dfPlanToplam</f>
        <v/>
      </c>
    </row>
    <row r="12">
      <c r="A12" s="7" t="inlineStr">
        <is>
          <t>DF gerçek toplam</t>
        </is>
      </c>
      <c r="B12" s="35">
        <f>sdf_dfGercekToplam</f>
        <v/>
      </c>
    </row>
    <row r="13">
      <c r="A13" s="7" t="inlineStr">
        <is>
          <t>Kapanış oranı</t>
        </is>
      </c>
      <c r="B13" s="37">
        <f>sdf_kapanisOrani</f>
        <v/>
      </c>
    </row>
    <row r="14">
      <c r="A14" s="7" t="inlineStr">
        <is>
          <t>Yetim</t>
        </is>
      </c>
      <c r="B14" s="34">
        <f>sdf_yetimKayit</f>
        <v/>
      </c>
    </row>
    <row r="15">
      <c r="A15" s="7" t="inlineStr">
        <is>
          <t>Geçersiz geçiş</t>
        </is>
      </c>
      <c r="B15" s="34">
        <f>sdf_gecersizGecis</f>
        <v/>
      </c>
    </row>
    <row r="16">
      <c r="A16" s="7" t="inlineStr">
        <is>
          <t>ZİNCİR KIRIK</t>
        </is>
      </c>
      <c r="B16" s="34">
        <f>sdf_zincirKirik</f>
        <v/>
      </c>
    </row>
    <row r="17">
      <c r="A17" s="7" t="inlineStr">
        <is>
          <t>Geciken 8D</t>
        </is>
      </c>
      <c r="B17" s="34">
        <f>sdf_gecikenAdet</f>
        <v/>
      </c>
    </row>
    <row r="18"/>
    <row r="19">
      <c r="A19" s="16" t="inlineStr">
        <is>
          <t>Hesap zinciri</t>
        </is>
      </c>
    </row>
    <row r="20">
      <c r="A20" s="8" t="inlineStr">
        <is>
          <t>Şikâyet açılışı → D1 Ekip → D2 Problem → D3 Muhafaza → D4 Kök Neden → D5 DF Plan → D6 Uygulama → D7 Önleme → D8 Kapalı. DF plan ↔ DF gerçek sapması tolerans üstü ise ZİNCİR KIRIK.</t>
        </is>
      </c>
    </row>
    <row r="21"/>
    <row r="22"/>
    <row r="23">
      <c r="A23" s="16" t="inlineStr">
        <is>
          <t>Madde atıfları</t>
        </is>
      </c>
    </row>
    <row r="24">
      <c r="A24" s="7" t="inlineStr">
        <is>
          <t>IATF 16949 — düzeltici faaliyet / müşteri şikâyeti kanıtı</t>
        </is>
      </c>
    </row>
    <row r="25">
      <c r="A25" s="7" t="inlineStr">
        <is>
          <t>ISO 9001 — uygunsuzluk ve düzeltici faaliyet</t>
        </is>
      </c>
    </row>
    <row r="26">
      <c r="A26" s="7" t="inlineStr">
        <is>
          <t>AIAG 8D — D1–D8 adım disiplini</t>
        </is>
      </c>
    </row>
    <row r="27"/>
    <row r="28">
      <c r="A28" s="25" t="inlineStr">
        <is>
          <t>Parametre seti</t>
        </is>
      </c>
      <c r="B28" s="8">
        <f>sdf_kanitRaporu</f>
        <v/>
      </c>
    </row>
    <row r="29"/>
    <row r="30">
      <c r="A30" s="25" t="inlineStr">
        <is>
          <t>SHA-256</t>
        </is>
      </c>
      <c r="B30" s="8" t="inlineStr">
        <is>
          <t>SHA-256 sevk anında KANIT/SEVK_KARARI.md dosyasına yazılır; alıcı parmak iziyle doğrular.</t>
        </is>
      </c>
    </row>
    <row r="31"/>
    <row r="32">
      <c r="A32" s="25" t="inlineStr">
        <is>
          <t>İmza — 8D Lider</t>
        </is>
      </c>
      <c r="C32" s="25" t="inlineStr">
        <is>
          <t>İmza — Kalite Müdürü</t>
        </is>
      </c>
      <c r="E32" s="25" t="inlineStr">
        <is>
          <t>İmza — Müşteri / Denetçi</t>
        </is>
      </c>
    </row>
    <row r="33"/>
    <row r="34">
      <c r="A34" s="7" t="inlineStr">
        <is>
          <t>________________</t>
        </is>
      </c>
      <c r="C34" s="7" t="inlineStr">
        <is>
          <t>________________</t>
        </is>
      </c>
      <c r="E34" s="7" t="inlineStr">
        <is>
          <t>________________</t>
        </is>
      </c>
    </row>
    <row r="35"/>
    <row r="36">
      <c r="A36" s="11" t="inlineStr">
        <is>
          <t>Uyarı: Bu çıktı karar destektir; sertifikasyon kararı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20:H21"/>
    <mergeCell ref="A1:I1"/>
    <mergeCell ref="B30:H30"/>
    <mergeCell ref="A3:I3"/>
    <mergeCell ref="B28:H28"/>
  </mergeCells>
  <pageMargins left="0.4" right="0.4" top="0.5" bottom="0.5" header="0.5" footer="0.5"/>
  <pageSetup orientation="landscape" paperSize="9" fitToHeight="1" fitToWidth="1"/>
  <headerFooter>
    <oddHeader/>
    <oddFooter>&amp;L8D / Düzeltici Faaliyet Dosya Sistemi | Kanıt&amp;CExcelArşiv&amp;RSayfa &amp;P / &amp;N</oddFooter>
    <evenHeader/>
    <evenFooter>&amp;L8D / Düzeltici Faaliyet Dosya Sistemi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20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RAPOR — 8D / Düzeltici Faaliyet Dosya Sistemi</t>
        </is>
      </c>
    </row>
    <row r="2"/>
    <row r="3" ht="22" customHeight="1">
      <c r="A3" s="197" t="inlineStr">
        <is>
          <t>8D / DF Kapanış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5" t="inlineStr">
        <is>
          <t>KARAR</t>
        </is>
      </c>
      <c r="B7" s="39">
        <f>PANO!B4</f>
        <v/>
      </c>
    </row>
    <row r="8"/>
    <row r="9">
      <c r="A9" s="7" t="inlineStr">
        <is>
          <t>Rapor Açık 8D</t>
        </is>
      </c>
      <c r="B9" s="34">
        <f>sdf_acik8D</f>
        <v/>
      </c>
    </row>
    <row r="10">
      <c r="A10" s="7" t="inlineStr">
        <is>
          <t>Rapor DF Plan</t>
        </is>
      </c>
      <c r="B10" s="35">
        <f>sdf_dfPlanToplam</f>
        <v/>
      </c>
    </row>
    <row r="11">
      <c r="A11" s="7" t="inlineStr">
        <is>
          <t>Rapor DF Gerçek</t>
        </is>
      </c>
      <c r="B11" s="35">
        <f>sdf_dfGercekToplam</f>
        <v/>
      </c>
    </row>
    <row r="12">
      <c r="A12" s="7" t="inlineStr">
        <is>
          <t>Rapor Kapanış Oranı</t>
        </is>
      </c>
      <c r="B12" s="37">
        <f>sdf_kapanisOrani</f>
        <v/>
      </c>
    </row>
    <row r="13">
      <c r="A13" s="7" t="inlineStr">
        <is>
          <t>Rapor Yetim</t>
        </is>
      </c>
      <c r="B13" s="34">
        <f>sdf_yetimKayit</f>
        <v/>
      </c>
    </row>
    <row r="14">
      <c r="A14" s="7" t="inlineStr">
        <is>
          <t>Rapor Geçersiz Geçiş</t>
        </is>
      </c>
      <c r="B14" s="34">
        <f>sdf_gecersizGecis</f>
        <v/>
      </c>
    </row>
    <row r="15">
      <c r="A15" s="7" t="inlineStr">
        <is>
          <t>Rapor Zincir Kırık</t>
        </is>
      </c>
      <c r="B15" s="34">
        <f>sdf_zincirKirik</f>
        <v/>
      </c>
    </row>
    <row r="16">
      <c r="A16" s="7" t="inlineStr">
        <is>
          <t>Rapor Tahmin</t>
        </is>
      </c>
      <c r="B16" s="35">
        <f>sdf_tahminAralik</f>
        <v/>
      </c>
    </row>
    <row r="17">
      <c r="A17" s="7" t="inlineStr">
        <is>
          <t>Rapor Kanıt Özeti</t>
        </is>
      </c>
      <c r="B17" s="25">
        <f>sdf_kanitRaporu</f>
        <v/>
      </c>
    </row>
    <row r="18"/>
    <row r="19">
      <c r="A19" s="16" t="inlineStr">
        <is>
          <t>Varsayımlar</t>
        </is>
      </c>
    </row>
    <row r="20">
      <c r="A20" s="8" t="inlineStr">
        <is>
          <t>Durum haritası AYARLAR'dadır. Geçersiz geçiş engellenmez, görünür kılınır. DF maliyet oranı satırdan veya ekip varsayılanından gelir. Bu çıktı karar destektir; kesin mali/hukuki görüş yerine geçmez.</t>
        </is>
      </c>
    </row>
    <row r="21"/>
    <row r="22">
      <c r="A22" s="16" t="inlineStr">
        <is>
          <t>Önerilen Aksiyonlar</t>
        </is>
      </c>
    </row>
    <row r="23">
      <c r="A23" s="7" t="inlineStr">
        <is>
          <t>1. Yetim kayıtları EKIP'a bağlayın veya satırı düzeltin.</t>
        </is>
      </c>
    </row>
    <row r="24">
      <c r="A24" s="7" t="inlineStr">
        <is>
          <t>2. Geciken teklif/sözleşme satırlarında ekipı uyarın.</t>
        </is>
      </c>
    </row>
    <row r="25">
      <c r="A25" s="7" t="inlineStr">
        <is>
          <t>3. Zincir kırık satırlarda DF plan/gerçek/etki farkını açıklayın.</t>
        </is>
      </c>
    </row>
    <row r="26"/>
    <row r="27">
      <c r="A27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0:H20"/>
    <mergeCell ref="A3:I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&amp;L8D / Düzeltici Faaliyet Dosya Sistemi | Kanıt&amp;CExcelArşiv&amp;RSayfa &amp;P / &amp;N</oddFooter>
    <evenHeader/>
    <evenFooter>&amp;L8D / Düzeltici Faaliyet Dosya Sistemi | Kanıt&amp;CExcelArşiv&amp;RSayfa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KONTROLLER — 8D / Düzeltici Faaliyet Dosya Sistemi</t>
        </is>
      </c>
    </row>
    <row r="2"/>
    <row r="3" ht="22" customHeight="1">
      <c r="A3" s="199" t="inlineStr">
        <is>
          <t>Canlı Kontrol Paneli</t>
        </is>
      </c>
    </row>
    <row r="4"/>
    <row r="5">
      <c r="A5" s="7" t="inlineStr">
        <is>
          <t>8D dosya sayısı</t>
        </is>
      </c>
      <c r="B5" s="34">
        <f>COUNTA(tblAkis[IslemId])</f>
        <v/>
      </c>
    </row>
    <row r="6">
      <c r="A6" s="7" t="inlineStr">
        <is>
          <t>Ekip sayısı</t>
        </is>
      </c>
      <c r="B6" s="34">
        <f>COUNTA(tblEkip[EkipId])</f>
        <v/>
      </c>
    </row>
    <row r="7">
      <c r="A7" s="7" t="inlineStr">
        <is>
          <t>Şikâyet</t>
        </is>
      </c>
      <c r="B7" s="34">
        <f>COUNTIF(tblAkis[Durum],"D1_EKIP")</f>
        <v/>
      </c>
    </row>
    <row r="8">
      <c r="A8" s="7" t="inlineStr">
        <is>
          <t>D2</t>
        </is>
      </c>
      <c r="B8" s="34">
        <f>COUNTIF(tblAkis[Durum],"D2_PROBLEM")</f>
        <v/>
      </c>
    </row>
    <row r="9">
      <c r="A9" s="7" t="inlineStr">
        <is>
          <t>D5</t>
        </is>
      </c>
      <c r="B9" s="34">
        <f>COUNTIF(tblAkis[Durum],"D5_DF")</f>
        <v/>
      </c>
    </row>
    <row r="10">
      <c r="A10" s="7" t="inlineStr">
        <is>
          <t>D6</t>
        </is>
      </c>
      <c r="B10" s="34">
        <f>COUNTIF(tblAkis[Durum],"D6_UYGULA")</f>
        <v/>
      </c>
    </row>
    <row r="11">
      <c r="A11" s="7" t="inlineStr">
        <is>
          <t>D7</t>
        </is>
      </c>
      <c r="B11" s="34">
        <f>COUNTIF(tblAkis[Durum],"D7_ONLE")</f>
        <v/>
      </c>
    </row>
    <row r="12">
      <c r="A12" s="7" t="inlineStr">
        <is>
          <t>D8 Kapalı</t>
        </is>
      </c>
      <c r="B12" s="34">
        <f>COUNTIF(tblAkis[Durum],"D8_KAPALI")</f>
        <v/>
      </c>
    </row>
    <row r="13">
      <c r="A13" s="7" t="inlineStr">
        <is>
          <t>İptal</t>
        </is>
      </c>
      <c r="B13" s="34">
        <f>COUNTIF(tblAkis[Durum],"IPTAL")</f>
        <v/>
      </c>
    </row>
    <row r="14">
      <c r="A14" s="7" t="inlineStr">
        <is>
          <t>Açık toplam</t>
        </is>
      </c>
      <c r="B14" s="34">
        <f>B7+B8+B9+B10+B11</f>
        <v/>
      </c>
    </row>
    <row r="15">
      <c r="A15" s="7" t="inlineStr">
        <is>
          <t>Yetim</t>
        </is>
      </c>
      <c r="B15" s="34">
        <f>sdf_yetimKayit</f>
        <v/>
      </c>
    </row>
    <row r="16">
      <c r="A16" s="7" t="inlineStr">
        <is>
          <t>Geçersiz</t>
        </is>
      </c>
      <c r="B16" s="34">
        <f>sdf_gecersizGecis</f>
        <v/>
      </c>
    </row>
    <row r="17">
      <c r="A17" s="7" t="inlineStr">
        <is>
          <t>Zincir kırık</t>
        </is>
      </c>
      <c r="B17" s="34">
        <f>sdf_zincirKirik</f>
        <v/>
      </c>
    </row>
    <row r="18">
      <c r="A18" s="7" t="inlineStr">
        <is>
          <t>Boş karar yolu</t>
        </is>
      </c>
      <c r="B18" s="25">
        <f>IF(B5=0,"VERİ YOK","VERİ VAR")</f>
        <v/>
      </c>
    </row>
    <row r="19">
      <c r="A19" s="7" t="inlineStr">
        <is>
          <t>Kalite skoru</t>
        </is>
      </c>
      <c r="B19" s="25">
        <f>sdf_kaliteSkor</f>
        <v/>
      </c>
    </row>
    <row r="20">
      <c r="A20" s="7" t="inlineStr">
        <is>
          <t>Beklenen DF maliyet</t>
        </is>
      </c>
      <c r="B20" s="35">
        <f>sdf_dfPlanToplam</f>
        <v/>
      </c>
    </row>
    <row r="21">
      <c r="A21" s="7" t="inlineStr">
        <is>
          <t>Tahsil DF maliyet</t>
        </is>
      </c>
      <c r="B21" s="35">
        <f>sdf_dfGercekToplam</f>
        <v/>
      </c>
    </row>
    <row r="22">
      <c r="A22" s="7" t="inlineStr">
        <is>
          <t>D8 Kapalı düşüm</t>
        </is>
      </c>
      <c r="B22" s="35">
        <f>sdf_kapaliDusum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8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9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conditionalFormatting sqref="B16">
    <cfRule type="cellIs" priority="16" operator="greaterThan" dxfId="3">
      <formula>0</formula>
    </cfRule>
  </conditionalFormatting>
  <conditionalFormatting sqref="B17">
    <cfRule type="cellIs" priority="17" operator="greaterThan" dxfId="3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ORNEK VERI — 8D / Düzeltici Faaliyet Dosya Sistemi</t>
        </is>
      </c>
    </row>
    <row r="2"/>
    <row r="3" ht="22" customHeight="1">
      <c r="A3" s="199" t="inlineStr">
        <is>
          <t>Örnek Senaryo Açıklaması</t>
        </is>
      </c>
    </row>
    <row r="4">
      <c r="A4" s="8" t="inlineStr">
        <is>
          <t>Dosyada 10 ekip kartı ve 30 şikâyet satırı vardır. Yetim (22, 25), geçersiz geçiş (18, 20) ve zincir kırık (12, 19) kasıtlıdır. EKIP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D1–D8 / Görüşme/Teklif/Sözleşme/Tapu/D8 Kapalı/İptal — kapalılar kuyruktan düşer</t>
        </is>
      </c>
    </row>
    <row r="8"/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B3D2E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</cols>
  <sheetData>
    <row r="1" ht="32" customHeight="1">
      <c r="A1" s="178" t="inlineStr">
        <is>
          <t>LISTELER — 8D / Düzeltici Faaliyet Dosya Sistemi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5" t="inlineStr">
        <is>
          <t>Evet / Hayır</t>
        </is>
      </c>
      <c r="G3" s="25" t="inlineStr">
        <is>
          <t>Yorum A/B</t>
        </is>
      </c>
      <c r="I3" s="25" t="inlineStr">
        <is>
          <t>Kök Neden</t>
        </is>
      </c>
    </row>
    <row r="4"/>
    <row r="5"/>
    <row r="6">
      <c r="A6" s="33" t="inlineStr">
        <is>
          <t>DurumId</t>
        </is>
      </c>
      <c r="C6" s="33" t="inlineStr">
        <is>
          <t>Gecis</t>
        </is>
      </c>
      <c r="E6" s="33" t="inlineStr">
        <is>
          <t>Secim</t>
        </is>
      </c>
      <c r="G6" s="33" t="inlineStr">
        <is>
          <t>Yorum</t>
        </is>
      </c>
      <c r="I6" s="33" t="inlineStr">
        <is>
          <t>Tip</t>
        </is>
      </c>
    </row>
    <row r="7">
      <c r="A7" s="27" t="inlineStr">
        <is>
          <t>D1_EKIP</t>
        </is>
      </c>
      <c r="C7" s="27" t="inlineStr">
        <is>
          <t>D1_EKIP|D2_PROBLEM</t>
        </is>
      </c>
      <c r="E7" s="27" t="inlineStr">
        <is>
          <t>EVET</t>
        </is>
      </c>
      <c r="G7" s="27" t="inlineStr">
        <is>
          <t>A</t>
        </is>
      </c>
      <c r="I7" s="27" t="inlineStr">
        <is>
          <t>Yontem</t>
        </is>
      </c>
    </row>
    <row r="8">
      <c r="A8" s="27" t="inlineStr">
        <is>
          <t>D2_PROBLEM</t>
        </is>
      </c>
      <c r="C8" s="27" t="inlineStr">
        <is>
          <t>D1_EKIP|IPTAL</t>
        </is>
      </c>
      <c r="E8" s="27" t="inlineStr">
        <is>
          <t>HAYIR</t>
        </is>
      </c>
      <c r="G8" s="27" t="inlineStr">
        <is>
          <t>B</t>
        </is>
      </c>
      <c r="I8" s="27" t="inlineStr">
        <is>
          <t>Malzeme</t>
        </is>
      </c>
    </row>
    <row r="9">
      <c r="A9" s="27" t="inlineStr">
        <is>
          <t>D3_MUHAFAZA</t>
        </is>
      </c>
      <c r="C9" s="27" t="inlineStr">
        <is>
          <t>D2_PROBLEM|D3_MUHAFAZA</t>
        </is>
      </c>
      <c r="I9" s="27" t="inlineStr">
        <is>
          <t>Makine</t>
        </is>
      </c>
    </row>
    <row r="10">
      <c r="A10" s="27" t="inlineStr">
        <is>
          <t>D4_KOK</t>
        </is>
      </c>
      <c r="C10" s="27" t="inlineStr">
        <is>
          <t>D2_PROBLEM|IPTAL</t>
        </is>
      </c>
      <c r="I10" s="27" t="inlineStr">
        <is>
          <t>Insan</t>
        </is>
      </c>
    </row>
    <row r="11">
      <c r="A11" s="27" t="inlineStr">
        <is>
          <t>D5_DF</t>
        </is>
      </c>
      <c r="C11" s="27" t="inlineStr">
        <is>
          <t>D2_PROBLEM|D1_EKIP</t>
        </is>
      </c>
      <c r="I11" s="27" t="inlineStr">
        <is>
          <t>Ortam</t>
        </is>
      </c>
    </row>
    <row r="12">
      <c r="A12" s="27" t="inlineStr">
        <is>
          <t>D6_UYGULA</t>
        </is>
      </c>
      <c r="C12" s="27" t="inlineStr">
        <is>
          <t>D3_MUHAFAZA|D4_KOK</t>
        </is>
      </c>
    </row>
    <row r="13">
      <c r="A13" s="27" t="inlineStr">
        <is>
          <t>D7_ONLE</t>
        </is>
      </c>
      <c r="C13" s="27" t="inlineStr">
        <is>
          <t>D3_MUHAFAZA|IPTAL</t>
        </is>
      </c>
    </row>
    <row r="14">
      <c r="A14" s="27" t="inlineStr">
        <is>
          <t>D8_KAPALI</t>
        </is>
      </c>
      <c r="C14" s="27" t="inlineStr">
        <is>
          <t>D3_MUHAFAZA|D2_PROBLEM</t>
        </is>
      </c>
    </row>
    <row r="15">
      <c r="A15" s="27" t="inlineStr">
        <is>
          <t>IPTAL</t>
        </is>
      </c>
      <c r="C15" s="27" t="inlineStr">
        <is>
          <t>D4_KOK|D5_DF</t>
        </is>
      </c>
    </row>
    <row r="16">
      <c r="C16" s="27" t="inlineStr">
        <is>
          <t>D4_KOK|IPTAL</t>
        </is>
      </c>
    </row>
    <row r="17">
      <c r="C17" s="27" t="inlineStr">
        <is>
          <t>D4_KOK|D3_MUHAFAZA</t>
        </is>
      </c>
    </row>
    <row r="18">
      <c r="C18" s="27" t="inlineStr">
        <is>
          <t>D5_DF|D6_UYGULA</t>
        </is>
      </c>
    </row>
    <row r="19">
      <c r="C19" s="27" t="inlineStr">
        <is>
          <t>D5_DF|IPTAL</t>
        </is>
      </c>
    </row>
    <row r="20">
      <c r="C20" s="27" t="inlineStr">
        <is>
          <t>D5_DF|D4_KOK</t>
        </is>
      </c>
    </row>
    <row r="21">
      <c r="C21" s="27" t="inlineStr">
        <is>
          <t>D6_UYGULA|D7_ONLE</t>
        </is>
      </c>
    </row>
    <row r="22">
      <c r="C22" s="27" t="inlineStr">
        <is>
          <t>D6_UYGULA|IPTAL</t>
        </is>
      </c>
    </row>
    <row r="23">
      <c r="C23" s="27" t="inlineStr">
        <is>
          <t>D6_UYGULA|D5_DF</t>
        </is>
      </c>
    </row>
    <row r="24">
      <c r="C24" s="27" t="inlineStr">
        <is>
          <t>D7_ONLE|D8_KAPALI</t>
        </is>
      </c>
    </row>
    <row r="25">
      <c r="C25" s="27" t="inlineStr">
        <is>
          <t>D7_ONLE|IPTAL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B3D2E"/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41.5" customWidth="1" min="4" max="4"/>
    <col width="19.5" customWidth="1" min="5" max="5"/>
    <col width="28.5" customWidth="1" min="6" max="6"/>
    <col width="13" customWidth="1" min="7" max="7"/>
    <col width="26" customWidth="1" min="8" max="8"/>
    <col width="55" customWidth="1" min="9" max="9"/>
    <col width="8" customWidth="1" min="10" max="10"/>
    <col width="28" customWidth="1" min="11" max="11"/>
    <col width="12" customWidth="1" min="12" max="12"/>
  </cols>
  <sheetData>
    <row r="1" ht="32" customHeight="1">
      <c r="A1" s="178" t="inlineStr">
        <is>
          <t>AYARLAR — 8D / Düzeltici Faaliyet Dosya Sistemi</t>
        </is>
      </c>
    </row>
    <row r="2"/>
    <row r="3" ht="22" customHeight="1">
      <c r="A3" s="198" t="inlineStr">
        <is>
          <t>Tek kaynak parametreler + durum haritası (A01/A06)</t>
        </is>
      </c>
    </row>
    <row r="4"/>
    <row r="5" ht="30" customHeight="1">
      <c r="A5" s="26" t="inlineStr">
        <is>
          <t>anahtar</t>
        </is>
      </c>
      <c r="B5" s="26" t="inlineStr">
        <is>
          <t>deger</t>
        </is>
      </c>
      <c r="C5" s="26" t="inlineStr">
        <is>
          <t>birim</t>
        </is>
      </c>
      <c r="D5" s="26" t="inlineStr">
        <is>
          <t>kaynak</t>
        </is>
      </c>
      <c r="E5" s="26" t="inlineStr">
        <is>
          <t>yururluk_tarihi</t>
        </is>
      </c>
      <c r="F5" s="26" t="inlineStr">
        <is>
          <t>aciklama</t>
        </is>
      </c>
    </row>
    <row r="6">
      <c r="A6" s="7" t="inlineStr">
        <is>
          <t>raporTarihi</t>
        </is>
      </c>
      <c r="B6" s="32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31" t="n">
        <v>10000</v>
      </c>
      <c r="C7" s="7" t="inlineStr">
        <is>
          <t>TL</t>
        </is>
      </c>
      <c r="D7" s="7" t="inlineStr">
        <is>
          <t>İş kuralı — DF plan/gerçek/etki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sdf_esikGecikmeGun</t>
        </is>
      </c>
      <c r="B8" s="28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sdf_esikGeciken</t>
        </is>
      </c>
      <c r="B9" s="28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sdf_kovaEsik1</t>
        </is>
      </c>
      <c r="B10" s="28" t="n">
        <v>30</v>
      </c>
      <c r="C10" s="7" t="inlineStr">
        <is>
          <t>gün</t>
        </is>
      </c>
      <c r="D10" s="7" t="inlineStr">
        <is>
          <t>Yaşlandırma</t>
        </is>
      </c>
      <c r="E10" s="7" t="inlineStr">
        <is>
          <t>01.01.2026</t>
        </is>
      </c>
      <c r="F10" s="8" t="inlineStr">
        <is>
          <t>Kova 1 üst sınır</t>
        </is>
      </c>
    </row>
    <row r="11">
      <c r="A11" s="7" t="inlineStr">
        <is>
          <t>sdf_kovaEsik2</t>
        </is>
      </c>
      <c r="B11" s="28" t="n">
        <v>60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2 üst sınır</t>
        </is>
      </c>
    </row>
    <row r="12">
      <c r="A12" s="7" t="inlineStr">
        <is>
          <t>sdf_kovaEsik3</t>
        </is>
      </c>
      <c r="B12" s="28" t="n">
        <v>90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3 üst sınır</t>
        </is>
      </c>
    </row>
    <row r="13">
      <c r="A13" s="7" t="inlineStr">
        <is>
          <t>sdf_hedefKapanis</t>
        </is>
      </c>
      <c r="B13" s="29" t="n">
        <v>0.35</v>
      </c>
      <c r="C13" s="7" t="inlineStr">
        <is>
          <t>oran</t>
        </is>
      </c>
      <c r="D13" s="7" t="inlineStr">
        <is>
          <t>Kalite yönetimi</t>
        </is>
      </c>
      <c r="E13" s="7" t="inlineStr">
        <is>
          <t>01.01.2026</t>
        </is>
      </c>
      <c r="F13" s="8" t="inlineStr">
        <is>
          <t>Hedef kapanış oranı</t>
        </is>
      </c>
    </row>
    <row r="14">
      <c r="A14" s="7" t="inlineStr">
        <is>
          <t>sdf_sifir</t>
        </is>
      </c>
      <c r="B14" s="28" t="n">
        <v>0</v>
      </c>
      <c r="C14" s="7" t="inlineStr">
        <is>
          <t>adet</t>
        </is>
      </c>
      <c r="D14" s="7" t="inlineStr">
        <is>
          <t>Kalite motoru</t>
        </is>
      </c>
      <c r="E14" s="7" t="inlineStr">
        <is>
          <t>01.01.2026</t>
        </is>
      </c>
      <c r="F14" s="8" t="inlineStr">
        <is>
          <t>MAX alt sınırı</t>
        </is>
      </c>
    </row>
    <row r="15">
      <c r="A15" s="7" t="inlineStr">
        <is>
          <t>sdf_kaliteTaban</t>
        </is>
      </c>
      <c r="B15" s="28" t="n">
        <v>100</v>
      </c>
      <c r="C15" s="7" t="inlineStr">
        <is>
          <t>puan</t>
        </is>
      </c>
      <c r="D15" s="7" t="inlineStr">
        <is>
          <t>Kalite motoru</t>
        </is>
      </c>
      <c r="E15" s="7" t="inlineStr">
        <is>
          <t>01.01.2026</t>
        </is>
      </c>
      <c r="F15" s="8" t="inlineStr">
        <is>
          <t>Kalite taban puan</t>
        </is>
      </c>
    </row>
    <row r="16">
      <c r="A16" s="7" t="inlineStr">
        <is>
          <t>sdf_kaliteCeza</t>
        </is>
      </c>
      <c r="B16" s="28" t="n">
        <v>10</v>
      </c>
      <c r="C16" s="7" t="inlineStr">
        <is>
          <t>puan</t>
        </is>
      </c>
      <c r="D16" s="7" t="inlineStr">
        <is>
          <t>Kalite motoru</t>
        </is>
      </c>
      <c r="E16" s="7" t="inlineStr">
        <is>
          <t>01.01.2026</t>
        </is>
      </c>
      <c r="F16" s="8" t="inlineStr">
        <is>
          <t>Uyarı başına ceza</t>
        </is>
      </c>
    </row>
    <row r="17">
      <c r="A17" s="7" t="inlineStr">
        <is>
          <t>sdf_senaryoTemkinli</t>
        </is>
      </c>
      <c r="B17" s="29" t="n">
        <v>0.85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Temkinli çarpan</t>
        </is>
      </c>
    </row>
    <row r="18">
      <c r="A18" s="7" t="inlineStr">
        <is>
          <t>sdf_senaryoBaz</t>
        </is>
      </c>
      <c r="B18" s="29" t="n">
        <v>1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Baz çarpan</t>
        </is>
      </c>
    </row>
    <row r="19">
      <c r="A19" s="7" t="inlineStr">
        <is>
          <t>sdf_senaryoIyimser</t>
        </is>
      </c>
      <c r="B19" s="29" t="n">
        <v>1.15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İyimser çarpan</t>
        </is>
      </c>
    </row>
    <row r="20">
      <c r="A20" s="7" t="inlineStr">
        <is>
          <t>sdf_tornadoOran</t>
        </is>
      </c>
      <c r="B20" s="29" t="n">
        <v>0.08</v>
      </c>
      <c r="C20" s="7" t="inlineStr">
        <is>
          <t>oran</t>
        </is>
      </c>
      <c r="D20" s="7" t="inlineStr">
        <is>
          <t>Duyarlılık</t>
        </is>
      </c>
      <c r="E20" s="7" t="inlineStr">
        <is>
          <t>01.01.2026</t>
        </is>
      </c>
      <c r="F20" s="8" t="inlineStr">
        <is>
          <t>Tornado etki oranı</t>
        </is>
      </c>
    </row>
    <row r="21">
      <c r="A21" s="7" t="inlineStr">
        <is>
          <t>sdf_yuzdelikOran</t>
        </is>
      </c>
      <c r="B21" s="29" t="n">
        <v>0.9</v>
      </c>
      <c r="C21" s="7" t="inlineStr">
        <is>
          <t>oran</t>
        </is>
      </c>
      <c r="D21" s="7" t="inlineStr">
        <is>
          <t>İstatistik kuralı</t>
        </is>
      </c>
      <c r="E21" s="7" t="inlineStr">
        <is>
          <t>01.01.2026</t>
        </is>
      </c>
      <c r="F21" s="8" t="inlineStr">
        <is>
          <t>PERCENTILE oranı</t>
        </is>
      </c>
    </row>
    <row r="22">
      <c r="A22" s="7" t="inlineStr">
        <is>
          <t>sdf_olcekHedef</t>
        </is>
      </c>
      <c r="B22" s="28" t="n">
        <v>20000</v>
      </c>
      <c r="C22" s="7" t="inlineStr">
        <is>
          <t>satir</t>
        </is>
      </c>
      <c r="D22" s="7" t="inlineStr">
        <is>
          <t>Manda A3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sdf_azamiTutar</t>
        </is>
      </c>
      <c r="B23" s="31" t="n">
        <v>100000000</v>
      </c>
      <c r="C23" s="7" t="inlineStr">
        <is>
          <t>TL</t>
        </is>
      </c>
      <c r="D23" s="7" t="inlineStr">
        <is>
          <t>İç politika — uç değer</t>
        </is>
      </c>
      <c r="E23" s="7" t="inlineStr">
        <is>
          <t>01.01.2026</t>
        </is>
      </c>
      <c r="F23" s="8" t="inlineStr">
        <is>
          <t>Azami makul</t>
        </is>
      </c>
    </row>
    <row r="24">
      <c r="A24" s="7" t="inlineStr">
        <is>
          <t>sdf_durumHaritasi</t>
        </is>
      </c>
      <c r="B24" s="27" t="inlineStr">
        <is>
          <t>AYARLAR durum tablosu</t>
        </is>
      </c>
      <c r="C24" s="7" t="inlineStr">
        <is>
          <t>metin</t>
        </is>
      </c>
      <c r="D24" s="7" t="inlineStr">
        <is>
          <t>SPEC akis.durum_haritasi</t>
        </is>
      </c>
      <c r="E24" s="7" t="inlineStr">
        <is>
          <t>01.01.2026</t>
        </is>
      </c>
      <c r="F24" s="8" t="inlineStr">
        <is>
          <t>Durum makinesi kaynağı</t>
        </is>
      </c>
    </row>
    <row r="25">
      <c r="A25" s="7" t="inlineStr">
        <is>
          <t>sdf_kuyrukOzeti_metin</t>
        </is>
      </c>
      <c r="B25" s="27" t="inlineStr">
        <is>
          <t>KUYRUKLAR canlı özet</t>
        </is>
      </c>
      <c r="C25" s="7" t="inlineStr">
        <is>
          <t>metin</t>
        </is>
      </c>
      <c r="D25" s="7" t="inlineStr">
        <is>
          <t>A05 kuyruk</t>
        </is>
      </c>
      <c r="E25" s="7" t="inlineStr">
        <is>
          <t>01.01.2026</t>
        </is>
      </c>
      <c r="F25" s="8" t="inlineStr">
        <is>
          <t>Kuyruk görünümü</t>
        </is>
      </c>
    </row>
    <row r="26">
      <c r="A26" s="7" t="inlineStr">
        <is>
          <t>sdf_kapaliDusum_metin</t>
        </is>
      </c>
      <c r="B26" s="27" t="inlineStr">
        <is>
          <t>kapali kategori kuyruktan düşer</t>
        </is>
      </c>
      <c r="C26" s="7" t="inlineStr">
        <is>
          <t>metin</t>
        </is>
      </c>
      <c r="D26" s="7" t="inlineStr">
        <is>
          <t>A06</t>
        </is>
      </c>
      <c r="E26" s="7" t="inlineStr">
        <is>
          <t>01.01.2026</t>
        </is>
      </c>
      <c r="F26" s="8" t="inlineStr">
        <is>
          <t>D8 Kapalı düşüm kuralı</t>
        </is>
      </c>
    </row>
    <row r="27">
      <c r="A27" s="7" t="inlineStr">
        <is>
          <t>sdf_kanitRaporu_metin</t>
        </is>
      </c>
      <c r="B27" s="27" t="inlineStr">
        <is>
          <t>RAPOR kanıt çıktısı</t>
        </is>
      </c>
      <c r="C27" s="7" t="inlineStr">
        <is>
          <t>metin</t>
        </is>
      </c>
      <c r="D27" s="7" t="inlineStr">
        <is>
          <t>Dönemsel rapor</t>
        </is>
      </c>
      <c r="E27" s="7" t="inlineStr">
        <is>
          <t>01.01.2026</t>
        </is>
      </c>
      <c r="F27" s="8" t="inlineStr">
        <is>
          <t>Kanıt raporu</t>
        </is>
      </c>
    </row>
    <row r="28">
      <c r="A28" s="7" t="inlineStr">
        <is>
          <t>sdf_dosyaSurumu</t>
        </is>
      </c>
      <c r="B28" s="27" t="inlineStr">
        <is>
          <t>1.0.0</t>
        </is>
      </c>
      <c r="C28" s="7" t="inlineStr">
        <is>
          <t>metin</t>
        </is>
      </c>
      <c r="D28" s="7" t="inlineStr">
        <is>
          <t>Sürüm yönetimi</t>
        </is>
      </c>
      <c r="E28" s="7" t="inlineStr">
        <is>
          <t>01.01.2026</t>
        </is>
      </c>
      <c r="F28" s="8" t="inlineStr">
        <is>
          <t>Ürün sürümü</t>
        </is>
      </c>
    </row>
    <row r="29">
      <c r="A29" s="7" t="inlineStr">
        <is>
          <t>sdf_firmaUnvan</t>
        </is>
      </c>
      <c r="B29" s="27" t="inlineStr">
        <is>
          <t>Örnek Emlak Bolumi Ltd.</t>
        </is>
      </c>
      <c r="C29" s="7" t="inlineStr">
        <is>
          <t>metin</t>
        </is>
      </c>
      <c r="D29" s="7" t="inlineStr">
        <is>
          <t>Kullanıcı girişi</t>
        </is>
      </c>
      <c r="E29" s="7" t="inlineStr">
        <is>
          <t>01.01.2026</t>
        </is>
      </c>
      <c r="F29" s="8" t="inlineStr">
        <is>
          <t>Firma</t>
        </is>
      </c>
    </row>
    <row r="30">
      <c r="A30" s="7" t="inlineStr">
        <is>
          <t>sdf_trendOcak</t>
        </is>
      </c>
      <c r="B30" s="29" t="n">
        <v>0.72</v>
      </c>
      <c r="C30" s="7" t="inlineStr">
        <is>
          <t>oran</t>
        </is>
      </c>
      <c r="D30" s="7" t="inlineStr">
        <is>
          <t>Tarihsel kapanış</t>
        </is>
      </c>
      <c r="E30" s="7" t="inlineStr">
        <is>
          <t>01.01.2026</t>
        </is>
      </c>
      <c r="F30" s="8" t="inlineStr">
        <is>
          <t>sdf_trendOcak trend</t>
        </is>
      </c>
    </row>
    <row r="31">
      <c r="A31" s="7" t="inlineStr">
        <is>
          <t>sdf_trendSubat</t>
        </is>
      </c>
      <c r="B31" s="29" t="n">
        <v>0.74</v>
      </c>
      <c r="C31" s="7" t="inlineStr">
        <is>
          <t>oran</t>
        </is>
      </c>
      <c r="D31" s="7" t="inlineStr">
        <is>
          <t>Tarihsel kapanış</t>
        </is>
      </c>
      <c r="E31" s="7" t="inlineStr">
        <is>
          <t>01.01.2026</t>
        </is>
      </c>
      <c r="F31" s="8" t="inlineStr">
        <is>
          <t>sdf_trendSubat trend</t>
        </is>
      </c>
    </row>
    <row r="32">
      <c r="A32" s="7" t="inlineStr">
        <is>
          <t>sdf_trendMart</t>
        </is>
      </c>
      <c r="B32" s="29" t="n">
        <v>0.78</v>
      </c>
      <c r="C32" s="7" t="inlineStr">
        <is>
          <t>oran</t>
        </is>
      </c>
      <c r="D32" s="7" t="inlineStr">
        <is>
          <t>Tarihsel kapanış</t>
        </is>
      </c>
      <c r="E32" s="7" t="inlineStr">
        <is>
          <t>01.01.2026</t>
        </is>
      </c>
      <c r="F32" s="8" t="inlineStr">
        <is>
          <t>sdf_trendMart trend</t>
        </is>
      </c>
    </row>
    <row r="33">
      <c r="A33" s="7" t="inlineStr">
        <is>
          <t>sdf_trendNisan</t>
        </is>
      </c>
      <c r="B33" s="29" t="n">
        <v>0.8</v>
      </c>
      <c r="C33" s="7" t="inlineStr">
        <is>
          <t>oran</t>
        </is>
      </c>
      <c r="D33" s="7" t="inlineStr">
        <is>
          <t>Tarihsel kapanış</t>
        </is>
      </c>
      <c r="E33" s="7" t="inlineStr">
        <is>
          <t>01.01.2026</t>
        </is>
      </c>
      <c r="F33" s="8" t="inlineStr">
        <is>
          <t>sdf_trendNisan trend</t>
        </is>
      </c>
    </row>
    <row r="34">
      <c r="A34" s="7" t="inlineStr">
        <is>
          <t>sdf_trendMayis</t>
        </is>
      </c>
      <c r="B34" s="29" t="n">
        <v>0.82</v>
      </c>
      <c r="C34" s="7" t="inlineStr">
        <is>
          <t>oran</t>
        </is>
      </c>
      <c r="D34" s="7" t="inlineStr">
        <is>
          <t>Tarihsel kapanış</t>
        </is>
      </c>
      <c r="E34" s="7" t="inlineStr">
        <is>
          <t>01.01.2026</t>
        </is>
      </c>
      <c r="F34" s="8" t="inlineStr">
        <is>
          <t>sdf_trendMayis trend</t>
        </is>
      </c>
    </row>
    <row r="35">
      <c r="A35" s="7" t="inlineStr">
        <is>
          <t>sdf_trendHaziran</t>
        </is>
      </c>
      <c r="B35" s="29" t="n">
        <v>0.85</v>
      </c>
      <c r="C35" s="7" t="inlineStr">
        <is>
          <t>oran</t>
        </is>
      </c>
      <c r="D35" s="7" t="inlineStr">
        <is>
          <t>Tarihsel kapanış</t>
        </is>
      </c>
      <c r="E35" s="7" t="inlineStr">
        <is>
          <t>01.01.2026</t>
        </is>
      </c>
      <c r="F35" s="8" t="inlineStr">
        <is>
          <t>sdf_trendHaziran trend</t>
        </is>
      </c>
    </row>
    <row r="36">
      <c r="A36" s="7" t="inlineStr">
        <is>
          <t>sdf_trendTemmuz</t>
        </is>
      </c>
      <c r="B36" s="29" t="n">
        <v>0.83</v>
      </c>
      <c r="C36" s="7" t="inlineStr">
        <is>
          <t>oran</t>
        </is>
      </c>
      <c r="D36" s="7" t="inlineStr">
        <is>
          <t>Tarihsel kapanış</t>
        </is>
      </c>
      <c r="E36" s="7" t="inlineStr">
        <is>
          <t>01.01.2026</t>
        </is>
      </c>
      <c r="F36" s="8" t="inlineStr">
        <is>
          <t>sdf_trendTemmuz trend</t>
        </is>
      </c>
    </row>
    <row r="37">
      <c r="A37" s="7" t="inlineStr">
        <is>
          <t>sdf_trendAgustos</t>
        </is>
      </c>
      <c r="B37" s="29" t="n">
        <v>0.8100000000000001</v>
      </c>
      <c r="C37" s="7" t="inlineStr">
        <is>
          <t>oran</t>
        </is>
      </c>
      <c r="D37" s="7" t="inlineStr">
        <is>
          <t>Tarihsel kapanış</t>
        </is>
      </c>
      <c r="E37" s="7" t="inlineStr">
        <is>
          <t>01.01.2026</t>
        </is>
      </c>
      <c r="F37" s="8" t="inlineStr">
        <is>
          <t>sdf_trendAgustos trend</t>
        </is>
      </c>
    </row>
    <row r="38">
      <c r="A38" s="7" t="inlineStr">
        <is>
          <t>sdf_trendEylul</t>
        </is>
      </c>
      <c r="B38" s="29" t="n">
        <v>0.84</v>
      </c>
      <c r="C38" s="7" t="inlineStr">
        <is>
          <t>oran</t>
        </is>
      </c>
      <c r="D38" s="7" t="inlineStr">
        <is>
          <t>Tarihsel kapanış</t>
        </is>
      </c>
      <c r="E38" s="7" t="inlineStr">
        <is>
          <t>01.01.2026</t>
        </is>
      </c>
      <c r="F38" s="8" t="inlineStr">
        <is>
          <t>sdf_trendEylul trend</t>
        </is>
      </c>
    </row>
    <row r="39">
      <c r="A39" s="7" t="inlineStr">
        <is>
          <t>sdf_trendEkim</t>
        </is>
      </c>
      <c r="B39" s="29" t="n">
        <v>0.86</v>
      </c>
      <c r="C39" s="7" t="inlineStr">
        <is>
          <t>oran</t>
        </is>
      </c>
      <c r="D39" s="7" t="inlineStr">
        <is>
          <t>Tarihsel kapanış</t>
        </is>
      </c>
      <c r="E39" s="7" t="inlineStr">
        <is>
          <t>01.01.2026</t>
        </is>
      </c>
      <c r="F39" s="8" t="inlineStr">
        <is>
          <t>sdf_trendEkim trend</t>
        </is>
      </c>
    </row>
    <row r="40">
      <c r="A40" s="7" t="inlineStr">
        <is>
          <t>sdf_trendKasim</t>
        </is>
      </c>
      <c r="B40" s="29" t="n">
        <v>0.88</v>
      </c>
      <c r="C40" s="7" t="inlineStr">
        <is>
          <t>oran</t>
        </is>
      </c>
      <c r="D40" s="7" t="inlineStr">
        <is>
          <t>Tarihsel kapanış</t>
        </is>
      </c>
      <c r="E40" s="7" t="inlineStr">
        <is>
          <t>01.01.2026</t>
        </is>
      </c>
      <c r="F40" s="8" t="inlineStr">
        <is>
          <t>sdf_trendKasim trend</t>
        </is>
      </c>
    </row>
    <row r="41">
      <c r="A41" s="7" t="inlineStr">
        <is>
          <t>sdf_trendAralik</t>
        </is>
      </c>
      <c r="B41" s="29" t="n">
        <v>0.9</v>
      </c>
      <c r="C41" s="7" t="inlineStr">
        <is>
          <t>oran</t>
        </is>
      </c>
      <c r="D41" s="7" t="inlineStr">
        <is>
          <t>Tarihsel kapanış</t>
        </is>
      </c>
      <c r="E41" s="7" t="inlineStr">
        <is>
          <t>01.01.2026</t>
        </is>
      </c>
      <c r="F41" s="8" t="inlineStr">
        <is>
          <t>sdf_trendAralik trend</t>
        </is>
      </c>
    </row>
    <row r="42">
      <c r="H42" s="5" t="inlineStr">
        <is>
          <t>Durum Haritası</t>
        </is>
      </c>
    </row>
    <row r="43" ht="30" customHeight="1">
      <c r="H43" s="26" t="inlineStr">
        <is>
          <t>durum_id</t>
        </is>
      </c>
      <c r="I43" s="26" t="inlineStr">
        <is>
          <t>durum_adi</t>
        </is>
      </c>
      <c r="J43" s="26" t="inlineStr">
        <is>
          <t>sira</t>
        </is>
      </c>
      <c r="K43" s="26" t="inlineStr">
        <is>
          <t>izinli_sonraki_durumlar</t>
        </is>
      </c>
      <c r="L43" s="26" t="inlineStr">
        <is>
          <t>kategori</t>
        </is>
      </c>
    </row>
    <row r="44">
      <c r="H44" s="7" t="inlineStr">
        <is>
          <t>D1_EKIP</t>
        </is>
      </c>
      <c r="I44" s="7" t="inlineStr">
        <is>
          <t>D1 Ekip</t>
        </is>
      </c>
      <c r="J44" s="20" t="n">
        <v>1</v>
      </c>
      <c r="K44" s="7" t="inlineStr">
        <is>
          <t>D2_PROBLEM|IPTAL</t>
        </is>
      </c>
      <c r="L44" s="7" t="inlineStr">
        <is>
          <t>acik</t>
        </is>
      </c>
    </row>
    <row r="45">
      <c r="H45" s="7" t="inlineStr">
        <is>
          <t>D2_PROBLEM</t>
        </is>
      </c>
      <c r="I45" s="7" t="inlineStr">
        <is>
          <t>D2 Problem</t>
        </is>
      </c>
      <c r="J45" s="20" t="n">
        <v>2</v>
      </c>
      <c r="K45" s="7" t="inlineStr">
        <is>
          <t>D3_MUHAFAZA|IPTAL|D1_EKIP</t>
        </is>
      </c>
      <c r="L45" s="7" t="inlineStr">
        <is>
          <t>acik</t>
        </is>
      </c>
    </row>
    <row r="46">
      <c r="H46" s="7" t="inlineStr">
        <is>
          <t>D3_MUHAFAZA</t>
        </is>
      </c>
      <c r="I46" s="7" t="inlineStr">
        <is>
          <t>D3 Muhafaza</t>
        </is>
      </c>
      <c r="J46" s="20" t="n">
        <v>3</v>
      </c>
      <c r="K46" s="7" t="inlineStr">
        <is>
          <t>D4_KOK|IPTAL|D2_PROBLEM</t>
        </is>
      </c>
      <c r="L46" s="7" t="inlineStr">
        <is>
          <t>acik</t>
        </is>
      </c>
    </row>
    <row r="47">
      <c r="H47" s="7" t="inlineStr">
        <is>
          <t>D4_KOK</t>
        </is>
      </c>
      <c r="I47" s="7" t="inlineStr">
        <is>
          <t>D4 Kök Neden</t>
        </is>
      </c>
      <c r="J47" s="20" t="n">
        <v>4</v>
      </c>
      <c r="K47" s="7" t="inlineStr">
        <is>
          <t>D5_DF|IPTAL|D3_MUHAFAZA</t>
        </is>
      </c>
      <c r="L47" s="7" t="inlineStr">
        <is>
          <t>acik</t>
        </is>
      </c>
    </row>
    <row r="48">
      <c r="H48" s="7" t="inlineStr">
        <is>
          <t>D5_DF</t>
        </is>
      </c>
      <c r="I48" s="7" t="inlineStr">
        <is>
          <t>D5 DF Plan</t>
        </is>
      </c>
      <c r="J48" s="20" t="n">
        <v>5</v>
      </c>
      <c r="K48" s="7" t="inlineStr">
        <is>
          <t>D6_UYGULA|IPTAL|D4_KOK</t>
        </is>
      </c>
      <c r="L48" s="7" t="inlineStr">
        <is>
          <t>acik</t>
        </is>
      </c>
    </row>
    <row r="49">
      <c r="H49" s="7" t="inlineStr">
        <is>
          <t>D6_UYGULA</t>
        </is>
      </c>
      <c r="I49" s="7" t="inlineStr">
        <is>
          <t>D6 Uygulama</t>
        </is>
      </c>
      <c r="J49" s="20" t="n">
        <v>6</v>
      </c>
      <c r="K49" s="7" t="inlineStr">
        <is>
          <t>D7_ONLE|IPTAL|D5_DF</t>
        </is>
      </c>
      <c r="L49" s="7" t="inlineStr">
        <is>
          <t>acik</t>
        </is>
      </c>
    </row>
    <row r="50">
      <c r="H50" s="7" t="inlineStr">
        <is>
          <t>D7_ONLE</t>
        </is>
      </c>
      <c r="I50" s="7" t="inlineStr">
        <is>
          <t>D7 Önleme</t>
        </is>
      </c>
      <c r="J50" s="20" t="n">
        <v>7</v>
      </c>
      <c r="K50" s="7" t="inlineStr">
        <is>
          <t>D8_KAPALI|IPTAL</t>
        </is>
      </c>
      <c r="L50" s="7" t="inlineStr">
        <is>
          <t>acik</t>
        </is>
      </c>
    </row>
    <row r="51">
      <c r="H51" s="7" t="inlineStr">
        <is>
          <t>D8_KAPALI</t>
        </is>
      </c>
      <c r="I51" s="7" t="inlineStr">
        <is>
          <t>D8 Kapalı</t>
        </is>
      </c>
      <c r="J51" s="20" t="n">
        <v>8</v>
      </c>
      <c r="K51" s="7" t="inlineStr"/>
      <c r="L51" s="7" t="inlineStr">
        <is>
          <t>kapali</t>
        </is>
      </c>
    </row>
    <row r="52">
      <c r="H52" s="7" t="inlineStr">
        <is>
          <t>IPTAL</t>
        </is>
      </c>
      <c r="I52" s="7" t="inlineStr">
        <is>
          <t>İptal</t>
        </is>
      </c>
      <c r="J52" s="20" t="n">
        <v>9</v>
      </c>
      <c r="K52" s="7" t="inlineStr"/>
      <c r="L52" s="7" t="inlineStr">
        <is>
          <t>kapali</t>
        </is>
      </c>
    </row>
    <row r="53">
      <c r="H53" s="16" t="inlineStr">
        <is>
          <t>Motor Çıktıları</t>
        </is>
      </c>
    </row>
    <row r="54">
      <c r="H54" s="33" t="inlineStr">
        <is>
          <t>anahtar</t>
        </is>
      </c>
      <c r="I54" s="33" t="inlineStr">
        <is>
          <t>deger</t>
        </is>
      </c>
    </row>
    <row r="55">
      <c r="H55" s="7" t="inlineStr">
        <is>
          <t>sdf_acik8D</t>
        </is>
      </c>
      <c r="I55" s="25">
        <f>HESAP!C19</f>
        <v/>
      </c>
    </row>
    <row r="56">
      <c r="H56" s="7" t="inlineStr">
        <is>
          <t>sdf_dfPlanToplam</t>
        </is>
      </c>
      <c r="I56" s="25">
        <f>HESAP!C33</f>
        <v/>
      </c>
    </row>
    <row r="57">
      <c r="H57" s="7" t="inlineStr">
        <is>
          <t>sdf_gecikenAdet</t>
        </is>
      </c>
      <c r="I57" s="25">
        <f>HESAP!C31</f>
        <v/>
      </c>
    </row>
    <row r="58">
      <c r="H58" s="7" t="inlineStr">
        <is>
          <t>sdf_dfGercekToplam</t>
        </is>
      </c>
      <c r="I58" s="25">
        <f>HESAP!C34</f>
        <v/>
      </c>
    </row>
    <row r="59">
      <c r="H59" s="7" t="inlineStr">
        <is>
          <t>sdf_yetimKayit</t>
        </is>
      </c>
      <c r="I59" s="25">
        <f>HESAP!C22</f>
        <v/>
      </c>
    </row>
    <row r="60">
      <c r="H60" s="7" t="inlineStr">
        <is>
          <t>sdf_gecersizGecis</t>
        </is>
      </c>
      <c r="I60" s="25">
        <f>HESAP!C23</f>
        <v/>
      </c>
    </row>
    <row r="61">
      <c r="H61" s="7" t="inlineStr">
        <is>
          <t>sdf_zincirKirik</t>
        </is>
      </c>
      <c r="I61" s="25">
        <f>HESAP!C24</f>
        <v/>
      </c>
    </row>
    <row r="62">
      <c r="H62" s="7" t="inlineStr">
        <is>
          <t>sdf_kapanisOrani</t>
        </is>
      </c>
      <c r="I62" s="25">
        <f>HESAP!C35</f>
        <v/>
      </c>
    </row>
    <row r="63">
      <c r="H63" s="7" t="inlineStr">
        <is>
          <t>sdf_yasKova</t>
        </is>
      </c>
      <c r="I63" s="25">
        <f>HESAP!C52</f>
        <v/>
      </c>
    </row>
    <row r="64">
      <c r="H64" s="7" t="inlineStr">
        <is>
          <t>sdf_tahsilatOrt</t>
        </is>
      </c>
      <c r="I64" s="25">
        <f>HESAP!C35</f>
        <v/>
      </c>
    </row>
    <row r="65">
      <c r="H65" s="7" t="inlineStr">
        <is>
          <t>sdf_tahsilatSapma</t>
        </is>
      </c>
      <c r="I65" s="25">
        <f>HESAP!C36</f>
        <v/>
      </c>
    </row>
    <row r="66">
      <c r="H66" s="7" t="inlineStr">
        <is>
          <t>sdf_tahminAralik</t>
        </is>
      </c>
      <c r="I66" s="25">
        <f>HESAP!C46</f>
        <v/>
      </c>
    </row>
    <row r="67">
      <c r="H67" s="7" t="inlineStr">
        <is>
          <t>sdf_senaryoKarsilastirma</t>
        </is>
      </c>
      <c r="I67" s="25">
        <f>HESAP!C40</f>
        <v/>
      </c>
    </row>
    <row r="68">
      <c r="H68" s="7" t="inlineStr">
        <is>
          <t>sdf_tornadoZirve</t>
        </is>
      </c>
      <c r="I68" s="25">
        <f>HESAP!C41</f>
        <v/>
      </c>
    </row>
    <row r="69">
      <c r="H69" s="7" t="inlineStr">
        <is>
          <t>sdf_hhi</t>
        </is>
      </c>
      <c r="I69" s="25">
        <f>HESAP!C42</f>
        <v/>
      </c>
    </row>
    <row r="70">
      <c r="H70" s="7" t="inlineStr">
        <is>
          <t>sdf_kaliteSkor</t>
        </is>
      </c>
      <c r="I70" s="25">
        <f>HESAP!C43</f>
        <v/>
      </c>
    </row>
    <row r="71">
      <c r="H71" s="7" t="inlineStr">
        <is>
          <t>sdf_yuzdelikP90</t>
        </is>
      </c>
      <c r="I71" s="25">
        <f>HESAP!C47</f>
        <v/>
      </c>
    </row>
    <row r="72">
      <c r="H72" s="7" t="inlineStr">
        <is>
          <t>sdf_senaryoMotor</t>
        </is>
      </c>
      <c r="I72" s="25">
        <f>HESAP!C53</f>
        <v/>
      </c>
    </row>
    <row r="73">
      <c r="H73" s="7" t="inlineStr">
        <is>
          <t>sdf_kapaliDusum</t>
        </is>
      </c>
      <c r="I73" s="25">
        <f>HESAP!C20</f>
        <v/>
      </c>
    </row>
    <row r="74">
      <c r="H74" s="7" t="inlineStr">
        <is>
          <t>sdf_kuyrukOzeti</t>
        </is>
      </c>
      <c r="I74" s="25">
        <f>HESAP!C51</f>
        <v/>
      </c>
    </row>
    <row r="75">
      <c r="H75" s="7" t="inlineStr">
        <is>
          <t>sdf_kanitRaporu</t>
        </is>
      </c>
      <c r="I75" s="25">
        <f>IFERROR(_xlfn.TEXTJOIN(" | ",TRUE,"D8",HESAP!C17,"DF",HESAP!C34,"Kapanis",TEXT(HESAP!C35,"0.0%")),"")</f>
        <v/>
      </c>
    </row>
    <row r="76">
      <c r="H76" s="7" t="inlineStr">
        <is>
          <t>sdf_sonrakiKimlik</t>
        </is>
      </c>
      <c r="I76" s="25">
        <f>"EKP-"&amp;TEXT(COUNTA(tblEkip[EkipId])+1,"00000")</f>
        <v/>
      </c>
    </row>
    <row r="77">
      <c r="H77" s="7" t="inlineStr">
        <is>
          <t>sdf_kararKapi</t>
        </is>
      </c>
      <c r="I77" s="25">
        <f>PANO!B4</f>
        <v/>
      </c>
    </row>
    <row r="78">
      <c r="H78" s="7" t="inlineStr">
        <is>
          <t>sdf_modulT1</t>
        </is>
      </c>
      <c r="I78" s="25">
        <f>HESAP!C19</f>
        <v/>
      </c>
    </row>
    <row r="79">
      <c r="H79" s="7" t="inlineStr">
        <is>
          <t>sdf_modulT2</t>
        </is>
      </c>
      <c r="I79" s="25">
        <f>HESAP!C33</f>
        <v/>
      </c>
    </row>
    <row r="80">
      <c r="H80" s="7" t="inlineStr">
        <is>
          <t>sdf_modulO1</t>
        </is>
      </c>
      <c r="I80" s="25">
        <f>HESAP!C36</f>
        <v/>
      </c>
    </row>
    <row r="81">
      <c r="H81" s="7" t="inlineStr">
        <is>
          <t>sdf_modulO2</t>
        </is>
      </c>
      <c r="I81" s="25">
        <f>HESAP!C41</f>
        <v/>
      </c>
    </row>
    <row r="82">
      <c r="H82" s="7" t="inlineStr">
        <is>
          <t>sdf_modulO3</t>
        </is>
      </c>
      <c r="I82" s="25">
        <f>HESAP!C53</f>
        <v/>
      </c>
    </row>
    <row r="83">
      <c r="H83" s="7" t="inlineStr">
        <is>
          <t>sdf_modulO6</t>
        </is>
      </c>
      <c r="I83" s="25">
        <f>HESAP!C42</f>
        <v/>
      </c>
    </row>
    <row r="84">
      <c r="H84" s="7" t="inlineStr">
        <is>
          <t>sdf_modulO8</t>
        </is>
      </c>
      <c r="I84" s="25">
        <f>HESAP!C43</f>
        <v/>
      </c>
    </row>
    <row r="85">
      <c r="H85" s="7" t="inlineStr">
        <is>
          <t>sdf_modulM</t>
        </is>
      </c>
      <c r="I85" s="25">
        <f>HESAP!C53</f>
        <v/>
      </c>
    </row>
    <row r="86">
      <c r="H86" s="7" t="inlineStr">
        <is>
          <t>sdf_modulI1</t>
        </is>
      </c>
      <c r="I86" s="25">
        <f>HESAP!C46</f>
        <v/>
      </c>
    </row>
    <row r="87">
      <c r="H87" s="7" t="inlineStr">
        <is>
          <t>sdf_modulI2</t>
        </is>
      </c>
      <c r="I87" s="25">
        <f>HESAP!C47</f>
        <v/>
      </c>
    </row>
    <row r="88"/>
    <row r="89">
      <c r="H89" s="16" t="inlineStr">
        <is>
          <t>Yorum Motoru</t>
        </is>
      </c>
    </row>
    <row r="90">
      <c r="H90" s="7" t="inlineStr">
        <is>
          <t>sdf_modulT1Yorum</t>
        </is>
      </c>
      <c r="I90" s="8">
        <f>IFERROR(_xlfn.TEXTJOIN(" ",TRUE,"Acik 8D",sdf_acik8D,"adet"),"")</f>
        <v/>
      </c>
    </row>
    <row r="91">
      <c r="H91" s="7" t="inlineStr">
        <is>
          <t>sdf_modulT2Yorum</t>
        </is>
      </c>
      <c r="I91" s="8">
        <f>IFERROR(_xlfn.TEXTJOIN(" ",TRUE,"DF plan",TEXT(sdf_dfPlanToplam,"₺#,##0"),"DF gercek",TEXT(sdf_dfGercekToplam,"₺#,##0")),"")</f>
        <v/>
      </c>
    </row>
    <row r="92">
      <c r="H92" s="7" t="inlineStr">
        <is>
          <t>sdf_modulO1Yorum</t>
        </is>
      </c>
      <c r="I92" s="8">
        <f>IFERROR(_xlfn.TEXTJOIN(" ",TRUE,"Kapanis",TEXT(sdf_kapanisOrani,"0.0%"),"sapma",TEXT(sdf_tahsilatSapma,"0.0%")),"")</f>
        <v/>
      </c>
    </row>
    <row r="93">
      <c r="H93" s="7" t="inlineStr">
        <is>
          <t>sdf_modulO2Yorum</t>
        </is>
      </c>
      <c r="I93" s="8">
        <f>IFERROR(_xlfn.TEXTJOIN(" ",TRUE,"Tornado",TEXT(sdf_tornadoZirve,"₺#,##0")),"")</f>
        <v/>
      </c>
    </row>
    <row r="94">
      <c r="H94" s="7" t="inlineStr">
        <is>
          <t>sdf_modulO3Yorum</t>
        </is>
      </c>
      <c r="I94" s="8">
        <f>IFERROR(_xlfn.TEXTJOIN(" ",TRUE,"Senaryo",TEXT(sdf_senaryoKarsilastirma,"₺#,##0")),"")</f>
        <v/>
      </c>
    </row>
    <row r="95">
      <c r="H95" s="7" t="inlineStr">
        <is>
          <t>sdf_modulO6Yorum</t>
        </is>
      </c>
      <c r="I95" s="8">
        <f>IFERROR(_xlfn.TEXTJOIN(" ",TRUE,"HHI",TEXT(sdf_hhi,"0.0%")),"")</f>
        <v/>
      </c>
    </row>
    <row r="96">
      <c r="H96" s="7" t="inlineStr">
        <is>
          <t>sdf_modulO8Yorum</t>
        </is>
      </c>
      <c r="I96" s="8">
        <f>IFERROR(_xlfn.TEXTJOIN(" ",TRUE,"Kalite",sdf_kaliteSkor),"")</f>
        <v/>
      </c>
    </row>
    <row r="97">
      <c r="H97" s="7" t="inlineStr">
        <is>
          <t>sdf_modulMYorum</t>
        </is>
      </c>
      <c r="I97" s="8">
        <f>IFERROR(_xlfn.TEXTJOIN(" ",TRUE,"Senaryo motor",sdf_senaryoMotor),"")</f>
        <v/>
      </c>
    </row>
    <row r="98">
      <c r="H98" s="7" t="inlineStr">
        <is>
          <t>sdf_modulI1Yorum</t>
        </is>
      </c>
      <c r="I98" s="8">
        <f>IFERROR(_xlfn.TEXTJOIN(" ",TRUE,"Tahmin",TEXT(sdf_tahminAralik,"₺#,##0")),"")</f>
        <v/>
      </c>
    </row>
    <row r="99">
      <c r="H99" s="7" t="inlineStr">
        <is>
          <t>sdf_modulI2Yorum</t>
        </is>
      </c>
      <c r="I99" s="8">
        <f>IFERROR(_xlfn.TEXTJOIN(" ",TRUE,"P90",TEXT(sdf_yuzdelikP90,"₺#,##0")),"")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0B3D2E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KILAVUZ — 8D / Düzeltici Faaliyet Dosya Sistemi</t>
        </is>
      </c>
    </row>
    <row r="2"/>
    <row r="3" ht="22" customHeight="1">
      <c r="A3" s="199" t="inlineStr">
        <is>
          <t>Kullanım Kılavuzu</t>
        </is>
      </c>
    </row>
    <row r="4"/>
    <row r="5">
      <c r="A5" s="8" t="inlineStr">
        <is>
          <t>1. AYARLAR'da rapor tarihi, DF maliyet toleransı ve kapanış hedefini kontrol edin.</t>
        </is>
      </c>
    </row>
    <row r="6">
      <c r="A6" s="8" t="inlineStr">
        <is>
          <t>2. EKIP'a ekip kimliklerini girin (sarı hücreler).</t>
        </is>
      </c>
    </row>
    <row r="7">
      <c r="A7" s="8" t="inlineStr">
        <is>
          <t>3. AKIS'te her şikâyet için durum, DF plan/gerçek/etki ve DF maliyet oranını yazın.</t>
        </is>
      </c>
    </row>
    <row r="8">
      <c r="A8" s="8" t="inlineStr">
        <is>
          <t>4. KUYRUKLAR'da günün açık 8D dosya ve geciken satırlarını okuyun.</t>
        </is>
      </c>
    </row>
    <row r="9">
      <c r="A9" s="8" t="inlineStr">
        <is>
          <t>5. PANO'da karar (UYGUN/DİKKAT/KRİTİK/VERİ YOK) ve KPI'ları görün.</t>
        </is>
      </c>
    </row>
    <row r="10">
      <c r="A10" s="8" t="inlineStr">
        <is>
          <t>6. RAPOR'u yazdırın veya PDF'e aktarın; IATF / müşteri dosyasına ekleyin.</t>
        </is>
      </c>
    </row>
    <row r="11">
      <c r="A11" s="8" t="inlineStr">
        <is>
          <t>7. Formül hücreleri 1234 şifresiyle korunur; sarı alanlar serbesttir.</t>
        </is>
      </c>
    </row>
    <row r="12"/>
    <row r="13"/>
    <row r="14">
      <c r="A14" s="16" t="inlineStr">
        <is>
          <t>Sık yapılan hatalar</t>
        </is>
      </c>
    </row>
    <row r="15">
      <c r="A15" s="7" t="inlineStr">
        <is>
          <t>• Ekip kartı olmadan AKIS satırı → YETİM bayrağı</t>
        </is>
      </c>
    </row>
    <row r="16">
      <c r="A16" s="7" t="inlineStr">
        <is>
          <t>• İzinli olmayan durum geçişi → GEÇERSİZ GEÇİŞ (engellemez, görünür)</t>
        </is>
      </c>
    </row>
    <row r="17">
      <c r="A17" s="7" t="inlineStr">
        <is>
          <t>• DF plan/gerçek/etki sapması tolerans üstü → ZİNCİR KIRIK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J5"/>
    <mergeCell ref="A8:J8"/>
    <mergeCell ref="A6:J6"/>
    <mergeCell ref="A9:J9"/>
    <mergeCell ref="A1:I1"/>
    <mergeCell ref="A7:J7"/>
    <mergeCell ref="A3:I3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2026-08-11T19:45:50Z</dcterms:created>
  <dcterms:modified xmlns:dcterms="http://purl.org/dc/terms/" xmlns:xsi="http://www.w3.org/2001/XMLSchema-instance" xsi:type="dcterms:W3CDTF">2026-09-25T21:22:56Z</dcterms:modified>
</cp:coreProperties>
</file>