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skf_yillikGelir">MOTOR!$G$58</definedName>
    <definedName name="skf_capexToplam">MOTOR!$G$59</definedName>
    <definedName name="skf_opexYillik">MOTOR!$G$60</definedName>
    <definedName name="skf_npv">MOTOR!$G$61</definedName>
    <definedName name="skf_irr">MOTOR!$G$62</definedName>
    <definedName name="skf_netRekolte">MOTOR!$G$63</definedName>
    <definedName name="skf_kararMetni">MOTOR!$G$39</definedName>
    <definedName name="skf_kararGerekce">MOTOR!$G$40</definedName>
    <definedName name="skf_kanitRaporu">MOTOR!$G$57</definedName>
    <definedName name="skf_finansmanKarsilastirma">FINANSMAN!$B$11</definedName>
    <definedName name="skf_senaryoKarsilastirma">SENARYO!$B$10</definedName>
    <definedName name="skf_yorumSenaryo">SENARYO!$B$11</definedName>
    <definedName name="skf_duyarlilikSira">SENARYO!$B$21</definedName>
    <definedName name="skf_yorumDuyarlilik">SENARYO!$B$22</definedName>
    <definedName name="skf_tahminAralik">SENARYO!$B$32</definedName>
    <definedName name="skf_yorumTahmin">SENARYO!$B$33</definedName>
    <definedName name="skf_vakaDurum">VAKALAR!$B$12</definedName>
    <definedName name="skf_tolerans">AYARLAR!$B$8</definedName>
    <definedName name="skf_azamiEsik">AYARLAR!$B$9</definedName>
    <definedName name="skf_senaryoIyi">AYARLAR!$B$10</definedName>
    <definedName name="skf_senaryoKotu">AYARLAR!$B$11</definedName>
    <definedName name="skf_fiyatKotu">AYARLAR!$B$12</definedName>
    <definedName name="skf_capexIyi">AYARLAR!$B$13</definedName>
    <definedName name="skf_capexKotu">AYARLAR!$B$14</definedName>
    <definedName name="skf_opexKotu">AYARLAR!$B$15</definedName>
    <definedName name="skf_tahminAlt">AYARLAR!$B$16</definedName>
    <definedName name="skf_tahminUst">AYARLAR!$B$17</definedName>
    <definedName name="skf_tornadoFiyat">AYARLAR!$B$18</definedName>
    <definedName name="skf_tornadoRekolte">AYARLAR!$B$19</definedName>
    <definedName name="skf_tornadoCapex">AYARLAR!$B$20</definedName>
    <definedName name="skf_tornadoOpex">AYARLAR!$B$21</definedName>
    <definedName name="skf_tornadoWacc">AYARLAR!$B$22</definedName>
    <definedName name="skf_yuzdelikOran">AYARLAR!$B$23</definedName>
    <definedName name="skf_parmakIzi">AYARLAR!$B$24</definedName>
    <definedName name="skf_girisBeklenen">AYARLAR!$B$26</definedName>
    <definedName name="skf_riskDusuk">AYARLAR!$B$27</definedName>
    <definedName name="skf_riskOrta">AYARLAR!$B$28</definedName>
    <definedName name="skf_riskYuksek">AYARLAR!$B$29</definedName>
    <definedName name="skf_yilTaban">AYARLAR!$B$30</definedName>
    <definedName name="skf_yuvarMax">AYARLAR!$B$31</definedName>
    <definedName name="skf_bazCarpan">AYARLAR!$B$32</definedName>
    <definedName name="skf_sifirCarpan">AYARLAR!$B$33</definedName>
    <definedName name="skf_siraBir">AYARLAR!$B$34</definedName>
    <definedName name="skf_siraIki">AYARLAR!$B$35</definedName>
    <definedName name="skf_siraUc">AYARLAR!$B$36</definedName>
    <definedName name="skf_dikkatCarpan">AYARLAR!$B$37</definedName>
    <definedName name="skf_npvDikkat">AYARLAR!$B$38</definedName>
    <definedName name="skf_geriOdemeSonsuz">AYARLAR!$B$39</definedName>
    <definedName name="skf_modulT1">PANO!$C$11</definedName>
    <definedName name="skf_modulT1Yorum">PANO!$D$11</definedName>
    <definedName name="skf_modulT2">PANO!$C$12</definedName>
    <definedName name="skf_modulT2Yorum">PANO!$D$12</definedName>
    <definedName name="skf_modulO1">PANO!$C$13</definedName>
    <definedName name="skf_modulO1Yorum">PANO!$D$13</definedName>
    <definedName name="skf_modulO6">PANO!$C$16</definedName>
    <definedName name="skf_modulO6Yorum">PANO!$D$16</definedName>
    <definedName name="skf_modulO8">PANO!$C$17</definedName>
    <definedName name="skf_modulO8Yorum">PANO!$D$17</definedName>
    <definedName name="skf_modulI3">PANO!$C$19</definedName>
    <definedName name="skf_modulI3Yorum">PANO!$D$19</definedName>
    <definedName name="skf_modulFTor">PANO!$C$20</definedName>
    <definedName name="skf_modulFTorYorum">PANO!$D$20</definedName>
    <definedName name="ListeYillar">LISTELER!$A$6:$A$8</definedName>
    <definedName name="ListeSeraTipi">LISTELER!$C$6:$C$7</definedName>
    <definedName name="ListeEvetHayir">LISTELER!$E$6:$E$7</definedName>
    <definedName name="skf_capexOpex">FINANSMAN!$B$12</definedName>
    <definedName name="_xlnm.Print_Area" localSheetId="17">'KARAR'!$A$1:$F$28</definedName>
    <definedName name="_xlnm.Print_Area" localSheetId="19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69" fontId="27" fillId="0" borderId="3" pivotButton="0" quotePrefix="0" xfId="0"/>
    <xf numFmtId="169" fontId="48" fillId="0" borderId="4" pivotButton="0" quotePrefix="0" xfId="0"/>
    <xf numFmtId="169" fontId="51" fillId="0" borderId="2" pivotButton="0" quotePrefix="0" xfId="0"/>
    <xf numFmtId="169" fontId="52" fillId="0" borderId="2" pivotButton="0" quotePrefix="0" xfId="0"/>
    <xf numFmtId="169" fontId="55" fillId="7" borderId="0" pivotButton="0" quotePrefix="0" xfId="0"/>
    <xf numFmtId="169" fontId="56" fillId="7" borderId="0" pivotButton="0" quotePrefix="0" xfId="0"/>
    <xf numFmtId="169" fontId="74" fillId="9" borderId="2" applyAlignment="1" pivotButton="0" quotePrefix="0" xfId="0">
      <alignment horizontal="right"/>
    </xf>
    <xf numFmtId="169" fontId="44" fillId="0" borderId="2" applyAlignment="1" pivotButton="0" quotePrefix="0" xfId="0">
      <alignment horizontal="right"/>
    </xf>
    <xf numFmtId="169" fontId="71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Yıllık Gelir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Sera rekolte fizibilite ve yatırım kararını etkiler | Doğru kullanım: Unvan veya proje kodu. | Örnek: demo satırına bakın | Yanlışsa: NPV/IRR ve karar bozulur | Kaynak: ziraat deneme / hal fiyat</t>
      </text>
    </comment>
    <comment ref="B7" authorId="0" shapeId="0">
      <text>
        <t>Tanım: Dönem | Neden önemli: Sera rekolte fizibilite ve yatırım kararını etkiler | Doğru kullanım: Rapor dönemi. | Örnek: demo satırına bakın | Yanlışsa: NPV/IRR ve karar bozulur | Kaynak: ziraat deneme / hal fiyat</t>
      </text>
    </comment>
    <comment ref="B8" authorId="0" shapeId="0">
      <text>
        <t>Tanım: Hesap Yılı | Neden önemli: Sera rekolte fizibilite ve yatırım kararını etkiler | Doğru kullanım: 2025, 2026 veya 2027. | Örnek: demo satırına bakın | Yanlışsa: NPV/IRR ve karar bozulur | Kaynak: ziraat deneme / hal fiyat</t>
      </text>
    </comment>
    <comment ref="B9" authorId="0" shapeId="0">
      <text>
        <t>Tanım: Sera Tipi | Neden önemli: Sera rekolte fizibilite ve yatırım kararını etkiler | Doğru kullanım: CAM veya PLASTIK. | Örnek: demo satırına bakın | Yanlışsa: NPV/IRR ve karar bozulur | Kaynak: ziraat deneme / hal fiyat</t>
      </text>
    </comment>
    <comment ref="B10" authorId="0" shapeId="0">
      <text>
        <t>Tanım: Sera alanı [m²] | Neden önemli: Sera rekolte fizibilite ve yatırım kararını etkiler | Doğru kullanım: Toplam sera alanı. | Örnek: demo satırına bakın | Yanlışsa: NPV/IRR ve karar bozulur | Kaynak: ziraat deneme / hal fiyat</t>
      </text>
    </comment>
    <comment ref="B11" authorId="0" shapeId="0">
      <text>
        <t>Tanım: Rekolte [kg/m²·yıl] | Neden önemli: Sera rekolte fizibilite ve yatırım kararını etkiler | Doğru kullanım: Yıllık rekolte hedefi. | Örnek: demo satırına bakın | Yanlışsa: NPV/IRR ve karar bozulur | Kaynak: ziraat deneme / hal fiyat</t>
      </text>
    </comment>
    <comment ref="B12" authorId="0" shapeId="0">
      <text>
        <t>Tanım: Fire oranı [%] | Neden önemli: Sera rekolte fizibilite ve yatırım kararını etkiler | Doğru kullanım: Hasat/fire kayıp oranı. | Örnek: demo satırına bakın | Yanlışsa: NPV/IRR ve karar bozulur | Kaynak: ziraat deneme / hal fiyat</t>
      </text>
    </comment>
    <comment ref="B13" authorId="0" shapeId="0">
      <text>
        <t>Tanım: Doluluk oranı [%] | Neden önemli: Sera rekolte fizibilite ve yatırım kararını etkiler | Doğru kullanım: Üretimde kullanılan alan payı. | Örnek: demo satırına bakın | Yanlışsa: NPV/IRR ve karar bozulur | Kaynak: ziraat deneme / hal fiyat</t>
      </text>
    </comment>
    <comment ref="B14" authorId="0" shapeId="0">
      <text>
        <t>Tanım: Birim satış [₺/kg] | Neden önemli: Sera rekolte fizibilite ve yatırım kararını etkiler | Doğru kullanım: Çiftlik çıkış satış fiyatı. | Örnek: demo satırına bakın | Yanlışsa: NPV/IRR ve karar bozulur | Kaynak: ziraat deneme / hal fiyat</t>
      </text>
    </comment>
    <comment ref="B15" authorId="0" shapeId="0">
      <text>
        <t>Tanım: Enerji OPEX [₺/yıl] | Neden önemli: Sera rekolte fizibilite ve yatırım kararını etkiler | Doğru kullanım: Isıtma/soğutma/elektrik. | Örnek: demo satırına bakın | Yanlışsa: NPV/IRR ve karar bozulur | Kaynak: ziraat deneme / hal fiyat</t>
      </text>
    </comment>
    <comment ref="B16" authorId="0" shapeId="0">
      <text>
        <t>Tanım: İşçilik OPEX [₺/yıl] | Neden önemli: Sera rekolte fizibilite ve yatırım kararını etkiler | Doğru kullanım: Saha işçiliği yıllık. | Örnek: demo satırına bakın | Yanlışsa: NPV/IRR ve karar bozulur | Kaynak: ziraat deneme / hal fiyat</t>
      </text>
    </comment>
    <comment ref="B17" authorId="0" shapeId="0">
      <text>
        <t>Tanım: CAPEX birim [₺/m²] | Neden önemli: Sera rekolte fizibilite ve yatırım kararını etkiler | Doğru kullanım: İskelet+örtü+ısıtma+sulama+iklim. | Örnek: demo satırına bakın | Yanlışsa: NPV/IRR ve karar bozulur | Kaynak: ziraat deneme / hal fiyat</t>
      </text>
    </comment>
    <comment ref="B18" authorId="0" shapeId="0">
      <text>
        <t>Tanım: Diğer OPEX oranı [% CAPEX] | Neden önemli: Sera rekolte fizibilite ve yatırım kararını etkiler | Doğru kullanım: Fide/gübre/bakım payı. | Örnek: demo satırına bakın | Yanlışsa: NPV/IRR ve karar bozulur | Kaynak: ziraat deneme / hal fiyat</t>
      </text>
    </comment>
    <comment ref="B19" authorId="0" shapeId="0">
      <text>
        <t>Tanım: WACC [%] | Neden önemli: Sera rekolte fizibilite ve yatırım kararını etkiler | Doğru kullanım: İskonto oranı (nominal). | Örnek: demo satırına bakın | Yanlışsa: NPV/IRR ve karar bozulur | Kaynak: ziraat deneme / hal fiyat</t>
      </text>
    </comment>
    <comment ref="B20" authorId="0" shapeId="0">
      <text>
        <t>Tanım: NPV dönem [yıl] | Neden önemli: Sera rekolte fizibilite ve yatırım kararını etkiler | Doğru kullanım: Nakit akışı yılı. | Örnek: demo satırına bakın | Yanlışsa: NPV/IRR ve karar bozulur | Kaynak: ziraat deneme / hal fiyat</t>
      </text>
    </comment>
    <comment ref="B21" authorId="0" shapeId="0">
      <text>
        <t>Tanım: Kredi faiz oranı [%] | Neden önemli: Sera rekolte fizibilite ve yatırım kararını etkiler | Doğru kullanım: Kredi senaryosu faiz. | Örnek: demo satırına bakın | Yanlışsa: NPV/IRR ve karar bozulur | Kaynak: ziraat deneme / hal fiyat</t>
      </text>
    </comment>
    <comment ref="B22" authorId="0" shapeId="0">
      <text>
        <t>Tanım: Öz kaynak oranı [%] | Neden önemli: Sera rekolte fizibilite ve yatırım kararını etkiler | Doğru kullanım: Öz kaynak payı. | Örnek: demo satırına bakın | Yanlışsa: NPV/IRR ve karar bozulur | Kaynak: ziraat deneme / hal fiyat</t>
      </text>
    </comment>
    <comment ref="A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G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H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F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G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H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F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G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H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F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G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H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F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G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H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6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6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6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6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6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6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6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6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6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6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7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7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7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7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7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7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7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7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7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7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7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8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8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8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8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8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8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8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8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8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8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8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9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9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9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9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9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9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9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9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9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9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9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Sera rekolte fizibilite ve yatırım kararını etkiler | Doğru kullanım: Aktif hesap yılı | Örnek: demo satırına bakın | Yanlışsa: NPV/IRR ve karar bozulur | Kaynak: ziraat deneme / hal fiyat</t>
      </text>
    </comment>
    <comment ref="B7" authorId="0" shapeId="0">
      <text>
        <t>Tanım: raporTarihi | Neden önemli: Sera rekolte fizibilite ve yatırım kararını etkiler | Doğru kullanım: Rapor tarihi | Örnek: demo satırına bakın | Yanlışsa: NPV/IRR ve karar bozulur | Kaynak: ziraat deneme / hal fiyat</t>
      </text>
    </comment>
    <comment ref="B8" authorId="0" shapeId="0">
      <text>
        <t>Tanım: skf_tolerans | Neden önemli: Sera rekolte fizibilite ve yatırım kararını etkiler | Doğru kullanım: Vaka tutarlılık toleransı | Örnek: demo satırına bakın | Yanlışsa: NPV/IRR ve karar bozulur | Kaynak: ziraat deneme / hal fiyat</t>
      </text>
    </comment>
    <comment ref="B9" authorId="0" shapeId="0">
      <text>
        <t>Tanım: skf_azamiEsik | Neden önemli: Sera rekolte fizibilite ve yatırım kararını etkiler | Doğru kullanım: Azami giriş eşiği | Örnek: demo satırına bakın | Yanlışsa: NPV/IRR ve karar bozulur | Kaynak: ziraat deneme / hal fiyat</t>
      </text>
    </comment>
    <comment ref="B10" authorId="0" shapeId="0">
      <text>
        <t>Tanım: skf_senaryoIyi | Neden önemli: Sera rekolte fizibilite ve yatırım kararını etkiler | Doğru kullanım: İyimser rekolte çarpanı | Örnek: demo satırına bakın | Yanlışsa: NPV/IRR ve karar bozulur | Kaynak: ziraat deneme / hal fiyat</t>
      </text>
    </comment>
    <comment ref="B11" authorId="0" shapeId="0">
      <text>
        <t>Tanım: skf_senaryoKotu | Neden önemli: Sera rekolte fizibilite ve yatırım kararını etkiler | Doğru kullanım: Kötümser rekolte çarpanı | Örnek: demo satırına bakın | Yanlışsa: NPV/IRR ve karar bozulur | Kaynak: ziraat deneme / hal fiyat</t>
      </text>
    </comment>
    <comment ref="B12" authorId="0" shapeId="0">
      <text>
        <t>Tanım: skf_fiyatKotu | Neden önemli: Sera rekolte fizibilite ve yatırım kararını etkiler | Doğru kullanım: Kötümser fiyat çarpanı | Örnek: demo satırına bakın | Yanlışsa: NPV/IRR ve karar bozulur | Kaynak: ziraat deneme / hal fiyat</t>
      </text>
    </comment>
    <comment ref="B13" authorId="0" shapeId="0">
      <text>
        <t>Tanım: skf_capexIyi | Neden önemli: Sera rekolte fizibilite ve yatırım kararını etkiler | Doğru kullanım: İyimser CAPEX çarpanı | Örnek: demo satırına bakın | Yanlışsa: NPV/IRR ve karar bozulur | Kaynak: ziraat deneme / hal fiyat</t>
      </text>
    </comment>
    <comment ref="B14" authorId="0" shapeId="0">
      <text>
        <t>Tanım: skf_capexKotu | Neden önemli: Sera rekolte fizibilite ve yatırım kararını etkiler | Doğru kullanım: Kötümser CAPEX çarpanı | Örnek: demo satırına bakın | Yanlışsa: NPV/IRR ve karar bozulur | Kaynak: ziraat deneme / hal fiyat</t>
      </text>
    </comment>
    <comment ref="B15" authorId="0" shapeId="0">
      <text>
        <t>Tanım: skf_opexKotu | Neden önemli: Sera rekolte fizibilite ve yatırım kararını etkiler | Doğru kullanım: Kötümser OPEX çarpanı | Örnek: demo satırına bakın | Yanlışsa: NPV/IRR ve karar bozulur | Kaynak: ziraat deneme / hal fiyat</t>
      </text>
    </comment>
    <comment ref="B16" authorId="0" shapeId="0">
      <text>
        <t>Tanım: skf_tahminAlt | Neden önemli: Sera rekolte fizibilite ve yatırım kararını etkiler | Doğru kullanım: Tahmin alt bant | Örnek: demo satırına bakın | Yanlışsa: NPV/IRR ve karar bozulur | Kaynak: ziraat deneme / hal fiyat</t>
      </text>
    </comment>
    <comment ref="B17" authorId="0" shapeId="0">
      <text>
        <t>Tanım: skf_tahminUst | Neden önemli: Sera rekolte fizibilite ve yatırım kararını etkiler | Doğru kullanım: Tahmin üst bant | Örnek: demo satırına bakın | Yanlışsa: NPV/IRR ve karar bozulur | Kaynak: ziraat deneme / hal fiyat</t>
      </text>
    </comment>
    <comment ref="B18" authorId="0" shapeId="0">
      <text>
        <t>Tanım: skf_tornadoFiyat | Neden önemli: Sera rekolte fizibilite ve yatırım kararını etkiler | Doğru kullanım: Tornado fiyat şoku | Örnek: demo satırına bakın | Yanlışsa: NPV/IRR ve karar bozulur | Kaynak: ziraat deneme / hal fiyat</t>
      </text>
    </comment>
    <comment ref="B19" authorId="0" shapeId="0">
      <text>
        <t>Tanım: skf_tornadoRekolte | Neden önemli: Sera rekolte fizibilite ve yatırım kararını etkiler | Doğru kullanım: Tornado rekolte şoku | Örnek: demo satırına bakın | Yanlışsa: NPV/IRR ve karar bozulur | Kaynak: ziraat deneme / hal fiyat</t>
      </text>
    </comment>
    <comment ref="B20" authorId="0" shapeId="0">
      <text>
        <t>Tanım: skf_tornadoCapex | Neden önemli: Sera rekolte fizibilite ve yatırım kararını etkiler | Doğru kullanım: Tornado CAPEX şoku | Örnek: demo satırına bakın | Yanlışsa: NPV/IRR ve karar bozulur | Kaynak: ziraat deneme / hal fiyat</t>
      </text>
    </comment>
    <comment ref="B21" authorId="0" shapeId="0">
      <text>
        <t>Tanım: skf_tornadoOpex | Neden önemli: Sera rekolte fizibilite ve yatırım kararını etkiler | Doğru kullanım: Tornado OPEX şoku | Örnek: demo satırına bakın | Yanlışsa: NPV/IRR ve karar bozulur | Kaynak: ziraat deneme / hal fiyat</t>
      </text>
    </comment>
    <comment ref="B22" authorId="0" shapeId="0">
      <text>
        <t>Tanım: skf_tornadoWacc | Neden önemli: Sera rekolte fizibilite ve yatırım kararını etkiler | Doğru kullanım: Tornado WACC şoku | Örnek: demo satırına bakın | Yanlışsa: NPV/IRR ve karar bozulur | Kaynak: ziraat deneme / hal fiyat</t>
      </text>
    </comment>
    <comment ref="B23" authorId="0" shapeId="0">
      <text>
        <t>Tanım: skf_yuzdelikOran | Neden önemli: Sera rekolte fizibilite ve yatırım kararını etkiler | Doğru kullanım: Yüzdelik P90 | Örnek: demo satırına bakın | Yanlışsa: NPV/IRR ve karar bozulur | Kaynak: ziraat deneme / hal fiyat</t>
      </text>
    </comment>
    <comment ref="B24" authorId="0" shapeId="0">
      <text>
        <t>Tanım: skf_parmakIzi | Neden önemli: Sera rekolte fizibilite ve yatırım kararını etkiler | Doğru kullanım: Dosya parmak izi | Örnek: demo satırına bakın | Yanlışsa: NPV/IRR ve karar bozulur | Kaynak: ziraat deneme / hal fiyat</t>
      </text>
    </comment>
    <comment ref="B25" authorId="0" shapeId="0">
      <text>
        <t>Tanım: dosya_surumu | Neden önemli: Sera rekolte fizibilite ve yatırım kararını etkiler | Doğru kullanım: Ürün sürümü | Örnek: demo satırına bakın | Yanlışsa: NPV/IRR ve karar bozulur | Kaynak: ziraat deneme / hal fiyat</t>
      </text>
    </comment>
    <comment ref="B26" authorId="0" shapeId="0">
      <text>
        <t>Tanım: skf_girisBeklenen | Neden önemli: Sera rekolte fizibilite ve yatırım kararını etkiler | Doğru kullanım: Zorunlu giriş sayısı | Örnek: demo satırına bakın | Yanlışsa: NPV/IRR ve karar bozulur | Kaynak: ziraat deneme / hal fiyat</t>
      </text>
    </comment>
    <comment ref="B27" authorId="0" shapeId="0">
      <text>
        <t>Tanım: skf_riskDusuk | Neden önemli: Sera rekolte fizibilite ve yatırım kararını etkiler | Doğru kullanım: YAPILIR risk skoru | Örnek: demo satırına bakın | Yanlışsa: NPV/IRR ve karar bozulur | Kaynak: ziraat deneme / hal fiyat</t>
      </text>
    </comment>
    <comment ref="B28" authorId="0" shapeId="0">
      <text>
        <t>Tanım: skf_riskOrta | Neden önemli: Sera rekolte fizibilite ve yatırım kararını etkiler | Doğru kullanım: DİKKAT risk skoru | Örnek: demo satırına bakın | Yanlışsa: NPV/IRR ve karar bozulur | Kaynak: ziraat deneme / hal fiyat</t>
      </text>
    </comment>
    <comment ref="B29" authorId="0" shapeId="0">
      <text>
        <t>Tanım: skf_riskYuksek | Neden önemli: Sera rekolte fizibilite ve yatırım kararını etkiler | Doğru kullanım: YAPMA risk skoru | Örnek: demo satırına bakın | Yanlışsa: NPV/IRR ve karar bozulur | Kaynak: ziraat deneme / hal fiyat</t>
      </text>
    </comment>
    <comment ref="B30" authorId="0" shapeId="0">
      <text>
        <t>Tanım: skf_yilTaban | Neden önemli: Sera rekolte fizibilite ve yatırım kararını etkiler | Doğru kullanım: CHOOSE yıl tabanı | Örnek: demo satırına bakın | Yanlışsa: NPV/IRR ve karar bozulur | Kaynak: ziraat deneme / hal fiyat</t>
      </text>
    </comment>
    <comment ref="B31" authorId="0" shapeId="0">
      <text>
        <t>Tanım: skf_yuvarMax | Neden önemli: Sera rekolte fizibilite ve yatırım kararını etkiler | Doğru kullanım: ROUND basamak tavanı | Örnek: demo satırına bakın | Yanlışsa: NPV/IRR ve karar bozulur | Kaynak: ziraat deneme / hal fiyat</t>
      </text>
    </comment>
    <comment ref="B32" authorId="0" shapeId="0">
      <text>
        <t>Tanım: skf_bazCarpan | Neden önemli: Sera rekolte fizibilite ve yatırım kararını etkiler | Doğru kullanım: Baz senaryo çarpanı | Örnek: demo satırına bakın | Yanlışsa: NPV/IRR ve karar bozulur | Kaynak: ziraat deneme / hal fiyat</t>
      </text>
    </comment>
    <comment ref="B33" authorId="0" shapeId="0">
      <text>
        <t>Tanım: skf_sifirCarpan | Neden önemli: Sera rekolte fizibilite ve yatırım kararını etkiler | Doğru kullanım: Nötr çarpan | Örnek: demo satırına bakın | Yanlışsa: NPV/IRR ve karar bozulur | Kaynak: ziraat deneme / hal fiyat</t>
      </text>
    </comment>
    <comment ref="B34" authorId="0" shapeId="0">
      <text>
        <t>Tanım: skf_siraBir | Neden önemli: Sera rekolte fizibilite ve yatırım kararını etkiler | Doğru kullanım: Tornado sıra 1 | Örnek: demo satırına bakın | Yanlışsa: NPV/IRR ve karar bozulur | Kaynak: ziraat deneme / hal fiyat</t>
      </text>
    </comment>
    <comment ref="B35" authorId="0" shapeId="0">
      <text>
        <t>Tanım: skf_siraIki | Neden önemli: Sera rekolte fizibilite ve yatırım kararını etkiler | Doğru kullanım: Tornado sıra 2 | Örnek: demo satırına bakın | Yanlışsa: NPV/IRR ve karar bozulur | Kaynak: ziraat deneme / hal fiyat</t>
      </text>
    </comment>
    <comment ref="B36" authorId="0" shapeId="0">
      <text>
        <t>Tanım: skf_siraUc | Neden önemli: Sera rekolte fizibilite ve yatırım kararını etkiler | Doğru kullanım: Tornado sıra 3 | Örnek: demo satırına bakın | Yanlışsa: NPV/IRR ve karar bozulur | Kaynak: ziraat deneme / hal fiyat</t>
      </text>
    </comment>
    <comment ref="B37" authorId="0" shapeId="0">
      <text>
        <t>Tanım: skf_dikkatCarpan | Neden önemli: Sera rekolte fizibilite ve yatırım kararını etkiler | Doğru kullanım: Geri ödeme dikkat çarpanı | Örnek: demo satırına bakın | Yanlışsa: NPV/IRR ve karar bozulur | Kaynak: ziraat deneme / hal fiyat</t>
      </text>
    </comment>
    <comment ref="B38" authorId="0" shapeId="0">
      <text>
        <t>Tanım: skf_npvDikkat | Neden önemli: Sera rekolte fizibilite ve yatırım kararını etkiler | Doğru kullanım: NPV dikkat eşiği | Örnek: demo satırına bakın | Yanlışsa: NPV/IRR ve karar bozulur | Kaynak: ziraat deneme / hal fiyat</t>
      </text>
    </comment>
    <comment ref="B39" authorId="0" shapeId="0">
      <text>
        <t>Tanım: skf_geriOdemeSonsuz | Neden önemli: Sera rekolte fizibilite ve yatırım kararını etkiler | Doğru kullanım: Geri ödeme tanımsız işaret | Örnek: demo satırına bakın | Yanlışsa: NPV/IRR ve karar bozulur | Kaynak: ziraat deneme / hal fiyat</t>
      </text>
    </comment>
    <comment ref="B40" authorId="0" shapeId="0">
      <text>
        <t>Tanım: vaka_capex | Neden önemli: Sera rekolte fizibilite ve yatırım kararını etkiler | Doğru kullanım: Vaka CAPEX | Örnek: demo satırına bakın | Yanlışsa: NPV/IRR ve karar bozulur | Kaynak: ziraat deneme / hal fiyat</t>
      </text>
    </comment>
    <comment ref="B41" authorId="0" shapeId="0">
      <text>
        <t>Tanım: vaka_rekolte | Neden önemli: Sera rekolte fizibilite ve yatırım kararını etkiler | Doğru kullanım: Vaka net rekolte | Örnek: demo satırına bakın | Yanlışsa: NPV/IRR ve karar bozulur | Kaynak: ziraat deneme / hal fiyat</t>
      </text>
    </comment>
    <comment ref="B42" authorId="0" shapeId="0">
      <text>
        <t>Tanım: vaka_fiyat | Neden önemli: Sera rekolte fizibilite ve yatırım kararını etkiler | Doğru kullanım: Vaka birim fiyat | Örnek: demo satırına bakın | Yanlışsa: NPV/IRR ve karar bozulur | Kaynak: ziraat deneme / hal fiyat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Row],[kural_id]]="","",IFERROR(CHOOSE(MAX(1,MIN(3,IF(OR(hesapYili="",hesapYili=0),1,hesapYili-skf_yilTaban))),tblKurallar[[#This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Row],[fark]])&lt;=skf_tolerans,"TUTARLI","KIRIK"),"KIRIK"))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Sera_tipi"/>
    <tableColumn id="3" name="Alan_m2"/>
    <tableColumn id="4" name="Rekolte_kg_m2"/>
    <tableColumn id="5" name="Doluluk"/>
    <tableColumn id="6" name="Birim_fiyat"/>
    <tableColumn id="7" name="Enerji_opex"/>
    <tableColumn id="8" name="Iscilik_opex"/>
    <tableColumn id="9" name="Capex_birim"/>
    <tableColumn id="10" name="Opex_oran"/>
    <tableColumn id="11" name="WACC"/>
    <tableColumn id="12" name="Durum">
      <calculatedColumnFormula>=IF(tblOrnek[[#This Row],[Senaryo]]="","",IF(tblOrnek[[#This Row],[Alan_m2]]="","EKSİK","TAM"))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3" t="inlineStr">
        <is>
          <t>EXCELARŞİV KARAR SİSTEMİ v15.1 — ÜRETİM REFERANSI</t>
        </is>
      </c>
    </row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0" t="inlineStr">
        <is>
          <t>☰ PANO</t>
        </is>
      </c>
    </row>
    <row r="2">
      <c r="B2" s="96" t="inlineStr">
        <is>
          <t>SERA KURULUM &amp; REKOLTE FIZIBILITESI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Sera yatırımcısı, ziraat mühendisi, tarım danışmanı, CFO · 2026 Q3 Denetim Standardı</t>
        </is>
      </c>
    </row>
    <row r="5">
      <c r="B5" s="100" t="inlineStr">
        <is>
          <t>YILLIK SERA GELIRI</t>
        </is>
      </c>
      <c r="C5" s="101" t="n"/>
      <c r="D5" s="102" t="inlineStr">
        <is>
          <t>KONSOLİDE</t>
        </is>
      </c>
      <c r="E5" s="103" t="inlineStr">
        <is>
          <t>NET YILLIK NAKIT</t>
        </is>
      </c>
      <c r="F5" s="101" t="n"/>
      <c r="G5" s="104" t="inlineStr">
        <is>
          <t>KONTROL</t>
        </is>
      </c>
      <c r="H5" s="100" t="inlineStr">
        <is>
          <t>NET OPERASYONEL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EĞER(E7&gt;0; YUVARLA(B7/E7; 2);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1">
      <c r="B11" s="94" t="inlineStr">
        <is>
          <t>SERA KURULUM &amp; REKOLTE FIZIBILITESI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TOPLA(I15:I18)</f>
        <v/>
      </c>
      <c r="J19" s="202">
        <f>TOPLA(J15:J18)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STRATEJİK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Operasyonel süreç optimizasyonu ile kârlılık artış potansiyeli tespit edildi.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0" t="inlineStr">
        <is>
          <t>☰ PANO</t>
        </is>
      </c>
    </row>
    <row r="3">
      <c r="B3" s="138" t="inlineStr">
        <is>
          <t>🔍  SERA KURULUM &amp; REKOLTE FIZIBILITESI —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SERA KURULUM &amp; REKOLTE FIZIBILITESI — NİHAİ KARAR VE DEĞERLEME</t>
        </is>
      </c>
    </row>
    <row r="3">
      <c r="B3" s="161" t="inlineStr">
        <is>
          <t>Yönetim Kurulu ve İcra Komitesi için Otomatik Finansal Stres Testi Raporu · Sera yatırımcısı, ziraat mühendisi, tarım danışmanı, CFO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YUVARLA(PANO!B7*0.8/PANO!E7;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8" t="inlineStr">
        <is>
          <t>YÜRÜTME ÇEKİRDEĞİ — ZORUNLU ÜRETİM SIRASI</t>
        </is>
      </c>
    </row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1" t="inlineStr">
        <is>
          <t>NİHAİ KONTROL LİSTESİ — KANITSIZ GEÇİŞ YOK</t>
        </is>
      </c>
    </row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6" t="inlineStr">
        <is>
          <t>GÖRSEL TASARIM VE PREMIUM EXCEL STANDARDI</t>
        </is>
      </c>
    </row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0" t="inlineStr">
        <is>
          <t>TÜRKİYE MUHASEBE VE TEKDÜZEN HESAP PLANI STANDARDI</t>
        </is>
      </c>
    </row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3" t="inlineStr">
        <is>
          <t>KARAR, GÜVEN VE SATIŞA HAZIRLIK STANDARDI</t>
        </is>
      </c>
    </row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Sera Kurulum &amp; Rekolte Fizibilitesi</t>
        </is>
      </c>
    </row>
    <row r="3" ht="30" customHeight="1">
      <c r="A3" s="3" t="inlineStr">
        <is>
          <t>Sera Kurulum &amp; Rekolte Fizibilitesi</t>
        </is>
      </c>
    </row>
    <row r="4">
      <c r="A4" s="4" t="inlineStr">
        <is>
          <t>Sera alanı, rekolte, CAPEX/OPEX ve satış fiyatı girdilerini işleyin; NPV/IRR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Alan × rekolte × doluluk × (1−fire) → net kg ve yıllık gelir</t>
        </is>
      </c>
    </row>
    <row r="8">
      <c r="A8" s="6" t="inlineStr">
        <is>
          <t>• CAPEX ₺/m² (iskelet/örtü/ısıtma/sulama/iklim) + enerji/işçilik OPEX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NPV/IRR aralık + tornado; kötümser YATIRIM YAPMA (F05)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Sera Kurulum &amp; Rekolte Fizibilitesi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sera tipi, alan, rekolte, fiyat ve OPEX girdilerini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Net kg = alan × rekolte × doluluk × (1−fire) | Gelir = net×fiyat + net×destek | CAPEX = alan × birim | OPEX = enerji + işçilik + CAPEX×oran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Sera Kurulum &amp; Rekolte Fizibilitesi</t>
        </is>
      </c>
    </row>
    <row r="3">
      <c r="A3" s="9" t="inlineStr">
        <is>
          <t>Sera kurulum ve rekolte girdileri</t>
        </is>
      </c>
    </row>
    <row r="4">
      <c r="A4" s="4" t="inlineStr">
        <is>
          <t>Sarı hücreler manuel giriştir. Fiyat/destek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Sera Tarım Ltd.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Sera Tipi</t>
        </is>
      </c>
      <c r="B9" s="12" t="inlineStr">
        <is>
          <t>CAM</t>
        </is>
      </c>
      <c r="C9" s="13" t="inlineStr">
        <is>
          <t>metin</t>
        </is>
      </c>
    </row>
    <row r="10">
      <c r="A10" s="7" t="inlineStr">
        <is>
          <t>Sera alanı [m²]</t>
        </is>
      </c>
      <c r="B10" s="14" t="n">
        <v>3000</v>
      </c>
      <c r="C10" s="13" t="inlineStr">
        <is>
          <t>m²</t>
        </is>
      </c>
    </row>
    <row r="11">
      <c r="A11" s="7" t="inlineStr">
        <is>
          <t>Rekolte [kg/m²·yıl]</t>
        </is>
      </c>
      <c r="B11" s="14" t="n">
        <v>35</v>
      </c>
      <c r="C11" s="13" t="inlineStr">
        <is>
          <t>kg/m²</t>
        </is>
      </c>
    </row>
    <row r="12">
      <c r="A12" s="7" t="inlineStr">
        <is>
          <t>Fire oranı [%]</t>
        </is>
      </c>
      <c r="B12" s="15" t="n">
        <v>0.08</v>
      </c>
      <c r="C12" s="13" t="inlineStr">
        <is>
          <t>%</t>
        </is>
      </c>
    </row>
    <row r="13">
      <c r="A13" s="7" t="inlineStr">
        <is>
          <t>Doluluk oranı [%]</t>
        </is>
      </c>
      <c r="B13" s="15" t="n">
        <v>0.92</v>
      </c>
      <c r="C13" s="13" t="inlineStr">
        <is>
          <t>%</t>
        </is>
      </c>
    </row>
    <row r="14">
      <c r="A14" s="7" t="inlineStr">
        <is>
          <t>Birim satış [₺/kg]</t>
        </is>
      </c>
      <c r="B14" s="16" t="n">
        <v>30</v>
      </c>
      <c r="C14" s="13" t="inlineStr">
        <is>
          <t>₺/kg</t>
        </is>
      </c>
    </row>
    <row r="15">
      <c r="A15" s="7" t="inlineStr">
        <is>
          <t>Enerji OPEX [₺/yıl]</t>
        </is>
      </c>
      <c r="B15" s="17" t="n">
        <v>420000</v>
      </c>
      <c r="C15" s="13" t="inlineStr">
        <is>
          <t>₺</t>
        </is>
      </c>
    </row>
    <row r="16">
      <c r="A16" s="7" t="inlineStr">
        <is>
          <t>İşçilik OPEX [₺/yıl]</t>
        </is>
      </c>
      <c r="B16" s="17" t="n">
        <v>480000</v>
      </c>
      <c r="C16" s="13" t="inlineStr">
        <is>
          <t>₺</t>
        </is>
      </c>
    </row>
    <row r="17">
      <c r="A17" s="7" t="inlineStr">
        <is>
          <t>CAPEX birim [₺/m²]</t>
        </is>
      </c>
      <c r="B17" s="17" t="n">
        <v>1400</v>
      </c>
      <c r="C17" s="13" t="inlineStr">
        <is>
          <t>₺</t>
        </is>
      </c>
    </row>
    <row r="18">
      <c r="A18" s="7" t="inlineStr">
        <is>
          <t>Diğer OPEX oranı [% CAPEX]</t>
        </is>
      </c>
      <c r="B18" s="15" t="n">
        <v>0.04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0.15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12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IFERROR(skf_capexToplam,0)</f>
        <v/>
      </c>
    </row>
    <row r="25">
      <c r="A25" s="10" t="inlineStr">
        <is>
          <t>OPEX / ISLETME yıllık (ayna)</t>
        </is>
      </c>
      <c r="B25" s="19">
        <f>IFERROR(skf_opexYillik,0)</f>
        <v/>
      </c>
    </row>
    <row r="26">
      <c r="A26" s="10" t="inlineStr">
        <is>
          <t>Yıllık rekolte geliri (ayna)</t>
        </is>
      </c>
      <c r="B26" s="18">
        <f>IFERROR(skf_yillikGelir,0)</f>
        <v/>
      </c>
    </row>
    <row r="27">
      <c r="A27" s="10" t="inlineStr">
        <is>
          <t>Giriş doluluk</t>
        </is>
      </c>
      <c r="B27" s="20">
        <f>IFERROR(IF(OR(COUNTA(B6:B22)=0,skf_girisBeklenen=0),0,ROUND(COUNTA(B6:B22)/skf_girisBeklenen*100,0)),0)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Sera Tarım Ltd.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sera_tipi</t>
        </is>
      </c>
      <c r="B34" s="22" t="inlineStr">
        <is>
          <t>CAM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alan_m2</t>
        </is>
      </c>
      <c r="B35" s="24" t="n">
        <v>3000</v>
      </c>
      <c r="C35" s="22" t="inlineStr">
        <is>
          <t>m2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rekolte_kg_m2</t>
        </is>
      </c>
      <c r="B36" s="24" t="n">
        <v>35</v>
      </c>
      <c r="C36" s="22" t="inlineStr">
        <is>
          <t>kg/m2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fire_oran</t>
        </is>
      </c>
      <c r="B37" s="25" t="n">
        <v>0.08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doluluk_oran</t>
        </is>
      </c>
      <c r="B38" s="25" t="n">
        <v>0.92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birim_fiyat</t>
        </is>
      </c>
      <c r="B39" s="26" t="n">
        <v>30</v>
      </c>
      <c r="C39" s="22" t="inlineStr">
        <is>
          <t>TL/kg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enerji_opex</t>
        </is>
      </c>
      <c r="B40" s="27" t="n">
        <v>420000</v>
      </c>
      <c r="C40" s="22" t="inlineStr">
        <is>
          <t>TL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iscilik_opex</t>
        </is>
      </c>
      <c r="B41" s="27" t="n">
        <v>480000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1400</v>
      </c>
      <c r="C42" s="22" t="inlineStr">
        <is>
          <t>TL/m2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0.04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0.15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12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rekolte/fiyat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M veya PLASTIK." promptTitle="Sera Tipi" prompt="CAM veya PLASTIK seçin." type="list" errorStyle="stop">
      <formula1>ListeSeraTipi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M/PLASTIK." promptTitle="Sera Tipi" prompt="CAM veya PLASTIK." type="list" errorStyle="stop">
      <formula1>ListeSeraTipi</formula1>
    </dataValidation>
    <dataValidation sqref="B10" showDropDown="0" showInputMessage="1" showErrorMessage="1" allowBlank="1" errorTitle="Geçersiz tutar" error="Sınır dışı değer." promptTitle="Sera alanı" prompt="0 ile 1e6 m²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Rekolte" prompt="0 ile 2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Birim fiyat" prompt="0 ile 1e6 ₺/kg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Enerji OPEX" prompt="0 ile 1e9 ₺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İşçilik OPEX" prompt="0 ile 1e9 ₺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m²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Alan" prompt="Tablo: m²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Rekolte" prompt="Tablo: kg/m²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Sera Kurulum &amp; Rekolte Fizibilitesi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Rekolte kaynağı</t>
        </is>
      </c>
      <c r="C6" s="31" t="inlineStr">
        <is>
          <t>çeşit/deneme</t>
        </is>
      </c>
      <c r="D6" s="7" t="inlineStr">
        <is>
          <t>metin</t>
        </is>
      </c>
      <c r="E6" s="31" t="inlineStr">
        <is>
          <t>Ziraat deneme / çeşit kartı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Fire oranı</t>
        </is>
      </c>
      <c r="C7" s="31" t="inlineStr">
        <is>
          <t>hasat kaybı</t>
        </is>
      </c>
      <c r="D7" s="7" t="inlineStr">
        <is>
          <t>oran</t>
        </is>
      </c>
      <c r="E7" s="31" t="inlineStr">
        <is>
          <t>Saha kayıtları</t>
        </is>
      </c>
      <c r="F7" s="31" t="inlineStr">
        <is>
          <t>yumuşak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Doluluk oranı</t>
        </is>
      </c>
      <c r="C8" s="31" t="inlineStr">
        <is>
          <t>dikim planı</t>
        </is>
      </c>
      <c r="D8" s="7" t="inlineStr">
        <is>
          <t>oran</t>
        </is>
      </c>
      <c r="E8" s="31" t="inlineStr">
        <is>
          <t>Üretim planı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Birim satış fiyatı</t>
        </is>
      </c>
      <c r="C9" s="31" t="inlineStr">
        <is>
          <t>piyasa</t>
        </is>
      </c>
      <c r="D9" s="7" t="inlineStr">
        <is>
          <t>TL/kg</t>
        </is>
      </c>
      <c r="E9" s="31" t="inlineStr">
        <is>
          <t>Hal / sözleşmeli alım</t>
        </is>
      </c>
      <c r="F9" s="31" t="inlineStr">
        <is>
          <t>yumuşak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Destek/kg</t>
        </is>
      </c>
      <c r="C10" s="31" t="inlineStr">
        <is>
          <t>tarım destek</t>
        </is>
      </c>
      <c r="D10" s="7" t="inlineStr">
        <is>
          <t>TL/kg</t>
        </is>
      </c>
      <c r="E10" s="31" t="inlineStr">
        <is>
          <t>Tarım ve Orman destek tebliği</t>
        </is>
      </c>
      <c r="F10" s="31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 m²</t>
        </is>
      </c>
      <c r="C11" s="31" t="inlineStr">
        <is>
          <t>teklif ort.</t>
        </is>
      </c>
      <c r="D11" s="7" t="inlineStr">
        <is>
          <t>TL/m2</t>
        </is>
      </c>
      <c r="E11" s="31" t="inlineStr">
        <is>
          <t>Sera 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kalemleri</t>
        </is>
      </c>
      <c r="C12" s="31" t="inlineStr">
        <is>
          <t>bütçe</t>
        </is>
      </c>
      <c r="D12" s="7" t="inlineStr">
        <is>
          <t>TL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rekolte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IFERROR(skf_capexToplam,0)</f>
        <v/>
      </c>
    </row>
    <row r="18">
      <c r="J18" s="10" t="inlineStr">
        <is>
          <t>OPEX / ISLETME yıllık (ayna)</t>
        </is>
      </c>
      <c r="K18" s="19">
        <f>IFERROR(skf_opexYillik,0)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Sera Kurulum &amp; Rekolte Fizibilitesi</t>
        </is>
      </c>
    </row>
    <row r="3">
      <c r="A3" s="30" t="inlineStr">
        <is>
          <t>Rekolte fiyat / destek kural tablosu (yıl yan yana)</t>
        </is>
      </c>
    </row>
    <row r="4">
      <c r="A4" s="4" t="inlineStr">
        <is>
          <t>Fiyat/destek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SKF-001</t>
        </is>
      </c>
      <c r="B7" s="7" t="inlineStr">
        <is>
          <t>Piyasa fiyat</t>
        </is>
      </c>
      <c r="C7" s="7" t="inlineStr">
        <is>
          <t>birim_fiyat</t>
        </is>
      </c>
      <c r="D7" s="7" t="inlineStr">
        <is>
          <t>kg × fiyat</t>
        </is>
      </c>
      <c r="E7" s="7" t="inlineStr">
        <is>
          <t>birim_fiyat_tl_kg</t>
        </is>
      </c>
      <c r="F7" s="32" t="n">
        <v>28</v>
      </c>
      <c r="G7" s="32" t="n">
        <v>30</v>
      </c>
      <c r="H7" s="32" t="n">
        <v>32</v>
      </c>
      <c r="I7" s="7" t="inlineStr">
        <is>
          <t>01.01.2025</t>
        </is>
      </c>
      <c r="J7" s="7" t="inlineStr">
        <is>
          <t>Hal / sözleşme referans</t>
        </is>
      </c>
      <c r="K7" s="23">
        <f>IF($A7="","",IFERROR(CHOOSE(MAX(1,MIN(3,IF(OR(hesapYili="",hesapYili=0),1,hesapYili-skf_yilTaban))),$F7,$G7,$H7),0))</f>
        <v/>
      </c>
    </row>
    <row r="8">
      <c r="A8" s="7" t="inlineStr">
        <is>
          <t>SKF-002</t>
        </is>
      </c>
      <c r="B8" s="7" t="inlineStr">
        <is>
          <t>Tarım destek</t>
        </is>
      </c>
      <c r="C8" s="7" t="inlineStr">
        <is>
          <t>destek_kg</t>
        </is>
      </c>
      <c r="D8" s="7" t="inlineStr">
        <is>
          <t>kg × destek</t>
        </is>
      </c>
      <c r="E8" s="7" t="inlineStr">
        <is>
          <t>destek_tl_kg</t>
        </is>
      </c>
      <c r="F8" s="32" t="n">
        <v>0.5</v>
      </c>
      <c r="G8" s="32" t="n">
        <v>0.8</v>
      </c>
      <c r="H8" s="32" t="n">
        <v>1</v>
      </c>
      <c r="I8" s="7" t="inlineStr">
        <is>
          <t>01.01.2025</t>
        </is>
      </c>
      <c r="J8" s="7" t="inlineStr">
        <is>
          <t>Destek tebliği (varsa)</t>
        </is>
      </c>
      <c r="K8" s="23">
        <f>IF($A8="","",IFERROR(CHOOSE(MAX(1,MIN(3,IF(OR(hesapYili="",hesapYili=0),1,hesapYili-skf_yilTaban))),$F8,$G8,$H8),0))</f>
        <v/>
      </c>
    </row>
    <row r="9">
      <c r="A9" s="7" t="inlineStr">
        <is>
          <t>SKF-003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IF($A9="","",IFERROR(CHOOSE(MAX(1,MIN(3,IF(OR(hesapYili="",hesapYili=0),1,hesapYili-skf_yilTaban))),$F9,$G9,$H9),0))</f>
        <v/>
      </c>
    </row>
    <row r="10">
      <c r="A10" s="7" t="inlineStr">
        <is>
          <t>SKF-004</t>
        </is>
      </c>
      <c r="B10" s="7" t="inlineStr">
        <is>
          <t>İç politika</t>
        </is>
      </c>
      <c r="C10" s="7" t="inlineStr">
        <is>
          <t>min_doluluk</t>
        </is>
      </c>
      <c r="D10" s="7" t="inlineStr">
        <is>
          <t>doluluk ≥ eşik</t>
        </is>
      </c>
      <c r="E10" s="7" t="inlineStr">
        <is>
          <t>min_doluluk</t>
        </is>
      </c>
      <c r="F10" s="34" t="n">
        <v>0.7</v>
      </c>
      <c r="G10" s="34" t="n">
        <v>0.75</v>
      </c>
      <c r="H10" s="34" t="n">
        <v>0.8</v>
      </c>
      <c r="I10" s="7" t="inlineStr">
        <is>
          <t>01.01.2025</t>
        </is>
      </c>
      <c r="J10" s="7" t="inlineStr">
        <is>
          <t>Asgari doluluk</t>
        </is>
      </c>
      <c r="K10" s="23">
        <f>IF($A10="","",IFERROR(CHOOSE(MAX(1,MIN(3,IF(OR(hesapYili="",hesapYili=0),1,hesapYili-skf_yilTaban))),$F10,$G10,$H10),0))</f>
        <v/>
      </c>
    </row>
    <row r="11">
      <c r="A11" s="7" t="inlineStr">
        <is>
          <t>SKF-005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IF($A11="","",IFERROR(CHOOSE(MAX(1,MIN(3,IF(OR(hesapYili="",hesapYili=0),1,hesapYili-skf_yilTaban))),$F11,$G11,$H11),0))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Birim fiyat (aktif yıl)</t>
        </is>
      </c>
      <c r="C15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16">
      <c r="A16" s="6" t="inlineStr">
        <is>
          <t>Destek/kg (aktif yıl)</t>
        </is>
      </c>
      <c r="C16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7">
      <c r="A17" s="7" t="inlineStr">
        <is>
          <t>Matris metni</t>
        </is>
      </c>
      <c r="C17" s="37">
        <f>IFERROR(_xlfn.TEXTJOIN(" | ",TRUE,"SKF-001=",TEXT(C15,"0.00"),"SKF-002=",TEXT(C16,"0.00"),"yıl=",IF(OR(hesapYili="",hesapYili=0),"-",hesapYili)),"-")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Sera Kurulum &amp; Rekolte Fizibilitesi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SKF-005</t>
        </is>
      </c>
      <c r="G7" s="20">
        <f>IFERROR(hesapYili,0)</f>
        <v/>
      </c>
    </row>
    <row r="8">
      <c r="A8" s="38" t="n">
        <v>2</v>
      </c>
      <c r="B8" s="39" t="inlineStr">
        <is>
          <t>Birim fiyat kural</t>
        </is>
      </c>
      <c r="C8" s="43">
        <f>IFERROR(INDEX(CHOOSE(MAX(1,MIN(3,IF(OR(hesapYili="",hesapYili=0),1,hesapYili-skf_yilTaban))),tblKurallar[deger_2025],tblKurallar[deger_2026],tblKurallar[deger_2027]),MATCH("SKF-001",tblKurallar[kural_id],0)),0)</f>
        <v/>
      </c>
      <c r="D8" s="41" t="inlineStr">
        <is>
          <t>TL/kg</t>
        </is>
      </c>
      <c r="E8" s="6" t="inlineStr">
        <is>
          <t>Piyasa/sözleşme fiyat</t>
        </is>
      </c>
      <c r="F8" s="42" t="inlineStr">
        <is>
          <t>SKF-001</t>
        </is>
      </c>
      <c r="G8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9">
      <c r="A9" s="38" t="n">
        <v>3</v>
      </c>
      <c r="B9" s="39" t="inlineStr">
        <is>
          <t>Destek/kg kural</t>
        </is>
      </c>
      <c r="C9" s="43">
        <f>IFERROR(INDEX(CHOOSE(MAX(1,MIN(3,IF(OR(hesapYili="",hesapYili=0),1,hesapYili-skf_yilTaban))),tblKurallar[deger_2025],tblKurallar[deger_2026],tblKurallar[deger_2027]),MATCH("SKF-002",tblKurallar[kural_id],0)),0)</f>
        <v/>
      </c>
      <c r="D9" s="41" t="inlineStr">
        <is>
          <t>TL/kg</t>
        </is>
      </c>
      <c r="E9" s="6" t="inlineStr">
        <is>
          <t>Tarım destek</t>
        </is>
      </c>
      <c r="F9" s="42" t="inlineStr">
        <is>
          <t>SKF-002</t>
        </is>
      </c>
      <c r="G9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IFERROR(INDEX(CHOOSE(MAX(1,MIN(3,IF(OR(hesapYili="",hesapYili=0),1,hesapYili-skf_yilTaban))),tblKurallar[deger_2025],tblKurallar[deger_2026],tblKurallar[deger_2027]),MATCH("SKF-003",tblKurallar[kural_id],0)),0)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SKF-003</t>
        </is>
      </c>
      <c r="G10" s="20">
        <f>IFERROR(INDEX(CHOOSE(MAX(1,MIN(3,IF(OR(hesapYili="",hesapYili=0),1,hesapYili-skf_yilTaban))),tblKurallar[deger_2025],tblKurallar[deger_2026],tblKurallar[deger_2027]),MATCH("SKF-003",tblKurallar[kural_id],0)),0)</f>
        <v/>
      </c>
    </row>
    <row r="11">
      <c r="A11" s="38" t="n">
        <v>5</v>
      </c>
      <c r="B11" s="39" t="inlineStr">
        <is>
          <t>Min doluluk</t>
        </is>
      </c>
      <c r="C11" s="44">
        <f>IFERROR(INDEX(CHOOSE(MAX(1,MIN(3,IF(OR(hesapYili="",hesapYili=0),1,hesapYili-skf_yilTaban))),tblKurallar[deger_2025],tblKurallar[deger_2026],tblKurallar[deger_2027]),MATCH("SKF-004",tblKurallar[kural_id],0)),0)</f>
        <v/>
      </c>
      <c r="D11" s="41" t="inlineStr">
        <is>
          <t>oran</t>
        </is>
      </c>
      <c r="E11" s="6" t="inlineStr">
        <is>
          <t>Asgari doluluk</t>
        </is>
      </c>
      <c r="F11" s="42" t="inlineStr">
        <is>
          <t>SKF-004</t>
        </is>
      </c>
      <c r="G11" s="45">
        <f>IFERROR(INDEX(CHOOSE(MAX(1,MIN(3,IF(OR(hesapYili="",hesapYili=0),1,hesapYili-skf_yilTaban))),tblKurallar[deger_2025],tblKurallar[deger_2026],tblKurallar[deger_2027]),MATCH("SKF-004",tblKurallar[kural_id],0)),0)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IFERROR(INDEX(CHOOSE(MAX(1,MIN(3,IF(OR(hesapYili="",hesapYili=0),1,hesapYili-skf_yilTaban))),tblKurallar[deger_2025],tblKurallar[deger_2026],tblKurallar[deger_2027]),MATCH("SKF-005",tblKurallar[kural_id],0)),0)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SKF-005</t>
        </is>
      </c>
      <c r="G12" s="20">
        <f>IFERROR(INDEX(CHOOSE(MAX(1,MIN(3,IF(OR(hesapYili="",hesapYili=0),1,hesapYili-skf_yilTaban))),tblKurallar[deger_2025],tblKurallar[deger_2026],tblKurallar[deger_2027]),MATCH("SKF-005",tblKurallar[kural_id],0)),0)</f>
        <v/>
      </c>
    </row>
    <row r="13">
      <c r="A13" s="38" t="n">
        <v>7</v>
      </c>
      <c r="B13" s="39" t="inlineStr">
        <is>
          <t>Sera alanı m2</t>
        </is>
      </c>
      <c r="C13" s="40">
        <f>IFERROR(GIRDI!B10,0)</f>
        <v/>
      </c>
      <c r="D13" s="41" t="inlineStr">
        <is>
          <t>m2</t>
        </is>
      </c>
      <c r="E13" s="6" t="inlineStr">
        <is>
          <t>Toplam sera alanı</t>
        </is>
      </c>
      <c r="F13" s="42" t="inlineStr">
        <is>
          <t>SKF-005</t>
        </is>
      </c>
      <c r="G13" s="20">
        <f>IFERROR(GIRDI!B10,0)</f>
        <v/>
      </c>
    </row>
    <row r="14">
      <c r="A14" s="38" t="n">
        <v>8</v>
      </c>
      <c r="B14" s="39" t="inlineStr">
        <is>
          <t>Rekolte kg/m2</t>
        </is>
      </c>
      <c r="C14" s="40">
        <f>IFERROR(GIRDI!B11,0)</f>
        <v/>
      </c>
      <c r="D14" s="41" t="inlineStr">
        <is>
          <t>kg/m2</t>
        </is>
      </c>
      <c r="E14" s="6" t="inlineStr">
        <is>
          <t>Yıllık rekolte</t>
        </is>
      </c>
      <c r="F14" s="42" t="inlineStr">
        <is>
          <t>SKF-005</t>
        </is>
      </c>
      <c r="G14" s="20">
        <f>IFERROR(GIRDI!B11,0)</f>
        <v/>
      </c>
    </row>
    <row r="15">
      <c r="A15" s="38" t="n">
        <v>9</v>
      </c>
      <c r="B15" s="39" t="inlineStr">
        <is>
          <t>Fire oranı</t>
        </is>
      </c>
      <c r="C15" s="44">
        <f>IFERROR(GIRDI!B12,0)</f>
        <v/>
      </c>
      <c r="D15" s="41" t="inlineStr">
        <is>
          <t>oran</t>
        </is>
      </c>
      <c r="E15" s="6" t="inlineStr">
        <is>
          <t>Hasat fire</t>
        </is>
      </c>
      <c r="F15" s="42" t="inlineStr">
        <is>
          <t>SKF-005</t>
        </is>
      </c>
      <c r="G15" s="45">
        <f>IFERROR(GIRDI!B12,0)</f>
        <v/>
      </c>
    </row>
    <row r="16">
      <c r="A16" s="38" t="n">
        <v>10</v>
      </c>
      <c r="B16" s="39" t="inlineStr">
        <is>
          <t>Doluluk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Üretim alanı payı</t>
        </is>
      </c>
      <c r="F16" s="42" t="inlineStr">
        <is>
          <t>SKF-004</t>
        </is>
      </c>
      <c r="G16" s="45">
        <f>IFERROR(GIRDI!B13,0)</f>
        <v/>
      </c>
    </row>
    <row r="17">
      <c r="A17" s="38" t="n">
        <v>11</v>
      </c>
      <c r="B17" s="39" t="inlineStr">
        <is>
          <t>Birim fiyat giriş</t>
        </is>
      </c>
      <c r="C17" s="43">
        <f>IFERROR(GIRDI!B14,0)</f>
        <v/>
      </c>
      <c r="D17" s="41" t="inlineStr">
        <is>
          <t>TL/kg</t>
        </is>
      </c>
      <c r="E17" s="6" t="inlineStr">
        <is>
          <t>Satış fiyatı</t>
        </is>
      </c>
      <c r="F17" s="42" t="inlineStr">
        <is>
          <t>SKF-001</t>
        </is>
      </c>
      <c r="G17" s="36">
        <f>IFERROR(GIRDI!B14,0)</f>
        <v/>
      </c>
    </row>
    <row r="18">
      <c r="A18" s="38" t="n">
        <v>12</v>
      </c>
      <c r="B18" s="39" t="inlineStr">
        <is>
          <t>Enerji OPEX</t>
        </is>
      </c>
      <c r="C18" s="46">
        <f>IFERROR(GIRDI!B15,0)</f>
        <v/>
      </c>
      <c r="D18" s="41" t="inlineStr">
        <is>
          <t>TL</t>
        </is>
      </c>
      <c r="E18" s="6" t="inlineStr">
        <is>
          <t>Enerji işletme</t>
        </is>
      </c>
      <c r="F18" s="42" t="inlineStr">
        <is>
          <t>SKF-005</t>
        </is>
      </c>
      <c r="G18" s="19">
        <f>IFERROR(GIRDI!B15,0)</f>
        <v/>
      </c>
    </row>
    <row r="19">
      <c r="A19" s="38" t="n">
        <v>13</v>
      </c>
      <c r="B19" s="39" t="inlineStr">
        <is>
          <t>İşçilik OPEX</t>
        </is>
      </c>
      <c r="C19" s="46">
        <f>IFERROR(GIRDI!B16,0)</f>
        <v/>
      </c>
      <c r="D19" s="41" t="inlineStr">
        <is>
          <t>TL</t>
        </is>
      </c>
      <c r="E19" s="6" t="inlineStr">
        <is>
          <t>İşçilik işletme</t>
        </is>
      </c>
      <c r="F19" s="42" t="inlineStr">
        <is>
          <t>SKF-005</t>
        </is>
      </c>
      <c r="G19" s="19">
        <f>IFERROR(GIRDI!B16,0)</f>
        <v/>
      </c>
    </row>
    <row r="20">
      <c r="A20" s="38" t="n">
        <v>14</v>
      </c>
      <c r="B20" s="39" t="inlineStr">
        <is>
          <t>CAPEX birim m2</t>
        </is>
      </c>
      <c r="C20" s="46">
        <f>IFERROR(GIRDI!B17,0)</f>
        <v/>
      </c>
      <c r="D20" s="41" t="inlineStr">
        <is>
          <t>TL/m2</t>
        </is>
      </c>
      <c r="E20" s="6" t="inlineStr">
        <is>
          <t>Birim yatırım</t>
        </is>
      </c>
      <c r="F20" s="42" t="inlineStr">
        <is>
          <t>SKF-005</t>
        </is>
      </c>
      <c r="G20" s="19">
        <f>IFERROR(GIRDI!B17,0)</f>
        <v/>
      </c>
    </row>
    <row r="21">
      <c r="A21" s="38" t="n">
        <v>15</v>
      </c>
      <c r="B21" s="39" t="inlineStr">
        <is>
          <t>Diğer 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Fide/gübre/bakım</t>
        </is>
      </c>
      <c r="F21" s="42" t="inlineStr">
        <is>
          <t>SKF-005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SKF-005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SKF-005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SKF-005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SKF-005</t>
        </is>
      </c>
      <c r="G25" s="45">
        <f>IFERROR(GIRDI!B22,0)</f>
        <v/>
      </c>
    </row>
    <row r="26">
      <c r="A26" s="38" t="n">
        <v>20</v>
      </c>
      <c r="B26" s="39" t="inlineStr">
        <is>
          <t>Brüt rekolte kg</t>
        </is>
      </c>
      <c r="C26" s="40">
        <f>IFERROR(ROUND(G13*G14*G16,MAX(0,MIN(skf_yuvarMax,IFERROR(N(G12),0)))),0)</f>
        <v/>
      </c>
      <c r="D26" s="41" t="inlineStr">
        <is>
          <t>kg</t>
        </is>
      </c>
      <c r="E26" s="6" t="inlineStr">
        <is>
          <t>alan×rekolte×doluluk</t>
        </is>
      </c>
      <c r="F26" s="42" t="inlineStr">
        <is>
          <t>SKF-005</t>
        </is>
      </c>
      <c r="G26" s="20">
        <f>IFERROR(ROUND(G13*G14*G16,MAX(0,MIN(skf_yuvarMax,IFERROR(N(G12),0)))),0)</f>
        <v/>
      </c>
    </row>
    <row r="27">
      <c r="A27" s="38" t="n">
        <v>21</v>
      </c>
      <c r="B27" s="39" t="inlineStr">
        <is>
          <t>Net rekolte kg</t>
        </is>
      </c>
      <c r="C27" s="40">
        <f>IFERROR(ROUND(G26*(skf_bazCarpan-G15),MAX(0,MIN(skf_yuvarMax,IFERROR(N(G12),0)))),0)</f>
        <v/>
      </c>
      <c r="D27" s="41" t="inlineStr">
        <is>
          <t>kg</t>
        </is>
      </c>
      <c r="E27" s="6" t="inlineStr">
        <is>
          <t>brüt×(1−fire)</t>
        </is>
      </c>
      <c r="F27" s="42" t="inlineStr">
        <is>
          <t>SKF-005</t>
        </is>
      </c>
      <c r="G27" s="20">
        <f>IFERROR(ROUND(G26*(skf_bazCarpan-G15),MAX(0,MIN(skf_yuvarMax,IFERROR(N(G12),0)))),0)</f>
        <v/>
      </c>
    </row>
    <row r="28">
      <c r="A28" s="38" t="n">
        <v>22</v>
      </c>
      <c r="B28" s="39" t="inlineStr">
        <is>
          <t>Satış geliri</t>
        </is>
      </c>
      <c r="C28" s="46">
        <f>IFERROR(ROUND(G27*G17,MAX(0,MIN(skf_yuvarMax,IFERROR(N(G12),0)))),0)</f>
        <v/>
      </c>
      <c r="D28" s="41" t="inlineStr">
        <is>
          <t>TL</t>
        </is>
      </c>
      <c r="E28" s="6" t="inlineStr">
        <is>
          <t>net×fiyat</t>
        </is>
      </c>
      <c r="F28" s="42" t="inlineStr">
        <is>
          <t>SKF-001</t>
        </is>
      </c>
      <c r="G28" s="19">
        <f>IFERROR(ROUND(G27*G17,MAX(0,MIN(skf_yuvarMax,IFERROR(N(G12),0)))),0)</f>
        <v/>
      </c>
    </row>
    <row r="29">
      <c r="A29" s="38" t="n">
        <v>23</v>
      </c>
      <c r="B29" s="39" t="inlineStr">
        <is>
          <t>Destek geliri</t>
        </is>
      </c>
      <c r="C29" s="46">
        <f>IFERROR(ROUND(G27*G9,MAX(0,MIN(skf_yuvarMax,IFERROR(N(G12),0)))),0)</f>
        <v/>
      </c>
      <c r="D29" s="41" t="inlineStr">
        <is>
          <t>TL</t>
        </is>
      </c>
      <c r="E29" s="6" t="inlineStr">
        <is>
          <t>net×destek</t>
        </is>
      </c>
      <c r="F29" s="42" t="inlineStr">
        <is>
          <t>SKF-002</t>
        </is>
      </c>
      <c r="G29" s="19">
        <f>IFERROR(ROUND(G27*G9,MAX(0,MIN(skf_yuvarMax,IFERROR(N(G12),0)))),0)</f>
        <v/>
      </c>
    </row>
    <row r="30">
      <c r="A30" s="38" t="n">
        <v>24</v>
      </c>
      <c r="B30" s="39" t="inlineStr">
        <is>
          <t>Yıllık gelir baz</t>
        </is>
      </c>
      <c r="C30" s="46">
        <f>IFERROR(G28+G29,0)</f>
        <v/>
      </c>
      <c r="D30" s="41" t="inlineStr">
        <is>
          <t>TL</t>
        </is>
      </c>
      <c r="E30" s="6" t="inlineStr">
        <is>
          <t>Satış+destek</t>
        </is>
      </c>
      <c r="F30" s="42" t="inlineStr">
        <is>
          <t>SKF-001</t>
        </is>
      </c>
      <c r="G30" s="19">
        <f>IFERROR(G28+G29,0)</f>
        <v/>
      </c>
    </row>
    <row r="31">
      <c r="A31" s="38" t="n">
        <v>25</v>
      </c>
      <c r="B31" s="39" t="inlineStr">
        <is>
          <t>CAPEX / YATIRIM</t>
        </is>
      </c>
      <c r="C31" s="46">
        <f>IFERROR(ROUND(G13*G20,MAX(0,MIN(skf_yuvarMax,IFERROR(N(G12),0)))),0)</f>
        <v/>
      </c>
      <c r="D31" s="41" t="inlineStr">
        <is>
          <t>TL</t>
        </is>
      </c>
      <c r="E31" s="6" t="inlineStr">
        <is>
          <t>alan×birim CAPEX</t>
        </is>
      </c>
      <c r="F31" s="42" t="inlineStr">
        <is>
          <t>SKF-005</t>
        </is>
      </c>
      <c r="G31" s="19">
        <f>IFERROR(ROUND(G13*G20,MAX(0,MIN(skf_yuvarMax,IFERROR(N(G12),0)))),0)</f>
        <v/>
      </c>
    </row>
    <row r="32">
      <c r="A32" s="38" t="n">
        <v>26</v>
      </c>
      <c r="B32" s="39" t="inlineStr">
        <is>
          <t>Diğer OPEX</t>
        </is>
      </c>
      <c r="C32" s="46">
        <f>IFERROR(ROUND(G31*G21,MAX(0,MIN(skf_yuvarMax,IFERROR(N(G12),0)))),0)</f>
        <v/>
      </c>
      <c r="D32" s="41" t="inlineStr">
        <is>
          <t>TL</t>
        </is>
      </c>
      <c r="E32" s="6" t="inlineStr">
        <is>
          <t>CAPEX×oran</t>
        </is>
      </c>
      <c r="F32" s="42" t="inlineStr">
        <is>
          <t>SKF-005</t>
        </is>
      </c>
      <c r="G32" s="19">
        <f>IFERROR(ROUND(G31*G21,MAX(0,MIN(skf_yuvarMax,IFERROR(N(G12),0)))),0)</f>
        <v/>
      </c>
    </row>
    <row r="33">
      <c r="A33" s="38" t="n">
        <v>27</v>
      </c>
      <c r="B33" s="39" t="inlineStr">
        <is>
          <t>OPEX / ISLETME yıllık</t>
        </is>
      </c>
      <c r="C33" s="46">
        <f>IFERROR(G18+G19+G32,0)</f>
        <v/>
      </c>
      <c r="D33" s="41" t="inlineStr">
        <is>
          <t>TL</t>
        </is>
      </c>
      <c r="E33" s="6" t="inlineStr">
        <is>
          <t>enerji+işçilik+diğer</t>
        </is>
      </c>
      <c r="F33" s="42" t="inlineStr">
        <is>
          <t>SKF-005</t>
        </is>
      </c>
      <c r="G33" s="19">
        <f>IFERROR(G18+G19+G32,0)</f>
        <v/>
      </c>
    </row>
    <row r="34">
      <c r="A34" s="38" t="n">
        <v>28</v>
      </c>
      <c r="B34" s="39" t="inlineStr">
        <is>
          <t>Net nakit Y1</t>
        </is>
      </c>
      <c r="C34" s="46">
        <f>IFERROR(G30-G33,0)</f>
        <v/>
      </c>
      <c r="D34" s="41" t="inlineStr">
        <is>
          <t>TL</t>
        </is>
      </c>
      <c r="E34" s="6" t="inlineStr">
        <is>
          <t>Gelir−OPEX</t>
        </is>
      </c>
      <c r="F34" s="42" t="inlineStr">
        <is>
          <t>SKF-005</t>
        </is>
      </c>
      <c r="G34" s="19">
        <f>IFERROR(G30-G33,0)</f>
        <v/>
      </c>
    </row>
    <row r="35">
      <c r="A35" s="38" t="n">
        <v>29</v>
      </c>
      <c r="B35" s="39" t="inlineStr">
        <is>
          <t>Geri ödeme yılı</t>
        </is>
      </c>
      <c r="C35" s="40">
        <f>IFERROR(IF(OR(G34&lt;=0,G31&lt;=0),skf_geriOdemeSonsuz,ROUND(G31/G34,1)),0)</f>
        <v/>
      </c>
      <c r="D35" s="41" t="inlineStr">
        <is>
          <t>yıl</t>
        </is>
      </c>
      <c r="E35" s="6" t="inlineStr">
        <is>
          <t>CAPEX/net</t>
        </is>
      </c>
      <c r="F35" s="42" t="inlineStr">
        <is>
          <t>SKF-003</t>
        </is>
      </c>
      <c r="G35" s="20">
        <f>IFERROR(IF(OR(G34&lt;=0,G31&lt;=0),skf_geriOdemeSonsuz,ROUND(G31/G34,1)),0)</f>
        <v/>
      </c>
    </row>
    <row r="36">
      <c r="A36" s="38" t="n">
        <v>30</v>
      </c>
      <c r="B36" s="39" t="inlineStr">
        <is>
          <t>NPV (baz)</t>
        </is>
      </c>
      <c r="C36" s="46">
        <f>IFERROR(IF(OR(G23&lt;=0,G22=""),0,IF(G22=0,ROUND(G34*G23-G31,MAX(0,MIN(skf_yuvarMax,IFERROR(N(G12),0)))),ROUND(G34*(1-POWER(1+G22,-G23))/G22-G31,MAX(0,MIN(skf_yuvarMax,IFERROR(N(G12),0)))))),0)</f>
        <v/>
      </c>
      <c r="D36" s="41" t="inlineStr">
        <is>
          <t>TL</t>
        </is>
      </c>
      <c r="E36" s="6" t="inlineStr">
        <is>
          <t>Anüite NPV − CAPEX</t>
        </is>
      </c>
      <c r="F36" s="42" t="inlineStr">
        <is>
          <t>SKF-005</t>
        </is>
      </c>
      <c r="G36" s="19">
        <f>IFERROR(IF(OR(G23&lt;=0,G22=""),0,IF(G22=0,ROUND(G34*G23-G31,MAX(0,MIN(skf_yuvarMax,IFERROR(N(G12),0)))),ROUND(G34*(1-POWER(1+G22,-G23))/G22-G31,MAX(0,MIN(skf_yuvarMax,IFERROR(N(G12),0)))))),0)</f>
        <v/>
      </c>
    </row>
    <row r="37">
      <c r="A37" s="38" t="n">
        <v>31</v>
      </c>
      <c r="B37" s="39" t="inlineStr">
        <is>
          <t>IRR yaklaşımı</t>
        </is>
      </c>
      <c r="C37" s="44">
        <f>IFERROR(IF(OR(G31&lt;=0,G34&lt;=0,G23&lt;=0),0,ROUND(G34/G31-skf_bazCarpan/G23,4)),0)</f>
        <v/>
      </c>
      <c r="D37" s="41" t="inlineStr">
        <is>
          <t>oran</t>
        </is>
      </c>
      <c r="E37" s="6" t="inlineStr">
        <is>
          <t>Kabaca IRR</t>
        </is>
      </c>
      <c r="F37" s="42" t="inlineStr">
        <is>
          <t>SKF-005</t>
        </is>
      </c>
      <c r="G37" s="45">
        <f>IFERROR(IF(OR(G31&lt;=0,G34&lt;=0,G23&lt;=0),0,ROUND(G34/G31-skf_bazCarpan/G23,4)),0)</f>
        <v/>
      </c>
    </row>
    <row r="38">
      <c r="A38" s="38" t="n">
        <v>32</v>
      </c>
      <c r="B38" s="39" t="inlineStr">
        <is>
          <t>Karar kodu</t>
        </is>
      </c>
      <c r="C38" s="37">
        <f>IFERROR(IF(COUNTA(tblGirdi[Alan Anahtarı])=0,"VERI_YOK",IF(OR(G31&lt;=0,G13&lt;=0,G30&lt;=0),"YAPMA",IF(OR(G36&lt;0,G35&gt;G10*skf_dikkatCarpan),"YAPMA",IF(OR(G35&gt;G10,G36&lt;skf_npvDikkat),"DIKKAT","YAPILIR")))),"")</f>
        <v/>
      </c>
      <c r="D38" s="41" t="inlineStr">
        <is>
          <t>kod</t>
        </is>
      </c>
      <c r="E38" s="6" t="inlineStr">
        <is>
          <t>Karar kodu</t>
        </is>
      </c>
      <c r="F38" s="42" t="inlineStr">
        <is>
          <t>SKF-003</t>
        </is>
      </c>
      <c r="G38" s="47">
        <f>IFERROR(IF(COUNTA(tblGirdi[Alan Anahtarı])=0,"VERI_YOK",IF(OR(G31&lt;=0,G13&lt;=0,G30&lt;=0),"YAPMA",IF(OR(G36&lt;0,G35&gt;G10*skf_dikkatCarpan),"YAPMA",IF(OR(G35&gt;G10,G36&lt;skf_npvDikkat),"DIKKAT","YAPILIR")))),"")</f>
        <v/>
      </c>
    </row>
    <row r="39">
      <c r="A39" s="38" t="n">
        <v>33</v>
      </c>
      <c r="B39" s="39" t="inlineStr">
        <is>
          <t>Karar metni</t>
        </is>
      </c>
      <c r="C39" s="37">
        <f>IFERROR(IF(G38="VERI_YOK","VERİ YOK",IF(G38="YAPILIR","YATIRIM YAPILIR",IF(G38="DIKKAT","DİKKAT","YATIRIM YAPMA"))),"")</f>
        <v/>
      </c>
      <c r="D39" s="41" t="inlineStr">
        <is>
          <t>metin</t>
        </is>
      </c>
      <c r="E39" s="6" t="inlineStr">
        <is>
          <t>Kullanıcıya karar</t>
        </is>
      </c>
      <c r="F39" s="42" t="inlineStr">
        <is>
          <t>SKF-003</t>
        </is>
      </c>
      <c r="G39" s="47">
        <f>IFERROR(IF(G38="VERI_YOK","VERİ YOK",IF(G38="YAPILIR","YATIRIM YAPILIR",IF(G38="DIKKAT","DİKKAT","YATIRIM YAPMA"))),"")</f>
        <v/>
      </c>
    </row>
    <row r="40">
      <c r="A40" s="38" t="n">
        <v>34</v>
      </c>
      <c r="B40" s="39" t="inlineStr">
        <is>
          <t>Gerekçe</t>
        </is>
      </c>
      <c r="C40" s="3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  <c r="D40" s="41" t="inlineStr">
        <is>
          <t>metin</t>
        </is>
      </c>
      <c r="E40" s="6" t="inlineStr">
        <is>
          <t>Gerekçe cümlesi</t>
        </is>
      </c>
      <c r="F40" s="42" t="inlineStr">
        <is>
          <t>SKF-003</t>
        </is>
      </c>
      <c r="G40" s="4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</row>
    <row r="41">
      <c r="A41" s="38" t="n">
        <v>35</v>
      </c>
      <c r="B41" s="39" t="inlineStr">
        <is>
          <t>Güven skoru</t>
        </is>
      </c>
      <c r="C41" s="40">
        <f>IFERROR(ROUND(IF(OR(COUNTA(GIRDI!B6:B22)=0,skf_girisBeklenen=0),0,COUNTA(GIRDI!B6:B22)/skf_girisBeklenen*100),0),0)</f>
        <v/>
      </c>
      <c r="D41" s="41" t="inlineStr">
        <is>
          <t>puan</t>
        </is>
      </c>
      <c r="E41" s="6" t="inlineStr">
        <is>
          <t>Giriş bütünlüğü</t>
        </is>
      </c>
      <c r="F41" s="42" t="inlineStr">
        <is>
          <t>SKF-005</t>
        </is>
      </c>
      <c r="G41" s="20">
        <f>IFERROR(ROUND(IF(OR(COUNTA(GIRDI!B6:B22)=0,skf_girisBeklenen=0),0,COUNTA(GIRDI!B6:B22)/skf_girisBeklenen*100),0),0)</f>
        <v/>
      </c>
    </row>
    <row r="42">
      <c r="A42" s="38" t="n">
        <v>36</v>
      </c>
      <c r="B42" s="39" t="inlineStr">
        <is>
          <t>Risk skoru</t>
        </is>
      </c>
      <c r="C42" s="40">
        <f>IFERROR(IF(G38="VERI_YOK",0,IF(G38="YAPILIR",skf_riskDusuk,IF(G38="DIKKAT",skf_riskOrta,skf_riskYuksek))),0)</f>
        <v/>
      </c>
      <c r="D42" s="41" t="inlineStr">
        <is>
          <t>puan</t>
        </is>
      </c>
      <c r="E42" s="6" t="inlineStr">
        <is>
          <t>Yatırım riski</t>
        </is>
      </c>
      <c r="F42" s="42" t="inlineStr">
        <is>
          <t>SKF-005</t>
        </is>
      </c>
      <c r="G42" s="20">
        <f>IFERROR(IF(G38="VERI_YOK",0,IF(G38="YAPILIR",skf_riskDusuk,IF(G38="DIKKAT",skf_riskOrta,skf_riskYuksek))),0)</f>
        <v/>
      </c>
    </row>
    <row r="43">
      <c r="A43" s="38" t="n">
        <v>37</v>
      </c>
      <c r="B43" s="39" t="inlineStr">
        <is>
          <t>İyimser rekolte kg</t>
        </is>
      </c>
      <c r="C43" s="40">
        <f>IFERROR(ROUND(G27*skf_senaryoIyi,MAX(0,MIN(skf_yuvarMax,IFERROR(N(G12),0)))),0)</f>
        <v/>
      </c>
      <c r="D43" s="41" t="inlineStr">
        <is>
          <t>kg</t>
        </is>
      </c>
      <c r="E43" s="6" t="inlineStr">
        <is>
          <t>İyimser net rekolte</t>
        </is>
      </c>
      <c r="F43" s="42" t="inlineStr">
        <is>
          <t>SKF-005</t>
        </is>
      </c>
      <c r="G43" s="20">
        <f>IFERROR(ROUND(G27*skf_senaryoIyi,MAX(0,MIN(skf_yuvarMax,IFERROR(N(G12),0)))),0)</f>
        <v/>
      </c>
    </row>
    <row r="44">
      <c r="A44" s="38" t="n">
        <v>38</v>
      </c>
      <c r="B44" s="39" t="inlineStr">
        <is>
          <t>Kötümser rekolte kg</t>
        </is>
      </c>
      <c r="C44" s="40">
        <f>IFERROR(ROUND(G27*skf_senaryoKotu,MAX(0,MIN(skf_yuvarMax,IFERROR(N(G12),0)))),0)</f>
        <v/>
      </c>
      <c r="D44" s="41" t="inlineStr">
        <is>
          <t>kg</t>
        </is>
      </c>
      <c r="E44" s="6" t="inlineStr">
        <is>
          <t>Kötümser net rekolte</t>
        </is>
      </c>
      <c r="F44" s="42" t="inlineStr">
        <is>
          <t>SKF-005</t>
        </is>
      </c>
      <c r="G44" s="20">
        <f>IFERROR(ROUND(G27*skf_senaryoKotu,MAX(0,MIN(skf_yuvarMax,IFERROR(N(G12),0)))),0)</f>
        <v/>
      </c>
    </row>
    <row r="45">
      <c r="A45" s="38" t="n">
        <v>39</v>
      </c>
      <c r="B45" s="39" t="inlineStr">
        <is>
          <t>İyimser gelir</t>
        </is>
      </c>
      <c r="C45" s="46">
        <f>IFERROR(ROUND(G43*(G17+G9),MAX(0,MIN(skf_yuvarMax,IFERROR(N(G12),0)))),0)</f>
        <v/>
      </c>
      <c r="D45" s="41" t="inlineStr">
        <is>
          <t>TL</t>
        </is>
      </c>
      <c r="E45" s="6" t="inlineStr">
        <is>
          <t>İyimser gelir</t>
        </is>
      </c>
      <c r="F45" s="42" t="inlineStr">
        <is>
          <t>SKF-001</t>
        </is>
      </c>
      <c r="G45" s="19">
        <f>IFERROR(ROUND(G43*(G17+G9),MAX(0,MIN(skf_yuvarMax,IFERROR(N(G12),0)))),0)</f>
        <v/>
      </c>
    </row>
    <row r="46">
      <c r="A46" s="38" t="n">
        <v>40</v>
      </c>
      <c r="B46" s="39" t="inlineStr">
        <is>
          <t>Kötümser gelir</t>
        </is>
      </c>
      <c r="C46" s="46">
        <f>IFERROR(ROUND(G44*(G17*skf_fiyatKotu+G9),MAX(0,MIN(skf_yuvarMax,IFERROR(N(G12),0)))),0)</f>
        <v/>
      </c>
      <c r="D46" s="41" t="inlineStr">
        <is>
          <t>TL</t>
        </is>
      </c>
      <c r="E46" s="6" t="inlineStr">
        <is>
          <t>Kötümser gelir</t>
        </is>
      </c>
      <c r="F46" s="42" t="inlineStr">
        <is>
          <t>SKF-001</t>
        </is>
      </c>
      <c r="G46" s="19">
        <f>IFERROR(ROUND(G44*(G17*skf_fiyatKotu+G9),MAX(0,MIN(skf_yuvarMax,IFERROR(N(G12),0)))),0)</f>
        <v/>
      </c>
    </row>
    <row r="47">
      <c r="A47" s="38" t="n">
        <v>41</v>
      </c>
      <c r="B47" s="39" t="inlineStr">
        <is>
          <t>İyimser NPV</t>
        </is>
      </c>
      <c r="C47" s="46">
        <f>IFERROR(IF(G22=0,ROUND((G45-G33)*G23-G31*skf_capexIyi,MAX(0,MIN(skf_yuvarMax,IFERROR(N(G12),0)))),ROUND((G45-G33)*(1-POWER(1+G22,-G23))/G22-G31*skf_capexIyi,MAX(0,MIN(skf_yuvarMax,IFERROR(N(G12),0))))),0)</f>
        <v/>
      </c>
      <c r="D47" s="41" t="inlineStr">
        <is>
          <t>TL</t>
        </is>
      </c>
      <c r="E47" s="6" t="inlineStr">
        <is>
          <t>İyimser NPV</t>
        </is>
      </c>
      <c r="F47" s="42" t="inlineStr">
        <is>
          <t>SKF-005</t>
        </is>
      </c>
      <c r="G47" s="19">
        <f>IFERROR(IF(G22=0,ROUND((G45-G33)*G23-G31*skf_capexIyi,MAX(0,MIN(skf_yuvarMax,IFERROR(N(G12),0)))),ROUND((G45-G33)*(1-POWER(1+G22,-G23))/G22-G31*skf_capexIyi,MAX(0,MIN(skf_yuvarMax,IFERROR(N(G12),0))))),0)</f>
        <v/>
      </c>
    </row>
    <row r="48">
      <c r="A48" s="38" t="n">
        <v>42</v>
      </c>
      <c r="B48" s="39" t="inlineStr">
        <is>
          <t>Kötümser NPV</t>
        </is>
      </c>
      <c r="C48" s="46">
        <f>IFERROR(IF(G22=0,ROUND((G46-G33*skf_opexKotu)*G23-G31*skf_capexKotu,MAX(0,MIN(skf_yuvarMax,IFERROR(N(G12),0)))),ROUND((G46-G33*skf_opexKotu)*(1-POWER(1+G22,-G23))/G22-G31*skf_capexKotu,MAX(0,MIN(skf_yuvarMax,IFERROR(N(G12),0))))),0)</f>
        <v/>
      </c>
      <c r="D48" s="41" t="inlineStr">
        <is>
          <t>TL</t>
        </is>
      </c>
      <c r="E48" s="6" t="inlineStr">
        <is>
          <t>Kötümser NPV</t>
        </is>
      </c>
      <c r="F48" s="42" t="inlineStr">
        <is>
          <t>SKF-005</t>
        </is>
      </c>
      <c r="G48" s="19">
        <f>IFERROR(IF(G22=0,ROUND((G46-G33*skf_opexKotu)*G23-G31*skf_capexKotu,MAX(0,MIN(skf_yuvarMax,IFERROR(N(G12),0)))),ROUND((G46-G33*skf_opexKotu)*(1-POWER(1+G22,-G23))/G22-G31*skf_capexKotu,MAX(0,MIN(skf_yuvarMax,IFERROR(N(G12),0))))),0)</f>
        <v/>
      </c>
    </row>
    <row r="49">
      <c r="A49" s="38" t="n">
        <v>43</v>
      </c>
      <c r="B49" s="39" t="inlineStr">
        <is>
          <t>Kötümser karar</t>
        </is>
      </c>
      <c r="C49" s="37">
        <f>IFERROR(IF(COUNTA(tblGirdi[Alan Anahtarı])=0,"VERİ YOK",IF(G48&lt;0,"YATIRIM YAPMA","DİKKAT")),"")</f>
        <v/>
      </c>
      <c r="D49" s="41" t="inlineStr">
        <is>
          <t>metin</t>
        </is>
      </c>
      <c r="E49" s="6" t="inlineStr">
        <is>
          <t>Kötümser YATIRIM YAPMA yolu</t>
        </is>
      </c>
      <c r="F49" s="42" t="inlineStr">
        <is>
          <t>SKF-003</t>
        </is>
      </c>
      <c r="G49" s="47">
        <f>IFERROR(IF(COUNTA(tblGirdi[Alan Anahtarı])=0,"VERİ YOK",IF(G48&lt;0,"YATIRIM YAPMA","DİKKAT")),"")</f>
        <v/>
      </c>
    </row>
    <row r="50">
      <c r="A50" s="38" t="n">
        <v>44</v>
      </c>
      <c r="B50" s="39" t="inlineStr">
        <is>
          <t>Tornado: fiyat etkisi</t>
        </is>
      </c>
      <c r="C50" s="46">
        <f>IFERROR(ABS(ROUND(G30*skf_tornadoFiyat-G30,MAX(0,MIN(skf_yuvarMax,IFERROR(N(G12),0))))),0)</f>
        <v/>
      </c>
      <c r="D50" s="41" t="inlineStr">
        <is>
          <t>TL</t>
        </is>
      </c>
      <c r="E50" s="6" t="inlineStr">
        <is>
          <t>Fiyat ± etki</t>
        </is>
      </c>
      <c r="F50" s="42" t="inlineStr">
        <is>
          <t>SKF-001</t>
        </is>
      </c>
      <c r="G50" s="19">
        <f>IFERROR(ABS(ROUND(G30*skf_tornadoFiyat-G30,MAX(0,MIN(skf_yuvarMax,IFERROR(N(G12),0))))),0)</f>
        <v/>
      </c>
    </row>
    <row r="51">
      <c r="A51" s="38" t="n">
        <v>45</v>
      </c>
      <c r="B51" s="39" t="inlineStr">
        <is>
          <t>Tornado: rekolte etkisi</t>
        </is>
      </c>
      <c r="C51" s="46">
        <f>IFERROR(ABS(ROUND(G30*skf_tornadoRekolte-G30,MAX(0,MIN(skf_yuvarMax,IFERROR(N(G12),0))))),0)</f>
        <v/>
      </c>
      <c r="D51" s="41" t="inlineStr">
        <is>
          <t>TL</t>
        </is>
      </c>
      <c r="E51" s="6" t="inlineStr">
        <is>
          <t>Rekolte ± etki</t>
        </is>
      </c>
      <c r="F51" s="42" t="inlineStr">
        <is>
          <t>SKF-005</t>
        </is>
      </c>
      <c r="G51" s="19">
        <f>IFERROR(ABS(ROUND(G30*skf_tornadoRekolte-G30,MAX(0,MIN(skf_yuvarMax,IFERROR(N(G12),0))))),0)</f>
        <v/>
      </c>
    </row>
    <row r="52">
      <c r="A52" s="38" t="n">
        <v>46</v>
      </c>
      <c r="B52" s="39" t="inlineStr">
        <is>
          <t>Tornado: CAPEX etkisi</t>
        </is>
      </c>
      <c r="C52" s="46">
        <f>IFERROR(ABS(ROUND(G31*skf_tornadoCapex-G31,MAX(0,MIN(skf_yuvarMax,IFERROR(N(G12),0))))),0)</f>
        <v/>
      </c>
      <c r="D52" s="41" t="inlineStr">
        <is>
          <t>TL</t>
        </is>
      </c>
      <c r="E52" s="6" t="inlineStr">
        <is>
          <t>CAPEX ± etki</t>
        </is>
      </c>
      <c r="F52" s="42" t="inlineStr">
        <is>
          <t>SKF-005</t>
        </is>
      </c>
      <c r="G52" s="19">
        <f>IFERROR(ABS(ROUND(G31*skf_tornadoCapex-G31,MAX(0,MIN(skf_yuvarMax,IFERROR(N(G12),0))))),0)</f>
        <v/>
      </c>
    </row>
    <row r="53">
      <c r="A53" s="38" t="n">
        <v>47</v>
      </c>
      <c r="B53" s="39" t="inlineStr">
        <is>
          <t>Tornado: OPEX etkisi</t>
        </is>
      </c>
      <c r="C53" s="46">
        <f>IFERROR(ABS(ROUND(G33*skf_tornadoOpex-G33,MAX(0,MIN(skf_yuvarMax,IFERROR(N(G12),0))))),0)</f>
        <v/>
      </c>
      <c r="D53" s="41" t="inlineStr">
        <is>
          <t>TL</t>
        </is>
      </c>
      <c r="E53" s="6" t="inlineStr">
        <is>
          <t>OPEX ± etki</t>
        </is>
      </c>
      <c r="F53" s="42" t="inlineStr">
        <is>
          <t>SKF-005</t>
        </is>
      </c>
      <c r="G53" s="19">
        <f>IFERROR(ABS(ROUND(G33*skf_tornadoOpex-G33,MAX(0,MIN(skf_yuvarMax,IFERROR(N(G12),0))))),0)</f>
        <v/>
      </c>
    </row>
    <row r="54">
      <c r="A54" s="38" t="n">
        <v>48</v>
      </c>
      <c r="B54" s="39" t="inlineStr">
        <is>
          <t>Tornado: WACC etkisi</t>
        </is>
      </c>
      <c r="C54" s="46">
        <f>IFERROR(ABS(ROUND(G36*skf_tornadoWacc-G36,MAX(0,MIN(skf_yuvarMax,IFERROR(N(G12),0))))),0)</f>
        <v/>
      </c>
      <c r="D54" s="41" t="inlineStr">
        <is>
          <t>TL</t>
        </is>
      </c>
      <c r="E54" s="6" t="inlineStr">
        <is>
          <t>WACC ± etki</t>
        </is>
      </c>
      <c r="F54" s="42" t="inlineStr">
        <is>
          <t>SKF-005</t>
        </is>
      </c>
      <c r="G54" s="19">
        <f>IFERROR(ABS(ROUND(G36*skf_tornadoWacc-G36,MAX(0,MIN(skf_yuvarMax,IFERROR(N(G12),0))))),0)</f>
        <v/>
      </c>
    </row>
    <row r="55">
      <c r="A55" s="38" t="n">
        <v>49</v>
      </c>
      <c r="B55" s="39" t="inlineStr">
        <is>
          <t>Doluluk uyumu</t>
        </is>
      </c>
      <c r="C55" s="44">
        <f>IFERROR(IF(G11=0,0,G16/G11),0)</f>
        <v/>
      </c>
      <c r="D55" s="41" t="inlineStr">
        <is>
          <t>oran</t>
        </is>
      </c>
      <c r="E55" s="6" t="inlineStr">
        <is>
          <t>doluluk/min</t>
        </is>
      </c>
      <c r="F55" s="42" t="inlineStr">
        <is>
          <t>SKF-004</t>
        </is>
      </c>
      <c r="G55" s="45">
        <f>IFERROR(IF(G11=0,0,G16/G11),0)</f>
        <v/>
      </c>
    </row>
    <row r="56">
      <c r="A56" s="38" t="n">
        <v>50</v>
      </c>
      <c r="B56" s="39" t="inlineStr">
        <is>
          <t>Madde atıf özeti</t>
        </is>
      </c>
      <c r="C56" s="37">
        <f>IFERROR(_xlfn.TEXTJOIN(" | ",TRUE,"SKF-001→fiyat","SKF-002→destek","SKF-003→geri ödeme","SKF-004→doluluk"),"")</f>
        <v/>
      </c>
      <c r="D56" s="41" t="inlineStr">
        <is>
          <t>metin</t>
        </is>
      </c>
      <c r="E56" s="6" t="inlineStr">
        <is>
          <t>Kanıt atıfları</t>
        </is>
      </c>
      <c r="F56" s="42" t="inlineStr">
        <is>
          <t>SKF-001</t>
        </is>
      </c>
      <c r="G56" s="47">
        <f>IFERROR(_xlfn.TEXTJOIN(" | ",TRUE,"SKF-001→fiyat","SKF-002→destek","SKF-003→geri ödeme","SKF-004→doluluk"),"")</f>
        <v/>
      </c>
    </row>
    <row r="57">
      <c r="A57" s="38" t="n">
        <v>51</v>
      </c>
      <c r="B57" s="39" t="inlineStr">
        <is>
          <t>Kanıt satır özeti</t>
        </is>
      </c>
      <c r="C57" s="37">
        <f>IFERROR(_xlfn.TEXTJOIN(" · ",TRUE,"CAPEX=",TEXT(G31,"₺ #,##0"),"NPV=",TEXT(G36,"₺ #,##0"),"IRR=",TEXT(G37,"0.0%"),"Karar=",G39),"")</f>
        <v/>
      </c>
      <c r="D57" s="41" t="inlineStr">
        <is>
          <t>metin</t>
        </is>
      </c>
      <c r="E57" s="6" t="inlineStr">
        <is>
          <t>Rapor özeti</t>
        </is>
      </c>
      <c r="F57" s="42" t="inlineStr">
        <is>
          <t>SKF-005</t>
        </is>
      </c>
      <c r="G57" s="47">
        <f>IFERROR(_xlfn.TEXTJOIN(" · ",TRUE,"CAPEX=",TEXT(G31,"₺ #,##0"),"NPV=",TEXT(G36,"₺ #,##0"),"IRR=",TEXT(G37,"0.0%"),"Karar=",G39),"")</f>
        <v/>
      </c>
    </row>
    <row r="58">
      <c r="A58" s="38" t="n">
        <v>52</v>
      </c>
      <c r="B58" s="39" t="inlineStr">
        <is>
          <t>Yıllık gelir (pano)</t>
        </is>
      </c>
      <c r="C58" s="46">
        <f>IFERROR(G30,0)</f>
        <v/>
      </c>
      <c r="D58" s="41" t="inlineStr">
        <is>
          <t>TL</t>
        </is>
      </c>
      <c r="E58" s="6" t="inlineStr">
        <is>
          <t>Gelir ayna</t>
        </is>
      </c>
      <c r="F58" s="42" t="inlineStr">
        <is>
          <t>SKF-001</t>
        </is>
      </c>
      <c r="G58" s="19">
        <f>IFERROR(G30,0)</f>
        <v/>
      </c>
    </row>
    <row r="59">
      <c r="A59" s="38" t="n">
        <v>53</v>
      </c>
      <c r="B59" s="39" t="inlineStr">
        <is>
          <t>CAPEX (pano)</t>
        </is>
      </c>
      <c r="C59" s="46">
        <f>IFERROR(G31,0)</f>
        <v/>
      </c>
      <c r="D59" s="41" t="inlineStr">
        <is>
          <t>TL</t>
        </is>
      </c>
      <c r="E59" s="6" t="inlineStr">
        <is>
          <t>CAPEX ayna</t>
        </is>
      </c>
      <c r="F59" s="42" t="inlineStr">
        <is>
          <t>SKF-005</t>
        </is>
      </c>
      <c r="G59" s="19">
        <f>IFERROR(G31,0)</f>
        <v/>
      </c>
    </row>
    <row r="60">
      <c r="A60" s="38" t="n">
        <v>54</v>
      </c>
      <c r="B60" s="39" t="inlineStr">
        <is>
          <t>OPEX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OPEX ayna</t>
        </is>
      </c>
      <c r="F60" s="42" t="inlineStr">
        <is>
          <t>SKF-005</t>
        </is>
      </c>
      <c r="G60" s="19">
        <f>IFERROR(G33,0)</f>
        <v/>
      </c>
    </row>
    <row r="61">
      <c r="A61" s="38" t="n">
        <v>55</v>
      </c>
      <c r="B61" s="39" t="inlineStr">
        <is>
          <t>NPV (pano)</t>
        </is>
      </c>
      <c r="C61" s="46">
        <f>IFERROR(G36,0)</f>
        <v/>
      </c>
      <c r="D61" s="41" t="inlineStr">
        <is>
          <t>TL</t>
        </is>
      </c>
      <c r="E61" s="6" t="inlineStr">
        <is>
          <t>NPV ayna</t>
        </is>
      </c>
      <c r="F61" s="42" t="inlineStr">
        <is>
          <t>SKF-005</t>
        </is>
      </c>
      <c r="G61" s="19">
        <f>IFERROR(G36,0)</f>
        <v/>
      </c>
    </row>
    <row r="62">
      <c r="A62" s="38" t="n">
        <v>56</v>
      </c>
      <c r="B62" s="39" t="inlineStr">
        <is>
          <t>IRR (pano)</t>
        </is>
      </c>
      <c r="C62" s="44">
        <f>IFERROR(G37,0)</f>
        <v/>
      </c>
      <c r="D62" s="41" t="inlineStr">
        <is>
          <t>oran</t>
        </is>
      </c>
      <c r="E62" s="6" t="inlineStr">
        <is>
          <t>IRR ayna</t>
        </is>
      </c>
      <c r="F62" s="42" t="inlineStr">
        <is>
          <t>SKF-005</t>
        </is>
      </c>
      <c r="G62" s="45">
        <f>IFERROR(G37,0)</f>
        <v/>
      </c>
    </row>
    <row r="63">
      <c r="A63" s="38" t="n">
        <v>57</v>
      </c>
      <c r="B63" s="39" t="inlineStr">
        <is>
          <t>Net rekolte (pano)</t>
        </is>
      </c>
      <c r="C63" s="40">
        <f>IFERROR(G27,0)</f>
        <v/>
      </c>
      <c r="D63" s="41" t="inlineStr">
        <is>
          <t>kg</t>
        </is>
      </c>
      <c r="E63" s="6" t="inlineStr">
        <is>
          <t>Rekolte ayna</t>
        </is>
      </c>
      <c r="F63" s="42" t="inlineStr">
        <is>
          <t>SKF-005</t>
        </is>
      </c>
      <c r="G63" s="20">
        <f>IFERROR(G27,0)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F7="SKF-001"</formula>
    </cfRule>
    <cfRule type="expression" priority="3" dxfId="0">
      <formula>F7="SKF-003"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Sera Kurulum &amp; Rekolte Fizibilitesi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IFERROR(skf_capexToplam*B6,0)</f>
        <v/>
      </c>
      <c r="D6" s="45">
        <f>IFERROR(GIRDI!B22*skf_sifirCarpan,0)</f>
        <v/>
      </c>
      <c r="E6" s="19">
        <f>IFERROR(MOTOR!G36,0)</f>
        <v/>
      </c>
    </row>
    <row r="7">
      <c r="A7" s="49" t="inlineStr">
        <is>
          <t>KREDI</t>
        </is>
      </c>
      <c r="B7" s="45">
        <f>skf_bazCarpan-GIRDI!B22</f>
        <v/>
      </c>
      <c r="C7" s="19">
        <f>IFERROR(skf_capexToplam*B7,0)</f>
        <v/>
      </c>
      <c r="D7" s="45">
        <f>GIRDI!B21</f>
        <v/>
      </c>
      <c r="E7" s="19">
        <f>IFERROR(MOTOR!G36-C7*D7*GIRDI!B20,0)</f>
        <v/>
      </c>
    </row>
    <row r="9">
      <c r="A9" s="10" t="inlineStr">
        <is>
          <t>CAPEX / YATIRIM toplam</t>
        </is>
      </c>
      <c r="B9" s="19">
        <f>IFERROR(skf_capexToplam,0)</f>
        <v/>
      </c>
    </row>
    <row r="10">
      <c r="A10" s="10" t="inlineStr">
        <is>
          <t>OPEX / ISLETME yıllık</t>
        </is>
      </c>
      <c r="B10" s="19">
        <f>IFERROR(skf_opexYillik,0)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Sera Kurulum &amp; Rekolte Fizibilitesi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IFERROR(skf_senaryoIyi+N(GIRDI!B10)*skf_sifirCarpan,0)</f>
        <v/>
      </c>
      <c r="C6" s="19">
        <f>IFERROR(MOTOR!G45,0)</f>
        <v/>
      </c>
      <c r="D6" s="19">
        <f>IFERROR(MOTOR!G47,0)</f>
        <v/>
      </c>
      <c r="E6" s="47">
        <f>IF(COUNTA(tblGirdi[Alan Anahtarı])=0,"VERİ YOK",IF(D6&lt;0,"YATIRIM YAPMA",IF(C6&gt;0,"YATIRIM YAPILIR","DİKKAT")))</f>
        <v/>
      </c>
      <c r="G6" s="52" t="n">
        <v>1800000</v>
      </c>
    </row>
    <row r="7">
      <c r="A7" s="7" t="inlineStr">
        <is>
          <t>Baz</t>
        </is>
      </c>
      <c r="B7" s="45">
        <f>IFERROR(skf_bazCarpan+N(GIRDI!B10)*skf_sifirCarpan,1)</f>
        <v/>
      </c>
      <c r="C7" s="19">
        <f>IFERROR(skf_yillikGelir,0)</f>
        <v/>
      </c>
      <c r="D7" s="19">
        <f>IFERROR(skf_npv,0)</f>
        <v/>
      </c>
      <c r="E7" s="47">
        <f>IF(COUNTA(tblGirdi[Alan Anahtarı])=0,"VERİ YOK",IFERROR(skf_kararMetni,"-"))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IFERROR(skf_senaryoKotu+N(GIRDI!B10)*skf_sifirCarpan,0)</f>
        <v/>
      </c>
      <c r="C8" s="19">
        <f>IFERROR(MOTOR!G46,0)</f>
        <v/>
      </c>
      <c r="D8" s="19">
        <f>IFERROR(MOTOR!G47,0)</f>
        <v/>
      </c>
      <c r="E8" s="47">
        <f>IF(COUNTA(tblGirdi[Alan Anahtarı])=0,"VERİ YOK",IFERROR(MOTOR!G49,"YATIRIM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fiyat etkisi</t>
        </is>
      </c>
      <c r="B15" s="19">
        <f>IFERROR(MOTOR!G49,0)</f>
        <v/>
      </c>
      <c r="C15" s="20">
        <f>IFERROR(IF(B15&gt;=MAX(B15:B19),skf_siraBir,IF(B15=LARGE(B15:B19,2),skf_siraIki,IF(B15=LARGE(B15:B19,3),skf_siraUc,4))),4)</f>
        <v/>
      </c>
      <c r="E15" s="52" t="n">
        <v>220000</v>
      </c>
    </row>
    <row r="16">
      <c r="A16" s="7" t="inlineStr">
        <is>
          <t>Tornado rekolte etkisi</t>
        </is>
      </c>
      <c r="B16" s="19">
        <f>IFERROR(MOTOR!G51,0)</f>
        <v/>
      </c>
      <c r="C16" s="20">
        <f>IFERROR(IF(B16&gt;=MAX(B15:B19),skf_siraBir,IF(B16=LARGE(B15:B19,2),skf_siraIki,IF(B16=LARGE(B15:B19,3),skf_siraUc,4))),4)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IFERROR(MOTOR!G52,0)</f>
        <v/>
      </c>
      <c r="C17" s="20">
        <f>IFERROR(IF(B17&gt;=MAX(B15:B19),skf_siraBir,IF(B17=LARGE(B15:B19,2),skf_siraIki,IF(B17=LARGE(B15:B19,3),skf_siraUc,4))),4)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IFERROR(MOTOR!G53,0)</f>
        <v/>
      </c>
      <c r="C18" s="20">
        <f>IFERROR(IF(B18&gt;=MAX(B15:B19),skf_siraBir,IF(B18=LARGE(B15:B19,2),skf_siraIki,IF(B18=LARGE(B15:B19,3),skf_siraUc,4))),4)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IFERROR(MOTOR!G54,0)</f>
        <v/>
      </c>
      <c r="C19" s="20">
        <f>IFERROR(IF(B19&gt;=MAX(B15:B19),skf_siraBir,IF(B19=LARGE(B15:B19,2),skf_siraIki,IF(B19=LARGE(B15:B19,3),skf_siraUc,4))),4)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IFERROR(CONCATENATE("1)",INDEX(A15:A19,MATCH(skf_siraBir,C15:C19,0))," 2)",INDEX(A15:A19,MATCH(skf_siraIki,C15:C19,0))),"-")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IFERROR(skf_npv*skf_tahminAlt,0)</f>
        <v/>
      </c>
      <c r="C24" s="19">
        <f>IFERROR(skf_npv,0)</f>
        <v/>
      </c>
      <c r="D24" s="19">
        <f>IFERROR(skf_npv*skf_tahminUst,0)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IFERROR(PERCENTILE(B28:B31,skf_yuzdelikOran),0)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Sera Kurulum &amp; Rekolte Fizibilitesi</t>
        </is>
      </c>
    </row>
    <row r="3">
      <c r="A3" s="54" t="inlineStr">
        <is>
          <t>Yatırım karar kapısı</t>
        </is>
      </c>
    </row>
    <row r="5">
      <c r="A5" s="54" t="inlineStr">
        <is>
          <t>Karar</t>
        </is>
      </c>
      <c r="B5" s="59">
        <f>skf_kararMetni</f>
        <v/>
      </c>
    </row>
    <row r="6">
      <c r="A6" s="60" t="inlineStr">
        <is>
          <t>Gerekçe</t>
        </is>
      </c>
      <c r="B6" s="37">
        <f>skf_kararGerekce</f>
        <v/>
      </c>
    </row>
    <row r="8">
      <c r="A8" s="60" t="inlineStr">
        <is>
          <t>NPV [₺]</t>
        </is>
      </c>
      <c r="B8" s="19">
        <f>skf_npv</f>
        <v/>
      </c>
    </row>
    <row r="9">
      <c r="A9" s="60" t="inlineStr">
        <is>
          <t>IRR</t>
        </is>
      </c>
      <c r="B9" s="45">
        <f>skf_irr</f>
        <v/>
      </c>
    </row>
    <row r="10">
      <c r="A10" s="60" t="inlineStr">
        <is>
          <t>İyimser NPV</t>
        </is>
      </c>
      <c r="B10" s="19">
        <f>IFERROR(MOTOR!G47,0)</f>
        <v/>
      </c>
    </row>
    <row r="11">
      <c r="A11" s="60" t="inlineStr">
        <is>
          <t>Kötümser karar</t>
        </is>
      </c>
      <c r="B11" s="47">
        <f>IFERROR(MOTOR!G49,"YATIRIM YAPMA")</f>
        <v/>
      </c>
    </row>
    <row r="12">
      <c r="A12" s="60" t="inlineStr">
        <is>
          <t>Kötümser NPV</t>
        </is>
      </c>
      <c r="B12" s="19">
        <f>IFERROR(MOTOR!G48,0)</f>
        <v/>
      </c>
    </row>
    <row r="13">
      <c r="A13" s="60" t="inlineStr">
        <is>
          <t>CAPEX / YATIRIM</t>
        </is>
      </c>
      <c r="B13" s="19">
        <f>IFERROR(skf_capexToplam,0)</f>
        <v/>
      </c>
    </row>
    <row r="14">
      <c r="A14" s="60" t="inlineStr">
        <is>
          <t>OPEX / ISLETME yıllık</t>
        </is>
      </c>
      <c r="B14" s="19">
        <f>IFERROR(skf_opexYillik,0)</f>
        <v/>
      </c>
    </row>
    <row r="16">
      <c r="A16" s="4" t="inlineStr">
        <is>
          <t>Boş girişte karar daima VERİ YOK olur. Kötümser NPV negatifse YATIRIM YAPMA üretilir.</t>
        </is>
      </c>
    </row>
    <row r="18">
      <c r="A18" s="60" t="inlineStr">
        <is>
          <t>Aksiyon 1</t>
        </is>
      </c>
      <c r="B18" s="37">
        <f>_xlfn.TEXTJOIN(" ",TRUE,"Fiyat duyarlılığını kontrol edin; etki ",TEXT(IFERROR(MOTOR!G50,0),"₺ #,##0"))</f>
        <v/>
      </c>
    </row>
    <row r="19">
      <c r="A19" s="60" t="inlineStr">
        <is>
          <t>Aksiyon 2</t>
        </is>
      </c>
      <c r="B19" s="37">
        <f>_xlfn.TEXTJOIN(" ",TRUE,"Rekolte/fire planını gözden geçirin; net kg ",TEXT(IFERROR(skf_netRekolte,0),"#,##0"))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KARAR&amp;CExcelArşiv&amp;RSayfa &amp;P / &amp;N</oddFooter>
    <evenHeader/>
    <evenFooter>&amp;LSera Kurulum &amp; Rekolte Fizibilitesi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Sera Kurulum &amp; Rekolte Fizibilitesi</t>
        </is>
      </c>
    </row>
    <row r="3">
      <c r="A3" s="30" t="inlineStr">
        <is>
          <t>Altın vakalar — sera CAPEX / rekolte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CAPEX = alan × birim</t>
        </is>
      </c>
      <c r="C6" s="7" t="inlineStr">
        <is>
          <t>alan=3000; birim=1400</t>
        </is>
      </c>
      <c r="D6" s="61" t="n">
        <v>4200000</v>
      </c>
      <c r="E6" s="62">
        <f>IF($A6="","",IFERROR(INDEX($E$6:$E$9,MATCH($A6,$A$6:$A$9,0)),0))</f>
        <v/>
      </c>
      <c r="F6" s="62">
        <f>IF($A6="","",IFERROR($E6-$D6,0))</f>
        <v/>
      </c>
      <c r="G6" s="63">
        <f>IF($A6="","",IFERROR(IF(ABS($F6)&lt;=skf_tolerans,"TUTARLI","KIRIK"),"KIRIK"))</f>
        <v/>
      </c>
      <c r="H6" s="47" t="inlineStr">
        <is>
          <t>CAPEX</t>
        </is>
      </c>
    </row>
    <row r="7">
      <c r="A7" s="7" t="inlineStr">
        <is>
          <t>V-002</t>
        </is>
      </c>
      <c r="B7" s="7" t="inlineStr">
        <is>
          <t>Net rekolte kg</t>
        </is>
      </c>
      <c r="C7" s="7" t="inlineStr">
        <is>
          <t>3000×35×0.92×0.92</t>
        </is>
      </c>
      <c r="D7" s="61" t="n">
        <v>96600</v>
      </c>
      <c r="E7" s="62">
        <f>IF($A7="","",IFERROR(INDEX($E$6:$E$9,MATCH($A7,$A$6:$A$9,0)),0))</f>
        <v/>
      </c>
      <c r="F7" s="62">
        <f>IF($A7="","",IFERROR($E7-$D7,0))</f>
        <v/>
      </c>
      <c r="G7" s="63">
        <f>IF($A7="","",IFERROR(IF(ABS($F7)&lt;=skf_tolerans,"TUTARLI","KIRIK"),"KIRIK"))</f>
        <v/>
      </c>
      <c r="H7" s="47" t="inlineStr">
        <is>
          <t>kg</t>
        </is>
      </c>
    </row>
    <row r="8">
      <c r="A8" s="7" t="inlineStr">
        <is>
          <t>V-003</t>
        </is>
      </c>
      <c r="B8" s="7" t="inlineStr">
        <is>
          <t>Gelir ≈ net × fiyat</t>
        </is>
      </c>
      <c r="C8" s="7" t="inlineStr">
        <is>
          <t>96600×30</t>
        </is>
      </c>
      <c r="D8" s="61" t="n">
        <v>2898000</v>
      </c>
      <c r="E8" s="62">
        <f>IF($A8="","",IFERROR(INDEX($E$6:$E$9,MATCH($A8,$A$6:$A$9,0)),0))</f>
        <v/>
      </c>
      <c r="F8" s="62">
        <f>IF($A8="","",IFERROR($E8-$D8,0))</f>
        <v/>
      </c>
      <c r="G8" s="63">
        <f>IF($A8="","",IFERROR(IF(ABS($F8)&lt;=skf_tolerans,"TUTARLI","KIRIK"),"KIRIK"))</f>
        <v/>
      </c>
      <c r="H8" s="47" t="inlineStr">
        <is>
          <t>Gelir</t>
        </is>
      </c>
    </row>
    <row r="9">
      <c r="A9" s="7" t="inlineStr">
        <is>
          <t>V-004</t>
        </is>
      </c>
      <c r="B9" s="7" t="inlineStr">
        <is>
          <t>Kötümser YATIRIM YAPMA yolu</t>
        </is>
      </c>
      <c r="C9" s="7" t="inlineStr">
        <is>
          <t>MOTOR kötümser karar</t>
        </is>
      </c>
      <c r="D9" s="61" t="n">
        <v>1</v>
      </c>
      <c r="E9" s="62">
        <f>IF($A9="","",IFERROR(INDEX($E$6:$E$9,MATCH($A9,$A$6:$A$9,0)),0))</f>
        <v/>
      </c>
      <c r="F9" s="62">
        <f>IF($A9="","",IFERROR($E9-$D9,0))</f>
        <v/>
      </c>
      <c r="G9" s="63">
        <f>IF($A9="","",IFERROR(IF(ABS($F9)&lt;=skf_tolerans,"TUTARLI","KIRIK"),"KIRIK"))</f>
        <v/>
      </c>
      <c r="H9" s="47" t="inlineStr">
        <is>
          <t>Karar</t>
        </is>
      </c>
    </row>
    <row r="12">
      <c r="A12" s="10" t="inlineStr">
        <is>
          <t>Vaka durumu özeti</t>
        </is>
      </c>
      <c r="B12" s="47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Sera Kurulum &amp; Rekolte Fizibilitesi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Sera alanı [m²]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IFERROR(skf_capexToplam,0)</f>
        <v/>
      </c>
    </row>
    <row r="11">
      <c r="A11" s="10" t="inlineStr">
        <is>
          <t>OPEX / ISLETME</t>
        </is>
      </c>
      <c r="B11" s="19">
        <f>IFERROR(skf_opexYillik,0)</f>
        <v/>
      </c>
    </row>
    <row r="12">
      <c r="A12" s="10" t="inlineStr">
        <is>
          <t>Yıllık gelir</t>
        </is>
      </c>
      <c r="B12" s="19">
        <f>IFERROR(skf_yillikGelir,0)</f>
        <v/>
      </c>
    </row>
    <row r="13">
      <c r="A13" s="10" t="inlineStr">
        <is>
          <t>Tüketim net rekolte</t>
        </is>
      </c>
      <c r="B13" s="20">
        <f>IFERROR(skf_netRekolte,0)</f>
        <v/>
      </c>
    </row>
    <row r="15">
      <c r="A15" s="10" t="inlineStr">
        <is>
          <t>NPV baz</t>
        </is>
      </c>
      <c r="B15" s="19">
        <f>IFERROR(skf_npv,0)</f>
        <v/>
      </c>
    </row>
    <row r="16">
      <c r="A16" s="10" t="inlineStr">
        <is>
          <t>IRR</t>
        </is>
      </c>
      <c r="B16" s="45">
        <f>IFERROR(skf_irr,0)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IFERROR(skf_finansmanKarsilastirma,"-")</f>
        <v/>
      </c>
    </row>
    <row r="20">
      <c r="A20" s="10" t="inlineStr">
        <is>
          <t>Karar</t>
        </is>
      </c>
      <c r="B20" s="58">
        <f>skf_kararMetni</f>
        <v/>
      </c>
    </row>
    <row r="21">
      <c r="A21" s="10" t="inlineStr">
        <is>
          <t>Kanıt özeti</t>
        </is>
      </c>
      <c r="B21" s="37">
        <f>IFERROR(skf_kanitRaporu,"-")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SKF-PRO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KANIT&amp;CExcelArşiv&amp;RSayfa &amp;P / &amp;N</oddFooter>
    <evenHeader/>
    <evenFooter>&amp;LSera Kurulum &amp; Rekolte Fizibilitesi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Sera Kurulum &amp; Rekolte Fizibilitesi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IF(IFERROR(skf_capexToplam,0)&gt;0,"TEMİZ","NEGATİF")</f>
        <v/>
      </c>
    </row>
    <row r="7">
      <c r="A7" s="7" t="inlineStr">
        <is>
          <t>OPEX ayrık mı</t>
        </is>
      </c>
      <c r="B7" s="47">
        <f>IF(AND(IFERROR(skf_capexToplam,0)&gt;0,IFERROR(skf_opexYillik,0)&gt;=0),"TEMİZ","EKSİK")</f>
        <v/>
      </c>
    </row>
    <row r="8">
      <c r="A8" s="7" t="inlineStr">
        <is>
          <t>NPV hesaplı mı</t>
        </is>
      </c>
      <c r="B8" s="47">
        <f>IF(ISNUMBER(skf_npv),"TEMİZ","HATALI")</f>
        <v/>
      </c>
    </row>
    <row r="9">
      <c r="A9" s="7" t="inlineStr">
        <is>
          <t>Kötümser YAPMA yolu</t>
        </is>
      </c>
      <c r="B9" s="47">
        <f>IF(ISNUMBER(SEARCH("YAPMA",IFERROR(MOTOR!G49,""))),"TEMİZ","EKSİK")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Sera Kurulum &amp; Rekolte Fizibilitesi</t>
        </is>
      </c>
    </row>
    <row r="3">
      <c r="A3" s="30" t="inlineStr">
        <is>
          <t>Örnek sera senaryoları</t>
        </is>
      </c>
    </row>
    <row r="5" ht="30" customHeight="1">
      <c r="A5" s="21" t="inlineStr">
        <is>
          <t>Senaryo</t>
        </is>
      </c>
      <c r="B5" s="21" t="inlineStr">
        <is>
          <t>Sera_tipi</t>
        </is>
      </c>
      <c r="C5" s="21" t="inlineStr">
        <is>
          <t>Alan_m2</t>
        </is>
      </c>
      <c r="D5" s="21" t="inlineStr">
        <is>
          <t>Rekolte_kg_m2</t>
        </is>
      </c>
      <c r="E5" s="21" t="inlineStr">
        <is>
          <t>Doluluk</t>
        </is>
      </c>
      <c r="F5" s="21" t="inlineStr">
        <is>
          <t>Birim_fiyat</t>
        </is>
      </c>
      <c r="G5" s="21" t="inlineStr">
        <is>
          <t>Enerji_opex</t>
        </is>
      </c>
      <c r="H5" s="21" t="inlineStr">
        <is>
          <t>Iscilik_opex</t>
        </is>
      </c>
      <c r="I5" s="21" t="inlineStr">
        <is>
          <t>Capex_birim</t>
        </is>
      </c>
      <c r="J5" s="21" t="inlineStr">
        <is>
          <t>Opex_oran</t>
        </is>
      </c>
      <c r="K5" s="21" t="inlineStr">
        <is>
          <t>WACC</t>
        </is>
      </c>
      <c r="L5" s="21" t="inlineStr">
        <is>
          <t>Durum</t>
        </is>
      </c>
    </row>
    <row r="6">
      <c r="A6" s="31" t="inlineStr">
        <is>
          <t>Demo cam</t>
        </is>
      </c>
      <c r="B6" s="31" t="inlineStr">
        <is>
          <t>CAM</t>
        </is>
      </c>
      <c r="C6" s="33" t="n">
        <v>3000</v>
      </c>
      <c r="D6" s="33" t="n">
        <v>35</v>
      </c>
      <c r="E6" s="34" t="n">
        <v>0.92</v>
      </c>
      <c r="F6" s="32" t="n">
        <v>30</v>
      </c>
      <c r="G6" s="66" t="n">
        <v>420000</v>
      </c>
      <c r="H6" s="66" t="n">
        <v>480000</v>
      </c>
      <c r="I6" s="66" t="n">
        <v>1400</v>
      </c>
      <c r="J6" s="34" t="n">
        <v>0.04</v>
      </c>
      <c r="K6" s="34" t="n">
        <v>0.15</v>
      </c>
      <c r="L6" s="23">
        <f>IF($A6="","",IF($C6="","EKSİK","TAM"))</f>
        <v/>
      </c>
    </row>
    <row r="7">
      <c r="A7" s="31" t="inlineStr">
        <is>
          <t>Iyimser biber</t>
        </is>
      </c>
      <c r="B7" s="31" t="inlineStr">
        <is>
          <t>CAM</t>
        </is>
      </c>
      <c r="C7" s="33" t="n">
        <v>2500</v>
      </c>
      <c r="D7" s="33" t="n">
        <v>40</v>
      </c>
      <c r="E7" s="34" t="n">
        <v>0.95</v>
      </c>
      <c r="F7" s="32" t="n">
        <v>32</v>
      </c>
      <c r="G7" s="66" t="n">
        <v>350000</v>
      </c>
      <c r="H7" s="66" t="n">
        <v>400000</v>
      </c>
      <c r="I7" s="66" t="n">
        <v>1300</v>
      </c>
      <c r="J7" s="34" t="n">
        <v>0.035</v>
      </c>
      <c r="K7" s="34" t="n">
        <v>0.14</v>
      </c>
      <c r="L7" s="23">
        <f>IF($A7="","",IF($C7="","EKSİK","TAM"))</f>
        <v/>
      </c>
    </row>
    <row r="8">
      <c r="A8" s="31" t="inlineStr">
        <is>
          <t>Kotumser plastik</t>
        </is>
      </c>
      <c r="B8" s="31" t="inlineStr">
        <is>
          <t>PLASTIK</t>
        </is>
      </c>
      <c r="C8" s="33" t="n">
        <v>2000</v>
      </c>
      <c r="D8" s="33" t="n">
        <v>22</v>
      </c>
      <c r="E8" s="34" t="n">
        <v>0.8</v>
      </c>
      <c r="F8" s="32" t="n">
        <v>22</v>
      </c>
      <c r="G8" s="66" t="n">
        <v>500000</v>
      </c>
      <c r="H8" s="66" t="n">
        <v>450000</v>
      </c>
      <c r="I8" s="66" t="n">
        <v>1100</v>
      </c>
      <c r="J8" s="34" t="n">
        <v>0.05</v>
      </c>
      <c r="K8" s="34" t="n">
        <v>0.18</v>
      </c>
      <c r="L8" s="23">
        <f>IF($A8="","",IF($C8="","EKSİK","TAM"))</f>
        <v/>
      </c>
    </row>
    <row r="9">
      <c r="A9" s="31" t="inlineStr">
        <is>
          <t>Hibe destekli</t>
        </is>
      </c>
      <c r="B9" s="31" t="inlineStr">
        <is>
          <t>CAM</t>
        </is>
      </c>
      <c r="C9" s="33" t="n">
        <v>3500</v>
      </c>
      <c r="D9" s="33" t="n">
        <v>38</v>
      </c>
      <c r="E9" s="34" t="n">
        <v>0.9</v>
      </c>
      <c r="F9" s="32" t="n">
        <v>28</v>
      </c>
      <c r="G9" s="66" t="n">
        <v>400000</v>
      </c>
      <c r="H9" s="66" t="n">
        <v>520000</v>
      </c>
      <c r="I9" s="66" t="n">
        <v>1350</v>
      </c>
      <c r="J9" s="34" t="n">
        <v>0.04</v>
      </c>
      <c r="K9" s="34" t="n">
        <v>0.15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OrnekGelirDemo</t>
        </is>
      </c>
      <c r="L22" s="23">
        <f>IF($A22="","",IF($C22="","EKSİK","TAM"))</f>
        <v/>
      </c>
    </row>
    <row r="23">
      <c r="A23" s="51" t="inlineStr">
        <is>
          <t>Demo cam</t>
        </is>
      </c>
      <c r="B23" s="52" t="n">
        <v>2898000</v>
      </c>
      <c r="L23" s="23">
        <f>IF($A23="","",IF($C23="","EKSİK","TAM"))</f>
        <v/>
      </c>
    </row>
    <row r="24">
      <c r="A24" s="51" t="inlineStr">
        <is>
          <t>Iyimser biber</t>
        </is>
      </c>
      <c r="B24" s="52" t="n">
        <v>3040000</v>
      </c>
      <c r="L24" s="23">
        <f>IF($A24="","",IF($C24="","EKSİK","TAM"))</f>
        <v/>
      </c>
    </row>
    <row r="25">
      <c r="A25" s="51" t="inlineStr">
        <is>
          <t>Kotumser plastik</t>
        </is>
      </c>
      <c r="B25" s="52" t="n">
        <v>774400</v>
      </c>
      <c r="L25" s="23">
        <f>IF($A25="","",IF($C25="","EKSİK","TAM"))</f>
        <v/>
      </c>
    </row>
    <row r="26">
      <c r="A26" s="51" t="inlineStr">
        <is>
          <t>Hibe destekli</t>
        </is>
      </c>
      <c r="B26" s="52" t="n">
        <v>3351600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Sera Kurulum &amp; Rekolte Fizibilitesi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SeraTipi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CAM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PLASTIK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Sera Kurulum &amp; Rekolte Fizibilitesi</t>
        </is>
      </c>
    </row>
    <row r="3">
      <c r="A3" s="9" t="inlineStr">
        <is>
          <t>Parametreler (tek kaynak) — rekolte/fiyat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skf_tolerans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skf_azamiEsik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skf_senaryoIyi</t>
        </is>
      </c>
      <c r="B10" s="34" t="n">
        <v>1.12</v>
      </c>
      <c r="C10" s="7" t="inlineStr">
        <is>
          <t>çarpan</t>
        </is>
      </c>
      <c r="D10" s="7" t="inlineStr">
        <is>
          <t>İyimser rekolte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skf_senaryoKotu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rekolte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skf_fiyatKotu</t>
        </is>
      </c>
      <c r="B12" s="34" t="n">
        <v>0.85</v>
      </c>
      <c r="C12" s="7" t="inlineStr">
        <is>
          <t>çarpan</t>
        </is>
      </c>
      <c r="D12" s="7" t="inlineStr">
        <is>
          <t>Kötümser fiyat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skf_capexIyi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skf_capexKotu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skf_opexKotu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skf_tahminAlt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skf_tahminUst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skf_tornadoFiyat</t>
        </is>
      </c>
      <c r="B18" s="34" t="n">
        <v>1.1</v>
      </c>
      <c r="C18" s="7" t="inlineStr">
        <is>
          <t>çarpan</t>
        </is>
      </c>
      <c r="D18" s="7" t="inlineStr">
        <is>
          <t>Tornado fiyat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skf_tornadoRekolte</t>
        </is>
      </c>
      <c r="B19" s="34" t="n">
        <v>1.12</v>
      </c>
      <c r="C19" s="7" t="inlineStr">
        <is>
          <t>çarpan</t>
        </is>
      </c>
      <c r="D19" s="7" t="inlineStr">
        <is>
          <t>Tornado rekolte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skf_tornadoCapex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skf_tornadoOpex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skf_tornadoWacc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skf_yuzdelikOran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skf_parmakIzi</t>
        </is>
      </c>
      <c r="B24" s="31" t="inlineStr">
        <is>
          <t>0a665e5fd31baeda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skf_girisBeklenen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skf_riskDusuk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skf_riskOrta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skf_riskYuksek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skf_yilTaban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skf_yuvarMax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skf_bazCarpan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skf_sifirCarpan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skf_siraBir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skf_siraIki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skf_siraUc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skf_dikkatCarpan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skf_npvDikkat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skf_geriOdemeSonsuz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4200000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vaka_rekolte</t>
        </is>
      </c>
      <c r="B41" s="33" t="n">
        <v>96600</v>
      </c>
      <c r="C41" s="7" t="inlineStr">
        <is>
          <t>kg</t>
        </is>
      </c>
      <c r="D41" s="7" t="inlineStr">
        <is>
          <t>Vaka net rekolte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vaka_fiyat</t>
        </is>
      </c>
      <c r="B42" s="33" t="n">
        <v>30</v>
      </c>
      <c r="C42" s="7" t="inlineStr">
        <is>
          <t>TL/kg</t>
        </is>
      </c>
      <c r="D42" s="7" t="inlineStr">
        <is>
          <t>Vaka birim fiyat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Sera Kurulum &amp; Rekolte Fizibilitesi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rekolte/fiyat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rekolte_fiyat_belirsizlik</t>
        </is>
      </c>
    </row>
    <row r="13">
      <c r="A13" s="70" t="inlineStr">
        <is>
          <t>Hal/sözleşme fiyatı ve destek dönemsel değişir; bu dosya kullanıcı girişli fiyat kullanır (dış API yok — Ç15). Fiyat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2026-08-11T18:02:44Z</dcterms:created>
  <dcterms:modified xmlns:dcterms="http://purl.org/dc/terms/" xmlns:xsi="http://www.w3.org/2001/XMLSchema-instance" xsi:type="dcterms:W3CDTF">2026-09-25T15:13:46Z</dcterms:modified>
</cp:coreProperties>
</file>