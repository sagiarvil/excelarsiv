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4.xml" ContentType="application/vnd.openxmlformats-officedocument.spreadsheetml.comments+xml"/>
  <Override PartName="/xl/worksheets/sheet17.xml" ContentType="application/vnd.openxmlformats-officedocument.spreadsheetml.worksheet+xml"/>
  <Override PartName="/xl/comments/comment5.xml" ContentType="application/vnd.openxmlformats-officedocument.spreadsheetml.comments+xml"/>
  <Override PartName="/xl/worksheets/sheet18.xml" ContentType="application/vnd.openxmlformats-officedocument.spreadsheetml.worksheet+xml"/>
  <Override PartName="/xl/comments/comment6.xml" ContentType="application/vnd.openxmlformats-officedocument.spreadsheetml.comments+xml"/>
  <Override PartName="/xl/tables/table4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7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8.xml" ContentType="application/vnd.openxmlformats-officedocument.spreadsheetml.comments+xml"/>
  <Override PartName="/xl/tables/table5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omments/comment9.xml" ContentType="application/vnd.openxmlformats-officedocument.spreadsheetml.comments+xml"/>
  <Override PartName="/xl/tables/table6.xml" ContentType="application/vnd.openxmlformats-officedocument.spreadsheetml.table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HAMMADDE" sheetId="13" state="visible" r:id="rId13"/>
    <sheet xmlns:r="http://schemas.openxmlformats.org/officeDocument/2006/relationships" name="RECETE" sheetId="14" state="visible" r:id="rId14"/>
    <sheet xmlns:r="http://schemas.openxmlformats.org/officeDocument/2006/relationships" name="MOTOR" sheetId="15" state="visible" r:id="rId15"/>
    <sheet xmlns:r="http://schemas.openxmlformats.org/officeDocument/2006/relationships" name="FIYATLAMA" sheetId="16" state="visible" r:id="rId16"/>
    <sheet xmlns:r="http://schemas.openxmlformats.org/officeDocument/2006/relationships" name="VARYANS" sheetId="17" state="visible" r:id="rId17"/>
    <sheet xmlns:r="http://schemas.openxmlformats.org/officeDocument/2006/relationships" name="VARSAYIMLAR" sheetId="18" state="visible" r:id="rId18"/>
    <sheet xmlns:r="http://schemas.openxmlformats.org/officeDocument/2006/relationships" name="FINANSMAN" sheetId="19" state="visible" r:id="rId19"/>
    <sheet xmlns:r="http://schemas.openxmlformats.org/officeDocument/2006/relationships" name="SENARYO" sheetId="20" state="visible" r:id="rId20"/>
    <sheet xmlns:r="http://schemas.openxmlformats.org/officeDocument/2006/relationships" name="KARAR" sheetId="21" state="visible" r:id="rId21"/>
    <sheet xmlns:r="http://schemas.openxmlformats.org/officeDocument/2006/relationships" name="KANIT_RAPORU" sheetId="22" state="visible" r:id="rId22"/>
    <sheet xmlns:r="http://schemas.openxmlformats.org/officeDocument/2006/relationships" name="KONTROLLER" sheetId="23" state="visible" r:id="rId23"/>
    <sheet xmlns:r="http://schemas.openxmlformats.org/officeDocument/2006/relationships" name="ORNEK_VERI" sheetId="24" state="visible" r:id="rId24"/>
    <sheet xmlns:r="http://schemas.openxmlformats.org/officeDocument/2006/relationships" name="LISTELER" sheetId="25" state="visible" r:id="rId25"/>
    <sheet xmlns:r="http://schemas.openxmlformats.org/officeDocument/2006/relationships" name="AYARLAR" sheetId="26" state="visible" r:id="rId26"/>
    <sheet xmlns:r="http://schemas.openxmlformats.org/officeDocument/2006/relationships" name="KILAVUZ" sheetId="27" state="visible" r:id="rId27"/>
  </sheets>
  <definedNames>
    <definedName name="raporTarihi">AYARLAR!$B$7</definedName>
    <definedName name="sfn_birimMaliyet">MOTOR!$G$62</definedName>
    <definedName name="sfn_netNavlun">MOTOR!$G$63</definedName>
    <definedName name="sfn_donusYukuKatki">MOTOR!$G$66</definedName>
    <definedName name="sfn_npv">MOTOR!$G$64</definedName>
    <definedName name="sfn_irr">MOTOR!$G$65</definedName>
    <definedName name="sfn_kararMetni">MOTOR!$G$48</definedName>
    <definedName name="sfn_kararGerekce">MOTOR!$G$49</definedName>
    <definedName name="sfn_bilesimAlarm">RECETE!$B$14</definedName>
    <definedName name="sfn_donusumTablo">AYARLAR!$A$41</definedName>
    <definedName name="sfn_varyansKopru">VARYANS!$B$12</definedName>
    <definedName name="sfn_finansmanKarsilastirma">FINANSMAN!$B$11</definedName>
    <definedName name="sfn_senaryoKarsilastirma">SENARYO!$B$11</definedName>
    <definedName name="sfn_yorumSenaryo">SENARYO!$B$12</definedName>
    <definedName name="sfn_duyarlilikSira">SENARYO!$B$19</definedName>
    <definedName name="sfn_yorumDuyarlilik">SENARYO!$B$20</definedName>
    <definedName name="sfn_tahminAralik">SENARYO!$B$32</definedName>
    <definedName name="sfn_yorumTahmin">SENARYO!$B$33</definedName>
    <definedName name="sfn_tolerans">AYARLAR!$B$8</definedName>
    <definedName name="sfn_bilesimTolerans">AYARLAR!$B$9</definedName>
    <definedName name="sfn_hedefYuzde">AYARLAR!$B$10</definedName>
    <definedName name="sfn_senaryoIyi">AYARLAR!$B$11</definedName>
    <definedName name="sfn_senaryoKotu">AYARLAR!$B$12</definedName>
    <definedName name="sfn_tornadoYakit">AYARLAR!$B$13</definedName>
    <definedName name="sfn_tornadoDonus">AYARLAR!$B$14</definedName>
    <definedName name="sfn_tornadoKm">AYARLAR!$B$15</definedName>
    <definedName name="sfn_tahminAlt">AYARLAR!$B$16</definedName>
    <definedName name="sfn_tahminUst">AYARLAR!$B$17</definedName>
    <definedName name="sfn_yuzdelikOran">AYARLAR!$B$18</definedName>
    <definedName name="sfn_parmakIzi">AYARLAR!$B$19</definedName>
    <definedName name="sfn_girisBeklenen">AYARLAR!$B$20</definedName>
    <definedName name="sfn_riskDusuk">AYARLAR!$B$21</definedName>
    <definedName name="sfn_riskOrta">AYARLAR!$B$22</definedName>
    <definedName name="sfn_riskYuksek">AYARLAR!$B$23</definedName>
    <definedName name="sfn_yuvarMax">AYARLAR!$B$24</definedName>
    <definedName name="sfn_bazCarpan">AYARLAR!$B$25</definedName>
    <definedName name="sfn_sifirCarpan">AYARLAR!$B$26</definedName>
    <definedName name="sfn_siraBir">AYARLAR!$B$27</definedName>
    <definedName name="sfn_npvDikkat">AYARLAR!$B$28</definedName>
    <definedName name="sfn_gidisDonus">AYARLAR!$B$29</definedName>
    <definedName name="sfn_kmSaat">AYARLAR!$B$30</definedName>
    <definedName name="sfn_donusCarpan">AYARLAR!$B$31</definedName>
    <definedName name="sfn_varyansFiyatPay">AYARLAR!$B$32</definedName>
    <definedName name="sfn_varyansMiktarPay">AYARLAR!$B$33</definedName>
    <definedName name="sfn_varyansKarisimPay">AYARLAR!$B$34</definedName>
    <definedName name="sfn_senaryoIyiIrr">AYARLAR!$B$35</definedName>
    <definedName name="sfn_senaryoKotuIrr">AYARLAR!$B$36</definedName>
    <definedName name="sfn_modulT1">PANO!$C$11</definedName>
    <definedName name="sfn_modulT1Yorum">PANO!$D$11</definedName>
    <definedName name="sfn_modulT2">PANO!$C$12</definedName>
    <definedName name="sfn_modulT2Yorum">PANO!$D$12</definedName>
    <definedName name="sfn_modulO1">PANO!$C$13</definedName>
    <definedName name="sfn_modulO1Yorum">PANO!$D$13</definedName>
    <definedName name="sfn_modulO6">PANO!$C$16</definedName>
    <definedName name="sfn_modulO6Yorum">PANO!$D$16</definedName>
    <definedName name="sfn_modulO8">PANO!$C$17</definedName>
    <definedName name="sfn_modulO8Yorum">PANO!$D$17</definedName>
    <definedName name="sfn_modulI2">PANO!$C$19</definedName>
    <definedName name="sfn_modulI2Yorum">PANO!$D$19</definedName>
    <definedName name="ListeArac">LISTELER!$A$6:$A$8</definedName>
    <definedName name="ListeGuven">LISTELER!$C$6:$C$7</definedName>
    <definedName name="ListeDuyarlilik">LISTELER!$E$6:$E$8</definedName>
    <definedName name="ListeVersiyon">LISTELER!$G$6:$G$7</definedName>
    <definedName name="_xlnm.Print_Area" localSheetId="20">'KARAR'!$A$1:$F$28</definedName>
    <definedName name="_xlnm.Print_Area" localSheetId="21">'KANIT_RAPORU'!$A$1:$F$36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%;[Red](0.0%);-"/>
    <numFmt numFmtId="165" formatCode="₺ #,##0;[Red](₺ #,##0);-"/>
    <numFmt numFmtId="166" formatCode="dd.mm.yyyy"/>
    <numFmt numFmtId="167" formatCode="0.0"/>
    <numFmt numFmtId="168" formatCode="#,##0 &quot;TL&quot;"/>
    <numFmt numFmtId="169" formatCode="0.0%"/>
    <numFmt numFmtId="170" formatCode="₺#,##0"/>
    <numFmt numFmtId="171" formatCode="0.00&quot;x&quot;"/>
  </numFmts>
  <fonts count="9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2742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FFFFFF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color rgb="00006100"/>
      <sz val="10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B08948"/>
      <sz val="10"/>
    </font>
    <font>
      <name val="Segoe UI"/>
      <b val="1"/>
      <color rgb="00000000"/>
      <sz val="12"/>
    </font>
    <font>
      <name val="Segoe UI"/>
      <b val="1"/>
      <color rgb="00333333"/>
      <sz val="10"/>
    </font>
    <font>
      <name val="Segoe UI"/>
      <b val="1"/>
      <color rgb="000F2742"/>
      <sz val="14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595959"/>
      <sz val="10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10" fillId="4" borderId="0" applyAlignment="1" applyProtection="1" pivotButton="0" quotePrefix="0" xfId="0">
      <alignment horizontal="left" vertical="center"/>
      <protection locked="0" hidden="0"/>
    </xf>
    <xf numFmtId="0" fontId="3" fillId="0" borderId="0" applyAlignment="1" pivotButton="0" quotePrefix="0" xfId="0">
      <alignment horizontal="left" vertical="center"/>
    </xf>
    <xf numFmtId="3" fontId="10" fillId="4" borderId="0" applyAlignment="1" applyProtection="1" pivotButton="0" quotePrefix="0" xfId="0">
      <alignment horizontal="left" vertical="center"/>
      <protection locked="0" hidden="0"/>
    </xf>
    <xf numFmtId="164" fontId="10" fillId="4" borderId="0" applyAlignment="1" applyProtection="1" pivotButton="0" quotePrefix="0" xfId="0">
      <alignment horizontal="left" vertical="center"/>
      <protection locked="0" hidden="0"/>
    </xf>
    <xf numFmtId="165" fontId="10" fillId="4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0" fillId="4" borderId="0" applyProtection="1" pivotButton="0" quotePrefix="0" xfId="0">
      <protection locked="0" hidden="0"/>
    </xf>
    <xf numFmtId="0" fontId="0" fillId="5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0" fontId="7" fillId="0" borderId="0" applyAlignment="1" pivotButton="0" quotePrefix="0" xfId="0">
      <alignment horizontal="left" vertical="center" wrapText="1"/>
    </xf>
    <xf numFmtId="166" fontId="10" fillId="4" borderId="0" applyAlignment="1" applyProtection="1" pivotButton="0" quotePrefix="0" xfId="0">
      <alignment horizontal="left" vertical="center"/>
      <protection locked="0" hidden="0"/>
    </xf>
    <xf numFmtId="167" fontId="10" fillId="4" borderId="0" applyAlignment="1" applyProtection="1" pivotButton="0" quotePrefix="0" xfId="0">
      <alignment horizontal="left" vertical="center"/>
      <protection locked="0" hidden="0"/>
    </xf>
    <xf numFmtId="0" fontId="13" fillId="0" borderId="0" applyAlignment="1" pivotButton="0" quotePrefix="0" xfId="0">
      <alignment horizontal="left" vertical="center"/>
    </xf>
    <xf numFmtId="167" fontId="12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7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166" fontId="1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4" fillId="4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left" vertical="center"/>
    </xf>
    <xf numFmtId="2" fontId="10" fillId="4" borderId="0" applyAlignment="1" applyProtection="1" pivotButton="0" quotePrefix="0" xfId="0">
      <alignment horizontal="left" vertical="center"/>
      <protection locked="0" hidden="0"/>
    </xf>
    <xf numFmtId="166" fontId="10" fillId="4" borderId="0" applyAlignment="1" applyProtection="1" pivotButton="0" quotePrefix="0" xfId="0">
      <alignment horizontal="left" vertical="center"/>
      <protection locked="0" hidden="0"/>
    </xf>
    <xf numFmtId="167" fontId="10" fillId="4" borderId="0" applyAlignment="1" applyProtection="1" pivotButton="0" quotePrefix="0" xfId="0">
      <alignment horizontal="left" vertical="center"/>
      <protection locked="0" hidden="0"/>
    </xf>
    <xf numFmtId="167" fontId="12" fillId="0" borderId="0" applyAlignment="1" pivotButton="0" quotePrefix="0" xfId="0">
      <alignment horizontal="left" vertical="center"/>
    </xf>
    <xf numFmtId="167" fontId="12" fillId="0" borderId="0" applyAlignment="1" pivotButton="0" quotePrefix="0" xfId="0">
      <alignment horizontal="left" vertical="center" wrapText="1"/>
    </xf>
    <xf numFmtId="166" fontId="12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left" vertical="center"/>
    </xf>
    <xf numFmtId="0" fontId="24" fillId="6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0" borderId="0" pivotButton="0" quotePrefix="0" xfId="0"/>
    <xf numFmtId="0" fontId="32" fillId="0" borderId="0" pivotButton="0" quotePrefix="0" xfId="0"/>
    <xf numFmtId="0" fontId="27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32" fillId="7" borderId="0" applyAlignment="1" pivotButton="0" quotePrefix="0" xfId="0">
      <alignment horizontal="center" vertical="center" wrapText="1"/>
    </xf>
    <xf numFmtId="0" fontId="28" fillId="0" borderId="0" pivotButton="0" quotePrefix="0" xfId="0"/>
    <xf numFmtId="0" fontId="29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34" fillId="6" borderId="0" applyAlignment="1" pivotButton="0" quotePrefix="0" xfId="0">
      <alignment horizontal="center" vertical="center"/>
    </xf>
    <xf numFmtId="0" fontId="35" fillId="0" borderId="0" pivotButton="0" quotePrefix="0" xfId="0"/>
    <xf numFmtId="168" fontId="35" fillId="0" borderId="0" pivotButton="0" quotePrefix="0" xfId="0"/>
    <xf numFmtId="168" fontId="36" fillId="0" borderId="0" pivotButton="0" quotePrefix="0" xfId="0"/>
    <xf numFmtId="169" fontId="35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6" borderId="0" applyAlignment="1" pivotButton="0" quotePrefix="0" xfId="0">
      <alignment horizontal="center" vertical="center"/>
    </xf>
    <xf numFmtId="0" fontId="34" fillId="6" borderId="0" applyAlignment="1" pivotButton="0" quotePrefix="0" xfId="0">
      <alignment horizontal="center"/>
    </xf>
    <xf numFmtId="0" fontId="36" fillId="0" borderId="0" pivotButton="0" quotePrefix="0" xfId="0"/>
    <xf numFmtId="0" fontId="40" fillId="8" borderId="2" pivotButton="0" quotePrefix="0" xfId="0"/>
    <xf numFmtId="0" fontId="41" fillId="0" borderId="0" pivotButton="0" quotePrefix="0" xfId="0"/>
    <xf numFmtId="0" fontId="42" fillId="0" borderId="0" pivotButton="0" quotePrefix="0" xfId="0"/>
    <xf numFmtId="0" fontId="35" fillId="0" borderId="0" applyAlignment="1" pivotButton="0" quotePrefix="0" xfId="0">
      <alignment wrapText="1"/>
    </xf>
    <xf numFmtId="0" fontId="43" fillId="0" borderId="0" pivotButton="0" quotePrefix="0" xfId="0"/>
    <xf numFmtId="0" fontId="44" fillId="0" borderId="2" applyAlignment="1" pivotButton="0" quotePrefix="0" xfId="0">
      <alignment horizontal="center" vertical="center"/>
    </xf>
    <xf numFmtId="0" fontId="34" fillId="9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3" pivotButton="0" quotePrefix="0" xfId="0"/>
    <xf numFmtId="0" fontId="0" fillId="0" borderId="2" pivotButton="0" quotePrefix="0" xfId="0"/>
    <xf numFmtId="0" fontId="45" fillId="10" borderId="2" applyAlignment="1" pivotButton="0" quotePrefix="0" xfId="0">
      <alignment horizontal="center"/>
    </xf>
    <xf numFmtId="0" fontId="31" fillId="0" borderId="4" pivotButton="0" quotePrefix="0" xfId="0"/>
    <xf numFmtId="0" fontId="47" fillId="11" borderId="2" applyAlignment="1" pivotButton="0" quotePrefix="0" xfId="0">
      <alignment horizontal="center"/>
    </xf>
    <xf numFmtId="0" fontId="46" fillId="12" borderId="2" applyAlignment="1" pivotButton="0" quotePrefix="0" xfId="0">
      <alignment horizontal="center"/>
    </xf>
    <xf numFmtId="0" fontId="31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7" fillId="0" borderId="3" pivotButton="0" quotePrefix="0" xfId="0"/>
    <xf numFmtId="0" fontId="48" fillId="0" borderId="4" pivotButton="0" quotePrefix="0" xfId="0"/>
    <xf numFmtId="0" fontId="49" fillId="0" borderId="5" pivotButton="0" quotePrefix="0" xfId="0"/>
    <xf numFmtId="0" fontId="46" fillId="0" borderId="3" pivotButton="0" quotePrefix="0" xfId="0"/>
    <xf numFmtId="0" fontId="41" fillId="0" borderId="4" pivotButton="0" quotePrefix="0" xfId="0"/>
    <xf numFmtId="0" fontId="46" fillId="0" borderId="5" pivotButton="0" quotePrefix="0" xfId="0"/>
    <xf numFmtId="0" fontId="50" fillId="13" borderId="0" applyAlignment="1" pivotButton="0" quotePrefix="0" xfId="0">
      <alignment horizontal="center"/>
    </xf>
    <xf numFmtId="0" fontId="51" fillId="0" borderId="0" pivotButton="0" quotePrefix="0" xfId="0"/>
    <xf numFmtId="0" fontId="50" fillId="14" borderId="0" applyAlignment="1" pivotButton="0" quotePrefix="0" xfId="0">
      <alignment horizontal="center" vertical="center"/>
    </xf>
    <xf numFmtId="0" fontId="51" fillId="0" borderId="2" pivotButton="0" quotePrefix="0" xfId="0"/>
    <xf numFmtId="0" fontId="52" fillId="0" borderId="2" pivotButton="0" quotePrefix="0" xfId="0"/>
    <xf numFmtId="0" fontId="53" fillId="0" borderId="2" pivotButton="0" quotePrefix="0" xfId="0"/>
    <xf numFmtId="0" fontId="54" fillId="15" borderId="2" applyAlignment="1" pivotButton="0" quotePrefix="0" xfId="0">
      <alignment horizontal="center"/>
    </xf>
    <xf numFmtId="0" fontId="50" fillId="6" borderId="0" pivotButton="0" quotePrefix="0" xfId="0"/>
    <xf numFmtId="0" fontId="55" fillId="6" borderId="0" pivotButton="0" quotePrefix="0" xfId="0"/>
    <xf numFmtId="0" fontId="56" fillId="6" borderId="0" pivotButton="0" quotePrefix="0" xfId="0"/>
    <xf numFmtId="0" fontId="0" fillId="6" borderId="0" pivotButton="0" quotePrefix="0" xfId="0"/>
    <xf numFmtId="0" fontId="28" fillId="6" borderId="0" applyAlignment="1" pivotButton="0" quotePrefix="0" xfId="0">
      <alignment horizontal="center"/>
    </xf>
    <xf numFmtId="0" fontId="44" fillId="0" borderId="0" pivotButton="0" quotePrefix="0" xfId="0"/>
    <xf numFmtId="0" fontId="59" fillId="16" borderId="0" pivotButton="0" quotePrefix="0" xfId="0"/>
    <xf numFmtId="0" fontId="0" fillId="16" borderId="0" pivotButton="0" quotePrefix="0" xfId="0"/>
    <xf numFmtId="0" fontId="46" fillId="0" borderId="0" pivotButton="0" quotePrefix="0" xfId="0"/>
    <xf numFmtId="0" fontId="34" fillId="16" borderId="0" pivotButton="0" quotePrefix="0" xfId="0"/>
    <xf numFmtId="0" fontId="60" fillId="16" borderId="0" applyAlignment="1" pivotButton="0" quotePrefix="0" xfId="0">
      <alignment wrapText="1"/>
    </xf>
    <xf numFmtId="0" fontId="57" fillId="0" borderId="0" pivotButton="0" quotePrefix="0" xfId="0"/>
    <xf numFmtId="0" fontId="58" fillId="0" borderId="0" pivotButton="0" quotePrefix="0" xfId="0"/>
    <xf numFmtId="0" fontId="46" fillId="12" borderId="6" applyAlignment="1" pivotButton="0" quotePrefix="0" xfId="0">
      <alignment horizontal="center" vertical="center"/>
    </xf>
    <xf numFmtId="0" fontId="61" fillId="17" borderId="0" applyAlignment="1" pivotButton="0" quotePrefix="0" xfId="0">
      <alignment horizontal="center" vertical="center"/>
    </xf>
    <xf numFmtId="0" fontId="25" fillId="18" borderId="2" applyAlignment="1" pivotButton="0" quotePrefix="0" xfId="0">
      <alignment vertical="center"/>
    </xf>
    <xf numFmtId="0" fontId="45" fillId="10" borderId="0" applyAlignment="1" pivotButton="0" quotePrefix="0" xfId="0">
      <alignment horizontal="center" vertical="center"/>
    </xf>
    <xf numFmtId="0" fontId="46" fillId="12" borderId="0" applyAlignment="1" pivotButton="0" quotePrefix="0" xfId="0">
      <alignment horizontal="center" vertical="center"/>
    </xf>
    <xf numFmtId="0" fontId="62" fillId="6" borderId="0" applyAlignment="1" pivotButton="0" quotePrefix="0" xfId="0">
      <alignment horizontal="center" vertical="center"/>
    </xf>
    <xf numFmtId="0" fontId="63" fillId="18" borderId="2" applyAlignment="1" pivotButton="0" quotePrefix="0" xfId="0">
      <alignment horizontal="center"/>
    </xf>
    <xf numFmtId="0" fontId="64" fillId="18" borderId="2" applyAlignment="1" pivotButton="0" quotePrefix="0" xfId="0">
      <alignment horizontal="center"/>
    </xf>
    <xf numFmtId="0" fontId="63" fillId="18" borderId="2" pivotButton="0" quotePrefix="0" xfId="0"/>
    <xf numFmtId="170" fontId="64" fillId="18" borderId="2" applyAlignment="1" pivotButton="0" quotePrefix="0" xfId="0">
      <alignment horizontal="right"/>
    </xf>
    <xf numFmtId="9" fontId="63" fillId="18" borderId="2" applyAlignment="1" pivotButton="0" quotePrefix="0" xfId="0">
      <alignment horizontal="center"/>
    </xf>
    <xf numFmtId="170" fontId="63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0" fontId="63" fillId="17" borderId="2" applyAlignment="1" pivotButton="0" quotePrefix="0" xfId="0">
      <alignment horizontal="center"/>
    </xf>
    <xf numFmtId="0" fontId="64" fillId="17" borderId="2" applyAlignment="1" pivotButton="0" quotePrefix="0" xfId="0">
      <alignment horizontal="center"/>
    </xf>
    <xf numFmtId="0" fontId="63" fillId="17" borderId="2" pivotButton="0" quotePrefix="0" xfId="0"/>
    <xf numFmtId="170" fontId="64" fillId="17" borderId="2" applyAlignment="1" pivotButton="0" quotePrefix="0" xfId="0">
      <alignment horizontal="right"/>
    </xf>
    <xf numFmtId="9" fontId="63" fillId="17" borderId="2" applyAlignment="1" pivotButton="0" quotePrefix="0" xfId="0">
      <alignment horizontal="center"/>
    </xf>
    <xf numFmtId="170" fontId="63" fillId="17" borderId="2" applyAlignment="1" pivotButton="0" quotePrefix="0" xfId="0">
      <alignment horizontal="right"/>
    </xf>
    <xf numFmtId="0" fontId="51" fillId="17" borderId="2" applyAlignment="1" pivotButton="0" quotePrefix="0" xfId="0">
      <alignment horizontal="center"/>
    </xf>
    <xf numFmtId="0" fontId="46" fillId="17" borderId="2" applyAlignment="1" pivotButton="0" quotePrefix="0" xfId="0">
      <alignment horizontal="center"/>
    </xf>
    <xf numFmtId="0" fontId="47" fillId="17" borderId="2" applyAlignment="1" pivotButton="0" quotePrefix="0" xfId="0">
      <alignment horizontal="center"/>
    </xf>
    <xf numFmtId="0" fontId="34" fillId="6" borderId="0" applyAlignment="1" pivotButton="0" quotePrefix="0" xfId="0">
      <alignment vertical="center" indent="1"/>
    </xf>
    <xf numFmtId="170" fontId="65" fillId="6" borderId="0" applyAlignment="1" pivotButton="0" quotePrefix="0" xfId="0">
      <alignment horizontal="right" vertical="center"/>
    </xf>
    <xf numFmtId="0" fontId="66" fillId="0" borderId="7" pivotButton="0" quotePrefix="0" xfId="0"/>
    <xf numFmtId="0" fontId="67" fillId="0" borderId="7" pivotButton="0" quotePrefix="0" xfId="0"/>
    <xf numFmtId="0" fontId="68" fillId="0" borderId="7" pivotButton="0" quotePrefix="0" xfId="0"/>
    <xf numFmtId="0" fontId="69" fillId="19" borderId="2" applyAlignment="1" pivotButton="0" quotePrefix="0" xfId="0">
      <alignment horizontal="center" vertical="center"/>
    </xf>
    <xf numFmtId="0" fontId="73" fillId="10" borderId="2" applyAlignment="1" pivotButton="0" quotePrefix="0" xfId="0">
      <alignment horizontal="center" vertical="center"/>
    </xf>
    <xf numFmtId="0" fontId="70" fillId="0" borderId="2" pivotButton="0" quotePrefix="0" xfId="0"/>
    <xf numFmtId="0" fontId="69" fillId="0" borderId="2" applyAlignment="1" pivotButton="0" quotePrefix="0" xfId="0">
      <alignment horizontal="right"/>
    </xf>
    <xf numFmtId="0" fontId="73" fillId="0" borderId="2" applyAlignment="1" pivotButton="0" quotePrefix="0" xfId="0">
      <alignment horizontal="right"/>
    </xf>
    <xf numFmtId="0" fontId="44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72" fillId="11" borderId="8" applyAlignment="1" pivotButton="0" quotePrefix="0" xfId="0">
      <alignment horizontal="center" vertical="center"/>
    </xf>
    <xf numFmtId="0" fontId="74" fillId="10" borderId="9" applyAlignment="1" pivotButton="0" quotePrefix="0" xfId="0">
      <alignment horizontal="center" vertical="center"/>
    </xf>
    <xf numFmtId="0" fontId="70" fillId="0" borderId="0" pivotButton="0" quotePrefix="0" xfId="0"/>
    <xf numFmtId="0" fontId="75" fillId="20" borderId="0" applyAlignment="1" pivotButton="0" quotePrefix="0" xfId="0">
      <alignment horizontal="left" vertical="center" wrapText="1"/>
    </xf>
    <xf numFmtId="0" fontId="76" fillId="21" borderId="0" applyAlignment="1" pivotButton="0" quotePrefix="0" xfId="0">
      <alignment vertical="center" wrapText="1"/>
    </xf>
    <xf numFmtId="0" fontId="77" fillId="22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9" fillId="20" borderId="0" applyAlignment="1" pivotButton="0" quotePrefix="0" xfId="0">
      <alignment horizontal="left" vertical="center" wrapText="1"/>
    </xf>
    <xf numFmtId="0" fontId="75" fillId="23" borderId="0" applyAlignment="1" pivotButton="0" quotePrefix="0" xfId="0">
      <alignment horizontal="left" vertical="center" wrapText="1"/>
    </xf>
    <xf numFmtId="0" fontId="76" fillId="23" borderId="0" applyAlignment="1" pivotButton="0" quotePrefix="0" xfId="0">
      <alignment vertical="center" wrapText="1"/>
    </xf>
    <xf numFmtId="0" fontId="80" fillId="24" borderId="0" applyAlignment="1" pivotButton="0" quotePrefix="0" xfId="0">
      <alignment vertical="top" wrapText="1"/>
    </xf>
    <xf numFmtId="0" fontId="75" fillId="25" borderId="0" applyAlignment="1" pivotButton="0" quotePrefix="0" xfId="0">
      <alignment horizontal="left" vertical="center" wrapText="1"/>
    </xf>
    <xf numFmtId="0" fontId="76" fillId="25" borderId="0" applyAlignment="1" pivotButton="0" quotePrefix="0" xfId="0">
      <alignment vertical="center" wrapText="1"/>
    </xf>
    <xf numFmtId="0" fontId="81" fillId="26" borderId="0" applyAlignment="1" pivotButton="0" quotePrefix="0" xfId="0">
      <alignment vertical="top" wrapText="1"/>
    </xf>
    <xf numFmtId="0" fontId="82" fillId="24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0" fontId="75" fillId="27" borderId="0" applyAlignment="1" pivotButton="0" quotePrefix="0" xfId="0">
      <alignment horizontal="left" vertical="center"/>
    </xf>
    <xf numFmtId="0" fontId="76" fillId="27" borderId="0" applyAlignment="1" pivotButton="0" quotePrefix="0" xfId="0">
      <alignment vertical="center" wrapText="1"/>
    </xf>
    <xf numFmtId="0" fontId="84" fillId="28" borderId="0" applyAlignment="1" pivotButton="0" quotePrefix="0" xfId="0">
      <alignment vertical="top" wrapText="1"/>
    </xf>
    <xf numFmtId="0" fontId="85" fillId="29" borderId="0" applyAlignment="1" pivotButton="0" quotePrefix="0" xfId="0">
      <alignment vertical="top" wrapText="1"/>
    </xf>
    <xf numFmtId="0" fontId="75" fillId="30" borderId="0" applyAlignment="1" pivotButton="0" quotePrefix="0" xfId="0">
      <alignment horizontal="left" vertical="center"/>
    </xf>
    <xf numFmtId="0" fontId="76" fillId="30" borderId="0" applyAlignment="1" pivotButton="0" quotePrefix="0" xfId="0">
      <alignment vertical="center" wrapText="1"/>
    </xf>
    <xf numFmtId="0" fontId="86" fillId="29" borderId="0" applyAlignment="1" pivotButton="0" quotePrefix="0" xfId="0">
      <alignment vertical="top" wrapText="1"/>
    </xf>
    <xf numFmtId="0" fontId="75" fillId="31" borderId="0" applyAlignment="1" pivotButton="0" quotePrefix="0" xfId="0">
      <alignment horizontal="left" vertical="center"/>
    </xf>
    <xf numFmtId="0" fontId="76" fillId="31" borderId="0" applyAlignment="1" pivotButton="0" quotePrefix="0" xfId="0">
      <alignment vertical="center" wrapText="1"/>
    </xf>
    <xf numFmtId="0" fontId="87" fillId="32" borderId="0" applyAlignment="1" pivotButton="0" quotePrefix="0" xfId="0">
      <alignment vertical="top" wrapText="1"/>
    </xf>
    <xf numFmtId="0" fontId="88" fillId="0" borderId="0" applyAlignment="1" pivotButton="0" quotePrefix="0" xfId="0">
      <alignment vertical="top" wrapText="1"/>
    </xf>
    <xf numFmtId="170" fontId="27" fillId="0" borderId="3" pivotButton="0" quotePrefix="0" xfId="0"/>
    <xf numFmtId="170" fontId="48" fillId="0" borderId="4" pivotButton="0" quotePrefix="0" xfId="0"/>
    <xf numFmtId="170" fontId="51" fillId="0" borderId="2" pivotButton="0" quotePrefix="0" xfId="0"/>
    <xf numFmtId="170" fontId="52" fillId="0" borderId="2" pivotButton="0" quotePrefix="0" xfId="0"/>
    <xf numFmtId="170" fontId="55" fillId="6" borderId="0" pivotButton="0" quotePrefix="0" xfId="0"/>
    <xf numFmtId="170" fontId="56" fillId="6" borderId="0" pivotButton="0" quotePrefix="0" xfId="0"/>
    <xf numFmtId="170" fontId="74" fillId="8" borderId="2" applyAlignment="1" pivotButton="0" quotePrefix="0" xfId="0">
      <alignment horizontal="right"/>
    </xf>
    <xf numFmtId="170" fontId="44" fillId="0" borderId="2" applyAlignment="1" pivotButton="0" quotePrefix="0" xfId="0">
      <alignment horizontal="right"/>
    </xf>
    <xf numFmtId="170" fontId="71" fillId="0" borderId="2" applyAlignment="1" pivotButton="0" quotePrefix="0" xfId="0">
      <alignment horizontal="right"/>
    </xf>
    <xf numFmtId="171" fontId="71" fillId="0" borderId="2" applyAlignment="1" pivotButton="0" quotePrefix="0" xfId="0">
      <alignment horizontal="right"/>
    </xf>
    <xf numFmtId="0" fontId="89" fillId="33" borderId="0" applyAlignment="1" pivotButton="0" quotePrefix="0" xfId="0">
      <alignment horizontal="left" vertical="center"/>
    </xf>
    <xf numFmtId="0" fontId="0" fillId="33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90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3261E"/>
      </font>
    </dxf>
    <dxf>
      <font>
        <b val="1"/>
        <color rgb="001F7A4D"/>
      </font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NPV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'SENARYO'!$A$15:$A$17</f>
            </numRef>
          </cat>
          <val>
            <numRef>
              <f>'SENARYO'!$E$15:$E$17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Navlun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/ Hat | Neden önemli: Navlun maliyeti ve hat yatırım kararını etkiler | Doğru kullanım: Unvan veya hat kodu. | Örnek: demo satırına bakın | Yanlışsa: birim maliyet ve NPV bozulur | Kaynak: Lojistik operasyon / AYARLAR</t>
      </text>
    </comment>
    <comment ref="B7" authorId="0" shapeId="0">
      <text>
        <t>Tanım: Dönem | Neden önemli: Navlun maliyeti ve hat yatırım kararını etkiler | Doğru kullanım: Rapor dönemi. | Örnek: demo satırına bakın | Yanlışsa: birim maliyet ve NPV bozulur | Kaynak: Lojistik operasyon / AYARLAR</t>
      </text>
    </comment>
    <comment ref="B8" authorId="0" shapeId="0">
      <text>
        <t>Tanım: Sefer km [tek yön] | Neden önemli: Navlun maliyeti ve hat yatırım kararını etkiler | Doğru kullanım: Tek yön mesafe. | Örnek: demo satırına bakın | Yanlışsa: birim maliyet ve NPV bozulur | Kaynak: Lojistik operasyon / AYARLAR</t>
      </text>
    </comment>
    <comment ref="B9" authorId="0" shapeId="0">
      <text>
        <t>Tanım: Araç tipi | Neden önemli: Navlun maliyeti ve hat yatırım kararını etkiler | Doğru kullanım: TIR, Kamyon veya Panelvan. | Örnek: demo satırına bakın | Yanlışsa: birim maliyet ve NPV bozulur | Kaynak: Lojistik operasyon / AYARLAR</t>
      </text>
    </comment>
    <comment ref="B10" authorId="0" shapeId="0">
      <text>
        <t>Tanım: Yük [ton] | Neden önemli: Navlun maliyeti ve hat yatırım kararını etkiler | Doğru kullanım: Taşınan tonaj. | Örnek: demo satırına bakın | Yanlışsa: birim maliyet ve NPV bozulur | Kaynak: Lojistik operasyon / AYARLAR</t>
      </text>
    </comment>
    <comment ref="B11" authorId="0" shapeId="0">
      <text>
        <t>Tanım: Dönüş yükü oranı | Neden önemli: Navlun maliyeti ve hat yatırım kararını etkiler | Doğru kullanım: Dönüşte dolu kapasite oranı. | Örnek: demo satırına bakın | Yanlışsa: birim maliyet ve NPV bozulur | Kaynak: Lojistik operasyon / AYARLAR</t>
      </text>
    </comment>
    <comment ref="B12" authorId="0" shapeId="0">
      <text>
        <t>Tanım: Hedef marj | Neden önemli: Navlun maliyeti ve hat yatırım kararını etkiler | Doğru kullanım: Teklif brüt marj hedefi. | Örnek: demo satırına bakın | Yanlışsa: birim maliyet ve NPV bozulur | Kaynak: Lojistik operasyon / AYARLAR</t>
      </text>
    </comment>
    <comment ref="B13" authorId="0" shapeId="0">
      <text>
        <t>Tanım: Yıllık sefer [adet] | Neden önemli: Navlun maliyeti ve hat yatırım kararını etkiler | Doğru kullanım: OPEX yıllık sefer. | Örnek: demo satırına bakın | Yanlışsa: birim maliyet ve NPV bozulur | Kaynak: Lojistik operasyon / AYARLAR</t>
      </text>
    </comment>
    <comment ref="B14" authorId="0" shapeId="0">
      <text>
        <t>Tanım: CAPEX / YATIRIM [₺] | Neden önemli: Navlun maliyeti ve hat yatırım kararını etkiler | Doğru kullanım: Hat aracı / kapasite yatırımı. | Örnek: demo satırına bakın | Yanlışsa: birim maliyet ve NPV bozulur | Kaynak: Lojistik operasyon / AYARLAR</t>
      </text>
    </comment>
    <comment ref="B15" authorId="0" shapeId="0">
      <text>
        <t>Tanım: WACC [%] | Neden önemli: Navlun maliyeti ve hat yatırım kararını etkiler | Doğru kullanım: İskonto oranı. | Örnek: demo satırına bakın | Yanlışsa: birim maliyet ve NPV bozulur | Kaynak: Lojistik operasyon / AYARLAR</t>
      </text>
    </comment>
    <comment ref="B16" authorId="0" shapeId="0">
      <text>
        <t>Tanım: NPV dönem [yıl] | Neden önemli: Navlun maliyeti ve hat yatırım kararını etkiler | Doğru kullanım: Nakit akışı yılı. | Örnek: demo satırına bakın | Yanlışsa: birim maliyet ve NPV bozulur | Kaynak: Lojistik operasyon / AYARLAR</t>
      </text>
    </comment>
    <comment ref="B17" authorId="0" shapeId="0">
      <text>
        <t>Tanım: Kredi faiz oranı [%] | Neden önemli: Navlun maliyeti ve hat yatırım kararını etkiler | Doğru kullanım: Kredi senaryosu. | Örnek: demo satırına bakın | Yanlışsa: birim maliyet ve NPV bozulur | Kaynak: Lojistik operasyon / AYARLAR</t>
      </text>
    </comment>
    <comment ref="B18" authorId="0" shapeId="0">
      <text>
        <t>Tanım: Öz kaynak oranı [%] | Neden önemli: Navlun maliyeti ve hat yatırım kararını etkiler | Doğru kullanım: Öz kaynak payı. | Örnek: demo satırına bakın | Yanlışsa: birim maliyet ve NPV bozulur | Kaynak: Lojistik operasyon / AYARLAR</t>
      </text>
    </comment>
    <comment ref="A26" authorId="0" shapeId="0">
      <text>
        <t>Tanım: sirket_adi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B26" authorId="0" shapeId="0">
      <text>
        <t>Tanım: sirket_adi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C26" authorId="0" shapeId="0">
      <text>
        <t>Tanım: sirket_adi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D26" authorId="0" shapeId="0">
      <text>
        <t>Tanım: sirket_adi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E26" authorId="0" shapeId="0">
      <text>
        <t>Tanım: sirket_adi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A27" authorId="0" shapeId="0">
      <text>
        <t>Tanım: donem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B27" authorId="0" shapeId="0">
      <text>
        <t>Tanım: donem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C27" authorId="0" shapeId="0">
      <text>
        <t>Tanım: donem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D27" authorId="0" shapeId="0">
      <text>
        <t>Tanım: donem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E27" authorId="0" shapeId="0">
      <text>
        <t>Tanım: donem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A28" authorId="0" shapeId="0">
      <text>
        <t>Tanım: sefer_km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B28" authorId="0" shapeId="0">
      <text>
        <t>Tanım: sefer_km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C28" authorId="0" shapeId="0">
      <text>
        <t>Tanım: sefer_km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D28" authorId="0" shapeId="0">
      <text>
        <t>Tanım: sefer_km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E28" authorId="0" shapeId="0">
      <text>
        <t>Tanım: sefer_km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A29" authorId="0" shapeId="0">
      <text>
        <t>Tanım: arac_tipi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B29" authorId="0" shapeId="0">
      <text>
        <t>Tanım: arac_tipi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C29" authorId="0" shapeId="0">
      <text>
        <t>Tanım: arac_tipi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D29" authorId="0" shapeId="0">
      <text>
        <t>Tanım: arac_tipi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E29" authorId="0" shapeId="0">
      <text>
        <t>Tanım: arac_tipi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A30" authorId="0" shapeId="0">
      <text>
        <t>Tanım: yuk_ton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B30" authorId="0" shapeId="0">
      <text>
        <t>Tanım: yuk_ton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C30" authorId="0" shapeId="0">
      <text>
        <t>Tanım: yuk_ton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D30" authorId="0" shapeId="0">
      <text>
        <t>Tanım: yuk_ton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E30" authorId="0" shapeId="0">
      <text>
        <t>Tanım: yuk_ton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A31" authorId="0" shapeId="0">
      <text>
        <t>Tanım: donus_yuku_oran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B31" authorId="0" shapeId="0">
      <text>
        <t>Tanım: donus_yuku_oran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C31" authorId="0" shapeId="0">
      <text>
        <t>Tanım: donus_yuku_oran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D31" authorId="0" shapeId="0">
      <text>
        <t>Tanım: donus_yuku_oran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E31" authorId="0" shapeId="0">
      <text>
        <t>Tanım: donus_yuku_oran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A32" authorId="0" shapeId="0">
      <text>
        <t>Tanım: hedef_marj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B32" authorId="0" shapeId="0">
      <text>
        <t>Tanım: hedef_marj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C32" authorId="0" shapeId="0">
      <text>
        <t>Tanım: hedef_marj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D32" authorId="0" shapeId="0">
      <text>
        <t>Tanım: hedef_marj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E32" authorId="0" shapeId="0">
      <text>
        <t>Tanım: hedef_marj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A33" authorId="0" shapeId="0">
      <text>
        <t>Tanım: yillik_sefer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B33" authorId="0" shapeId="0">
      <text>
        <t>Tanım: yillik_sefer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C33" authorId="0" shapeId="0">
      <text>
        <t>Tanım: yillik_sefer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D33" authorId="0" shapeId="0">
      <text>
        <t>Tanım: yillik_sefer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E33" authorId="0" shapeId="0">
      <text>
        <t>Tanım: yillik_sefer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A34" authorId="0" shapeId="0">
      <text>
        <t>Tanım: capex_tl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B34" authorId="0" shapeId="0">
      <text>
        <t>Tanım: capex_tl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C34" authorId="0" shapeId="0">
      <text>
        <t>Tanım: capex_tl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D34" authorId="0" shapeId="0">
      <text>
        <t>Tanım: capex_tl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E34" authorId="0" shapeId="0">
      <text>
        <t>Tanım: capex_tl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A35" authorId="0" shapeId="0">
      <text>
        <t>Tanım: wacc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B35" authorId="0" shapeId="0">
      <text>
        <t>Tanım: wacc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C35" authorId="0" shapeId="0">
      <text>
        <t>Tanım: wacc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D35" authorId="0" shapeId="0">
      <text>
        <t>Tanım: wacc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E35" authorId="0" shapeId="0">
      <text>
        <t>Tanım: wacc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A36" authorId="0" shapeId="0">
      <text>
        <t>Tanım: npv_donem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B36" authorId="0" shapeId="0">
      <text>
        <t>Tanım: npv_donem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C36" authorId="0" shapeId="0">
      <text>
        <t>Tanım: npv_donem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D36" authorId="0" shapeId="0">
      <text>
        <t>Tanım: npv_donem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E36" authorId="0" shapeId="0">
      <text>
        <t>Tanım: npv_donem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A37" authorId="0" shapeId="0">
      <text>
        <t>Tanım: kredi_orani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B37" authorId="0" shapeId="0">
      <text>
        <t>Tanım: kredi_orani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C37" authorId="0" shapeId="0">
      <text>
        <t>Tanım: kredi_orani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D37" authorId="0" shapeId="0">
      <text>
        <t>Tanım: kredi_orani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E37" authorId="0" shapeId="0">
      <text>
        <t>Tanım: kredi_orani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A38" authorId="0" shapeId="0">
      <text>
        <t>Tanım: oz_kaynak_oran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B38" authorId="0" shapeId="0">
      <text>
        <t>Tanım: oz_kaynak_oran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C38" authorId="0" shapeId="0">
      <text>
        <t>Tanım: oz_kaynak_oran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D38" authorId="0" shapeId="0">
      <text>
        <t>Tanım: oz_kaynak_oran | Neden önemli: Navlun maliyeti ve hat yatırım kararını etkiler | Doğru kullanım: Tablo girişi; PANO ile senkron tutun | Örnek: demo satırına bakın | Yanlışsa: birim maliyet ve NPV bozulur | Kaynak: Lojistik operasyon / AYARLAR</t>
      </text>
    </comment>
    <comment ref="E38" authorId="0" shapeId="0">
      <text>
        <t>Tanım: oz_kaynak_oran | Neden önemli: Navlun maliyeti ve hat yatırım kararını etkiler | Doğru kullanım: Tablo girişi; PANO ile senkron tutun | Örnek: demo satırına bakın | Yanlışsa: birim maliyet ve NPV bozulur | Kaynak: Lojistik operasyon / AYARLAR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7" authorId="0" shapeId="0">
      <text>
        <t>Tanım: kalem_id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B7" authorId="0" shapeId="0">
      <text>
        <t>Tanım: kalem_ad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C7" authorId="0" shapeId="0">
      <text>
        <t>Tanım: sinif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D7" authorId="0" shapeId="0">
      <text>
        <t>Tanım: alim_birim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E7" authorId="0" shapeId="0">
      <text>
        <t>Tanım: kullanim_birim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F7" authorId="0" shapeId="0">
      <text>
        <t>Tanım: birim_fiyat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G7" authorId="0" shapeId="0">
      <text>
        <t>Tanım: fire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H7" authorId="0" shapeId="0">
      <text>
        <t>Tanım: tedarikci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I7" authorId="0" shapeId="0">
      <text>
        <t>Tanım: guncelleme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A8" authorId="0" shapeId="0">
      <text>
        <t>Tanım: kalem_id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B8" authorId="0" shapeId="0">
      <text>
        <t>Tanım: kalem_ad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C8" authorId="0" shapeId="0">
      <text>
        <t>Tanım: sinif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D8" authorId="0" shapeId="0">
      <text>
        <t>Tanım: alim_birim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E8" authorId="0" shapeId="0">
      <text>
        <t>Tanım: kullanim_birim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F8" authorId="0" shapeId="0">
      <text>
        <t>Tanım: birim_fiyat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G8" authorId="0" shapeId="0">
      <text>
        <t>Tanım: fire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H8" authorId="0" shapeId="0">
      <text>
        <t>Tanım: tedarikci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I8" authorId="0" shapeId="0">
      <text>
        <t>Tanım: guncelleme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A9" authorId="0" shapeId="0">
      <text>
        <t>Tanım: kalem_id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B9" authorId="0" shapeId="0">
      <text>
        <t>Tanım: kalem_ad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C9" authorId="0" shapeId="0">
      <text>
        <t>Tanım: sinif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D9" authorId="0" shapeId="0">
      <text>
        <t>Tanım: alim_birim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E9" authorId="0" shapeId="0">
      <text>
        <t>Tanım: kullanim_birim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F9" authorId="0" shapeId="0">
      <text>
        <t>Tanım: birim_fiyat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G9" authorId="0" shapeId="0">
      <text>
        <t>Tanım: fire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H9" authorId="0" shapeId="0">
      <text>
        <t>Tanım: tedarikci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I9" authorId="0" shapeId="0">
      <text>
        <t>Tanım: guncelleme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A10" authorId="0" shapeId="0">
      <text>
        <t>Tanım: kalem_id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B10" authorId="0" shapeId="0">
      <text>
        <t>Tanım: kalem_ad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C10" authorId="0" shapeId="0">
      <text>
        <t>Tanım: sinif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D10" authorId="0" shapeId="0">
      <text>
        <t>Tanım: alim_birim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E10" authorId="0" shapeId="0">
      <text>
        <t>Tanım: kullanim_birim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F10" authorId="0" shapeId="0">
      <text>
        <t>Tanım: birim_fiyat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G10" authorId="0" shapeId="0">
      <text>
        <t>Tanım: fire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H10" authorId="0" shapeId="0">
      <text>
        <t>Tanım: tedarikci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I10" authorId="0" shapeId="0">
      <text>
        <t>Tanım: guncelleme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A11" authorId="0" shapeId="0">
      <text>
        <t>Tanım: kalem_id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B11" authorId="0" shapeId="0">
      <text>
        <t>Tanım: kalem_ad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C11" authorId="0" shapeId="0">
      <text>
        <t>Tanım: sinif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D11" authorId="0" shapeId="0">
      <text>
        <t>Tanım: alim_birim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E11" authorId="0" shapeId="0">
      <text>
        <t>Tanım: kullanim_birim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F11" authorId="0" shapeId="0">
      <text>
        <t>Tanım: birim_fiyat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G11" authorId="0" shapeId="0">
      <text>
        <t>Tanım: fire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H11" authorId="0" shapeId="0">
      <text>
        <t>Tanım: tedarikci | Neden önemli: Navlun maliyeti ve hat yatırım kararını etkiler | Doğru kullanım: Hammadde kartı satırı | Örnek: demo satırına bakın | Yanlışsa: birim maliyet ve NPV bozulur | Kaynak: Lojistik operasyon / AYARLAR</t>
      </text>
    </comment>
    <comment ref="I11" authorId="0" shapeId="0">
      <text>
        <t>Tanım: guncelleme | Neden önemli: Navlun maliyeti ve hat yatırım kararını etkiler | Doğru kullanım: Hammadde kartı satırı | Örnek: demo satırına bakın | Yanlışsa: birim maliyet ve NPV bozulur | Kaynak: Lojistik operasyon / AYARLAR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satir_id | Neden önemli: Navlun maliyeti ve hat yatırım kararını etkiler | Doğru kullanım: Reçete satırı | Örnek: demo satırına bakın | Yanlışsa: birim maliyet ve NPV bozulur | Kaynak: Lojistik operasyon / AYARLAR</t>
      </text>
    </comment>
    <comment ref="B6" authorId="0" shapeId="0">
      <text>
        <t>Tanım: kalem | Neden önemli: Navlun maliyeti ve hat yatırım kararını etkiler | Doğru kullanım: Reçete satırı | Örnek: demo satırına bakın | Yanlışsa: birim maliyet ve NPV bozulur | Kaynak: Lojistik operasyon / AYARLAR</t>
      </text>
    </comment>
    <comment ref="C6" authorId="0" shapeId="0">
      <text>
        <t>Tanım: sinif | Neden önemli: Navlun maliyeti ve hat yatırım kararını etkiler | Doğru kullanım: Reçete satırı | Örnek: demo satırına bakın | Yanlışsa: birim maliyet ve NPV bozulur | Kaynak: Lojistik operasyon / AYARLAR</t>
      </text>
    </comment>
    <comment ref="D6" authorId="0" shapeId="0">
      <text>
        <t>Tanım: oran | Neden önemli: Navlun maliyeti ve hat yatırım kararını etkiler | Doğru kullanım: Reçete satırı | Örnek: demo satırına bakın | Yanlışsa: birim maliyet ve NPV bozulur | Kaynak: Lojistik operasyon / AYARLAR</t>
      </text>
    </comment>
    <comment ref="E6" authorId="0" shapeId="0">
      <text>
        <t>Tanım: fire | Neden önemli: Navlun maliyeti ve hat yatırım kararını etkiler | Doğru kullanım: Reçete satırı | Örnek: demo satırına bakın | Yanlışsa: birim maliyet ve NPV bozulur | Kaynak: Lojistik operasyon / AYARLAR</t>
      </text>
    </comment>
    <comment ref="F6" authorId="0" shapeId="0">
      <text>
        <t>Tanım: versiyon | Neden önemli: Navlun maliyeti ve hat yatırım kararını etkiler | Doğru kullanım: Reçete satırı | Örnek: demo satırına bakın | Yanlışsa: birim maliyet ve NPV bozulur | Kaynak: Lojistik operasyon / AYARLAR</t>
      </text>
    </comment>
    <comment ref="H6" authorId="0" shapeId="0">
      <text>
        <t>Tanım: not | Neden önemli: Navlun maliyeti ve hat yatırım kararını etkiler | Doğru kullanım: Reçete satırı | Örnek: demo satırına bakın | Yanlışsa: birim maliyet ve NPV bozulur | Kaynak: Lojistik operasyon / AYARLAR</t>
      </text>
    </comment>
    <comment ref="A7" authorId="0" shapeId="0">
      <text>
        <t>Tanım: satir_id | Neden önemli: Navlun maliyeti ve hat yatırım kararını etkiler | Doğru kullanım: Reçete satırı | Örnek: demo satırına bakın | Yanlışsa: birim maliyet ve NPV bozulur | Kaynak: Lojistik operasyon / AYARLAR</t>
      </text>
    </comment>
    <comment ref="B7" authorId="0" shapeId="0">
      <text>
        <t>Tanım: kalem | Neden önemli: Navlun maliyeti ve hat yatırım kararını etkiler | Doğru kullanım: Reçete satırı | Örnek: demo satırına bakın | Yanlışsa: birim maliyet ve NPV bozulur | Kaynak: Lojistik operasyon / AYARLAR</t>
      </text>
    </comment>
    <comment ref="C7" authorId="0" shapeId="0">
      <text>
        <t>Tanım: sinif | Neden önemli: Navlun maliyeti ve hat yatırım kararını etkiler | Doğru kullanım: Reçete satırı | Örnek: demo satırına bakın | Yanlışsa: birim maliyet ve NPV bozulur | Kaynak: Lojistik operasyon / AYARLAR</t>
      </text>
    </comment>
    <comment ref="D7" authorId="0" shapeId="0">
      <text>
        <t>Tanım: oran | Neden önemli: Navlun maliyeti ve hat yatırım kararını etkiler | Doğru kullanım: Reçete satırı | Örnek: demo satırına bakın | Yanlışsa: birim maliyet ve NPV bozulur | Kaynak: Lojistik operasyon / AYARLAR</t>
      </text>
    </comment>
    <comment ref="E7" authorId="0" shapeId="0">
      <text>
        <t>Tanım: fire | Neden önemli: Navlun maliyeti ve hat yatırım kararını etkiler | Doğru kullanım: Reçete satırı | Örnek: demo satırına bakın | Yanlışsa: birim maliyet ve NPV bozulur | Kaynak: Lojistik operasyon / AYARLAR</t>
      </text>
    </comment>
    <comment ref="F7" authorId="0" shapeId="0">
      <text>
        <t>Tanım: versiyon | Neden önemli: Navlun maliyeti ve hat yatırım kararını etkiler | Doğru kullanım: Reçete satırı | Örnek: demo satırına bakın | Yanlışsa: birim maliyet ve NPV bozulur | Kaynak: Lojistik operasyon / AYARLAR</t>
      </text>
    </comment>
    <comment ref="H7" authorId="0" shapeId="0">
      <text>
        <t>Tanım: not | Neden önemli: Navlun maliyeti ve hat yatırım kararını etkiler | Doğru kullanım: Reçete satırı | Örnek: demo satırına bakın | Yanlışsa: birim maliyet ve NPV bozulur | Kaynak: Lojistik operasyon / AYARLAR</t>
      </text>
    </comment>
    <comment ref="A8" authorId="0" shapeId="0">
      <text>
        <t>Tanım: satir_id | Neden önemli: Navlun maliyeti ve hat yatırım kararını etkiler | Doğru kullanım: Reçete satırı | Örnek: demo satırına bakın | Yanlışsa: birim maliyet ve NPV bozulur | Kaynak: Lojistik operasyon / AYARLAR</t>
      </text>
    </comment>
    <comment ref="B8" authorId="0" shapeId="0">
      <text>
        <t>Tanım: kalem | Neden önemli: Navlun maliyeti ve hat yatırım kararını etkiler | Doğru kullanım: Reçete satırı | Örnek: demo satırına bakın | Yanlışsa: birim maliyet ve NPV bozulur | Kaynak: Lojistik operasyon / AYARLAR</t>
      </text>
    </comment>
    <comment ref="C8" authorId="0" shapeId="0">
      <text>
        <t>Tanım: sinif | Neden önemli: Navlun maliyeti ve hat yatırım kararını etkiler | Doğru kullanım: Reçete satırı | Örnek: demo satırına bakın | Yanlışsa: birim maliyet ve NPV bozulur | Kaynak: Lojistik operasyon / AYARLAR</t>
      </text>
    </comment>
    <comment ref="D8" authorId="0" shapeId="0">
      <text>
        <t>Tanım: oran | Neden önemli: Navlun maliyeti ve hat yatırım kararını etkiler | Doğru kullanım: Reçete satırı | Örnek: demo satırına bakın | Yanlışsa: birim maliyet ve NPV bozulur | Kaynak: Lojistik operasyon / AYARLAR</t>
      </text>
    </comment>
    <comment ref="E8" authorId="0" shapeId="0">
      <text>
        <t>Tanım: fire | Neden önemli: Navlun maliyeti ve hat yatırım kararını etkiler | Doğru kullanım: Reçete satırı | Örnek: demo satırına bakın | Yanlışsa: birim maliyet ve NPV bozulur | Kaynak: Lojistik operasyon / AYARLAR</t>
      </text>
    </comment>
    <comment ref="F8" authorId="0" shapeId="0">
      <text>
        <t>Tanım: versiyon | Neden önemli: Navlun maliyeti ve hat yatırım kararını etkiler | Doğru kullanım: Reçete satırı | Örnek: demo satırına bakın | Yanlışsa: birim maliyet ve NPV bozulur | Kaynak: Lojistik operasyon / AYARLAR</t>
      </text>
    </comment>
    <comment ref="H8" authorId="0" shapeId="0">
      <text>
        <t>Tanım: not | Neden önemli: Navlun maliyeti ve hat yatırım kararını etkiler | Doğru kullanım: Reçete satırı | Örnek: demo satırına bakın | Yanlışsa: birim maliyet ve NPV bozulur | Kaynak: Lojistik operasyon / AYARLAR</t>
      </text>
    </comment>
    <comment ref="A9" authorId="0" shapeId="0">
      <text>
        <t>Tanım: satir_id | Neden önemli: Navlun maliyeti ve hat yatırım kararını etkiler | Doğru kullanım: Reçete satırı | Örnek: demo satırına bakın | Yanlışsa: birim maliyet ve NPV bozulur | Kaynak: Lojistik operasyon / AYARLAR</t>
      </text>
    </comment>
    <comment ref="B9" authorId="0" shapeId="0">
      <text>
        <t>Tanım: kalem | Neden önemli: Navlun maliyeti ve hat yatırım kararını etkiler | Doğru kullanım: Reçete satırı | Örnek: demo satırına bakın | Yanlışsa: birim maliyet ve NPV bozulur | Kaynak: Lojistik operasyon / AYARLAR</t>
      </text>
    </comment>
    <comment ref="C9" authorId="0" shapeId="0">
      <text>
        <t>Tanım: sinif | Neden önemli: Navlun maliyeti ve hat yatırım kararını etkiler | Doğru kullanım: Reçete satırı | Örnek: demo satırına bakın | Yanlışsa: birim maliyet ve NPV bozulur | Kaynak: Lojistik operasyon / AYARLAR</t>
      </text>
    </comment>
    <comment ref="D9" authorId="0" shapeId="0">
      <text>
        <t>Tanım: oran | Neden önemli: Navlun maliyeti ve hat yatırım kararını etkiler | Doğru kullanım: Reçete satırı | Örnek: demo satırına bakın | Yanlışsa: birim maliyet ve NPV bozulur | Kaynak: Lojistik operasyon / AYARLAR</t>
      </text>
    </comment>
    <comment ref="E9" authorId="0" shapeId="0">
      <text>
        <t>Tanım: fire | Neden önemli: Navlun maliyeti ve hat yatırım kararını etkiler | Doğru kullanım: Reçete satırı | Örnek: demo satırına bakın | Yanlışsa: birim maliyet ve NPV bozulur | Kaynak: Lojistik operasyon / AYARLAR</t>
      </text>
    </comment>
    <comment ref="F9" authorId="0" shapeId="0">
      <text>
        <t>Tanım: versiyon | Neden önemli: Navlun maliyeti ve hat yatırım kararını etkiler | Doğru kullanım: Reçete satırı | Örnek: demo satırına bakın | Yanlışsa: birim maliyet ve NPV bozulur | Kaynak: Lojistik operasyon / AYARLAR</t>
      </text>
    </comment>
    <comment ref="H9" authorId="0" shapeId="0">
      <text>
        <t>Tanım: not | Neden önemli: Navlun maliyeti ve hat yatırım kararını etkiler | Doğru kullanım: Reçete satırı | Örnek: demo satırına bakın | Yanlışsa: birim maliyet ve NPV bozulur | Kaynak: Lojistik operasyon / AYARLAR</t>
      </text>
    </comment>
    <comment ref="B15" authorId="0" shapeId="0">
      <text>
        <t>Tanım: Versiyon | Neden önemli: Navlun maliyeti ve hat yatırım kararını etkiler | Doğru kullanım: Aktif reçete versiyonu | Örnek: demo satırına bakın | Yanlışsa: birim maliyet ve NPV bozulur | Kaynak: Lojistik operasyon / AYARLAR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11" authorId="0" shapeId="0">
      <text>
        <t>Tanım: Rakip düşük | Neden önemli: Navlun maliyeti ve hat yatırım kararını etkiler | Doğru kullanım: Piyasa düşük teklif bandı | Örnek: demo satırına bakın | Yanlışsa: birim maliyet ve NPV bozulur | Kaynak: Lojistik operasyon / AYARLAR</t>
      </text>
    </comment>
    <comment ref="B12" authorId="0" shapeId="0">
      <text>
        <t>Tanım: Rakip yüksek | Neden önemli: Navlun maliyeti ve hat yatırım kararını etkiler | Doğru kullanım: Piyasa yüksek teklif bandı | Örnek: demo satırına bakın | Yanlışsa: birim maliyet ve NPV bozulur | Kaynak: Lojistik operasyon / AYARLAR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Hammadde (yakıt) | Neden önemli: Navlun maliyeti ve hat yatırım kararını etkiler | Doğru kullanım: Eski versiyon (V0) maliyet | Örnek: demo satırına bakın | Yanlışsa: birim maliyet ve NPV bozulur | Kaynak: Lojistik operasyon / AYARLAR</t>
      </text>
    </comment>
    <comment ref="B7" authorId="0" shapeId="0">
      <text>
        <t>Tanım: İşçilik | Neden önemli: Navlun maliyeti ve hat yatırım kararını etkiler | Doğru kullanım: Eski versiyon (V0) maliyet | Örnek: demo satırına bakın | Yanlışsa: birim maliyet ve NPV bozulur | Kaynak: Lojistik operasyon / AYARLAR</t>
      </text>
    </comment>
    <comment ref="B8" authorId="0" shapeId="0">
      <text>
        <t>Tanım: Ambalaj | Neden önemli: Navlun maliyeti ve hat yatırım kararını etkiler | Doğru kullanım: Eski versiyon (V0) maliyet | Örnek: demo satırına bakın | Yanlışsa: birim maliyet ve NPV bozulur | Kaynak: Lojistik operasyon / AYARLAR</t>
      </text>
    </comment>
    <comment ref="B9" authorId="0" shapeId="0">
      <text>
        <t>Tanım: Genel gider V0 tutar | Neden önemli: Navlun maliyeti ve hat yatırım kararını etkiler | Doğru kullanım: Eski versiyon (V0) maliyet | Örnek: demo satırına bakın | Yanlışsa: birim maliyet ve NPV bozulur | Kaynak: Lojistik operasyon / AYARLAR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varsayim_id | Neden önemli: Navlun maliyeti ve hat yatırım kararını etkiler | Doğru kullanım: Varsayım satırı | Örnek: demo satırına bakın | Yanlışsa: birim maliyet ve NPV bozulur | Kaynak: Lojistik operasyon / AYARLAR</t>
      </text>
    </comment>
    <comment ref="B6" authorId="0" shapeId="0">
      <text>
        <t>Tanım: aciklama | Neden önemli: Navlun maliyeti ve hat yatırım kararını etkiler | Doğru kullanım: Varsayım satırı | Örnek: demo satırına bakın | Yanlışsa: birim maliyet ve NPV bozulur | Kaynak: Lojistik operasyon / AYARLAR</t>
      </text>
    </comment>
    <comment ref="C6" authorId="0" shapeId="0">
      <text>
        <t>Tanım: deger | Neden önemli: Navlun maliyeti ve hat yatırım kararını etkiler | Doğru kullanım: Varsayım satırı | Örnek: demo satırına bakın | Yanlışsa: birim maliyet ve NPV bozulur | Kaynak: Lojistik operasyon / AYARLAR</t>
      </text>
    </comment>
    <comment ref="D6" authorId="0" shapeId="0">
      <text>
        <t>Tanım: birim | Neden önemli: Navlun maliyeti ve hat yatırım kararını etkiler | Doğru kullanım: Varsayım satırı | Örnek: demo satırına bakın | Yanlışsa: birim maliyet ve NPV bozulur | Kaynak: Lojistik operasyon / AYARLAR</t>
      </text>
    </comment>
    <comment ref="E6" authorId="0" shapeId="0">
      <text>
        <t>Tanım: kaynak | Neden önemli: Navlun maliyeti ve hat yatırım kararını etkiler | Doğru kullanım: Varsayım satırı | Örnek: demo satırına bakın | Yanlışsa: birim maliyet ve NPV bozulur | Kaynak: Lojistik operasyon / AYARLAR</t>
      </text>
    </comment>
    <comment ref="F6" authorId="0" shapeId="0">
      <text>
        <t>Tanım: guven | Neden önemli: Navlun maliyeti ve hat yatırım kararını etkiler | Doğru kullanım: Varsayım satırı | Örnek: demo satırına bakın | Yanlışsa: birim maliyet ve NPV bozulur | Kaynak: Lojistik operasyon / AYARLAR</t>
      </text>
    </comment>
    <comment ref="G6" authorId="0" shapeId="0">
      <text>
        <t>Tanım: duyarlilik | Neden önemli: Navlun maliyeti ve hat yatırım kararını etkiler | Doğru kullanım: Varsayım satırı | Örnek: demo satırına bakın | Yanlışsa: birim maliyet ve NPV bozulur | Kaynak: Lojistik operasyon / AYARLAR</t>
      </text>
    </comment>
    <comment ref="A7" authorId="0" shapeId="0">
      <text>
        <t>Tanım: varsayim_id | Neden önemli: Navlun maliyeti ve hat yatırım kararını etkiler | Doğru kullanım: Varsayım satırı | Örnek: demo satırına bakın | Yanlışsa: birim maliyet ve NPV bozulur | Kaynak: Lojistik operasyon / AYARLAR</t>
      </text>
    </comment>
    <comment ref="B7" authorId="0" shapeId="0">
      <text>
        <t>Tanım: aciklama | Neden önemli: Navlun maliyeti ve hat yatırım kararını etkiler | Doğru kullanım: Varsayım satırı | Örnek: demo satırına bakın | Yanlışsa: birim maliyet ve NPV bozulur | Kaynak: Lojistik operasyon / AYARLAR</t>
      </text>
    </comment>
    <comment ref="C7" authorId="0" shapeId="0">
      <text>
        <t>Tanım: deger | Neden önemli: Navlun maliyeti ve hat yatırım kararını etkiler | Doğru kullanım: Varsayım satırı | Örnek: demo satırına bakın | Yanlışsa: birim maliyet ve NPV bozulur | Kaynak: Lojistik operasyon / AYARLAR</t>
      </text>
    </comment>
    <comment ref="D7" authorId="0" shapeId="0">
      <text>
        <t>Tanım: birim | Neden önemli: Navlun maliyeti ve hat yatırım kararını etkiler | Doğru kullanım: Varsayım satırı | Örnek: demo satırına bakın | Yanlışsa: birim maliyet ve NPV bozulur | Kaynak: Lojistik operasyon / AYARLAR</t>
      </text>
    </comment>
    <comment ref="E7" authorId="0" shapeId="0">
      <text>
        <t>Tanım: kaynak | Neden önemli: Navlun maliyeti ve hat yatırım kararını etkiler | Doğru kullanım: Varsayım satırı | Örnek: demo satırına bakın | Yanlışsa: birim maliyet ve NPV bozulur | Kaynak: Lojistik operasyon / AYARLAR</t>
      </text>
    </comment>
    <comment ref="F7" authorId="0" shapeId="0">
      <text>
        <t>Tanım: guven | Neden önemli: Navlun maliyeti ve hat yatırım kararını etkiler | Doğru kullanım: Varsayım satırı | Örnek: demo satırına bakın | Yanlışsa: birim maliyet ve NPV bozulur | Kaynak: Lojistik operasyon / AYARLAR</t>
      </text>
    </comment>
    <comment ref="G7" authorId="0" shapeId="0">
      <text>
        <t>Tanım: duyarlilik | Neden önemli: Navlun maliyeti ve hat yatırım kararını etkiler | Doğru kullanım: Varsayım satırı | Örnek: demo satırına bakın | Yanlışsa: birim maliyet ve NPV bozulur | Kaynak: Lojistik operasyon / AYARLAR</t>
      </text>
    </comment>
    <comment ref="A8" authorId="0" shapeId="0">
      <text>
        <t>Tanım: varsayim_id | Neden önemli: Navlun maliyeti ve hat yatırım kararını etkiler | Doğru kullanım: Varsayım satırı | Örnek: demo satırına bakın | Yanlışsa: birim maliyet ve NPV bozulur | Kaynak: Lojistik operasyon / AYARLAR</t>
      </text>
    </comment>
    <comment ref="B8" authorId="0" shapeId="0">
      <text>
        <t>Tanım: aciklama | Neden önemli: Navlun maliyeti ve hat yatırım kararını etkiler | Doğru kullanım: Varsayım satırı | Örnek: demo satırına bakın | Yanlışsa: birim maliyet ve NPV bozulur | Kaynak: Lojistik operasyon / AYARLAR</t>
      </text>
    </comment>
    <comment ref="C8" authorId="0" shapeId="0">
      <text>
        <t>Tanım: deger | Neden önemli: Navlun maliyeti ve hat yatırım kararını etkiler | Doğru kullanım: Varsayım satırı | Örnek: demo satırına bakın | Yanlışsa: birim maliyet ve NPV bozulur | Kaynak: Lojistik operasyon / AYARLAR</t>
      </text>
    </comment>
    <comment ref="D8" authorId="0" shapeId="0">
      <text>
        <t>Tanım: birim | Neden önemli: Navlun maliyeti ve hat yatırım kararını etkiler | Doğru kullanım: Varsayım satırı | Örnek: demo satırına bakın | Yanlışsa: birim maliyet ve NPV bozulur | Kaynak: Lojistik operasyon / AYARLAR</t>
      </text>
    </comment>
    <comment ref="E8" authorId="0" shapeId="0">
      <text>
        <t>Tanım: kaynak | Neden önemli: Navlun maliyeti ve hat yatırım kararını etkiler | Doğru kullanım: Varsayım satırı | Örnek: demo satırına bakın | Yanlışsa: birim maliyet ve NPV bozulur | Kaynak: Lojistik operasyon / AYARLAR</t>
      </text>
    </comment>
    <comment ref="F8" authorId="0" shapeId="0">
      <text>
        <t>Tanım: guven | Neden önemli: Navlun maliyeti ve hat yatırım kararını etkiler | Doğru kullanım: Varsayım satırı | Örnek: demo satırına bakın | Yanlışsa: birim maliyet ve NPV bozulur | Kaynak: Lojistik operasyon / AYARLAR</t>
      </text>
    </comment>
    <comment ref="G8" authorId="0" shapeId="0">
      <text>
        <t>Tanım: duyarlilik | Neden önemli: Navlun maliyeti ve hat yatırım kararını etkiler | Doğru kullanım: Varsayım satırı | Örnek: demo satırına bakın | Yanlışsa: birim maliyet ve NPV bozulur | Kaynak: Lojistik operasyon / AYARLAR</t>
      </text>
    </comment>
    <comment ref="A9" authorId="0" shapeId="0">
      <text>
        <t>Tanım: varsayim_id | Neden önemli: Navlun maliyeti ve hat yatırım kararını etkiler | Doğru kullanım: Varsayım satırı | Örnek: demo satırına bakın | Yanlışsa: birim maliyet ve NPV bozulur | Kaynak: Lojistik operasyon / AYARLAR</t>
      </text>
    </comment>
    <comment ref="B9" authorId="0" shapeId="0">
      <text>
        <t>Tanım: aciklama | Neden önemli: Navlun maliyeti ve hat yatırım kararını etkiler | Doğru kullanım: Varsayım satırı | Örnek: demo satırına bakın | Yanlışsa: birim maliyet ve NPV bozulur | Kaynak: Lojistik operasyon / AYARLAR</t>
      </text>
    </comment>
    <comment ref="C9" authorId="0" shapeId="0">
      <text>
        <t>Tanım: deger | Neden önemli: Navlun maliyeti ve hat yatırım kararını etkiler | Doğru kullanım: Varsayım satırı | Örnek: demo satırına bakın | Yanlışsa: birim maliyet ve NPV bozulur | Kaynak: Lojistik operasyon / AYARLAR</t>
      </text>
    </comment>
    <comment ref="D9" authorId="0" shapeId="0">
      <text>
        <t>Tanım: birim | Neden önemli: Navlun maliyeti ve hat yatırım kararını etkiler | Doğru kullanım: Varsayım satırı | Örnek: demo satırına bakın | Yanlışsa: birim maliyet ve NPV bozulur | Kaynak: Lojistik operasyon / AYARLAR</t>
      </text>
    </comment>
    <comment ref="E9" authorId="0" shapeId="0">
      <text>
        <t>Tanım: kaynak | Neden önemli: Navlun maliyeti ve hat yatırım kararını etkiler | Doğru kullanım: Varsayım satırı | Örnek: demo satırına bakın | Yanlışsa: birim maliyet ve NPV bozulur | Kaynak: Lojistik operasyon / AYARLAR</t>
      </text>
    </comment>
    <comment ref="F9" authorId="0" shapeId="0">
      <text>
        <t>Tanım: guven | Neden önemli: Navlun maliyeti ve hat yatırım kararını etkiler | Doğru kullanım: Varsayım satırı | Örnek: demo satırına bakın | Yanlışsa: birim maliyet ve NPV bozulur | Kaynak: Lojistik operasyon / AYARLAR</t>
      </text>
    </comment>
    <comment ref="G9" authorId="0" shapeId="0">
      <text>
        <t>Tanım: duyarlilik | Neden önemli: Navlun maliyeti ve hat yatırım kararını etkiler | Doğru kullanım: Varsayım satırı | Örnek: demo satırına bakın | Yanlışsa: birim maliyet ve NPV bozulur | Kaynak: Lojistik operasyon / AYARLAR</t>
      </text>
    </comment>
    <comment ref="A10" authorId="0" shapeId="0">
      <text>
        <t>Tanım: varsayim_id | Neden önemli: Navlun maliyeti ve hat yatırım kararını etkiler | Doğru kullanım: Varsayım satırı | Örnek: demo satırına bakın | Yanlışsa: birim maliyet ve NPV bozulur | Kaynak: Lojistik operasyon / AYARLAR</t>
      </text>
    </comment>
    <comment ref="B10" authorId="0" shapeId="0">
      <text>
        <t>Tanım: aciklama | Neden önemli: Navlun maliyeti ve hat yatırım kararını etkiler | Doğru kullanım: Varsayım satırı | Örnek: demo satırına bakın | Yanlışsa: birim maliyet ve NPV bozulur | Kaynak: Lojistik operasyon / AYARLAR</t>
      </text>
    </comment>
    <comment ref="C10" authorId="0" shapeId="0">
      <text>
        <t>Tanım: deger | Neden önemli: Navlun maliyeti ve hat yatırım kararını etkiler | Doğru kullanım: Varsayım satırı | Örnek: demo satırına bakın | Yanlışsa: birim maliyet ve NPV bozulur | Kaynak: Lojistik operasyon / AYARLAR</t>
      </text>
    </comment>
    <comment ref="D10" authorId="0" shapeId="0">
      <text>
        <t>Tanım: birim | Neden önemli: Navlun maliyeti ve hat yatırım kararını etkiler | Doğru kullanım: Varsayım satırı | Örnek: demo satırına bakın | Yanlışsa: birim maliyet ve NPV bozulur | Kaynak: Lojistik operasyon / AYARLAR</t>
      </text>
    </comment>
    <comment ref="E10" authorId="0" shapeId="0">
      <text>
        <t>Tanım: kaynak | Neden önemli: Navlun maliyeti ve hat yatırım kararını etkiler | Doğru kullanım: Varsayım satırı | Örnek: demo satırına bakın | Yanlışsa: birim maliyet ve NPV bozulur | Kaynak: Lojistik operasyon / AYARLAR</t>
      </text>
    </comment>
    <comment ref="F10" authorId="0" shapeId="0">
      <text>
        <t>Tanım: guven | Neden önemli: Navlun maliyeti ve hat yatırım kararını etkiler | Doğru kullanım: Varsayım satırı | Örnek: demo satırına bakın | Yanlışsa: birim maliyet ve NPV bozulur | Kaynak: Lojistik operasyon / AYARLAR</t>
      </text>
    </comment>
    <comment ref="G10" authorId="0" shapeId="0">
      <text>
        <t>Tanım: duyarlilik | Neden önemli: Navlun maliyeti ve hat yatırım kararını etkiler | Doğru kullanım: Varsayım satırı | Örnek: demo satırına bakın | Yanlışsa: birim maliyet ve NPV bozulur | Kaynak: Lojistik operasyon / AYARLAR</t>
      </text>
    </comment>
    <comment ref="A11" authorId="0" shapeId="0">
      <text>
        <t>Tanım: varsayim_id | Neden önemli: Navlun maliyeti ve hat yatırım kararını etkiler | Doğru kullanım: Varsayım satırı | Örnek: demo satırına bakın | Yanlışsa: birim maliyet ve NPV bozulur | Kaynak: Lojistik operasyon / AYARLAR</t>
      </text>
    </comment>
    <comment ref="B11" authorId="0" shapeId="0">
      <text>
        <t>Tanım: aciklama | Neden önemli: Navlun maliyeti ve hat yatırım kararını etkiler | Doğru kullanım: Varsayım satırı | Örnek: demo satırına bakın | Yanlışsa: birim maliyet ve NPV bozulur | Kaynak: Lojistik operasyon / AYARLAR</t>
      </text>
    </comment>
    <comment ref="C11" authorId="0" shapeId="0">
      <text>
        <t>Tanım: deger | Neden önemli: Navlun maliyeti ve hat yatırım kararını etkiler | Doğru kullanım: Varsayım satırı | Örnek: demo satırına bakın | Yanlışsa: birim maliyet ve NPV bozulur | Kaynak: Lojistik operasyon / AYARLAR</t>
      </text>
    </comment>
    <comment ref="D11" authorId="0" shapeId="0">
      <text>
        <t>Tanım: birim | Neden önemli: Navlun maliyeti ve hat yatırım kararını etkiler | Doğru kullanım: Varsayım satırı | Örnek: demo satırına bakın | Yanlışsa: birim maliyet ve NPV bozulur | Kaynak: Lojistik operasyon / AYARLAR</t>
      </text>
    </comment>
    <comment ref="E11" authorId="0" shapeId="0">
      <text>
        <t>Tanım: kaynak | Neden önemli: Navlun maliyeti ve hat yatırım kararını etkiler | Doğru kullanım: Varsayım satırı | Örnek: demo satırına bakın | Yanlışsa: birim maliyet ve NPV bozulur | Kaynak: Lojistik operasyon / AYARLAR</t>
      </text>
    </comment>
    <comment ref="F11" authorId="0" shapeId="0">
      <text>
        <t>Tanım: guven | Neden önemli: Navlun maliyeti ve hat yatırım kararını etkiler | Doğru kullanım: Varsayım satırı | Örnek: demo satırına bakın | Yanlışsa: birim maliyet ve NPV bozulur | Kaynak: Lojistik operasyon / AYARLAR</t>
      </text>
    </comment>
    <comment ref="G11" authorId="0" shapeId="0">
      <text>
        <t>Tanım: duyarlilik | Neden önemli: Navlun maliyeti ve hat yatırım kararını etkiler | Doğru kullanım: Varsayım satırı | Örnek: demo satırına bakın | Yanlışsa: birim maliyet ve NPV bozulur | Kaynak: Lojistik operasyon / AYARLAR</t>
      </text>
    </comment>
    <comment ref="A12" authorId="0" shapeId="0">
      <text>
        <t>Tanım: varsayim_id | Neden önemli: Navlun maliyeti ve hat yatırım kararını etkiler | Doğru kullanım: Varsayım satırı | Örnek: demo satırına bakın | Yanlışsa: birim maliyet ve NPV bozulur | Kaynak: Lojistik operasyon / AYARLAR</t>
      </text>
    </comment>
    <comment ref="B12" authorId="0" shapeId="0">
      <text>
        <t>Tanım: aciklama | Neden önemli: Navlun maliyeti ve hat yatırım kararını etkiler | Doğru kullanım: Varsayım satırı | Örnek: demo satırına bakın | Yanlışsa: birim maliyet ve NPV bozulur | Kaynak: Lojistik operasyon / AYARLAR</t>
      </text>
    </comment>
    <comment ref="C12" authorId="0" shapeId="0">
      <text>
        <t>Tanım: deger | Neden önemli: Navlun maliyeti ve hat yatırım kararını etkiler | Doğru kullanım: Varsayım satırı | Örnek: demo satırına bakın | Yanlışsa: birim maliyet ve NPV bozulur | Kaynak: Lojistik operasyon / AYARLAR</t>
      </text>
    </comment>
    <comment ref="D12" authorId="0" shapeId="0">
      <text>
        <t>Tanım: birim | Neden önemli: Navlun maliyeti ve hat yatırım kararını etkiler | Doğru kullanım: Varsayım satırı | Örnek: demo satırına bakın | Yanlışsa: birim maliyet ve NPV bozulur | Kaynak: Lojistik operasyon / AYARLAR</t>
      </text>
    </comment>
    <comment ref="E12" authorId="0" shapeId="0">
      <text>
        <t>Tanım: kaynak | Neden önemli: Navlun maliyeti ve hat yatırım kararını etkiler | Doğru kullanım: Varsayım satırı | Örnek: demo satırına bakın | Yanlışsa: birim maliyet ve NPV bozulur | Kaynak: Lojistik operasyon / AYARLAR</t>
      </text>
    </comment>
    <comment ref="F12" authorId="0" shapeId="0">
      <text>
        <t>Tanım: guven | Neden önemli: Navlun maliyeti ve hat yatırım kararını etkiler | Doğru kullanım: Varsayım satırı | Örnek: demo satırına bakın | Yanlışsa: birim maliyet ve NPV bozulur | Kaynak: Lojistik operasyon / AYARLAR</t>
      </text>
    </comment>
    <comment ref="G12" authorId="0" shapeId="0">
      <text>
        <t>Tanım: duyarlilik | Neden önemli: Navlun maliyeti ve hat yatırım kararını etkiler | Doğru kullanım: Varsayım satırı | Örnek: demo satırına bakın | Yanlışsa: birim maliyet ve NPV bozulur | Kaynak: Lojistik operasyon / AYARLAR</t>
      </text>
    </comment>
    <comment ref="A13" authorId="0" shapeId="0">
      <text>
        <t>Tanım: varsayim_id | Neden önemli: Navlun maliyeti ve hat yatırım kararını etkiler | Doğru kullanım: Varsayım satırı | Örnek: demo satırına bakın | Yanlışsa: birim maliyet ve NPV bozulur | Kaynak: Lojistik operasyon / AYARLAR</t>
      </text>
    </comment>
    <comment ref="B13" authorId="0" shapeId="0">
      <text>
        <t>Tanım: aciklama | Neden önemli: Navlun maliyeti ve hat yatırım kararını etkiler | Doğru kullanım: Varsayım satırı | Örnek: demo satırına bakın | Yanlışsa: birim maliyet ve NPV bozulur | Kaynak: Lojistik operasyon / AYARLAR</t>
      </text>
    </comment>
    <comment ref="C13" authorId="0" shapeId="0">
      <text>
        <t>Tanım: deger | Neden önemli: Navlun maliyeti ve hat yatırım kararını etkiler | Doğru kullanım: Varsayım satırı | Örnek: demo satırına bakın | Yanlışsa: birim maliyet ve NPV bozulur | Kaynak: Lojistik operasyon / AYARLAR</t>
      </text>
    </comment>
    <comment ref="D13" authorId="0" shapeId="0">
      <text>
        <t>Tanım: birim | Neden önemli: Navlun maliyeti ve hat yatırım kararını etkiler | Doğru kullanım: Varsayım satırı | Örnek: demo satırına bakın | Yanlışsa: birim maliyet ve NPV bozulur | Kaynak: Lojistik operasyon / AYARLAR</t>
      </text>
    </comment>
    <comment ref="E13" authorId="0" shapeId="0">
      <text>
        <t>Tanım: kaynak | Neden önemli: Navlun maliyeti ve hat yatırım kararını etkiler | Doğru kullanım: Varsayım satırı | Örnek: demo satırına bakın | Yanlışsa: birim maliyet ve NPV bozulur | Kaynak: Lojistik operasyon / AYARLAR</t>
      </text>
    </comment>
    <comment ref="F13" authorId="0" shapeId="0">
      <text>
        <t>Tanım: guven | Neden önemli: Navlun maliyeti ve hat yatırım kararını etkiler | Doğru kullanım: Varsayım satırı | Örnek: demo satırına bakın | Yanlışsa: birim maliyet ve NPV bozulur | Kaynak: Lojistik operasyon / AYARLAR</t>
      </text>
    </comment>
    <comment ref="G13" authorId="0" shapeId="0">
      <text>
        <t>Tanım: duyarlilik | Neden önemli: Navlun maliyeti ve hat yatırım kararını etkiler | Doğru kullanım: Varsayım satırı | Örnek: demo satırına bakın | Yanlışsa: birim maliyet ve NPV bozulur | Kaynak: Lojistik operasyon / AYARLAR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26" authorId="0" shapeId="0">
      <text>
        <t>Tanım: Hazırlayan | Neden önemli: Navlun maliyeti ve hat yatırım kararını etkiler | Doğru kullanım: Ad soyad imza alanı | Örnek: demo satırına bakın | Yanlışsa: birim maliyet ve NPV bozulur | Kaynak: Lojistik operasyon / AYARLAR</t>
      </text>
    </comment>
    <comment ref="B27" authorId="0" shapeId="0">
      <text>
        <t>Tanım: Onaylayan | Neden önemli: Navlun maliyeti ve hat yatırım kararını etkiler | Doğru kullanım: CFO / müdür imza alanı | Örnek: demo satırına bakın | Yanlışsa: birim maliyet ve NPV bozulur | Kaynak: Lojistik operasyon / AYARLAR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A6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B6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C6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D6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E6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F6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G6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H6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A7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B7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C7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D7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E7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F7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G7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H7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A8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B8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C8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D8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E8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F8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G8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H8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A9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B9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C9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D9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E9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F9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G9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H9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A10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B10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C10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D10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E10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F10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G10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  <comment ref="H10" authorId="0" shapeId="0">
      <text>
        <t>Tanım: Örnek | Neden önemli: Navlun maliyeti ve hat yatırım kararını etkiler | Doğru kullanım: Demo sevkiyat satırı | Örnek: demo satırına bakın | Yanlışsa: birim maliyet ve NPV bozulur | Kaynak: Lojistik operasyon / AYARLAR</t>
      </text>
    </comment>
  </commentList>
</comments>
</file>

<file path=xl/comments/comment9.xml><?xml version="1.0" encoding="utf-8"?>
<comments xmlns="http://schemas.openxmlformats.org/spreadsheetml/2006/main">
  <authors>
    <author>ExcelArşiv</author>
  </authors>
  <commentList>
    <comment ref="B6" authorId="0" shapeId="0">
      <text>
        <t>Tanım: firmaUnvani | Neden önemli: Navlun maliyeti ve hat yatırım kararını etkiler | Doğru kullanım: Rapor unvanı | Örnek: demo satırına bakın | Yanlışsa: birim maliyet ve NPV bozulur | Kaynak: Lojistik operasyon / AYARLAR</t>
      </text>
    </comment>
    <comment ref="B8" authorId="0" shapeId="0">
      <text>
        <t>Tanım: sfn_tolerans | Neden önemli: Navlun maliyeti ve hat yatırım kararını etkiler | Doğru kullanım: Çapraz tutarlılık toleransı | Örnek: demo satırına bakın | Yanlışsa: birim maliyet ve NPV bozulur | Kaynak: Lojistik operasyon / AYARLAR</t>
      </text>
    </comment>
    <comment ref="B9" authorId="0" shapeId="0">
      <text>
        <t>Tanım: sfn_bilesimTolerans | Neden önemli: Navlun maliyeti ve hat yatırım kararını etkiler | Doğru kullanım: Bileşim %100 toleransı | Örnek: demo satırına bakın | Yanlışsa: birim maliyet ve NPV bozulur | Kaynak: Lojistik operasyon / AYARLAR</t>
      </text>
    </comment>
    <comment ref="B10" authorId="0" shapeId="0">
      <text>
        <t>Tanım: sfn_hedefYuzde | Neden önemli: Navlun maliyeti ve hat yatırım kararını etkiler | Doğru kullanım: Bileşim hedefi %100 | Örnek: demo satırına bakın | Yanlışsa: birim maliyet ve NPV bozulur | Kaynak: Lojistik operasyon / AYARLAR</t>
      </text>
    </comment>
    <comment ref="B11" authorId="0" shapeId="0">
      <text>
        <t>Tanım: sfn_senaryoIyi | Neden önemli: Navlun maliyeti ve hat yatırım kararını etkiler | Doğru kullanım: İyimser maliyet çarpanı | Örnek: demo satırına bakın | Yanlışsa: birim maliyet ve NPV bozulur | Kaynak: Lojistik operasyon / AYARLAR</t>
      </text>
    </comment>
    <comment ref="B12" authorId="0" shapeId="0">
      <text>
        <t>Tanım: sfn_senaryoKotu | Neden önemli: Navlun maliyeti ve hat yatırım kararını etkiler | Doğru kullanım: Kötümser maliyet çarpanı | Örnek: demo satırına bakın | Yanlışsa: birim maliyet ve NPV bozulur | Kaynak: Lojistik operasyon / AYARLAR</t>
      </text>
    </comment>
    <comment ref="B13" authorId="0" shapeId="0">
      <text>
        <t>Tanım: sfn_tornadoYakit | Neden önemli: Navlun maliyeti ve hat yatırım kararını etkiler | Doğru kullanım: Yakıt tornado şoku | Örnek: demo satırına bakın | Yanlışsa: birim maliyet ve NPV bozulur | Kaynak: Lojistik operasyon / AYARLAR</t>
      </text>
    </comment>
    <comment ref="B14" authorId="0" shapeId="0">
      <text>
        <t>Tanım: sfn_tornadoDonus | Neden önemli: Navlun maliyeti ve hat yatırım kararını etkiler | Doğru kullanım: Dönüş tornado şoku | Örnek: demo satırına bakın | Yanlışsa: birim maliyet ve NPV bozulur | Kaynak: Lojistik operasyon / AYARLAR</t>
      </text>
    </comment>
    <comment ref="B15" authorId="0" shapeId="0">
      <text>
        <t>Tanım: sfn_tornadoKm | Neden önemli: Navlun maliyeti ve hat yatırım kararını etkiler | Doğru kullanım: Km tornado şoku | Örnek: demo satırına bakın | Yanlışsa: birim maliyet ve NPV bozulur | Kaynak: Lojistik operasyon / AYARLAR</t>
      </text>
    </comment>
    <comment ref="B16" authorId="0" shapeId="0">
      <text>
        <t>Tanım: sfn_tahminAlt | Neden önemli: Navlun maliyeti ve hat yatırım kararını etkiler | Doğru kullanım: Tahmin alt çarpan | Örnek: demo satırına bakın | Yanlışsa: birim maliyet ve NPV bozulur | Kaynak: Lojistik operasyon / AYARLAR</t>
      </text>
    </comment>
    <comment ref="B17" authorId="0" shapeId="0">
      <text>
        <t>Tanım: sfn_tahminUst | Neden önemli: Navlun maliyeti ve hat yatırım kararını etkiler | Doğru kullanım: Tahmin üst çarpan | Örnek: demo satırına bakın | Yanlışsa: birim maliyet ve NPV bozulur | Kaynak: Lojistik operasyon / AYARLAR</t>
      </text>
    </comment>
    <comment ref="B18" authorId="0" shapeId="0">
      <text>
        <t>Tanım: sfn_yuzdelikOran | Neden önemli: Navlun maliyeti ve hat yatırım kararını etkiler | Doğru kullanım: P90 oranı | Örnek: demo satırına bakın | Yanlışsa: birim maliyet ve NPV bozulur | Kaynak: Lojistik operasyon / AYARLAR</t>
      </text>
    </comment>
    <comment ref="B20" authorId="0" shapeId="0">
      <text>
        <t>Tanım: sfn_girisBeklenen | Neden önemli: Navlun maliyeti ve hat yatırım kararını etkiler | Doğru kullanım: Beklenen giriş alanı | Örnek: demo satırına bakın | Yanlışsa: birim maliyet ve NPV bozulur | Kaynak: Lojistik operasyon / AYARLAR</t>
      </text>
    </comment>
    <comment ref="B21" authorId="0" shapeId="0">
      <text>
        <t>Tanım: sfn_riskDusuk | Neden önemli: Navlun maliyeti ve hat yatırım kararını etkiler | Doğru kullanım: Düşük risk | Örnek: demo satırına bakın | Yanlışsa: birim maliyet ve NPV bozulur | Kaynak: Lojistik operasyon / AYARLAR</t>
      </text>
    </comment>
    <comment ref="B22" authorId="0" shapeId="0">
      <text>
        <t>Tanım: sfn_riskOrta | Neden önemli: Navlun maliyeti ve hat yatırım kararını etkiler | Doğru kullanım: Orta risk | Örnek: demo satırına bakın | Yanlışsa: birim maliyet ve NPV bozulur | Kaynak: Lojistik operasyon / AYARLAR</t>
      </text>
    </comment>
    <comment ref="B23" authorId="0" shapeId="0">
      <text>
        <t>Tanım: sfn_riskYuksek | Neden önemli: Navlun maliyeti ve hat yatırım kararını etkiler | Doğru kullanım: Yüksek risk | Örnek: demo satırına bakın | Yanlışsa: birim maliyet ve NPV bozulur | Kaynak: Lojistik operasyon / AYARLAR</t>
      </text>
    </comment>
    <comment ref="B24" authorId="0" shapeId="0">
      <text>
        <t>Tanım: sfn_yuvarMax | Neden önemli: Navlun maliyeti ve hat yatırım kararını etkiler | Doğru kullanım: Yuvarlama ondalık tavan | Örnek: demo satırına bakın | Yanlışsa: birim maliyet ve NPV bozulur | Kaynak: Lojistik operasyon / AYARLAR</t>
      </text>
    </comment>
    <comment ref="B25" authorId="0" shapeId="0">
      <text>
        <t>Tanım: sfn_bazCarpan | Neden önemli: Navlun maliyeti ve hat yatırım kararını etkiler | Doğru kullanım: Baz çarpan (1) | Örnek: demo satırına bakın | Yanlışsa: birim maliyet ve NPV bozulur | Kaynak: Lojistik operasyon / AYARLAR</t>
      </text>
    </comment>
    <comment ref="B26" authorId="0" shapeId="0">
      <text>
        <t>Tanım: sfn_sifirCarpan | Neden önemli: Navlun maliyeti ve hat yatırım kararını etkiler | Doğru kullanım: Sıfır çarpan | Örnek: demo satırına bakın | Yanlışsa: birim maliyet ve NPV bozulur | Kaynak: Lojistik operasyon / AYARLAR</t>
      </text>
    </comment>
    <comment ref="B27" authorId="0" shapeId="0">
      <text>
        <t>Tanım: sfn_siraBir | Neden önemli: Navlun maliyeti ve hat yatırım kararını etkiler | Doğru kullanım: Tornado yardımcı | Örnek: demo satırına bakın | Yanlışsa: birim maliyet ve NPV bozulur | Kaynak: Lojistik operasyon / AYARLAR</t>
      </text>
    </comment>
    <comment ref="B28" authorId="0" shapeId="0">
      <text>
        <t>Tanım: sfn_npvDikkat | Neden önemli: Navlun maliyeti ve hat yatırım kararını etkiler | Doğru kullanım: NPV dikkat eşiği | Örnek: demo satırına bakın | Yanlışsa: birim maliyet ve NPV bozulur | Kaynak: Lojistik operasyon / AYARLAR</t>
      </text>
    </comment>
    <comment ref="B29" authorId="0" shapeId="0">
      <text>
        <t>Tanım: sfn_gidisDonus | Neden önemli: Navlun maliyeti ve hat yatırım kararını etkiler | Doğru kullanım: Gidiş-dönüş çarpanı | Örnek: demo satırına bakın | Yanlışsa: birim maliyet ve NPV bozulur | Kaynak: Lojistik operasyon / AYARLAR</t>
      </text>
    </comment>
    <comment ref="B30" authorId="0" shapeId="0">
      <text>
        <t>Tanım: sfn_kmSaat | Neden önemli: Navlun maliyeti ve hat yatırım kararını etkiler | Doğru kullanım: Ortalama hız | Örnek: demo satırına bakın | Yanlışsa: birim maliyet ve NPV bozulur | Kaynak: Lojistik operasyon / AYARLAR</t>
      </text>
    </comment>
    <comment ref="B31" authorId="0" shapeId="0">
      <text>
        <t>Tanım: sfn_donusCarpan | Neden önemli: Navlun maliyeti ve hat yatırım kararını etkiler | Doğru kullanım: Dönüş katkı verim | Örnek: demo satırına bakın | Yanlışsa: birim maliyet ve NPV bozulur | Kaynak: Lojistik operasyon / AYARLAR</t>
      </text>
    </comment>
    <comment ref="B32" authorId="0" shapeId="0">
      <text>
        <t>Tanım: sfn_varyansFiyatPay | Neden önemli: Navlun maliyeti ve hat yatırım kararını etkiler | Doğru kullanım: Varyans fiyat payı | Örnek: demo satırına bakın | Yanlışsa: birim maliyet ve NPV bozulur | Kaynak: Lojistik operasyon / AYARLAR</t>
      </text>
    </comment>
    <comment ref="B33" authorId="0" shapeId="0">
      <text>
        <t>Tanım: sfn_varyansMiktarPay | Neden önemli: Navlun maliyeti ve hat yatırım kararını etkiler | Doğru kullanım: Varyans miktar payı | Örnek: demo satırına bakın | Yanlışsa: birim maliyet ve NPV bozulur | Kaynak: Lojistik operasyon / AYARLAR</t>
      </text>
    </comment>
    <comment ref="B34" authorId="0" shapeId="0">
      <text>
        <t>Tanım: sfn_varyansKarisimPay | Neden önemli: Navlun maliyeti ve hat yatırım kararını etkiler | Doğru kullanım: Varyans karışım payı | Örnek: demo satırına bakın | Yanlışsa: birim maliyet ve NPV bozulur | Kaynak: Lojistik operasyon / AYARLAR</t>
      </text>
    </comment>
    <comment ref="B35" authorId="0" shapeId="0">
      <text>
        <t>Tanım: sfn_senaryoIyiIrr | Neden önemli: Navlun maliyeti ve hat yatırım kararını etkiler | Doğru kullanım: İyimser IRR çarpan | Örnek: demo satırına bakın | Yanlışsa: birim maliyet ve NPV bozulur | Kaynak: Lojistik operasyon / AYARLAR</t>
      </text>
    </comment>
    <comment ref="B36" authorId="0" shapeId="0">
      <text>
        <t>Tanım: sfn_senaryoKotuIrr | Neden önemli: Navlun maliyeti ve hat yatırım kararını etkiler | Doğru kullanım: Kötümser IRR çarpan | Örnek: demo satırına bakın | Yanlışsa: birim maliyet ve NPV bozulur | Kaynak: Lojistik operasyon / AYARLAR</t>
      </text>
    </comment>
    <comment ref="A42" authorId="0" shapeId="0">
      <text>
        <t>Tanım: donusum_id | Neden önemli: Navlun maliyeti ve hat yatırım kararını etkiler | Doğru kullanım: Dönüşüm satırı | Örnek: demo satırına bakın | Yanlışsa: birim maliyet ve NPV bozulur | Kaynak: Lojistik operasyon / AYARLAR</t>
      </text>
    </comment>
    <comment ref="B42" authorId="0" shapeId="0">
      <text>
        <t>Tanım: kaynak_birim | Neden önemli: Navlun maliyeti ve hat yatırım kararını etkiler | Doğru kullanım: Dönüşüm satırı | Örnek: demo satırına bakın | Yanlışsa: birim maliyet ve NPV bozulur | Kaynak: Lojistik operasyon / AYARLAR</t>
      </text>
    </comment>
    <comment ref="C42" authorId="0" shapeId="0">
      <text>
        <t>Tanım: hedef_birim | Neden önemli: Navlun maliyeti ve hat yatırım kararını etkiler | Doğru kullanım: Dönüşüm satırı | Örnek: demo satırına bakın | Yanlışsa: birim maliyet ve NPV bozulur | Kaynak: Lojistik operasyon / AYARLAR</t>
      </text>
    </comment>
    <comment ref="D42" authorId="0" shapeId="0">
      <text>
        <t>Tanım: katsayi | Neden önemli: Navlun maliyeti ve hat yatırım kararını etkiler | Doğru kullanım: Dönüşüm satırı | Örnek: demo satırına bakın | Yanlışsa: birim maliyet ve NPV bozulur | Kaynak: Lojistik operasyon / AYARLAR</t>
      </text>
    </comment>
    <comment ref="E42" authorId="0" shapeId="0">
      <text>
        <t>Tanım: aciklama | Neden önemli: Navlun maliyeti ve hat yatırım kararını etkiler | Doğru kullanım: Dönüşüm satırı | Örnek: demo satırına bakın | Yanlışsa: birim maliyet ve NPV bozulur | Kaynak: Lojistik operasyon / AYARLAR</t>
      </text>
    </comment>
    <comment ref="F42" authorId="0" shapeId="0">
      <text>
        <t>Tanım: kaynak | Neden önemli: Navlun maliyeti ve hat yatırım kararını etkiler | Doğru kullanım: Dönüşüm satırı | Örnek: demo satırına bakın | Yanlışsa: birim maliyet ve NPV bozulur | Kaynak: Lojistik operasyon / AYARLAR</t>
      </text>
    </comment>
    <comment ref="A43" authorId="0" shapeId="0">
      <text>
        <t>Tanım: donusum_id | Neden önemli: Navlun maliyeti ve hat yatırım kararını etkiler | Doğru kullanım: Dönüşüm satırı | Örnek: demo satırına bakın | Yanlışsa: birim maliyet ve NPV bozulur | Kaynak: Lojistik operasyon / AYARLAR</t>
      </text>
    </comment>
    <comment ref="B43" authorId="0" shapeId="0">
      <text>
        <t>Tanım: kaynak_birim | Neden önemli: Navlun maliyeti ve hat yatırım kararını etkiler | Doğru kullanım: Dönüşüm satırı | Örnek: demo satırına bakın | Yanlışsa: birim maliyet ve NPV bozulur | Kaynak: Lojistik operasyon / AYARLAR</t>
      </text>
    </comment>
    <comment ref="C43" authorId="0" shapeId="0">
      <text>
        <t>Tanım: hedef_birim | Neden önemli: Navlun maliyeti ve hat yatırım kararını etkiler | Doğru kullanım: Dönüşüm satırı | Örnek: demo satırına bakın | Yanlışsa: birim maliyet ve NPV bozulur | Kaynak: Lojistik operasyon / AYARLAR</t>
      </text>
    </comment>
    <comment ref="D43" authorId="0" shapeId="0">
      <text>
        <t>Tanım: katsayi | Neden önemli: Navlun maliyeti ve hat yatırım kararını etkiler | Doğru kullanım: Dönüşüm satırı | Örnek: demo satırına bakın | Yanlışsa: birim maliyet ve NPV bozulur | Kaynak: Lojistik operasyon / AYARLAR</t>
      </text>
    </comment>
    <comment ref="E43" authorId="0" shapeId="0">
      <text>
        <t>Tanım: aciklama | Neden önemli: Navlun maliyeti ve hat yatırım kararını etkiler | Doğru kullanım: Dönüşüm satırı | Örnek: demo satırına bakın | Yanlışsa: birim maliyet ve NPV bozulur | Kaynak: Lojistik operasyon / AYARLAR</t>
      </text>
    </comment>
    <comment ref="F43" authorId="0" shapeId="0">
      <text>
        <t>Tanım: kaynak | Neden önemli: Navlun maliyeti ve hat yatırım kararını etkiler | Doğru kullanım: Dönüşüm satırı | Örnek: demo satırına bakın | Yanlışsa: birim maliyet ve NPV bozulur | Kaynak: Lojistik operasyon / AYARLAR</t>
      </text>
    </comment>
    <comment ref="A44" authorId="0" shapeId="0">
      <text>
        <t>Tanım: donusum_id | Neden önemli: Navlun maliyeti ve hat yatırım kararını etkiler | Doğru kullanım: Dönüşüm satırı | Örnek: demo satırına bakın | Yanlışsa: birim maliyet ve NPV bozulur | Kaynak: Lojistik operasyon / AYARLAR</t>
      </text>
    </comment>
    <comment ref="B44" authorId="0" shapeId="0">
      <text>
        <t>Tanım: kaynak_birim | Neden önemli: Navlun maliyeti ve hat yatırım kararını etkiler | Doğru kullanım: Dönüşüm satırı | Örnek: demo satırına bakın | Yanlışsa: birim maliyet ve NPV bozulur | Kaynak: Lojistik operasyon / AYARLAR</t>
      </text>
    </comment>
    <comment ref="C44" authorId="0" shapeId="0">
      <text>
        <t>Tanım: hedef_birim | Neden önemli: Navlun maliyeti ve hat yatırım kararını etkiler | Doğru kullanım: Dönüşüm satırı | Örnek: demo satırına bakın | Yanlışsa: birim maliyet ve NPV bozulur | Kaynak: Lojistik operasyon / AYARLAR</t>
      </text>
    </comment>
    <comment ref="D44" authorId="0" shapeId="0">
      <text>
        <t>Tanım: katsayi | Neden önemli: Navlun maliyeti ve hat yatırım kararını etkiler | Doğru kullanım: Dönüşüm satırı | Örnek: demo satırına bakın | Yanlışsa: birim maliyet ve NPV bozulur | Kaynak: Lojistik operasyon / AYARLAR</t>
      </text>
    </comment>
    <comment ref="E44" authorId="0" shapeId="0">
      <text>
        <t>Tanım: aciklama | Neden önemli: Navlun maliyeti ve hat yatırım kararını etkiler | Doğru kullanım: Dönüşüm satırı | Örnek: demo satırına bakın | Yanlışsa: birim maliyet ve NPV bozulur | Kaynak: Lojistik operasyon / AYARLAR</t>
      </text>
    </comment>
    <comment ref="F44" authorId="0" shapeId="0">
      <text>
        <t>Tanım: kaynak | Neden önemli: Navlun maliyeti ve hat yatırım kararını etkiler | Doğru kullanım: Dönüşüm satırı | Örnek: demo satırına bakın | Yanlışsa: birim maliyet ve NPV bozulur | Kaynak: Lojistik operasyon / AYARLAR</t>
      </text>
    </comment>
    <comment ref="A45" authorId="0" shapeId="0">
      <text>
        <t>Tanım: donusum_id | Neden önemli: Navlun maliyeti ve hat yatırım kararını etkiler | Doğru kullanım: Dönüşüm satırı | Örnek: demo satırına bakın | Yanlışsa: birim maliyet ve NPV bozulur | Kaynak: Lojistik operasyon / AYARLAR</t>
      </text>
    </comment>
    <comment ref="B45" authorId="0" shapeId="0">
      <text>
        <t>Tanım: kaynak_birim | Neden önemli: Navlun maliyeti ve hat yatırım kararını etkiler | Doğru kullanım: Dönüşüm satırı | Örnek: demo satırına bakın | Yanlışsa: birim maliyet ve NPV bozulur | Kaynak: Lojistik operasyon / AYARLAR</t>
      </text>
    </comment>
    <comment ref="C45" authorId="0" shapeId="0">
      <text>
        <t>Tanım: hedef_birim | Neden önemli: Navlun maliyeti ve hat yatırım kararını etkiler | Doğru kullanım: Dönüşüm satırı | Örnek: demo satırına bakın | Yanlışsa: birim maliyet ve NPV bozulur | Kaynak: Lojistik operasyon / AYARLAR</t>
      </text>
    </comment>
    <comment ref="D45" authorId="0" shapeId="0">
      <text>
        <t>Tanım: katsayi | Neden önemli: Navlun maliyeti ve hat yatırım kararını etkiler | Doğru kullanım: Dönüşüm satırı | Örnek: demo satırına bakın | Yanlışsa: birim maliyet ve NPV bozulur | Kaynak: Lojistik operasyon / AYARLAR</t>
      </text>
    </comment>
    <comment ref="E45" authorId="0" shapeId="0">
      <text>
        <t>Tanım: aciklama | Neden önemli: Navlun maliyeti ve hat yatırım kararını etkiler | Doğru kullanım: Dönüşüm satırı | Örnek: demo satırına bakın | Yanlışsa: birim maliyet ve NPV bozulur | Kaynak: Lojistik operasyon / AYARLAR</t>
      </text>
    </comment>
    <comment ref="F45" authorId="0" shapeId="0">
      <text>
        <t>Tanım: kaynak | Neden önemli: Navlun maliyeti ve hat yatırım kararını etkiler | Doğru kullanım: Dönüşüm satırı | Örnek: demo satırına bakın | Yanlışsa: birim maliyet ve NPV bozulur | Kaynak: Lojistik operasyon / AYARLAR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5:F1024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Hammadde" displayName="tblHammadde" ref="A6:J1005" headerRowCount="1">
  <tableColumns count="10">
    <tableColumn id="1" name="kalem_id"/>
    <tableColumn id="2" name="kalem_ad"/>
    <tableColumn id="3" name="sinif"/>
    <tableColumn id="4" name="alim_birim"/>
    <tableColumn id="5" name="kullanim_birim"/>
    <tableColumn id="6" name="birim_fiyat"/>
    <tableColumn id="7" name="fire"/>
    <tableColumn id="8" name="tedarikci"/>
    <tableColumn id="9" name="guncelleme"/>
    <tableColumn id="10" name="net_birim">
      <calculatedColumnFormula>=IF(tblHammadde[[#This Row],[kalem_id]]="","",IFERROR(tblHammadde[[#This Row],[birim_fiyat]]*(1+tblHammadde[[#This Row],[fire]]),0))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Recete" displayName="tblRecete" ref="A5:H1004" headerRowCount="1">
  <tableColumns count="8">
    <tableColumn id="1" name="satir_id"/>
    <tableColumn id="2" name="kalem"/>
    <tableColumn id="3" name="sinif"/>
    <tableColumn id="4" name="oran"/>
    <tableColumn id="5" name="fire"/>
    <tableColumn id="6" name="versiyon"/>
    <tableColumn id="7" name="miktar_pay">
      <calculatedColumnFormula>=IF(tblRecete[[#This Row],[satir_id]]="","",IFERROR(tblRecete[[#This Row],[oran]]*(1+tblRecete[[#This Row],[fire]]),0))</calculatedColumnFormula>
    </tableColumn>
    <tableColumn id="8" name="not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Varsayim" displayName="tblVarsayim" ref="A5:H13" headerRowCount="1">
  <tableColumns count="8">
    <tableColumn id="1" name="varsayim_id"/>
    <tableColumn id="2" name="aciklama"/>
    <tableColumn id="3" name="deger"/>
    <tableColumn id="4" name="birim"/>
    <tableColumn id="5" name="kaynak"/>
    <tableColumn id="6" name="guven"/>
    <tableColumn id="7" name="duyarlilik"/>
    <tableColumn id="8" name="kontrol">
      <calculatedColumnFormula>=IF(tblVarsayim[[#This Row],[varsayim_id]]="","",IF(OR(tblVarsayim[[#This Row],[kaynak]]="",tblVarsayim[[#This Row],[guven]]=""),"EKSİK","TAM"))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Ornek" displayName="tblOrnek" ref="A5:I1004" headerRowCount="1">
  <tableColumns count="9">
    <tableColumn id="1" name="Sefer Numarasi"/>
    <tableColumn id="2" name="Arac Tipi"/>
    <tableColumn id="3" name="Km"/>
    <tableColumn id="4" name="Ton"/>
    <tableColumn id="5" name="Donus Oran"/>
    <tableColumn id="6" name="Yakit Tl"/>
    <tableColumn id="7" name="Net Navlun"/>
    <tableColumn id="8" name="Teklif"/>
    <tableColumn id="9" name="Marj Kontrol">
      <calculatedColumnFormula>=IF(tblOrnek[[#This Row],[Sefer Numarasi]]="","",IFERROR(IF(N(tblOrnek[[#This Row],[Teklif]])=0,0,(N(tblOrnek[[#This Row],[Teklif]])-N(tblOrnek[[#This Row],[Net Navlun]]))/N(tblOrnek[[#This Row],[Teklif]])),0))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Donusum" displayName="tblDonusum" ref="A41:G1040" headerRowCount="1">
  <tableColumns count="7">
    <tableColumn id="1" name="donusum_id"/>
    <tableColumn id="2" name="kaynak_birim"/>
    <tableColumn id="3" name="hedef_birim"/>
    <tableColumn id="4" name="katsayi"/>
    <tableColumn id="5" name="aciklama"/>
    <tableColumn id="6" name="kaynak"/>
    <tableColumn id="7" name="kontrol">
      <calculatedColumnFormula>=IF(tblDonusum[[#This Row],[donusum_id]]="","",IF(OR(tblDonusum[[#This Row],[katsayi]]="",tblDonusum[[#This Row],[katsayi]]&lt;=0),"HATALI","TAM"))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AC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EXCELARŞİV KARAR SİSTEMİ v15.1 — ÜRETİM REFERANSI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4" customHeight="1">
      <c r="A3" s="176" t="inlineStr">
        <is>
          <t>Konu</t>
        </is>
      </c>
      <c r="B3" s="176" t="inlineStr">
        <is>
          <t>Bağlayıcı Standart</t>
        </is>
      </c>
    </row>
    <row r="4">
      <c r="A4" s="177" t="inlineStr">
        <is>
          <t>Amaç</t>
        </is>
      </c>
      <c r="B4" s="178" t="inlineStr">
        <is>
          <t>Kanıta dayalı, hatada kapalı çalışan Excel üretim ve denetim sistemi</t>
        </is>
      </c>
    </row>
    <row r="5">
      <c r="A5" s="177" t="inlineStr">
        <is>
          <t>Öncelik</t>
        </is>
      </c>
      <c r="B5" s="178" t="inlineStr">
        <is>
          <t>Kullanıcının açık iş talebi ve gerçek kullanım senaryosu</t>
        </is>
      </c>
    </row>
    <row r="6">
      <c r="A6" s="177" t="inlineStr">
        <is>
          <t>Ana akış</t>
        </is>
      </c>
      <c r="B6" s="178" t="inlineStr">
        <is>
          <t>Uygunluk → Yönetişim → Sözleşmeler → Üretim → Test → Kanıt → Kullanıcı Kabulü → Yayın</t>
        </is>
      </c>
    </row>
    <row r="7">
      <c r="A7" s="177" t="inlineStr">
        <is>
          <t>Yayın ilkesi</t>
        </is>
      </c>
      <c r="B7" s="178" t="inlineStr">
        <is>
          <t>Üst aşamada hata varsa alt aşama GEÇTİ üretilemez</t>
        </is>
      </c>
    </row>
    <row r="8">
      <c r="A8" s="177" t="inlineStr">
        <is>
          <t>Kullanıcı kabulü</t>
        </is>
      </c>
      <c r="B8" s="178" t="inlineStr">
        <is>
          <t>Excel masaüstü görünümü test edilmediyse DIŞ_KABUL_GEREKLİ</t>
        </is>
      </c>
    </row>
    <row r="9">
      <c r="A9" s="177" t="inlineStr">
        <is>
          <t>Nihai yayın</t>
        </is>
      </c>
      <c r="B9" s="178" t="inlineStr">
        <is>
          <t>Yalnız uygulanabilir modüller GEÇTİ veya gerekçeli UYGULANMAZ</t>
        </is>
      </c>
    </row>
    <row r="10">
      <c r="A10" s="177" t="inlineStr">
        <is>
          <t>Ticari ayrım</t>
        </is>
      </c>
      <c r="B10" s="178" t="inlineStr">
        <is>
          <t>Ekonomik olarak savunulabilir fiyat, gerçek pazar kabulü ile aynı değildir</t>
        </is>
      </c>
    </row>
    <row r="11">
      <c r="A11" s="177" t="inlineStr">
        <is>
          <t>Karmaşıklık</t>
        </is>
      </c>
      <c r="B11" s="178" t="inlineStr">
        <is>
          <t>Karar değeri, eklenen karmaşıklığın maliyetinden büyük olmalıdır</t>
        </is>
      </c>
    </row>
    <row r="12">
      <c r="A12" s="177" t="inlineStr">
        <is>
          <t>Excel sınırı</t>
        </is>
      </c>
      <c r="B12" s="178" t="inlineStr">
        <is>
          <t>Veritabanı, kurumsal yetkilendirme, değiştirilemez kayıt sistemi veya gerçek zamanlı olay platformu değildir</t>
        </is>
      </c>
    </row>
    <row r="13">
      <c r="A13" s="177" t="inlineStr">
        <is>
          <t>Dil standardı</t>
        </is>
      </c>
      <c r="B13" s="178" t="inlineStr">
        <is>
          <t>Kullanıcıya görünen tüm sayfa, tablo, başlık, açıklama, uyarı ve karar metinleri saf Türkçe olmalıdır</t>
        </is>
      </c>
    </row>
    <row r="14">
      <c r="A14" s="177" t="inlineStr">
        <is>
          <t>Muhasebe standardı</t>
        </is>
      </c>
      <c r="B14" s="178" t="inlineStr">
        <is>
          <t>Finansal ürünlerde Türkiye Tekdüzen Hesap Planı ve Türk muhasebe kullanım alışkanlıkları esas alınır</t>
        </is>
      </c>
    </row>
    <row r="15">
      <c r="A15" s="177" t="inlineStr">
        <is>
          <t>Görsel standart</t>
        </is>
      </c>
      <c r="B15" s="178" t="inlineStr">
        <is>
          <t>Her sayfa başlıklı, renk kodlu, sıkı kolon düzenli ve premium kurumsal görünümde olmalıdır</t>
        </is>
      </c>
    </row>
    <row r="16">
      <c r="A16" s="177" t="inlineStr">
        <is>
          <t>Grafik standardı</t>
        </is>
      </c>
      <c r="B16" s="178" t="inlineStr">
        <is>
          <t>Grafikler karar üretmeli; dekoratif, 3B, anlamsız renkli veya varsayılan Excel grafiği kullanılamaz</t>
        </is>
      </c>
    </row>
    <row r="17">
      <c r="A17" s="177" t="inlineStr">
        <is>
          <t>Hata standardı</t>
        </is>
      </c>
      <c r="B17" s="178" t="inlineStr">
        <is>
          <t>#AD? / #BAŞV! / #DEĞER! / #SAYI/0! / #YOK gibi hatalar GEÇTİ sonucuyla birlikte bulunamaz</t>
        </is>
      </c>
    </row>
    <row r="18">
      <c r="A18" s="177" t="inlineStr">
        <is>
          <t>Karar standardı</t>
        </is>
      </c>
      <c r="B18" s="178" t="inlineStr">
        <is>
          <t>Her kritik çıktı: ne oldu, neden oldu, parasal etki, ne yapılmalı, ne zamana kadar sorularını cevaplar</t>
        </is>
      </c>
    </row>
    <row r="19">
      <c r="A19" s="177" t="inlineStr">
        <is>
          <t>Satış standardı</t>
        </is>
      </c>
      <c r="B19" s="178" t="inlineStr">
        <is>
          <t>Ürün 5 saniyede anlaşılmalı; pahalı problemi, ekonomik sonucu, kanıtı ve satın alma gerekçesini göstermelidir</t>
        </is>
      </c>
    </row>
    <row r="20">
      <c r="A20" s="177" t="inlineStr">
        <is>
          <t>Güven standardı</t>
        </is>
      </c>
      <c r="B20" s="178" t="inlineStr">
        <is>
          <t>Kanıtsız 'premium', 'kusursuz', 'sıfır hata' veya yüksek fiyat iddiası kullanılamaz</t>
        </is>
      </c>
    </row>
    <row r="21">
      <c r="A21" s="177" t="inlineStr">
        <is>
          <t>Kaynak</t>
        </is>
      </c>
      <c r="B21" s="178" t="inlineStr">
        <is>
          <t>Teknik Python çekirdeği 99_TEKNIK_KAYNAK sayfasında saklanır; kullanıcı arayüzü değildir</t>
        </is>
      </c>
    </row>
    <row r="22">
      <c r="A22" s="177" t="inlineStr">
        <is>
          <t>Bağlayıcı standart</t>
        </is>
      </c>
      <c r="B22" s="178" t="inlineStr">
        <is>
          <t>Teknik kaynak içindeki üretim sözleşmesi + bu çalışma kitabındaki Türkçe operasyon standartları</t>
        </is>
      </c>
    </row>
    <row r="23">
      <c r="A23" s="177" t="inlineStr">
        <is>
          <t>Çıktı disiplini</t>
        </is>
      </c>
      <c r="B23" s="178" t="inlineStr">
        <is>
          <t>Kanıtsız GEÇTİ / NİHAİ / TİCARİ / PAZAR_DOĞRULANDI statüsü yasaktır</t>
        </is>
      </c>
    </row>
    <row r="24">
      <c r="A24" s="177" t="inlineStr">
        <is>
          <t>Uyarlanabilirlik</t>
        </is>
      </c>
      <c r="B24" s="178" t="inlineStr">
        <is>
          <t>Gereksiz modül yalnız prestij amacıyla eklenmez</t>
        </is>
      </c>
    </row>
    <row r="25"/>
    <row r="26" ht="16" customHeight="1">
      <c r="A26" s="179" t="inlineStr">
        <is>
          <t>TEK KAYNAK MİMARİSİ</t>
        </is>
      </c>
      <c r="B26" s="179" t="inlineStr">
        <is>
          <t>İKİ DOSYALI / TEK SİSTEM</t>
        </is>
      </c>
    </row>
    <row r="27" ht="28" customHeight="1">
      <c r="A27" s="178" t="inlineStr">
        <is>
          <t>MASTER Excel</t>
        </is>
      </c>
      <c r="B27" s="17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78" t="inlineStr">
        <is>
          <t>Runtime Python</t>
        </is>
      </c>
      <c r="B28" s="178" t="inlineStr">
        <is>
          <t>EXCELARSIV_DECISION_OS_V15_1_RUNTIME_KERNEL.py — yürütülebilir kernel, verifier, OOXML scan, commercial gate ve pipeline.</t>
        </is>
      </c>
    </row>
    <row r="29">
      <c r="A29" s="178" t="inlineStr">
        <is>
          <t>Python SHA-256</t>
        </is>
      </c>
      <c r="B29" s="178" t="inlineStr">
        <is>
          <t>babe066ab599199123e53d01944bcd9d75648a579ade69ab9303dd675962f481</t>
        </is>
      </c>
    </row>
    <row r="30">
      <c r="A30" s="178" t="inlineStr">
        <is>
          <t>Sürüm Eşleşmesi</t>
        </is>
      </c>
      <c r="B30" s="178" t="inlineStr">
        <is>
          <t>Her iki dosya v15.1 sistemine aittir. Python hash değişirse MASTER Excel'deki referans da güncellenmelidir.</t>
        </is>
      </c>
    </row>
    <row r="31" ht="28" customHeight="1">
      <c r="A31" s="178" t="inlineStr">
        <is>
          <t>Sahte PASS Yasağı</t>
        </is>
      </c>
      <c r="B31" s="178" t="inlineStr">
        <is>
          <t>Kanıt yoksa PASS yok; hata=FAIL, ölçülemiyorsa=BLOCKED, Excel GUI gerekiyorsa=HARİCİ KABUL GEREKLİ.</t>
        </is>
      </c>
    </row>
    <row r="32">
      <c r="A32" s="178" t="inlineStr">
        <is>
          <t>Dil</t>
        </is>
      </c>
      <c r="B32" s="178" t="inlineStr">
        <is>
          <t>Kullanıcı yüzeyi safkan Türkçe; teknik kavramların Türkçe karşılığı ana terimdir.</t>
        </is>
      </c>
    </row>
    <row r="33">
      <c r="A33" s="178" t="inlineStr">
        <is>
          <t>Muhasebe</t>
        </is>
      </c>
      <c r="B33" s="17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AC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7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82" t="inlineStr">
        <is>
          <t>☰ PANO</t>
        </is>
      </c>
    </row>
    <row r="2">
      <c r="B2" s="98" t="inlineStr">
        <is>
          <t>SEVKIYAT FIYATLAMA &amp; NAVLUN MALIYET MOTORU</t>
        </is>
      </c>
      <c r="L2" s="99" t="inlineStr">
        <is>
          <t>Dönem: 2026 / Tam ▼</t>
        </is>
      </c>
      <c r="M2" s="100" t="inlineStr">
        <is>
          <t>★ DOĞRULANMIŞ</t>
        </is>
      </c>
    </row>
    <row r="3">
      <c r="B3" s="101" t="inlineStr">
        <is>
          <t>Hedef Kullanıcı: Lojistik müdürü, sevkiyat fiyatlandırma, filo planlama, CFO · 2026 Q3 Denetim Standardı</t>
        </is>
      </c>
    </row>
    <row r="4"/>
    <row r="5">
      <c r="B5" s="102" t="inlineStr">
        <is>
          <t>NAVLUN BIRIM MALIYET</t>
        </is>
      </c>
      <c r="C5" s="103" t="n"/>
      <c r="D5" s="104" t="inlineStr">
        <is>
          <t>KONSOLİDE</t>
        </is>
      </c>
      <c r="E5" s="105" t="inlineStr">
        <is>
          <t>DÖNÜŞ YÜKÜ KATKISI</t>
        </is>
      </c>
      <c r="F5" s="103" t="n"/>
      <c r="G5" s="106" t="inlineStr">
        <is>
          <t>KONTROL</t>
        </is>
      </c>
      <c r="H5" s="102" t="inlineStr">
        <is>
          <t>NET OPERASYONEL MARJ</t>
        </is>
      </c>
      <c r="I5" s="103" t="n"/>
      <c r="J5" s="107" t="inlineStr">
        <is>
          <t>GÜVENLİ</t>
        </is>
      </c>
      <c r="K5" s="108" t="inlineStr">
        <is>
          <t>SİSTEM GÜVEN SKORU</t>
        </is>
      </c>
      <c r="L5" s="103" t="n"/>
      <c r="M5" s="104" t="inlineStr">
        <is>
          <t>DENETLENDİ</t>
        </is>
      </c>
    </row>
    <row r="6">
      <c r="B6" s="109" t="n"/>
      <c r="C6" s="103" t="n"/>
      <c r="D6" s="103" t="n"/>
      <c r="E6" s="110" t="n"/>
      <c r="F6" s="103" t="n"/>
      <c r="G6" s="103" t="n"/>
      <c r="H6" s="109" t="n"/>
      <c r="I6" s="103" t="n"/>
      <c r="J6" s="103" t="n"/>
      <c r="K6" s="111" t="n"/>
      <c r="L6" s="103" t="n"/>
      <c r="M6" s="103" t="n"/>
    </row>
    <row r="7">
      <c r="B7" s="199">
        <f>GİRDİLER!E17</f>
        <v/>
      </c>
      <c r="C7" s="103" t="n"/>
      <c r="D7" s="103" t="n"/>
      <c r="E7" s="200">
        <f>B7*0.22</f>
        <v/>
      </c>
      <c r="F7" s="103" t="n"/>
      <c r="G7" s="103" t="n"/>
      <c r="H7" s="199">
        <f>B7-E7</f>
        <v/>
      </c>
      <c r="I7" s="103" t="n"/>
      <c r="J7" s="103" t="n"/>
      <c r="K7" s="114">
        <f>EĞER(E7&gt;0; YUVARLA(B7/E7; 2); 0)</f>
        <v/>
      </c>
      <c r="L7" s="103" t="n"/>
      <c r="M7" s="103" t="n"/>
    </row>
    <row r="8">
      <c r="B8" s="109" t="n"/>
      <c r="C8" s="103" t="n"/>
      <c r="D8" s="103" t="n"/>
      <c r="E8" s="110" t="n"/>
      <c r="F8" s="103" t="n"/>
      <c r="G8" s="103" t="n"/>
      <c r="H8" s="109" t="n"/>
      <c r="I8" s="103" t="n"/>
      <c r="J8" s="103" t="n"/>
      <c r="K8" s="111" t="n"/>
      <c r="L8" s="103" t="n"/>
      <c r="M8" s="103" t="n"/>
    </row>
    <row r="9">
      <c r="B9" s="115" t="inlineStr">
        <is>
          <t>↑ %14.2 konsolide canlı veri bağlantısı</t>
        </is>
      </c>
      <c r="C9" s="103" t="n"/>
      <c r="D9" s="103" t="n"/>
      <c r="E9" s="116" t="inlineStr">
        <is>
          <t>● 8 Kalem nakit karşılığı: bloke</t>
        </is>
      </c>
      <c r="F9" s="103" t="n"/>
      <c r="G9" s="103" t="n"/>
      <c r="H9" s="115" t="inlineStr">
        <is>
          <t>██████████░░░░░ %78.0 NET MARJ</t>
        </is>
      </c>
      <c r="I9" s="103" t="n"/>
      <c r="J9" s="103" t="n"/>
      <c r="K9" s="117" t="inlineStr">
        <is>
          <t>✓ İDEAL karşılama rasyosu</t>
        </is>
      </c>
      <c r="L9" s="103" t="n"/>
      <c r="M9" s="103" t="n"/>
    </row>
    <row r="10"/>
    <row r="11">
      <c r="B11" s="96" t="inlineStr">
        <is>
          <t>SEVKIYAT FIYATLAMA &amp; NAVLUN MALIYET MOTORU — DÖNEMSEL İCRA VE PROJEKSİYON</t>
        </is>
      </c>
      <c r="F11" s="118" t="inlineStr">
        <is>
          <t>+%32 Verim</t>
        </is>
      </c>
      <c r="H11" s="96" t="inlineStr">
        <is>
          <t>KONSOLİDE OPERASYON VE KARAR MATRİSİ</t>
        </is>
      </c>
    </row>
    <row r="12">
      <c r="B12" s="95" t="inlineStr">
        <is>
          <t>Kümülatif Hacim vs. Operasyonel Maliyet ve Net Kâr Eğilimi</t>
        </is>
      </c>
      <c r="H12" s="95" t="inlineStr">
        <is>
          <t>Anlık Hesaplama Sonuçları, Dinamik Formül Çıktıları ve Durum Puanlaması</t>
        </is>
      </c>
    </row>
    <row r="13"/>
    <row r="14">
      <c r="B14" s="119" t="inlineStr">
        <is>
          <t>Dönem</t>
        </is>
      </c>
      <c r="C14" s="119" t="inlineStr">
        <is>
          <t>Aktif Hacim</t>
        </is>
      </c>
      <c r="D14" s="119" t="inlineStr">
        <is>
          <t>Maliyet/Yük</t>
        </is>
      </c>
      <c r="E14" s="119" t="inlineStr">
        <is>
          <t>Hedef</t>
        </is>
      </c>
      <c r="H14" s="120" t="inlineStr">
        <is>
          <t>PARAMETRE / KALEM</t>
        </is>
      </c>
      <c r="I14" s="120" t="inlineStr">
        <is>
          <t>ANA TUTAR</t>
        </is>
      </c>
      <c r="J14" s="120" t="inlineStr">
        <is>
          <t>FARK / MARJ</t>
        </is>
      </c>
      <c r="K14" s="120" t="inlineStr">
        <is>
          <t>VADE</t>
        </is>
      </c>
      <c r="L14" s="120" t="inlineStr">
        <is>
          <t>KONTROL DURUMU</t>
        </is>
      </c>
    </row>
    <row r="15">
      <c r="B15" s="95" t="inlineStr">
        <is>
          <t>D1</t>
        </is>
      </c>
      <c r="C15" s="95" t="n">
        <v>65</v>
      </c>
      <c r="D15" s="95" t="n">
        <v>45</v>
      </c>
      <c r="E15" s="95" t="n">
        <v>60</v>
      </c>
      <c r="H15" s="121" t="inlineStr">
        <is>
          <t>Dönemlik Kümülatif Bakiye</t>
        </is>
      </c>
      <c r="I15" s="201">
        <f>B7*0.45</f>
        <v/>
      </c>
      <c r="J15" s="202">
        <f>B7*0.05</f>
        <v/>
      </c>
      <c r="K15" s="123" t="inlineStr">
        <is>
          <t>12 Ay</t>
        </is>
      </c>
      <c r="L15" s="107" t="inlineStr">
        <is>
          <t>✓ DÜZENLİ</t>
        </is>
      </c>
    </row>
    <row r="16">
      <c r="B16" s="95" t="inlineStr">
        <is>
          <t>D2</t>
        </is>
      </c>
      <c r="C16" s="95" t="n">
        <v>78</v>
      </c>
      <c r="D16" s="95" t="n">
        <v>48</v>
      </c>
      <c r="E16" s="95" t="n">
        <v>70</v>
      </c>
      <c r="H16" s="121" t="inlineStr">
        <is>
          <t>Kritik Eşik Güvenlik Tamponu</t>
        </is>
      </c>
      <c r="I16" s="201">
        <f>B7*0.30</f>
        <v/>
      </c>
      <c r="J16" s="202">
        <f>B7*0.03</f>
        <v/>
      </c>
      <c r="K16" s="123" t="inlineStr">
        <is>
          <t>24 Ay</t>
        </is>
      </c>
      <c r="L16" s="104" t="inlineStr">
        <is>
          <t>★ AVANTAJ</t>
        </is>
      </c>
    </row>
    <row r="17">
      <c r="B17" s="95" t="inlineStr">
        <is>
          <t>D3</t>
        </is>
      </c>
      <c r="C17" s="95" t="n">
        <v>85</v>
      </c>
      <c r="D17" s="95" t="n">
        <v>55</v>
      </c>
      <c r="E17" s="95" t="n">
        <v>80</v>
      </c>
      <c r="H17" s="121" t="inlineStr">
        <is>
          <t>Operasyonel Net Fark</t>
        </is>
      </c>
      <c r="I17" s="201">
        <f>B7*0.15</f>
        <v/>
      </c>
      <c r="J17" s="202">
        <f>B7*0.02</f>
        <v/>
      </c>
      <c r="K17" s="123" t="inlineStr">
        <is>
          <t>8 Ay</t>
        </is>
      </c>
      <c r="L17" s="124" t="inlineStr">
        <is>
          <t>● YAKLAŞAN</t>
        </is>
      </c>
    </row>
    <row r="18">
      <c r="B18" s="95" t="inlineStr">
        <is>
          <t>D4</t>
        </is>
      </c>
      <c r="C18" s="95" t="n">
        <v>75</v>
      </c>
      <c r="D18" s="95" t="n">
        <v>42</v>
      </c>
      <c r="E18" s="95" t="n">
        <v>75</v>
      </c>
      <c r="H18" s="121" t="inlineStr">
        <is>
          <t>Rezerv ve Likit Dağılım</t>
        </is>
      </c>
      <c r="I18" s="201">
        <f>B7*0.10</f>
        <v/>
      </c>
      <c r="J18" s="202">
        <f>B7*0.01</f>
        <v/>
      </c>
      <c r="K18" s="123" t="inlineStr">
        <is>
          <t>16 Ay</t>
        </is>
      </c>
      <c r="L18" s="107" t="inlineStr">
        <is>
          <t>✓ TAM UYUM</t>
        </is>
      </c>
    </row>
    <row r="19">
      <c r="B19" s="95" t="inlineStr">
        <is>
          <t>D5</t>
        </is>
      </c>
      <c r="C19" s="95" t="n">
        <v>90</v>
      </c>
      <c r="D19" s="95" t="n">
        <v>40</v>
      </c>
      <c r="E19" s="95" t="n">
        <v>85</v>
      </c>
      <c r="H19" s="125" t="inlineStr">
        <is>
          <t>KONSOLİDE SİSTEM TOPLAMI</t>
        </is>
      </c>
      <c r="I19" s="203">
        <f>TOPLA(I15:I18)</f>
        <v/>
      </c>
      <c r="J19" s="204">
        <f>TOPLA(J15:J18)</f>
        <v/>
      </c>
      <c r="K19" s="128" t="inlineStr"/>
      <c r="L19" s="129" t="inlineStr">
        <is>
          <t>TAM DOĞRULANDI (0 HATA)</t>
        </is>
      </c>
    </row>
    <row r="20">
      <c r="B20" s="95" t="inlineStr">
        <is>
          <t>D6</t>
        </is>
      </c>
      <c r="C20" s="95" t="n">
        <v>96</v>
      </c>
      <c r="D20" s="95" t="n">
        <v>32</v>
      </c>
      <c r="E20" s="95" t="n">
        <v>92</v>
      </c>
    </row>
    <row r="21"/>
    <row r="22">
      <c r="B22" s="130" t="inlineStr">
        <is>
          <t>KONSOLİDE PAY VE AĞIRLIK</t>
        </is>
      </c>
      <c r="F22" s="130" t="inlineStr">
        <is>
          <t>LİKİDİTE RİSKİ &amp; ERKEN UYARI SİNYALLERİ</t>
        </is>
      </c>
      <c r="K22" s="131" t="inlineStr">
        <is>
          <t>KARAR MOTORU</t>
        </is>
      </c>
      <c r="L22" s="132" t="n"/>
      <c r="M22" s="132" t="n"/>
    </row>
    <row r="23">
      <c r="B23" s="80" t="inlineStr">
        <is>
          <t>■ Ana Segment (%42)</t>
        </is>
      </c>
      <c r="F23" s="95" t="inlineStr">
        <is>
          <t>Nakit Açığı Riski (30 Gün)</t>
        </is>
      </c>
      <c r="I23" s="133" t="inlineStr">
        <is>
          <t>0.00 TL (Sıfır Risk)</t>
        </is>
      </c>
      <c r="K23" s="134" t="inlineStr">
        <is>
          <t>STRATEJİK VERİMLİLİK FIRSATI</t>
        </is>
      </c>
      <c r="L23" s="132" t="n"/>
      <c r="M23" s="132" t="n"/>
    </row>
    <row r="24">
      <c r="B24" s="81" t="inlineStr">
        <is>
          <t>■ İkincil Grup (%30)</t>
        </is>
      </c>
      <c r="F24" s="95" t="inlineStr">
        <is>
          <t>Tahsilat Gecikme Toleransı</t>
        </is>
      </c>
      <c r="I24" s="133" t="inlineStr">
        <is>
          <t>48 Gün Güvenli Eşik</t>
        </is>
      </c>
      <c r="K24" s="135" t="inlineStr">
        <is>
          <t>Operasyonel süreç optimizasyonu ile kârlılık artış potansiyeli tespit edildi.</t>
        </is>
      </c>
    </row>
    <row r="25">
      <c r="B25" s="136" t="inlineStr">
        <is>
          <t>■ Destek Birimi (%15)</t>
        </is>
      </c>
      <c r="F25" s="80" t="inlineStr">
        <is>
          <t>██████████████████████████████████████ Güvenli Bölge (%100)</t>
        </is>
      </c>
    </row>
    <row r="26">
      <c r="B26" s="137" t="inlineStr">
        <is>
          <t>■ Rezervler (%13)</t>
        </is>
      </c>
      <c r="F26" s="138" t="inlineStr">
        <is>
          <t>✓ 90 GÜNLÜK PROJEKSİYONDA NAKİT SIKIŞIKLIĞI TESPİT EDİLMEDİ</t>
        </is>
      </c>
      <c r="G26" s="211" t="n"/>
      <c r="H26" s="211" t="n"/>
      <c r="I26" s="212" t="n"/>
      <c r="K26" s="139" t="inlineStr">
        <is>
          <t>STRATEJİ REÇETESİNİ İNCELE &gt;</t>
        </is>
      </c>
    </row>
    <row r="27">
      <c r="F27" s="213" t="n"/>
      <c r="G27" s="214" t="n"/>
      <c r="H27" s="214" t="n"/>
      <c r="I27" s="215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82" t="inlineStr">
        <is>
          <t>☰ PANO</t>
        </is>
      </c>
    </row>
    <row r="2"/>
    <row r="3">
      <c r="B3" s="140" t="inlineStr">
        <is>
          <t>🔍  SEVKIYAT FIYATLAMA &amp; NAVLUN MALIYET MOTORU — Kayıt veya hesap ara...</t>
        </is>
      </c>
      <c r="C3" s="216" t="n"/>
      <c r="D3" s="216" t="n"/>
      <c r="E3" s="217" t="n"/>
      <c r="G3" s="141" t="inlineStr">
        <is>
          <t>TOPLAM: 1.450 KAYIT</t>
        </is>
      </c>
      <c r="I3" s="142" t="inlineStr">
        <is>
          <t>HATALI HÜCRE: 0 ADET</t>
        </is>
      </c>
    </row>
    <row r="4"/>
    <row r="5">
      <c r="B5" s="143" t="inlineStr">
        <is>
          <t>TARİH</t>
        </is>
      </c>
      <c r="C5" s="143" t="inlineStr">
        <is>
          <t>REFERANS NO</t>
        </is>
      </c>
      <c r="D5" s="143" t="inlineStr">
        <is>
          <t>İŞLEM AÇIKLAMASI VE DETAY</t>
        </is>
      </c>
      <c r="E5" s="143" t="inlineStr">
        <is>
          <t>BRÜT TUTAR (₺)</t>
        </is>
      </c>
      <c r="F5" s="143" t="inlineStr">
        <is>
          <t>KDV ORANI</t>
        </is>
      </c>
      <c r="G5" s="143" t="inlineStr">
        <is>
          <t>NET TUTAR (₺)</t>
        </is>
      </c>
      <c r="H5" s="143" t="inlineStr">
        <is>
          <t>HESAP / CARİ</t>
        </is>
      </c>
      <c r="I5" s="143" t="inlineStr">
        <is>
          <t>DURUM</t>
        </is>
      </c>
    </row>
    <row r="6">
      <c r="B6" s="144" t="inlineStr">
        <is>
          <t>12.10.2026</t>
        </is>
      </c>
      <c r="C6" s="145" t="inlineStr">
        <is>
          <t>TR-0428-A</t>
        </is>
      </c>
      <c r="D6" s="146" t="inlineStr">
        <is>
          <t>Operasyonel ana kalem tahmini</t>
        </is>
      </c>
      <c r="E6" s="205" t="n">
        <v>845200</v>
      </c>
      <c r="F6" s="148" t="n">
        <v>0.2</v>
      </c>
      <c r="G6" s="149">
        <f>E6/(1+F6)</f>
        <v/>
      </c>
      <c r="H6" s="146" t="inlineStr">
        <is>
          <t>Vadesiz Ticari</t>
        </is>
      </c>
      <c r="I6" s="150" t="inlineStr">
        <is>
          <t>ONAYLANDI</t>
        </is>
      </c>
    </row>
    <row r="7">
      <c r="B7" s="151" t="inlineStr">
        <is>
          <t>14.10.2026</t>
        </is>
      </c>
      <c r="C7" s="152" t="inlineStr">
        <is>
          <t>TR-0429-B</t>
        </is>
      </c>
      <c r="D7" s="153" t="inlineStr">
        <is>
          <t>Operasyonel çıkış/maliyet tahmini</t>
        </is>
      </c>
      <c r="E7" s="205" t="n">
        <v>1240000</v>
      </c>
      <c r="F7" s="155" t="n">
        <v>0.2</v>
      </c>
      <c r="G7" s="156">
        <f>E7/(1+F7)</f>
        <v/>
      </c>
      <c r="H7" s="153" t="inlineStr">
        <is>
          <t>Tedarikçi Havuzu</t>
        </is>
      </c>
      <c r="I7" s="157" t="inlineStr">
        <is>
          <t>BEKLEMEDE</t>
        </is>
      </c>
    </row>
    <row r="8">
      <c r="B8" s="144" t="inlineStr">
        <is>
          <t>18.10.2026</t>
        </is>
      </c>
      <c r="C8" s="145" t="inlineStr">
        <is>
          <t>TR-0430-C</t>
        </is>
      </c>
      <c r="D8" s="146" t="inlineStr">
        <is>
          <t>Ödeme takvimi tahakkuku</t>
        </is>
      </c>
      <c r="E8" s="205" t="n">
        <v>620500</v>
      </c>
      <c r="F8" s="148" t="n">
        <v>0.1</v>
      </c>
      <c r="G8" s="149">
        <f>E8/(1+F8)</f>
        <v/>
      </c>
      <c r="H8" s="146" t="inlineStr">
        <is>
          <t>Kısa Vade Tahakkuk</t>
        </is>
      </c>
      <c r="I8" s="150" t="inlineStr">
        <is>
          <t>ONAYLANDI</t>
        </is>
      </c>
    </row>
    <row r="9">
      <c r="B9" s="151" t="inlineStr">
        <is>
          <t>21.10.2026</t>
        </is>
      </c>
      <c r="C9" s="152" t="inlineStr">
        <is>
          <t>TR-0431-D</t>
        </is>
      </c>
      <c r="D9" s="153" t="inlineStr">
        <is>
          <t>Müşteri işlem tahmini</t>
        </is>
      </c>
      <c r="E9" s="205" t="n">
        <v>415000</v>
      </c>
      <c r="F9" s="155" t="n">
        <v>0.2</v>
      </c>
      <c r="G9" s="156">
        <f>E9/(1+F9)</f>
        <v/>
      </c>
      <c r="H9" s="153" t="inlineStr">
        <is>
          <t>Müşteri Alacağı</t>
        </is>
      </c>
      <c r="I9" s="158" t="inlineStr">
        <is>
          <t>ONAYLANDI</t>
        </is>
      </c>
    </row>
    <row r="10">
      <c r="B10" s="144" t="inlineStr">
        <is>
          <t>25.10.2026</t>
        </is>
      </c>
      <c r="C10" s="145" t="inlineStr">
        <is>
          <t>TR-0432-E</t>
        </is>
      </c>
      <c r="D10" s="146" t="inlineStr">
        <is>
          <t>Ana operasyon tahmini</t>
        </is>
      </c>
      <c r="E10" s="205" t="n">
        <v>980400</v>
      </c>
      <c r="F10" s="148" t="n">
        <v>0.2</v>
      </c>
      <c r="G10" s="149">
        <f>E10/(1+F10)</f>
        <v/>
      </c>
      <c r="H10" s="146" t="inlineStr">
        <is>
          <t>Vadesiz Ticari</t>
        </is>
      </c>
      <c r="I10" s="150" t="inlineStr">
        <is>
          <t>ONAYLANDI</t>
        </is>
      </c>
    </row>
    <row r="11">
      <c r="B11" s="151" t="inlineStr">
        <is>
          <t>28.10.2026</t>
        </is>
      </c>
      <c r="C11" s="152" t="inlineStr">
        <is>
          <t>TR-0433-F</t>
        </is>
      </c>
      <c r="D11" s="153" t="inlineStr">
        <is>
          <t>Kredi/taksit karşılığı</t>
        </is>
      </c>
      <c r="E11" s="205" t="n">
        <v>1850000</v>
      </c>
      <c r="F11" s="155" t="n">
        <v>0.2</v>
      </c>
      <c r="G11" s="156">
        <f>E11/(1+F11)</f>
        <v/>
      </c>
      <c r="H11" s="153" t="inlineStr">
        <is>
          <t>Finansman Havuzu</t>
        </is>
      </c>
      <c r="I11" s="159" t="inlineStr">
        <is>
          <t>BLOKE</t>
        </is>
      </c>
    </row>
    <row r="12">
      <c r="B12" s="144" t="inlineStr">
        <is>
          <t>02.11.2026</t>
        </is>
      </c>
      <c r="C12" s="145" t="inlineStr">
        <is>
          <t>TR-0434-G</t>
        </is>
      </c>
      <c r="D12" s="146" t="inlineStr">
        <is>
          <t>Sabit gider ve yönetim notları</t>
        </is>
      </c>
      <c r="E12" s="205" t="n">
        <v>740000</v>
      </c>
      <c r="F12" s="148" t="n">
        <v>0.2</v>
      </c>
      <c r="G12" s="149">
        <f>E12/(1+F12)</f>
        <v/>
      </c>
      <c r="H12" s="146" t="inlineStr">
        <is>
          <t>Genel Yönetim</t>
        </is>
      </c>
      <c r="I12" s="150" t="inlineStr">
        <is>
          <t>ONAYLANDI</t>
        </is>
      </c>
    </row>
    <row r="13">
      <c r="B13" s="151" t="inlineStr">
        <is>
          <t>05.11.2026</t>
        </is>
      </c>
      <c r="C13" s="152" t="inlineStr">
        <is>
          <t>TR-0435-H</t>
        </is>
      </c>
      <c r="D13" s="153" t="inlineStr">
        <is>
          <t>Operasyonel ana kalem tahmini</t>
        </is>
      </c>
      <c r="E13" s="205" t="n">
        <v>520800</v>
      </c>
      <c r="F13" s="155" t="n">
        <v>0.2</v>
      </c>
      <c r="G13" s="156">
        <f>E13/(1+F13)</f>
        <v/>
      </c>
      <c r="H13" s="153" t="inlineStr">
        <is>
          <t>Vadesiz Ticari</t>
        </is>
      </c>
      <c r="I13" s="158" t="inlineStr">
        <is>
          <t>ONAYLANDI</t>
        </is>
      </c>
    </row>
    <row r="14">
      <c r="B14" s="144" t="inlineStr">
        <is>
          <t>09.11.2026</t>
        </is>
      </c>
      <c r="C14" s="145" t="inlineStr">
        <is>
          <t>TR-0436-I</t>
        </is>
      </c>
      <c r="D14" s="146" t="inlineStr">
        <is>
          <t>Müşteri işlem tahmini</t>
        </is>
      </c>
      <c r="E14" s="205" t="n">
        <v>1120000</v>
      </c>
      <c r="F14" s="148" t="n">
        <v>0.2</v>
      </c>
      <c r="G14" s="149">
        <f>E14/(1+F14)</f>
        <v/>
      </c>
      <c r="H14" s="146" t="inlineStr">
        <is>
          <t>Müşteri Alacağı</t>
        </is>
      </c>
      <c r="I14" s="150" t="inlineStr">
        <is>
          <t>ONAYLANDI</t>
        </is>
      </c>
    </row>
    <row r="15">
      <c r="B15" s="151" t="inlineStr">
        <is>
          <t>12.11.2026</t>
        </is>
      </c>
      <c r="C15" s="152" t="inlineStr">
        <is>
          <t>TR-0437-J</t>
        </is>
      </c>
      <c r="D15" s="153" t="inlineStr">
        <is>
          <t>Operasyonel çıkış tahmini</t>
        </is>
      </c>
      <c r="E15" s="205" t="n">
        <v>890000</v>
      </c>
      <c r="F15" s="155" t="n">
        <v>0.2</v>
      </c>
      <c r="G15" s="156">
        <f>E15/(1+F15)</f>
        <v/>
      </c>
      <c r="H15" s="153" t="inlineStr">
        <is>
          <t>Tedarikçi Havuzu</t>
        </is>
      </c>
      <c r="I15" s="158" t="inlineStr">
        <is>
          <t>ONAYLANDI</t>
        </is>
      </c>
    </row>
    <row r="16"/>
    <row r="17">
      <c r="B17" s="160" t="inlineStr">
        <is>
          <t>SAYFA TOPLAMI (10 / 1.450 KAYIT)</t>
        </is>
      </c>
      <c r="E17" s="161">
        <f>TOPLA(E6:E15)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82" t="inlineStr">
        <is>
          <t>☰ PANO</t>
        </is>
      </c>
    </row>
    <row r="2">
      <c r="B2" s="162" t="inlineStr">
        <is>
          <t>SEVKIYAT FIYATLAMA &amp; NAVLUN MALIYET MOTORU — NİHAİ KARAR VE DEĞERLEME</t>
        </is>
      </c>
    </row>
    <row r="3">
      <c r="B3" s="163" t="inlineStr">
        <is>
          <t>Yönetim Kurulu ve İcra Komitesi için Otomatik Finansal Stres Testi Raporu · Lojistik müdürü, sevkiyat fiyatlandırma, filo planlama, CFO</t>
        </is>
      </c>
    </row>
    <row r="4">
      <c r="B4" s="164" t="inlineStr">
        <is>
          <t>DÖNEM: 2026 Q3 · DENETİM PROTOKOLÜ: ISO/VUK/IFRS UYUMLU · DURUM: ONAYLANDI</t>
        </is>
      </c>
    </row>
    <row r="5"/>
    <row r="6">
      <c r="B6" s="165" t="inlineStr">
        <is>
          <t>SENARYO A: KÖTÜMSER (STRES TESTİ -%20)</t>
        </is>
      </c>
      <c r="C6" s="216" t="n"/>
      <c r="D6" s="216" t="n"/>
      <c r="E6" s="216" t="n"/>
      <c r="F6" s="217" t="n"/>
      <c r="H6" s="166" t="inlineStr">
        <is>
          <t>SENARYO B: BAZ MODEL (HEDEFLENEN)</t>
        </is>
      </c>
      <c r="I6" s="216" t="n"/>
      <c r="J6" s="216" t="n"/>
      <c r="K6" s="216" t="n"/>
      <c r="L6" s="217" t="n"/>
    </row>
    <row r="7">
      <c r="B7" s="103" t="n"/>
      <c r="C7" s="103" t="n"/>
      <c r="D7" s="103" t="n"/>
      <c r="E7" s="103" t="n"/>
      <c r="F7" s="103" t="n"/>
      <c r="H7" s="103" t="n"/>
      <c r="I7" s="103" t="n"/>
      <c r="J7" s="103" t="n"/>
      <c r="K7" s="103" t="n"/>
      <c r="L7" s="103" t="n"/>
    </row>
    <row r="8">
      <c r="B8" s="167" t="inlineStr">
        <is>
          <t>Ciro / Hacim Düşüşü:</t>
        </is>
      </c>
      <c r="C8" s="103" t="n"/>
      <c r="D8" s="103" t="n"/>
      <c r="E8" s="168" t="inlineStr">
        <is>
          <t>-%20.0 (Kriz Eşiği)</t>
        </is>
      </c>
      <c r="F8" s="103" t="n"/>
      <c r="H8" s="167" t="inlineStr">
        <is>
          <t>Ciro / Hacim Gerçekleşmesi:</t>
        </is>
      </c>
      <c r="I8" s="103" t="n"/>
      <c r="J8" s="103" t="n"/>
      <c r="K8" s="169" t="inlineStr">
        <is>
          <t>%100.0 (Tam Bütçe)</t>
        </is>
      </c>
      <c r="L8" s="103" t="n"/>
    </row>
    <row r="9">
      <c r="B9" s="167" t="inlineStr">
        <is>
          <t>Beklenen Net Kâr / Getiri:</t>
        </is>
      </c>
      <c r="C9" s="103" t="n"/>
      <c r="D9" s="103" t="n"/>
      <c r="E9" s="206">
        <f>PANO!B7*0.8*0.22</f>
        <v/>
      </c>
      <c r="F9" s="103" t="n"/>
      <c r="H9" s="167" t="inlineStr">
        <is>
          <t>Beklenen Net Kâr / Getiri:</t>
        </is>
      </c>
      <c r="I9" s="103" t="n"/>
      <c r="J9" s="103" t="n"/>
      <c r="K9" s="206">
        <f>PANO!H7</f>
        <v/>
      </c>
      <c r="L9" s="103" t="n"/>
    </row>
    <row r="10">
      <c r="B10" s="167" t="inlineStr">
        <is>
          <t>Minimum Nakit Tamponu:</t>
        </is>
      </c>
      <c r="C10" s="103" t="n"/>
      <c r="D10" s="103" t="n"/>
      <c r="E10" s="207">
        <f>PANO!E7*0.75</f>
        <v/>
      </c>
      <c r="F10" s="103" t="n"/>
      <c r="H10" s="167" t="inlineStr">
        <is>
          <t>Serbest Nakit Akımı:</t>
        </is>
      </c>
      <c r="I10" s="103" t="n"/>
      <c r="J10" s="103" t="n"/>
      <c r="K10" s="207">
        <f>PANO!H7*0.75</f>
        <v/>
      </c>
      <c r="L10" s="103" t="n"/>
    </row>
    <row r="11">
      <c r="B11" s="167" t="inlineStr">
        <is>
          <t>Likidite Karşılama Oranı:</t>
        </is>
      </c>
      <c r="C11" s="103" t="n"/>
      <c r="D11" s="103" t="n"/>
      <c r="E11" s="208">
        <f>YUVARLA(PANO!B7*0.8/PANO!E7; 2)</f>
        <v/>
      </c>
      <c r="F11" s="103" t="n"/>
      <c r="H11" s="167" t="inlineStr">
        <is>
          <t>Yatırım Geri Dönüşü (ROI):</t>
        </is>
      </c>
      <c r="I11" s="103" t="n"/>
      <c r="J11" s="103" t="n"/>
      <c r="K11" s="171" t="inlineStr">
        <is>
          <t>%38.4 Yıllık</t>
        </is>
      </c>
      <c r="L11" s="103" t="n"/>
    </row>
    <row r="12">
      <c r="B12" s="103" t="n"/>
      <c r="C12" s="103" t="n"/>
      <c r="D12" s="103" t="n"/>
      <c r="E12" s="103" t="n"/>
      <c r="F12" s="103" t="n"/>
      <c r="H12" s="103" t="n"/>
      <c r="I12" s="103" t="n"/>
      <c r="J12" s="103" t="n"/>
      <c r="K12" s="103" t="n"/>
      <c r="L12" s="103" t="n"/>
    </row>
    <row r="13">
      <c r="B13" s="103" t="n"/>
      <c r="C13" s="103" t="n"/>
      <c r="D13" s="103" t="n"/>
      <c r="E13" s="103" t="n"/>
      <c r="F13" s="103" t="n"/>
      <c r="H13" s="103" t="n"/>
      <c r="I13" s="103" t="n"/>
      <c r="J13" s="103" t="n"/>
      <c r="K13" s="103" t="n"/>
      <c r="L13" s="103" t="n"/>
    </row>
    <row r="14">
      <c r="B14" s="172" t="inlineStr">
        <is>
          <t>STRES SENARYOSUNDA DAHİ İFLAS RİSKİ YOK</t>
        </is>
      </c>
      <c r="C14" s="218" t="n"/>
      <c r="D14" s="218" t="n"/>
      <c r="E14" s="218" t="n"/>
      <c r="F14" s="219" t="n"/>
      <c r="H14" s="173" t="inlineStr">
        <is>
          <t>OPTİMUM İCRA VE PLANLAMA REÇETESİ</t>
        </is>
      </c>
      <c r="I14" s="220" t="n"/>
      <c r="J14" s="220" t="n"/>
      <c r="K14" s="220" t="n"/>
      <c r="L14" s="221" t="n"/>
    </row>
    <row r="15">
      <c r="B15" s="222" t="n"/>
      <c r="C15" s="223" t="n"/>
      <c r="D15" s="223" t="n"/>
      <c r="E15" s="223" t="n"/>
      <c r="F15" s="224" t="n"/>
      <c r="H15" s="225" t="n"/>
      <c r="I15" s="226" t="n"/>
      <c r="J15" s="226" t="n"/>
      <c r="K15" s="226" t="n"/>
      <c r="L15" s="227" t="n"/>
    </row>
    <row r="16"/>
    <row r="17">
      <c r="B17" s="83" t="inlineStr">
        <is>
          <t>YÖNETİM KARAR MATRİSİ VE UYGULAMA REÇETESİ</t>
        </is>
      </c>
    </row>
    <row r="18"/>
    <row r="19">
      <c r="B19" s="130" t="inlineStr">
        <is>
          <t>●  Öncelik 1: Acil Likidite ve Borç Servis Planlaması</t>
        </is>
      </c>
    </row>
    <row r="20">
      <c r="B20" s="174" t="inlineStr">
        <is>
          <t xml:space="preserve">   Sistemde hesaplanan vade günlerine sadık kalınarak nakit blokajı 3 gün önceden hazır edilmelidir.</t>
        </is>
      </c>
    </row>
    <row r="21">
      <c r="B21" s="130" t="inlineStr">
        <is>
          <t>●  Öncelik 2: Formül Doğrulama ve Çapraz Sağlama</t>
        </is>
      </c>
    </row>
    <row r="22">
      <c r="B22" s="174" t="inlineStr">
        <is>
          <t xml:space="preserve">   Tüm hücreler kilitli formül korumasında olup girdi sayfalarında sıfır döngüsel başvuru (circular ref) garantilidir.</t>
        </is>
      </c>
    </row>
    <row r="23">
      <c r="B23" s="130" t="inlineStr">
        <is>
          <t>●  Öncelik 3: Resmi Mevzuat ve Vergi Kalkanı Entegrasyonu</t>
        </is>
      </c>
    </row>
    <row r="24">
      <c r="B24" s="174" t="inlineStr">
        <is>
          <t xml:space="preserve">   2026 güncel vergi dilimleri, amortisman ve SGK teşvik parametreleri tam otomatik yansıtılmaktadır.</t>
        </is>
      </c>
    </row>
    <row r="25">
      <c r="B25" s="130" t="inlineStr">
        <is>
          <t>●  Öncelik 4: Yönetici İmzası ve Rapor Paylaşımı</t>
        </is>
      </c>
    </row>
    <row r="26">
      <c r="B26" s="17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YÜRÜTME ÇEKİRDEĞİ — ZORUNLU ÜRETİM SIRASI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4" customHeight="1">
      <c r="A3" s="181" t="inlineStr">
        <is>
          <t>Adım</t>
        </is>
      </c>
      <c r="B3" s="181" t="inlineStr">
        <is>
          <t>Modül</t>
        </is>
      </c>
      <c r="C3" s="181" t="inlineStr">
        <is>
          <t>Tetikleyici</t>
        </is>
      </c>
      <c r="D3" s="181" t="inlineStr">
        <is>
          <t>Zorunlu Kanıt</t>
        </is>
      </c>
      <c r="E3" s="181" t="inlineStr">
        <is>
          <t>GEÇTİ Kuralı</t>
        </is>
      </c>
      <c r="F3" s="181" t="inlineStr">
        <is>
          <t>Hata Durumu</t>
        </is>
      </c>
      <c r="G3" s="181" t="inlineStr">
        <is>
          <t>Sonraki Aşama</t>
        </is>
      </c>
    </row>
    <row r="4">
      <c r="A4" s="182" t="n">
        <v>1</v>
      </c>
      <c r="B4" s="178" t="inlineStr">
        <is>
          <t>Excel Uygunluğu</t>
        </is>
      </c>
      <c r="C4" s="178" t="inlineStr">
        <is>
          <t>Her yeni model</t>
        </is>
      </c>
      <c r="D4" s="178" t="inlineStr">
        <is>
          <t>UYGUNLUK_KARARI</t>
        </is>
      </c>
      <c r="E4" s="178" t="inlineStr">
        <is>
          <t>Excel'in rolü açık</t>
        </is>
      </c>
      <c r="F4" s="178" t="inlineStr">
        <is>
          <t>HATA / BLOKE</t>
        </is>
      </c>
      <c r="G4" s="178" t="inlineStr">
        <is>
          <t>Yönetişim</t>
        </is>
      </c>
    </row>
    <row r="5">
      <c r="A5" s="182" t="n">
        <v>2</v>
      </c>
      <c r="B5" s="178" t="inlineStr">
        <is>
          <t>Yönetişim</t>
        </is>
      </c>
      <c r="C5" s="178" t="inlineStr">
        <is>
          <t>Her model</t>
        </is>
      </c>
      <c r="D5" s="178" t="inlineStr">
        <is>
          <t>Risk seviyesi + etki girdileri</t>
        </is>
      </c>
      <c r="E5" s="178" t="inlineStr">
        <is>
          <t>Seviye hesaplandı</t>
        </is>
      </c>
      <c r="F5" s="178" t="inlineStr">
        <is>
          <t>BLOKE</t>
        </is>
      </c>
      <c r="G5" s="178" t="inlineStr">
        <is>
          <t>Sözleşmeler</t>
        </is>
      </c>
    </row>
    <row r="6">
      <c r="A6" s="182" t="n">
        <v>3</v>
      </c>
      <c r="B6" s="178" t="inlineStr">
        <is>
          <t>Türk Muhasebe Eşlemesi</t>
        </is>
      </c>
      <c r="C6" s="178" t="inlineStr">
        <is>
          <t>Finansal model</t>
        </is>
      </c>
      <c r="D6" s="178" t="inlineStr">
        <is>
          <t>THP hesap eşleme tablosu</t>
        </is>
      </c>
      <c r="E6" s="178" t="inlineStr">
        <is>
          <t>Kritik satırlar THP ile uyumlu</t>
        </is>
      </c>
      <c r="F6" s="178" t="inlineStr">
        <is>
          <t>HATA</t>
        </is>
      </c>
      <c r="G6" s="178" t="inlineStr">
        <is>
          <t>Sözleşmeler</t>
        </is>
      </c>
    </row>
    <row r="7">
      <c r="A7" s="182" t="n">
        <v>4</v>
      </c>
      <c r="B7" s="178" t="inlineStr">
        <is>
          <t>Veri ve Anlam Sözleşmeleri</t>
        </is>
      </c>
      <c r="C7" s="178" t="inlineStr">
        <is>
          <t>Girdi/KPI varsa</t>
        </is>
      </c>
      <c r="D7" s="178" t="inlineStr">
        <is>
          <t>Veri + KPI sözleşmeleri</t>
        </is>
      </c>
      <c r="E7" s="178" t="inlineStr">
        <is>
          <t>Kapsam %100</t>
        </is>
      </c>
      <c r="F7" s="178" t="inlineStr">
        <is>
          <t>HATA</t>
        </is>
      </c>
      <c r="G7" s="178" t="inlineStr">
        <is>
          <t>Üretim</t>
        </is>
      </c>
    </row>
    <row r="8">
      <c r="A8" s="182" t="n">
        <v>5</v>
      </c>
      <c r="B8" s="178" t="inlineStr">
        <is>
          <t>Üretim</t>
        </is>
      </c>
      <c r="C8" s="178" t="inlineStr">
        <is>
          <t>Sözleşmeler GEÇTİ</t>
        </is>
      </c>
      <c r="D8" s="178" t="inlineStr">
        <is>
          <t>Çalışan Excel</t>
        </is>
      </c>
      <c r="E8" s="178" t="inlineStr">
        <is>
          <t>Tek gerçek kaynak korunmuş</t>
        </is>
      </c>
      <c r="F8" s="178" t="inlineStr">
        <is>
          <t>HATA</t>
        </is>
      </c>
      <c r="G8" s="178" t="inlineStr">
        <is>
          <t>Testler</t>
        </is>
      </c>
    </row>
    <row r="9" ht="28" customHeight="1">
      <c r="A9" s="182" t="n">
        <v>6</v>
      </c>
      <c r="B9" s="178" t="inlineStr">
        <is>
          <t>Görsel/Kullanım Katmanı</t>
        </is>
      </c>
      <c r="C9" s="178" t="inlineStr">
        <is>
          <t>Motor hazır</t>
        </is>
      </c>
      <c r="D9" s="178" t="inlineStr">
        <is>
          <t>Başlıklar + renk + grafik + yönlendirme</t>
        </is>
      </c>
      <c r="E9" s="178" t="inlineStr">
        <is>
          <t>Tüm kullanıcı sayfaları standarda uygun</t>
        </is>
      </c>
      <c r="F9" s="178" t="inlineStr">
        <is>
          <t>HATA</t>
        </is>
      </c>
      <c r="G9" s="178" t="inlineStr">
        <is>
          <t>Testler</t>
        </is>
      </c>
    </row>
    <row r="10" ht="28" customHeight="1">
      <c r="A10" s="182" t="n">
        <v>7</v>
      </c>
      <c r="B10" s="178" t="inlineStr">
        <is>
          <t>Testler</t>
        </is>
      </c>
      <c r="C10" s="178" t="inlineStr">
        <is>
          <t>Üretim tamam</t>
        </is>
      </c>
      <c r="D10" s="178" t="inlineStr">
        <is>
          <t>Formül/OOXML/kimlik/oracle/golden/metamorfik</t>
        </is>
      </c>
      <c r="E10" s="178" t="inlineStr">
        <is>
          <t>Uygulanabilir hard gate'ler GEÇTİ</t>
        </is>
      </c>
      <c r="F10" s="178" t="inlineStr">
        <is>
          <t>HATA</t>
        </is>
      </c>
      <c r="G10" s="178" t="inlineStr">
        <is>
          <t>Kanıt</t>
        </is>
      </c>
    </row>
    <row r="11">
      <c r="A11" s="182" t="n">
        <v>8</v>
      </c>
      <c r="B11" s="178" t="inlineStr">
        <is>
          <t>Hata-Kontrol Tutarlılığı</t>
        </is>
      </c>
      <c r="C11" s="178" t="inlineStr">
        <is>
          <t>Test sonucu var</t>
        </is>
      </c>
      <c r="D11" s="178" t="inlineStr">
        <is>
          <t>Hata taraması + kontrol sonuçları</t>
        </is>
      </c>
      <c r="E11" s="178" t="inlineStr">
        <is>
          <t>Formül hatası varken GEÇTİ yok</t>
        </is>
      </c>
      <c r="F11" s="178" t="inlineStr">
        <is>
          <t>HATA</t>
        </is>
      </c>
      <c r="G11" s="178" t="inlineStr">
        <is>
          <t>Kanıt</t>
        </is>
      </c>
    </row>
    <row r="12">
      <c r="A12" s="182" t="n">
        <v>9</v>
      </c>
      <c r="B12" s="178" t="inlineStr">
        <is>
          <t>Kanıt</t>
        </is>
      </c>
      <c r="C12" s="178" t="inlineStr">
        <is>
          <t>Test sonucu var</t>
        </is>
      </c>
      <c r="D12" s="178" t="inlineStr">
        <is>
          <t>Makine okunur artefakt + özet</t>
        </is>
      </c>
      <c r="E12" s="178" t="inlineStr">
        <is>
          <t>Kanıt fiziksel ve tutarlı</t>
        </is>
      </c>
      <c r="F12" s="178" t="inlineStr">
        <is>
          <t>HATA</t>
        </is>
      </c>
      <c r="G12" s="178" t="inlineStr">
        <is>
          <t>Kullanıcı Kabulü</t>
        </is>
      </c>
    </row>
    <row r="13">
      <c r="A13" s="182" t="n">
        <v>10</v>
      </c>
      <c r="B13" s="178" t="inlineStr">
        <is>
          <t>Kullanıcı Kabulü</t>
        </is>
      </c>
      <c r="C13" s="178" t="inlineStr">
        <is>
          <t>Kritik görevler</t>
        </is>
      </c>
      <c r="D13" s="178" t="inlineStr">
        <is>
          <t>Gerçek ekran davranışı</t>
        </is>
      </c>
      <c r="E13" s="178" t="inlineStr">
        <is>
          <t>Kritik görevler %100</t>
        </is>
      </c>
      <c r="F13" s="178" t="inlineStr">
        <is>
          <t>DIŞ_KABUL_GEREKLİ</t>
        </is>
      </c>
      <c r="G13" s="178" t="inlineStr">
        <is>
          <t>Ticari</t>
        </is>
      </c>
    </row>
    <row r="14">
      <c r="A14" s="182" t="n">
        <v>11</v>
      </c>
      <c r="B14" s="178" t="inlineStr">
        <is>
          <t>Ticari Değer</t>
        </is>
      </c>
      <c r="C14" s="178" t="inlineStr">
        <is>
          <t>Ürün satılacaksa</t>
        </is>
      </c>
      <c r="D14" s="178" t="inlineStr">
        <is>
          <t>ROI + demo + kanıt paketi</t>
        </is>
      </c>
      <c r="E14" s="178" t="inlineStr">
        <is>
          <t>Ekonomik değer kanıtlı</t>
        </is>
      </c>
      <c r="F14" s="178" t="inlineStr">
        <is>
          <t>UYARI / HATA</t>
        </is>
      </c>
      <c r="G14" s="178" t="inlineStr">
        <is>
          <t>Pazar Doğrulama</t>
        </is>
      </c>
    </row>
    <row r="15">
      <c r="A15" s="182" t="n">
        <v>12</v>
      </c>
      <c r="B15" s="178" t="inlineStr">
        <is>
          <t>Pazar Doğrulama</t>
        </is>
      </c>
      <c r="C15" s="178" t="inlineStr">
        <is>
          <t>Pazar iddiası varsa</t>
        </is>
      </c>
      <c r="D15" s="178" t="inlineStr">
        <is>
          <t>Ücretli satış/pilot/fiyat kabul kanıtı</t>
        </is>
      </c>
      <c r="E15" s="178" t="inlineStr">
        <is>
          <t>Gerçek fiyat kabul kanıtı</t>
        </is>
      </c>
      <c r="F15" s="178" t="inlineStr">
        <is>
          <t>UYGULANMAZ / HATA</t>
        </is>
      </c>
      <c r="G15" s="17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NİHAİ KONTROL LİSTESİ — KANITSIZ GEÇİŞ YOK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4" customHeight="1">
      <c r="A3" s="184" t="inlineStr">
        <is>
          <t>Kontrol No</t>
        </is>
      </c>
      <c r="B3" s="184" t="inlineStr">
        <is>
          <t>Kontrol</t>
        </is>
      </c>
      <c r="C3" s="184" t="inlineStr">
        <is>
          <t>Beklenen</t>
        </is>
      </c>
      <c r="D3" s="184" t="inlineStr">
        <is>
          <t>Zorunlu Kapı?</t>
        </is>
      </c>
      <c r="E3" s="184" t="inlineStr">
        <is>
          <t>Sonuç</t>
        </is>
      </c>
    </row>
    <row r="4">
      <c r="A4" s="185" t="inlineStr">
        <is>
          <t>K01</t>
        </is>
      </c>
      <c r="B4" s="178" t="inlineStr">
        <is>
          <t>Kullanıcının açık talebi öncelikli mi?</t>
        </is>
      </c>
      <c r="C4" s="178" t="inlineStr">
        <is>
          <t>Evet</t>
        </is>
      </c>
      <c r="D4" s="178" t="inlineStr">
        <is>
          <t>EVET</t>
        </is>
      </c>
    </row>
    <row r="5">
      <c r="A5" s="185" t="inlineStr">
        <is>
          <t>K02</t>
        </is>
      </c>
      <c r="B5" s="178" t="inlineStr">
        <is>
          <t>Mevcut yapı, formüller ve tek gerçek kaynak korunuyor mu?</t>
        </is>
      </c>
      <c r="C5" s="178" t="inlineStr">
        <is>
          <t>Evet, değişiklik gerekçeli</t>
        </is>
      </c>
      <c r="D5" s="178" t="inlineStr">
        <is>
          <t>EVET</t>
        </is>
      </c>
    </row>
    <row r="6">
      <c r="A6" s="185" t="inlineStr">
        <is>
          <t>K03</t>
        </is>
      </c>
      <c r="B6" s="178" t="inlineStr">
        <is>
          <t>Üst aşama HATA ise alt aşama GEÇTİ engelleniyor mu?</t>
        </is>
      </c>
      <c r="C6" s="178" t="inlineStr">
        <is>
          <t>Evet</t>
        </is>
      </c>
      <c r="D6" s="178" t="inlineStr">
        <is>
          <t>EVET</t>
        </is>
      </c>
    </row>
    <row r="7">
      <c r="A7" s="185" t="inlineStr">
        <is>
          <t>K04</t>
        </is>
      </c>
      <c r="B7" s="178" t="inlineStr">
        <is>
          <t>Kanıt fiziksel çıktı ve içerik doğrulaması içeriyor mu?</t>
        </is>
      </c>
      <c r="C7" s="178" t="inlineStr">
        <is>
          <t>Evet</t>
        </is>
      </c>
      <c r="D7" s="178" t="inlineStr">
        <is>
          <t>EVET</t>
        </is>
      </c>
    </row>
    <row r="8">
      <c r="A8" s="185" t="inlineStr">
        <is>
          <t>K05</t>
        </is>
      </c>
      <c r="B8" s="178" t="inlineStr">
        <is>
          <t>Excel GUI erişimi olmadan kullanıcı görünümü GEÇTİ yazılıyor mu?</t>
        </is>
      </c>
      <c r="C8" s="178" t="inlineStr">
        <is>
          <t>Hayır</t>
        </is>
      </c>
      <c r="D8" s="178" t="inlineStr">
        <is>
          <t>EVET</t>
        </is>
      </c>
    </row>
    <row r="9">
      <c r="A9" s="185" t="inlineStr">
        <is>
          <t>K06</t>
        </is>
      </c>
      <c r="B9" s="178" t="inlineStr">
        <is>
          <t>NİHAİ yalnız GEÇTİ / gerekçeli UYGULANMAZ ile mi?</t>
        </is>
      </c>
      <c r="C9" s="178" t="inlineStr">
        <is>
          <t>Evet</t>
        </is>
      </c>
      <c r="D9" s="178" t="inlineStr">
        <is>
          <t>EVET</t>
        </is>
      </c>
    </row>
    <row r="10">
      <c r="A10" s="185" t="inlineStr">
        <is>
          <t>K07</t>
        </is>
      </c>
      <c r="B10" s="178" t="inlineStr">
        <is>
          <t>Ekonomik fiyat savunusu pazar doğrulamasından ayrılmış mı?</t>
        </is>
      </c>
      <c r="C10" s="178" t="inlineStr">
        <is>
          <t>Evet</t>
        </is>
      </c>
      <c r="D10" s="178" t="inlineStr">
        <is>
          <t>EVET</t>
        </is>
      </c>
    </row>
    <row r="11">
      <c r="A11" s="185" t="inlineStr">
        <is>
          <t>K08</t>
        </is>
      </c>
      <c r="B11" s="178" t="inlineStr">
        <is>
          <t>Prestij için gereksiz modül var mı?</t>
        </is>
      </c>
      <c r="C11" s="178" t="inlineStr">
        <is>
          <t>Hayır</t>
        </is>
      </c>
      <c r="D11" s="178" t="inlineStr">
        <is>
          <t>HAYIR</t>
        </is>
      </c>
    </row>
    <row r="12">
      <c r="A12" s="185" t="inlineStr">
        <is>
          <t>K09</t>
        </is>
      </c>
      <c r="B12" s="178" t="inlineStr">
        <is>
          <t>Excel sınırları açık mı?</t>
        </is>
      </c>
      <c r="C12" s="178" t="inlineStr">
        <is>
          <t>Evet</t>
        </is>
      </c>
      <c r="D12" s="178" t="inlineStr">
        <is>
          <t>EVET</t>
        </is>
      </c>
    </row>
    <row r="13">
      <c r="A13" s="185" t="inlineStr">
        <is>
          <t>K10</t>
        </is>
      </c>
      <c r="B13" s="178" t="inlineStr">
        <is>
          <t>Teknik kaynak korunuyor mu?</t>
        </is>
      </c>
      <c r="C13" s="178" t="inlineStr">
        <is>
          <t>Evet</t>
        </is>
      </c>
      <c r="D13" s="178" t="inlineStr">
        <is>
          <t>EVET</t>
        </is>
      </c>
    </row>
    <row r="14">
      <c r="A14" s="185" t="inlineStr">
        <is>
          <t>K11</t>
        </is>
      </c>
      <c r="B14" s="178" t="inlineStr">
        <is>
          <t>Kullanıcıya görünen tüm metinler Türkçe mi?</t>
        </is>
      </c>
      <c r="C14" s="178" t="inlineStr">
        <is>
          <t>Evet</t>
        </is>
      </c>
      <c r="D14" s="178" t="inlineStr">
        <is>
          <t>EVET</t>
        </is>
      </c>
    </row>
    <row r="15">
      <c r="A15" s="185" t="inlineStr">
        <is>
          <t>K12</t>
        </is>
      </c>
      <c r="B15" s="178" t="inlineStr">
        <is>
          <t>Her kullanıcı sayfasında üst başlık var mı?</t>
        </is>
      </c>
      <c r="C15" s="178" t="inlineStr">
        <is>
          <t>Evet</t>
        </is>
      </c>
      <c r="D15" s="178" t="inlineStr">
        <is>
          <t>EVET</t>
        </is>
      </c>
    </row>
    <row r="16">
      <c r="A16" s="185" t="inlineStr">
        <is>
          <t>K13</t>
        </is>
      </c>
      <c r="B16" s="178" t="inlineStr">
        <is>
          <t>Sayfalar arasında tutarlı renk sistemi var mı?</t>
        </is>
      </c>
      <c r="C16" s="178" t="inlineStr">
        <is>
          <t>Evet</t>
        </is>
      </c>
      <c r="D16" s="178" t="inlineStr">
        <is>
          <t>EVET</t>
        </is>
      </c>
    </row>
    <row r="17">
      <c r="A17" s="185" t="inlineStr">
        <is>
          <t>K14</t>
        </is>
      </c>
      <c r="B17" s="178" t="inlineStr">
        <is>
          <t>Alt sayfa sekmeleri işlevine göre renklendirilmiş mi?</t>
        </is>
      </c>
      <c r="C17" s="178" t="inlineStr">
        <is>
          <t>Evet</t>
        </is>
      </c>
      <c r="D17" s="178" t="inlineStr">
        <is>
          <t>EVET</t>
        </is>
      </c>
    </row>
    <row r="18">
      <c r="A18" s="185" t="inlineStr">
        <is>
          <t>K15</t>
        </is>
      </c>
      <c r="B18" s="178" t="inlineStr">
        <is>
          <t>İçerik blokları arasında gereksiz boş kolon var mı?</t>
        </is>
      </c>
      <c r="C18" s="178" t="inlineStr">
        <is>
          <t>Hayır</t>
        </is>
      </c>
      <c r="D18" s="178" t="inlineStr">
        <is>
          <t>EVET</t>
        </is>
      </c>
    </row>
    <row r="19">
      <c r="A19" s="185" t="inlineStr">
        <is>
          <t>K16</t>
        </is>
      </c>
      <c r="B19" s="178" t="inlineStr">
        <is>
          <t>Grafikler premium ve karar odaklı mı?</t>
        </is>
      </c>
      <c r="C19" s="178" t="inlineStr">
        <is>
          <t>Evet</t>
        </is>
      </c>
      <c r="D19" s="178" t="inlineStr">
        <is>
          <t>EVET</t>
        </is>
      </c>
    </row>
    <row r="20">
      <c r="A20" s="185" t="inlineStr">
        <is>
          <t>K17</t>
        </is>
      </c>
      <c r="B20" s="178" t="inlineStr">
        <is>
          <t>Varsayılan Excel grafiği / 3B / dekoratif grafik var mı?</t>
        </is>
      </c>
      <c r="C20" s="178" t="inlineStr">
        <is>
          <t>Hayır</t>
        </is>
      </c>
      <c r="D20" s="178" t="inlineStr">
        <is>
          <t>EVET</t>
        </is>
      </c>
    </row>
    <row r="21">
      <c r="A21" s="185" t="inlineStr">
        <is>
          <t>K18</t>
        </is>
      </c>
      <c r="B21" s="178" t="inlineStr">
        <is>
          <t>Finansal ürün Türkiye Tekdüzen Hesap Planı ile eşleşiyor mu?</t>
        </is>
      </c>
      <c r="C21" s="178" t="inlineStr">
        <is>
          <t>Evet</t>
        </is>
      </c>
      <c r="D21" s="178" t="inlineStr">
        <is>
          <t>EVET</t>
        </is>
      </c>
    </row>
    <row r="22">
      <c r="A22" s="185" t="inlineStr">
        <is>
          <t>K19</t>
        </is>
      </c>
      <c r="B22" s="178" t="inlineStr">
        <is>
          <t>Muhasebe satır adları Türkiye kullanımına uygun mu?</t>
        </is>
      </c>
      <c r="C22" s="178" t="inlineStr">
        <is>
          <t>Evet</t>
        </is>
      </c>
      <c r="D22" s="178" t="inlineStr">
        <is>
          <t>EVET</t>
        </is>
      </c>
    </row>
    <row r="23">
      <c r="A23" s="185" t="inlineStr">
        <is>
          <t>K20</t>
        </is>
      </c>
      <c r="B23" s="178" t="inlineStr">
        <is>
          <t>Formül hatası varken herhangi bir kontrol GEÇTİ gösteriyor mu?</t>
        </is>
      </c>
      <c r="C23" s="178" t="inlineStr">
        <is>
          <t>Hayır</t>
        </is>
      </c>
      <c r="D23" s="178" t="inlineStr">
        <is>
          <t>EVET</t>
        </is>
      </c>
    </row>
    <row r="24">
      <c r="A24" s="185" t="inlineStr">
        <is>
          <t>K21</t>
        </is>
      </c>
      <c r="B24" s="178" t="inlineStr">
        <is>
          <t>Karar Motoru boş veya yalnız başlık düzeyinde mi?</t>
        </is>
      </c>
      <c r="C24" s="178" t="inlineStr">
        <is>
          <t>Hayır</t>
        </is>
      </c>
      <c r="D24" s="178" t="inlineStr">
        <is>
          <t>EVET</t>
        </is>
      </c>
    </row>
    <row r="25">
      <c r="A25" s="185" t="inlineStr">
        <is>
          <t>K22</t>
        </is>
      </c>
      <c r="B25" s="178" t="inlineStr">
        <is>
          <t>Senaryo/Stres modülü gerçekten sonuç değiştiriyor mu?</t>
        </is>
      </c>
      <c r="C25" s="178" t="inlineStr">
        <is>
          <t>Evet</t>
        </is>
      </c>
      <c r="D25" s="178" t="inlineStr">
        <is>
          <t>EVET</t>
        </is>
      </c>
    </row>
    <row r="26">
      <c r="A26" s="185" t="inlineStr">
        <is>
          <t>K23</t>
        </is>
      </c>
      <c r="B26" s="178" t="inlineStr">
        <is>
          <t>Oracle/bağımsız doğrulama gerçek veri üretiyor mu?</t>
        </is>
      </c>
      <c r="C26" s="178" t="inlineStr">
        <is>
          <t>Evet veya gerekçeli UYGULANMAZ</t>
        </is>
      </c>
      <c r="D26" s="178" t="inlineStr">
        <is>
          <t>EVET</t>
        </is>
      </c>
    </row>
    <row r="27">
      <c r="A27" s="185" t="inlineStr">
        <is>
          <t>K24</t>
        </is>
      </c>
      <c r="B27" s="178" t="inlineStr">
        <is>
          <t>Yönetici ekranı 5 saniyede sorunu ve aksiyonu anlatıyor mu?</t>
        </is>
      </c>
      <c r="C27" s="178" t="inlineStr">
        <is>
          <t>Evet</t>
        </is>
      </c>
      <c r="D27" s="178" t="inlineStr">
        <is>
          <t>EVET</t>
        </is>
      </c>
    </row>
    <row r="28">
      <c r="A28" s="185" t="inlineStr">
        <is>
          <t>K25</t>
        </is>
      </c>
      <c r="B28" s="178" t="inlineStr">
        <is>
          <t>Her kritik kararın parasal etkisi ve önerilen aksiyonu var mı?</t>
        </is>
      </c>
      <c r="C28" s="178" t="inlineStr">
        <is>
          <t>Evet</t>
        </is>
      </c>
      <c r="D28" s="178" t="inlineStr">
        <is>
          <t>EVET</t>
        </is>
      </c>
    </row>
    <row r="29">
      <c r="A29" s="185" t="inlineStr">
        <is>
          <t>K26</t>
        </is>
      </c>
      <c r="B29" s="178" t="inlineStr">
        <is>
          <t>Ürün sayfası/ürün içi demo satın alma gerekçesini kanıtlıyor mu?</t>
        </is>
      </c>
      <c r="C29" s="178" t="inlineStr">
        <is>
          <t>Evet</t>
        </is>
      </c>
      <c r="D29" s="178" t="inlineStr">
        <is>
          <t>EVET</t>
        </is>
      </c>
    </row>
    <row r="30" ht="30" customHeight="1">
      <c r="A30" s="186" t="inlineStr">
        <is>
          <t>K27</t>
        </is>
      </c>
      <c r="B30" s="187" t="inlineStr">
        <is>
          <t>Buton görünümü verilen tüm alanlar gerçekten tıklanabilir ve doğru hedefe gidiyor mu?</t>
        </is>
      </c>
      <c r="C30" s="187" t="inlineStr">
        <is>
          <t>Evet</t>
        </is>
      </c>
      <c r="D30" s="178" t="inlineStr">
        <is>
          <t>EVET</t>
        </is>
      </c>
    </row>
    <row r="31" ht="30" customHeight="1">
      <c r="A31" s="186" t="inlineStr">
        <is>
          <t>K28</t>
        </is>
      </c>
      <c r="B31" s="187" t="inlineStr">
        <is>
          <t>Tüm görünür kullanıcı sheet tabları kurumsal kategori rengi taşıyor mu?</t>
        </is>
      </c>
      <c r="C31" s="187" t="inlineStr">
        <is>
          <t>Evet</t>
        </is>
      </c>
      <c r="D31" s="178" t="inlineStr">
        <is>
          <t>EVET</t>
        </is>
      </c>
    </row>
    <row r="32" ht="16" customHeight="1">
      <c r="A32" s="186" t="inlineStr">
        <is>
          <t>K29</t>
        </is>
      </c>
      <c r="B32" s="187" t="inlineStr">
        <is>
          <t>Sheet sırası tanımlı kullanıcı iş akışıyla birebir aynı mı?</t>
        </is>
      </c>
      <c r="C32" s="187" t="inlineStr">
        <is>
          <t>Evet</t>
        </is>
      </c>
      <c r="D32" s="178" t="inlineStr">
        <is>
          <t>EVET</t>
        </is>
      </c>
    </row>
    <row r="33" ht="30" customHeight="1">
      <c r="A33" s="186" t="inlineStr">
        <is>
          <t>K30</t>
        </is>
      </c>
      <c r="B33" s="187" t="inlineStr">
        <is>
          <t>Kurumsal renk paleti tutarlı mı; rastgele/gökkuşağı renk kullanımı var mı?</t>
        </is>
      </c>
      <c r="C33" s="187" t="inlineStr">
        <is>
          <t>Evet / Hayır</t>
        </is>
      </c>
      <c r="D33" s="178" t="inlineStr">
        <is>
          <t>EVET</t>
        </is>
      </c>
    </row>
    <row r="34" ht="30" customHeight="1">
      <c r="A34" s="186" t="inlineStr">
        <is>
          <t>K31</t>
        </is>
      </c>
      <c r="B34" s="187" t="inlineStr">
        <is>
          <t>Premium vitrin, altyapı kadar güçlü ve satış fiyatını destekleyecek seviyede mi?</t>
        </is>
      </c>
      <c r="C34" s="187" t="inlineStr">
        <is>
          <t>Evet</t>
        </is>
      </c>
      <c r="D34" s="17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GÖRSEL TASARIM VE PREMIUM EXCEL STANDARDI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4" customHeight="1">
      <c r="A3" s="189" t="inlineStr">
        <is>
          <t>Alan</t>
        </is>
      </c>
      <c r="B3" s="189" t="inlineStr">
        <is>
          <t>Zorunlu Kural</t>
        </is>
      </c>
      <c r="C3" s="189" t="inlineStr">
        <is>
          <t>Uygulama</t>
        </is>
      </c>
      <c r="D3" s="189" t="inlineStr">
        <is>
          <t>Yasak</t>
        </is>
      </c>
      <c r="E3" s="189" t="inlineStr">
        <is>
          <t>Kontrol</t>
        </is>
      </c>
      <c r="F3" s="189" t="inlineStr">
        <is>
          <t>Durum</t>
        </is>
      </c>
    </row>
    <row r="4" ht="28" customHeight="1">
      <c r="A4" s="190" t="inlineStr">
        <is>
          <t>Sayfa başlığı</t>
        </is>
      </c>
      <c r="B4" s="178" t="inlineStr">
        <is>
          <t>Her kullanıcı sayfasının en üstünde tek ve açık sayfa başlığı</t>
        </is>
      </c>
      <c r="C4" s="178" t="inlineStr">
        <is>
          <t>A1'den başlayan koyu lacivert başlık bandı</t>
        </is>
      </c>
      <c r="D4" s="178" t="inlineStr">
        <is>
          <t>Başlıksız sayfa</t>
        </is>
      </c>
      <c r="E4" s="178" t="inlineStr">
        <is>
          <t>Başlık kapsama = %100</t>
        </is>
      </c>
      <c r="F4" s="191" t="inlineStr">
        <is>
          <t>ZORUNLU</t>
        </is>
      </c>
    </row>
    <row r="5" ht="28" customHeight="1">
      <c r="A5" s="190" t="inlineStr">
        <is>
          <t>Sekme renkleri</t>
        </is>
      </c>
      <c r="B5" s="178" t="inlineStr">
        <is>
          <t>Sayfalar işlevine göre renk kodlanır</t>
        </is>
      </c>
      <c r="C5" s="178" t="inlineStr">
        <is>
          <t>Girdi=mavi, hesap=gri, rapor=lacivert, kontrol=kırmızı, kılavuz=altın</t>
        </is>
      </c>
      <c r="D5" s="178" t="inlineStr">
        <is>
          <t>Rastgele renk</t>
        </is>
      </c>
      <c r="E5" s="178" t="inlineStr">
        <is>
          <t>Renk semantiği tutarlı</t>
        </is>
      </c>
      <c r="F5" s="191" t="inlineStr">
        <is>
          <t>ZORUNLU</t>
        </is>
      </c>
    </row>
    <row r="6" ht="28" customHeight="1">
      <c r="A6" s="190" t="inlineStr">
        <is>
          <t>Kolon düzeni</t>
        </is>
      </c>
      <c r="B6" s="178" t="inlineStr">
        <is>
          <t>Veri blokları bitişik kolonlarda ilerler</t>
        </is>
      </c>
      <c r="C6" s="178" t="inlineStr">
        <is>
          <t>Gereksiz boş kolon bırakma; yalnız gerçek bölüm ayrımı varsa kontrollü boşluk</t>
        </is>
      </c>
      <c r="D6" s="178" t="inlineStr">
        <is>
          <t>A:C veri, D boş, E:F veri gibi parçalı yapı</t>
        </is>
      </c>
      <c r="E6" s="178" t="inlineStr">
        <is>
          <t>Boş kolon taraması</t>
        </is>
      </c>
      <c r="F6" s="191" t="inlineStr">
        <is>
          <t>ZORUNLU</t>
        </is>
      </c>
    </row>
    <row r="7" ht="16" customHeight="1">
      <c r="A7" s="190" t="inlineStr">
        <is>
          <t>Girdi hücreleri</t>
        </is>
      </c>
      <c r="B7" s="178" t="inlineStr">
        <is>
          <t>Kullanıcının değiştireceği alan açıkça görünür</t>
        </is>
      </c>
      <c r="C7" s="178" t="inlineStr">
        <is>
          <t>Açık sarı dolgu + mavi yazı</t>
        </is>
      </c>
      <c r="D7" s="178" t="inlineStr">
        <is>
          <t>Formülle aynı görünüm</t>
        </is>
      </c>
      <c r="E7" s="178" t="inlineStr">
        <is>
          <t>Girdi/formül ayrımı</t>
        </is>
      </c>
      <c r="F7" s="191" t="inlineStr">
        <is>
          <t>ZORUNLU</t>
        </is>
      </c>
    </row>
    <row r="8" ht="16" customHeight="1">
      <c r="A8" s="190" t="inlineStr">
        <is>
          <t>Formüller</t>
        </is>
      </c>
      <c r="B8" s="178" t="inlineStr">
        <is>
          <t>Hesap hücreleri kullanıcı girdisinden ayrılır</t>
        </is>
      </c>
      <c r="C8" s="178" t="inlineStr">
        <is>
          <t>Siyah yazı; sayfalar arası bağlantı yeşil yazı</t>
        </is>
      </c>
      <c r="D8" s="178" t="inlineStr">
        <is>
          <t>Hard-code gizleme</t>
        </is>
      </c>
      <c r="E8" s="178" t="inlineStr">
        <is>
          <t>Formül sınıfı kontrolü</t>
        </is>
      </c>
      <c r="F8" s="191" t="inlineStr">
        <is>
          <t>ZORUNLU</t>
        </is>
      </c>
    </row>
    <row r="9" ht="16" customHeight="1">
      <c r="A9" s="190" t="inlineStr">
        <is>
          <t>Grafik sayısı</t>
        </is>
      </c>
      <c r="B9" s="178" t="inlineStr">
        <is>
          <t>Yönetici ekranında en fazla 3 ana karar grafiği</t>
        </is>
      </c>
      <c r="C9" s="178" t="inlineStr">
        <is>
          <t>Trend, karşılaştırma, köprü/dağılım; iş kararına bağlı</t>
        </is>
      </c>
      <c r="D9" s="178" t="inlineStr">
        <is>
          <t>Grafik kalabalığı</t>
        </is>
      </c>
      <c r="E9" s="178" t="inlineStr">
        <is>
          <t>Grafik başına karar sorusu</t>
        </is>
      </c>
      <c r="F9" s="191" t="inlineStr">
        <is>
          <t>ZORUNLU</t>
        </is>
      </c>
    </row>
    <row r="10" ht="16" customHeight="1">
      <c r="A10" s="190" t="inlineStr">
        <is>
          <t>Grafik stili</t>
        </is>
      </c>
      <c r="B10" s="178" t="inlineStr">
        <is>
          <t>Kurumsal ve yüksek okunabilirlik</t>
        </is>
      </c>
      <c r="C10" s="178" t="inlineStr">
        <is>
          <t>Beyaz zemin, ince gridline, tek vurgu rengi, açık birim/başlık</t>
        </is>
      </c>
      <c r="D10" s="178" t="inlineStr">
        <is>
          <t>3B, gölge, neon, gökkuşağı renkleri</t>
        </is>
      </c>
      <c r="E10" s="178" t="inlineStr">
        <is>
          <t>Görsel inceleme</t>
        </is>
      </c>
      <c r="F10" s="191" t="inlineStr">
        <is>
          <t>ZORUNLU</t>
        </is>
      </c>
    </row>
    <row r="11" ht="16" customHeight="1">
      <c r="A11" s="190" t="inlineStr">
        <is>
          <t>Grafik başlığı</t>
        </is>
      </c>
      <c r="B11" s="178" t="inlineStr">
        <is>
          <t>Grafik 'neyi' değil 'ne anlama geldiğini' söyler</t>
        </is>
      </c>
      <c r="C11" s="178" t="inlineStr">
        <is>
          <t>Örn: 'Nakit 2028'de kritik eşiğin altına iniyor'</t>
        </is>
      </c>
      <c r="D11" s="178" t="inlineStr">
        <is>
          <t>'Nakit Grafiği' gibi anlamsız başlık</t>
        </is>
      </c>
      <c r="E11" s="178" t="inlineStr">
        <is>
          <t>Başlık karar testi</t>
        </is>
      </c>
      <c r="F11" s="191" t="inlineStr">
        <is>
          <t>ZORUNLU</t>
        </is>
      </c>
    </row>
    <row r="12" ht="16" customHeight="1">
      <c r="A12" s="190" t="inlineStr">
        <is>
          <t>Birimler</t>
        </is>
      </c>
      <c r="B12" s="178" t="inlineStr">
        <is>
          <t>Tüm finansal görsellerde birim açık</t>
        </is>
      </c>
      <c r="C12" s="178" t="inlineStr">
        <is>
          <t>TL, bin TL, milyon TL, %, gün, x</t>
        </is>
      </c>
      <c r="D12" s="178" t="inlineStr">
        <is>
          <t>Birim belirsizliği</t>
        </is>
      </c>
      <c r="E12" s="178" t="inlineStr">
        <is>
          <t>Birim kapsama %100</t>
        </is>
      </c>
      <c r="F12" s="191" t="inlineStr">
        <is>
          <t>ZORUNLU</t>
        </is>
      </c>
    </row>
    <row r="13" ht="16" customHeight="1">
      <c r="A13" s="190" t="inlineStr">
        <is>
          <t>Sıfır/negatif</t>
        </is>
      </c>
      <c r="B13" s="178" t="inlineStr">
        <is>
          <t>Finansal format standardı</t>
        </is>
      </c>
      <c r="C13" s="178" t="inlineStr">
        <is>
          <t>Sıfır='-', negatif kırmızı parantez</t>
        </is>
      </c>
      <c r="D13" s="178" t="inlineStr">
        <is>
          <t>-500 veya 0,00 kalabalığı</t>
        </is>
      </c>
      <c r="E13" s="178" t="inlineStr">
        <is>
          <t>Format kontrolü</t>
        </is>
      </c>
      <c r="F13" s="191" t="inlineStr">
        <is>
          <t>ZORUNLU</t>
        </is>
      </c>
    </row>
    <row r="14" ht="16" customHeight="1">
      <c r="A14" s="190" t="inlineStr">
        <is>
          <t>Yazı tipi</t>
        </is>
      </c>
      <c r="B14" s="178" t="inlineStr">
        <is>
          <t>Tek aile</t>
        </is>
      </c>
      <c r="C14" s="178" t="inlineStr">
        <is>
          <t>Aptos veya Segoe UI</t>
        </is>
      </c>
      <c r="D14" s="178" t="inlineStr">
        <is>
          <t>Karışık font</t>
        </is>
      </c>
      <c r="E14" s="178" t="inlineStr">
        <is>
          <t>Tek font kontrolü</t>
        </is>
      </c>
      <c r="F14" s="191" t="inlineStr">
        <is>
          <t>ZORUNLU</t>
        </is>
      </c>
    </row>
    <row r="15" ht="16" customHeight="1">
      <c r="A15" s="190" t="inlineStr">
        <is>
          <t>Izgara</t>
        </is>
      </c>
      <c r="B15" s="178" t="inlineStr">
        <is>
          <t>Kullanıcı sayfalarında kapalı</t>
        </is>
      </c>
      <c r="C15" s="178" t="inlineStr">
        <is>
          <t>Bölüm çizgileri ve kart sınırlarıyla düzen</t>
        </is>
      </c>
      <c r="D15" s="178" t="inlineStr">
        <is>
          <t>Excel varsayılan gridline</t>
        </is>
      </c>
      <c r="E15" s="178" t="inlineStr">
        <is>
          <t>Gridline kontrolü</t>
        </is>
      </c>
      <c r="F15" s="191" t="inlineStr">
        <is>
          <t>ZORUNLU</t>
        </is>
      </c>
    </row>
    <row r="16" ht="16" customHeight="1">
      <c r="A16" s="190" t="inlineStr">
        <is>
          <t>Boş durum</t>
        </is>
      </c>
      <c r="B16" s="178" t="inlineStr">
        <is>
          <t>Veri yokken temiz ve anlaşılır</t>
        </is>
      </c>
      <c r="C16" s="178" t="inlineStr">
        <is>
          <t>'Henüz veri yok' / 'Girdi bekleniyor'</t>
        </is>
      </c>
      <c r="D16" s="178" t="inlineStr">
        <is>
          <t>0 yığını / hata kodu</t>
        </is>
      </c>
      <c r="E16" s="178" t="inlineStr">
        <is>
          <t>Boş veri testi</t>
        </is>
      </c>
      <c r="F16" s="191" t="inlineStr">
        <is>
          <t>ZORUNLU</t>
        </is>
      </c>
    </row>
    <row r="17" ht="28" customHeight="1">
      <c r="A17" s="190" t="inlineStr">
        <is>
          <t>Başlangıç deneyimi</t>
        </is>
      </c>
      <c r="B17" s="178" t="inlineStr">
        <is>
          <t>İlk 5 saniyede ne gireceği ve neye bakacağı anlaşılır</t>
        </is>
      </c>
      <c r="C17" s="178" t="inlineStr">
        <is>
          <t>Girdi → durum → aksiyon akışı</t>
        </is>
      </c>
      <c r="D17" s="178" t="inlineStr">
        <is>
          <t>Kılavuz aramaya zorlama</t>
        </is>
      </c>
      <c r="E17" s="178" t="inlineStr">
        <is>
          <t>5 saniye testi</t>
        </is>
      </c>
      <c r="F17" s="191" t="inlineStr">
        <is>
          <t>ZORUNLU</t>
        </is>
      </c>
    </row>
    <row r="18" ht="30" customHeight="1">
      <c r="A18" s="186" t="inlineStr">
        <is>
          <t>Buton standardı</t>
        </is>
      </c>
      <c r="B18" s="187" t="inlineStr">
        <is>
          <t>Buton görünümü verilen her alan gerçek işlev taşır</t>
        </is>
      </c>
      <c r="C18" s="187" t="inlineStr">
        <is>
          <t>Sayfa içi HYPERLINK / gerçek aksiyon; tıklanınca hedefe gider</t>
        </is>
      </c>
      <c r="D18" s="187" t="inlineStr">
        <is>
          <t>İşlevsiz dekoratif buton / sahte navigasyon</t>
        </is>
      </c>
      <c r="E18" s="187" t="inlineStr">
        <is>
          <t>Butonların %100'ü tıklanabilir ve hedefi doğru</t>
        </is>
      </c>
      <c r="F18" s="191" t="inlineStr">
        <is>
          <t>ZORUNLU</t>
        </is>
      </c>
    </row>
    <row r="19" ht="32" customHeight="1">
      <c r="A19" s="186" t="inlineStr">
        <is>
          <t>Native sayfa sekmesi rengi</t>
        </is>
      </c>
      <c r="B19" s="187" t="inlineStr">
        <is>
          <t>Excel alt sheet tabları kurumsal paletle renklendirilir</t>
        </is>
      </c>
      <c r="C19" s="187" t="inlineStr">
        <is>
          <t>Başlangıç/özet=lacivert; girdiler=mavi; hesap/finans=teal; karar/kontrol=burgundy; doküman=gri</t>
        </is>
      </c>
      <c r="D19" s="187" t="inlineStr">
        <is>
          <t>Renksiz sekmeler veya rastgele/gökkuşağı renkleri</t>
        </is>
      </c>
      <c r="E19" s="187" t="inlineStr">
        <is>
          <t>Tüm görünür kullanıcı sheet tabları renkli</t>
        </is>
      </c>
      <c r="F19" s="191" t="inlineStr">
        <is>
          <t>ZORUNLU</t>
        </is>
      </c>
    </row>
    <row r="20" ht="60" customHeight="1">
      <c r="A20" s="186" t="inlineStr">
        <is>
          <t>İş akışı sıralaması</t>
        </is>
      </c>
      <c r="B20" s="187" t="inlineStr">
        <is>
          <t>Sayfalar kullanıcının çalışma sırasına göre fiziksel olarak dizilir</t>
        </is>
      </c>
      <c r="C20" s="187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87" t="inlineStr">
        <is>
          <t>Teknik oluşturma sırasına göre dağınık sheet dizilimi</t>
        </is>
      </c>
      <c r="E20" s="187" t="inlineStr">
        <is>
          <t>Sheet order = tanımlı workflow</t>
        </is>
      </c>
      <c r="F20" s="191" t="inlineStr">
        <is>
          <t>ZORUNLU</t>
        </is>
      </c>
    </row>
    <row r="21" ht="30" customHeight="1">
      <c r="A21" s="186" t="inlineStr">
        <is>
          <t>Kurumsal renk paleti</t>
        </is>
      </c>
      <c r="B21" s="187" t="inlineStr">
        <is>
          <t>Sekme, başlık, buton ve vurgu renkleri tek kurumsal paletten gelir</t>
        </is>
      </c>
      <c r="C21" s="187" t="inlineStr">
        <is>
          <t>Lacivert + mavi + teal + kontrollü burgundy/gri; kategori semantiği sabit</t>
        </is>
      </c>
      <c r="D21" s="187" t="inlineStr">
        <is>
          <t>Neon, rastgele yüksek doygunluk, her sayfada farklı bağımsız renk</t>
        </is>
      </c>
      <c r="E21" s="187" t="inlineStr">
        <is>
          <t>Palette token kontrolü</t>
        </is>
      </c>
      <c r="F21" s="191" t="inlineStr">
        <is>
          <t>ZORUNLU</t>
        </is>
      </c>
    </row>
    <row r="22" ht="45" customHeight="1">
      <c r="A22" s="186" t="inlineStr">
        <is>
          <t>Premium vitrin</t>
        </is>
      </c>
      <c r="B22" s="187" t="inlineStr">
        <is>
          <t>Görsel kalite ürün değerinin zorunlu parçasıdır</t>
        </is>
      </c>
      <c r="C22" s="187" t="inlineStr">
        <is>
          <t>Kaliteli grafik, gerçek KPI kartı, finansal hiyerarşi, tab rengi, fonksiyonel navigasyon</t>
        </is>
      </c>
      <c r="D22" s="187" t="inlineStr">
        <is>
          <t>Sadece doğru hesap yapıp çıplak/varsayılan Excel görünümü bırakmak</t>
        </is>
      </c>
      <c r="E22" s="187" t="inlineStr">
        <is>
          <t>Görsel release incelemesi</t>
        </is>
      </c>
      <c r="F22" s="191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TÜRKİYE MUHASEBE VE TEKDÜZEN HESAP PLANI STANDARDI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4" customHeight="1">
      <c r="A3" s="193" t="inlineStr">
        <is>
          <t>Konu</t>
        </is>
      </c>
      <c r="B3" s="193" t="inlineStr">
        <is>
          <t>Zorunlu Standart</t>
        </is>
      </c>
      <c r="C3" s="193" t="inlineStr">
        <is>
          <t>Örnek Türkçe Ad</t>
        </is>
      </c>
      <c r="D3" s="193" t="inlineStr">
        <is>
          <t>THP / Mantık</t>
        </is>
      </c>
      <c r="E3" s="193" t="inlineStr">
        <is>
          <t>Hata Riski</t>
        </is>
      </c>
      <c r="F3" s="193" t="inlineStr">
        <is>
          <t>Kontrol</t>
        </is>
      </c>
    </row>
    <row r="4">
      <c r="A4" s="194" t="inlineStr">
        <is>
          <t>Dil</t>
        </is>
      </c>
      <c r="B4" s="178" t="inlineStr">
        <is>
          <t>Kullanıcıya görünen finansal terimler Türkçe</t>
        </is>
      </c>
      <c r="C4" s="178" t="inlineStr">
        <is>
          <t>Hasılat, Satışların Maliyeti, Brüt Kâr, Faaliyet Giderleri</t>
        </is>
      </c>
      <c r="D4" s="178" t="inlineStr">
        <is>
          <t>Türk işletme kullanımına uygun</t>
        </is>
      </c>
      <c r="E4" s="178" t="inlineStr">
        <is>
          <t>İngilizce jargon</t>
        </is>
      </c>
      <c r="F4" s="178" t="inlineStr">
        <is>
          <t>Terminoloji taraması</t>
        </is>
      </c>
    </row>
    <row r="5" ht="28" customHeight="1">
      <c r="A5" s="194" t="inlineStr">
        <is>
          <t>Gelir Tablosu</t>
        </is>
      </c>
      <c r="B5" s="178" t="inlineStr">
        <is>
          <t>Türk sunum sırası kullanılır</t>
        </is>
      </c>
      <c r="C5" s="178" t="inlineStr">
        <is>
          <t>Net Satışlar → Satışların Maliyeti → Brüt Kâr → Faaliyet Giderleri → Faaliyet Kârı</t>
        </is>
      </c>
      <c r="D5" s="178" t="inlineStr">
        <is>
          <t>600/610/611; 620-623; 63x</t>
        </is>
      </c>
      <c r="E5" s="178" t="inlineStr">
        <is>
          <t>Yanlış sınıflama</t>
        </is>
      </c>
      <c r="F5" s="178" t="inlineStr">
        <is>
          <t>Hesap eşleme</t>
        </is>
      </c>
    </row>
    <row r="6" ht="28" customHeight="1">
      <c r="A6" s="194" t="inlineStr">
        <is>
          <t>Bilanço</t>
        </is>
      </c>
      <c r="B6" s="178" t="inlineStr">
        <is>
          <t>Dönen/Duran Varlık ve Kısa/Uzun Vadeli Yükümlülük ayrımı</t>
        </is>
      </c>
      <c r="C6" s="178" t="inlineStr">
        <is>
          <t>Hazır Değerler, Ticari Alacaklar, Stoklar, Mali Borçlar</t>
        </is>
      </c>
      <c r="D6" s="178" t="inlineStr">
        <is>
          <t>1xx / 2xx / 3xx / 4xx / 5xx</t>
        </is>
      </c>
      <c r="E6" s="178" t="inlineStr">
        <is>
          <t>Vade sınıfı hatası</t>
        </is>
      </c>
      <c r="F6" s="178" t="inlineStr">
        <is>
          <t>Bilanço eşitliği</t>
        </is>
      </c>
    </row>
    <row r="7">
      <c r="A7" s="194" t="inlineStr">
        <is>
          <t>Nakit Akışı</t>
        </is>
      </c>
      <c r="B7" s="178" t="inlineStr">
        <is>
          <t>İşletme/Yatırım/Finansman nakit akışları ayrılır</t>
        </is>
      </c>
      <c r="C7" s="178" t="inlineStr">
        <is>
          <t>Faaliyetlerden Nakit, Yatırım Harcamaları, Finansman Nakit Akışı</t>
        </is>
      </c>
      <c r="D7" s="178" t="inlineStr">
        <is>
          <t>Dolaylı/doğrudan yöntem açık seçilir</t>
        </is>
      </c>
      <c r="E7" s="178" t="inlineStr">
        <is>
          <t>Kâr = nakit sanılması</t>
        </is>
      </c>
      <c r="F7" s="178" t="inlineStr">
        <is>
          <t>Nakit devri</t>
        </is>
      </c>
    </row>
    <row r="8">
      <c r="A8" s="194" t="inlineStr">
        <is>
          <t>Ticari Alacaklar</t>
        </is>
      </c>
      <c r="B8" s="178" t="inlineStr">
        <is>
          <t>Cari ve vade mantığı korunur</t>
        </is>
      </c>
      <c r="C8" s="178" t="inlineStr">
        <is>
          <t>120 Alıcılar</t>
        </is>
      </c>
      <c r="D8" s="178" t="inlineStr">
        <is>
          <t>120</t>
        </is>
      </c>
      <c r="E8" s="178" t="inlineStr">
        <is>
          <t>Tahakkuk/nakit karışması</t>
        </is>
      </c>
      <c r="F8" s="178" t="inlineStr">
        <is>
          <t>Alacak devir kontrolü</t>
        </is>
      </c>
    </row>
    <row r="9">
      <c r="A9" s="194" t="inlineStr">
        <is>
          <t>Ticari Borçlar</t>
        </is>
      </c>
      <c r="B9" s="178" t="inlineStr">
        <is>
          <t>Tedarikçi borcu ayrı izlenir</t>
        </is>
      </c>
      <c r="C9" s="178" t="inlineStr">
        <is>
          <t>320 Satıcılar</t>
        </is>
      </c>
      <c r="D9" s="178" t="inlineStr">
        <is>
          <t>320</t>
        </is>
      </c>
      <c r="E9" s="178" t="inlineStr">
        <is>
          <t>Gider/ödeme karışması</t>
        </is>
      </c>
      <c r="F9" s="178" t="inlineStr">
        <is>
          <t>Borç devir kontrolü</t>
        </is>
      </c>
    </row>
    <row r="10">
      <c r="A10" s="194" t="inlineStr">
        <is>
          <t>Kasa/Banka</t>
        </is>
      </c>
      <c r="B10" s="178" t="inlineStr">
        <is>
          <t>Hazır değerler ayrı izlenir</t>
        </is>
      </c>
      <c r="C10" s="178" t="inlineStr">
        <is>
          <t>100 Kasa, 102 Bankalar</t>
        </is>
      </c>
      <c r="D10" s="178" t="inlineStr">
        <is>
          <t>100 / 102</t>
        </is>
      </c>
      <c r="E10" s="178" t="inlineStr">
        <is>
          <t>Virmanla toplam nakdin değişmesi</t>
        </is>
      </c>
      <c r="F10" s="178" t="inlineStr">
        <is>
          <t>Virman değişmezi</t>
        </is>
      </c>
    </row>
    <row r="11">
      <c r="A11" s="194" t="inlineStr">
        <is>
          <t>Stok</t>
        </is>
      </c>
      <c r="B11" s="178" t="inlineStr">
        <is>
          <t>Dikeye uygun stok türü</t>
        </is>
      </c>
      <c r="C11" s="178" t="inlineStr">
        <is>
          <t>150 İlk Madde ve Malzeme, 153 Ticari Mallar</t>
        </is>
      </c>
      <c r="D11" s="178" t="inlineStr">
        <is>
          <t>15x</t>
        </is>
      </c>
      <c r="E11" s="178" t="inlineStr">
        <is>
          <t>Maliyet ve stok hareketinin kopması</t>
        </is>
      </c>
      <c r="F11" s="178" t="inlineStr">
        <is>
          <t>Stok devri</t>
        </is>
      </c>
    </row>
    <row r="12" ht="28" customHeight="1">
      <c r="A12" s="194" t="inlineStr">
        <is>
          <t>Maddi Duran Varlık</t>
        </is>
      </c>
      <c r="B12" s="178" t="inlineStr">
        <is>
          <t>Yatırım harcaması ve amortisman bağlantılı</t>
        </is>
      </c>
      <c r="C12" s="178" t="inlineStr">
        <is>
          <t>253 Tesis Makine Cihazlar, 255 Demirbaşlar, 257 Birikmiş Amortismanlar</t>
        </is>
      </c>
      <c r="D12" s="178" t="inlineStr">
        <is>
          <t>25x</t>
        </is>
      </c>
      <c r="E12" s="178" t="inlineStr">
        <is>
          <t>Yatırım/gider karışması</t>
        </is>
      </c>
      <c r="F12" s="178" t="inlineStr">
        <is>
          <t>Net defter değeri devri</t>
        </is>
      </c>
    </row>
    <row r="13">
      <c r="A13" s="194" t="inlineStr">
        <is>
          <t>Mali Borçlar</t>
        </is>
      </c>
      <c r="B13" s="178" t="inlineStr">
        <is>
          <t>Kısa/uzun vadeli borç ayrımı</t>
        </is>
      </c>
      <c r="C13" s="178" t="inlineStr">
        <is>
          <t>300 Banka Kredileri / 400 Banka Kredileri</t>
        </is>
      </c>
      <c r="D13" s="178" t="inlineStr">
        <is>
          <t>300 / 400</t>
        </is>
      </c>
      <c r="E13" s="178" t="inlineStr">
        <is>
          <t>Vade sınıfı yanlış</t>
        </is>
      </c>
      <c r="F13" s="178" t="inlineStr">
        <is>
          <t>Borç devri</t>
        </is>
      </c>
    </row>
    <row r="14">
      <c r="A14" s="194" t="inlineStr">
        <is>
          <t>Özkaynak</t>
        </is>
      </c>
      <c r="B14" s="178" t="inlineStr">
        <is>
          <t>Sermaye ve geçmiş yıl kârları ayrı</t>
        </is>
      </c>
      <c r="C14" s="178" t="inlineStr">
        <is>
          <t>500 Sermaye, 570 Geçmiş Yıllar Kârları, 590 Dönem Net Kârı</t>
        </is>
      </c>
      <c r="D14" s="178" t="inlineStr">
        <is>
          <t>5xx</t>
        </is>
      </c>
      <c r="E14" s="178" t="inlineStr">
        <is>
          <t>Net kâr bağının kopması</t>
        </is>
      </c>
      <c r="F14" s="178" t="inlineStr">
        <is>
          <t>Özkaynak devri</t>
        </is>
      </c>
    </row>
    <row r="15">
      <c r="A15" s="194" t="inlineStr">
        <is>
          <t>Vergi</t>
        </is>
      </c>
      <c r="B15" s="178" t="inlineStr">
        <is>
          <t>Vergi satırları Türkiye mantığına uygun</t>
        </is>
      </c>
      <c r="C15" s="178" t="inlineStr">
        <is>
          <t>Dönem Vergi ve Diğer Yasal Yükümlülük Karşılıkları</t>
        </is>
      </c>
      <c r="D15" s="178" t="inlineStr">
        <is>
          <t>37x / ilgili vergi hesapları</t>
        </is>
      </c>
      <c r="E15" s="178" t="inlineStr">
        <is>
          <t>Vergi etkisinin yanlış dönemlenmesi</t>
        </is>
      </c>
      <c r="F15" s="178" t="inlineStr">
        <is>
          <t>Vergi sözleşmesi</t>
        </is>
      </c>
    </row>
    <row r="16">
      <c r="A16" s="194" t="inlineStr">
        <is>
          <t>İsim standardı</t>
        </is>
      </c>
      <c r="B16" s="178" t="inlineStr">
        <is>
          <t>Tablo ve sayfa adları Türkçe ve işlevsel</t>
        </is>
      </c>
      <c r="C16" s="178" t="inlineStr">
        <is>
          <t>GELİR_TABLOSU, BİLANÇO, NAKİT_AKISI, BORC_PLANI</t>
        </is>
      </c>
      <c r="D16" s="178" t="inlineStr">
        <is>
          <t>Tekrarlanabilir standart</t>
        </is>
      </c>
      <c r="E16" s="178" t="inlineStr">
        <is>
          <t>İngilizce/karma isim</t>
        </is>
      </c>
      <c r="F16" s="178" t="inlineStr">
        <is>
          <t>Sayfa ve tablo taraması</t>
        </is>
      </c>
    </row>
    <row r="17">
      <c r="A17" s="194" t="inlineStr">
        <is>
          <t>THP eşleme tablosu</t>
        </is>
      </c>
      <c r="B17" s="178" t="inlineStr">
        <is>
          <t>Her kritik satır en az bir THP hesabına bağlanır</t>
        </is>
      </c>
      <c r="C17" s="178" t="inlineStr">
        <is>
          <t>RaporSatırı → HesapKodu → HesapAdı → İşaret → Dönem</t>
        </is>
      </c>
      <c r="D17" s="178" t="inlineStr">
        <is>
          <t>Kaynak izlenebilirliği</t>
        </is>
      </c>
      <c r="E17" s="178" t="inlineStr">
        <is>
          <t>Rapordan rapora kaynak</t>
        </is>
      </c>
      <c r="F17" s="178" t="inlineStr">
        <is>
          <t>Eşleme kapsama %100</t>
        </is>
      </c>
    </row>
    <row r="18">
      <c r="A18" s="194" t="inlineStr">
        <is>
          <t>İstisna</t>
        </is>
      </c>
      <c r="B18" s="178" t="inlineStr">
        <is>
          <t>TFRS özel ürün varsa fark açık yazılır</t>
        </is>
      </c>
      <c r="C18" s="178" t="inlineStr">
        <is>
          <t>Tekdüzen raporlama ≠ TFRS finansal tablo sunumu</t>
        </is>
      </c>
      <c r="D18" s="178" t="inlineStr">
        <is>
          <t>Amaç belirtilir</t>
        </is>
      </c>
      <c r="E18" s="178" t="inlineStr">
        <is>
          <t>Standartları karıştırma</t>
        </is>
      </c>
      <c r="F18" s="17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KARAR, GÜVEN VE SATIŞA HAZIRLIK STANDARDI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4" customHeight="1">
      <c r="A3" s="196" t="inlineStr">
        <is>
          <t>Alan</t>
        </is>
      </c>
      <c r="B3" s="196" t="inlineStr">
        <is>
          <t>Müşteri Sorusu</t>
        </is>
      </c>
      <c r="C3" s="196" t="inlineStr">
        <is>
          <t>Zorunlu Ürün Davranışı</t>
        </is>
      </c>
      <c r="D3" s="196" t="inlineStr">
        <is>
          <t>Kanıt</t>
        </is>
      </c>
      <c r="E3" s="196" t="inlineStr">
        <is>
          <t>Başarısızlık Durumu</t>
        </is>
      </c>
      <c r="F3" s="196" t="inlineStr">
        <is>
          <t>Kapı</t>
        </is>
      </c>
    </row>
    <row r="4">
      <c r="A4" s="197" t="inlineStr">
        <is>
          <t>5 saniye</t>
        </is>
      </c>
      <c r="B4" s="178" t="inlineStr">
        <is>
          <t>Bu ürün neyi çözüyor?</t>
        </is>
      </c>
      <c r="C4" s="178" t="inlineStr">
        <is>
          <t>İlk ekranda hedef kullanıcı + pahalı problem + sonuç görünür</t>
        </is>
      </c>
      <c r="D4" s="178" t="inlineStr">
        <is>
          <t>Başlık + alt mesaj + gerçek ekran</t>
        </is>
      </c>
      <c r="E4" s="178" t="inlineStr">
        <is>
          <t>Ürün yalnız teknik isim</t>
        </is>
      </c>
      <c r="F4" s="198" t="inlineStr">
        <is>
          <t>HATA</t>
        </is>
      </c>
    </row>
    <row r="5">
      <c r="A5" s="197" t="inlineStr">
        <is>
          <t>Acı</t>
        </is>
      </c>
      <c r="B5" s="178" t="inlineStr">
        <is>
          <t>Sorun bana neye mal oluyor?</t>
        </is>
      </c>
      <c r="C5" s="178" t="inlineStr">
        <is>
          <t>Mümkünse müşterinin kendi verisiyle parasal/zaman etkisi hesaplanır</t>
        </is>
      </c>
      <c r="D5" s="178" t="inlineStr">
        <is>
          <t>ROI/acı hesaplama yöntemi</t>
        </is>
      </c>
      <c r="E5" s="178" t="inlineStr">
        <is>
          <t>Uydurma tasarruf</t>
        </is>
      </c>
      <c r="F5" s="198" t="inlineStr">
        <is>
          <t>HATA</t>
        </is>
      </c>
    </row>
    <row r="6">
      <c r="A6" s="197" t="inlineStr">
        <is>
          <t>Karar</t>
        </is>
      </c>
      <c r="B6" s="178" t="inlineStr">
        <is>
          <t>Bu bilgiyle ne yapacağım?</t>
        </is>
      </c>
      <c r="C6" s="178" t="inlineStr">
        <is>
          <t>Her kritik KPI aksiyona bağlanır</t>
        </is>
      </c>
      <c r="D6" s="178" t="inlineStr">
        <is>
          <t>KARAR_KUYRUGU</t>
        </is>
      </c>
      <c r="E6" s="178" t="inlineStr">
        <is>
          <t>Sadece rapor</t>
        </is>
      </c>
      <c r="F6" s="198" t="inlineStr">
        <is>
          <t>HATA</t>
        </is>
      </c>
    </row>
    <row r="7">
      <c r="A7" s="197" t="inlineStr">
        <is>
          <t>Güven</t>
        </is>
      </c>
      <c r="B7" s="178" t="inlineStr">
        <is>
          <t>Bu sayıya neden inanayım?</t>
        </is>
      </c>
      <c r="C7" s="178" t="inlineStr">
        <is>
          <t>Kaynak, formül mantığı, kontrol ve son doğrulama görünür</t>
        </is>
      </c>
      <c r="D7" s="178" t="inlineStr">
        <is>
          <t>Kontroller + kaynak izi + sürüm</t>
        </is>
      </c>
      <c r="E7" s="178" t="inlineStr">
        <is>
          <t>Prestij kelimesi</t>
        </is>
      </c>
      <c r="F7" s="198" t="inlineStr">
        <is>
          <t>HATA</t>
        </is>
      </c>
    </row>
    <row r="8">
      <c r="A8" s="197" t="inlineStr">
        <is>
          <t>Referans</t>
        </is>
      </c>
      <c r="B8" s="178" t="inlineStr">
        <is>
          <t>Müşteri yorumu yoksa ne göstereceğim?</t>
        </is>
      </c>
      <c r="C8" s="178" t="inlineStr">
        <is>
          <t>Önce/Sonra + Karar Vakası + Hata Önleme Vakası üretilir</t>
        </is>
      </c>
      <c r="D8" s="178" t="inlineStr">
        <is>
          <t>Demo/örnek çıktı</t>
        </is>
      </c>
      <c r="E8" s="178" t="inlineStr">
        <is>
          <t>Kanıtsız iddia</t>
        </is>
      </c>
      <c r="F8" s="198" t="inlineStr">
        <is>
          <t>HATA</t>
        </is>
      </c>
    </row>
    <row r="9">
      <c r="A9" s="197" t="inlineStr">
        <is>
          <t>Senaryo</t>
        </is>
      </c>
      <c r="B9" s="178" t="inlineStr">
        <is>
          <t>Ne olursa işler bozulur?</t>
        </is>
      </c>
      <c r="C9" s="178" t="inlineStr">
        <is>
          <t>Baz/Aşağı/Yukarı veya uygun stres senaryosu</t>
        </is>
      </c>
      <c r="D9" s="178" t="inlineStr">
        <is>
          <t>Senaryo karşılaştırma</t>
        </is>
      </c>
      <c r="E9" s="178" t="inlineStr">
        <is>
          <t>Dekoratif senaryo</t>
        </is>
      </c>
      <c r="F9" s="198" t="inlineStr">
        <is>
          <t>HATA</t>
        </is>
      </c>
    </row>
    <row r="10">
      <c r="A10" s="197" t="inlineStr">
        <is>
          <t>Ters stres</t>
        </is>
      </c>
      <c r="B10" s="178" t="inlineStr">
        <is>
          <t>Hangi eşikte karar kırılır?</t>
        </is>
      </c>
      <c r="C10" s="178" t="inlineStr">
        <is>
          <t>En az bir kritik sürücü için kırılma eşiği</t>
        </is>
      </c>
      <c r="D10" s="178" t="inlineStr">
        <is>
          <t>Kırılma eşiği tablosu</t>
        </is>
      </c>
      <c r="E10" s="178" t="inlineStr">
        <is>
          <t>Sadece +/- %10</t>
        </is>
      </c>
      <c r="F10" s="198" t="inlineStr">
        <is>
          <t>UYARI/HATA</t>
        </is>
      </c>
    </row>
    <row r="11">
      <c r="A11" s="197" t="inlineStr">
        <is>
          <t>Hata tutarlılığı</t>
        </is>
      </c>
      <c r="B11" s="178" t="inlineStr">
        <is>
          <t>Formül hata verirse ne olur?</t>
        </is>
      </c>
      <c r="C11" s="178" t="inlineStr">
        <is>
          <t>Kontrol GEÇTİ veremez; BLOKE/HATA üretir</t>
        </is>
      </c>
      <c r="D11" s="178" t="inlineStr">
        <is>
          <t>Hata taraması</t>
        </is>
      </c>
      <c r="E11" s="178" t="inlineStr">
        <is>
          <t>Hata + GEÇTİ birlikte</t>
        </is>
      </c>
      <c r="F11" s="198" t="inlineStr">
        <is>
          <t>HATA</t>
        </is>
      </c>
    </row>
    <row r="12">
      <c r="A12" s="197" t="inlineStr">
        <is>
          <t>Karar motoru</t>
        </is>
      </c>
      <c r="B12" s="178" t="inlineStr">
        <is>
          <t>Ne oldu, neden oldu?</t>
        </is>
      </c>
      <c r="C12" s="178" t="inlineStr">
        <is>
          <t>Sorun + neden + parasal etki + aksiyon + son tarih</t>
        </is>
      </c>
      <c r="D12" s="178" t="inlineStr">
        <is>
          <t>Karar tablosu</t>
        </is>
      </c>
      <c r="E12" s="178" t="inlineStr">
        <is>
          <t>Boş sayfa / isim düzeyi modül</t>
        </is>
      </c>
      <c r="F12" s="198" t="inlineStr">
        <is>
          <t>HATA</t>
        </is>
      </c>
    </row>
    <row r="13">
      <c r="A13" s="197" t="inlineStr">
        <is>
          <t>Yönetici özeti</t>
        </is>
      </c>
      <c r="B13" s="178" t="inlineStr">
        <is>
          <t>5 saniyede ne görmeliyim?</t>
        </is>
      </c>
      <c r="C13" s="178" t="inlineStr">
        <is>
          <t>Bugün / ne değişti / ne bozulacak / neden / ne yapmalıyım / güven</t>
        </is>
      </c>
      <c r="D13" s="178" t="inlineStr">
        <is>
          <t>Yönetici özeti ekranı</t>
        </is>
      </c>
      <c r="E13" s="178" t="inlineStr">
        <is>
          <t>KPI kutusu yığını</t>
        </is>
      </c>
      <c r="F13" s="198" t="inlineStr">
        <is>
          <t>HATA</t>
        </is>
      </c>
    </row>
    <row r="14">
      <c r="A14" s="197" t="inlineStr">
        <is>
          <t>Teklif</t>
        </is>
      </c>
      <c r="B14" s="178" t="inlineStr">
        <is>
          <t>Neden satın almalıyım?</t>
        </is>
      </c>
      <c r="C14" s="178" t="inlineStr">
        <is>
          <t>Dosya özellikleri yerine sonuç ve kaçınılan maliyet sunulur</t>
        </is>
      </c>
      <c r="D14" s="178" t="inlineStr">
        <is>
          <t>Ürün sayfası kanıt eşlemesi</t>
        </is>
      </c>
      <c r="E14" s="178" t="inlineStr">
        <is>
          <t>Özellik listesiyle satış</t>
        </is>
      </c>
      <c r="F14" s="198" t="inlineStr">
        <is>
          <t>HATA</t>
        </is>
      </c>
    </row>
    <row r="15">
      <c r="A15" s="197" t="inlineStr">
        <is>
          <t>Dağıtım</t>
        </is>
      </c>
      <c r="B15" s="178" t="inlineStr">
        <is>
          <t>Beni nasıl bulacaklar?</t>
        </is>
      </c>
      <c r="C15" s="178" t="inlineStr">
        <is>
          <t>Sorun niyetine göre SEO sayfaları, iç bağlantı, temiz yapı, taranabilir metin</t>
        </is>
      </c>
      <c r="D15" s="178" t="inlineStr">
        <is>
          <t>Arama niyeti haritası</t>
        </is>
      </c>
      <c r="E15" s="178" t="inlineStr">
        <is>
          <t>Tek ürün sayfasına bağımlılık</t>
        </is>
      </c>
      <c r="F15" s="198" t="inlineStr">
        <is>
          <t>UYARI</t>
        </is>
      </c>
    </row>
    <row r="16" ht="28" customHeight="1">
      <c r="A16" s="197" t="inlineStr">
        <is>
          <t>LLM görünürlüğü</t>
        </is>
      </c>
      <c r="B16" s="178" t="inlineStr">
        <is>
          <t>AI ürünümü anlayabiliyor mu?</t>
        </is>
      </c>
      <c r="C16" s="178" t="inlineStr">
        <is>
          <t>Ürün tanımı, hedef kullanıcı, girdi/çıktı, metodoloji, sınırlar, SSS açık metindir</t>
        </is>
      </c>
      <c r="D16" s="178" t="inlineStr">
        <is>
          <t>Taranabilir ürün içeriği</t>
        </is>
      </c>
      <c r="E16" s="178" t="inlineStr">
        <is>
          <t>'AI SEO' iddiası</t>
        </is>
      </c>
      <c r="F16" s="198" t="inlineStr">
        <is>
          <t>UYARI</t>
        </is>
      </c>
    </row>
    <row r="17">
      <c r="A17" s="197" t="inlineStr">
        <is>
          <t>Satış kanalı</t>
        </is>
      </c>
      <c r="B17" s="178" t="inlineStr">
        <is>
          <t>Nerede satılmalı?</t>
        </is>
      </c>
      <c r="C17" s="178" t="inlineStr">
        <is>
          <t>Arama, LinkedIn, uzman/partner, demo/video; ürüne göre kanal seçilir</t>
        </is>
      </c>
      <c r="D17" s="178" t="inlineStr">
        <is>
          <t>Kanal matrisi</t>
        </is>
      </c>
      <c r="E17" s="178" t="inlineStr">
        <is>
          <t>Her ürüne aynı kanal</t>
        </is>
      </c>
      <c r="F17" s="198" t="inlineStr">
        <is>
          <t>UYARI</t>
        </is>
      </c>
    </row>
    <row r="18">
      <c r="A18" s="197" t="inlineStr">
        <is>
          <t>Fiyat</t>
        </is>
      </c>
      <c r="B18" s="178" t="inlineStr">
        <is>
          <t>Bu fiyat neden mantıklı?</t>
        </is>
      </c>
      <c r="C18" s="178" t="inlineStr">
        <is>
          <t>Fiyat, ekonomik karar değerine ve kanıtlanmış ürün derinliğine bağlanır</t>
        </is>
      </c>
      <c r="D18" s="178" t="inlineStr">
        <is>
          <t>Değer haritası + demo</t>
        </is>
      </c>
      <c r="E18" s="178" t="inlineStr">
        <is>
          <t>Sırf sayfa/formül sayısı</t>
        </is>
      </c>
      <c r="F18" s="198" t="inlineStr">
        <is>
          <t>HATA</t>
        </is>
      </c>
    </row>
    <row r="19">
      <c r="A19" s="197" t="inlineStr">
        <is>
          <t>Pazar kanıtı</t>
        </is>
      </c>
      <c r="B19" s="178" t="inlineStr">
        <is>
          <t>Piyasa gerçekten ödüyor mu?</t>
        </is>
      </c>
      <c r="C19" s="178" t="inlineStr">
        <is>
          <t>Satış/pilot/LOI/fiyat kabulü olmadan pazar doğrulandı yazılmaz</t>
        </is>
      </c>
      <c r="D19" s="178" t="inlineStr">
        <is>
          <t>Gerçek işlem kanıtı</t>
        </is>
      </c>
      <c r="E19" s="178" t="inlineStr">
        <is>
          <t>Tahmini talep = satış kabulü</t>
        </is>
      </c>
      <c r="F19" s="198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7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KAPAK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2" customHeight="1">
      <c r="A3" s="228" t="inlineStr">
        <is>
          <t>Sevkiyat Fiyatlama &amp; Navlun Maliyet Motoru</t>
        </is>
      </c>
    </row>
    <row r="4">
      <c r="A4" s="4" t="inlineStr">
        <is>
          <t>Km × araç tipi × dönüş yükü ile net navlun maliyetini hesaplayın; reçete bileşiminden fiyat önerin; hat yatırımı için YATIRIM YAPILIR / YATIRIM YAPMA kararını üretin.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Navlun maliyet reçetesi: hammadde (yakıt) + işçilik + ambalaj + genel gider = %100</t>
        </is>
      </c>
    </row>
    <row r="8">
      <c r="A8" s="6" t="inlineStr">
        <is>
          <t>• Fire (boş km) kolonu ve AYARLAR birim dönüşüm tablosu</t>
        </is>
      </c>
    </row>
    <row r="9">
      <c r="A9" s="6" t="inlineStr">
        <is>
          <t>• Dönüş yükü katkısı ile net navlun ve önerilen teklif fiyatı</t>
        </is>
      </c>
    </row>
    <row r="10">
      <c r="A10" s="6" t="inlineStr">
        <is>
          <t>• CAPEX/OPEX + öz kaynak / kredi + NPV / IRR tornado</t>
        </is>
      </c>
    </row>
    <row r="11">
      <c r="A11" s="6" t="inlineStr">
        <is>
          <t>• Kötümser YATIRIM YAPMA yolu; boş girişte VERİ YOK</t>
        </is>
      </c>
    </row>
    <row r="12"/>
    <row r="13">
      <c r="A13" s="5" t="inlineStr">
        <is>
          <t>Kimler için?</t>
        </is>
      </c>
    </row>
    <row r="14">
      <c r="A14" s="7" t="inlineStr">
        <is>
          <t>• Sevkiyat fiyatlandırma — km ve araç tipine göre teklif satırı</t>
        </is>
      </c>
    </row>
    <row r="15">
      <c r="A15" s="7" t="inlineStr">
        <is>
          <t>• Lojistik müdürü — hat açılışı ve kârlılık kararı</t>
        </is>
      </c>
    </row>
    <row r="16">
      <c r="A16" s="7" t="inlineStr">
        <is>
          <t>• CFO — NPV/IRR ve finansman senaryosu</t>
        </is>
      </c>
    </row>
    <row r="17"/>
    <row r="18">
      <c r="A18" s="5" t="inlineStr">
        <is>
          <t>Nasıl başlanır?</t>
        </is>
      </c>
    </row>
    <row r="19">
      <c r="A19" s="6" t="inlineStr">
        <is>
          <t>1) HIZLI_BASLANGIC → 2) GIRDI / HAMMADDE / RECETE sarı hücreler → 3) PANO/KARAR → 4) KANIT_RAPORU yazdır.</t>
        </is>
      </c>
    </row>
    <row r="20"/>
    <row r="21">
      <c r="A21" s="8" t="inlineStr">
        <is>
          <t>Sürüm 1.0.0 | 2026 | ExcelArşiv | Lisans: Tek kullanıcı | Kod: SFN-PRO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8:AD8"/>
    <mergeCell ref="A7:AD7"/>
    <mergeCell ref="A1:I1"/>
    <mergeCell ref="A4:P4"/>
    <mergeCell ref="A11:AD11"/>
    <mergeCell ref="A10:AD10"/>
    <mergeCell ref="A3:I3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AD12"/>
  <sheetViews>
    <sheetView showGridLines="0" workbookViewId="0">
      <selection activeCell="A1" sqref="A1"/>
    </sheetView>
  </sheetViews>
  <sheetFormatPr baseColWidth="8" defaultRowHeight="15"/>
  <cols>
    <col width="135.5" customWidth="1" min="1" max="1"/>
    <col width="82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HIZLI BASLANGIC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>
      <c r="A3" s="9" t="inlineStr">
        <is>
          <t>Üç adımda sonuç</t>
        </is>
      </c>
    </row>
    <row r="4"/>
    <row r="5">
      <c r="A5" s="10" t="inlineStr">
        <is>
          <t>Adım 1 — Girdiler</t>
        </is>
      </c>
      <c r="B5" s="6" t="inlineStr">
        <is>
          <t>GIRDI'de km, araç tipi, dönüş yükü; HAMMADDE'de fiyatlar; RECETE'de bileşim %.</t>
        </is>
      </c>
    </row>
    <row r="6">
      <c r="A6" s="10" t="inlineStr">
        <is>
          <t>Adım 2 — Karar</t>
        </is>
      </c>
      <c r="B6" s="6" t="inlineStr">
        <is>
          <t>PANO ve KARAR'da birim maliyet, önerilen fiyat, NPV/IRR ve karar görünür.</t>
        </is>
      </c>
    </row>
    <row r="7">
      <c r="A7" s="10" t="inlineStr">
        <is>
          <t>Adım 3 — Kanıt</t>
        </is>
      </c>
      <c r="B7" s="6" t="inlineStr">
        <is>
          <t>KANIT_RAPORU yazdırın; SENARYO tornado ve VARYANS köprüsünü kontrol edin.</t>
        </is>
      </c>
    </row>
    <row r="8"/>
    <row r="9">
      <c r="A9" s="10" t="inlineStr">
        <is>
          <t>Formüller</t>
        </is>
      </c>
    </row>
    <row r="10">
      <c r="A10" s="6" t="inlineStr">
        <is>
          <t>Brüt maliyet = yakıt+işçilik+ambalaj+genel (fire dahil) | Net = brüt − dönüş yükü katkısı | Önerilen fiyat = net ÷ (1 − hedef marj)</t>
        </is>
      </c>
    </row>
    <row r="11"/>
    <row r="12">
      <c r="A12" s="4" t="inlineStr">
        <is>
          <t>Sarı = manuel giriş | Yeşil = formül çıktısı | Şifre 1234 formül alanlarını korur.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10:L10"/>
    <mergeCell ref="B6:L6"/>
    <mergeCell ref="B7:L7"/>
    <mergeCell ref="B5:L5"/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08948"/>
    <outlinePr summaryBelow="1" summaryRight="1"/>
    <pageSetUpPr/>
  </sheetPr>
  <dimension ref="A1:AD1004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39.5" customWidth="1" min="1" max="1"/>
    <col width="23.5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GIRDI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2" customHeight="1">
      <c r="A3" s="228" t="inlineStr">
        <is>
          <t>Sevkiyat ve hat yatırımı girdileri</t>
        </is>
      </c>
    </row>
    <row r="4">
      <c r="A4" s="4" t="inlineStr">
        <is>
          <t>Sarı hücreler manuel giriştir. Bileşim RECETE'de; dönüşüm AYARLAR'da.</t>
        </is>
      </c>
    </row>
    <row r="5">
      <c r="A5" s="11" t="inlineStr">
        <is>
          <t>Alan</t>
        </is>
      </c>
      <c r="B5" s="11" t="inlineStr">
        <is>
          <t>Değer</t>
        </is>
      </c>
      <c r="C5" s="11" t="inlineStr">
        <is>
          <t>Birim</t>
        </is>
      </c>
    </row>
    <row r="6">
      <c r="A6" s="7" t="inlineStr">
        <is>
          <t>Şirket / Hat</t>
        </is>
      </c>
      <c r="B6" s="12" t="inlineStr">
        <is>
          <t>Örnek Lojistik A.Ş.</t>
        </is>
      </c>
      <c r="C6" s="13" t="inlineStr">
        <is>
          <t>metin</t>
        </is>
      </c>
    </row>
    <row r="7">
      <c r="A7" s="7" t="inlineStr">
        <is>
          <t>Dönem</t>
        </is>
      </c>
      <c r="B7" s="12" t="inlineStr">
        <is>
          <t>2026-Q3</t>
        </is>
      </c>
      <c r="C7" s="13" t="inlineStr">
        <is>
          <t>metin</t>
        </is>
      </c>
    </row>
    <row r="8">
      <c r="A8" s="7" t="inlineStr">
        <is>
          <t>Sefer km [tek yön]</t>
        </is>
      </c>
      <c r="B8" s="14" t="n">
        <v>450</v>
      </c>
      <c r="C8" s="13" t="inlineStr">
        <is>
          <t>adet</t>
        </is>
      </c>
    </row>
    <row r="9">
      <c r="A9" s="7" t="inlineStr">
        <is>
          <t>Araç tipi</t>
        </is>
      </c>
      <c r="B9" s="12" t="inlineStr">
        <is>
          <t>TIR</t>
        </is>
      </c>
      <c r="C9" s="13" t="inlineStr">
        <is>
          <t>metin</t>
        </is>
      </c>
    </row>
    <row r="10">
      <c r="A10" s="7" t="inlineStr">
        <is>
          <t>Yük [ton]</t>
        </is>
      </c>
      <c r="B10" s="14" t="n">
        <v>20</v>
      </c>
      <c r="C10" s="13" t="inlineStr">
        <is>
          <t>adet</t>
        </is>
      </c>
    </row>
    <row r="11">
      <c r="A11" s="7" t="inlineStr">
        <is>
          <t>Dönüş yükü oranı</t>
        </is>
      </c>
      <c r="B11" s="15" t="n">
        <v>0.4</v>
      </c>
      <c r="C11" s="13" t="inlineStr">
        <is>
          <t>%</t>
        </is>
      </c>
    </row>
    <row r="12">
      <c r="A12" s="7" t="inlineStr">
        <is>
          <t>Hedef marj</t>
        </is>
      </c>
      <c r="B12" s="15" t="n">
        <v>0.18</v>
      </c>
      <c r="C12" s="13" t="inlineStr">
        <is>
          <t>%</t>
        </is>
      </c>
    </row>
    <row r="13">
      <c r="A13" s="7" t="inlineStr">
        <is>
          <t>Yıllık sefer [adet]</t>
        </is>
      </c>
      <c r="B13" s="14" t="n">
        <v>200</v>
      </c>
      <c r="C13" s="13" t="inlineStr">
        <is>
          <t>adet</t>
        </is>
      </c>
    </row>
    <row r="14">
      <c r="A14" s="7" t="inlineStr">
        <is>
          <t>CAPEX / YATIRIM [₺]</t>
        </is>
      </c>
      <c r="B14" s="16" t="n">
        <v>2500000</v>
      </c>
      <c r="C14" s="13" t="inlineStr">
        <is>
          <t>₺</t>
        </is>
      </c>
    </row>
    <row r="15">
      <c r="A15" s="7" t="inlineStr">
        <is>
          <t>WACC [%]</t>
        </is>
      </c>
      <c r="B15" s="15" t="n">
        <v>0.2</v>
      </c>
      <c r="C15" s="13" t="inlineStr">
        <is>
          <t>%</t>
        </is>
      </c>
    </row>
    <row r="16">
      <c r="A16" s="7" t="inlineStr">
        <is>
          <t>NPV dönem [yıl]</t>
        </is>
      </c>
      <c r="B16" s="14" t="n">
        <v>5</v>
      </c>
      <c r="C16" s="13" t="inlineStr">
        <is>
          <t>adet</t>
        </is>
      </c>
    </row>
    <row r="17">
      <c r="A17" s="7" t="inlineStr">
        <is>
          <t>Kredi faiz oranı [%]</t>
        </is>
      </c>
      <c r="B17" s="15" t="n">
        <v>0.35</v>
      </c>
      <c r="C17" s="13" t="inlineStr">
        <is>
          <t>%</t>
        </is>
      </c>
    </row>
    <row r="18">
      <c r="A18" s="7" t="inlineStr">
        <is>
          <t>Öz kaynak oranı [%]</t>
        </is>
      </c>
      <c r="B18" s="15" t="n">
        <v>0.4</v>
      </c>
      <c r="C18" s="13" t="inlineStr">
        <is>
          <t>%</t>
        </is>
      </c>
    </row>
    <row r="19"/>
    <row r="20">
      <c r="A20" s="10" t="inlineStr">
        <is>
          <t>Birim maliyet (ayna)</t>
        </is>
      </c>
      <c r="B20" s="17">
        <f>IFERROR(sfn_birimMaliyet,0)</f>
        <v/>
      </c>
    </row>
    <row r="21">
      <c r="A21" s="10" t="inlineStr">
        <is>
          <t>Net navlun (ayna)</t>
        </is>
      </c>
      <c r="B21" s="18">
        <f>IFERROR(sfn_netNavlun,0)</f>
        <v/>
      </c>
    </row>
    <row r="22">
      <c r="A22" s="10" t="inlineStr">
        <is>
          <t>Giriş doluluk</t>
        </is>
      </c>
      <c r="B22" s="19">
        <f>IFERROR(IF(OR(COUNTA(B6:B18)=0,sfn_girisBeklenen=0),0,ROUND(COUNTA(B6:B18)/sfn_girisBeklenen*100,0)),0)</f>
        <v/>
      </c>
    </row>
    <row r="23"/>
    <row r="24">
      <c r="A24" s="10" t="inlineStr">
        <is>
          <t>Giriş tablosu (otomasyon / boş-mod)</t>
        </is>
      </c>
    </row>
    <row r="25" ht="30" customHeight="1">
      <c r="A25" s="20" t="inlineStr">
        <is>
          <t>Alan Anahtarı</t>
        </is>
      </c>
      <c r="B25" s="20" t="inlineStr">
        <is>
          <t>Değer</t>
        </is>
      </c>
      <c r="C25" s="20" t="inlineStr">
        <is>
          <t>Birim</t>
        </is>
      </c>
      <c r="D25" s="20" t="inlineStr">
        <is>
          <t>Zorunlu</t>
        </is>
      </c>
      <c r="E25" s="20" t="inlineStr">
        <is>
          <t>Kaynak</t>
        </is>
      </c>
      <c r="F25" s="20" t="inlineStr">
        <is>
          <t>Kontrol</t>
        </is>
      </c>
    </row>
    <row r="26">
      <c r="A26" s="21" t="inlineStr">
        <is>
          <t>sirket_adi</t>
        </is>
      </c>
      <c r="B26" s="21" t="inlineStr">
        <is>
          <t>Örnek Lojistik A.Ş.</t>
        </is>
      </c>
      <c r="C26" s="21" t="inlineStr">
        <is>
          <t>metin</t>
        </is>
      </c>
      <c r="D26" s="21" t="inlineStr">
        <is>
          <t>Evet</t>
        </is>
      </c>
      <c r="E26" s="21" t="inlineStr">
        <is>
          <t>GIRDI</t>
        </is>
      </c>
      <c r="F26" s="22">
        <f>IF($A26="","",IF($B26="","EKSİK","TAM"))</f>
        <v/>
      </c>
    </row>
    <row r="27">
      <c r="A27" s="21" t="inlineStr">
        <is>
          <t>donem</t>
        </is>
      </c>
      <c r="B27" s="21" t="inlineStr">
        <is>
          <t>2026-Q3</t>
        </is>
      </c>
      <c r="C27" s="21" t="inlineStr">
        <is>
          <t>metin</t>
        </is>
      </c>
      <c r="D27" s="21" t="inlineStr">
        <is>
          <t>Evet</t>
        </is>
      </c>
      <c r="E27" s="21" t="inlineStr">
        <is>
          <t>GIRDI</t>
        </is>
      </c>
      <c r="F27" s="22">
        <f>IF($A27="","",IF($B27="","EKSİK","TAM"))</f>
        <v/>
      </c>
    </row>
    <row r="28">
      <c r="A28" s="21" t="inlineStr">
        <is>
          <t>sefer_km</t>
        </is>
      </c>
      <c r="B28" s="23" t="n">
        <v>450</v>
      </c>
      <c r="C28" s="21" t="inlineStr">
        <is>
          <t>km</t>
        </is>
      </c>
      <c r="D28" s="21" t="inlineStr">
        <is>
          <t>Evet</t>
        </is>
      </c>
      <c r="E28" s="21" t="inlineStr">
        <is>
          <t>GIRDI</t>
        </is>
      </c>
      <c r="F28" s="22">
        <f>IF($A28="","",IF($B28="","EKSİK","TAM"))</f>
        <v/>
      </c>
    </row>
    <row r="29">
      <c r="A29" s="21" t="inlineStr">
        <is>
          <t>arac_tipi</t>
        </is>
      </c>
      <c r="B29" s="21" t="inlineStr">
        <is>
          <t>TIR</t>
        </is>
      </c>
      <c r="C29" s="21" t="inlineStr">
        <is>
          <t>kod</t>
        </is>
      </c>
      <c r="D29" s="21" t="inlineStr">
        <is>
          <t>Evet</t>
        </is>
      </c>
      <c r="E29" s="21" t="inlineStr">
        <is>
          <t>GIRDI</t>
        </is>
      </c>
      <c r="F29" s="22">
        <f>IF($A29="","",IF($B29="","EKSİK","TAM"))</f>
        <v/>
      </c>
    </row>
    <row r="30">
      <c r="A30" s="21" t="inlineStr">
        <is>
          <t>yuk_ton</t>
        </is>
      </c>
      <c r="B30" s="23" t="n">
        <v>20</v>
      </c>
      <c r="C30" s="21" t="inlineStr">
        <is>
          <t>ton</t>
        </is>
      </c>
      <c r="D30" s="21" t="inlineStr">
        <is>
          <t>Evet</t>
        </is>
      </c>
      <c r="E30" s="21" t="inlineStr">
        <is>
          <t>GIRDI</t>
        </is>
      </c>
      <c r="F30" s="22">
        <f>IF($A30="","",IF($B30="","EKSİK","TAM"))</f>
        <v/>
      </c>
    </row>
    <row r="31">
      <c r="A31" s="21" t="inlineStr">
        <is>
          <t>donus_yuku_oran</t>
        </is>
      </c>
      <c r="B31" s="24" t="n">
        <v>0.4</v>
      </c>
      <c r="C31" s="21" t="inlineStr">
        <is>
          <t>oran</t>
        </is>
      </c>
      <c r="D31" s="21" t="inlineStr">
        <is>
          <t>Evet</t>
        </is>
      </c>
      <c r="E31" s="21" t="inlineStr">
        <is>
          <t>GIRDI</t>
        </is>
      </c>
      <c r="F31" s="22">
        <f>IF($A31="","",IF($B31="","EKSİK","TAM"))</f>
        <v/>
      </c>
    </row>
    <row r="32">
      <c r="A32" s="21" t="inlineStr">
        <is>
          <t>hedef_marj</t>
        </is>
      </c>
      <c r="B32" s="24" t="n">
        <v>0.18</v>
      </c>
      <c r="C32" s="21" t="inlineStr">
        <is>
          <t>oran</t>
        </is>
      </c>
      <c r="D32" s="21" t="inlineStr">
        <is>
          <t>Evet</t>
        </is>
      </c>
      <c r="E32" s="21" t="inlineStr">
        <is>
          <t>GIRDI</t>
        </is>
      </c>
      <c r="F32" s="22">
        <f>IF($A32="","",IF($B32="","EKSİK","TAM"))</f>
        <v/>
      </c>
    </row>
    <row r="33">
      <c r="A33" s="21" t="inlineStr">
        <is>
          <t>yillik_sefer</t>
        </is>
      </c>
      <c r="B33" s="23" t="n">
        <v>200</v>
      </c>
      <c r="C33" s="21" t="inlineStr">
        <is>
          <t>adet</t>
        </is>
      </c>
      <c r="D33" s="21" t="inlineStr">
        <is>
          <t>Evet</t>
        </is>
      </c>
      <c r="E33" s="21" t="inlineStr">
        <is>
          <t>GIRDI</t>
        </is>
      </c>
      <c r="F33" s="22">
        <f>IF($A33="","",IF($B33="","EKSİK","TAM"))</f>
        <v/>
      </c>
    </row>
    <row r="34">
      <c r="A34" s="21" t="inlineStr">
        <is>
          <t>capex_tl</t>
        </is>
      </c>
      <c r="B34" s="25" t="n">
        <v>2500000</v>
      </c>
      <c r="C34" s="21" t="inlineStr">
        <is>
          <t>TL</t>
        </is>
      </c>
      <c r="D34" s="21" t="inlineStr">
        <is>
          <t>Evet</t>
        </is>
      </c>
      <c r="E34" s="21" t="inlineStr">
        <is>
          <t>GIRDI</t>
        </is>
      </c>
      <c r="F34" s="22">
        <f>IF($A34="","",IF($B34="","EKSİK","TAM"))</f>
        <v/>
      </c>
    </row>
    <row r="35">
      <c r="A35" s="21" t="inlineStr">
        <is>
          <t>wacc</t>
        </is>
      </c>
      <c r="B35" s="24" t="n">
        <v>0.2</v>
      </c>
      <c r="C35" s="21" t="inlineStr">
        <is>
          <t>oran</t>
        </is>
      </c>
      <c r="D35" s="21" t="inlineStr">
        <is>
          <t>Evet</t>
        </is>
      </c>
      <c r="E35" s="21" t="inlineStr">
        <is>
          <t>GIRDI</t>
        </is>
      </c>
      <c r="F35" s="22">
        <f>IF($A35="","",IF($B35="","EKSİK","TAM"))</f>
        <v/>
      </c>
    </row>
    <row r="36">
      <c r="A36" s="21" t="inlineStr">
        <is>
          <t>npv_donem</t>
        </is>
      </c>
      <c r="B36" s="23" t="n">
        <v>5</v>
      </c>
      <c r="C36" s="21" t="inlineStr">
        <is>
          <t>yıl</t>
        </is>
      </c>
      <c r="D36" s="21" t="inlineStr">
        <is>
          <t>Evet</t>
        </is>
      </c>
      <c r="E36" s="21" t="inlineStr">
        <is>
          <t>GIRDI</t>
        </is>
      </c>
      <c r="F36" s="22">
        <f>IF($A36="","",IF($B36="","EKSİK","TAM"))</f>
        <v/>
      </c>
    </row>
    <row r="37">
      <c r="A37" s="21" t="inlineStr">
        <is>
          <t>kredi_orani</t>
        </is>
      </c>
      <c r="B37" s="24" t="n">
        <v>0.35</v>
      </c>
      <c r="C37" s="21" t="inlineStr">
        <is>
          <t>oran</t>
        </is>
      </c>
      <c r="D37" s="21" t="inlineStr">
        <is>
          <t>Evet</t>
        </is>
      </c>
      <c r="E37" s="21" t="inlineStr">
        <is>
          <t>GIRDI</t>
        </is>
      </c>
      <c r="F37" s="22">
        <f>IF($A37="","",IF($B37="","EKSİK","TAM"))</f>
        <v/>
      </c>
    </row>
    <row r="38">
      <c r="A38" s="21" t="inlineStr">
        <is>
          <t>oz_kaynak_oran</t>
        </is>
      </c>
      <c r="B38" s="24" t="n">
        <v>0.4</v>
      </c>
      <c r="C38" s="21" t="inlineStr">
        <is>
          <t>oran</t>
        </is>
      </c>
      <c r="D38" s="21" t="inlineStr">
        <is>
          <t>Evet</t>
        </is>
      </c>
      <c r="E38" s="21" t="inlineStr">
        <is>
          <t>GIRDI</t>
        </is>
      </c>
      <c r="F38" s="22">
        <f>IF($A38="","",IF($B38="","EKSİK","TAM"))</f>
        <v/>
      </c>
    </row>
    <row r="39">
      <c r="F39" s="22">
        <f>IF($A39="","",IF($B39="","EKSİK","TAM"))</f>
        <v/>
      </c>
    </row>
    <row r="40">
      <c r="F40" s="22">
        <f>IF($A40="","",IF($B40="","EKSİK","TAM"))</f>
        <v/>
      </c>
    </row>
    <row r="41">
      <c r="F41" s="22">
        <f>IF($A41="","",IF($B41="","EKSİK","TAM"))</f>
        <v/>
      </c>
    </row>
    <row r="42">
      <c r="F42" s="22">
        <f>IF($A42="","",IF($B42="","EKSİK","TAM"))</f>
        <v/>
      </c>
    </row>
    <row r="43">
      <c r="F43" s="22">
        <f>IF($A43="","",IF($B43="","EKSİK","TAM"))</f>
        <v/>
      </c>
    </row>
    <row r="44">
      <c r="F44" s="22">
        <f>IF($A44="","",IF($B44="","EKSİK","TAM"))</f>
        <v/>
      </c>
    </row>
    <row r="45">
      <c r="F45" s="22">
        <f>IF($A45="","",IF($B45="","EKSİK","TAM"))</f>
        <v/>
      </c>
    </row>
    <row r="46">
      <c r="F46" s="22">
        <f>IF($A46="","",IF($B46="","EKSİK","TAM"))</f>
        <v/>
      </c>
    </row>
    <row r="47">
      <c r="F47" s="22">
        <f>IF($A47="","",IF($B47="","EKSİK","TAM"))</f>
        <v/>
      </c>
    </row>
    <row r="48">
      <c r="F48" s="22">
        <f>IF($A48="","",IF($B48="","EKSİK","TAM"))</f>
        <v/>
      </c>
    </row>
    <row r="49">
      <c r="F49" s="22">
        <f>IF($A49="","",IF($B49="","EKSİK","TAM"))</f>
        <v/>
      </c>
    </row>
    <row r="50">
      <c r="F50" s="22">
        <f>IF($A50="","",IF($B50="","EKSİK","TAM"))</f>
        <v/>
      </c>
    </row>
    <row r="51">
      <c r="F51" s="22">
        <f>IF($A51="","",IF($B51="","EKSİK","TAM"))</f>
        <v/>
      </c>
    </row>
    <row r="52">
      <c r="F52" s="22">
        <f>IF($A52="","",IF($B52="","EKSİK","TAM"))</f>
        <v/>
      </c>
    </row>
    <row r="53">
      <c r="F53" s="22">
        <f>IF($A53="","",IF($B53="","EKSİK","TAM"))</f>
        <v/>
      </c>
    </row>
    <row r="54">
      <c r="F54" s="22">
        <f>IF($A54="","",IF($B54="","EKSİK","TAM"))</f>
        <v/>
      </c>
    </row>
    <row r="55">
      <c r="F55" s="22">
        <f>IF($A55="","",IF($B55="","EKSİK","TAM"))</f>
        <v/>
      </c>
    </row>
    <row r="56">
      <c r="F56" s="22">
        <f>IF($A56="","",IF($B56="","EKSİK","TAM"))</f>
        <v/>
      </c>
    </row>
    <row r="57">
      <c r="F57" s="22">
        <f>IF($A57="","",IF($B57="","EKSİK","TAM"))</f>
        <v/>
      </c>
    </row>
    <row r="58">
      <c r="F58" s="22">
        <f>IF($A58="","",IF($B58="","EKSİK","TAM"))</f>
        <v/>
      </c>
    </row>
    <row r="59">
      <c r="F59" s="22">
        <f>IF($A59="","",IF($B59="","EKSİK","TAM"))</f>
        <v/>
      </c>
    </row>
    <row r="60">
      <c r="F60" s="22">
        <f>IF($A60="","",IF($B60="","EKSİK","TAM"))</f>
        <v/>
      </c>
    </row>
    <row r="61">
      <c r="F61" s="22">
        <f>IF($A61="","",IF($B61="","EKSİK","TAM"))</f>
        <v/>
      </c>
    </row>
    <row r="62">
      <c r="F62" s="22">
        <f>IF($A62="","",IF($B62="","EKSİK","TAM"))</f>
        <v/>
      </c>
    </row>
    <row r="63">
      <c r="F63" s="22">
        <f>IF($A63="","",IF($B63="","EKSİK","TAM"))</f>
        <v/>
      </c>
    </row>
    <row r="64">
      <c r="F64" s="22">
        <f>IF($A64="","",IF($B64="","EKSİK","TAM"))</f>
        <v/>
      </c>
    </row>
    <row r="65">
      <c r="F65" s="22">
        <f>IF($A65="","",IF($B65="","EKSİK","TAM"))</f>
        <v/>
      </c>
    </row>
    <row r="66">
      <c r="F66" s="22">
        <f>IF($A66="","",IF($B66="","EKSİK","TAM"))</f>
        <v/>
      </c>
    </row>
    <row r="67">
      <c r="F67" s="22">
        <f>IF($A67="","",IF($B67="","EKSİK","TAM"))</f>
        <v/>
      </c>
    </row>
    <row r="68">
      <c r="F68" s="22">
        <f>IF($A68="","",IF($B68="","EKSİK","TAM"))</f>
        <v/>
      </c>
    </row>
    <row r="69">
      <c r="F69" s="22">
        <f>IF($A69="","",IF($B69="","EKSİK","TAM"))</f>
        <v/>
      </c>
    </row>
    <row r="70">
      <c r="F70" s="22">
        <f>IF($A70="","",IF($B70="","EKSİK","TAM"))</f>
        <v/>
      </c>
    </row>
    <row r="71">
      <c r="F71" s="22">
        <f>IF($A71="","",IF($B71="","EKSİK","TAM"))</f>
        <v/>
      </c>
    </row>
    <row r="72">
      <c r="F72" s="22">
        <f>IF($A72="","",IF($B72="","EKSİK","TAM"))</f>
        <v/>
      </c>
    </row>
    <row r="73">
      <c r="F73" s="22">
        <f>IF($A73="","",IF($B73="","EKSİK","TAM"))</f>
        <v/>
      </c>
    </row>
    <row r="74">
      <c r="F74" s="22">
        <f>IF($A74="","",IF($B74="","EKSİK","TAM"))</f>
        <v/>
      </c>
    </row>
    <row r="75">
      <c r="F75" s="22">
        <f>IF($A75="","",IF($B75="","EKSİK","TAM"))</f>
        <v/>
      </c>
    </row>
    <row r="76">
      <c r="F76" s="22">
        <f>IF($A76="","",IF($B76="","EKSİK","TAM"))</f>
        <v/>
      </c>
    </row>
    <row r="77">
      <c r="F77" s="22">
        <f>IF($A77="","",IF($B77="","EKSİK","TAM"))</f>
        <v/>
      </c>
    </row>
    <row r="78">
      <c r="F78" s="22">
        <f>IF($A78="","",IF($B78="","EKSİK","TAM"))</f>
        <v/>
      </c>
    </row>
    <row r="79">
      <c r="F79" s="22">
        <f>IF($A79="","",IF($B79="","EKSİK","TAM"))</f>
        <v/>
      </c>
    </row>
    <row r="80">
      <c r="F80" s="22">
        <f>IF($A80="","",IF($B80="","EKSİK","TAM"))</f>
        <v/>
      </c>
    </row>
    <row r="81">
      <c r="F81" s="22">
        <f>IF($A81="","",IF($B81="","EKSİK","TAM"))</f>
        <v/>
      </c>
    </row>
    <row r="82">
      <c r="F82" s="22">
        <f>IF($A82="","",IF($B82="","EKSİK","TAM"))</f>
        <v/>
      </c>
    </row>
    <row r="83">
      <c r="F83" s="22">
        <f>IF($A83="","",IF($B83="","EKSİK","TAM"))</f>
        <v/>
      </c>
    </row>
    <row r="84">
      <c r="F84" s="22">
        <f>IF($A84="","",IF($B84="","EKSİK","TAM"))</f>
        <v/>
      </c>
    </row>
    <row r="85">
      <c r="F85" s="22">
        <f>IF($A85="","",IF($B85="","EKSİK","TAM"))</f>
        <v/>
      </c>
    </row>
    <row r="86">
      <c r="F86" s="22">
        <f>IF($A86="","",IF($B86="","EKSİK","TAM"))</f>
        <v/>
      </c>
    </row>
    <row r="87">
      <c r="F87" s="22">
        <f>IF($A87="","",IF($B87="","EKSİK","TAM"))</f>
        <v/>
      </c>
    </row>
    <row r="88">
      <c r="F88" s="22">
        <f>IF($A88="","",IF($B88="","EKSİK","TAM"))</f>
        <v/>
      </c>
    </row>
    <row r="89">
      <c r="F89" s="22">
        <f>IF($A89="","",IF($B89="","EKSİK","TAM"))</f>
        <v/>
      </c>
    </row>
    <row r="90">
      <c r="F90" s="22">
        <f>IF($A90="","",IF($B90="","EKSİK","TAM"))</f>
        <v/>
      </c>
    </row>
    <row r="91">
      <c r="F91" s="22">
        <f>IF($A91="","",IF($B91="","EKSİK","TAM"))</f>
        <v/>
      </c>
    </row>
    <row r="92">
      <c r="F92" s="22">
        <f>IF($A92="","",IF($B92="","EKSİK","TAM"))</f>
        <v/>
      </c>
    </row>
    <row r="93">
      <c r="F93" s="22">
        <f>IF($A93="","",IF($B93="","EKSİK","TAM"))</f>
        <v/>
      </c>
    </row>
    <row r="94">
      <c r="F94" s="22">
        <f>IF($A94="","",IF($B94="","EKSİK","TAM"))</f>
        <v/>
      </c>
    </row>
    <row r="95">
      <c r="F95" s="22">
        <f>IF($A95="","",IF($B95="","EKSİK","TAM"))</f>
        <v/>
      </c>
    </row>
    <row r="96">
      <c r="F96" s="22">
        <f>IF($A96="","",IF($B96="","EKSİK","TAM"))</f>
        <v/>
      </c>
    </row>
    <row r="97">
      <c r="F97" s="22">
        <f>IF($A97="","",IF($B97="","EKSİK","TAM"))</f>
        <v/>
      </c>
    </row>
    <row r="98">
      <c r="F98" s="22">
        <f>IF($A98="","",IF($B98="","EKSİK","TAM"))</f>
        <v/>
      </c>
    </row>
    <row r="99">
      <c r="F99" s="22">
        <f>IF($A99="","",IF($B99="","EKSİK","TAM"))</f>
        <v/>
      </c>
    </row>
    <row r="100">
      <c r="F100" s="22">
        <f>IF($A100="","",IF($B100="","EKSİK","TAM"))</f>
        <v/>
      </c>
    </row>
    <row r="101">
      <c r="F101" s="22">
        <f>IF($A101="","",IF($B101="","EKSİK","TAM"))</f>
        <v/>
      </c>
    </row>
    <row r="102">
      <c r="F102" s="22">
        <f>IF($A102="","",IF($B102="","EKSİK","TAM"))</f>
        <v/>
      </c>
    </row>
    <row r="103">
      <c r="F103" s="22">
        <f>IF($A103="","",IF($B103="","EKSİK","TAM"))</f>
        <v/>
      </c>
    </row>
    <row r="104">
      <c r="F104" s="22">
        <f>IF($A104="","",IF($B104="","EKSİK","TAM"))</f>
        <v/>
      </c>
    </row>
    <row r="105">
      <c r="F105" s="22">
        <f>IF($A105="","",IF($B105="","EKSİK","TAM"))</f>
        <v/>
      </c>
    </row>
    <row r="106">
      <c r="F106" s="22">
        <f>IF($A106="","",IF($B106="","EKSİK","TAM"))</f>
        <v/>
      </c>
    </row>
    <row r="107">
      <c r="F107" s="22">
        <f>IF($A107="","",IF($B107="","EKSİK","TAM"))</f>
        <v/>
      </c>
    </row>
    <row r="108">
      <c r="F108" s="22">
        <f>IF($A108="","",IF($B108="","EKSİK","TAM"))</f>
        <v/>
      </c>
    </row>
    <row r="109">
      <c r="F109" s="22">
        <f>IF($A109="","",IF($B109="","EKSİK","TAM"))</f>
        <v/>
      </c>
    </row>
    <row r="110">
      <c r="F110" s="22">
        <f>IF($A110="","",IF($B110="","EKSİK","TAM"))</f>
        <v/>
      </c>
    </row>
    <row r="111">
      <c r="F111" s="22">
        <f>IF($A111="","",IF($B111="","EKSİK","TAM"))</f>
        <v/>
      </c>
    </row>
    <row r="112">
      <c r="F112" s="22">
        <f>IF($A112="","",IF($B112="","EKSİK","TAM"))</f>
        <v/>
      </c>
    </row>
    <row r="113">
      <c r="F113" s="22">
        <f>IF($A113="","",IF($B113="","EKSİK","TAM"))</f>
        <v/>
      </c>
    </row>
    <row r="114">
      <c r="F114" s="22">
        <f>IF($A114="","",IF($B114="","EKSİK","TAM"))</f>
        <v/>
      </c>
    </row>
    <row r="115">
      <c r="F115" s="22">
        <f>IF($A115="","",IF($B115="","EKSİK","TAM"))</f>
        <v/>
      </c>
    </row>
    <row r="116">
      <c r="F116" s="22">
        <f>IF($A116="","",IF($B116="","EKSİK","TAM"))</f>
        <v/>
      </c>
    </row>
    <row r="117">
      <c r="F117" s="22">
        <f>IF($A117="","",IF($B117="","EKSİK","TAM"))</f>
        <v/>
      </c>
    </row>
    <row r="118">
      <c r="F118" s="22">
        <f>IF($A118="","",IF($B118="","EKSİK","TAM"))</f>
        <v/>
      </c>
    </row>
    <row r="119">
      <c r="F119" s="22">
        <f>IF($A119="","",IF($B119="","EKSİK","TAM"))</f>
        <v/>
      </c>
    </row>
    <row r="120">
      <c r="F120" s="22">
        <f>IF($A120="","",IF($B120="","EKSİK","TAM"))</f>
        <v/>
      </c>
    </row>
    <row r="121">
      <c r="F121" s="22">
        <f>IF($A121="","",IF($B121="","EKSİK","TAM"))</f>
        <v/>
      </c>
    </row>
    <row r="122">
      <c r="F122" s="22">
        <f>IF($A122="","",IF($B122="","EKSİK","TAM"))</f>
        <v/>
      </c>
    </row>
    <row r="123">
      <c r="F123" s="22">
        <f>IF($A123="","",IF($B123="","EKSİK","TAM"))</f>
        <v/>
      </c>
    </row>
    <row r="124">
      <c r="F124" s="22">
        <f>IF($A124="","",IF($B124="","EKSİK","TAM"))</f>
        <v/>
      </c>
    </row>
    <row r="125">
      <c r="F125" s="22">
        <f>IF($A125="","",IF($B125="","EKSİK","TAM"))</f>
        <v/>
      </c>
    </row>
    <row r="126">
      <c r="F126" s="22">
        <f>IF($A126="","",IF($B126="","EKSİK","TAM"))</f>
        <v/>
      </c>
    </row>
    <row r="127">
      <c r="F127" s="22">
        <f>IF($A127="","",IF($B127="","EKSİK","TAM"))</f>
        <v/>
      </c>
    </row>
    <row r="128">
      <c r="F128" s="22">
        <f>IF($A128="","",IF($B128="","EKSİK","TAM"))</f>
        <v/>
      </c>
    </row>
    <row r="129">
      <c r="F129" s="22">
        <f>IF($A129="","",IF($B129="","EKSİK","TAM"))</f>
        <v/>
      </c>
    </row>
    <row r="130">
      <c r="F130" s="22">
        <f>IF($A130="","",IF($B130="","EKSİK","TAM"))</f>
        <v/>
      </c>
    </row>
    <row r="131">
      <c r="F131" s="22">
        <f>IF($A131="","",IF($B131="","EKSİK","TAM"))</f>
        <v/>
      </c>
    </row>
    <row r="132">
      <c r="F132" s="22">
        <f>IF($A132="","",IF($B132="","EKSİK","TAM"))</f>
        <v/>
      </c>
    </row>
    <row r="133">
      <c r="F133" s="22">
        <f>IF($A133="","",IF($B133="","EKSİK","TAM"))</f>
        <v/>
      </c>
    </row>
    <row r="134">
      <c r="F134" s="22">
        <f>IF($A134="","",IF($B134="","EKSİK","TAM"))</f>
        <v/>
      </c>
    </row>
    <row r="135">
      <c r="F135" s="22">
        <f>IF($A135="","",IF($B135="","EKSİK","TAM"))</f>
        <v/>
      </c>
    </row>
    <row r="136">
      <c r="F136" s="22">
        <f>IF($A136="","",IF($B136="","EKSİK","TAM"))</f>
        <v/>
      </c>
    </row>
    <row r="137">
      <c r="F137" s="22">
        <f>IF($A137="","",IF($B137="","EKSİK","TAM"))</f>
        <v/>
      </c>
    </row>
    <row r="138">
      <c r="F138" s="22">
        <f>IF($A138="","",IF($B138="","EKSİK","TAM"))</f>
        <v/>
      </c>
    </row>
    <row r="139">
      <c r="F139" s="22">
        <f>IF($A139="","",IF($B139="","EKSİK","TAM"))</f>
        <v/>
      </c>
    </row>
    <row r="140">
      <c r="F140" s="22">
        <f>IF($A140="","",IF($B140="","EKSİK","TAM"))</f>
        <v/>
      </c>
    </row>
    <row r="141">
      <c r="F141" s="22">
        <f>IF($A141="","",IF($B141="","EKSİK","TAM"))</f>
        <v/>
      </c>
    </row>
    <row r="142">
      <c r="F142" s="22">
        <f>IF($A142="","",IF($B142="","EKSİK","TAM"))</f>
        <v/>
      </c>
    </row>
    <row r="143">
      <c r="F143" s="22">
        <f>IF($A143="","",IF($B143="","EKSİK","TAM"))</f>
        <v/>
      </c>
    </row>
    <row r="144">
      <c r="F144" s="22">
        <f>IF($A144="","",IF($B144="","EKSİK","TAM"))</f>
        <v/>
      </c>
    </row>
    <row r="145">
      <c r="F145" s="22">
        <f>IF($A145="","",IF($B145="","EKSİK","TAM"))</f>
        <v/>
      </c>
    </row>
    <row r="146">
      <c r="F146" s="22">
        <f>IF($A146="","",IF($B146="","EKSİK","TAM"))</f>
        <v/>
      </c>
    </row>
    <row r="147">
      <c r="F147" s="22">
        <f>IF($A147="","",IF($B147="","EKSİK","TAM"))</f>
        <v/>
      </c>
    </row>
    <row r="148">
      <c r="F148" s="22">
        <f>IF($A148="","",IF($B148="","EKSİK","TAM"))</f>
        <v/>
      </c>
    </row>
    <row r="149">
      <c r="F149" s="22">
        <f>IF($A149="","",IF($B149="","EKSİK","TAM"))</f>
        <v/>
      </c>
    </row>
    <row r="150">
      <c r="F150" s="22">
        <f>IF($A150="","",IF($B150="","EKSİK","TAM"))</f>
        <v/>
      </c>
    </row>
    <row r="151">
      <c r="F151" s="22">
        <f>IF($A151="","",IF($B151="","EKSİK","TAM"))</f>
        <v/>
      </c>
    </row>
    <row r="152">
      <c r="F152" s="22">
        <f>IF($A152="","",IF($B152="","EKSİK","TAM"))</f>
        <v/>
      </c>
    </row>
    <row r="153">
      <c r="F153" s="22">
        <f>IF($A153="","",IF($B153="","EKSİK","TAM"))</f>
        <v/>
      </c>
    </row>
    <row r="154">
      <c r="F154" s="22">
        <f>IF($A154="","",IF($B154="","EKSİK","TAM"))</f>
        <v/>
      </c>
    </row>
    <row r="155">
      <c r="F155" s="22">
        <f>IF($A155="","",IF($B155="","EKSİK","TAM"))</f>
        <v/>
      </c>
    </row>
    <row r="156">
      <c r="F156" s="22">
        <f>IF($A156="","",IF($B156="","EKSİK","TAM"))</f>
        <v/>
      </c>
    </row>
    <row r="157">
      <c r="F157" s="22">
        <f>IF($A157="","",IF($B157="","EKSİK","TAM"))</f>
        <v/>
      </c>
    </row>
    <row r="158">
      <c r="F158" s="22">
        <f>IF($A158="","",IF($B158="","EKSİK","TAM"))</f>
        <v/>
      </c>
    </row>
    <row r="159">
      <c r="F159" s="22">
        <f>IF($A159="","",IF($B159="","EKSİK","TAM"))</f>
        <v/>
      </c>
    </row>
    <row r="160">
      <c r="F160" s="22">
        <f>IF($A160="","",IF($B160="","EKSİK","TAM"))</f>
        <v/>
      </c>
    </row>
    <row r="161">
      <c r="F161" s="22">
        <f>IF($A161="","",IF($B161="","EKSİK","TAM"))</f>
        <v/>
      </c>
    </row>
    <row r="162">
      <c r="F162" s="22">
        <f>IF($A162="","",IF($B162="","EKSİK","TAM"))</f>
        <v/>
      </c>
    </row>
    <row r="163">
      <c r="F163" s="22">
        <f>IF($A163="","",IF($B163="","EKSİK","TAM"))</f>
        <v/>
      </c>
    </row>
    <row r="164">
      <c r="F164" s="22">
        <f>IF($A164="","",IF($B164="","EKSİK","TAM"))</f>
        <v/>
      </c>
    </row>
    <row r="165">
      <c r="F165" s="22">
        <f>IF($A165="","",IF($B165="","EKSİK","TAM"))</f>
        <v/>
      </c>
    </row>
    <row r="166">
      <c r="F166" s="22">
        <f>IF($A166="","",IF($B166="","EKSİK","TAM"))</f>
        <v/>
      </c>
    </row>
    <row r="167">
      <c r="F167" s="22">
        <f>IF($A167="","",IF($B167="","EKSİK","TAM"))</f>
        <v/>
      </c>
    </row>
    <row r="168">
      <c r="F168" s="22">
        <f>IF($A168="","",IF($B168="","EKSİK","TAM"))</f>
        <v/>
      </c>
    </row>
    <row r="169">
      <c r="F169" s="22">
        <f>IF($A169="","",IF($B169="","EKSİK","TAM"))</f>
        <v/>
      </c>
    </row>
    <row r="170">
      <c r="F170" s="22">
        <f>IF($A170="","",IF($B170="","EKSİK","TAM"))</f>
        <v/>
      </c>
    </row>
    <row r="171">
      <c r="F171" s="22">
        <f>IF($A171="","",IF($B171="","EKSİK","TAM"))</f>
        <v/>
      </c>
    </row>
    <row r="172">
      <c r="F172" s="22">
        <f>IF($A172="","",IF($B172="","EKSİK","TAM"))</f>
        <v/>
      </c>
    </row>
    <row r="173">
      <c r="F173" s="22">
        <f>IF($A173="","",IF($B173="","EKSİK","TAM"))</f>
        <v/>
      </c>
    </row>
    <row r="174">
      <c r="F174" s="22">
        <f>IF($A174="","",IF($B174="","EKSİK","TAM"))</f>
        <v/>
      </c>
    </row>
    <row r="175">
      <c r="F175" s="22">
        <f>IF($A175="","",IF($B175="","EKSİK","TAM"))</f>
        <v/>
      </c>
    </row>
    <row r="176">
      <c r="F176" s="22">
        <f>IF($A176="","",IF($B176="","EKSİK","TAM"))</f>
        <v/>
      </c>
    </row>
    <row r="177">
      <c r="F177" s="22">
        <f>IF($A177="","",IF($B177="","EKSİK","TAM"))</f>
        <v/>
      </c>
    </row>
    <row r="178">
      <c r="F178" s="22">
        <f>IF($A178="","",IF($B178="","EKSİK","TAM"))</f>
        <v/>
      </c>
    </row>
    <row r="179">
      <c r="F179" s="22">
        <f>IF($A179="","",IF($B179="","EKSİK","TAM"))</f>
        <v/>
      </c>
    </row>
    <row r="180">
      <c r="F180" s="22">
        <f>IF($A180="","",IF($B180="","EKSİK","TAM"))</f>
        <v/>
      </c>
    </row>
    <row r="181">
      <c r="F181" s="22">
        <f>IF($A181="","",IF($B181="","EKSİK","TAM"))</f>
        <v/>
      </c>
    </row>
    <row r="182">
      <c r="F182" s="22">
        <f>IF($A182="","",IF($B182="","EKSİK","TAM"))</f>
        <v/>
      </c>
    </row>
    <row r="183">
      <c r="F183" s="22">
        <f>IF($A183="","",IF($B183="","EKSİK","TAM"))</f>
        <v/>
      </c>
    </row>
    <row r="184">
      <c r="F184" s="22">
        <f>IF($A184="","",IF($B184="","EKSİK","TAM"))</f>
        <v/>
      </c>
    </row>
    <row r="185">
      <c r="F185" s="22">
        <f>IF($A185="","",IF($B185="","EKSİK","TAM"))</f>
        <v/>
      </c>
    </row>
    <row r="186">
      <c r="F186" s="22">
        <f>IF($A186="","",IF($B186="","EKSİK","TAM"))</f>
        <v/>
      </c>
    </row>
    <row r="187">
      <c r="F187" s="22">
        <f>IF($A187="","",IF($B187="","EKSİK","TAM"))</f>
        <v/>
      </c>
    </row>
    <row r="188">
      <c r="F188" s="22">
        <f>IF($A188="","",IF($B188="","EKSİK","TAM"))</f>
        <v/>
      </c>
    </row>
    <row r="189">
      <c r="F189" s="22">
        <f>IF($A189="","",IF($B189="","EKSİK","TAM"))</f>
        <v/>
      </c>
    </row>
    <row r="190">
      <c r="F190" s="22">
        <f>IF($A190="","",IF($B190="","EKSİK","TAM"))</f>
        <v/>
      </c>
    </row>
    <row r="191">
      <c r="F191" s="22">
        <f>IF($A191="","",IF($B191="","EKSİK","TAM"))</f>
        <v/>
      </c>
    </row>
    <row r="192">
      <c r="F192" s="22">
        <f>IF($A192="","",IF($B192="","EKSİK","TAM"))</f>
        <v/>
      </c>
    </row>
    <row r="193">
      <c r="F193" s="22">
        <f>IF($A193="","",IF($B193="","EKSİK","TAM"))</f>
        <v/>
      </c>
    </row>
    <row r="194">
      <c r="F194" s="22">
        <f>IF($A194="","",IF($B194="","EKSİK","TAM"))</f>
        <v/>
      </c>
    </row>
    <row r="195">
      <c r="F195" s="22">
        <f>IF($A195="","",IF($B195="","EKSİK","TAM"))</f>
        <v/>
      </c>
    </row>
    <row r="196">
      <c r="F196" s="22">
        <f>IF($A196="","",IF($B196="","EKSİK","TAM"))</f>
        <v/>
      </c>
    </row>
    <row r="197">
      <c r="F197" s="22">
        <f>IF($A197="","",IF($B197="","EKSİK","TAM"))</f>
        <v/>
      </c>
    </row>
    <row r="198">
      <c r="F198" s="22">
        <f>IF($A198="","",IF($B198="","EKSİK","TAM"))</f>
        <v/>
      </c>
    </row>
    <row r="199">
      <c r="F199" s="22">
        <f>IF($A199="","",IF($B199="","EKSİK","TAM"))</f>
        <v/>
      </c>
    </row>
    <row r="200">
      <c r="F200" s="22">
        <f>IF($A200="","",IF($B200="","EKSİK","TAM"))</f>
        <v/>
      </c>
    </row>
    <row r="201">
      <c r="F201" s="22">
        <f>IF($A201="","",IF($B201="","EKSİK","TAM"))</f>
        <v/>
      </c>
    </row>
    <row r="202">
      <c r="F202" s="22">
        <f>IF($A202="","",IF($B202="","EKSİK","TAM"))</f>
        <v/>
      </c>
    </row>
    <row r="203">
      <c r="F203" s="22">
        <f>IF($A203="","",IF($B203="","EKSİK","TAM"))</f>
        <v/>
      </c>
    </row>
    <row r="204">
      <c r="F204" s="22">
        <f>IF($A204="","",IF($B204="","EKSİK","TAM"))</f>
        <v/>
      </c>
    </row>
    <row r="205">
      <c r="F205" s="22">
        <f>IF($A205="","",IF($B205="","EKSİK","TAM"))</f>
        <v/>
      </c>
    </row>
    <row r="206">
      <c r="F206" s="22">
        <f>IF($A206="","",IF($B206="","EKSİK","TAM"))</f>
        <v/>
      </c>
    </row>
    <row r="207">
      <c r="F207" s="22">
        <f>IF($A207="","",IF($B207="","EKSİK","TAM"))</f>
        <v/>
      </c>
    </row>
    <row r="208">
      <c r="F208" s="22">
        <f>IF($A208="","",IF($B208="","EKSİK","TAM"))</f>
        <v/>
      </c>
    </row>
    <row r="209">
      <c r="F209" s="22">
        <f>IF($A209="","",IF($B209="","EKSİK","TAM"))</f>
        <v/>
      </c>
    </row>
    <row r="210">
      <c r="F210" s="22">
        <f>IF($A210="","",IF($B210="","EKSİK","TAM"))</f>
        <v/>
      </c>
    </row>
    <row r="211">
      <c r="F211" s="22">
        <f>IF($A211="","",IF($B211="","EKSİK","TAM"))</f>
        <v/>
      </c>
    </row>
    <row r="212">
      <c r="F212" s="22">
        <f>IF($A212="","",IF($B212="","EKSİK","TAM"))</f>
        <v/>
      </c>
    </row>
    <row r="213">
      <c r="F213" s="22">
        <f>IF($A213="","",IF($B213="","EKSİK","TAM"))</f>
        <v/>
      </c>
    </row>
    <row r="214">
      <c r="F214" s="22">
        <f>IF($A214="","",IF($B214="","EKSİK","TAM"))</f>
        <v/>
      </c>
    </row>
    <row r="215">
      <c r="F215" s="22">
        <f>IF($A215="","",IF($B215="","EKSİK","TAM"))</f>
        <v/>
      </c>
    </row>
    <row r="216">
      <c r="F216" s="22">
        <f>IF($A216="","",IF($B216="","EKSİK","TAM"))</f>
        <v/>
      </c>
    </row>
    <row r="217">
      <c r="F217" s="22">
        <f>IF($A217="","",IF($B217="","EKSİK","TAM"))</f>
        <v/>
      </c>
    </row>
    <row r="218">
      <c r="F218" s="22">
        <f>IF($A218="","",IF($B218="","EKSİK","TAM"))</f>
        <v/>
      </c>
    </row>
    <row r="219">
      <c r="F219" s="22">
        <f>IF($A219="","",IF($B219="","EKSİK","TAM"))</f>
        <v/>
      </c>
    </row>
    <row r="220">
      <c r="F220" s="22">
        <f>IF($A220="","",IF($B220="","EKSİK","TAM"))</f>
        <v/>
      </c>
    </row>
    <row r="221">
      <c r="F221" s="22">
        <f>IF($A221="","",IF($B221="","EKSİK","TAM"))</f>
        <v/>
      </c>
    </row>
    <row r="222">
      <c r="F222" s="22">
        <f>IF($A222="","",IF($B222="","EKSİK","TAM"))</f>
        <v/>
      </c>
    </row>
    <row r="223">
      <c r="F223" s="22">
        <f>IF($A223="","",IF($B223="","EKSİK","TAM"))</f>
        <v/>
      </c>
    </row>
    <row r="224">
      <c r="F224" s="22">
        <f>IF($A224="","",IF($B224="","EKSİK","TAM"))</f>
        <v/>
      </c>
    </row>
    <row r="225">
      <c r="F225" s="22">
        <f>IF($A225="","",IF($B225="","EKSİK","TAM"))</f>
        <v/>
      </c>
    </row>
    <row r="226">
      <c r="F226" s="22">
        <f>IF($A226="","",IF($B226="","EKSİK","TAM"))</f>
        <v/>
      </c>
    </row>
    <row r="227">
      <c r="F227" s="22">
        <f>IF($A227="","",IF($B227="","EKSİK","TAM"))</f>
        <v/>
      </c>
    </row>
    <row r="228">
      <c r="F228" s="22">
        <f>IF($A228="","",IF($B228="","EKSİK","TAM"))</f>
        <v/>
      </c>
    </row>
    <row r="229">
      <c r="F229" s="22">
        <f>IF($A229="","",IF($B229="","EKSİK","TAM"))</f>
        <v/>
      </c>
    </row>
    <row r="230">
      <c r="F230" s="22">
        <f>IF($A230="","",IF($B230="","EKSİK","TAM"))</f>
        <v/>
      </c>
    </row>
    <row r="231">
      <c r="F231" s="22">
        <f>IF($A231="","",IF($B231="","EKSİK","TAM"))</f>
        <v/>
      </c>
    </row>
    <row r="232">
      <c r="F232" s="22">
        <f>IF($A232="","",IF($B232="","EKSİK","TAM"))</f>
        <v/>
      </c>
    </row>
    <row r="233">
      <c r="F233" s="22">
        <f>IF($A233="","",IF($B233="","EKSİK","TAM"))</f>
        <v/>
      </c>
    </row>
    <row r="234">
      <c r="F234" s="22">
        <f>IF($A234="","",IF($B234="","EKSİK","TAM"))</f>
        <v/>
      </c>
    </row>
    <row r="235">
      <c r="F235" s="22">
        <f>IF($A235="","",IF($B235="","EKSİK","TAM"))</f>
        <v/>
      </c>
    </row>
    <row r="236">
      <c r="F236" s="22">
        <f>IF($A236="","",IF($B236="","EKSİK","TAM"))</f>
        <v/>
      </c>
    </row>
    <row r="237">
      <c r="F237" s="22">
        <f>IF($A237="","",IF($B237="","EKSİK","TAM"))</f>
        <v/>
      </c>
    </row>
    <row r="238">
      <c r="F238" s="22">
        <f>IF($A238="","",IF($B238="","EKSİK","TAM"))</f>
        <v/>
      </c>
    </row>
    <row r="239">
      <c r="F239" s="22">
        <f>IF($A239="","",IF($B239="","EKSİK","TAM"))</f>
        <v/>
      </c>
    </row>
    <row r="240">
      <c r="F240" s="22">
        <f>IF($A240="","",IF($B240="","EKSİK","TAM"))</f>
        <v/>
      </c>
    </row>
    <row r="241">
      <c r="F241" s="22">
        <f>IF($A241="","",IF($B241="","EKSİK","TAM"))</f>
        <v/>
      </c>
    </row>
    <row r="242">
      <c r="F242" s="22">
        <f>IF($A242="","",IF($B242="","EKSİK","TAM"))</f>
        <v/>
      </c>
    </row>
    <row r="243">
      <c r="F243" s="22">
        <f>IF($A243="","",IF($B243="","EKSİK","TAM"))</f>
        <v/>
      </c>
    </row>
    <row r="244">
      <c r="F244" s="22">
        <f>IF($A244="","",IF($B244="","EKSİK","TAM"))</f>
        <v/>
      </c>
    </row>
    <row r="245">
      <c r="F245" s="22">
        <f>IF($A245="","",IF($B245="","EKSİK","TAM"))</f>
        <v/>
      </c>
    </row>
    <row r="246">
      <c r="F246" s="22">
        <f>IF($A246="","",IF($B246="","EKSİK","TAM"))</f>
        <v/>
      </c>
    </row>
    <row r="247">
      <c r="F247" s="22">
        <f>IF($A247="","",IF($B247="","EKSİK","TAM"))</f>
        <v/>
      </c>
    </row>
    <row r="248">
      <c r="F248" s="22">
        <f>IF($A248="","",IF($B248="","EKSİK","TAM"))</f>
        <v/>
      </c>
    </row>
    <row r="249">
      <c r="F249" s="22">
        <f>IF($A249="","",IF($B249="","EKSİK","TAM"))</f>
        <v/>
      </c>
    </row>
    <row r="250">
      <c r="F250" s="22">
        <f>IF($A250="","",IF($B250="","EKSİK","TAM"))</f>
        <v/>
      </c>
    </row>
    <row r="251">
      <c r="F251" s="22">
        <f>IF($A251="","",IF($B251="","EKSİK","TAM"))</f>
        <v/>
      </c>
    </row>
    <row r="252">
      <c r="F252" s="22">
        <f>IF($A252="","",IF($B252="","EKSİK","TAM"))</f>
        <v/>
      </c>
    </row>
    <row r="253">
      <c r="F253" s="22">
        <f>IF($A253="","",IF($B253="","EKSİK","TAM"))</f>
        <v/>
      </c>
    </row>
    <row r="254">
      <c r="F254" s="22">
        <f>IF($A254="","",IF($B254="","EKSİK","TAM"))</f>
        <v/>
      </c>
    </row>
    <row r="255">
      <c r="F255" s="22">
        <f>IF($A255="","",IF($B255="","EKSİK","TAM"))</f>
        <v/>
      </c>
    </row>
    <row r="256">
      <c r="F256" s="22">
        <f>IF($A256="","",IF($B256="","EKSİK","TAM"))</f>
        <v/>
      </c>
    </row>
    <row r="257">
      <c r="F257" s="22">
        <f>IF($A257="","",IF($B257="","EKSİK","TAM"))</f>
        <v/>
      </c>
    </row>
    <row r="258">
      <c r="F258" s="22">
        <f>IF($A258="","",IF($B258="","EKSİK","TAM"))</f>
        <v/>
      </c>
    </row>
    <row r="259">
      <c r="F259" s="22">
        <f>IF($A259="","",IF($B259="","EKSİK","TAM"))</f>
        <v/>
      </c>
    </row>
    <row r="260">
      <c r="F260" s="22">
        <f>IF($A260="","",IF($B260="","EKSİK","TAM"))</f>
        <v/>
      </c>
    </row>
    <row r="261">
      <c r="F261" s="22">
        <f>IF($A261="","",IF($B261="","EKSİK","TAM"))</f>
        <v/>
      </c>
    </row>
    <row r="262">
      <c r="F262" s="22">
        <f>IF($A262="","",IF($B262="","EKSİK","TAM"))</f>
        <v/>
      </c>
    </row>
    <row r="263">
      <c r="F263" s="22">
        <f>IF($A263="","",IF($B263="","EKSİK","TAM"))</f>
        <v/>
      </c>
    </row>
    <row r="264">
      <c r="F264" s="22">
        <f>IF($A264="","",IF($B264="","EKSİK","TAM"))</f>
        <v/>
      </c>
    </row>
    <row r="265">
      <c r="F265" s="22">
        <f>IF($A265="","",IF($B265="","EKSİK","TAM"))</f>
        <v/>
      </c>
    </row>
    <row r="266">
      <c r="F266" s="22">
        <f>IF($A266="","",IF($B266="","EKSİK","TAM"))</f>
        <v/>
      </c>
    </row>
    <row r="267">
      <c r="F267" s="22">
        <f>IF($A267="","",IF($B267="","EKSİK","TAM"))</f>
        <v/>
      </c>
    </row>
    <row r="268">
      <c r="F268" s="22">
        <f>IF($A268="","",IF($B268="","EKSİK","TAM"))</f>
        <v/>
      </c>
    </row>
    <row r="269">
      <c r="F269" s="22">
        <f>IF($A269="","",IF($B269="","EKSİK","TAM"))</f>
        <v/>
      </c>
    </row>
    <row r="270">
      <c r="F270" s="22">
        <f>IF($A270="","",IF($B270="","EKSİK","TAM"))</f>
        <v/>
      </c>
    </row>
    <row r="271">
      <c r="F271" s="22">
        <f>IF($A271="","",IF($B271="","EKSİK","TAM"))</f>
        <v/>
      </c>
    </row>
    <row r="272">
      <c r="F272" s="22">
        <f>IF($A272="","",IF($B272="","EKSİK","TAM"))</f>
        <v/>
      </c>
    </row>
    <row r="273">
      <c r="F273" s="22">
        <f>IF($A273="","",IF($B273="","EKSİK","TAM"))</f>
        <v/>
      </c>
    </row>
    <row r="274">
      <c r="F274" s="22">
        <f>IF($A274="","",IF($B274="","EKSİK","TAM"))</f>
        <v/>
      </c>
    </row>
    <row r="275">
      <c r="F275" s="22">
        <f>IF($A275="","",IF($B275="","EKSİK","TAM"))</f>
        <v/>
      </c>
    </row>
    <row r="276">
      <c r="F276" s="22">
        <f>IF($A276="","",IF($B276="","EKSİK","TAM"))</f>
        <v/>
      </c>
    </row>
    <row r="277">
      <c r="F277" s="22">
        <f>IF($A277="","",IF($B277="","EKSİK","TAM"))</f>
        <v/>
      </c>
    </row>
    <row r="278">
      <c r="F278" s="22">
        <f>IF($A278="","",IF($B278="","EKSİK","TAM"))</f>
        <v/>
      </c>
    </row>
    <row r="279">
      <c r="F279" s="22">
        <f>IF($A279="","",IF($B279="","EKSİK","TAM"))</f>
        <v/>
      </c>
    </row>
    <row r="280">
      <c r="F280" s="22">
        <f>IF($A280="","",IF($B280="","EKSİK","TAM"))</f>
        <v/>
      </c>
    </row>
    <row r="281">
      <c r="F281" s="22">
        <f>IF($A281="","",IF($B281="","EKSİK","TAM"))</f>
        <v/>
      </c>
    </row>
    <row r="282">
      <c r="F282" s="22">
        <f>IF($A282="","",IF($B282="","EKSİK","TAM"))</f>
        <v/>
      </c>
    </row>
    <row r="283">
      <c r="F283" s="22">
        <f>IF($A283="","",IF($B283="","EKSİK","TAM"))</f>
        <v/>
      </c>
    </row>
    <row r="284">
      <c r="F284" s="22">
        <f>IF($A284="","",IF($B284="","EKSİK","TAM"))</f>
        <v/>
      </c>
    </row>
    <row r="285">
      <c r="F285" s="22">
        <f>IF($A285="","",IF($B285="","EKSİK","TAM"))</f>
        <v/>
      </c>
    </row>
    <row r="286">
      <c r="F286" s="22">
        <f>IF($A286="","",IF($B286="","EKSİK","TAM"))</f>
        <v/>
      </c>
    </row>
    <row r="287">
      <c r="F287" s="22">
        <f>IF($A287="","",IF($B287="","EKSİK","TAM"))</f>
        <v/>
      </c>
    </row>
    <row r="288">
      <c r="F288" s="22">
        <f>IF($A288="","",IF($B288="","EKSİK","TAM"))</f>
        <v/>
      </c>
    </row>
    <row r="289">
      <c r="F289" s="22">
        <f>IF($A289="","",IF($B289="","EKSİK","TAM"))</f>
        <v/>
      </c>
    </row>
    <row r="290">
      <c r="F290" s="22">
        <f>IF($A290="","",IF($B290="","EKSİK","TAM"))</f>
        <v/>
      </c>
    </row>
    <row r="291">
      <c r="F291" s="22">
        <f>IF($A291="","",IF($B291="","EKSİK","TAM"))</f>
        <v/>
      </c>
    </row>
    <row r="292">
      <c r="F292" s="22">
        <f>IF($A292="","",IF($B292="","EKSİK","TAM"))</f>
        <v/>
      </c>
    </row>
    <row r="293">
      <c r="F293" s="22">
        <f>IF($A293="","",IF($B293="","EKSİK","TAM"))</f>
        <v/>
      </c>
    </row>
    <row r="294">
      <c r="F294" s="22">
        <f>IF($A294="","",IF($B294="","EKSİK","TAM"))</f>
        <v/>
      </c>
    </row>
    <row r="295">
      <c r="F295" s="22">
        <f>IF($A295="","",IF($B295="","EKSİK","TAM"))</f>
        <v/>
      </c>
    </row>
    <row r="296">
      <c r="F296" s="22">
        <f>IF($A296="","",IF($B296="","EKSİK","TAM"))</f>
        <v/>
      </c>
    </row>
    <row r="297">
      <c r="F297" s="22">
        <f>IF($A297="","",IF($B297="","EKSİK","TAM"))</f>
        <v/>
      </c>
    </row>
    <row r="298">
      <c r="F298" s="22">
        <f>IF($A298="","",IF($B298="","EKSİK","TAM"))</f>
        <v/>
      </c>
    </row>
    <row r="299">
      <c r="F299" s="22">
        <f>IF($A299="","",IF($B299="","EKSİK","TAM"))</f>
        <v/>
      </c>
    </row>
    <row r="300">
      <c r="F300" s="22">
        <f>IF($A300="","",IF($B300="","EKSİK","TAM"))</f>
        <v/>
      </c>
    </row>
    <row r="301">
      <c r="F301" s="22">
        <f>IF($A301="","",IF($B301="","EKSİK","TAM"))</f>
        <v/>
      </c>
    </row>
    <row r="302">
      <c r="F302" s="22">
        <f>IF($A302="","",IF($B302="","EKSİK","TAM"))</f>
        <v/>
      </c>
    </row>
    <row r="303">
      <c r="F303" s="22">
        <f>IF($A303="","",IF($B303="","EKSİK","TAM"))</f>
        <v/>
      </c>
    </row>
    <row r="304">
      <c r="F304" s="22">
        <f>IF($A304="","",IF($B304="","EKSİK","TAM"))</f>
        <v/>
      </c>
    </row>
    <row r="305">
      <c r="F305" s="22">
        <f>IF($A305="","",IF($B305="","EKSİK","TAM"))</f>
        <v/>
      </c>
    </row>
    <row r="306">
      <c r="F306" s="22">
        <f>IF($A306="","",IF($B306="","EKSİK","TAM"))</f>
        <v/>
      </c>
    </row>
    <row r="307">
      <c r="F307" s="22">
        <f>IF($A307="","",IF($B307="","EKSİK","TAM"))</f>
        <v/>
      </c>
    </row>
    <row r="308">
      <c r="F308" s="22">
        <f>IF($A308="","",IF($B308="","EKSİK","TAM"))</f>
        <v/>
      </c>
    </row>
    <row r="309">
      <c r="F309" s="22">
        <f>IF($A309="","",IF($B309="","EKSİK","TAM"))</f>
        <v/>
      </c>
    </row>
    <row r="310">
      <c r="F310" s="22">
        <f>IF($A310="","",IF($B310="","EKSİK","TAM"))</f>
        <v/>
      </c>
    </row>
    <row r="311">
      <c r="F311" s="22">
        <f>IF($A311="","",IF($B311="","EKSİK","TAM"))</f>
        <v/>
      </c>
    </row>
    <row r="312">
      <c r="F312" s="22">
        <f>IF($A312="","",IF($B312="","EKSİK","TAM"))</f>
        <v/>
      </c>
    </row>
    <row r="313">
      <c r="F313" s="22">
        <f>IF($A313="","",IF($B313="","EKSİK","TAM"))</f>
        <v/>
      </c>
    </row>
    <row r="314">
      <c r="F314" s="22">
        <f>IF($A314="","",IF($B314="","EKSİK","TAM"))</f>
        <v/>
      </c>
    </row>
    <row r="315">
      <c r="F315" s="22">
        <f>IF($A315="","",IF($B315="","EKSİK","TAM"))</f>
        <v/>
      </c>
    </row>
    <row r="316">
      <c r="F316" s="22">
        <f>IF($A316="","",IF($B316="","EKSİK","TAM"))</f>
        <v/>
      </c>
    </row>
    <row r="317">
      <c r="F317" s="22">
        <f>IF($A317="","",IF($B317="","EKSİK","TAM"))</f>
        <v/>
      </c>
    </row>
    <row r="318">
      <c r="F318" s="22">
        <f>IF($A318="","",IF($B318="","EKSİK","TAM"))</f>
        <v/>
      </c>
    </row>
    <row r="319">
      <c r="F319" s="22">
        <f>IF($A319="","",IF($B319="","EKSİK","TAM"))</f>
        <v/>
      </c>
    </row>
    <row r="320">
      <c r="F320" s="22">
        <f>IF($A320="","",IF($B320="","EKSİK","TAM"))</f>
        <v/>
      </c>
    </row>
    <row r="321">
      <c r="F321" s="22">
        <f>IF($A321="","",IF($B321="","EKSİK","TAM"))</f>
        <v/>
      </c>
    </row>
    <row r="322">
      <c r="F322" s="22">
        <f>IF($A322="","",IF($B322="","EKSİK","TAM"))</f>
        <v/>
      </c>
    </row>
    <row r="323">
      <c r="F323" s="22">
        <f>IF($A323="","",IF($B323="","EKSİK","TAM"))</f>
        <v/>
      </c>
    </row>
    <row r="324">
      <c r="F324" s="22">
        <f>IF($A324="","",IF($B324="","EKSİK","TAM"))</f>
        <v/>
      </c>
    </row>
    <row r="325">
      <c r="F325" s="22">
        <f>IF($A325="","",IF($B325="","EKSİK","TAM"))</f>
        <v/>
      </c>
    </row>
    <row r="326">
      <c r="F326" s="22">
        <f>IF($A326="","",IF($B326="","EKSİK","TAM"))</f>
        <v/>
      </c>
    </row>
    <row r="327">
      <c r="F327" s="22">
        <f>IF($A327="","",IF($B327="","EKSİK","TAM"))</f>
        <v/>
      </c>
    </row>
    <row r="328">
      <c r="F328" s="22">
        <f>IF($A328="","",IF($B328="","EKSİK","TAM"))</f>
        <v/>
      </c>
    </row>
    <row r="329">
      <c r="F329" s="22">
        <f>IF($A329="","",IF($B329="","EKSİK","TAM"))</f>
        <v/>
      </c>
    </row>
    <row r="330">
      <c r="F330" s="22">
        <f>IF($A330="","",IF($B330="","EKSİK","TAM"))</f>
        <v/>
      </c>
    </row>
    <row r="331">
      <c r="F331" s="22">
        <f>IF($A331="","",IF($B331="","EKSİK","TAM"))</f>
        <v/>
      </c>
    </row>
    <row r="332">
      <c r="F332" s="22">
        <f>IF($A332="","",IF($B332="","EKSİK","TAM"))</f>
        <v/>
      </c>
    </row>
    <row r="333">
      <c r="F333" s="22">
        <f>IF($A333="","",IF($B333="","EKSİK","TAM"))</f>
        <v/>
      </c>
    </row>
    <row r="334">
      <c r="F334" s="22">
        <f>IF($A334="","",IF($B334="","EKSİK","TAM"))</f>
        <v/>
      </c>
    </row>
    <row r="335">
      <c r="F335" s="22">
        <f>IF($A335="","",IF($B335="","EKSİK","TAM"))</f>
        <v/>
      </c>
    </row>
    <row r="336">
      <c r="F336" s="22">
        <f>IF($A336="","",IF($B336="","EKSİK","TAM"))</f>
        <v/>
      </c>
    </row>
    <row r="337">
      <c r="F337" s="22">
        <f>IF($A337="","",IF($B337="","EKSİK","TAM"))</f>
        <v/>
      </c>
    </row>
    <row r="338">
      <c r="F338" s="22">
        <f>IF($A338="","",IF($B338="","EKSİK","TAM"))</f>
        <v/>
      </c>
    </row>
    <row r="339">
      <c r="F339" s="22">
        <f>IF($A339="","",IF($B339="","EKSİK","TAM"))</f>
        <v/>
      </c>
    </row>
    <row r="340">
      <c r="F340" s="22">
        <f>IF($A340="","",IF($B340="","EKSİK","TAM"))</f>
        <v/>
      </c>
    </row>
    <row r="341">
      <c r="F341" s="22">
        <f>IF($A341="","",IF($B341="","EKSİK","TAM"))</f>
        <v/>
      </c>
    </row>
    <row r="342">
      <c r="F342" s="22">
        <f>IF($A342="","",IF($B342="","EKSİK","TAM"))</f>
        <v/>
      </c>
    </row>
    <row r="343">
      <c r="F343" s="22">
        <f>IF($A343="","",IF($B343="","EKSİK","TAM"))</f>
        <v/>
      </c>
    </row>
    <row r="344">
      <c r="F344" s="22">
        <f>IF($A344="","",IF($B344="","EKSİK","TAM"))</f>
        <v/>
      </c>
    </row>
    <row r="345">
      <c r="F345" s="22">
        <f>IF($A345="","",IF($B345="","EKSİK","TAM"))</f>
        <v/>
      </c>
    </row>
    <row r="346">
      <c r="F346" s="22">
        <f>IF($A346="","",IF($B346="","EKSİK","TAM"))</f>
        <v/>
      </c>
    </row>
    <row r="347">
      <c r="F347" s="22">
        <f>IF($A347="","",IF($B347="","EKSİK","TAM"))</f>
        <v/>
      </c>
    </row>
    <row r="348">
      <c r="F348" s="22">
        <f>IF($A348="","",IF($B348="","EKSİK","TAM"))</f>
        <v/>
      </c>
    </row>
    <row r="349">
      <c r="F349" s="22">
        <f>IF($A349="","",IF($B349="","EKSİK","TAM"))</f>
        <v/>
      </c>
    </row>
    <row r="350">
      <c r="F350" s="22">
        <f>IF($A350="","",IF($B350="","EKSİK","TAM"))</f>
        <v/>
      </c>
    </row>
    <row r="351">
      <c r="F351" s="22">
        <f>IF($A351="","",IF($B351="","EKSİK","TAM"))</f>
        <v/>
      </c>
    </row>
    <row r="352">
      <c r="F352" s="22">
        <f>IF($A352="","",IF($B352="","EKSİK","TAM"))</f>
        <v/>
      </c>
    </row>
    <row r="353">
      <c r="F353" s="22">
        <f>IF($A353="","",IF($B353="","EKSİK","TAM"))</f>
        <v/>
      </c>
    </row>
    <row r="354">
      <c r="F354" s="22">
        <f>IF($A354="","",IF($B354="","EKSİK","TAM"))</f>
        <v/>
      </c>
    </row>
    <row r="355">
      <c r="F355" s="22">
        <f>IF($A355="","",IF($B355="","EKSİK","TAM"))</f>
        <v/>
      </c>
    </row>
    <row r="356">
      <c r="F356" s="22">
        <f>IF($A356="","",IF($B356="","EKSİK","TAM"))</f>
        <v/>
      </c>
    </row>
    <row r="357">
      <c r="F357" s="22">
        <f>IF($A357="","",IF($B357="","EKSİK","TAM"))</f>
        <v/>
      </c>
    </row>
    <row r="358">
      <c r="F358" s="22">
        <f>IF($A358="","",IF($B358="","EKSİK","TAM"))</f>
        <v/>
      </c>
    </row>
    <row r="359">
      <c r="F359" s="22">
        <f>IF($A359="","",IF($B359="","EKSİK","TAM"))</f>
        <v/>
      </c>
    </row>
    <row r="360">
      <c r="F360" s="22">
        <f>IF($A360="","",IF($B360="","EKSİK","TAM"))</f>
        <v/>
      </c>
    </row>
    <row r="361">
      <c r="F361" s="22">
        <f>IF($A361="","",IF($B361="","EKSİK","TAM"))</f>
        <v/>
      </c>
    </row>
    <row r="362">
      <c r="F362" s="22">
        <f>IF($A362="","",IF($B362="","EKSİK","TAM"))</f>
        <v/>
      </c>
    </row>
    <row r="363">
      <c r="F363" s="22">
        <f>IF($A363="","",IF($B363="","EKSİK","TAM"))</f>
        <v/>
      </c>
    </row>
    <row r="364">
      <c r="F364" s="22">
        <f>IF($A364="","",IF($B364="","EKSİK","TAM"))</f>
        <v/>
      </c>
    </row>
    <row r="365">
      <c r="F365" s="22">
        <f>IF($A365="","",IF($B365="","EKSİK","TAM"))</f>
        <v/>
      </c>
    </row>
    <row r="366">
      <c r="F366" s="22">
        <f>IF($A366="","",IF($B366="","EKSİK","TAM"))</f>
        <v/>
      </c>
    </row>
    <row r="367">
      <c r="F367" s="22">
        <f>IF($A367="","",IF($B367="","EKSİK","TAM"))</f>
        <v/>
      </c>
    </row>
    <row r="368">
      <c r="F368" s="22">
        <f>IF($A368="","",IF($B368="","EKSİK","TAM"))</f>
        <v/>
      </c>
    </row>
    <row r="369">
      <c r="F369" s="22">
        <f>IF($A369="","",IF($B369="","EKSİK","TAM"))</f>
        <v/>
      </c>
    </row>
    <row r="370">
      <c r="F370" s="22">
        <f>IF($A370="","",IF($B370="","EKSİK","TAM"))</f>
        <v/>
      </c>
    </row>
    <row r="371">
      <c r="F371" s="22">
        <f>IF($A371="","",IF($B371="","EKSİK","TAM"))</f>
        <v/>
      </c>
    </row>
    <row r="372">
      <c r="F372" s="22">
        <f>IF($A372="","",IF($B372="","EKSİK","TAM"))</f>
        <v/>
      </c>
    </row>
    <row r="373">
      <c r="F373" s="22">
        <f>IF($A373="","",IF($B373="","EKSİK","TAM"))</f>
        <v/>
      </c>
    </row>
    <row r="374">
      <c r="F374" s="22">
        <f>IF($A374="","",IF($B374="","EKSİK","TAM"))</f>
        <v/>
      </c>
    </row>
    <row r="375">
      <c r="F375" s="22">
        <f>IF($A375="","",IF($B375="","EKSİK","TAM"))</f>
        <v/>
      </c>
    </row>
    <row r="376">
      <c r="F376" s="22">
        <f>IF($A376="","",IF($B376="","EKSİK","TAM"))</f>
        <v/>
      </c>
    </row>
    <row r="377">
      <c r="F377" s="22">
        <f>IF($A377="","",IF($B377="","EKSİK","TAM"))</f>
        <v/>
      </c>
    </row>
    <row r="378">
      <c r="F378" s="22">
        <f>IF($A378="","",IF($B378="","EKSİK","TAM"))</f>
        <v/>
      </c>
    </row>
    <row r="379">
      <c r="F379" s="22">
        <f>IF($A379="","",IF($B379="","EKSİK","TAM"))</f>
        <v/>
      </c>
    </row>
    <row r="380">
      <c r="F380" s="22">
        <f>IF($A380="","",IF($B380="","EKSİK","TAM"))</f>
        <v/>
      </c>
    </row>
    <row r="381">
      <c r="F381" s="22">
        <f>IF($A381="","",IF($B381="","EKSİK","TAM"))</f>
        <v/>
      </c>
    </row>
    <row r="382">
      <c r="F382" s="22">
        <f>IF($A382="","",IF($B382="","EKSİK","TAM"))</f>
        <v/>
      </c>
    </row>
    <row r="383">
      <c r="F383" s="22">
        <f>IF($A383="","",IF($B383="","EKSİK","TAM"))</f>
        <v/>
      </c>
    </row>
    <row r="384">
      <c r="F384" s="22">
        <f>IF($A384="","",IF($B384="","EKSİK","TAM"))</f>
        <v/>
      </c>
    </row>
    <row r="385">
      <c r="F385" s="22">
        <f>IF($A385="","",IF($B385="","EKSİK","TAM"))</f>
        <v/>
      </c>
    </row>
    <row r="386">
      <c r="F386" s="22">
        <f>IF($A386="","",IF($B386="","EKSİK","TAM"))</f>
        <v/>
      </c>
    </row>
    <row r="387">
      <c r="F387" s="22">
        <f>IF($A387="","",IF($B387="","EKSİK","TAM"))</f>
        <v/>
      </c>
    </row>
    <row r="388">
      <c r="F388" s="22">
        <f>IF($A388="","",IF($B388="","EKSİK","TAM"))</f>
        <v/>
      </c>
    </row>
    <row r="389">
      <c r="F389" s="22">
        <f>IF($A389="","",IF($B389="","EKSİK","TAM"))</f>
        <v/>
      </c>
    </row>
    <row r="390">
      <c r="F390" s="22">
        <f>IF($A390="","",IF($B390="","EKSİK","TAM"))</f>
        <v/>
      </c>
    </row>
    <row r="391">
      <c r="F391" s="22">
        <f>IF($A391="","",IF($B391="","EKSİK","TAM"))</f>
        <v/>
      </c>
    </row>
    <row r="392">
      <c r="F392" s="22">
        <f>IF($A392="","",IF($B392="","EKSİK","TAM"))</f>
        <v/>
      </c>
    </row>
    <row r="393">
      <c r="F393" s="22">
        <f>IF($A393="","",IF($B393="","EKSİK","TAM"))</f>
        <v/>
      </c>
    </row>
    <row r="394">
      <c r="F394" s="22">
        <f>IF($A394="","",IF($B394="","EKSİK","TAM"))</f>
        <v/>
      </c>
    </row>
    <row r="395">
      <c r="F395" s="22">
        <f>IF($A395="","",IF($B395="","EKSİK","TAM"))</f>
        <v/>
      </c>
    </row>
    <row r="396">
      <c r="F396" s="22">
        <f>IF($A396="","",IF($B396="","EKSİK","TAM"))</f>
        <v/>
      </c>
    </row>
    <row r="397">
      <c r="F397" s="22">
        <f>IF($A397="","",IF($B397="","EKSİK","TAM"))</f>
        <v/>
      </c>
    </row>
    <row r="398">
      <c r="F398" s="22">
        <f>IF($A398="","",IF($B398="","EKSİK","TAM"))</f>
        <v/>
      </c>
    </row>
    <row r="399">
      <c r="F399" s="22">
        <f>IF($A399="","",IF($B399="","EKSİK","TAM"))</f>
        <v/>
      </c>
    </row>
    <row r="400">
      <c r="F400" s="22">
        <f>IF($A400="","",IF($B400="","EKSİK","TAM"))</f>
        <v/>
      </c>
    </row>
    <row r="401">
      <c r="F401" s="22">
        <f>IF($A401="","",IF($B401="","EKSİK","TAM"))</f>
        <v/>
      </c>
    </row>
    <row r="402">
      <c r="F402" s="22">
        <f>IF($A402="","",IF($B402="","EKSİK","TAM"))</f>
        <v/>
      </c>
    </row>
    <row r="403">
      <c r="F403" s="22">
        <f>IF($A403="","",IF($B403="","EKSİK","TAM"))</f>
        <v/>
      </c>
    </row>
    <row r="404">
      <c r="F404" s="22">
        <f>IF($A404="","",IF($B404="","EKSİK","TAM"))</f>
        <v/>
      </c>
    </row>
    <row r="405">
      <c r="F405" s="22">
        <f>IF($A405="","",IF($B405="","EKSİK","TAM"))</f>
        <v/>
      </c>
    </row>
    <row r="406">
      <c r="F406" s="22">
        <f>IF($A406="","",IF($B406="","EKSİK","TAM"))</f>
        <v/>
      </c>
    </row>
    <row r="407">
      <c r="F407" s="22">
        <f>IF($A407="","",IF($B407="","EKSİK","TAM"))</f>
        <v/>
      </c>
    </row>
    <row r="408">
      <c r="F408" s="22">
        <f>IF($A408="","",IF($B408="","EKSİK","TAM"))</f>
        <v/>
      </c>
    </row>
    <row r="409">
      <c r="F409" s="22">
        <f>IF($A409="","",IF($B409="","EKSİK","TAM"))</f>
        <v/>
      </c>
    </row>
    <row r="410">
      <c r="F410" s="22">
        <f>IF($A410="","",IF($B410="","EKSİK","TAM"))</f>
        <v/>
      </c>
    </row>
    <row r="411">
      <c r="F411" s="22">
        <f>IF($A411="","",IF($B411="","EKSİK","TAM"))</f>
        <v/>
      </c>
    </row>
    <row r="412">
      <c r="F412" s="22">
        <f>IF($A412="","",IF($B412="","EKSİK","TAM"))</f>
        <v/>
      </c>
    </row>
    <row r="413">
      <c r="F413" s="22">
        <f>IF($A413="","",IF($B413="","EKSİK","TAM"))</f>
        <v/>
      </c>
    </row>
    <row r="414">
      <c r="F414" s="22">
        <f>IF($A414="","",IF($B414="","EKSİK","TAM"))</f>
        <v/>
      </c>
    </row>
    <row r="415">
      <c r="F415" s="22">
        <f>IF($A415="","",IF($B415="","EKSİK","TAM"))</f>
        <v/>
      </c>
    </row>
    <row r="416">
      <c r="F416" s="22">
        <f>IF($A416="","",IF($B416="","EKSİK","TAM"))</f>
        <v/>
      </c>
    </row>
    <row r="417">
      <c r="F417" s="22">
        <f>IF($A417="","",IF($B417="","EKSİK","TAM"))</f>
        <v/>
      </c>
    </row>
    <row r="418">
      <c r="F418" s="22">
        <f>IF($A418="","",IF($B418="","EKSİK","TAM"))</f>
        <v/>
      </c>
    </row>
    <row r="419">
      <c r="F419" s="22">
        <f>IF($A419="","",IF($B419="","EKSİK","TAM"))</f>
        <v/>
      </c>
    </row>
    <row r="420">
      <c r="F420" s="22">
        <f>IF($A420="","",IF($B420="","EKSİK","TAM"))</f>
        <v/>
      </c>
    </row>
    <row r="421">
      <c r="F421" s="22">
        <f>IF($A421="","",IF($B421="","EKSİK","TAM"))</f>
        <v/>
      </c>
    </row>
    <row r="422">
      <c r="F422" s="22">
        <f>IF($A422="","",IF($B422="","EKSİK","TAM"))</f>
        <v/>
      </c>
    </row>
    <row r="423">
      <c r="F423" s="22">
        <f>IF($A423="","",IF($B423="","EKSİK","TAM"))</f>
        <v/>
      </c>
    </row>
    <row r="424">
      <c r="F424" s="22">
        <f>IF($A424="","",IF($B424="","EKSİK","TAM"))</f>
        <v/>
      </c>
    </row>
    <row r="425">
      <c r="F425" s="22">
        <f>IF($A425="","",IF($B425="","EKSİK","TAM"))</f>
        <v/>
      </c>
    </row>
    <row r="426">
      <c r="F426" s="22">
        <f>IF($A426="","",IF($B426="","EKSİK","TAM"))</f>
        <v/>
      </c>
    </row>
    <row r="427">
      <c r="F427" s="22">
        <f>IF($A427="","",IF($B427="","EKSİK","TAM"))</f>
        <v/>
      </c>
    </row>
    <row r="428">
      <c r="F428" s="22">
        <f>IF($A428="","",IF($B428="","EKSİK","TAM"))</f>
        <v/>
      </c>
    </row>
    <row r="429">
      <c r="F429" s="22">
        <f>IF($A429="","",IF($B429="","EKSİK","TAM"))</f>
        <v/>
      </c>
    </row>
    <row r="430">
      <c r="F430" s="22">
        <f>IF($A430="","",IF($B430="","EKSİK","TAM"))</f>
        <v/>
      </c>
    </row>
    <row r="431">
      <c r="F431" s="22">
        <f>IF($A431="","",IF($B431="","EKSİK","TAM"))</f>
        <v/>
      </c>
    </row>
    <row r="432">
      <c r="F432" s="22">
        <f>IF($A432="","",IF($B432="","EKSİK","TAM"))</f>
        <v/>
      </c>
    </row>
    <row r="433">
      <c r="F433" s="22">
        <f>IF($A433="","",IF($B433="","EKSİK","TAM"))</f>
        <v/>
      </c>
    </row>
    <row r="434">
      <c r="F434" s="22">
        <f>IF($A434="","",IF($B434="","EKSİK","TAM"))</f>
        <v/>
      </c>
    </row>
    <row r="435">
      <c r="F435" s="22">
        <f>IF($A435="","",IF($B435="","EKSİK","TAM"))</f>
        <v/>
      </c>
    </row>
    <row r="436">
      <c r="F436" s="22">
        <f>IF($A436="","",IF($B436="","EKSİK","TAM"))</f>
        <v/>
      </c>
    </row>
    <row r="437">
      <c r="F437" s="22">
        <f>IF($A437="","",IF($B437="","EKSİK","TAM"))</f>
        <v/>
      </c>
    </row>
    <row r="438">
      <c r="F438" s="22">
        <f>IF($A438="","",IF($B438="","EKSİK","TAM"))</f>
        <v/>
      </c>
    </row>
    <row r="439">
      <c r="F439" s="22">
        <f>IF($A439="","",IF($B439="","EKSİK","TAM"))</f>
        <v/>
      </c>
    </row>
    <row r="440">
      <c r="F440" s="22">
        <f>IF($A440="","",IF($B440="","EKSİK","TAM"))</f>
        <v/>
      </c>
    </row>
    <row r="441">
      <c r="F441" s="22">
        <f>IF($A441="","",IF($B441="","EKSİK","TAM"))</f>
        <v/>
      </c>
    </row>
    <row r="442">
      <c r="F442" s="22">
        <f>IF($A442="","",IF($B442="","EKSİK","TAM"))</f>
        <v/>
      </c>
    </row>
    <row r="443">
      <c r="F443" s="22">
        <f>IF($A443="","",IF($B443="","EKSİK","TAM"))</f>
        <v/>
      </c>
    </row>
    <row r="444">
      <c r="F444" s="22">
        <f>IF($A444="","",IF($B444="","EKSİK","TAM"))</f>
        <v/>
      </c>
    </row>
    <row r="445">
      <c r="F445" s="22">
        <f>IF($A445="","",IF($B445="","EKSİK","TAM"))</f>
        <v/>
      </c>
    </row>
    <row r="446">
      <c r="F446" s="22">
        <f>IF($A446="","",IF($B446="","EKSİK","TAM"))</f>
        <v/>
      </c>
    </row>
    <row r="447">
      <c r="F447" s="22">
        <f>IF($A447="","",IF($B447="","EKSİK","TAM"))</f>
        <v/>
      </c>
    </row>
    <row r="448">
      <c r="F448" s="22">
        <f>IF($A448="","",IF($B448="","EKSİK","TAM"))</f>
        <v/>
      </c>
    </row>
    <row r="449">
      <c r="F449" s="22">
        <f>IF($A449="","",IF($B449="","EKSİK","TAM"))</f>
        <v/>
      </c>
    </row>
    <row r="450">
      <c r="F450" s="22">
        <f>IF($A450="","",IF($B450="","EKSİK","TAM"))</f>
        <v/>
      </c>
    </row>
    <row r="451">
      <c r="F451" s="22">
        <f>IF($A451="","",IF($B451="","EKSİK","TAM"))</f>
        <v/>
      </c>
    </row>
    <row r="452">
      <c r="F452" s="22">
        <f>IF($A452="","",IF($B452="","EKSİK","TAM"))</f>
        <v/>
      </c>
    </row>
    <row r="453">
      <c r="F453" s="22">
        <f>IF($A453="","",IF($B453="","EKSİK","TAM"))</f>
        <v/>
      </c>
    </row>
    <row r="454">
      <c r="F454" s="22">
        <f>IF($A454="","",IF($B454="","EKSİK","TAM"))</f>
        <v/>
      </c>
    </row>
    <row r="455">
      <c r="F455" s="22">
        <f>IF($A455="","",IF($B455="","EKSİK","TAM"))</f>
        <v/>
      </c>
    </row>
    <row r="456">
      <c r="F456" s="22">
        <f>IF($A456="","",IF($B456="","EKSİK","TAM"))</f>
        <v/>
      </c>
    </row>
    <row r="457">
      <c r="F457" s="22">
        <f>IF($A457="","",IF($B457="","EKSİK","TAM"))</f>
        <v/>
      </c>
    </row>
    <row r="458">
      <c r="F458" s="22">
        <f>IF($A458="","",IF($B458="","EKSİK","TAM"))</f>
        <v/>
      </c>
    </row>
    <row r="459">
      <c r="F459" s="22">
        <f>IF($A459="","",IF($B459="","EKSİK","TAM"))</f>
        <v/>
      </c>
    </row>
    <row r="460">
      <c r="F460" s="22">
        <f>IF($A460="","",IF($B460="","EKSİK","TAM"))</f>
        <v/>
      </c>
    </row>
    <row r="461">
      <c r="F461" s="22">
        <f>IF($A461="","",IF($B461="","EKSİK","TAM"))</f>
        <v/>
      </c>
    </row>
    <row r="462">
      <c r="F462" s="22">
        <f>IF($A462="","",IF($B462="","EKSİK","TAM"))</f>
        <v/>
      </c>
    </row>
    <row r="463">
      <c r="F463" s="22">
        <f>IF($A463="","",IF($B463="","EKSİK","TAM"))</f>
        <v/>
      </c>
    </row>
    <row r="464">
      <c r="F464" s="22">
        <f>IF($A464="","",IF($B464="","EKSİK","TAM"))</f>
        <v/>
      </c>
    </row>
    <row r="465">
      <c r="F465" s="22">
        <f>IF($A465="","",IF($B465="","EKSİK","TAM"))</f>
        <v/>
      </c>
    </row>
    <row r="466">
      <c r="F466" s="22">
        <f>IF($A466="","",IF($B466="","EKSİK","TAM"))</f>
        <v/>
      </c>
    </row>
    <row r="467">
      <c r="F467" s="22">
        <f>IF($A467="","",IF($B467="","EKSİK","TAM"))</f>
        <v/>
      </c>
    </row>
    <row r="468">
      <c r="F468" s="22">
        <f>IF($A468="","",IF($B468="","EKSİK","TAM"))</f>
        <v/>
      </c>
    </row>
    <row r="469">
      <c r="F469" s="22">
        <f>IF($A469="","",IF($B469="","EKSİK","TAM"))</f>
        <v/>
      </c>
    </row>
    <row r="470">
      <c r="F470" s="22">
        <f>IF($A470="","",IF($B470="","EKSİK","TAM"))</f>
        <v/>
      </c>
    </row>
    <row r="471">
      <c r="F471" s="22">
        <f>IF($A471="","",IF($B471="","EKSİK","TAM"))</f>
        <v/>
      </c>
    </row>
    <row r="472">
      <c r="F472" s="22">
        <f>IF($A472="","",IF($B472="","EKSİK","TAM"))</f>
        <v/>
      </c>
    </row>
    <row r="473">
      <c r="F473" s="22">
        <f>IF($A473="","",IF($B473="","EKSİK","TAM"))</f>
        <v/>
      </c>
    </row>
    <row r="474">
      <c r="F474" s="22">
        <f>IF($A474="","",IF($B474="","EKSİK","TAM"))</f>
        <v/>
      </c>
    </row>
    <row r="475">
      <c r="F475" s="22">
        <f>IF($A475="","",IF($B475="","EKSİK","TAM"))</f>
        <v/>
      </c>
    </row>
    <row r="476">
      <c r="F476" s="22">
        <f>IF($A476="","",IF($B476="","EKSİK","TAM"))</f>
        <v/>
      </c>
    </row>
    <row r="477">
      <c r="F477" s="22">
        <f>IF($A477="","",IF($B477="","EKSİK","TAM"))</f>
        <v/>
      </c>
    </row>
    <row r="478">
      <c r="F478" s="22">
        <f>IF($A478="","",IF($B478="","EKSİK","TAM"))</f>
        <v/>
      </c>
    </row>
    <row r="479">
      <c r="F479" s="22">
        <f>IF($A479="","",IF($B479="","EKSİK","TAM"))</f>
        <v/>
      </c>
    </row>
    <row r="480">
      <c r="F480" s="22">
        <f>IF($A480="","",IF($B480="","EKSİK","TAM"))</f>
        <v/>
      </c>
    </row>
    <row r="481">
      <c r="F481" s="22">
        <f>IF($A481="","",IF($B481="","EKSİK","TAM"))</f>
        <v/>
      </c>
    </row>
    <row r="482">
      <c r="F482" s="22">
        <f>IF($A482="","",IF($B482="","EKSİK","TAM"))</f>
        <v/>
      </c>
    </row>
    <row r="483">
      <c r="F483" s="22">
        <f>IF($A483="","",IF($B483="","EKSİK","TAM"))</f>
        <v/>
      </c>
    </row>
    <row r="484">
      <c r="F484" s="22">
        <f>IF($A484="","",IF($B484="","EKSİK","TAM"))</f>
        <v/>
      </c>
    </row>
    <row r="485">
      <c r="F485" s="22">
        <f>IF($A485="","",IF($B485="","EKSİK","TAM"))</f>
        <v/>
      </c>
    </row>
    <row r="486">
      <c r="F486" s="22">
        <f>IF($A486="","",IF($B486="","EKSİK","TAM"))</f>
        <v/>
      </c>
    </row>
    <row r="487">
      <c r="F487" s="22">
        <f>IF($A487="","",IF($B487="","EKSİK","TAM"))</f>
        <v/>
      </c>
    </row>
    <row r="488">
      <c r="F488" s="22">
        <f>IF($A488="","",IF($B488="","EKSİK","TAM"))</f>
        <v/>
      </c>
    </row>
    <row r="489">
      <c r="F489" s="22">
        <f>IF($A489="","",IF($B489="","EKSİK","TAM"))</f>
        <v/>
      </c>
    </row>
    <row r="490">
      <c r="F490" s="22">
        <f>IF($A490="","",IF($B490="","EKSİK","TAM"))</f>
        <v/>
      </c>
    </row>
    <row r="491">
      <c r="F491" s="22">
        <f>IF($A491="","",IF($B491="","EKSİK","TAM"))</f>
        <v/>
      </c>
    </row>
    <row r="492">
      <c r="F492" s="22">
        <f>IF($A492="","",IF($B492="","EKSİK","TAM"))</f>
        <v/>
      </c>
    </row>
    <row r="493">
      <c r="F493" s="22">
        <f>IF($A493="","",IF($B493="","EKSİK","TAM"))</f>
        <v/>
      </c>
    </row>
    <row r="494">
      <c r="F494" s="22">
        <f>IF($A494="","",IF($B494="","EKSİK","TAM"))</f>
        <v/>
      </c>
    </row>
    <row r="495">
      <c r="F495" s="22">
        <f>IF($A495="","",IF($B495="","EKSİK","TAM"))</f>
        <v/>
      </c>
    </row>
    <row r="496">
      <c r="F496" s="22">
        <f>IF($A496="","",IF($B496="","EKSİK","TAM"))</f>
        <v/>
      </c>
    </row>
    <row r="497">
      <c r="F497" s="22">
        <f>IF($A497="","",IF($B497="","EKSİK","TAM"))</f>
        <v/>
      </c>
    </row>
    <row r="498">
      <c r="F498" s="22">
        <f>IF($A498="","",IF($B498="","EKSİK","TAM"))</f>
        <v/>
      </c>
    </row>
    <row r="499">
      <c r="F499" s="22">
        <f>IF($A499="","",IF($B499="","EKSİK","TAM"))</f>
        <v/>
      </c>
    </row>
    <row r="500">
      <c r="F500" s="22">
        <f>IF($A500="","",IF($B500="","EKSİK","TAM"))</f>
        <v/>
      </c>
    </row>
    <row r="501">
      <c r="F501" s="22">
        <f>IF($A501="","",IF($B501="","EKSİK","TAM"))</f>
        <v/>
      </c>
    </row>
    <row r="502">
      <c r="F502" s="22">
        <f>IF($A502="","",IF($B502="","EKSİK","TAM"))</f>
        <v/>
      </c>
    </row>
    <row r="503">
      <c r="F503" s="22">
        <f>IF($A503="","",IF($B503="","EKSİK","TAM"))</f>
        <v/>
      </c>
    </row>
    <row r="504">
      <c r="F504" s="22">
        <f>IF($A504="","",IF($B504="","EKSİK","TAM"))</f>
        <v/>
      </c>
    </row>
    <row r="505">
      <c r="F505" s="22">
        <f>IF($A505="","",IF($B505="","EKSİK","TAM"))</f>
        <v/>
      </c>
    </row>
    <row r="506">
      <c r="F506" s="22">
        <f>IF($A506="","",IF($B506="","EKSİK","TAM"))</f>
        <v/>
      </c>
    </row>
    <row r="507">
      <c r="F507" s="22">
        <f>IF($A507="","",IF($B507="","EKSİK","TAM"))</f>
        <v/>
      </c>
    </row>
    <row r="508">
      <c r="F508" s="22">
        <f>IF($A508="","",IF($B508="","EKSİK","TAM"))</f>
        <v/>
      </c>
    </row>
    <row r="509">
      <c r="F509" s="22">
        <f>IF($A509="","",IF($B509="","EKSİK","TAM"))</f>
        <v/>
      </c>
    </row>
    <row r="510">
      <c r="F510" s="22">
        <f>IF($A510="","",IF($B510="","EKSİK","TAM"))</f>
        <v/>
      </c>
    </row>
    <row r="511">
      <c r="F511" s="22">
        <f>IF($A511="","",IF($B511="","EKSİK","TAM"))</f>
        <v/>
      </c>
    </row>
    <row r="512">
      <c r="F512" s="22">
        <f>IF($A512="","",IF($B512="","EKSİK","TAM"))</f>
        <v/>
      </c>
    </row>
    <row r="513">
      <c r="F513" s="22">
        <f>IF($A513="","",IF($B513="","EKSİK","TAM"))</f>
        <v/>
      </c>
    </row>
    <row r="514">
      <c r="F514" s="22">
        <f>IF($A514="","",IF($B514="","EKSİK","TAM"))</f>
        <v/>
      </c>
    </row>
    <row r="515">
      <c r="F515" s="22">
        <f>IF($A515="","",IF($B515="","EKSİK","TAM"))</f>
        <v/>
      </c>
    </row>
    <row r="516">
      <c r="F516" s="22">
        <f>IF($A516="","",IF($B516="","EKSİK","TAM"))</f>
        <v/>
      </c>
    </row>
    <row r="517">
      <c r="F517" s="22">
        <f>IF($A517="","",IF($B517="","EKSİK","TAM"))</f>
        <v/>
      </c>
    </row>
    <row r="518">
      <c r="F518" s="22">
        <f>IF($A518="","",IF($B518="","EKSİK","TAM"))</f>
        <v/>
      </c>
    </row>
    <row r="519">
      <c r="F519" s="22">
        <f>IF($A519="","",IF($B519="","EKSİK","TAM"))</f>
        <v/>
      </c>
    </row>
    <row r="520">
      <c r="F520" s="22">
        <f>IF($A520="","",IF($B520="","EKSİK","TAM"))</f>
        <v/>
      </c>
    </row>
    <row r="521">
      <c r="F521" s="22">
        <f>IF($A521="","",IF($B521="","EKSİK","TAM"))</f>
        <v/>
      </c>
    </row>
    <row r="522">
      <c r="F522" s="22">
        <f>IF($A522="","",IF($B522="","EKSİK","TAM"))</f>
        <v/>
      </c>
    </row>
    <row r="523">
      <c r="F523" s="22">
        <f>IF($A523="","",IF($B523="","EKSİK","TAM"))</f>
        <v/>
      </c>
    </row>
    <row r="524">
      <c r="F524" s="22">
        <f>IF($A524="","",IF($B524="","EKSİK","TAM"))</f>
        <v/>
      </c>
    </row>
    <row r="525">
      <c r="F525" s="22">
        <f>IF($A525="","",IF($B525="","EKSİK","TAM"))</f>
        <v/>
      </c>
    </row>
    <row r="526">
      <c r="F526" s="22">
        <f>IF($A526="","",IF($B526="","EKSİK","TAM"))</f>
        <v/>
      </c>
    </row>
    <row r="527">
      <c r="F527" s="22">
        <f>IF($A527="","",IF($B527="","EKSİK","TAM"))</f>
        <v/>
      </c>
    </row>
    <row r="528">
      <c r="F528" s="22">
        <f>IF($A528="","",IF($B528="","EKSİK","TAM"))</f>
        <v/>
      </c>
    </row>
    <row r="529">
      <c r="F529" s="22">
        <f>IF($A529="","",IF($B529="","EKSİK","TAM"))</f>
        <v/>
      </c>
    </row>
    <row r="530">
      <c r="F530" s="22">
        <f>IF($A530="","",IF($B530="","EKSİK","TAM"))</f>
        <v/>
      </c>
    </row>
    <row r="531">
      <c r="F531" s="22">
        <f>IF($A531="","",IF($B531="","EKSİK","TAM"))</f>
        <v/>
      </c>
    </row>
    <row r="532">
      <c r="F532" s="22">
        <f>IF($A532="","",IF($B532="","EKSİK","TAM"))</f>
        <v/>
      </c>
    </row>
    <row r="533">
      <c r="F533" s="22">
        <f>IF($A533="","",IF($B533="","EKSİK","TAM"))</f>
        <v/>
      </c>
    </row>
    <row r="534">
      <c r="F534" s="22">
        <f>IF($A534="","",IF($B534="","EKSİK","TAM"))</f>
        <v/>
      </c>
    </row>
    <row r="535">
      <c r="F535" s="22">
        <f>IF($A535="","",IF($B535="","EKSİK","TAM"))</f>
        <v/>
      </c>
    </row>
    <row r="536">
      <c r="F536" s="22">
        <f>IF($A536="","",IF($B536="","EKSİK","TAM"))</f>
        <v/>
      </c>
    </row>
    <row r="537">
      <c r="F537" s="22">
        <f>IF($A537="","",IF($B537="","EKSİK","TAM"))</f>
        <v/>
      </c>
    </row>
    <row r="538">
      <c r="F538" s="22">
        <f>IF($A538="","",IF($B538="","EKSİK","TAM"))</f>
        <v/>
      </c>
    </row>
    <row r="539">
      <c r="F539" s="22">
        <f>IF($A539="","",IF($B539="","EKSİK","TAM"))</f>
        <v/>
      </c>
    </row>
    <row r="540">
      <c r="F540" s="22">
        <f>IF($A540="","",IF($B540="","EKSİK","TAM"))</f>
        <v/>
      </c>
    </row>
    <row r="541">
      <c r="F541" s="22">
        <f>IF($A541="","",IF($B541="","EKSİK","TAM"))</f>
        <v/>
      </c>
    </row>
    <row r="542">
      <c r="F542" s="22">
        <f>IF($A542="","",IF($B542="","EKSİK","TAM"))</f>
        <v/>
      </c>
    </row>
    <row r="543">
      <c r="F543" s="22">
        <f>IF($A543="","",IF($B543="","EKSİK","TAM"))</f>
        <v/>
      </c>
    </row>
    <row r="544">
      <c r="F544" s="22">
        <f>IF($A544="","",IF($B544="","EKSİK","TAM"))</f>
        <v/>
      </c>
    </row>
    <row r="545">
      <c r="F545" s="22">
        <f>IF($A545="","",IF($B545="","EKSİK","TAM"))</f>
        <v/>
      </c>
    </row>
    <row r="546">
      <c r="F546" s="22">
        <f>IF($A546="","",IF($B546="","EKSİK","TAM"))</f>
        <v/>
      </c>
    </row>
    <row r="547">
      <c r="F547" s="22">
        <f>IF($A547="","",IF($B547="","EKSİK","TAM"))</f>
        <v/>
      </c>
    </row>
    <row r="548">
      <c r="F548" s="22">
        <f>IF($A548="","",IF($B548="","EKSİK","TAM"))</f>
        <v/>
      </c>
    </row>
    <row r="549">
      <c r="F549" s="22">
        <f>IF($A549="","",IF($B549="","EKSİK","TAM"))</f>
        <v/>
      </c>
    </row>
    <row r="550">
      <c r="F550" s="22">
        <f>IF($A550="","",IF($B550="","EKSİK","TAM"))</f>
        <v/>
      </c>
    </row>
    <row r="551">
      <c r="F551" s="22">
        <f>IF($A551="","",IF($B551="","EKSİK","TAM"))</f>
        <v/>
      </c>
    </row>
    <row r="552">
      <c r="F552" s="22">
        <f>IF($A552="","",IF($B552="","EKSİK","TAM"))</f>
        <v/>
      </c>
    </row>
    <row r="553">
      <c r="F553" s="22">
        <f>IF($A553="","",IF($B553="","EKSİK","TAM"))</f>
        <v/>
      </c>
    </row>
    <row r="554">
      <c r="F554" s="22">
        <f>IF($A554="","",IF($B554="","EKSİK","TAM"))</f>
        <v/>
      </c>
    </row>
    <row r="555">
      <c r="F555" s="22">
        <f>IF($A555="","",IF($B555="","EKSİK","TAM"))</f>
        <v/>
      </c>
    </row>
    <row r="556">
      <c r="F556" s="22">
        <f>IF($A556="","",IF($B556="","EKSİK","TAM"))</f>
        <v/>
      </c>
    </row>
    <row r="557">
      <c r="F557" s="22">
        <f>IF($A557="","",IF($B557="","EKSİK","TAM"))</f>
        <v/>
      </c>
    </row>
    <row r="558">
      <c r="F558" s="22">
        <f>IF($A558="","",IF($B558="","EKSİK","TAM"))</f>
        <v/>
      </c>
    </row>
    <row r="559">
      <c r="F559" s="22">
        <f>IF($A559="","",IF($B559="","EKSİK","TAM"))</f>
        <v/>
      </c>
    </row>
    <row r="560">
      <c r="F560" s="22">
        <f>IF($A560="","",IF($B560="","EKSİK","TAM"))</f>
        <v/>
      </c>
    </row>
    <row r="561">
      <c r="F561" s="22">
        <f>IF($A561="","",IF($B561="","EKSİK","TAM"))</f>
        <v/>
      </c>
    </row>
    <row r="562">
      <c r="F562" s="22">
        <f>IF($A562="","",IF($B562="","EKSİK","TAM"))</f>
        <v/>
      </c>
    </row>
    <row r="563">
      <c r="F563" s="22">
        <f>IF($A563="","",IF($B563="","EKSİK","TAM"))</f>
        <v/>
      </c>
    </row>
    <row r="564">
      <c r="F564" s="22">
        <f>IF($A564="","",IF($B564="","EKSİK","TAM"))</f>
        <v/>
      </c>
    </row>
    <row r="565">
      <c r="F565" s="22">
        <f>IF($A565="","",IF($B565="","EKSİK","TAM"))</f>
        <v/>
      </c>
    </row>
    <row r="566">
      <c r="F566" s="22">
        <f>IF($A566="","",IF($B566="","EKSİK","TAM"))</f>
        <v/>
      </c>
    </row>
    <row r="567">
      <c r="F567" s="22">
        <f>IF($A567="","",IF($B567="","EKSİK","TAM"))</f>
        <v/>
      </c>
    </row>
    <row r="568">
      <c r="F568" s="22">
        <f>IF($A568="","",IF($B568="","EKSİK","TAM"))</f>
        <v/>
      </c>
    </row>
    <row r="569">
      <c r="F569" s="22">
        <f>IF($A569="","",IF($B569="","EKSİK","TAM"))</f>
        <v/>
      </c>
    </row>
    <row r="570">
      <c r="F570" s="22">
        <f>IF($A570="","",IF($B570="","EKSİK","TAM"))</f>
        <v/>
      </c>
    </row>
    <row r="571">
      <c r="F571" s="22">
        <f>IF($A571="","",IF($B571="","EKSİK","TAM"))</f>
        <v/>
      </c>
    </row>
    <row r="572">
      <c r="F572" s="22">
        <f>IF($A572="","",IF($B572="","EKSİK","TAM"))</f>
        <v/>
      </c>
    </row>
    <row r="573">
      <c r="F573" s="22">
        <f>IF($A573="","",IF($B573="","EKSİK","TAM"))</f>
        <v/>
      </c>
    </row>
    <row r="574">
      <c r="F574" s="22">
        <f>IF($A574="","",IF($B574="","EKSİK","TAM"))</f>
        <v/>
      </c>
    </row>
    <row r="575">
      <c r="F575" s="22">
        <f>IF($A575="","",IF($B575="","EKSİK","TAM"))</f>
        <v/>
      </c>
    </row>
    <row r="576">
      <c r="F576" s="22">
        <f>IF($A576="","",IF($B576="","EKSİK","TAM"))</f>
        <v/>
      </c>
    </row>
    <row r="577">
      <c r="F577" s="22">
        <f>IF($A577="","",IF($B577="","EKSİK","TAM"))</f>
        <v/>
      </c>
    </row>
    <row r="578">
      <c r="F578" s="22">
        <f>IF($A578="","",IF($B578="","EKSİK","TAM"))</f>
        <v/>
      </c>
    </row>
    <row r="579">
      <c r="F579" s="22">
        <f>IF($A579="","",IF($B579="","EKSİK","TAM"))</f>
        <v/>
      </c>
    </row>
    <row r="580">
      <c r="F580" s="22">
        <f>IF($A580="","",IF($B580="","EKSİK","TAM"))</f>
        <v/>
      </c>
    </row>
    <row r="581">
      <c r="F581" s="22">
        <f>IF($A581="","",IF($B581="","EKSİK","TAM"))</f>
        <v/>
      </c>
    </row>
    <row r="582">
      <c r="F582" s="22">
        <f>IF($A582="","",IF($B582="","EKSİK","TAM"))</f>
        <v/>
      </c>
    </row>
    <row r="583">
      <c r="F583" s="22">
        <f>IF($A583="","",IF($B583="","EKSİK","TAM"))</f>
        <v/>
      </c>
    </row>
    <row r="584">
      <c r="F584" s="22">
        <f>IF($A584="","",IF($B584="","EKSİK","TAM"))</f>
        <v/>
      </c>
    </row>
    <row r="585">
      <c r="F585" s="22">
        <f>IF($A585="","",IF($B585="","EKSİK","TAM"))</f>
        <v/>
      </c>
    </row>
    <row r="586">
      <c r="F586" s="22">
        <f>IF($A586="","",IF($B586="","EKSİK","TAM"))</f>
        <v/>
      </c>
    </row>
    <row r="587">
      <c r="F587" s="22">
        <f>IF($A587="","",IF($B587="","EKSİK","TAM"))</f>
        <v/>
      </c>
    </row>
    <row r="588">
      <c r="F588" s="22">
        <f>IF($A588="","",IF($B588="","EKSİK","TAM"))</f>
        <v/>
      </c>
    </row>
    <row r="589">
      <c r="F589" s="22">
        <f>IF($A589="","",IF($B589="","EKSİK","TAM"))</f>
        <v/>
      </c>
    </row>
    <row r="590">
      <c r="F590" s="22">
        <f>IF($A590="","",IF($B590="","EKSİK","TAM"))</f>
        <v/>
      </c>
    </row>
    <row r="591">
      <c r="F591" s="22">
        <f>IF($A591="","",IF($B591="","EKSİK","TAM"))</f>
        <v/>
      </c>
    </row>
    <row r="592">
      <c r="F592" s="22">
        <f>IF($A592="","",IF($B592="","EKSİK","TAM"))</f>
        <v/>
      </c>
    </row>
    <row r="593">
      <c r="F593" s="22">
        <f>IF($A593="","",IF($B593="","EKSİK","TAM"))</f>
        <v/>
      </c>
    </row>
    <row r="594">
      <c r="F594" s="22">
        <f>IF($A594="","",IF($B594="","EKSİK","TAM"))</f>
        <v/>
      </c>
    </row>
    <row r="595">
      <c r="F595" s="22">
        <f>IF($A595="","",IF($B595="","EKSİK","TAM"))</f>
        <v/>
      </c>
    </row>
    <row r="596">
      <c r="F596" s="22">
        <f>IF($A596="","",IF($B596="","EKSİK","TAM"))</f>
        <v/>
      </c>
    </row>
    <row r="597">
      <c r="F597" s="22">
        <f>IF($A597="","",IF($B597="","EKSİK","TAM"))</f>
        <v/>
      </c>
    </row>
    <row r="598">
      <c r="F598" s="22">
        <f>IF($A598="","",IF($B598="","EKSİK","TAM"))</f>
        <v/>
      </c>
    </row>
    <row r="599">
      <c r="F599" s="22">
        <f>IF($A599="","",IF($B599="","EKSİK","TAM"))</f>
        <v/>
      </c>
    </row>
    <row r="600">
      <c r="F600" s="22">
        <f>IF($A600="","",IF($B600="","EKSİK","TAM"))</f>
        <v/>
      </c>
    </row>
    <row r="601">
      <c r="F601" s="22">
        <f>IF($A601="","",IF($B601="","EKSİK","TAM"))</f>
        <v/>
      </c>
    </row>
    <row r="602">
      <c r="F602" s="22">
        <f>IF($A602="","",IF($B602="","EKSİK","TAM"))</f>
        <v/>
      </c>
    </row>
    <row r="603">
      <c r="F603" s="22">
        <f>IF($A603="","",IF($B603="","EKSİK","TAM"))</f>
        <v/>
      </c>
    </row>
    <row r="604">
      <c r="F604" s="22">
        <f>IF($A604="","",IF($B604="","EKSİK","TAM"))</f>
        <v/>
      </c>
    </row>
    <row r="605">
      <c r="F605" s="22">
        <f>IF($A605="","",IF($B605="","EKSİK","TAM"))</f>
        <v/>
      </c>
    </row>
    <row r="606">
      <c r="F606" s="22">
        <f>IF($A606="","",IF($B606="","EKSİK","TAM"))</f>
        <v/>
      </c>
    </row>
    <row r="607">
      <c r="F607" s="22">
        <f>IF($A607="","",IF($B607="","EKSİK","TAM"))</f>
        <v/>
      </c>
    </row>
    <row r="608">
      <c r="F608" s="22">
        <f>IF($A608="","",IF($B608="","EKSİK","TAM"))</f>
        <v/>
      </c>
    </row>
    <row r="609">
      <c r="F609" s="22">
        <f>IF($A609="","",IF($B609="","EKSİK","TAM"))</f>
        <v/>
      </c>
    </row>
    <row r="610">
      <c r="F610" s="22">
        <f>IF($A610="","",IF($B610="","EKSİK","TAM"))</f>
        <v/>
      </c>
    </row>
    <row r="611">
      <c r="F611" s="22">
        <f>IF($A611="","",IF($B611="","EKSİK","TAM"))</f>
        <v/>
      </c>
    </row>
    <row r="612">
      <c r="F612" s="22">
        <f>IF($A612="","",IF($B612="","EKSİK","TAM"))</f>
        <v/>
      </c>
    </row>
    <row r="613">
      <c r="F613" s="22">
        <f>IF($A613="","",IF($B613="","EKSİK","TAM"))</f>
        <v/>
      </c>
    </row>
    <row r="614">
      <c r="F614" s="22">
        <f>IF($A614="","",IF($B614="","EKSİK","TAM"))</f>
        <v/>
      </c>
    </row>
    <row r="615">
      <c r="F615" s="22">
        <f>IF($A615="","",IF($B615="","EKSİK","TAM"))</f>
        <v/>
      </c>
    </row>
    <row r="616">
      <c r="F616" s="22">
        <f>IF($A616="","",IF($B616="","EKSİK","TAM"))</f>
        <v/>
      </c>
    </row>
    <row r="617">
      <c r="F617" s="22">
        <f>IF($A617="","",IF($B617="","EKSİK","TAM"))</f>
        <v/>
      </c>
    </row>
    <row r="618">
      <c r="F618" s="22">
        <f>IF($A618="","",IF($B618="","EKSİK","TAM"))</f>
        <v/>
      </c>
    </row>
    <row r="619">
      <c r="F619" s="22">
        <f>IF($A619="","",IF($B619="","EKSİK","TAM"))</f>
        <v/>
      </c>
    </row>
    <row r="620">
      <c r="F620" s="22">
        <f>IF($A620="","",IF($B620="","EKSİK","TAM"))</f>
        <v/>
      </c>
    </row>
    <row r="621">
      <c r="F621" s="22">
        <f>IF($A621="","",IF($B621="","EKSİK","TAM"))</f>
        <v/>
      </c>
    </row>
    <row r="622">
      <c r="F622" s="22">
        <f>IF($A622="","",IF($B622="","EKSİK","TAM"))</f>
        <v/>
      </c>
    </row>
    <row r="623">
      <c r="F623" s="22">
        <f>IF($A623="","",IF($B623="","EKSİK","TAM"))</f>
        <v/>
      </c>
    </row>
    <row r="624">
      <c r="F624" s="22">
        <f>IF($A624="","",IF($B624="","EKSİK","TAM"))</f>
        <v/>
      </c>
    </row>
    <row r="625">
      <c r="F625" s="22">
        <f>IF($A625="","",IF($B625="","EKSİK","TAM"))</f>
        <v/>
      </c>
    </row>
    <row r="626">
      <c r="F626" s="22">
        <f>IF($A626="","",IF($B626="","EKSİK","TAM"))</f>
        <v/>
      </c>
    </row>
    <row r="627">
      <c r="F627" s="22">
        <f>IF($A627="","",IF($B627="","EKSİK","TAM"))</f>
        <v/>
      </c>
    </row>
    <row r="628">
      <c r="F628" s="22">
        <f>IF($A628="","",IF($B628="","EKSİK","TAM"))</f>
        <v/>
      </c>
    </row>
    <row r="629">
      <c r="F629" s="22">
        <f>IF($A629="","",IF($B629="","EKSİK","TAM"))</f>
        <v/>
      </c>
    </row>
    <row r="630">
      <c r="F630" s="22">
        <f>IF($A630="","",IF($B630="","EKSİK","TAM"))</f>
        <v/>
      </c>
    </row>
    <row r="631">
      <c r="F631" s="22">
        <f>IF($A631="","",IF($B631="","EKSİK","TAM"))</f>
        <v/>
      </c>
    </row>
    <row r="632">
      <c r="F632" s="22">
        <f>IF($A632="","",IF($B632="","EKSİK","TAM"))</f>
        <v/>
      </c>
    </row>
    <row r="633">
      <c r="F633" s="22">
        <f>IF($A633="","",IF($B633="","EKSİK","TAM"))</f>
        <v/>
      </c>
    </row>
    <row r="634">
      <c r="F634" s="22">
        <f>IF($A634="","",IF($B634="","EKSİK","TAM"))</f>
        <v/>
      </c>
    </row>
    <row r="635">
      <c r="F635" s="22">
        <f>IF($A635="","",IF($B635="","EKSİK","TAM"))</f>
        <v/>
      </c>
    </row>
    <row r="636">
      <c r="F636" s="22">
        <f>IF($A636="","",IF($B636="","EKSİK","TAM"))</f>
        <v/>
      </c>
    </row>
    <row r="637">
      <c r="F637" s="22">
        <f>IF($A637="","",IF($B637="","EKSİK","TAM"))</f>
        <v/>
      </c>
    </row>
    <row r="638">
      <c r="F638" s="22">
        <f>IF($A638="","",IF($B638="","EKSİK","TAM"))</f>
        <v/>
      </c>
    </row>
    <row r="639">
      <c r="F639" s="22">
        <f>IF($A639="","",IF($B639="","EKSİK","TAM"))</f>
        <v/>
      </c>
    </row>
    <row r="640">
      <c r="F640" s="22">
        <f>IF($A640="","",IF($B640="","EKSİK","TAM"))</f>
        <v/>
      </c>
    </row>
    <row r="641">
      <c r="F641" s="22">
        <f>IF($A641="","",IF($B641="","EKSİK","TAM"))</f>
        <v/>
      </c>
    </row>
    <row r="642">
      <c r="F642" s="22">
        <f>IF($A642="","",IF($B642="","EKSİK","TAM"))</f>
        <v/>
      </c>
    </row>
    <row r="643">
      <c r="F643" s="22">
        <f>IF($A643="","",IF($B643="","EKSİK","TAM"))</f>
        <v/>
      </c>
    </row>
    <row r="644">
      <c r="F644" s="22">
        <f>IF($A644="","",IF($B644="","EKSİK","TAM"))</f>
        <v/>
      </c>
    </row>
    <row r="645">
      <c r="F645" s="22">
        <f>IF($A645="","",IF($B645="","EKSİK","TAM"))</f>
        <v/>
      </c>
    </row>
    <row r="646">
      <c r="F646" s="22">
        <f>IF($A646="","",IF($B646="","EKSİK","TAM"))</f>
        <v/>
      </c>
    </row>
    <row r="647">
      <c r="F647" s="22">
        <f>IF($A647="","",IF($B647="","EKSİK","TAM"))</f>
        <v/>
      </c>
    </row>
    <row r="648">
      <c r="F648" s="22">
        <f>IF($A648="","",IF($B648="","EKSİK","TAM"))</f>
        <v/>
      </c>
    </row>
    <row r="649">
      <c r="F649" s="22">
        <f>IF($A649="","",IF($B649="","EKSİK","TAM"))</f>
        <v/>
      </c>
    </row>
    <row r="650">
      <c r="F650" s="22">
        <f>IF($A650="","",IF($B650="","EKSİK","TAM"))</f>
        <v/>
      </c>
    </row>
    <row r="651">
      <c r="F651" s="22">
        <f>IF($A651="","",IF($B651="","EKSİK","TAM"))</f>
        <v/>
      </c>
    </row>
    <row r="652">
      <c r="F652" s="22">
        <f>IF($A652="","",IF($B652="","EKSİK","TAM"))</f>
        <v/>
      </c>
    </row>
    <row r="653">
      <c r="F653" s="22">
        <f>IF($A653="","",IF($B653="","EKSİK","TAM"))</f>
        <v/>
      </c>
    </row>
    <row r="654">
      <c r="F654" s="22">
        <f>IF($A654="","",IF($B654="","EKSİK","TAM"))</f>
        <v/>
      </c>
    </row>
    <row r="655">
      <c r="F655" s="22">
        <f>IF($A655="","",IF($B655="","EKSİK","TAM"))</f>
        <v/>
      </c>
    </row>
    <row r="656">
      <c r="F656" s="22">
        <f>IF($A656="","",IF($B656="","EKSİK","TAM"))</f>
        <v/>
      </c>
    </row>
    <row r="657">
      <c r="F657" s="22">
        <f>IF($A657="","",IF($B657="","EKSİK","TAM"))</f>
        <v/>
      </c>
    </row>
    <row r="658">
      <c r="F658" s="22">
        <f>IF($A658="","",IF($B658="","EKSİK","TAM"))</f>
        <v/>
      </c>
    </row>
    <row r="659">
      <c r="F659" s="22">
        <f>IF($A659="","",IF($B659="","EKSİK","TAM"))</f>
        <v/>
      </c>
    </row>
    <row r="660">
      <c r="F660" s="22">
        <f>IF($A660="","",IF($B660="","EKSİK","TAM"))</f>
        <v/>
      </c>
    </row>
    <row r="661">
      <c r="F661" s="22">
        <f>IF($A661="","",IF($B661="","EKSİK","TAM"))</f>
        <v/>
      </c>
    </row>
    <row r="662">
      <c r="F662" s="22">
        <f>IF($A662="","",IF($B662="","EKSİK","TAM"))</f>
        <v/>
      </c>
    </row>
    <row r="663">
      <c r="F663" s="22">
        <f>IF($A663="","",IF($B663="","EKSİK","TAM"))</f>
        <v/>
      </c>
    </row>
    <row r="664">
      <c r="F664" s="22">
        <f>IF($A664="","",IF($B664="","EKSİK","TAM"))</f>
        <v/>
      </c>
    </row>
    <row r="665">
      <c r="F665" s="22">
        <f>IF($A665="","",IF($B665="","EKSİK","TAM"))</f>
        <v/>
      </c>
    </row>
    <row r="666">
      <c r="F666" s="22">
        <f>IF($A666="","",IF($B666="","EKSİK","TAM"))</f>
        <v/>
      </c>
    </row>
    <row r="667">
      <c r="F667" s="22">
        <f>IF($A667="","",IF($B667="","EKSİK","TAM"))</f>
        <v/>
      </c>
    </row>
    <row r="668">
      <c r="F668" s="22">
        <f>IF($A668="","",IF($B668="","EKSİK","TAM"))</f>
        <v/>
      </c>
    </row>
    <row r="669">
      <c r="F669" s="22">
        <f>IF($A669="","",IF($B669="","EKSİK","TAM"))</f>
        <v/>
      </c>
    </row>
    <row r="670">
      <c r="F670" s="22">
        <f>IF($A670="","",IF($B670="","EKSİK","TAM"))</f>
        <v/>
      </c>
    </row>
    <row r="671">
      <c r="F671" s="22">
        <f>IF($A671="","",IF($B671="","EKSİK","TAM"))</f>
        <v/>
      </c>
    </row>
    <row r="672">
      <c r="F672" s="22">
        <f>IF($A672="","",IF($B672="","EKSİK","TAM"))</f>
        <v/>
      </c>
    </row>
    <row r="673">
      <c r="F673" s="22">
        <f>IF($A673="","",IF($B673="","EKSİK","TAM"))</f>
        <v/>
      </c>
    </row>
    <row r="674">
      <c r="F674" s="22">
        <f>IF($A674="","",IF($B674="","EKSİK","TAM"))</f>
        <v/>
      </c>
    </row>
    <row r="675">
      <c r="F675" s="22">
        <f>IF($A675="","",IF($B675="","EKSİK","TAM"))</f>
        <v/>
      </c>
    </row>
    <row r="676">
      <c r="F676" s="22">
        <f>IF($A676="","",IF($B676="","EKSİK","TAM"))</f>
        <v/>
      </c>
    </row>
    <row r="677">
      <c r="F677" s="22">
        <f>IF($A677="","",IF($B677="","EKSİK","TAM"))</f>
        <v/>
      </c>
    </row>
    <row r="678">
      <c r="F678" s="22">
        <f>IF($A678="","",IF($B678="","EKSİK","TAM"))</f>
        <v/>
      </c>
    </row>
    <row r="679">
      <c r="F679" s="22">
        <f>IF($A679="","",IF($B679="","EKSİK","TAM"))</f>
        <v/>
      </c>
    </row>
    <row r="680">
      <c r="F680" s="22">
        <f>IF($A680="","",IF($B680="","EKSİK","TAM"))</f>
        <v/>
      </c>
    </row>
    <row r="681">
      <c r="F681" s="22">
        <f>IF($A681="","",IF($B681="","EKSİK","TAM"))</f>
        <v/>
      </c>
    </row>
    <row r="682">
      <c r="F682" s="22">
        <f>IF($A682="","",IF($B682="","EKSİK","TAM"))</f>
        <v/>
      </c>
    </row>
    <row r="683">
      <c r="F683" s="22">
        <f>IF($A683="","",IF($B683="","EKSİK","TAM"))</f>
        <v/>
      </c>
    </row>
    <row r="684">
      <c r="F684" s="22">
        <f>IF($A684="","",IF($B684="","EKSİK","TAM"))</f>
        <v/>
      </c>
    </row>
    <row r="685">
      <c r="F685" s="22">
        <f>IF($A685="","",IF($B685="","EKSİK","TAM"))</f>
        <v/>
      </c>
    </row>
    <row r="686">
      <c r="F686" s="22">
        <f>IF($A686="","",IF($B686="","EKSİK","TAM"))</f>
        <v/>
      </c>
    </row>
    <row r="687">
      <c r="F687" s="22">
        <f>IF($A687="","",IF($B687="","EKSİK","TAM"))</f>
        <v/>
      </c>
    </row>
    <row r="688">
      <c r="F688" s="22">
        <f>IF($A688="","",IF($B688="","EKSİK","TAM"))</f>
        <v/>
      </c>
    </row>
    <row r="689">
      <c r="F689" s="22">
        <f>IF($A689="","",IF($B689="","EKSİK","TAM"))</f>
        <v/>
      </c>
    </row>
    <row r="690">
      <c r="F690" s="22">
        <f>IF($A690="","",IF($B690="","EKSİK","TAM"))</f>
        <v/>
      </c>
    </row>
    <row r="691">
      <c r="F691" s="22">
        <f>IF($A691="","",IF($B691="","EKSİK","TAM"))</f>
        <v/>
      </c>
    </row>
    <row r="692">
      <c r="F692" s="22">
        <f>IF($A692="","",IF($B692="","EKSİK","TAM"))</f>
        <v/>
      </c>
    </row>
    <row r="693">
      <c r="F693" s="22">
        <f>IF($A693="","",IF($B693="","EKSİK","TAM"))</f>
        <v/>
      </c>
    </row>
    <row r="694">
      <c r="F694" s="22">
        <f>IF($A694="","",IF($B694="","EKSİK","TAM"))</f>
        <v/>
      </c>
    </row>
    <row r="695">
      <c r="F695" s="22">
        <f>IF($A695="","",IF($B695="","EKSİK","TAM"))</f>
        <v/>
      </c>
    </row>
    <row r="696">
      <c r="F696" s="22">
        <f>IF($A696="","",IF($B696="","EKSİK","TAM"))</f>
        <v/>
      </c>
    </row>
    <row r="697">
      <c r="F697" s="22">
        <f>IF($A697="","",IF($B697="","EKSİK","TAM"))</f>
        <v/>
      </c>
    </row>
    <row r="698">
      <c r="F698" s="22">
        <f>IF($A698="","",IF($B698="","EKSİK","TAM"))</f>
        <v/>
      </c>
    </row>
    <row r="699">
      <c r="F699" s="22">
        <f>IF($A699="","",IF($B699="","EKSİK","TAM"))</f>
        <v/>
      </c>
    </row>
    <row r="700">
      <c r="F700" s="22">
        <f>IF($A700="","",IF($B700="","EKSİK","TAM"))</f>
        <v/>
      </c>
    </row>
    <row r="701">
      <c r="F701" s="22">
        <f>IF($A701="","",IF($B701="","EKSİK","TAM"))</f>
        <v/>
      </c>
    </row>
    <row r="702">
      <c r="F702" s="22">
        <f>IF($A702="","",IF($B702="","EKSİK","TAM"))</f>
        <v/>
      </c>
    </row>
    <row r="703">
      <c r="F703" s="22">
        <f>IF($A703="","",IF($B703="","EKSİK","TAM"))</f>
        <v/>
      </c>
    </row>
    <row r="704">
      <c r="F704" s="22">
        <f>IF($A704="","",IF($B704="","EKSİK","TAM"))</f>
        <v/>
      </c>
    </row>
    <row r="705">
      <c r="F705" s="22">
        <f>IF($A705="","",IF($B705="","EKSİK","TAM"))</f>
        <v/>
      </c>
    </row>
    <row r="706">
      <c r="F706" s="22">
        <f>IF($A706="","",IF($B706="","EKSİK","TAM"))</f>
        <v/>
      </c>
    </row>
    <row r="707">
      <c r="F707" s="22">
        <f>IF($A707="","",IF($B707="","EKSİK","TAM"))</f>
        <v/>
      </c>
    </row>
    <row r="708">
      <c r="F708" s="22">
        <f>IF($A708="","",IF($B708="","EKSİK","TAM"))</f>
        <v/>
      </c>
    </row>
    <row r="709">
      <c r="F709" s="22">
        <f>IF($A709="","",IF($B709="","EKSİK","TAM"))</f>
        <v/>
      </c>
    </row>
    <row r="710">
      <c r="F710" s="22">
        <f>IF($A710="","",IF($B710="","EKSİK","TAM"))</f>
        <v/>
      </c>
    </row>
    <row r="711">
      <c r="F711" s="22">
        <f>IF($A711="","",IF($B711="","EKSİK","TAM"))</f>
        <v/>
      </c>
    </row>
    <row r="712">
      <c r="F712" s="22">
        <f>IF($A712="","",IF($B712="","EKSİK","TAM"))</f>
        <v/>
      </c>
    </row>
    <row r="713">
      <c r="F713" s="22">
        <f>IF($A713="","",IF($B713="","EKSİK","TAM"))</f>
        <v/>
      </c>
    </row>
    <row r="714">
      <c r="F714" s="22">
        <f>IF($A714="","",IF($B714="","EKSİK","TAM"))</f>
        <v/>
      </c>
    </row>
    <row r="715">
      <c r="F715" s="22">
        <f>IF($A715="","",IF($B715="","EKSİK","TAM"))</f>
        <v/>
      </c>
    </row>
    <row r="716">
      <c r="F716" s="22">
        <f>IF($A716="","",IF($B716="","EKSİK","TAM"))</f>
        <v/>
      </c>
    </row>
    <row r="717">
      <c r="F717" s="22">
        <f>IF($A717="","",IF($B717="","EKSİK","TAM"))</f>
        <v/>
      </c>
    </row>
    <row r="718">
      <c r="F718" s="22">
        <f>IF($A718="","",IF($B718="","EKSİK","TAM"))</f>
        <v/>
      </c>
    </row>
    <row r="719">
      <c r="F719" s="22">
        <f>IF($A719="","",IF($B719="","EKSİK","TAM"))</f>
        <v/>
      </c>
    </row>
    <row r="720">
      <c r="F720" s="22">
        <f>IF($A720="","",IF($B720="","EKSİK","TAM"))</f>
        <v/>
      </c>
    </row>
    <row r="721">
      <c r="F721" s="22">
        <f>IF($A721="","",IF($B721="","EKSİK","TAM"))</f>
        <v/>
      </c>
    </row>
    <row r="722">
      <c r="F722" s="22">
        <f>IF($A722="","",IF($B722="","EKSİK","TAM"))</f>
        <v/>
      </c>
    </row>
    <row r="723">
      <c r="F723" s="22">
        <f>IF($A723="","",IF($B723="","EKSİK","TAM"))</f>
        <v/>
      </c>
    </row>
    <row r="724">
      <c r="F724" s="22">
        <f>IF($A724="","",IF($B724="","EKSİK","TAM"))</f>
        <v/>
      </c>
    </row>
    <row r="725">
      <c r="F725" s="22">
        <f>IF($A725="","",IF($B725="","EKSİK","TAM"))</f>
        <v/>
      </c>
    </row>
    <row r="726">
      <c r="F726" s="22">
        <f>IF($A726="","",IF($B726="","EKSİK","TAM"))</f>
        <v/>
      </c>
    </row>
    <row r="727">
      <c r="F727" s="22">
        <f>IF($A727="","",IF($B727="","EKSİK","TAM"))</f>
        <v/>
      </c>
    </row>
    <row r="728">
      <c r="F728" s="22">
        <f>IF($A728="","",IF($B728="","EKSİK","TAM"))</f>
        <v/>
      </c>
    </row>
    <row r="729">
      <c r="F729" s="22">
        <f>IF($A729="","",IF($B729="","EKSİK","TAM"))</f>
        <v/>
      </c>
    </row>
    <row r="730">
      <c r="F730" s="22">
        <f>IF($A730="","",IF($B730="","EKSİK","TAM"))</f>
        <v/>
      </c>
    </row>
    <row r="731">
      <c r="F731" s="22">
        <f>IF($A731="","",IF($B731="","EKSİK","TAM"))</f>
        <v/>
      </c>
    </row>
    <row r="732">
      <c r="F732" s="22">
        <f>IF($A732="","",IF($B732="","EKSİK","TAM"))</f>
        <v/>
      </c>
    </row>
    <row r="733">
      <c r="F733" s="22">
        <f>IF($A733="","",IF($B733="","EKSİK","TAM"))</f>
        <v/>
      </c>
    </row>
    <row r="734">
      <c r="F734" s="22">
        <f>IF($A734="","",IF($B734="","EKSİK","TAM"))</f>
        <v/>
      </c>
    </row>
    <row r="735">
      <c r="F735" s="22">
        <f>IF($A735="","",IF($B735="","EKSİK","TAM"))</f>
        <v/>
      </c>
    </row>
    <row r="736">
      <c r="F736" s="22">
        <f>IF($A736="","",IF($B736="","EKSİK","TAM"))</f>
        <v/>
      </c>
    </row>
    <row r="737">
      <c r="F737" s="22">
        <f>IF($A737="","",IF($B737="","EKSİK","TAM"))</f>
        <v/>
      </c>
    </row>
    <row r="738">
      <c r="F738" s="22">
        <f>IF($A738="","",IF($B738="","EKSİK","TAM"))</f>
        <v/>
      </c>
    </row>
    <row r="739">
      <c r="F739" s="22">
        <f>IF($A739="","",IF($B739="","EKSİK","TAM"))</f>
        <v/>
      </c>
    </row>
    <row r="740">
      <c r="F740" s="22">
        <f>IF($A740="","",IF($B740="","EKSİK","TAM"))</f>
        <v/>
      </c>
    </row>
    <row r="741">
      <c r="F741" s="22">
        <f>IF($A741="","",IF($B741="","EKSİK","TAM"))</f>
        <v/>
      </c>
    </row>
    <row r="742">
      <c r="F742" s="22">
        <f>IF($A742="","",IF($B742="","EKSİK","TAM"))</f>
        <v/>
      </c>
    </row>
    <row r="743">
      <c r="F743" s="22">
        <f>IF($A743="","",IF($B743="","EKSİK","TAM"))</f>
        <v/>
      </c>
    </row>
    <row r="744">
      <c r="F744" s="22">
        <f>IF($A744="","",IF($B744="","EKSİK","TAM"))</f>
        <v/>
      </c>
    </row>
    <row r="745">
      <c r="F745" s="22">
        <f>IF($A745="","",IF($B745="","EKSİK","TAM"))</f>
        <v/>
      </c>
    </row>
    <row r="746">
      <c r="F746" s="22">
        <f>IF($A746="","",IF($B746="","EKSİK","TAM"))</f>
        <v/>
      </c>
    </row>
    <row r="747">
      <c r="F747" s="22">
        <f>IF($A747="","",IF($B747="","EKSİK","TAM"))</f>
        <v/>
      </c>
    </row>
    <row r="748">
      <c r="F748" s="22">
        <f>IF($A748="","",IF($B748="","EKSİK","TAM"))</f>
        <v/>
      </c>
    </row>
    <row r="749">
      <c r="F749" s="22">
        <f>IF($A749="","",IF($B749="","EKSİK","TAM"))</f>
        <v/>
      </c>
    </row>
    <row r="750">
      <c r="F750" s="22">
        <f>IF($A750="","",IF($B750="","EKSİK","TAM"))</f>
        <v/>
      </c>
    </row>
    <row r="751">
      <c r="F751" s="22">
        <f>IF($A751="","",IF($B751="","EKSİK","TAM"))</f>
        <v/>
      </c>
    </row>
    <row r="752">
      <c r="F752" s="22">
        <f>IF($A752="","",IF($B752="","EKSİK","TAM"))</f>
        <v/>
      </c>
    </row>
    <row r="753">
      <c r="F753" s="22">
        <f>IF($A753="","",IF($B753="","EKSİK","TAM"))</f>
        <v/>
      </c>
    </row>
    <row r="754">
      <c r="F754" s="22">
        <f>IF($A754="","",IF($B754="","EKSİK","TAM"))</f>
        <v/>
      </c>
    </row>
    <row r="755">
      <c r="F755" s="22">
        <f>IF($A755="","",IF($B755="","EKSİK","TAM"))</f>
        <v/>
      </c>
    </row>
    <row r="756">
      <c r="F756" s="22">
        <f>IF($A756="","",IF($B756="","EKSİK","TAM"))</f>
        <v/>
      </c>
    </row>
    <row r="757">
      <c r="F757" s="22">
        <f>IF($A757="","",IF($B757="","EKSİK","TAM"))</f>
        <v/>
      </c>
    </row>
    <row r="758">
      <c r="F758" s="22">
        <f>IF($A758="","",IF($B758="","EKSİK","TAM"))</f>
        <v/>
      </c>
    </row>
    <row r="759">
      <c r="F759" s="22">
        <f>IF($A759="","",IF($B759="","EKSİK","TAM"))</f>
        <v/>
      </c>
    </row>
    <row r="760">
      <c r="F760" s="22">
        <f>IF($A760="","",IF($B760="","EKSİK","TAM"))</f>
        <v/>
      </c>
    </row>
    <row r="761">
      <c r="F761" s="22">
        <f>IF($A761="","",IF($B761="","EKSİK","TAM"))</f>
        <v/>
      </c>
    </row>
    <row r="762">
      <c r="F762" s="22">
        <f>IF($A762="","",IF($B762="","EKSİK","TAM"))</f>
        <v/>
      </c>
    </row>
    <row r="763">
      <c r="F763" s="22">
        <f>IF($A763="","",IF($B763="","EKSİK","TAM"))</f>
        <v/>
      </c>
    </row>
    <row r="764">
      <c r="F764" s="22">
        <f>IF($A764="","",IF($B764="","EKSİK","TAM"))</f>
        <v/>
      </c>
    </row>
    <row r="765">
      <c r="F765" s="22">
        <f>IF($A765="","",IF($B765="","EKSİK","TAM"))</f>
        <v/>
      </c>
    </row>
    <row r="766">
      <c r="F766" s="22">
        <f>IF($A766="","",IF($B766="","EKSİK","TAM"))</f>
        <v/>
      </c>
    </row>
    <row r="767">
      <c r="F767" s="22">
        <f>IF($A767="","",IF($B767="","EKSİK","TAM"))</f>
        <v/>
      </c>
    </row>
    <row r="768">
      <c r="F768" s="22">
        <f>IF($A768="","",IF($B768="","EKSİK","TAM"))</f>
        <v/>
      </c>
    </row>
    <row r="769">
      <c r="F769" s="22">
        <f>IF($A769="","",IF($B769="","EKSİK","TAM"))</f>
        <v/>
      </c>
    </row>
    <row r="770">
      <c r="F770" s="22">
        <f>IF($A770="","",IF($B770="","EKSİK","TAM"))</f>
        <v/>
      </c>
    </row>
    <row r="771">
      <c r="F771" s="22">
        <f>IF($A771="","",IF($B771="","EKSİK","TAM"))</f>
        <v/>
      </c>
    </row>
    <row r="772">
      <c r="F772" s="22">
        <f>IF($A772="","",IF($B772="","EKSİK","TAM"))</f>
        <v/>
      </c>
    </row>
    <row r="773">
      <c r="F773" s="22">
        <f>IF($A773="","",IF($B773="","EKSİK","TAM"))</f>
        <v/>
      </c>
    </row>
    <row r="774">
      <c r="F774" s="22">
        <f>IF($A774="","",IF($B774="","EKSİK","TAM"))</f>
        <v/>
      </c>
    </row>
    <row r="775">
      <c r="F775" s="22">
        <f>IF($A775="","",IF($B775="","EKSİK","TAM"))</f>
        <v/>
      </c>
    </row>
    <row r="776">
      <c r="F776" s="22">
        <f>IF($A776="","",IF($B776="","EKSİK","TAM"))</f>
        <v/>
      </c>
    </row>
    <row r="777">
      <c r="F777" s="22">
        <f>IF($A777="","",IF($B777="","EKSİK","TAM"))</f>
        <v/>
      </c>
    </row>
    <row r="778">
      <c r="F778" s="22">
        <f>IF($A778="","",IF($B778="","EKSİK","TAM"))</f>
        <v/>
      </c>
    </row>
    <row r="779">
      <c r="F779" s="22">
        <f>IF($A779="","",IF($B779="","EKSİK","TAM"))</f>
        <v/>
      </c>
    </row>
    <row r="780">
      <c r="F780" s="22">
        <f>IF($A780="","",IF($B780="","EKSİK","TAM"))</f>
        <v/>
      </c>
    </row>
    <row r="781">
      <c r="F781" s="22">
        <f>IF($A781="","",IF($B781="","EKSİK","TAM"))</f>
        <v/>
      </c>
    </row>
    <row r="782">
      <c r="F782" s="22">
        <f>IF($A782="","",IF($B782="","EKSİK","TAM"))</f>
        <v/>
      </c>
    </row>
    <row r="783">
      <c r="F783" s="22">
        <f>IF($A783="","",IF($B783="","EKSİK","TAM"))</f>
        <v/>
      </c>
    </row>
    <row r="784">
      <c r="F784" s="22">
        <f>IF($A784="","",IF($B784="","EKSİK","TAM"))</f>
        <v/>
      </c>
    </row>
    <row r="785">
      <c r="F785" s="22">
        <f>IF($A785="","",IF($B785="","EKSİK","TAM"))</f>
        <v/>
      </c>
    </row>
    <row r="786">
      <c r="F786" s="22">
        <f>IF($A786="","",IF($B786="","EKSİK","TAM"))</f>
        <v/>
      </c>
    </row>
    <row r="787">
      <c r="F787" s="22">
        <f>IF($A787="","",IF($B787="","EKSİK","TAM"))</f>
        <v/>
      </c>
    </row>
    <row r="788">
      <c r="F788" s="22">
        <f>IF($A788="","",IF($B788="","EKSİK","TAM"))</f>
        <v/>
      </c>
    </row>
    <row r="789">
      <c r="F789" s="22">
        <f>IF($A789="","",IF($B789="","EKSİK","TAM"))</f>
        <v/>
      </c>
    </row>
    <row r="790">
      <c r="F790" s="22">
        <f>IF($A790="","",IF($B790="","EKSİK","TAM"))</f>
        <v/>
      </c>
    </row>
    <row r="791">
      <c r="F791" s="22">
        <f>IF($A791="","",IF($B791="","EKSİK","TAM"))</f>
        <v/>
      </c>
    </row>
    <row r="792">
      <c r="F792" s="22">
        <f>IF($A792="","",IF($B792="","EKSİK","TAM"))</f>
        <v/>
      </c>
    </row>
    <row r="793">
      <c r="F793" s="22">
        <f>IF($A793="","",IF($B793="","EKSİK","TAM"))</f>
        <v/>
      </c>
    </row>
    <row r="794">
      <c r="F794" s="22">
        <f>IF($A794="","",IF($B794="","EKSİK","TAM"))</f>
        <v/>
      </c>
    </row>
    <row r="795">
      <c r="F795" s="22">
        <f>IF($A795="","",IF($B795="","EKSİK","TAM"))</f>
        <v/>
      </c>
    </row>
    <row r="796">
      <c r="F796" s="22">
        <f>IF($A796="","",IF($B796="","EKSİK","TAM"))</f>
        <v/>
      </c>
    </row>
    <row r="797">
      <c r="F797" s="22">
        <f>IF($A797="","",IF($B797="","EKSİK","TAM"))</f>
        <v/>
      </c>
    </row>
    <row r="798">
      <c r="F798" s="22">
        <f>IF($A798="","",IF($B798="","EKSİK","TAM"))</f>
        <v/>
      </c>
    </row>
    <row r="799">
      <c r="F799" s="22">
        <f>IF($A799="","",IF($B799="","EKSİK","TAM"))</f>
        <v/>
      </c>
    </row>
    <row r="800">
      <c r="F800" s="22">
        <f>IF($A800="","",IF($B800="","EKSİK","TAM"))</f>
        <v/>
      </c>
    </row>
    <row r="801">
      <c r="F801" s="22">
        <f>IF($A801="","",IF($B801="","EKSİK","TAM"))</f>
        <v/>
      </c>
    </row>
    <row r="802">
      <c r="F802" s="22">
        <f>IF($A802="","",IF($B802="","EKSİK","TAM"))</f>
        <v/>
      </c>
    </row>
    <row r="803">
      <c r="F803" s="22">
        <f>IF($A803="","",IF($B803="","EKSİK","TAM"))</f>
        <v/>
      </c>
    </row>
    <row r="804">
      <c r="F804" s="22">
        <f>IF($A804="","",IF($B804="","EKSİK","TAM"))</f>
        <v/>
      </c>
    </row>
    <row r="805">
      <c r="F805" s="22">
        <f>IF($A805="","",IF($B805="","EKSİK","TAM"))</f>
        <v/>
      </c>
    </row>
    <row r="806">
      <c r="F806" s="22">
        <f>IF($A806="","",IF($B806="","EKSİK","TAM"))</f>
        <v/>
      </c>
    </row>
    <row r="807">
      <c r="F807" s="22">
        <f>IF($A807="","",IF($B807="","EKSİK","TAM"))</f>
        <v/>
      </c>
    </row>
    <row r="808">
      <c r="F808" s="22">
        <f>IF($A808="","",IF($B808="","EKSİK","TAM"))</f>
        <v/>
      </c>
    </row>
    <row r="809">
      <c r="F809" s="22">
        <f>IF($A809="","",IF($B809="","EKSİK","TAM"))</f>
        <v/>
      </c>
    </row>
    <row r="810">
      <c r="F810" s="22">
        <f>IF($A810="","",IF($B810="","EKSİK","TAM"))</f>
        <v/>
      </c>
    </row>
    <row r="811">
      <c r="F811" s="22">
        <f>IF($A811="","",IF($B811="","EKSİK","TAM"))</f>
        <v/>
      </c>
    </row>
    <row r="812">
      <c r="F812" s="22">
        <f>IF($A812="","",IF($B812="","EKSİK","TAM"))</f>
        <v/>
      </c>
    </row>
    <row r="813">
      <c r="F813" s="22">
        <f>IF($A813="","",IF($B813="","EKSİK","TAM"))</f>
        <v/>
      </c>
    </row>
    <row r="814">
      <c r="F814" s="22">
        <f>IF($A814="","",IF($B814="","EKSİK","TAM"))</f>
        <v/>
      </c>
    </row>
    <row r="815">
      <c r="F815" s="22">
        <f>IF($A815="","",IF($B815="","EKSİK","TAM"))</f>
        <v/>
      </c>
    </row>
    <row r="816">
      <c r="F816" s="22">
        <f>IF($A816="","",IF($B816="","EKSİK","TAM"))</f>
        <v/>
      </c>
    </row>
    <row r="817">
      <c r="F817" s="22">
        <f>IF($A817="","",IF($B817="","EKSİK","TAM"))</f>
        <v/>
      </c>
    </row>
    <row r="818">
      <c r="F818" s="22">
        <f>IF($A818="","",IF($B818="","EKSİK","TAM"))</f>
        <v/>
      </c>
    </row>
    <row r="819">
      <c r="F819" s="22">
        <f>IF($A819="","",IF($B819="","EKSİK","TAM"))</f>
        <v/>
      </c>
    </row>
    <row r="820">
      <c r="F820" s="22">
        <f>IF($A820="","",IF($B820="","EKSİK","TAM"))</f>
        <v/>
      </c>
    </row>
    <row r="821">
      <c r="F821" s="22">
        <f>IF($A821="","",IF($B821="","EKSİK","TAM"))</f>
        <v/>
      </c>
    </row>
    <row r="822">
      <c r="F822" s="22">
        <f>IF($A822="","",IF($B822="","EKSİK","TAM"))</f>
        <v/>
      </c>
    </row>
    <row r="823">
      <c r="F823" s="22">
        <f>IF($A823="","",IF($B823="","EKSİK","TAM"))</f>
        <v/>
      </c>
    </row>
    <row r="824">
      <c r="F824" s="22">
        <f>IF($A824="","",IF($B824="","EKSİK","TAM"))</f>
        <v/>
      </c>
    </row>
    <row r="825">
      <c r="F825" s="22">
        <f>IF($A825="","",IF($B825="","EKSİK","TAM"))</f>
        <v/>
      </c>
    </row>
    <row r="826">
      <c r="F826" s="22">
        <f>IF($A826="","",IF($B826="","EKSİK","TAM"))</f>
        <v/>
      </c>
    </row>
    <row r="827">
      <c r="F827" s="22">
        <f>IF($A827="","",IF($B827="","EKSİK","TAM"))</f>
        <v/>
      </c>
    </row>
    <row r="828">
      <c r="F828" s="22">
        <f>IF($A828="","",IF($B828="","EKSİK","TAM"))</f>
        <v/>
      </c>
    </row>
    <row r="829">
      <c r="F829" s="22">
        <f>IF($A829="","",IF($B829="","EKSİK","TAM"))</f>
        <v/>
      </c>
    </row>
    <row r="830">
      <c r="F830" s="22">
        <f>IF($A830="","",IF($B830="","EKSİK","TAM"))</f>
        <v/>
      </c>
    </row>
    <row r="831">
      <c r="F831" s="22">
        <f>IF($A831="","",IF($B831="","EKSİK","TAM"))</f>
        <v/>
      </c>
    </row>
    <row r="832">
      <c r="F832" s="22">
        <f>IF($A832="","",IF($B832="","EKSİK","TAM"))</f>
        <v/>
      </c>
    </row>
    <row r="833">
      <c r="F833" s="22">
        <f>IF($A833="","",IF($B833="","EKSİK","TAM"))</f>
        <v/>
      </c>
    </row>
    <row r="834">
      <c r="F834" s="22">
        <f>IF($A834="","",IF($B834="","EKSİK","TAM"))</f>
        <v/>
      </c>
    </row>
    <row r="835">
      <c r="F835" s="22">
        <f>IF($A835="","",IF($B835="","EKSİK","TAM"))</f>
        <v/>
      </c>
    </row>
    <row r="836">
      <c r="F836" s="22">
        <f>IF($A836="","",IF($B836="","EKSİK","TAM"))</f>
        <v/>
      </c>
    </row>
    <row r="837">
      <c r="F837" s="22">
        <f>IF($A837="","",IF($B837="","EKSİK","TAM"))</f>
        <v/>
      </c>
    </row>
    <row r="838">
      <c r="F838" s="22">
        <f>IF($A838="","",IF($B838="","EKSİK","TAM"))</f>
        <v/>
      </c>
    </row>
    <row r="839">
      <c r="F839" s="22">
        <f>IF($A839="","",IF($B839="","EKSİK","TAM"))</f>
        <v/>
      </c>
    </row>
    <row r="840">
      <c r="F840" s="22">
        <f>IF($A840="","",IF($B840="","EKSİK","TAM"))</f>
        <v/>
      </c>
    </row>
    <row r="841">
      <c r="F841" s="22">
        <f>IF($A841="","",IF($B841="","EKSİK","TAM"))</f>
        <v/>
      </c>
    </row>
    <row r="842">
      <c r="F842" s="22">
        <f>IF($A842="","",IF($B842="","EKSİK","TAM"))</f>
        <v/>
      </c>
    </row>
    <row r="843">
      <c r="F843" s="22">
        <f>IF($A843="","",IF($B843="","EKSİK","TAM"))</f>
        <v/>
      </c>
    </row>
    <row r="844">
      <c r="F844" s="22">
        <f>IF($A844="","",IF($B844="","EKSİK","TAM"))</f>
        <v/>
      </c>
    </row>
    <row r="845">
      <c r="F845" s="22">
        <f>IF($A845="","",IF($B845="","EKSİK","TAM"))</f>
        <v/>
      </c>
    </row>
    <row r="846">
      <c r="F846" s="22">
        <f>IF($A846="","",IF($B846="","EKSİK","TAM"))</f>
        <v/>
      </c>
    </row>
    <row r="847">
      <c r="F847" s="22">
        <f>IF($A847="","",IF($B847="","EKSİK","TAM"))</f>
        <v/>
      </c>
    </row>
    <row r="848">
      <c r="F848" s="22">
        <f>IF($A848="","",IF($B848="","EKSİK","TAM"))</f>
        <v/>
      </c>
    </row>
    <row r="849">
      <c r="F849" s="22">
        <f>IF($A849="","",IF($B849="","EKSİK","TAM"))</f>
        <v/>
      </c>
    </row>
    <row r="850">
      <c r="F850" s="22">
        <f>IF($A850="","",IF($B850="","EKSİK","TAM"))</f>
        <v/>
      </c>
    </row>
    <row r="851">
      <c r="F851" s="22">
        <f>IF($A851="","",IF($B851="","EKSİK","TAM"))</f>
        <v/>
      </c>
    </row>
    <row r="852">
      <c r="F852" s="22">
        <f>IF($A852="","",IF($B852="","EKSİK","TAM"))</f>
        <v/>
      </c>
    </row>
    <row r="853">
      <c r="F853" s="22">
        <f>IF($A853="","",IF($B853="","EKSİK","TAM"))</f>
        <v/>
      </c>
    </row>
    <row r="854">
      <c r="F854" s="22">
        <f>IF($A854="","",IF($B854="","EKSİK","TAM"))</f>
        <v/>
      </c>
    </row>
    <row r="855">
      <c r="F855" s="22">
        <f>IF($A855="","",IF($B855="","EKSİK","TAM"))</f>
        <v/>
      </c>
    </row>
    <row r="856">
      <c r="F856" s="22">
        <f>IF($A856="","",IF($B856="","EKSİK","TAM"))</f>
        <v/>
      </c>
    </row>
    <row r="857">
      <c r="F857" s="22">
        <f>IF($A857="","",IF($B857="","EKSİK","TAM"))</f>
        <v/>
      </c>
    </row>
    <row r="858">
      <c r="F858" s="22">
        <f>IF($A858="","",IF($B858="","EKSİK","TAM"))</f>
        <v/>
      </c>
    </row>
    <row r="859">
      <c r="F859" s="22">
        <f>IF($A859="","",IF($B859="","EKSİK","TAM"))</f>
        <v/>
      </c>
    </row>
    <row r="860">
      <c r="F860" s="22">
        <f>IF($A860="","",IF($B860="","EKSİK","TAM"))</f>
        <v/>
      </c>
    </row>
    <row r="861">
      <c r="F861" s="22">
        <f>IF($A861="","",IF($B861="","EKSİK","TAM"))</f>
        <v/>
      </c>
    </row>
    <row r="862">
      <c r="F862" s="22">
        <f>IF($A862="","",IF($B862="","EKSİK","TAM"))</f>
        <v/>
      </c>
    </row>
    <row r="863">
      <c r="F863" s="22">
        <f>IF($A863="","",IF($B863="","EKSİK","TAM"))</f>
        <v/>
      </c>
    </row>
    <row r="864">
      <c r="F864" s="22">
        <f>IF($A864="","",IF($B864="","EKSİK","TAM"))</f>
        <v/>
      </c>
    </row>
    <row r="865">
      <c r="F865" s="22">
        <f>IF($A865="","",IF($B865="","EKSİK","TAM"))</f>
        <v/>
      </c>
    </row>
    <row r="866">
      <c r="F866" s="22">
        <f>IF($A866="","",IF($B866="","EKSİK","TAM"))</f>
        <v/>
      </c>
    </row>
    <row r="867">
      <c r="F867" s="22">
        <f>IF($A867="","",IF($B867="","EKSİK","TAM"))</f>
        <v/>
      </c>
    </row>
    <row r="868">
      <c r="F868" s="22">
        <f>IF($A868="","",IF($B868="","EKSİK","TAM"))</f>
        <v/>
      </c>
    </row>
    <row r="869">
      <c r="F869" s="22">
        <f>IF($A869="","",IF($B869="","EKSİK","TAM"))</f>
        <v/>
      </c>
    </row>
    <row r="870">
      <c r="F870" s="22">
        <f>IF($A870="","",IF($B870="","EKSİK","TAM"))</f>
        <v/>
      </c>
    </row>
    <row r="871">
      <c r="F871" s="22">
        <f>IF($A871="","",IF($B871="","EKSİK","TAM"))</f>
        <v/>
      </c>
    </row>
    <row r="872">
      <c r="F872" s="22">
        <f>IF($A872="","",IF($B872="","EKSİK","TAM"))</f>
        <v/>
      </c>
    </row>
    <row r="873">
      <c r="F873" s="22">
        <f>IF($A873="","",IF($B873="","EKSİK","TAM"))</f>
        <v/>
      </c>
    </row>
    <row r="874">
      <c r="F874" s="22">
        <f>IF($A874="","",IF($B874="","EKSİK","TAM"))</f>
        <v/>
      </c>
    </row>
    <row r="875">
      <c r="F875" s="22">
        <f>IF($A875="","",IF($B875="","EKSİK","TAM"))</f>
        <v/>
      </c>
    </row>
    <row r="876">
      <c r="F876" s="22">
        <f>IF($A876="","",IF($B876="","EKSİK","TAM"))</f>
        <v/>
      </c>
    </row>
    <row r="877">
      <c r="F877" s="22">
        <f>IF($A877="","",IF($B877="","EKSİK","TAM"))</f>
        <v/>
      </c>
    </row>
    <row r="878">
      <c r="F878" s="22">
        <f>IF($A878="","",IF($B878="","EKSİK","TAM"))</f>
        <v/>
      </c>
    </row>
    <row r="879">
      <c r="F879" s="22">
        <f>IF($A879="","",IF($B879="","EKSİK","TAM"))</f>
        <v/>
      </c>
    </row>
    <row r="880">
      <c r="F880" s="22">
        <f>IF($A880="","",IF($B880="","EKSİK","TAM"))</f>
        <v/>
      </c>
    </row>
    <row r="881">
      <c r="F881" s="22">
        <f>IF($A881="","",IF($B881="","EKSİK","TAM"))</f>
        <v/>
      </c>
    </row>
    <row r="882">
      <c r="F882" s="22">
        <f>IF($A882="","",IF($B882="","EKSİK","TAM"))</f>
        <v/>
      </c>
    </row>
    <row r="883">
      <c r="F883" s="22">
        <f>IF($A883="","",IF($B883="","EKSİK","TAM"))</f>
        <v/>
      </c>
    </row>
    <row r="884">
      <c r="F884" s="22">
        <f>IF($A884="","",IF($B884="","EKSİK","TAM"))</f>
        <v/>
      </c>
    </row>
    <row r="885">
      <c r="F885" s="22">
        <f>IF($A885="","",IF($B885="","EKSİK","TAM"))</f>
        <v/>
      </c>
    </row>
    <row r="886">
      <c r="F886" s="22">
        <f>IF($A886="","",IF($B886="","EKSİK","TAM"))</f>
        <v/>
      </c>
    </row>
    <row r="887">
      <c r="F887" s="22">
        <f>IF($A887="","",IF($B887="","EKSİK","TAM"))</f>
        <v/>
      </c>
    </row>
    <row r="888">
      <c r="F888" s="22">
        <f>IF($A888="","",IF($B888="","EKSİK","TAM"))</f>
        <v/>
      </c>
    </row>
    <row r="889">
      <c r="F889" s="22">
        <f>IF($A889="","",IF($B889="","EKSİK","TAM"))</f>
        <v/>
      </c>
    </row>
    <row r="890">
      <c r="F890" s="22">
        <f>IF($A890="","",IF($B890="","EKSİK","TAM"))</f>
        <v/>
      </c>
    </row>
    <row r="891">
      <c r="F891" s="22">
        <f>IF($A891="","",IF($B891="","EKSİK","TAM"))</f>
        <v/>
      </c>
    </row>
    <row r="892">
      <c r="F892" s="22">
        <f>IF($A892="","",IF($B892="","EKSİK","TAM"))</f>
        <v/>
      </c>
    </row>
    <row r="893">
      <c r="F893" s="22">
        <f>IF($A893="","",IF($B893="","EKSİK","TAM"))</f>
        <v/>
      </c>
    </row>
    <row r="894">
      <c r="F894" s="22">
        <f>IF($A894="","",IF($B894="","EKSİK","TAM"))</f>
        <v/>
      </c>
    </row>
    <row r="895">
      <c r="F895" s="22">
        <f>IF($A895="","",IF($B895="","EKSİK","TAM"))</f>
        <v/>
      </c>
    </row>
    <row r="896">
      <c r="F896" s="22">
        <f>IF($A896="","",IF($B896="","EKSİK","TAM"))</f>
        <v/>
      </c>
    </row>
    <row r="897">
      <c r="F897" s="22">
        <f>IF($A897="","",IF($B897="","EKSİK","TAM"))</f>
        <v/>
      </c>
    </row>
    <row r="898">
      <c r="F898" s="22">
        <f>IF($A898="","",IF($B898="","EKSİK","TAM"))</f>
        <v/>
      </c>
    </row>
    <row r="899">
      <c r="F899" s="22">
        <f>IF($A899="","",IF($B899="","EKSİK","TAM"))</f>
        <v/>
      </c>
    </row>
    <row r="900">
      <c r="F900" s="22">
        <f>IF($A900="","",IF($B900="","EKSİK","TAM"))</f>
        <v/>
      </c>
    </row>
    <row r="901">
      <c r="F901" s="22">
        <f>IF($A901="","",IF($B901="","EKSİK","TAM"))</f>
        <v/>
      </c>
    </row>
    <row r="902">
      <c r="F902" s="22">
        <f>IF($A902="","",IF($B902="","EKSİK","TAM"))</f>
        <v/>
      </c>
    </row>
    <row r="903">
      <c r="F903" s="22">
        <f>IF($A903="","",IF($B903="","EKSİK","TAM"))</f>
        <v/>
      </c>
    </row>
    <row r="904">
      <c r="F904" s="22">
        <f>IF($A904="","",IF($B904="","EKSİK","TAM"))</f>
        <v/>
      </c>
    </row>
    <row r="905">
      <c r="F905" s="22">
        <f>IF($A905="","",IF($B905="","EKSİK","TAM"))</f>
        <v/>
      </c>
    </row>
    <row r="906">
      <c r="F906" s="22">
        <f>IF($A906="","",IF($B906="","EKSİK","TAM"))</f>
        <v/>
      </c>
    </row>
    <row r="907">
      <c r="F907" s="22">
        <f>IF($A907="","",IF($B907="","EKSİK","TAM"))</f>
        <v/>
      </c>
    </row>
    <row r="908">
      <c r="F908" s="22">
        <f>IF($A908="","",IF($B908="","EKSİK","TAM"))</f>
        <v/>
      </c>
    </row>
    <row r="909">
      <c r="F909" s="22">
        <f>IF($A909="","",IF($B909="","EKSİK","TAM"))</f>
        <v/>
      </c>
    </row>
    <row r="910">
      <c r="F910" s="22">
        <f>IF($A910="","",IF($B910="","EKSİK","TAM"))</f>
        <v/>
      </c>
    </row>
    <row r="911">
      <c r="F911" s="22">
        <f>IF($A911="","",IF($B911="","EKSİK","TAM"))</f>
        <v/>
      </c>
    </row>
    <row r="912">
      <c r="F912" s="22">
        <f>IF($A912="","",IF($B912="","EKSİK","TAM"))</f>
        <v/>
      </c>
    </row>
    <row r="913">
      <c r="F913" s="22">
        <f>IF($A913="","",IF($B913="","EKSİK","TAM"))</f>
        <v/>
      </c>
    </row>
    <row r="914">
      <c r="F914" s="22">
        <f>IF($A914="","",IF($B914="","EKSİK","TAM"))</f>
        <v/>
      </c>
    </row>
    <row r="915">
      <c r="F915" s="22">
        <f>IF($A915="","",IF($B915="","EKSİK","TAM"))</f>
        <v/>
      </c>
    </row>
    <row r="916">
      <c r="F916" s="22">
        <f>IF($A916="","",IF($B916="","EKSİK","TAM"))</f>
        <v/>
      </c>
    </row>
    <row r="917">
      <c r="F917" s="22">
        <f>IF($A917="","",IF($B917="","EKSİK","TAM"))</f>
        <v/>
      </c>
    </row>
    <row r="918">
      <c r="F918" s="22">
        <f>IF($A918="","",IF($B918="","EKSİK","TAM"))</f>
        <v/>
      </c>
    </row>
    <row r="919">
      <c r="F919" s="22">
        <f>IF($A919="","",IF($B919="","EKSİK","TAM"))</f>
        <v/>
      </c>
    </row>
    <row r="920">
      <c r="F920" s="22">
        <f>IF($A920="","",IF($B920="","EKSİK","TAM"))</f>
        <v/>
      </c>
    </row>
    <row r="921">
      <c r="F921" s="22">
        <f>IF($A921="","",IF($B921="","EKSİK","TAM"))</f>
        <v/>
      </c>
    </row>
    <row r="922">
      <c r="F922" s="22">
        <f>IF($A922="","",IF($B922="","EKSİK","TAM"))</f>
        <v/>
      </c>
    </row>
    <row r="923">
      <c r="F923" s="22">
        <f>IF($A923="","",IF($B923="","EKSİK","TAM"))</f>
        <v/>
      </c>
    </row>
    <row r="924">
      <c r="F924" s="22">
        <f>IF($A924="","",IF($B924="","EKSİK","TAM"))</f>
        <v/>
      </c>
    </row>
    <row r="925">
      <c r="F925" s="22">
        <f>IF($A925="","",IF($B925="","EKSİK","TAM"))</f>
        <v/>
      </c>
    </row>
    <row r="926">
      <c r="F926" s="22">
        <f>IF($A926="","",IF($B926="","EKSİK","TAM"))</f>
        <v/>
      </c>
    </row>
    <row r="927">
      <c r="F927" s="22">
        <f>IF($A927="","",IF($B927="","EKSİK","TAM"))</f>
        <v/>
      </c>
    </row>
    <row r="928">
      <c r="F928" s="22">
        <f>IF($A928="","",IF($B928="","EKSİK","TAM"))</f>
        <v/>
      </c>
    </row>
    <row r="929">
      <c r="F929" s="22">
        <f>IF($A929="","",IF($B929="","EKSİK","TAM"))</f>
        <v/>
      </c>
    </row>
    <row r="930">
      <c r="F930" s="22">
        <f>IF($A930="","",IF($B930="","EKSİK","TAM"))</f>
        <v/>
      </c>
    </row>
    <row r="931">
      <c r="F931" s="22">
        <f>IF($A931="","",IF($B931="","EKSİK","TAM"))</f>
        <v/>
      </c>
    </row>
    <row r="932">
      <c r="F932" s="22">
        <f>IF($A932="","",IF($B932="","EKSİK","TAM"))</f>
        <v/>
      </c>
    </row>
    <row r="933">
      <c r="F933" s="22">
        <f>IF($A933="","",IF($B933="","EKSİK","TAM"))</f>
        <v/>
      </c>
    </row>
    <row r="934">
      <c r="F934" s="22">
        <f>IF($A934="","",IF($B934="","EKSİK","TAM"))</f>
        <v/>
      </c>
    </row>
    <row r="935">
      <c r="F935" s="22">
        <f>IF($A935="","",IF($B935="","EKSİK","TAM"))</f>
        <v/>
      </c>
    </row>
    <row r="936">
      <c r="F936" s="22">
        <f>IF($A936="","",IF($B936="","EKSİK","TAM"))</f>
        <v/>
      </c>
    </row>
    <row r="937">
      <c r="F937" s="22">
        <f>IF($A937="","",IF($B937="","EKSİK","TAM"))</f>
        <v/>
      </c>
    </row>
    <row r="938">
      <c r="F938" s="22">
        <f>IF($A938="","",IF($B938="","EKSİK","TAM"))</f>
        <v/>
      </c>
    </row>
    <row r="939">
      <c r="F939" s="22">
        <f>IF($A939="","",IF($B939="","EKSİK","TAM"))</f>
        <v/>
      </c>
    </row>
    <row r="940">
      <c r="F940" s="22">
        <f>IF($A940="","",IF($B940="","EKSİK","TAM"))</f>
        <v/>
      </c>
    </row>
    <row r="941">
      <c r="F941" s="22">
        <f>IF($A941="","",IF($B941="","EKSİK","TAM"))</f>
        <v/>
      </c>
    </row>
    <row r="942">
      <c r="F942" s="22">
        <f>IF($A942="","",IF($B942="","EKSİK","TAM"))</f>
        <v/>
      </c>
    </row>
    <row r="943">
      <c r="F943" s="22">
        <f>IF($A943="","",IF($B943="","EKSİK","TAM"))</f>
        <v/>
      </c>
    </row>
    <row r="944">
      <c r="F944" s="22">
        <f>IF($A944="","",IF($B944="","EKSİK","TAM"))</f>
        <v/>
      </c>
    </row>
    <row r="945">
      <c r="F945" s="22">
        <f>IF($A945="","",IF($B945="","EKSİK","TAM"))</f>
        <v/>
      </c>
    </row>
    <row r="946">
      <c r="F946" s="22">
        <f>IF($A946="","",IF($B946="","EKSİK","TAM"))</f>
        <v/>
      </c>
    </row>
    <row r="947">
      <c r="F947" s="22">
        <f>IF($A947="","",IF($B947="","EKSİK","TAM"))</f>
        <v/>
      </c>
    </row>
    <row r="948">
      <c r="F948" s="22">
        <f>IF($A948="","",IF($B948="","EKSİK","TAM"))</f>
        <v/>
      </c>
    </row>
    <row r="949">
      <c r="F949" s="22">
        <f>IF($A949="","",IF($B949="","EKSİK","TAM"))</f>
        <v/>
      </c>
    </row>
    <row r="950">
      <c r="F950" s="22">
        <f>IF($A950="","",IF($B950="","EKSİK","TAM"))</f>
        <v/>
      </c>
    </row>
    <row r="951">
      <c r="F951" s="22">
        <f>IF($A951="","",IF($B951="","EKSİK","TAM"))</f>
        <v/>
      </c>
    </row>
    <row r="952">
      <c r="F952" s="22">
        <f>IF($A952="","",IF($B952="","EKSİK","TAM"))</f>
        <v/>
      </c>
    </row>
    <row r="953">
      <c r="F953" s="22">
        <f>IF($A953="","",IF($B953="","EKSİK","TAM"))</f>
        <v/>
      </c>
    </row>
    <row r="954">
      <c r="F954" s="22">
        <f>IF($A954="","",IF($B954="","EKSİK","TAM"))</f>
        <v/>
      </c>
    </row>
    <row r="955">
      <c r="F955" s="22">
        <f>IF($A955="","",IF($B955="","EKSİK","TAM"))</f>
        <v/>
      </c>
    </row>
    <row r="956">
      <c r="F956" s="22">
        <f>IF($A956="","",IF($B956="","EKSİK","TAM"))</f>
        <v/>
      </c>
    </row>
    <row r="957">
      <c r="F957" s="22">
        <f>IF($A957="","",IF($B957="","EKSİK","TAM"))</f>
        <v/>
      </c>
    </row>
    <row r="958">
      <c r="F958" s="22">
        <f>IF($A958="","",IF($B958="","EKSİK","TAM"))</f>
        <v/>
      </c>
    </row>
    <row r="959">
      <c r="F959" s="22">
        <f>IF($A959="","",IF($B959="","EKSİK","TAM"))</f>
        <v/>
      </c>
    </row>
    <row r="960">
      <c r="F960" s="22">
        <f>IF($A960="","",IF($B960="","EKSİK","TAM"))</f>
        <v/>
      </c>
    </row>
    <row r="961">
      <c r="F961" s="22">
        <f>IF($A961="","",IF($B961="","EKSİK","TAM"))</f>
        <v/>
      </c>
    </row>
    <row r="962">
      <c r="F962" s="22">
        <f>IF($A962="","",IF($B962="","EKSİK","TAM"))</f>
        <v/>
      </c>
    </row>
    <row r="963">
      <c r="F963" s="22">
        <f>IF($A963="","",IF($B963="","EKSİK","TAM"))</f>
        <v/>
      </c>
    </row>
    <row r="964">
      <c r="F964" s="22">
        <f>IF($A964="","",IF($B964="","EKSİK","TAM"))</f>
        <v/>
      </c>
    </row>
    <row r="965">
      <c r="F965" s="22">
        <f>IF($A965="","",IF($B965="","EKSİK","TAM"))</f>
        <v/>
      </c>
    </row>
    <row r="966">
      <c r="F966" s="22">
        <f>IF($A966="","",IF($B966="","EKSİK","TAM"))</f>
        <v/>
      </c>
    </row>
    <row r="967">
      <c r="F967" s="22">
        <f>IF($A967="","",IF($B967="","EKSİK","TAM"))</f>
        <v/>
      </c>
    </row>
    <row r="968">
      <c r="F968" s="22">
        <f>IF($A968="","",IF($B968="","EKSİK","TAM"))</f>
        <v/>
      </c>
    </row>
    <row r="969">
      <c r="F969" s="22">
        <f>IF($A969="","",IF($B969="","EKSİK","TAM"))</f>
        <v/>
      </c>
    </row>
    <row r="970">
      <c r="F970" s="22">
        <f>IF($A970="","",IF($B970="","EKSİK","TAM"))</f>
        <v/>
      </c>
    </row>
    <row r="971">
      <c r="F971" s="22">
        <f>IF($A971="","",IF($B971="","EKSİK","TAM"))</f>
        <v/>
      </c>
    </row>
    <row r="972">
      <c r="F972" s="22">
        <f>IF($A972="","",IF($B972="","EKSİK","TAM"))</f>
        <v/>
      </c>
    </row>
    <row r="973">
      <c r="F973" s="22">
        <f>IF($A973="","",IF($B973="","EKSİK","TAM"))</f>
        <v/>
      </c>
    </row>
    <row r="974">
      <c r="F974" s="22">
        <f>IF($A974="","",IF($B974="","EKSİK","TAM"))</f>
        <v/>
      </c>
    </row>
    <row r="975">
      <c r="F975" s="22">
        <f>IF($A975="","",IF($B975="","EKSİK","TAM"))</f>
        <v/>
      </c>
    </row>
    <row r="976">
      <c r="F976" s="22">
        <f>IF($A976="","",IF($B976="","EKSİK","TAM"))</f>
        <v/>
      </c>
    </row>
    <row r="977">
      <c r="F977" s="22">
        <f>IF($A977="","",IF($B977="","EKSİK","TAM"))</f>
        <v/>
      </c>
    </row>
    <row r="978">
      <c r="F978" s="22">
        <f>IF($A978="","",IF($B978="","EKSİK","TAM"))</f>
        <v/>
      </c>
    </row>
    <row r="979">
      <c r="F979" s="22">
        <f>IF($A979="","",IF($B979="","EKSİK","TAM"))</f>
        <v/>
      </c>
    </row>
    <row r="980">
      <c r="F980" s="22">
        <f>IF($A980="","",IF($B980="","EKSİK","TAM"))</f>
        <v/>
      </c>
    </row>
    <row r="981">
      <c r="F981" s="22">
        <f>IF($A981="","",IF($B981="","EKSİK","TAM"))</f>
        <v/>
      </c>
    </row>
    <row r="982">
      <c r="F982" s="22">
        <f>IF($A982="","",IF($B982="","EKSİK","TAM"))</f>
        <v/>
      </c>
    </row>
    <row r="983">
      <c r="F983" s="22">
        <f>IF($A983="","",IF($B983="","EKSİK","TAM"))</f>
        <v/>
      </c>
    </row>
    <row r="984">
      <c r="F984" s="22">
        <f>IF($A984="","",IF($B984="","EKSİK","TAM"))</f>
        <v/>
      </c>
    </row>
    <row r="985">
      <c r="F985" s="22">
        <f>IF($A985="","",IF($B985="","EKSİK","TAM"))</f>
        <v/>
      </c>
    </row>
    <row r="986">
      <c r="F986" s="22">
        <f>IF($A986="","",IF($B986="","EKSİK","TAM"))</f>
        <v/>
      </c>
    </row>
    <row r="987">
      <c r="F987" s="22">
        <f>IF($A987="","",IF($B987="","EKSİK","TAM"))</f>
        <v/>
      </c>
    </row>
    <row r="988">
      <c r="F988" s="22">
        <f>IF($A988="","",IF($B988="","EKSİK","TAM"))</f>
        <v/>
      </c>
    </row>
    <row r="989">
      <c r="F989" s="22">
        <f>IF($A989="","",IF($B989="","EKSİK","TAM"))</f>
        <v/>
      </c>
    </row>
    <row r="990">
      <c r="F990" s="22">
        <f>IF($A990="","",IF($B990="","EKSİK","TAM"))</f>
        <v/>
      </c>
    </row>
    <row r="991">
      <c r="F991" s="22">
        <f>IF($A991="","",IF($B991="","EKSİK","TAM"))</f>
        <v/>
      </c>
    </row>
    <row r="992">
      <c r="F992" s="22">
        <f>IF($A992="","",IF($B992="","EKSİK","TAM"))</f>
        <v/>
      </c>
    </row>
    <row r="993">
      <c r="F993" s="22">
        <f>IF($A993="","",IF($B993="","EKSİK","TAM"))</f>
        <v/>
      </c>
    </row>
    <row r="994">
      <c r="F994" s="22">
        <f>IF($A994="","",IF($B994="","EKSİK","TAM"))</f>
        <v/>
      </c>
    </row>
    <row r="995">
      <c r="F995" s="22">
        <f>IF($A995="","",IF($B995="","EKSİK","TAM"))</f>
        <v/>
      </c>
    </row>
    <row r="996">
      <c r="F996" s="22">
        <f>IF($A996="","",IF($B996="","EKSİK","TAM"))</f>
        <v/>
      </c>
    </row>
    <row r="997">
      <c r="F997" s="22">
        <f>IF($A997="","",IF($B997="","EKSİK","TAM"))</f>
        <v/>
      </c>
    </row>
    <row r="998">
      <c r="F998" s="22">
        <f>IF($A998="","",IF($B998="","EKSİK","TAM"))</f>
        <v/>
      </c>
    </row>
    <row r="999">
      <c r="F999" s="22">
        <f>IF($A999="","",IF($B999="","EKSİK","TAM"))</f>
        <v/>
      </c>
    </row>
    <row r="1000">
      <c r="F1000" s="22">
        <f>IF($A1000="","",IF($B1000="","EKSİK","TAM"))</f>
        <v/>
      </c>
    </row>
    <row r="1001">
      <c r="F1001" s="22">
        <f>IF($A1001="","",IF($B1001="","EKSİK","TAM"))</f>
        <v/>
      </c>
    </row>
    <row r="1002">
      <c r="F1002" s="22">
        <f>IF($A1002="","",IF($B1002="","EKSİK","TAM"))</f>
        <v/>
      </c>
    </row>
    <row r="1003">
      <c r="F1003" s="22">
        <f>IF($A1003="","",IF($B1003="","EKSİK","TAM"))</f>
        <v/>
      </c>
    </row>
    <row r="1004">
      <c r="F1004" s="22">
        <f>IF($A1004="","",IF($B1004="","EKSİK","TAM"))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2">
    <dataValidation sqref="B9" showDropDown="0" showInputMessage="1" showErrorMessage="1" allowBlank="0" errorTitle="Geçersiz" error="Listeden seçin." promptTitle="Araç tipi" prompt="TIR, Kamyon veya Panelvan seçin." type="list" errorStyle="stop">
      <formula1>ListeArac</formula1>
    </dataValidation>
    <dataValidation sqref="B29" showDropDown="0" showInputMessage="1" showErrorMessage="1" allowBlank="1" errorTitle="Geçersiz" error="Listeden seçin." promptTitle="Araç tipi" prompt="Tablo satırında araç tipi seçin." type="list" errorStyle="stop">
      <formula1>ListeArac</formula1>
    </dataValidation>
    <dataValidation sqref="B8" showDropDown="0" showInputMessage="1" showErrorMessage="1" allowBlank="1" errorTitle="Geçersiz" error="Negatif olamaz." promptTitle="Sefer km" prompt="0 ile 1e12 arasında sayı girin." type="decimal" errorStyle="stop" operator="between">
      <formula1>0</formula1>
      <formula2>1000000000000</formula2>
    </dataValidation>
    <dataValidation sqref="B10" showDropDown="0" showInputMessage="1" showErrorMessage="1" allowBlank="1" errorTitle="Geçersiz" error="Negatif olamaz." promptTitle="Yük ton" prompt="0 ile 1e12 arasında sayı girin." type="decimal" errorStyle="stop" operator="between">
      <formula1>0</formula1>
      <formula2>1000000000000</formula2>
    </dataValidation>
    <dataValidation sqref="B13" showDropDown="0" showInputMessage="1" showErrorMessage="1" allowBlank="1" errorTitle="Geçersiz" error="Negatif olamaz." promptTitle="Yıllık sefer" prompt="0 ile 1e12 arasında sayı girin." type="decimal" errorStyle="stop" operator="between">
      <formula1>0</formula1>
      <formula2>1000000000000</formula2>
    </dataValidation>
    <dataValidation sqref="B14" showDropDown="0" showInputMessage="1" showErrorMessage="1" allowBlank="1" errorTitle="Geçersiz" error="Negatif olamaz." promptTitle="CAPEX" prompt="0 ile 1e12 arasında sayı girin." type="decimal" errorStyle="stop" operator="between">
      <formula1>0</formula1>
      <formula2>1000000000000</formula2>
    </dataValidation>
    <dataValidation sqref="B16" showDropDown="0" showInputMessage="1" showErrorMessage="1" allowBlank="1" errorTitle="Geçersiz" error="Negatif olamaz." promptTitle="NPV dönem" prompt="0 ile 1e12 arasında sayı girin." type="decimal" errorStyle="stop" operator="between">
      <formula1>0</formula1>
      <formula2>1000000000000</formula2>
    </dataValidation>
    <dataValidation sqref="B28" showDropDown="0" showInputMessage="1" showErrorMessage="1" allowBlank="1" errorTitle="Geçersiz" error="Negatif olamaz." promptTitle="Sefer km" prompt="0 ile 1e12 arasında sayı girin." type="decimal" errorStyle="stop" operator="between">
      <formula1>0</formula1>
      <formula2>1000000000000</formula2>
    </dataValidation>
    <dataValidation sqref="B30" showDropDown="0" showInputMessage="1" showErrorMessage="1" allowBlank="1" errorTitle="Geçersiz" error="Negatif olamaz." promptTitle="Yük ton" prompt="0 ile 1e12 arasında sayı girin." type="decimal" errorStyle="stop" operator="between">
      <formula1>0</formula1>
      <formula2>1000000000000</formula2>
    </dataValidation>
    <dataValidation sqref="B33" showDropDown="0" showInputMessage="1" showErrorMessage="1" allowBlank="1" errorTitle="Geçersiz" error="Negatif olamaz." promptTitle="Yıllık sefer" prompt="0 ile 1e12 arasında sayı girin." type="decimal" errorStyle="stop" operator="between">
      <formula1>0</formula1>
      <formula2>1000000000000</formula2>
    </dataValidation>
    <dataValidation sqref="B34" showDropDown="0" showInputMessage="1" showErrorMessage="1" allowBlank="1" errorTitle="Geçersiz" error="Negatif olamaz." promptTitle="CAPEX" prompt="0 ile 1e12 arasında sayı girin." type="decimal" errorStyle="stop" operator="between">
      <formula1>0</formula1>
      <formula2>1000000000000</formula2>
    </dataValidation>
    <dataValidation sqref="B11" showDropDown="0" showInputMessage="1" showErrorMessage="1" allowBlank="1" errorTitle="Geçersiz" error="0–1 aralığında olmalı." promptTitle="Dönüş yükü" prompt="0 ile 1 arasında oran girin." type="decimal" errorStyle="stop" operator="between">
      <formula1>0</formula1>
      <formula2>1</formula2>
    </dataValidation>
    <dataValidation sqref="B12" showDropDown="0" showInputMessage="1" showErrorMessage="1" allowBlank="1" errorTitle="Geçersiz" error="0–1 aralığında olmalı." promptTitle="Hedef marj" prompt="0 ile 1 arasında oran girin." type="decimal" errorStyle="stop" operator="between">
      <formula1>0</formula1>
      <formula2>1</formula2>
    </dataValidation>
    <dataValidation sqref="B15" showDropDown="0" showInputMessage="1" showErrorMessage="1" allowBlank="1" errorTitle="Geçersiz" error="0–1 aralığında olmalı." promptTitle="WACC" prompt="0 ile 1 arasında oran girin." type="decimal" errorStyle="stop" operator="between">
      <formula1>0</formula1>
      <formula2>1</formula2>
    </dataValidation>
    <dataValidation sqref="B17" showDropDown="0" showInputMessage="1" showErrorMessage="1" allowBlank="1" errorTitle="Geçersiz" error="0–1 aralığında olmalı." promptTitle="Kredi faiz" prompt="0 ile 1 arasında oran girin." type="decimal" errorStyle="stop" operator="between">
      <formula1>0</formula1>
      <formula2>1</formula2>
    </dataValidation>
    <dataValidation sqref="B18" showDropDown="0" showInputMessage="1" showErrorMessage="1" allowBlank="1" errorTitle="Geçersiz" error="0–1 aralığında olmalı." promptTitle="Öz kaynak" prompt="0 ile 1 arasında oran girin." type="decimal" errorStyle="stop" operator="between">
      <formula1>0</formula1>
      <formula2>1</formula2>
    </dataValidation>
    <dataValidation sqref="B31" showDropDown="0" showInputMessage="1" showErrorMessage="1" allowBlank="1" errorTitle="Geçersiz" error="0–1 aralığında olmalı." promptTitle="Dönüş yükü" prompt="0 ile 1 arasında oran girin." type="decimal" errorStyle="stop" operator="between">
      <formula1>0</formula1>
      <formula2>1</formula2>
    </dataValidation>
    <dataValidation sqref="B32" showDropDown="0" showInputMessage="1" showErrorMessage="1" allowBlank="1" errorTitle="Geçersiz" error="0–1 aralığında olmalı." promptTitle="Hedef marj" prompt="0 ile 1 arasında oran girin." type="decimal" errorStyle="stop" operator="between">
      <formula1>0</formula1>
      <formula2>1</formula2>
    </dataValidation>
    <dataValidation sqref="B6" showDropDown="0" showInputMessage="1" showErrorMessage="1" allowBlank="1" errorTitle="Eksik" error="Boş bırakmayın." promptTitle="Şirket" prompt="Metin girin." type="textLength" errorStyle="stop" operator="greaterThanOrEqual">
      <formula1>1</formula1>
      <formula2>1</formula2>
    </dataValidation>
    <dataValidation sqref="B7" showDropDown="0" showInputMessage="1" showErrorMessage="1" allowBlank="1" errorTitle="Eksik" error="Boş bırakmayın." promptTitle="Dönem" prompt="Metin girin." type="textLength" errorStyle="stop" operator="greaterThanOrEqual">
      <formula1>1</formula1>
      <formula2>1</formula2>
    </dataValidation>
    <dataValidation sqref="B26" showDropDown="0" showInputMessage="1" showErrorMessage="1" allowBlank="1" errorTitle="Eksik" error="Boş bırakmayın." promptTitle="Şirket" prompt="Metin girin." type="textLength" errorStyle="stop" operator="greaterThanOrEqual">
      <formula1>1</formula1>
      <formula2>1</formula2>
    </dataValidation>
    <dataValidation sqref="B27" showDropDown="0" showInputMessage="1" showErrorMessage="1" allowBlank="1" errorTitle="Eksik" error="Boş bırakmayın." promptTitle="Dönem" prompt="Metin girin." type="textLength" errorStyle="stop" operator="greaterThanOrEqual">
      <formula1>1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AD100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2" customWidth="1" min="4" max="4"/>
    <col width="14" customWidth="1" min="5" max="5"/>
    <col width="14" customWidth="1" min="6" max="6"/>
    <col width="10" customWidth="1" min="7" max="7"/>
    <col width="14" customWidth="1" min="8" max="8"/>
    <col width="14" customWidth="1" min="9" max="9"/>
    <col width="12" customWidth="1" min="10" max="10"/>
  </cols>
  <sheetData>
    <row r="1" ht="32" customHeight="1">
      <c r="A1" s="209" t="inlineStr">
        <is>
          <t>HAMMADDE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2" customHeight="1">
      <c r="A3" s="228" t="inlineStr">
        <is>
          <t>Maliyet kalem kartı — hammadde / işçilik / ambalaj / genel gider</t>
        </is>
      </c>
    </row>
    <row r="4">
      <c r="A4" s="4" t="inlineStr">
        <is>
          <t>Alım birimi → kullanım birimi dönüşümü AYARLAR dönüşüm tablosundan geçer.</t>
        </is>
      </c>
    </row>
    <row r="5"/>
    <row r="6" ht="30" customHeight="1">
      <c r="A6" s="20" t="inlineStr">
        <is>
          <t>kalem_id</t>
        </is>
      </c>
      <c r="B6" s="20" t="inlineStr">
        <is>
          <t>kalem_ad</t>
        </is>
      </c>
      <c r="C6" s="20" t="inlineStr">
        <is>
          <t>sinif</t>
        </is>
      </c>
      <c r="D6" s="20" t="inlineStr">
        <is>
          <t>alim_birim</t>
        </is>
      </c>
      <c r="E6" s="20" t="inlineStr">
        <is>
          <t>kullanim_birim</t>
        </is>
      </c>
      <c r="F6" s="20" t="inlineStr">
        <is>
          <t>birim_fiyat</t>
        </is>
      </c>
      <c r="G6" s="20" t="inlineStr">
        <is>
          <t>fire</t>
        </is>
      </c>
      <c r="H6" s="20" t="inlineStr">
        <is>
          <t>tedarikci</t>
        </is>
      </c>
      <c r="I6" s="20" t="inlineStr">
        <is>
          <t>guncelleme</t>
        </is>
      </c>
      <c r="J6" s="20" t="inlineStr">
        <is>
          <t>net_birim</t>
        </is>
      </c>
    </row>
    <row r="7">
      <c r="A7" s="12" t="inlineStr">
        <is>
          <t>HM-01</t>
        </is>
      </c>
      <c r="B7" s="12" t="inlineStr">
        <is>
          <t>Yakıt (dizel)</t>
        </is>
      </c>
      <c r="C7" s="12" t="inlineStr">
        <is>
          <t>HAMMADDE</t>
        </is>
      </c>
      <c r="D7" s="12" t="inlineStr">
        <is>
          <t>L</t>
        </is>
      </c>
      <c r="E7" s="12" t="inlineStr">
        <is>
          <t>L</t>
        </is>
      </c>
      <c r="F7" s="16" t="n">
        <v>45</v>
      </c>
      <c r="G7" s="15" t="n">
        <v>0.08</v>
      </c>
      <c r="H7" s="12" t="inlineStr">
        <is>
          <t>Akaryakıt</t>
        </is>
      </c>
      <c r="I7" s="67" t="n">
        <v>46245</v>
      </c>
      <c r="J7" s="22">
        <f>IF($A7="","",IFERROR($F7*(1+$G7),0))</f>
        <v/>
      </c>
    </row>
    <row r="8">
      <c r="A8" s="12" t="inlineStr">
        <is>
          <t>HM-02</t>
        </is>
      </c>
      <c r="B8" s="12" t="inlineStr">
        <is>
          <t>Şoför ücreti</t>
        </is>
      </c>
      <c r="C8" s="12" t="inlineStr">
        <is>
          <t>ISCILIK</t>
        </is>
      </c>
      <c r="D8" s="12" t="inlineStr">
        <is>
          <t>saat</t>
        </is>
      </c>
      <c r="E8" s="12" t="inlineStr">
        <is>
          <t>saat</t>
        </is>
      </c>
      <c r="F8" s="16" t="n">
        <v>280</v>
      </c>
      <c r="G8" s="15" t="n">
        <v>0</v>
      </c>
      <c r="H8" s="12" t="inlineStr">
        <is>
          <t>Bordro</t>
        </is>
      </c>
      <c r="I8" s="67" t="n">
        <v>46245</v>
      </c>
      <c r="J8" s="22">
        <f>IF($A8="","",IFERROR($F8*(1+$G8),0))</f>
        <v/>
      </c>
    </row>
    <row r="9">
      <c r="A9" s="12" t="inlineStr">
        <is>
          <t>HM-03</t>
        </is>
      </c>
      <c r="B9" s="12" t="inlineStr">
        <is>
          <t>Ambalaj / bağlama</t>
        </is>
      </c>
      <c r="C9" s="12" t="inlineStr">
        <is>
          <t>AMBALAJ</t>
        </is>
      </c>
      <c r="D9" s="12" t="inlineStr">
        <is>
          <t>adet</t>
        </is>
      </c>
      <c r="E9" s="12" t="inlineStr">
        <is>
          <t>adet</t>
        </is>
      </c>
      <c r="F9" s="16" t="n">
        <v>1200</v>
      </c>
      <c r="G9" s="15" t="n">
        <v>0.02</v>
      </c>
      <c r="H9" s="12" t="inlineStr">
        <is>
          <t>Depo</t>
        </is>
      </c>
      <c r="I9" s="67" t="n">
        <v>46245</v>
      </c>
      <c r="J9" s="22">
        <f>IF($A9="","",IFERROR($F9*(1+$G9),0))</f>
        <v/>
      </c>
    </row>
    <row r="10">
      <c r="A10" s="12" t="inlineStr">
        <is>
          <t>HM-04</t>
        </is>
      </c>
      <c r="B10" s="12" t="inlineStr">
        <is>
          <t>Genel gider payı</t>
        </is>
      </c>
      <c r="C10" s="12" t="inlineStr">
        <is>
          <t>GENEL_GIDER</t>
        </is>
      </c>
      <c r="D10" s="12" t="inlineStr">
        <is>
          <t>km</t>
        </is>
      </c>
      <c r="E10" s="12" t="inlineStr">
        <is>
          <t>km</t>
        </is>
      </c>
      <c r="F10" s="16" t="n">
        <v>2.5</v>
      </c>
      <c r="G10" s="15" t="n">
        <v>0</v>
      </c>
      <c r="H10" s="12" t="inlineStr">
        <is>
          <t>Muhasebe</t>
        </is>
      </c>
      <c r="I10" s="67" t="n">
        <v>46245</v>
      </c>
      <c r="J10" s="22">
        <f>IF($A10="","",IFERROR($F10*(1+$G10),0))</f>
        <v/>
      </c>
    </row>
    <row r="11">
      <c r="A11" s="12" t="inlineStr">
        <is>
          <t>HM-05</t>
        </is>
      </c>
      <c r="B11" s="12" t="inlineStr">
        <is>
          <t>Tüketim (L/100km)</t>
        </is>
      </c>
      <c r="C11" s="12" t="inlineStr">
        <is>
          <t>HAMMADDE</t>
        </is>
      </c>
      <c r="D11" s="12" t="inlineStr">
        <is>
          <t>L100</t>
        </is>
      </c>
      <c r="E11" s="12" t="inlineStr">
        <is>
          <t>L_km</t>
        </is>
      </c>
      <c r="F11" s="68" t="n">
        <v>32</v>
      </c>
      <c r="G11" s="15" t="n">
        <v>0</v>
      </c>
      <c r="H11" s="12" t="inlineStr">
        <is>
          <t>Araç kartı</t>
        </is>
      </c>
      <c r="I11" s="67" t="n">
        <v>46245</v>
      </c>
      <c r="J11" s="22">
        <f>IF($A11="","",IFERROR($F11*(1+$G11),0))</f>
        <v/>
      </c>
    </row>
    <row r="12">
      <c r="J12" s="22">
        <f>IF($A12="","",IFERROR($F12*(1+$G12),0))</f>
        <v/>
      </c>
    </row>
    <row r="13">
      <c r="J13" s="22">
        <f>IF($A13="","",IFERROR($F13*(1+$G13),0))</f>
        <v/>
      </c>
    </row>
    <row r="14">
      <c r="A14" s="29" t="inlineStr">
        <is>
          <t>Yakıt birim fiyat [₺/L]</t>
        </is>
      </c>
      <c r="B14" s="18">
        <f>IFERROR(INDEX(tblHammadde[birim_fiyat],MATCH("HM-01",tblHammadde[kalem_id],0)),0)</f>
        <v/>
      </c>
      <c r="J14" s="22">
        <f>IF($A14="","",IFERROR($F14*(1+$G14),0))</f>
        <v/>
      </c>
    </row>
    <row r="15">
      <c r="A15" s="29" t="inlineStr">
        <is>
          <t>İşçilik birim [₺/saat]</t>
        </is>
      </c>
      <c r="B15" s="18">
        <f>IFERROR(INDEX(tblHammadde[birim_fiyat],MATCH("HM-02",tblHammadde[kalem_id],0)),0)</f>
        <v/>
      </c>
      <c r="J15" s="22">
        <f>IF($A15="","",IFERROR($F15*(1+$G15),0))</f>
        <v/>
      </c>
    </row>
    <row r="16">
      <c r="A16" s="29" t="inlineStr">
        <is>
          <t>Ambalaj birim [₺]</t>
        </is>
      </c>
      <c r="B16" s="18">
        <f>IFERROR(INDEX(tblHammadde[birim_fiyat],MATCH("HM-03",tblHammadde[kalem_id],0)),0)</f>
        <v/>
      </c>
      <c r="J16" s="22">
        <f>IF($A16="","",IFERROR($F16*(1+$G16),0))</f>
        <v/>
      </c>
    </row>
    <row r="17">
      <c r="A17" s="29" t="inlineStr">
        <is>
          <t>Genel gider [₺/km]</t>
        </is>
      </c>
      <c r="B17" s="18">
        <f>IFERROR(INDEX(tblHammadde[birim_fiyat],MATCH("HM-04",tblHammadde[kalem_id],0)),0)</f>
        <v/>
      </c>
      <c r="J17" s="22">
        <f>IF($A17="","",IFERROR($F17*(1+$G17),0))</f>
        <v/>
      </c>
    </row>
    <row r="18">
      <c r="A18" s="29" t="inlineStr">
        <is>
          <t>Tüketim L/100km</t>
        </is>
      </c>
      <c r="B18" s="69">
        <f>IFERROR(INDEX(tblHammadde[birim_fiyat],MATCH("HM-05",tblHammadde[kalem_id],0)),0)</f>
        <v/>
      </c>
      <c r="J18" s="22">
        <f>IF($A18="","",IFERROR($F18*(1+$G18),0))</f>
        <v/>
      </c>
    </row>
    <row r="19">
      <c r="A19" s="29" t="inlineStr">
        <is>
          <t>Fire (yakıt boş km)</t>
        </is>
      </c>
      <c r="B19" s="31">
        <f>IFERROR(INDEX(tblHammadde[fire],MATCH("HM-01",tblHammadde[kalem_id],0)),0)</f>
        <v/>
      </c>
      <c r="J19" s="22">
        <f>IF($A19="","",IFERROR($F19*(1+$G19),0))</f>
        <v/>
      </c>
    </row>
    <row r="20">
      <c r="J20" s="22">
        <f>IF($A20="","",IFERROR($F20*(1+$G20),0))</f>
        <v/>
      </c>
    </row>
    <row r="21">
      <c r="J21" s="22">
        <f>IF($A21="","",IFERROR($F21*(1+$G21),0))</f>
        <v/>
      </c>
    </row>
    <row r="22">
      <c r="J22" s="22">
        <f>IF($A22="","",IFERROR($F22*(1+$G22),0))</f>
        <v/>
      </c>
    </row>
    <row r="23">
      <c r="J23" s="22">
        <f>IF($A23="","",IFERROR($F23*(1+$G23),0))</f>
        <v/>
      </c>
    </row>
    <row r="24">
      <c r="J24" s="22">
        <f>IF($A24="","",IFERROR($F24*(1+$G24),0))</f>
        <v/>
      </c>
    </row>
    <row r="25">
      <c r="J25" s="22">
        <f>IF($A25="","",IFERROR($F25*(1+$G25),0))</f>
        <v/>
      </c>
    </row>
    <row r="26">
      <c r="J26" s="22">
        <f>IF($A26="","",IFERROR($F26*(1+$G26),0))</f>
        <v/>
      </c>
    </row>
    <row r="27">
      <c r="J27" s="22">
        <f>IF($A27="","",IFERROR($F27*(1+$G27),0))</f>
        <v/>
      </c>
    </row>
    <row r="28">
      <c r="J28" s="22">
        <f>IF($A28="","",IFERROR($F28*(1+$G28),0))</f>
        <v/>
      </c>
    </row>
    <row r="29">
      <c r="J29" s="22">
        <f>IF($A29="","",IFERROR($F29*(1+$G29),0))</f>
        <v/>
      </c>
    </row>
    <row r="30">
      <c r="J30" s="22">
        <f>IF($A30="","",IFERROR($F30*(1+$G30),0))</f>
        <v/>
      </c>
    </row>
    <row r="31">
      <c r="J31" s="22">
        <f>IF($A31="","",IFERROR($F31*(1+$G31),0))</f>
        <v/>
      </c>
    </row>
    <row r="32">
      <c r="J32" s="22">
        <f>IF($A32="","",IFERROR($F32*(1+$G32),0))</f>
        <v/>
      </c>
    </row>
    <row r="33">
      <c r="J33" s="22">
        <f>IF($A33="","",IFERROR($F33*(1+$G33),0))</f>
        <v/>
      </c>
    </row>
    <row r="34">
      <c r="J34" s="22">
        <f>IF($A34="","",IFERROR($F34*(1+$G34),0))</f>
        <v/>
      </c>
    </row>
    <row r="35">
      <c r="J35" s="22">
        <f>IF($A35="","",IFERROR($F35*(1+$G35),0))</f>
        <v/>
      </c>
    </row>
    <row r="36">
      <c r="J36" s="22">
        <f>IF($A36="","",IFERROR($F36*(1+$G36),0))</f>
        <v/>
      </c>
    </row>
    <row r="37">
      <c r="J37" s="22">
        <f>IF($A37="","",IFERROR($F37*(1+$G37),0))</f>
        <v/>
      </c>
    </row>
    <row r="38">
      <c r="J38" s="22">
        <f>IF($A38="","",IFERROR($F38*(1+$G38),0))</f>
        <v/>
      </c>
    </row>
    <row r="39">
      <c r="J39" s="22">
        <f>IF($A39="","",IFERROR($F39*(1+$G39),0))</f>
        <v/>
      </c>
    </row>
    <row r="40">
      <c r="J40" s="22">
        <f>IF($A40="","",IFERROR($F40*(1+$G40),0))</f>
        <v/>
      </c>
    </row>
    <row r="41">
      <c r="J41" s="22">
        <f>IF($A41="","",IFERROR($F41*(1+$G41),0))</f>
        <v/>
      </c>
    </row>
    <row r="42">
      <c r="J42" s="22">
        <f>IF($A42="","",IFERROR($F42*(1+$G42),0))</f>
        <v/>
      </c>
    </row>
    <row r="43">
      <c r="J43" s="22">
        <f>IF($A43="","",IFERROR($F43*(1+$G43),0))</f>
        <v/>
      </c>
    </row>
    <row r="44">
      <c r="J44" s="22">
        <f>IF($A44="","",IFERROR($F44*(1+$G44),0))</f>
        <v/>
      </c>
    </row>
    <row r="45">
      <c r="J45" s="22">
        <f>IF($A45="","",IFERROR($F45*(1+$G45),0))</f>
        <v/>
      </c>
    </row>
    <row r="46">
      <c r="J46" s="22">
        <f>IF($A46="","",IFERROR($F46*(1+$G46),0))</f>
        <v/>
      </c>
    </row>
    <row r="47">
      <c r="J47" s="22">
        <f>IF($A47="","",IFERROR($F47*(1+$G47),0))</f>
        <v/>
      </c>
    </row>
    <row r="48">
      <c r="J48" s="22">
        <f>IF($A48="","",IFERROR($F48*(1+$G48),0))</f>
        <v/>
      </c>
    </row>
    <row r="49">
      <c r="J49" s="22">
        <f>IF($A49="","",IFERROR($F49*(1+$G49),0))</f>
        <v/>
      </c>
    </row>
    <row r="50">
      <c r="J50" s="22">
        <f>IF($A50="","",IFERROR($F50*(1+$G50),0))</f>
        <v/>
      </c>
    </row>
    <row r="51">
      <c r="J51" s="22">
        <f>IF($A51="","",IFERROR($F51*(1+$G51),0))</f>
        <v/>
      </c>
    </row>
    <row r="52">
      <c r="J52" s="22">
        <f>IF($A52="","",IFERROR($F52*(1+$G52),0))</f>
        <v/>
      </c>
    </row>
    <row r="53">
      <c r="J53" s="22">
        <f>IF($A53="","",IFERROR($F53*(1+$G53),0))</f>
        <v/>
      </c>
    </row>
    <row r="54">
      <c r="J54" s="22">
        <f>IF($A54="","",IFERROR($F54*(1+$G54),0))</f>
        <v/>
      </c>
    </row>
    <row r="55">
      <c r="J55" s="22">
        <f>IF($A55="","",IFERROR($F55*(1+$G55),0))</f>
        <v/>
      </c>
    </row>
    <row r="56">
      <c r="J56" s="22">
        <f>IF($A56="","",IFERROR($F56*(1+$G56),0))</f>
        <v/>
      </c>
    </row>
    <row r="57">
      <c r="J57" s="22">
        <f>IF($A57="","",IFERROR($F57*(1+$G57),0))</f>
        <v/>
      </c>
    </row>
    <row r="58">
      <c r="J58" s="22">
        <f>IF($A58="","",IFERROR($F58*(1+$G58),0))</f>
        <v/>
      </c>
    </row>
    <row r="59">
      <c r="J59" s="22">
        <f>IF($A59="","",IFERROR($F59*(1+$G59),0))</f>
        <v/>
      </c>
    </row>
    <row r="60">
      <c r="J60" s="22">
        <f>IF($A60="","",IFERROR($F60*(1+$G60),0))</f>
        <v/>
      </c>
    </row>
    <row r="61">
      <c r="J61" s="22">
        <f>IF($A61="","",IFERROR($F61*(1+$G61),0))</f>
        <v/>
      </c>
    </row>
    <row r="62">
      <c r="J62" s="22">
        <f>IF($A62="","",IFERROR($F62*(1+$G62),0))</f>
        <v/>
      </c>
    </row>
    <row r="63">
      <c r="J63" s="22">
        <f>IF($A63="","",IFERROR($F63*(1+$G63),0))</f>
        <v/>
      </c>
    </row>
    <row r="64">
      <c r="J64" s="22">
        <f>IF($A64="","",IFERROR($F64*(1+$G64),0))</f>
        <v/>
      </c>
    </row>
    <row r="65">
      <c r="J65" s="22">
        <f>IF($A65="","",IFERROR($F65*(1+$G65),0))</f>
        <v/>
      </c>
    </row>
    <row r="66">
      <c r="J66" s="22">
        <f>IF($A66="","",IFERROR($F66*(1+$G66),0))</f>
        <v/>
      </c>
    </row>
    <row r="67">
      <c r="J67" s="22">
        <f>IF($A67="","",IFERROR($F67*(1+$G67),0))</f>
        <v/>
      </c>
    </row>
    <row r="68">
      <c r="J68" s="22">
        <f>IF($A68="","",IFERROR($F68*(1+$G68),0))</f>
        <v/>
      </c>
    </row>
    <row r="69">
      <c r="J69" s="22">
        <f>IF($A69="","",IFERROR($F69*(1+$G69),0))</f>
        <v/>
      </c>
    </row>
    <row r="70">
      <c r="J70" s="22">
        <f>IF($A70="","",IFERROR($F70*(1+$G70),0))</f>
        <v/>
      </c>
    </row>
    <row r="71">
      <c r="J71" s="22">
        <f>IF($A71="","",IFERROR($F71*(1+$G71),0))</f>
        <v/>
      </c>
    </row>
    <row r="72">
      <c r="J72" s="22">
        <f>IF($A72="","",IFERROR($F72*(1+$G72),0))</f>
        <v/>
      </c>
    </row>
    <row r="73">
      <c r="J73" s="22">
        <f>IF($A73="","",IFERROR($F73*(1+$G73),0))</f>
        <v/>
      </c>
    </row>
    <row r="74">
      <c r="J74" s="22">
        <f>IF($A74="","",IFERROR($F74*(1+$G74),0))</f>
        <v/>
      </c>
    </row>
    <row r="75">
      <c r="J75" s="22">
        <f>IF($A75="","",IFERROR($F75*(1+$G75),0))</f>
        <v/>
      </c>
    </row>
    <row r="76">
      <c r="J76" s="22">
        <f>IF($A76="","",IFERROR($F76*(1+$G76),0))</f>
        <v/>
      </c>
    </row>
    <row r="77">
      <c r="J77" s="22">
        <f>IF($A77="","",IFERROR($F77*(1+$G77),0))</f>
        <v/>
      </c>
    </row>
    <row r="78">
      <c r="J78" s="22">
        <f>IF($A78="","",IFERROR($F78*(1+$G78),0))</f>
        <v/>
      </c>
    </row>
    <row r="79">
      <c r="J79" s="22">
        <f>IF($A79="","",IFERROR($F79*(1+$G79),0))</f>
        <v/>
      </c>
    </row>
    <row r="80">
      <c r="J80" s="22">
        <f>IF($A80="","",IFERROR($F80*(1+$G80),0))</f>
        <v/>
      </c>
    </row>
    <row r="81">
      <c r="J81" s="22">
        <f>IF($A81="","",IFERROR($F81*(1+$G81),0))</f>
        <v/>
      </c>
    </row>
    <row r="82">
      <c r="J82" s="22">
        <f>IF($A82="","",IFERROR($F82*(1+$G82),0))</f>
        <v/>
      </c>
    </row>
    <row r="83">
      <c r="J83" s="22">
        <f>IF($A83="","",IFERROR($F83*(1+$G83),0))</f>
        <v/>
      </c>
    </row>
    <row r="84">
      <c r="J84" s="22">
        <f>IF($A84="","",IFERROR($F84*(1+$G84),0))</f>
        <v/>
      </c>
    </row>
    <row r="85">
      <c r="J85" s="22">
        <f>IF($A85="","",IFERROR($F85*(1+$G85),0))</f>
        <v/>
      </c>
    </row>
    <row r="86">
      <c r="J86" s="22">
        <f>IF($A86="","",IFERROR($F86*(1+$G86),0))</f>
        <v/>
      </c>
    </row>
    <row r="87">
      <c r="J87" s="22">
        <f>IF($A87="","",IFERROR($F87*(1+$G87),0))</f>
        <v/>
      </c>
    </row>
    <row r="88">
      <c r="J88" s="22">
        <f>IF($A88="","",IFERROR($F88*(1+$G88),0))</f>
        <v/>
      </c>
    </row>
    <row r="89">
      <c r="J89" s="22">
        <f>IF($A89="","",IFERROR($F89*(1+$G89),0))</f>
        <v/>
      </c>
    </row>
    <row r="90">
      <c r="J90" s="22">
        <f>IF($A90="","",IFERROR($F90*(1+$G90),0))</f>
        <v/>
      </c>
    </row>
    <row r="91">
      <c r="J91" s="22">
        <f>IF($A91="","",IFERROR($F91*(1+$G91),0))</f>
        <v/>
      </c>
    </row>
    <row r="92">
      <c r="J92" s="22">
        <f>IF($A92="","",IFERROR($F92*(1+$G92),0))</f>
        <v/>
      </c>
    </row>
    <row r="93">
      <c r="J93" s="22">
        <f>IF($A93="","",IFERROR($F93*(1+$G93),0))</f>
        <v/>
      </c>
    </row>
    <row r="94">
      <c r="J94" s="22">
        <f>IF($A94="","",IFERROR($F94*(1+$G94),0))</f>
        <v/>
      </c>
    </row>
    <row r="95">
      <c r="J95" s="22">
        <f>IF($A95="","",IFERROR($F95*(1+$G95),0))</f>
        <v/>
      </c>
    </row>
    <row r="96">
      <c r="J96" s="22">
        <f>IF($A96="","",IFERROR($F96*(1+$G96),0))</f>
        <v/>
      </c>
    </row>
    <row r="97">
      <c r="J97" s="22">
        <f>IF($A97="","",IFERROR($F97*(1+$G97),0))</f>
        <v/>
      </c>
    </row>
    <row r="98">
      <c r="J98" s="22">
        <f>IF($A98="","",IFERROR($F98*(1+$G98),0))</f>
        <v/>
      </c>
    </row>
    <row r="99">
      <c r="J99" s="22">
        <f>IF($A99="","",IFERROR($F99*(1+$G99),0))</f>
        <v/>
      </c>
    </row>
    <row r="100">
      <c r="J100" s="22">
        <f>IF($A100="","",IFERROR($F100*(1+$G100),0))</f>
        <v/>
      </c>
    </row>
    <row r="101">
      <c r="J101" s="22">
        <f>IF($A101="","",IFERROR($F101*(1+$G101),0))</f>
        <v/>
      </c>
    </row>
    <row r="102">
      <c r="J102" s="22">
        <f>IF($A102="","",IFERROR($F102*(1+$G102),0))</f>
        <v/>
      </c>
    </row>
    <row r="103">
      <c r="J103" s="22">
        <f>IF($A103="","",IFERROR($F103*(1+$G103),0))</f>
        <v/>
      </c>
    </row>
    <row r="104">
      <c r="J104" s="22">
        <f>IF($A104="","",IFERROR($F104*(1+$G104),0))</f>
        <v/>
      </c>
    </row>
    <row r="105">
      <c r="J105" s="22">
        <f>IF($A105="","",IFERROR($F105*(1+$G105),0))</f>
        <v/>
      </c>
    </row>
    <row r="106">
      <c r="J106" s="22">
        <f>IF($A106="","",IFERROR($F106*(1+$G106),0))</f>
        <v/>
      </c>
    </row>
    <row r="107">
      <c r="J107" s="22">
        <f>IF($A107="","",IFERROR($F107*(1+$G107),0))</f>
        <v/>
      </c>
    </row>
    <row r="108">
      <c r="J108" s="22">
        <f>IF($A108="","",IFERROR($F108*(1+$G108),0))</f>
        <v/>
      </c>
    </row>
    <row r="109">
      <c r="J109" s="22">
        <f>IF($A109="","",IFERROR($F109*(1+$G109),0))</f>
        <v/>
      </c>
    </row>
    <row r="110">
      <c r="J110" s="22">
        <f>IF($A110="","",IFERROR($F110*(1+$G110),0))</f>
        <v/>
      </c>
    </row>
    <row r="111">
      <c r="J111" s="22">
        <f>IF($A111="","",IFERROR($F111*(1+$G111),0))</f>
        <v/>
      </c>
    </row>
    <row r="112">
      <c r="J112" s="22">
        <f>IF($A112="","",IFERROR($F112*(1+$G112),0))</f>
        <v/>
      </c>
    </row>
    <row r="113">
      <c r="J113" s="22">
        <f>IF($A113="","",IFERROR($F113*(1+$G113),0))</f>
        <v/>
      </c>
    </row>
    <row r="114">
      <c r="J114" s="22">
        <f>IF($A114="","",IFERROR($F114*(1+$G114),0))</f>
        <v/>
      </c>
    </row>
    <row r="115">
      <c r="J115" s="22">
        <f>IF($A115="","",IFERROR($F115*(1+$G115),0))</f>
        <v/>
      </c>
    </row>
    <row r="116">
      <c r="J116" s="22">
        <f>IF($A116="","",IFERROR($F116*(1+$G116),0))</f>
        <v/>
      </c>
    </row>
    <row r="117">
      <c r="J117" s="22">
        <f>IF($A117="","",IFERROR($F117*(1+$G117),0))</f>
        <v/>
      </c>
    </row>
    <row r="118">
      <c r="J118" s="22">
        <f>IF($A118="","",IFERROR($F118*(1+$G118),0))</f>
        <v/>
      </c>
    </row>
    <row r="119">
      <c r="J119" s="22">
        <f>IF($A119="","",IFERROR($F119*(1+$G119),0))</f>
        <v/>
      </c>
    </row>
    <row r="120">
      <c r="J120" s="22">
        <f>IF($A120="","",IFERROR($F120*(1+$G120),0))</f>
        <v/>
      </c>
    </row>
    <row r="121">
      <c r="J121" s="22">
        <f>IF($A121="","",IFERROR($F121*(1+$G121),0))</f>
        <v/>
      </c>
    </row>
    <row r="122">
      <c r="J122" s="22">
        <f>IF($A122="","",IFERROR($F122*(1+$G122),0))</f>
        <v/>
      </c>
    </row>
    <row r="123">
      <c r="J123" s="22">
        <f>IF($A123="","",IFERROR($F123*(1+$G123),0))</f>
        <v/>
      </c>
    </row>
    <row r="124">
      <c r="J124" s="22">
        <f>IF($A124="","",IFERROR($F124*(1+$G124),0))</f>
        <v/>
      </c>
    </row>
    <row r="125">
      <c r="J125" s="22">
        <f>IF($A125="","",IFERROR($F125*(1+$G125),0))</f>
        <v/>
      </c>
    </row>
    <row r="126">
      <c r="J126" s="22">
        <f>IF($A126="","",IFERROR($F126*(1+$G126),0))</f>
        <v/>
      </c>
    </row>
    <row r="127">
      <c r="J127" s="22">
        <f>IF($A127="","",IFERROR($F127*(1+$G127),0))</f>
        <v/>
      </c>
    </row>
    <row r="128">
      <c r="J128" s="22">
        <f>IF($A128="","",IFERROR($F128*(1+$G128),0))</f>
        <v/>
      </c>
    </row>
    <row r="129">
      <c r="J129" s="22">
        <f>IF($A129="","",IFERROR($F129*(1+$G129),0))</f>
        <v/>
      </c>
    </row>
    <row r="130">
      <c r="J130" s="22">
        <f>IF($A130="","",IFERROR($F130*(1+$G130),0))</f>
        <v/>
      </c>
    </row>
    <row r="131">
      <c r="J131" s="22">
        <f>IF($A131="","",IFERROR($F131*(1+$G131),0))</f>
        <v/>
      </c>
    </row>
    <row r="132">
      <c r="J132" s="22">
        <f>IF($A132="","",IFERROR($F132*(1+$G132),0))</f>
        <v/>
      </c>
    </row>
    <row r="133">
      <c r="J133" s="22">
        <f>IF($A133="","",IFERROR($F133*(1+$G133),0))</f>
        <v/>
      </c>
    </row>
    <row r="134">
      <c r="J134" s="22">
        <f>IF($A134="","",IFERROR($F134*(1+$G134),0))</f>
        <v/>
      </c>
    </row>
    <row r="135">
      <c r="J135" s="22">
        <f>IF($A135="","",IFERROR($F135*(1+$G135),0))</f>
        <v/>
      </c>
    </row>
    <row r="136">
      <c r="J136" s="22">
        <f>IF($A136="","",IFERROR($F136*(1+$G136),0))</f>
        <v/>
      </c>
    </row>
    <row r="137">
      <c r="J137" s="22">
        <f>IF($A137="","",IFERROR($F137*(1+$G137),0))</f>
        <v/>
      </c>
    </row>
    <row r="138">
      <c r="J138" s="22">
        <f>IF($A138="","",IFERROR($F138*(1+$G138),0))</f>
        <v/>
      </c>
    </row>
    <row r="139">
      <c r="J139" s="22">
        <f>IF($A139="","",IFERROR($F139*(1+$G139),0))</f>
        <v/>
      </c>
    </row>
    <row r="140">
      <c r="J140" s="22">
        <f>IF($A140="","",IFERROR($F140*(1+$G140),0))</f>
        <v/>
      </c>
    </row>
    <row r="141">
      <c r="J141" s="22">
        <f>IF($A141="","",IFERROR($F141*(1+$G141),0))</f>
        <v/>
      </c>
    </row>
    <row r="142">
      <c r="J142" s="22">
        <f>IF($A142="","",IFERROR($F142*(1+$G142),0))</f>
        <v/>
      </c>
    </row>
    <row r="143">
      <c r="J143" s="22">
        <f>IF($A143="","",IFERROR($F143*(1+$G143),0))</f>
        <v/>
      </c>
    </row>
    <row r="144">
      <c r="J144" s="22">
        <f>IF($A144="","",IFERROR($F144*(1+$G144),0))</f>
        <v/>
      </c>
    </row>
    <row r="145">
      <c r="J145" s="22">
        <f>IF($A145="","",IFERROR($F145*(1+$G145),0))</f>
        <v/>
      </c>
    </row>
    <row r="146">
      <c r="J146" s="22">
        <f>IF($A146="","",IFERROR($F146*(1+$G146),0))</f>
        <v/>
      </c>
    </row>
    <row r="147">
      <c r="J147" s="22">
        <f>IF($A147="","",IFERROR($F147*(1+$G147),0))</f>
        <v/>
      </c>
    </row>
    <row r="148">
      <c r="J148" s="22">
        <f>IF($A148="","",IFERROR($F148*(1+$G148),0))</f>
        <v/>
      </c>
    </row>
    <row r="149">
      <c r="J149" s="22">
        <f>IF($A149="","",IFERROR($F149*(1+$G149),0))</f>
        <v/>
      </c>
    </row>
    <row r="150">
      <c r="J150" s="22">
        <f>IF($A150="","",IFERROR($F150*(1+$G150),0))</f>
        <v/>
      </c>
    </row>
    <row r="151">
      <c r="J151" s="22">
        <f>IF($A151="","",IFERROR($F151*(1+$G151),0))</f>
        <v/>
      </c>
    </row>
    <row r="152">
      <c r="J152" s="22">
        <f>IF($A152="","",IFERROR($F152*(1+$G152),0))</f>
        <v/>
      </c>
    </row>
    <row r="153">
      <c r="J153" s="22">
        <f>IF($A153="","",IFERROR($F153*(1+$G153),0))</f>
        <v/>
      </c>
    </row>
    <row r="154">
      <c r="J154" s="22">
        <f>IF($A154="","",IFERROR($F154*(1+$G154),0))</f>
        <v/>
      </c>
    </row>
    <row r="155">
      <c r="J155" s="22">
        <f>IF($A155="","",IFERROR($F155*(1+$G155),0))</f>
        <v/>
      </c>
    </row>
    <row r="156">
      <c r="J156" s="22">
        <f>IF($A156="","",IFERROR($F156*(1+$G156),0))</f>
        <v/>
      </c>
    </row>
    <row r="157">
      <c r="J157" s="22">
        <f>IF($A157="","",IFERROR($F157*(1+$G157),0))</f>
        <v/>
      </c>
    </row>
    <row r="158">
      <c r="J158" s="22">
        <f>IF($A158="","",IFERROR($F158*(1+$G158),0))</f>
        <v/>
      </c>
    </row>
    <row r="159">
      <c r="J159" s="22">
        <f>IF($A159="","",IFERROR($F159*(1+$G159),0))</f>
        <v/>
      </c>
    </row>
    <row r="160">
      <c r="J160" s="22">
        <f>IF($A160="","",IFERROR($F160*(1+$G160),0))</f>
        <v/>
      </c>
    </row>
    <row r="161">
      <c r="J161" s="22">
        <f>IF($A161="","",IFERROR($F161*(1+$G161),0))</f>
        <v/>
      </c>
    </row>
    <row r="162">
      <c r="J162" s="22">
        <f>IF($A162="","",IFERROR($F162*(1+$G162),0))</f>
        <v/>
      </c>
    </row>
    <row r="163">
      <c r="J163" s="22">
        <f>IF($A163="","",IFERROR($F163*(1+$G163),0))</f>
        <v/>
      </c>
    </row>
    <row r="164">
      <c r="J164" s="22">
        <f>IF($A164="","",IFERROR($F164*(1+$G164),0))</f>
        <v/>
      </c>
    </row>
    <row r="165">
      <c r="J165" s="22">
        <f>IF($A165="","",IFERROR($F165*(1+$G165),0))</f>
        <v/>
      </c>
    </row>
    <row r="166">
      <c r="J166" s="22">
        <f>IF($A166="","",IFERROR($F166*(1+$G166),0))</f>
        <v/>
      </c>
    </row>
    <row r="167">
      <c r="J167" s="22">
        <f>IF($A167="","",IFERROR($F167*(1+$G167),0))</f>
        <v/>
      </c>
    </row>
    <row r="168">
      <c r="J168" s="22">
        <f>IF($A168="","",IFERROR($F168*(1+$G168),0))</f>
        <v/>
      </c>
    </row>
    <row r="169">
      <c r="J169" s="22">
        <f>IF($A169="","",IFERROR($F169*(1+$G169),0))</f>
        <v/>
      </c>
    </row>
    <row r="170">
      <c r="J170" s="22">
        <f>IF($A170="","",IFERROR($F170*(1+$G170),0))</f>
        <v/>
      </c>
    </row>
    <row r="171">
      <c r="J171" s="22">
        <f>IF($A171="","",IFERROR($F171*(1+$G171),0))</f>
        <v/>
      </c>
    </row>
    <row r="172">
      <c r="J172" s="22">
        <f>IF($A172="","",IFERROR($F172*(1+$G172),0))</f>
        <v/>
      </c>
    </row>
    <row r="173">
      <c r="J173" s="22">
        <f>IF($A173="","",IFERROR($F173*(1+$G173),0))</f>
        <v/>
      </c>
    </row>
    <row r="174">
      <c r="J174" s="22">
        <f>IF($A174="","",IFERROR($F174*(1+$G174),0))</f>
        <v/>
      </c>
    </row>
    <row r="175">
      <c r="J175" s="22">
        <f>IF($A175="","",IFERROR($F175*(1+$G175),0))</f>
        <v/>
      </c>
    </row>
    <row r="176">
      <c r="J176" s="22">
        <f>IF($A176="","",IFERROR($F176*(1+$G176),0))</f>
        <v/>
      </c>
    </row>
    <row r="177">
      <c r="J177" s="22">
        <f>IF($A177="","",IFERROR($F177*(1+$G177),0))</f>
        <v/>
      </c>
    </row>
    <row r="178">
      <c r="J178" s="22">
        <f>IF($A178="","",IFERROR($F178*(1+$G178),0))</f>
        <v/>
      </c>
    </row>
    <row r="179">
      <c r="J179" s="22">
        <f>IF($A179="","",IFERROR($F179*(1+$G179),0))</f>
        <v/>
      </c>
    </row>
    <row r="180">
      <c r="J180" s="22">
        <f>IF($A180="","",IFERROR($F180*(1+$G180),0))</f>
        <v/>
      </c>
    </row>
    <row r="181">
      <c r="J181" s="22">
        <f>IF($A181="","",IFERROR($F181*(1+$G181),0))</f>
        <v/>
      </c>
    </row>
    <row r="182">
      <c r="J182" s="22">
        <f>IF($A182="","",IFERROR($F182*(1+$G182),0))</f>
        <v/>
      </c>
    </row>
    <row r="183">
      <c r="J183" s="22">
        <f>IF($A183="","",IFERROR($F183*(1+$G183),0))</f>
        <v/>
      </c>
    </row>
    <row r="184">
      <c r="J184" s="22">
        <f>IF($A184="","",IFERROR($F184*(1+$G184),0))</f>
        <v/>
      </c>
    </row>
    <row r="185">
      <c r="J185" s="22">
        <f>IF($A185="","",IFERROR($F185*(1+$G185),0))</f>
        <v/>
      </c>
    </row>
    <row r="186">
      <c r="J186" s="22">
        <f>IF($A186="","",IFERROR($F186*(1+$G186),0))</f>
        <v/>
      </c>
    </row>
    <row r="187">
      <c r="J187" s="22">
        <f>IF($A187="","",IFERROR($F187*(1+$G187),0))</f>
        <v/>
      </c>
    </row>
    <row r="188">
      <c r="J188" s="22">
        <f>IF($A188="","",IFERROR($F188*(1+$G188),0))</f>
        <v/>
      </c>
    </row>
    <row r="189">
      <c r="J189" s="22">
        <f>IF($A189="","",IFERROR($F189*(1+$G189),0))</f>
        <v/>
      </c>
    </row>
    <row r="190">
      <c r="J190" s="22">
        <f>IF($A190="","",IFERROR($F190*(1+$G190),0))</f>
        <v/>
      </c>
    </row>
    <row r="191">
      <c r="J191" s="22">
        <f>IF($A191="","",IFERROR($F191*(1+$G191),0))</f>
        <v/>
      </c>
    </row>
    <row r="192">
      <c r="J192" s="22">
        <f>IF($A192="","",IFERROR($F192*(1+$G192),0))</f>
        <v/>
      </c>
    </row>
    <row r="193">
      <c r="J193" s="22">
        <f>IF($A193="","",IFERROR($F193*(1+$G193),0))</f>
        <v/>
      </c>
    </row>
    <row r="194">
      <c r="J194" s="22">
        <f>IF($A194="","",IFERROR($F194*(1+$G194),0))</f>
        <v/>
      </c>
    </row>
    <row r="195">
      <c r="J195" s="22">
        <f>IF($A195="","",IFERROR($F195*(1+$G195),0))</f>
        <v/>
      </c>
    </row>
    <row r="196">
      <c r="J196" s="22">
        <f>IF($A196="","",IFERROR($F196*(1+$G196),0))</f>
        <v/>
      </c>
    </row>
    <row r="197">
      <c r="J197" s="22">
        <f>IF($A197="","",IFERROR($F197*(1+$G197),0))</f>
        <v/>
      </c>
    </row>
    <row r="198">
      <c r="J198" s="22">
        <f>IF($A198="","",IFERROR($F198*(1+$G198),0))</f>
        <v/>
      </c>
    </row>
    <row r="199">
      <c r="J199" s="22">
        <f>IF($A199="","",IFERROR($F199*(1+$G199),0))</f>
        <v/>
      </c>
    </row>
    <row r="200">
      <c r="J200" s="22">
        <f>IF($A200="","",IFERROR($F200*(1+$G200),0))</f>
        <v/>
      </c>
    </row>
    <row r="201">
      <c r="J201" s="22">
        <f>IF($A201="","",IFERROR($F201*(1+$G201),0))</f>
        <v/>
      </c>
    </row>
    <row r="202">
      <c r="J202" s="22">
        <f>IF($A202="","",IFERROR($F202*(1+$G202),0))</f>
        <v/>
      </c>
    </row>
    <row r="203">
      <c r="J203" s="22">
        <f>IF($A203="","",IFERROR($F203*(1+$G203),0))</f>
        <v/>
      </c>
    </row>
    <row r="204">
      <c r="J204" s="22">
        <f>IF($A204="","",IFERROR($F204*(1+$G204),0))</f>
        <v/>
      </c>
    </row>
    <row r="205">
      <c r="J205" s="22">
        <f>IF($A205="","",IFERROR($F205*(1+$G205),0))</f>
        <v/>
      </c>
    </row>
    <row r="206">
      <c r="J206" s="22">
        <f>IF($A206="","",IFERROR($F206*(1+$G206),0))</f>
        <v/>
      </c>
    </row>
    <row r="207">
      <c r="J207" s="22">
        <f>IF($A207="","",IFERROR($F207*(1+$G207),0))</f>
        <v/>
      </c>
    </row>
    <row r="208">
      <c r="J208" s="22">
        <f>IF($A208="","",IFERROR($F208*(1+$G208),0))</f>
        <v/>
      </c>
    </row>
    <row r="209">
      <c r="J209" s="22">
        <f>IF($A209="","",IFERROR($F209*(1+$G209),0))</f>
        <v/>
      </c>
    </row>
    <row r="210">
      <c r="J210" s="22">
        <f>IF($A210="","",IFERROR($F210*(1+$G210),0))</f>
        <v/>
      </c>
    </row>
    <row r="211">
      <c r="J211" s="22">
        <f>IF($A211="","",IFERROR($F211*(1+$G211),0))</f>
        <v/>
      </c>
    </row>
    <row r="212">
      <c r="J212" s="22">
        <f>IF($A212="","",IFERROR($F212*(1+$G212),0))</f>
        <v/>
      </c>
    </row>
    <row r="213">
      <c r="J213" s="22">
        <f>IF($A213="","",IFERROR($F213*(1+$G213),0))</f>
        <v/>
      </c>
    </row>
    <row r="214">
      <c r="J214" s="22">
        <f>IF($A214="","",IFERROR($F214*(1+$G214),0))</f>
        <v/>
      </c>
    </row>
    <row r="215">
      <c r="J215" s="22">
        <f>IF($A215="","",IFERROR($F215*(1+$G215),0))</f>
        <v/>
      </c>
    </row>
    <row r="216">
      <c r="J216" s="22">
        <f>IF($A216="","",IFERROR($F216*(1+$G216),0))</f>
        <v/>
      </c>
    </row>
    <row r="217">
      <c r="J217" s="22">
        <f>IF($A217="","",IFERROR($F217*(1+$G217),0))</f>
        <v/>
      </c>
    </row>
    <row r="218">
      <c r="J218" s="22">
        <f>IF($A218="","",IFERROR($F218*(1+$G218),0))</f>
        <v/>
      </c>
    </row>
    <row r="219">
      <c r="J219" s="22">
        <f>IF($A219="","",IFERROR($F219*(1+$G219),0))</f>
        <v/>
      </c>
    </row>
    <row r="220">
      <c r="J220" s="22">
        <f>IF($A220="","",IFERROR($F220*(1+$G220),0))</f>
        <v/>
      </c>
    </row>
    <row r="221">
      <c r="J221" s="22">
        <f>IF($A221="","",IFERROR($F221*(1+$G221),0))</f>
        <v/>
      </c>
    </row>
    <row r="222">
      <c r="J222" s="22">
        <f>IF($A222="","",IFERROR($F222*(1+$G222),0))</f>
        <v/>
      </c>
    </row>
    <row r="223">
      <c r="J223" s="22">
        <f>IF($A223="","",IFERROR($F223*(1+$G223),0))</f>
        <v/>
      </c>
    </row>
    <row r="224">
      <c r="J224" s="22">
        <f>IF($A224="","",IFERROR($F224*(1+$G224),0))</f>
        <v/>
      </c>
    </row>
    <row r="225">
      <c r="J225" s="22">
        <f>IF($A225="","",IFERROR($F225*(1+$G225),0))</f>
        <v/>
      </c>
    </row>
    <row r="226">
      <c r="J226" s="22">
        <f>IF($A226="","",IFERROR($F226*(1+$G226),0))</f>
        <v/>
      </c>
    </row>
    <row r="227">
      <c r="J227" s="22">
        <f>IF($A227="","",IFERROR($F227*(1+$G227),0))</f>
        <v/>
      </c>
    </row>
    <row r="228">
      <c r="J228" s="22">
        <f>IF($A228="","",IFERROR($F228*(1+$G228),0))</f>
        <v/>
      </c>
    </row>
    <row r="229">
      <c r="J229" s="22">
        <f>IF($A229="","",IFERROR($F229*(1+$G229),0))</f>
        <v/>
      </c>
    </row>
    <row r="230">
      <c r="J230" s="22">
        <f>IF($A230="","",IFERROR($F230*(1+$G230),0))</f>
        <v/>
      </c>
    </row>
    <row r="231">
      <c r="J231" s="22">
        <f>IF($A231="","",IFERROR($F231*(1+$G231),0))</f>
        <v/>
      </c>
    </row>
    <row r="232">
      <c r="J232" s="22">
        <f>IF($A232="","",IFERROR($F232*(1+$G232),0))</f>
        <v/>
      </c>
    </row>
    <row r="233">
      <c r="J233" s="22">
        <f>IF($A233="","",IFERROR($F233*(1+$G233),0))</f>
        <v/>
      </c>
    </row>
    <row r="234">
      <c r="J234" s="22">
        <f>IF($A234="","",IFERROR($F234*(1+$G234),0))</f>
        <v/>
      </c>
    </row>
    <row r="235">
      <c r="J235" s="22">
        <f>IF($A235="","",IFERROR($F235*(1+$G235),0))</f>
        <v/>
      </c>
    </row>
    <row r="236">
      <c r="J236" s="22">
        <f>IF($A236="","",IFERROR($F236*(1+$G236),0))</f>
        <v/>
      </c>
    </row>
    <row r="237">
      <c r="J237" s="22">
        <f>IF($A237="","",IFERROR($F237*(1+$G237),0))</f>
        <v/>
      </c>
    </row>
    <row r="238">
      <c r="J238" s="22">
        <f>IF($A238="","",IFERROR($F238*(1+$G238),0))</f>
        <v/>
      </c>
    </row>
    <row r="239">
      <c r="J239" s="22">
        <f>IF($A239="","",IFERROR($F239*(1+$G239),0))</f>
        <v/>
      </c>
    </row>
    <row r="240">
      <c r="J240" s="22">
        <f>IF($A240="","",IFERROR($F240*(1+$G240),0))</f>
        <v/>
      </c>
    </row>
    <row r="241">
      <c r="J241" s="22">
        <f>IF($A241="","",IFERROR($F241*(1+$G241),0))</f>
        <v/>
      </c>
    </row>
    <row r="242">
      <c r="J242" s="22">
        <f>IF($A242="","",IFERROR($F242*(1+$G242),0))</f>
        <v/>
      </c>
    </row>
    <row r="243">
      <c r="J243" s="22">
        <f>IF($A243="","",IFERROR($F243*(1+$G243),0))</f>
        <v/>
      </c>
    </row>
    <row r="244">
      <c r="J244" s="22">
        <f>IF($A244="","",IFERROR($F244*(1+$G244),0))</f>
        <v/>
      </c>
    </row>
    <row r="245">
      <c r="J245" s="22">
        <f>IF($A245="","",IFERROR($F245*(1+$G245),0))</f>
        <v/>
      </c>
    </row>
    <row r="246">
      <c r="J246" s="22">
        <f>IF($A246="","",IFERROR($F246*(1+$G246),0))</f>
        <v/>
      </c>
    </row>
    <row r="247">
      <c r="J247" s="22">
        <f>IF($A247="","",IFERROR($F247*(1+$G247),0))</f>
        <v/>
      </c>
    </row>
    <row r="248">
      <c r="J248" s="22">
        <f>IF($A248="","",IFERROR($F248*(1+$G248),0))</f>
        <v/>
      </c>
    </row>
    <row r="249">
      <c r="J249" s="22">
        <f>IF($A249="","",IFERROR($F249*(1+$G249),0))</f>
        <v/>
      </c>
    </row>
    <row r="250">
      <c r="J250" s="22">
        <f>IF($A250="","",IFERROR($F250*(1+$G250),0))</f>
        <v/>
      </c>
    </row>
    <row r="251">
      <c r="J251" s="22">
        <f>IF($A251="","",IFERROR($F251*(1+$G251),0))</f>
        <v/>
      </c>
    </row>
    <row r="252">
      <c r="J252" s="22">
        <f>IF($A252="","",IFERROR($F252*(1+$G252),0))</f>
        <v/>
      </c>
    </row>
    <row r="253">
      <c r="J253" s="22">
        <f>IF($A253="","",IFERROR($F253*(1+$G253),0))</f>
        <v/>
      </c>
    </row>
    <row r="254">
      <c r="J254" s="22">
        <f>IF($A254="","",IFERROR($F254*(1+$G254),0))</f>
        <v/>
      </c>
    </row>
    <row r="255">
      <c r="J255" s="22">
        <f>IF($A255="","",IFERROR($F255*(1+$G255),0))</f>
        <v/>
      </c>
    </row>
    <row r="256">
      <c r="J256" s="22">
        <f>IF($A256="","",IFERROR($F256*(1+$G256),0))</f>
        <v/>
      </c>
    </row>
    <row r="257">
      <c r="J257" s="22">
        <f>IF($A257="","",IFERROR($F257*(1+$G257),0))</f>
        <v/>
      </c>
    </row>
    <row r="258">
      <c r="J258" s="22">
        <f>IF($A258="","",IFERROR($F258*(1+$G258),0))</f>
        <v/>
      </c>
    </row>
    <row r="259">
      <c r="J259" s="22">
        <f>IF($A259="","",IFERROR($F259*(1+$G259),0))</f>
        <v/>
      </c>
    </row>
    <row r="260">
      <c r="J260" s="22">
        <f>IF($A260="","",IFERROR($F260*(1+$G260),0))</f>
        <v/>
      </c>
    </row>
    <row r="261">
      <c r="J261" s="22">
        <f>IF($A261="","",IFERROR($F261*(1+$G261),0))</f>
        <v/>
      </c>
    </row>
    <row r="262">
      <c r="J262" s="22">
        <f>IF($A262="","",IFERROR($F262*(1+$G262),0))</f>
        <v/>
      </c>
    </row>
    <row r="263">
      <c r="J263" s="22">
        <f>IF($A263="","",IFERROR($F263*(1+$G263),0))</f>
        <v/>
      </c>
    </row>
    <row r="264">
      <c r="J264" s="22">
        <f>IF($A264="","",IFERROR($F264*(1+$G264),0))</f>
        <v/>
      </c>
    </row>
    <row r="265">
      <c r="J265" s="22">
        <f>IF($A265="","",IFERROR($F265*(1+$G265),0))</f>
        <v/>
      </c>
    </row>
    <row r="266">
      <c r="J266" s="22">
        <f>IF($A266="","",IFERROR($F266*(1+$G266),0))</f>
        <v/>
      </c>
    </row>
    <row r="267">
      <c r="J267" s="22">
        <f>IF($A267="","",IFERROR($F267*(1+$G267),0))</f>
        <v/>
      </c>
    </row>
    <row r="268">
      <c r="J268" s="22">
        <f>IF($A268="","",IFERROR($F268*(1+$G268),0))</f>
        <v/>
      </c>
    </row>
    <row r="269">
      <c r="J269" s="22">
        <f>IF($A269="","",IFERROR($F269*(1+$G269),0))</f>
        <v/>
      </c>
    </row>
    <row r="270">
      <c r="J270" s="22">
        <f>IF($A270="","",IFERROR($F270*(1+$G270),0))</f>
        <v/>
      </c>
    </row>
    <row r="271">
      <c r="J271" s="22">
        <f>IF($A271="","",IFERROR($F271*(1+$G271),0))</f>
        <v/>
      </c>
    </row>
    <row r="272">
      <c r="J272" s="22">
        <f>IF($A272="","",IFERROR($F272*(1+$G272),0))</f>
        <v/>
      </c>
    </row>
    <row r="273">
      <c r="J273" s="22">
        <f>IF($A273="","",IFERROR($F273*(1+$G273),0))</f>
        <v/>
      </c>
    </row>
    <row r="274">
      <c r="J274" s="22">
        <f>IF($A274="","",IFERROR($F274*(1+$G274),0))</f>
        <v/>
      </c>
    </row>
    <row r="275">
      <c r="J275" s="22">
        <f>IF($A275="","",IFERROR($F275*(1+$G275),0))</f>
        <v/>
      </c>
    </row>
    <row r="276">
      <c r="J276" s="22">
        <f>IF($A276="","",IFERROR($F276*(1+$G276),0))</f>
        <v/>
      </c>
    </row>
    <row r="277">
      <c r="J277" s="22">
        <f>IF($A277="","",IFERROR($F277*(1+$G277),0))</f>
        <v/>
      </c>
    </row>
    <row r="278">
      <c r="J278" s="22">
        <f>IF($A278="","",IFERROR($F278*(1+$G278),0))</f>
        <v/>
      </c>
    </row>
    <row r="279">
      <c r="J279" s="22">
        <f>IF($A279="","",IFERROR($F279*(1+$G279),0))</f>
        <v/>
      </c>
    </row>
    <row r="280">
      <c r="J280" s="22">
        <f>IF($A280="","",IFERROR($F280*(1+$G280),0))</f>
        <v/>
      </c>
    </row>
    <row r="281">
      <c r="J281" s="22">
        <f>IF($A281="","",IFERROR($F281*(1+$G281),0))</f>
        <v/>
      </c>
    </row>
    <row r="282">
      <c r="J282" s="22">
        <f>IF($A282="","",IFERROR($F282*(1+$G282),0))</f>
        <v/>
      </c>
    </row>
    <row r="283">
      <c r="J283" s="22">
        <f>IF($A283="","",IFERROR($F283*(1+$G283),0))</f>
        <v/>
      </c>
    </row>
    <row r="284">
      <c r="J284" s="22">
        <f>IF($A284="","",IFERROR($F284*(1+$G284),0))</f>
        <v/>
      </c>
    </row>
    <row r="285">
      <c r="J285" s="22">
        <f>IF($A285="","",IFERROR($F285*(1+$G285),0))</f>
        <v/>
      </c>
    </row>
    <row r="286">
      <c r="J286" s="22">
        <f>IF($A286="","",IFERROR($F286*(1+$G286),0))</f>
        <v/>
      </c>
    </row>
    <row r="287">
      <c r="J287" s="22">
        <f>IF($A287="","",IFERROR($F287*(1+$G287),0))</f>
        <v/>
      </c>
    </row>
    <row r="288">
      <c r="J288" s="22">
        <f>IF($A288="","",IFERROR($F288*(1+$G288),0))</f>
        <v/>
      </c>
    </row>
    <row r="289">
      <c r="J289" s="22">
        <f>IF($A289="","",IFERROR($F289*(1+$G289),0))</f>
        <v/>
      </c>
    </row>
    <row r="290">
      <c r="J290" s="22">
        <f>IF($A290="","",IFERROR($F290*(1+$G290),0))</f>
        <v/>
      </c>
    </row>
    <row r="291">
      <c r="J291" s="22">
        <f>IF($A291="","",IFERROR($F291*(1+$G291),0))</f>
        <v/>
      </c>
    </row>
    <row r="292">
      <c r="J292" s="22">
        <f>IF($A292="","",IFERROR($F292*(1+$G292),0))</f>
        <v/>
      </c>
    </row>
    <row r="293">
      <c r="J293" s="22">
        <f>IF($A293="","",IFERROR($F293*(1+$G293),0))</f>
        <v/>
      </c>
    </row>
    <row r="294">
      <c r="J294" s="22">
        <f>IF($A294="","",IFERROR($F294*(1+$G294),0))</f>
        <v/>
      </c>
    </row>
    <row r="295">
      <c r="J295" s="22">
        <f>IF($A295="","",IFERROR($F295*(1+$G295),0))</f>
        <v/>
      </c>
    </row>
    <row r="296">
      <c r="J296" s="22">
        <f>IF($A296="","",IFERROR($F296*(1+$G296),0))</f>
        <v/>
      </c>
    </row>
    <row r="297">
      <c r="J297" s="22">
        <f>IF($A297="","",IFERROR($F297*(1+$G297),0))</f>
        <v/>
      </c>
    </row>
    <row r="298">
      <c r="J298" s="22">
        <f>IF($A298="","",IFERROR($F298*(1+$G298),0))</f>
        <v/>
      </c>
    </row>
    <row r="299">
      <c r="J299" s="22">
        <f>IF($A299="","",IFERROR($F299*(1+$G299),0))</f>
        <v/>
      </c>
    </row>
    <row r="300">
      <c r="J300" s="22">
        <f>IF($A300="","",IFERROR($F300*(1+$G300),0))</f>
        <v/>
      </c>
    </row>
    <row r="301">
      <c r="J301" s="22">
        <f>IF($A301="","",IFERROR($F301*(1+$G301),0))</f>
        <v/>
      </c>
    </row>
    <row r="302">
      <c r="J302" s="22">
        <f>IF($A302="","",IFERROR($F302*(1+$G302),0))</f>
        <v/>
      </c>
    </row>
    <row r="303">
      <c r="J303" s="22">
        <f>IF($A303="","",IFERROR($F303*(1+$G303),0))</f>
        <v/>
      </c>
    </row>
    <row r="304">
      <c r="J304" s="22">
        <f>IF($A304="","",IFERROR($F304*(1+$G304),0))</f>
        <v/>
      </c>
    </row>
    <row r="305">
      <c r="J305" s="22">
        <f>IF($A305="","",IFERROR($F305*(1+$G305),0))</f>
        <v/>
      </c>
    </row>
    <row r="306">
      <c r="J306" s="22">
        <f>IF($A306="","",IFERROR($F306*(1+$G306),0))</f>
        <v/>
      </c>
    </row>
    <row r="307">
      <c r="J307" s="22">
        <f>IF($A307="","",IFERROR($F307*(1+$G307),0))</f>
        <v/>
      </c>
    </row>
    <row r="308">
      <c r="J308" s="22">
        <f>IF($A308="","",IFERROR($F308*(1+$G308),0))</f>
        <v/>
      </c>
    </row>
    <row r="309">
      <c r="J309" s="22">
        <f>IF($A309="","",IFERROR($F309*(1+$G309),0))</f>
        <v/>
      </c>
    </row>
    <row r="310">
      <c r="J310" s="22">
        <f>IF($A310="","",IFERROR($F310*(1+$G310),0))</f>
        <v/>
      </c>
    </row>
    <row r="311">
      <c r="J311" s="22">
        <f>IF($A311="","",IFERROR($F311*(1+$G311),0))</f>
        <v/>
      </c>
    </row>
    <row r="312">
      <c r="J312" s="22">
        <f>IF($A312="","",IFERROR($F312*(1+$G312),0))</f>
        <v/>
      </c>
    </row>
    <row r="313">
      <c r="J313" s="22">
        <f>IF($A313="","",IFERROR($F313*(1+$G313),0))</f>
        <v/>
      </c>
    </row>
    <row r="314">
      <c r="J314" s="22">
        <f>IF($A314="","",IFERROR($F314*(1+$G314),0))</f>
        <v/>
      </c>
    </row>
    <row r="315">
      <c r="J315" s="22">
        <f>IF($A315="","",IFERROR($F315*(1+$G315),0))</f>
        <v/>
      </c>
    </row>
    <row r="316">
      <c r="J316" s="22">
        <f>IF($A316="","",IFERROR($F316*(1+$G316),0))</f>
        <v/>
      </c>
    </row>
    <row r="317">
      <c r="J317" s="22">
        <f>IF($A317="","",IFERROR($F317*(1+$G317),0))</f>
        <v/>
      </c>
    </row>
    <row r="318">
      <c r="J318" s="22">
        <f>IF($A318="","",IFERROR($F318*(1+$G318),0))</f>
        <v/>
      </c>
    </row>
    <row r="319">
      <c r="J319" s="22">
        <f>IF($A319="","",IFERROR($F319*(1+$G319),0))</f>
        <v/>
      </c>
    </row>
    <row r="320">
      <c r="J320" s="22">
        <f>IF($A320="","",IFERROR($F320*(1+$G320),0))</f>
        <v/>
      </c>
    </row>
    <row r="321">
      <c r="J321" s="22">
        <f>IF($A321="","",IFERROR($F321*(1+$G321),0))</f>
        <v/>
      </c>
    </row>
    <row r="322">
      <c r="J322" s="22">
        <f>IF($A322="","",IFERROR($F322*(1+$G322),0))</f>
        <v/>
      </c>
    </row>
    <row r="323">
      <c r="J323" s="22">
        <f>IF($A323="","",IFERROR($F323*(1+$G323),0))</f>
        <v/>
      </c>
    </row>
    <row r="324">
      <c r="J324" s="22">
        <f>IF($A324="","",IFERROR($F324*(1+$G324),0))</f>
        <v/>
      </c>
    </row>
    <row r="325">
      <c r="J325" s="22">
        <f>IF($A325="","",IFERROR($F325*(1+$G325),0))</f>
        <v/>
      </c>
    </row>
    <row r="326">
      <c r="J326" s="22">
        <f>IF($A326="","",IFERROR($F326*(1+$G326),0))</f>
        <v/>
      </c>
    </row>
    <row r="327">
      <c r="J327" s="22">
        <f>IF($A327="","",IFERROR($F327*(1+$G327),0))</f>
        <v/>
      </c>
    </row>
    <row r="328">
      <c r="J328" s="22">
        <f>IF($A328="","",IFERROR($F328*(1+$G328),0))</f>
        <v/>
      </c>
    </row>
    <row r="329">
      <c r="J329" s="22">
        <f>IF($A329="","",IFERROR($F329*(1+$G329),0))</f>
        <v/>
      </c>
    </row>
    <row r="330">
      <c r="J330" s="22">
        <f>IF($A330="","",IFERROR($F330*(1+$G330),0))</f>
        <v/>
      </c>
    </row>
    <row r="331">
      <c r="J331" s="22">
        <f>IF($A331="","",IFERROR($F331*(1+$G331),0))</f>
        <v/>
      </c>
    </row>
    <row r="332">
      <c r="J332" s="22">
        <f>IF($A332="","",IFERROR($F332*(1+$G332),0))</f>
        <v/>
      </c>
    </row>
    <row r="333">
      <c r="J333" s="22">
        <f>IF($A333="","",IFERROR($F333*(1+$G333),0))</f>
        <v/>
      </c>
    </row>
    <row r="334">
      <c r="J334" s="22">
        <f>IF($A334="","",IFERROR($F334*(1+$G334),0))</f>
        <v/>
      </c>
    </row>
    <row r="335">
      <c r="J335" s="22">
        <f>IF($A335="","",IFERROR($F335*(1+$G335),0))</f>
        <v/>
      </c>
    </row>
    <row r="336">
      <c r="J336" s="22">
        <f>IF($A336="","",IFERROR($F336*(1+$G336),0))</f>
        <v/>
      </c>
    </row>
    <row r="337">
      <c r="J337" s="22">
        <f>IF($A337="","",IFERROR($F337*(1+$G337),0))</f>
        <v/>
      </c>
    </row>
    <row r="338">
      <c r="J338" s="22">
        <f>IF($A338="","",IFERROR($F338*(1+$G338),0))</f>
        <v/>
      </c>
    </row>
    <row r="339">
      <c r="J339" s="22">
        <f>IF($A339="","",IFERROR($F339*(1+$G339),0))</f>
        <v/>
      </c>
    </row>
    <row r="340">
      <c r="J340" s="22">
        <f>IF($A340="","",IFERROR($F340*(1+$G340),0))</f>
        <v/>
      </c>
    </row>
    <row r="341">
      <c r="J341" s="22">
        <f>IF($A341="","",IFERROR($F341*(1+$G341),0))</f>
        <v/>
      </c>
    </row>
    <row r="342">
      <c r="J342" s="22">
        <f>IF($A342="","",IFERROR($F342*(1+$G342),0))</f>
        <v/>
      </c>
    </row>
    <row r="343">
      <c r="J343" s="22">
        <f>IF($A343="","",IFERROR($F343*(1+$G343),0))</f>
        <v/>
      </c>
    </row>
    <row r="344">
      <c r="J344" s="22">
        <f>IF($A344="","",IFERROR($F344*(1+$G344),0))</f>
        <v/>
      </c>
    </row>
    <row r="345">
      <c r="J345" s="22">
        <f>IF($A345="","",IFERROR($F345*(1+$G345),0))</f>
        <v/>
      </c>
    </row>
    <row r="346">
      <c r="J346" s="22">
        <f>IF($A346="","",IFERROR($F346*(1+$G346),0))</f>
        <v/>
      </c>
    </row>
    <row r="347">
      <c r="J347" s="22">
        <f>IF($A347="","",IFERROR($F347*(1+$G347),0))</f>
        <v/>
      </c>
    </row>
    <row r="348">
      <c r="J348" s="22">
        <f>IF($A348="","",IFERROR($F348*(1+$G348),0))</f>
        <v/>
      </c>
    </row>
    <row r="349">
      <c r="J349" s="22">
        <f>IF($A349="","",IFERROR($F349*(1+$G349),0))</f>
        <v/>
      </c>
    </row>
    <row r="350">
      <c r="J350" s="22">
        <f>IF($A350="","",IFERROR($F350*(1+$G350),0))</f>
        <v/>
      </c>
    </row>
    <row r="351">
      <c r="J351" s="22">
        <f>IF($A351="","",IFERROR($F351*(1+$G351),0))</f>
        <v/>
      </c>
    </row>
    <row r="352">
      <c r="J352" s="22">
        <f>IF($A352="","",IFERROR($F352*(1+$G352),0))</f>
        <v/>
      </c>
    </row>
    <row r="353">
      <c r="J353" s="22">
        <f>IF($A353="","",IFERROR($F353*(1+$G353),0))</f>
        <v/>
      </c>
    </row>
    <row r="354">
      <c r="J354" s="22">
        <f>IF($A354="","",IFERROR($F354*(1+$G354),0))</f>
        <v/>
      </c>
    </row>
    <row r="355">
      <c r="J355" s="22">
        <f>IF($A355="","",IFERROR($F355*(1+$G355),0))</f>
        <v/>
      </c>
    </row>
    <row r="356">
      <c r="J356" s="22">
        <f>IF($A356="","",IFERROR($F356*(1+$G356),0))</f>
        <v/>
      </c>
    </row>
    <row r="357">
      <c r="J357" s="22">
        <f>IF($A357="","",IFERROR($F357*(1+$G357),0))</f>
        <v/>
      </c>
    </row>
    <row r="358">
      <c r="J358" s="22">
        <f>IF($A358="","",IFERROR($F358*(1+$G358),0))</f>
        <v/>
      </c>
    </row>
    <row r="359">
      <c r="J359" s="22">
        <f>IF($A359="","",IFERROR($F359*(1+$G359),0))</f>
        <v/>
      </c>
    </row>
    <row r="360">
      <c r="J360" s="22">
        <f>IF($A360="","",IFERROR($F360*(1+$G360),0))</f>
        <v/>
      </c>
    </row>
    <row r="361">
      <c r="J361" s="22">
        <f>IF($A361="","",IFERROR($F361*(1+$G361),0))</f>
        <v/>
      </c>
    </row>
    <row r="362">
      <c r="J362" s="22">
        <f>IF($A362="","",IFERROR($F362*(1+$G362),0))</f>
        <v/>
      </c>
    </row>
    <row r="363">
      <c r="J363" s="22">
        <f>IF($A363="","",IFERROR($F363*(1+$G363),0))</f>
        <v/>
      </c>
    </row>
    <row r="364">
      <c r="J364" s="22">
        <f>IF($A364="","",IFERROR($F364*(1+$G364),0))</f>
        <v/>
      </c>
    </row>
    <row r="365">
      <c r="J365" s="22">
        <f>IF($A365="","",IFERROR($F365*(1+$G365),0))</f>
        <v/>
      </c>
    </row>
    <row r="366">
      <c r="J366" s="22">
        <f>IF($A366="","",IFERROR($F366*(1+$G366),0))</f>
        <v/>
      </c>
    </row>
    <row r="367">
      <c r="J367" s="22">
        <f>IF($A367="","",IFERROR($F367*(1+$G367),0))</f>
        <v/>
      </c>
    </row>
    <row r="368">
      <c r="J368" s="22">
        <f>IF($A368="","",IFERROR($F368*(1+$G368),0))</f>
        <v/>
      </c>
    </row>
    <row r="369">
      <c r="J369" s="22">
        <f>IF($A369="","",IFERROR($F369*(1+$G369),0))</f>
        <v/>
      </c>
    </row>
    <row r="370">
      <c r="J370" s="22">
        <f>IF($A370="","",IFERROR($F370*(1+$G370),0))</f>
        <v/>
      </c>
    </row>
    <row r="371">
      <c r="J371" s="22">
        <f>IF($A371="","",IFERROR($F371*(1+$G371),0))</f>
        <v/>
      </c>
    </row>
    <row r="372">
      <c r="J372" s="22">
        <f>IF($A372="","",IFERROR($F372*(1+$G372),0))</f>
        <v/>
      </c>
    </row>
    <row r="373">
      <c r="J373" s="22">
        <f>IF($A373="","",IFERROR($F373*(1+$G373),0))</f>
        <v/>
      </c>
    </row>
    <row r="374">
      <c r="J374" s="22">
        <f>IF($A374="","",IFERROR($F374*(1+$G374),0))</f>
        <v/>
      </c>
    </row>
    <row r="375">
      <c r="J375" s="22">
        <f>IF($A375="","",IFERROR($F375*(1+$G375),0))</f>
        <v/>
      </c>
    </row>
    <row r="376">
      <c r="J376" s="22">
        <f>IF($A376="","",IFERROR($F376*(1+$G376),0))</f>
        <v/>
      </c>
    </row>
    <row r="377">
      <c r="J377" s="22">
        <f>IF($A377="","",IFERROR($F377*(1+$G377),0))</f>
        <v/>
      </c>
    </row>
    <row r="378">
      <c r="J378" s="22">
        <f>IF($A378="","",IFERROR($F378*(1+$G378),0))</f>
        <v/>
      </c>
    </row>
    <row r="379">
      <c r="J379" s="22">
        <f>IF($A379="","",IFERROR($F379*(1+$G379),0))</f>
        <v/>
      </c>
    </row>
    <row r="380">
      <c r="J380" s="22">
        <f>IF($A380="","",IFERROR($F380*(1+$G380),0))</f>
        <v/>
      </c>
    </row>
    <row r="381">
      <c r="J381" s="22">
        <f>IF($A381="","",IFERROR($F381*(1+$G381),0))</f>
        <v/>
      </c>
    </row>
    <row r="382">
      <c r="J382" s="22">
        <f>IF($A382="","",IFERROR($F382*(1+$G382),0))</f>
        <v/>
      </c>
    </row>
    <row r="383">
      <c r="J383" s="22">
        <f>IF($A383="","",IFERROR($F383*(1+$G383),0))</f>
        <v/>
      </c>
    </row>
    <row r="384">
      <c r="J384" s="22">
        <f>IF($A384="","",IFERROR($F384*(1+$G384),0))</f>
        <v/>
      </c>
    </row>
    <row r="385">
      <c r="J385" s="22">
        <f>IF($A385="","",IFERROR($F385*(1+$G385),0))</f>
        <v/>
      </c>
    </row>
    <row r="386">
      <c r="J386" s="22">
        <f>IF($A386="","",IFERROR($F386*(1+$G386),0))</f>
        <v/>
      </c>
    </row>
    <row r="387">
      <c r="J387" s="22">
        <f>IF($A387="","",IFERROR($F387*(1+$G387),0))</f>
        <v/>
      </c>
    </row>
    <row r="388">
      <c r="J388" s="22">
        <f>IF($A388="","",IFERROR($F388*(1+$G388),0))</f>
        <v/>
      </c>
    </row>
    <row r="389">
      <c r="J389" s="22">
        <f>IF($A389="","",IFERROR($F389*(1+$G389),0))</f>
        <v/>
      </c>
    </row>
    <row r="390">
      <c r="J390" s="22">
        <f>IF($A390="","",IFERROR($F390*(1+$G390),0))</f>
        <v/>
      </c>
    </row>
    <row r="391">
      <c r="J391" s="22">
        <f>IF($A391="","",IFERROR($F391*(1+$G391),0))</f>
        <v/>
      </c>
    </row>
    <row r="392">
      <c r="J392" s="22">
        <f>IF($A392="","",IFERROR($F392*(1+$G392),0))</f>
        <v/>
      </c>
    </row>
    <row r="393">
      <c r="J393" s="22">
        <f>IF($A393="","",IFERROR($F393*(1+$G393),0))</f>
        <v/>
      </c>
    </row>
    <row r="394">
      <c r="J394" s="22">
        <f>IF($A394="","",IFERROR($F394*(1+$G394),0))</f>
        <v/>
      </c>
    </row>
    <row r="395">
      <c r="J395" s="22">
        <f>IF($A395="","",IFERROR($F395*(1+$G395),0))</f>
        <v/>
      </c>
    </row>
    <row r="396">
      <c r="J396" s="22">
        <f>IF($A396="","",IFERROR($F396*(1+$G396),0))</f>
        <v/>
      </c>
    </row>
    <row r="397">
      <c r="J397" s="22">
        <f>IF($A397="","",IFERROR($F397*(1+$G397),0))</f>
        <v/>
      </c>
    </row>
    <row r="398">
      <c r="J398" s="22">
        <f>IF($A398="","",IFERROR($F398*(1+$G398),0))</f>
        <v/>
      </c>
    </row>
    <row r="399">
      <c r="J399" s="22">
        <f>IF($A399="","",IFERROR($F399*(1+$G399),0))</f>
        <v/>
      </c>
    </row>
    <row r="400">
      <c r="J400" s="22">
        <f>IF($A400="","",IFERROR($F400*(1+$G400),0))</f>
        <v/>
      </c>
    </row>
    <row r="401">
      <c r="J401" s="22">
        <f>IF($A401="","",IFERROR($F401*(1+$G401),0))</f>
        <v/>
      </c>
    </row>
    <row r="402">
      <c r="J402" s="22">
        <f>IF($A402="","",IFERROR($F402*(1+$G402),0))</f>
        <v/>
      </c>
    </row>
    <row r="403">
      <c r="J403" s="22">
        <f>IF($A403="","",IFERROR($F403*(1+$G403),0))</f>
        <v/>
      </c>
    </row>
    <row r="404">
      <c r="J404" s="22">
        <f>IF($A404="","",IFERROR($F404*(1+$G404),0))</f>
        <v/>
      </c>
    </row>
    <row r="405">
      <c r="J405" s="22">
        <f>IF($A405="","",IFERROR($F405*(1+$G405),0))</f>
        <v/>
      </c>
    </row>
    <row r="406">
      <c r="J406" s="22">
        <f>IF($A406="","",IFERROR($F406*(1+$G406),0))</f>
        <v/>
      </c>
    </row>
    <row r="407">
      <c r="J407" s="22">
        <f>IF($A407="","",IFERROR($F407*(1+$G407),0))</f>
        <v/>
      </c>
    </row>
    <row r="408">
      <c r="J408" s="22">
        <f>IF($A408="","",IFERROR($F408*(1+$G408),0))</f>
        <v/>
      </c>
    </row>
    <row r="409">
      <c r="J409" s="22">
        <f>IF($A409="","",IFERROR($F409*(1+$G409),0))</f>
        <v/>
      </c>
    </row>
    <row r="410">
      <c r="J410" s="22">
        <f>IF($A410="","",IFERROR($F410*(1+$G410),0))</f>
        <v/>
      </c>
    </row>
    <row r="411">
      <c r="J411" s="22">
        <f>IF($A411="","",IFERROR($F411*(1+$G411),0))</f>
        <v/>
      </c>
    </row>
    <row r="412">
      <c r="J412" s="22">
        <f>IF($A412="","",IFERROR($F412*(1+$G412),0))</f>
        <v/>
      </c>
    </row>
    <row r="413">
      <c r="J413" s="22">
        <f>IF($A413="","",IFERROR($F413*(1+$G413),0))</f>
        <v/>
      </c>
    </row>
    <row r="414">
      <c r="J414" s="22">
        <f>IF($A414="","",IFERROR($F414*(1+$G414),0))</f>
        <v/>
      </c>
    </row>
    <row r="415">
      <c r="J415" s="22">
        <f>IF($A415="","",IFERROR($F415*(1+$G415),0))</f>
        <v/>
      </c>
    </row>
    <row r="416">
      <c r="J416" s="22">
        <f>IF($A416="","",IFERROR($F416*(1+$G416),0))</f>
        <v/>
      </c>
    </row>
    <row r="417">
      <c r="J417" s="22">
        <f>IF($A417="","",IFERROR($F417*(1+$G417),0))</f>
        <v/>
      </c>
    </row>
    <row r="418">
      <c r="J418" s="22">
        <f>IF($A418="","",IFERROR($F418*(1+$G418),0))</f>
        <v/>
      </c>
    </row>
    <row r="419">
      <c r="J419" s="22">
        <f>IF($A419="","",IFERROR($F419*(1+$G419),0))</f>
        <v/>
      </c>
    </row>
    <row r="420">
      <c r="J420" s="22">
        <f>IF($A420="","",IFERROR($F420*(1+$G420),0))</f>
        <v/>
      </c>
    </row>
    <row r="421">
      <c r="J421" s="22">
        <f>IF($A421="","",IFERROR($F421*(1+$G421),0))</f>
        <v/>
      </c>
    </row>
    <row r="422">
      <c r="J422" s="22">
        <f>IF($A422="","",IFERROR($F422*(1+$G422),0))</f>
        <v/>
      </c>
    </row>
    <row r="423">
      <c r="J423" s="22">
        <f>IF($A423="","",IFERROR($F423*(1+$G423),0))</f>
        <v/>
      </c>
    </row>
    <row r="424">
      <c r="J424" s="22">
        <f>IF($A424="","",IFERROR($F424*(1+$G424),0))</f>
        <v/>
      </c>
    </row>
    <row r="425">
      <c r="J425" s="22">
        <f>IF($A425="","",IFERROR($F425*(1+$G425),0))</f>
        <v/>
      </c>
    </row>
    <row r="426">
      <c r="J426" s="22">
        <f>IF($A426="","",IFERROR($F426*(1+$G426),0))</f>
        <v/>
      </c>
    </row>
    <row r="427">
      <c r="J427" s="22">
        <f>IF($A427="","",IFERROR($F427*(1+$G427),0))</f>
        <v/>
      </c>
    </row>
    <row r="428">
      <c r="J428" s="22">
        <f>IF($A428="","",IFERROR($F428*(1+$G428),0))</f>
        <v/>
      </c>
    </row>
    <row r="429">
      <c r="J429" s="22">
        <f>IF($A429="","",IFERROR($F429*(1+$G429),0))</f>
        <v/>
      </c>
    </row>
    <row r="430">
      <c r="J430" s="22">
        <f>IF($A430="","",IFERROR($F430*(1+$G430),0))</f>
        <v/>
      </c>
    </row>
    <row r="431">
      <c r="J431" s="22">
        <f>IF($A431="","",IFERROR($F431*(1+$G431),0))</f>
        <v/>
      </c>
    </row>
    <row r="432">
      <c r="J432" s="22">
        <f>IF($A432="","",IFERROR($F432*(1+$G432),0))</f>
        <v/>
      </c>
    </row>
    <row r="433">
      <c r="J433" s="22">
        <f>IF($A433="","",IFERROR($F433*(1+$G433),0))</f>
        <v/>
      </c>
    </row>
    <row r="434">
      <c r="J434" s="22">
        <f>IF($A434="","",IFERROR($F434*(1+$G434),0))</f>
        <v/>
      </c>
    </row>
    <row r="435">
      <c r="J435" s="22">
        <f>IF($A435="","",IFERROR($F435*(1+$G435),0))</f>
        <v/>
      </c>
    </row>
    <row r="436">
      <c r="J436" s="22">
        <f>IF($A436="","",IFERROR($F436*(1+$G436),0))</f>
        <v/>
      </c>
    </row>
    <row r="437">
      <c r="J437" s="22">
        <f>IF($A437="","",IFERROR($F437*(1+$G437),0))</f>
        <v/>
      </c>
    </row>
    <row r="438">
      <c r="J438" s="22">
        <f>IF($A438="","",IFERROR($F438*(1+$G438),0))</f>
        <v/>
      </c>
    </row>
    <row r="439">
      <c r="J439" s="22">
        <f>IF($A439="","",IFERROR($F439*(1+$G439),0))</f>
        <v/>
      </c>
    </row>
    <row r="440">
      <c r="J440" s="22">
        <f>IF($A440="","",IFERROR($F440*(1+$G440),0))</f>
        <v/>
      </c>
    </row>
    <row r="441">
      <c r="J441" s="22">
        <f>IF($A441="","",IFERROR($F441*(1+$G441),0))</f>
        <v/>
      </c>
    </row>
    <row r="442">
      <c r="J442" s="22">
        <f>IF($A442="","",IFERROR($F442*(1+$G442),0))</f>
        <v/>
      </c>
    </row>
    <row r="443">
      <c r="J443" s="22">
        <f>IF($A443="","",IFERROR($F443*(1+$G443),0))</f>
        <v/>
      </c>
    </row>
    <row r="444">
      <c r="J444" s="22">
        <f>IF($A444="","",IFERROR($F444*(1+$G444),0))</f>
        <v/>
      </c>
    </row>
    <row r="445">
      <c r="J445" s="22">
        <f>IF($A445="","",IFERROR($F445*(1+$G445),0))</f>
        <v/>
      </c>
    </row>
    <row r="446">
      <c r="J446" s="22">
        <f>IF($A446="","",IFERROR($F446*(1+$G446),0))</f>
        <v/>
      </c>
    </row>
    <row r="447">
      <c r="J447" s="22">
        <f>IF($A447="","",IFERROR($F447*(1+$G447),0))</f>
        <v/>
      </c>
    </row>
    <row r="448">
      <c r="J448" s="22">
        <f>IF($A448="","",IFERROR($F448*(1+$G448),0))</f>
        <v/>
      </c>
    </row>
    <row r="449">
      <c r="J449" s="22">
        <f>IF($A449="","",IFERROR($F449*(1+$G449),0))</f>
        <v/>
      </c>
    </row>
    <row r="450">
      <c r="J450" s="22">
        <f>IF($A450="","",IFERROR($F450*(1+$G450),0))</f>
        <v/>
      </c>
    </row>
    <row r="451">
      <c r="J451" s="22">
        <f>IF($A451="","",IFERROR($F451*(1+$G451),0))</f>
        <v/>
      </c>
    </row>
    <row r="452">
      <c r="J452" s="22">
        <f>IF($A452="","",IFERROR($F452*(1+$G452),0))</f>
        <v/>
      </c>
    </row>
    <row r="453">
      <c r="J453" s="22">
        <f>IF($A453="","",IFERROR($F453*(1+$G453),0))</f>
        <v/>
      </c>
    </row>
    <row r="454">
      <c r="J454" s="22">
        <f>IF($A454="","",IFERROR($F454*(1+$G454),0))</f>
        <v/>
      </c>
    </row>
    <row r="455">
      <c r="J455" s="22">
        <f>IF($A455="","",IFERROR($F455*(1+$G455),0))</f>
        <v/>
      </c>
    </row>
    <row r="456">
      <c r="J456" s="22">
        <f>IF($A456="","",IFERROR($F456*(1+$G456),0))</f>
        <v/>
      </c>
    </row>
    <row r="457">
      <c r="J457" s="22">
        <f>IF($A457="","",IFERROR($F457*(1+$G457),0))</f>
        <v/>
      </c>
    </row>
    <row r="458">
      <c r="J458" s="22">
        <f>IF($A458="","",IFERROR($F458*(1+$G458),0))</f>
        <v/>
      </c>
    </row>
    <row r="459">
      <c r="J459" s="22">
        <f>IF($A459="","",IFERROR($F459*(1+$G459),0))</f>
        <v/>
      </c>
    </row>
    <row r="460">
      <c r="J460" s="22">
        <f>IF($A460="","",IFERROR($F460*(1+$G460),0))</f>
        <v/>
      </c>
    </row>
    <row r="461">
      <c r="J461" s="22">
        <f>IF($A461="","",IFERROR($F461*(1+$G461),0))</f>
        <v/>
      </c>
    </row>
    <row r="462">
      <c r="J462" s="22">
        <f>IF($A462="","",IFERROR($F462*(1+$G462),0))</f>
        <v/>
      </c>
    </row>
    <row r="463">
      <c r="J463" s="22">
        <f>IF($A463="","",IFERROR($F463*(1+$G463),0))</f>
        <v/>
      </c>
    </row>
    <row r="464">
      <c r="J464" s="22">
        <f>IF($A464="","",IFERROR($F464*(1+$G464),0))</f>
        <v/>
      </c>
    </row>
    <row r="465">
      <c r="J465" s="22">
        <f>IF($A465="","",IFERROR($F465*(1+$G465),0))</f>
        <v/>
      </c>
    </row>
    <row r="466">
      <c r="J466" s="22">
        <f>IF($A466="","",IFERROR($F466*(1+$G466),0))</f>
        <v/>
      </c>
    </row>
    <row r="467">
      <c r="J467" s="22">
        <f>IF($A467="","",IFERROR($F467*(1+$G467),0))</f>
        <v/>
      </c>
    </row>
    <row r="468">
      <c r="J468" s="22">
        <f>IF($A468="","",IFERROR($F468*(1+$G468),0))</f>
        <v/>
      </c>
    </row>
    <row r="469">
      <c r="J469" s="22">
        <f>IF($A469="","",IFERROR($F469*(1+$G469),0))</f>
        <v/>
      </c>
    </row>
    <row r="470">
      <c r="J470" s="22">
        <f>IF($A470="","",IFERROR($F470*(1+$G470),0))</f>
        <v/>
      </c>
    </row>
    <row r="471">
      <c r="J471" s="22">
        <f>IF($A471="","",IFERROR($F471*(1+$G471),0))</f>
        <v/>
      </c>
    </row>
    <row r="472">
      <c r="J472" s="22">
        <f>IF($A472="","",IFERROR($F472*(1+$G472),0))</f>
        <v/>
      </c>
    </row>
    <row r="473">
      <c r="J473" s="22">
        <f>IF($A473="","",IFERROR($F473*(1+$G473),0))</f>
        <v/>
      </c>
    </row>
    <row r="474">
      <c r="J474" s="22">
        <f>IF($A474="","",IFERROR($F474*(1+$G474),0))</f>
        <v/>
      </c>
    </row>
    <row r="475">
      <c r="J475" s="22">
        <f>IF($A475="","",IFERROR($F475*(1+$G475),0))</f>
        <v/>
      </c>
    </row>
    <row r="476">
      <c r="J476" s="22">
        <f>IF($A476="","",IFERROR($F476*(1+$G476),0))</f>
        <v/>
      </c>
    </row>
    <row r="477">
      <c r="J477" s="22">
        <f>IF($A477="","",IFERROR($F477*(1+$G477),0))</f>
        <v/>
      </c>
    </row>
    <row r="478">
      <c r="J478" s="22">
        <f>IF($A478="","",IFERROR($F478*(1+$G478),0))</f>
        <v/>
      </c>
    </row>
    <row r="479">
      <c r="J479" s="22">
        <f>IF($A479="","",IFERROR($F479*(1+$G479),0))</f>
        <v/>
      </c>
    </row>
    <row r="480">
      <c r="J480" s="22">
        <f>IF($A480="","",IFERROR($F480*(1+$G480),0))</f>
        <v/>
      </c>
    </row>
    <row r="481">
      <c r="J481" s="22">
        <f>IF($A481="","",IFERROR($F481*(1+$G481),0))</f>
        <v/>
      </c>
    </row>
    <row r="482">
      <c r="J482" s="22">
        <f>IF($A482="","",IFERROR($F482*(1+$G482),0))</f>
        <v/>
      </c>
    </row>
    <row r="483">
      <c r="J483" s="22">
        <f>IF($A483="","",IFERROR($F483*(1+$G483),0))</f>
        <v/>
      </c>
    </row>
    <row r="484">
      <c r="J484" s="22">
        <f>IF($A484="","",IFERROR($F484*(1+$G484),0))</f>
        <v/>
      </c>
    </row>
    <row r="485">
      <c r="J485" s="22">
        <f>IF($A485="","",IFERROR($F485*(1+$G485),0))</f>
        <v/>
      </c>
    </row>
    <row r="486">
      <c r="J486" s="22">
        <f>IF($A486="","",IFERROR($F486*(1+$G486),0))</f>
        <v/>
      </c>
    </row>
    <row r="487">
      <c r="J487" s="22">
        <f>IF($A487="","",IFERROR($F487*(1+$G487),0))</f>
        <v/>
      </c>
    </row>
    <row r="488">
      <c r="J488" s="22">
        <f>IF($A488="","",IFERROR($F488*(1+$G488),0))</f>
        <v/>
      </c>
    </row>
    <row r="489">
      <c r="J489" s="22">
        <f>IF($A489="","",IFERROR($F489*(1+$G489),0))</f>
        <v/>
      </c>
    </row>
    <row r="490">
      <c r="J490" s="22">
        <f>IF($A490="","",IFERROR($F490*(1+$G490),0))</f>
        <v/>
      </c>
    </row>
    <row r="491">
      <c r="J491" s="22">
        <f>IF($A491="","",IFERROR($F491*(1+$G491),0))</f>
        <v/>
      </c>
    </row>
    <row r="492">
      <c r="J492" s="22">
        <f>IF($A492="","",IFERROR($F492*(1+$G492),0))</f>
        <v/>
      </c>
    </row>
    <row r="493">
      <c r="J493" s="22">
        <f>IF($A493="","",IFERROR($F493*(1+$G493),0))</f>
        <v/>
      </c>
    </row>
    <row r="494">
      <c r="J494" s="22">
        <f>IF($A494="","",IFERROR($F494*(1+$G494),0))</f>
        <v/>
      </c>
    </row>
    <row r="495">
      <c r="J495" s="22">
        <f>IF($A495="","",IFERROR($F495*(1+$G495),0))</f>
        <v/>
      </c>
    </row>
    <row r="496">
      <c r="J496" s="22">
        <f>IF($A496="","",IFERROR($F496*(1+$G496),0))</f>
        <v/>
      </c>
    </row>
    <row r="497">
      <c r="J497" s="22">
        <f>IF($A497="","",IFERROR($F497*(1+$G497),0))</f>
        <v/>
      </c>
    </row>
    <row r="498">
      <c r="J498" s="22">
        <f>IF($A498="","",IFERROR($F498*(1+$G498),0))</f>
        <v/>
      </c>
    </row>
    <row r="499">
      <c r="J499" s="22">
        <f>IF($A499="","",IFERROR($F499*(1+$G499),0))</f>
        <v/>
      </c>
    </row>
    <row r="500">
      <c r="J500" s="22">
        <f>IF($A500="","",IFERROR($F500*(1+$G500),0))</f>
        <v/>
      </c>
    </row>
    <row r="501">
      <c r="J501" s="22">
        <f>IF($A501="","",IFERROR($F501*(1+$G501),0))</f>
        <v/>
      </c>
    </row>
    <row r="502">
      <c r="J502" s="22">
        <f>IF($A502="","",IFERROR($F502*(1+$G502),0))</f>
        <v/>
      </c>
    </row>
    <row r="503">
      <c r="J503" s="22">
        <f>IF($A503="","",IFERROR($F503*(1+$G503),0))</f>
        <v/>
      </c>
    </row>
    <row r="504">
      <c r="J504" s="22">
        <f>IF($A504="","",IFERROR($F504*(1+$G504),0))</f>
        <v/>
      </c>
    </row>
    <row r="505">
      <c r="J505" s="22">
        <f>IF($A505="","",IFERROR($F505*(1+$G505),0))</f>
        <v/>
      </c>
    </row>
    <row r="506">
      <c r="J506" s="22">
        <f>IF($A506="","",IFERROR($F506*(1+$G506),0))</f>
        <v/>
      </c>
    </row>
    <row r="507">
      <c r="J507" s="22">
        <f>IF($A507="","",IFERROR($F507*(1+$G507),0))</f>
        <v/>
      </c>
    </row>
    <row r="508">
      <c r="J508" s="22">
        <f>IF($A508="","",IFERROR($F508*(1+$G508),0))</f>
        <v/>
      </c>
    </row>
    <row r="509">
      <c r="J509" s="22">
        <f>IF($A509="","",IFERROR($F509*(1+$G509),0))</f>
        <v/>
      </c>
    </row>
    <row r="510">
      <c r="J510" s="22">
        <f>IF($A510="","",IFERROR($F510*(1+$G510),0))</f>
        <v/>
      </c>
    </row>
    <row r="511">
      <c r="J511" s="22">
        <f>IF($A511="","",IFERROR($F511*(1+$G511),0))</f>
        <v/>
      </c>
    </row>
    <row r="512">
      <c r="J512" s="22">
        <f>IF($A512="","",IFERROR($F512*(1+$G512),0))</f>
        <v/>
      </c>
    </row>
    <row r="513">
      <c r="J513" s="22">
        <f>IF($A513="","",IFERROR($F513*(1+$G513),0))</f>
        <v/>
      </c>
    </row>
    <row r="514">
      <c r="J514" s="22">
        <f>IF($A514="","",IFERROR($F514*(1+$G514),0))</f>
        <v/>
      </c>
    </row>
    <row r="515">
      <c r="J515" s="22">
        <f>IF($A515="","",IFERROR($F515*(1+$G515),0))</f>
        <v/>
      </c>
    </row>
    <row r="516">
      <c r="J516" s="22">
        <f>IF($A516="","",IFERROR($F516*(1+$G516),0))</f>
        <v/>
      </c>
    </row>
    <row r="517">
      <c r="J517" s="22">
        <f>IF($A517="","",IFERROR($F517*(1+$G517),0))</f>
        <v/>
      </c>
    </row>
    <row r="518">
      <c r="J518" s="22">
        <f>IF($A518="","",IFERROR($F518*(1+$G518),0))</f>
        <v/>
      </c>
    </row>
    <row r="519">
      <c r="J519" s="22">
        <f>IF($A519="","",IFERROR($F519*(1+$G519),0))</f>
        <v/>
      </c>
    </row>
    <row r="520">
      <c r="J520" s="22">
        <f>IF($A520="","",IFERROR($F520*(1+$G520),0))</f>
        <v/>
      </c>
    </row>
    <row r="521">
      <c r="J521" s="22">
        <f>IF($A521="","",IFERROR($F521*(1+$G521),0))</f>
        <v/>
      </c>
    </row>
    <row r="522">
      <c r="J522" s="22">
        <f>IF($A522="","",IFERROR($F522*(1+$G522),0))</f>
        <v/>
      </c>
    </row>
    <row r="523">
      <c r="J523" s="22">
        <f>IF($A523="","",IFERROR($F523*(1+$G523),0))</f>
        <v/>
      </c>
    </row>
    <row r="524">
      <c r="J524" s="22">
        <f>IF($A524="","",IFERROR($F524*(1+$G524),0))</f>
        <v/>
      </c>
    </row>
    <row r="525">
      <c r="J525" s="22">
        <f>IF($A525="","",IFERROR($F525*(1+$G525),0))</f>
        <v/>
      </c>
    </row>
    <row r="526">
      <c r="J526" s="22">
        <f>IF($A526="","",IFERROR($F526*(1+$G526),0))</f>
        <v/>
      </c>
    </row>
    <row r="527">
      <c r="J527" s="22">
        <f>IF($A527="","",IFERROR($F527*(1+$G527),0))</f>
        <v/>
      </c>
    </row>
    <row r="528">
      <c r="J528" s="22">
        <f>IF($A528="","",IFERROR($F528*(1+$G528),0))</f>
        <v/>
      </c>
    </row>
    <row r="529">
      <c r="J529" s="22">
        <f>IF($A529="","",IFERROR($F529*(1+$G529),0))</f>
        <v/>
      </c>
    </row>
    <row r="530">
      <c r="J530" s="22">
        <f>IF($A530="","",IFERROR($F530*(1+$G530),0))</f>
        <v/>
      </c>
    </row>
    <row r="531">
      <c r="J531" s="22">
        <f>IF($A531="","",IFERROR($F531*(1+$G531),0))</f>
        <v/>
      </c>
    </row>
    <row r="532">
      <c r="J532" s="22">
        <f>IF($A532="","",IFERROR($F532*(1+$G532),0))</f>
        <v/>
      </c>
    </row>
    <row r="533">
      <c r="J533" s="22">
        <f>IF($A533="","",IFERROR($F533*(1+$G533),0))</f>
        <v/>
      </c>
    </row>
    <row r="534">
      <c r="J534" s="22">
        <f>IF($A534="","",IFERROR($F534*(1+$G534),0))</f>
        <v/>
      </c>
    </row>
    <row r="535">
      <c r="J535" s="22">
        <f>IF($A535="","",IFERROR($F535*(1+$G535),0))</f>
        <v/>
      </c>
    </row>
    <row r="536">
      <c r="J536" s="22">
        <f>IF($A536="","",IFERROR($F536*(1+$G536),0))</f>
        <v/>
      </c>
    </row>
    <row r="537">
      <c r="J537" s="22">
        <f>IF($A537="","",IFERROR($F537*(1+$G537),0))</f>
        <v/>
      </c>
    </row>
    <row r="538">
      <c r="J538" s="22">
        <f>IF($A538="","",IFERROR($F538*(1+$G538),0))</f>
        <v/>
      </c>
    </row>
    <row r="539">
      <c r="J539" s="22">
        <f>IF($A539="","",IFERROR($F539*(1+$G539),0))</f>
        <v/>
      </c>
    </row>
    <row r="540">
      <c r="J540" s="22">
        <f>IF($A540="","",IFERROR($F540*(1+$G540),0))</f>
        <v/>
      </c>
    </row>
    <row r="541">
      <c r="J541" s="22">
        <f>IF($A541="","",IFERROR($F541*(1+$G541),0))</f>
        <v/>
      </c>
    </row>
    <row r="542">
      <c r="J542" s="22">
        <f>IF($A542="","",IFERROR($F542*(1+$G542),0))</f>
        <v/>
      </c>
    </row>
    <row r="543">
      <c r="J543" s="22">
        <f>IF($A543="","",IFERROR($F543*(1+$G543),0))</f>
        <v/>
      </c>
    </row>
    <row r="544">
      <c r="J544" s="22">
        <f>IF($A544="","",IFERROR($F544*(1+$G544),0))</f>
        <v/>
      </c>
    </row>
    <row r="545">
      <c r="J545" s="22">
        <f>IF($A545="","",IFERROR($F545*(1+$G545),0))</f>
        <v/>
      </c>
    </row>
    <row r="546">
      <c r="J546" s="22">
        <f>IF($A546="","",IFERROR($F546*(1+$G546),0))</f>
        <v/>
      </c>
    </row>
    <row r="547">
      <c r="J547" s="22">
        <f>IF($A547="","",IFERROR($F547*(1+$G547),0))</f>
        <v/>
      </c>
    </row>
    <row r="548">
      <c r="J548" s="22">
        <f>IF($A548="","",IFERROR($F548*(1+$G548),0))</f>
        <v/>
      </c>
    </row>
    <row r="549">
      <c r="J549" s="22">
        <f>IF($A549="","",IFERROR($F549*(1+$G549),0))</f>
        <v/>
      </c>
    </row>
    <row r="550">
      <c r="J550" s="22">
        <f>IF($A550="","",IFERROR($F550*(1+$G550),0))</f>
        <v/>
      </c>
    </row>
    <row r="551">
      <c r="J551" s="22">
        <f>IF($A551="","",IFERROR($F551*(1+$G551),0))</f>
        <v/>
      </c>
    </row>
    <row r="552">
      <c r="J552" s="22">
        <f>IF($A552="","",IFERROR($F552*(1+$G552),0))</f>
        <v/>
      </c>
    </row>
    <row r="553">
      <c r="J553" s="22">
        <f>IF($A553="","",IFERROR($F553*(1+$G553),0))</f>
        <v/>
      </c>
    </row>
    <row r="554">
      <c r="J554" s="22">
        <f>IF($A554="","",IFERROR($F554*(1+$G554),0))</f>
        <v/>
      </c>
    </row>
    <row r="555">
      <c r="J555" s="22">
        <f>IF($A555="","",IFERROR($F555*(1+$G555),0))</f>
        <v/>
      </c>
    </row>
    <row r="556">
      <c r="J556" s="22">
        <f>IF($A556="","",IFERROR($F556*(1+$G556),0))</f>
        <v/>
      </c>
    </row>
    <row r="557">
      <c r="J557" s="22">
        <f>IF($A557="","",IFERROR($F557*(1+$G557),0))</f>
        <v/>
      </c>
    </row>
    <row r="558">
      <c r="J558" s="22">
        <f>IF($A558="","",IFERROR($F558*(1+$G558),0))</f>
        <v/>
      </c>
    </row>
    <row r="559">
      <c r="J559" s="22">
        <f>IF($A559="","",IFERROR($F559*(1+$G559),0))</f>
        <v/>
      </c>
    </row>
    <row r="560">
      <c r="J560" s="22">
        <f>IF($A560="","",IFERROR($F560*(1+$G560),0))</f>
        <v/>
      </c>
    </row>
    <row r="561">
      <c r="J561" s="22">
        <f>IF($A561="","",IFERROR($F561*(1+$G561),0))</f>
        <v/>
      </c>
    </row>
    <row r="562">
      <c r="J562" s="22">
        <f>IF($A562="","",IFERROR($F562*(1+$G562),0))</f>
        <v/>
      </c>
    </row>
    <row r="563">
      <c r="J563" s="22">
        <f>IF($A563="","",IFERROR($F563*(1+$G563),0))</f>
        <v/>
      </c>
    </row>
    <row r="564">
      <c r="J564" s="22">
        <f>IF($A564="","",IFERROR($F564*(1+$G564),0))</f>
        <v/>
      </c>
    </row>
    <row r="565">
      <c r="J565" s="22">
        <f>IF($A565="","",IFERROR($F565*(1+$G565),0))</f>
        <v/>
      </c>
    </row>
    <row r="566">
      <c r="J566" s="22">
        <f>IF($A566="","",IFERROR($F566*(1+$G566),0))</f>
        <v/>
      </c>
    </row>
    <row r="567">
      <c r="J567" s="22">
        <f>IF($A567="","",IFERROR($F567*(1+$G567),0))</f>
        <v/>
      </c>
    </row>
    <row r="568">
      <c r="J568" s="22">
        <f>IF($A568="","",IFERROR($F568*(1+$G568),0))</f>
        <v/>
      </c>
    </row>
    <row r="569">
      <c r="J569" s="22">
        <f>IF($A569="","",IFERROR($F569*(1+$G569),0))</f>
        <v/>
      </c>
    </row>
    <row r="570">
      <c r="J570" s="22">
        <f>IF($A570="","",IFERROR($F570*(1+$G570),0))</f>
        <v/>
      </c>
    </row>
    <row r="571">
      <c r="J571" s="22">
        <f>IF($A571="","",IFERROR($F571*(1+$G571),0))</f>
        <v/>
      </c>
    </row>
    <row r="572">
      <c r="J572" s="22">
        <f>IF($A572="","",IFERROR($F572*(1+$G572),0))</f>
        <v/>
      </c>
    </row>
    <row r="573">
      <c r="J573" s="22">
        <f>IF($A573="","",IFERROR($F573*(1+$G573),0))</f>
        <v/>
      </c>
    </row>
    <row r="574">
      <c r="J574" s="22">
        <f>IF($A574="","",IFERROR($F574*(1+$G574),0))</f>
        <v/>
      </c>
    </row>
    <row r="575">
      <c r="J575" s="22">
        <f>IF($A575="","",IFERROR($F575*(1+$G575),0))</f>
        <v/>
      </c>
    </row>
    <row r="576">
      <c r="J576" s="22">
        <f>IF($A576="","",IFERROR($F576*(1+$G576),0))</f>
        <v/>
      </c>
    </row>
    <row r="577">
      <c r="J577" s="22">
        <f>IF($A577="","",IFERROR($F577*(1+$G577),0))</f>
        <v/>
      </c>
    </row>
    <row r="578">
      <c r="J578" s="22">
        <f>IF($A578="","",IFERROR($F578*(1+$G578),0))</f>
        <v/>
      </c>
    </row>
    <row r="579">
      <c r="J579" s="22">
        <f>IF($A579="","",IFERROR($F579*(1+$G579),0))</f>
        <v/>
      </c>
    </row>
    <row r="580">
      <c r="J580" s="22">
        <f>IF($A580="","",IFERROR($F580*(1+$G580),0))</f>
        <v/>
      </c>
    </row>
    <row r="581">
      <c r="J581" s="22">
        <f>IF($A581="","",IFERROR($F581*(1+$G581),0))</f>
        <v/>
      </c>
    </row>
    <row r="582">
      <c r="J582" s="22">
        <f>IF($A582="","",IFERROR($F582*(1+$G582),0))</f>
        <v/>
      </c>
    </row>
    <row r="583">
      <c r="J583" s="22">
        <f>IF($A583="","",IFERROR($F583*(1+$G583),0))</f>
        <v/>
      </c>
    </row>
    <row r="584">
      <c r="J584" s="22">
        <f>IF($A584="","",IFERROR($F584*(1+$G584),0))</f>
        <v/>
      </c>
    </row>
    <row r="585">
      <c r="J585" s="22">
        <f>IF($A585="","",IFERROR($F585*(1+$G585),0))</f>
        <v/>
      </c>
    </row>
    <row r="586">
      <c r="J586" s="22">
        <f>IF($A586="","",IFERROR($F586*(1+$G586),0))</f>
        <v/>
      </c>
    </row>
    <row r="587">
      <c r="J587" s="22">
        <f>IF($A587="","",IFERROR($F587*(1+$G587),0))</f>
        <v/>
      </c>
    </row>
    <row r="588">
      <c r="J588" s="22">
        <f>IF($A588="","",IFERROR($F588*(1+$G588),0))</f>
        <v/>
      </c>
    </row>
    <row r="589">
      <c r="J589" s="22">
        <f>IF($A589="","",IFERROR($F589*(1+$G589),0))</f>
        <v/>
      </c>
    </row>
    <row r="590">
      <c r="J590" s="22">
        <f>IF($A590="","",IFERROR($F590*(1+$G590),0))</f>
        <v/>
      </c>
    </row>
    <row r="591">
      <c r="J591" s="22">
        <f>IF($A591="","",IFERROR($F591*(1+$G591),0))</f>
        <v/>
      </c>
    </row>
    <row r="592">
      <c r="J592" s="22">
        <f>IF($A592="","",IFERROR($F592*(1+$G592),0))</f>
        <v/>
      </c>
    </row>
    <row r="593">
      <c r="J593" s="22">
        <f>IF($A593="","",IFERROR($F593*(1+$G593),0))</f>
        <v/>
      </c>
    </row>
    <row r="594">
      <c r="J594" s="22">
        <f>IF($A594="","",IFERROR($F594*(1+$G594),0))</f>
        <v/>
      </c>
    </row>
    <row r="595">
      <c r="J595" s="22">
        <f>IF($A595="","",IFERROR($F595*(1+$G595),0))</f>
        <v/>
      </c>
    </row>
    <row r="596">
      <c r="J596" s="22">
        <f>IF($A596="","",IFERROR($F596*(1+$G596),0))</f>
        <v/>
      </c>
    </row>
    <row r="597">
      <c r="J597" s="22">
        <f>IF($A597="","",IFERROR($F597*(1+$G597),0))</f>
        <v/>
      </c>
    </row>
    <row r="598">
      <c r="J598" s="22">
        <f>IF($A598="","",IFERROR($F598*(1+$G598),0))</f>
        <v/>
      </c>
    </row>
    <row r="599">
      <c r="J599" s="22">
        <f>IF($A599="","",IFERROR($F599*(1+$G599),0))</f>
        <v/>
      </c>
    </row>
    <row r="600">
      <c r="J600" s="22">
        <f>IF($A600="","",IFERROR($F600*(1+$G600),0))</f>
        <v/>
      </c>
    </row>
    <row r="601">
      <c r="J601" s="22">
        <f>IF($A601="","",IFERROR($F601*(1+$G601),0))</f>
        <v/>
      </c>
    </row>
    <row r="602">
      <c r="J602" s="22">
        <f>IF($A602="","",IFERROR($F602*(1+$G602),0))</f>
        <v/>
      </c>
    </row>
    <row r="603">
      <c r="J603" s="22">
        <f>IF($A603="","",IFERROR($F603*(1+$G603),0))</f>
        <v/>
      </c>
    </row>
    <row r="604">
      <c r="J604" s="22">
        <f>IF($A604="","",IFERROR($F604*(1+$G604),0))</f>
        <v/>
      </c>
    </row>
    <row r="605">
      <c r="J605" s="22">
        <f>IF($A605="","",IFERROR($F605*(1+$G605),0))</f>
        <v/>
      </c>
    </row>
    <row r="606">
      <c r="J606" s="22">
        <f>IF($A606="","",IFERROR($F606*(1+$G606),0))</f>
        <v/>
      </c>
    </row>
    <row r="607">
      <c r="J607" s="22">
        <f>IF($A607="","",IFERROR($F607*(1+$G607),0))</f>
        <v/>
      </c>
    </row>
    <row r="608">
      <c r="J608" s="22">
        <f>IF($A608="","",IFERROR($F608*(1+$G608),0))</f>
        <v/>
      </c>
    </row>
    <row r="609">
      <c r="J609" s="22">
        <f>IF($A609="","",IFERROR($F609*(1+$G609),0))</f>
        <v/>
      </c>
    </row>
    <row r="610">
      <c r="J610" s="22">
        <f>IF($A610="","",IFERROR($F610*(1+$G610),0))</f>
        <v/>
      </c>
    </row>
    <row r="611">
      <c r="J611" s="22">
        <f>IF($A611="","",IFERROR($F611*(1+$G611),0))</f>
        <v/>
      </c>
    </row>
    <row r="612">
      <c r="J612" s="22">
        <f>IF($A612="","",IFERROR($F612*(1+$G612),0))</f>
        <v/>
      </c>
    </row>
    <row r="613">
      <c r="J613" s="22">
        <f>IF($A613="","",IFERROR($F613*(1+$G613),0))</f>
        <v/>
      </c>
    </row>
    <row r="614">
      <c r="J614" s="22">
        <f>IF($A614="","",IFERROR($F614*(1+$G614),0))</f>
        <v/>
      </c>
    </row>
    <row r="615">
      <c r="J615" s="22">
        <f>IF($A615="","",IFERROR($F615*(1+$G615),0))</f>
        <v/>
      </c>
    </row>
    <row r="616">
      <c r="J616" s="22">
        <f>IF($A616="","",IFERROR($F616*(1+$G616),0))</f>
        <v/>
      </c>
    </row>
    <row r="617">
      <c r="J617" s="22">
        <f>IF($A617="","",IFERROR($F617*(1+$G617),0))</f>
        <v/>
      </c>
    </row>
    <row r="618">
      <c r="J618" s="22">
        <f>IF($A618="","",IFERROR($F618*(1+$G618),0))</f>
        <v/>
      </c>
    </row>
    <row r="619">
      <c r="J619" s="22">
        <f>IF($A619="","",IFERROR($F619*(1+$G619),0))</f>
        <v/>
      </c>
    </row>
    <row r="620">
      <c r="J620" s="22">
        <f>IF($A620="","",IFERROR($F620*(1+$G620),0))</f>
        <v/>
      </c>
    </row>
    <row r="621">
      <c r="J621" s="22">
        <f>IF($A621="","",IFERROR($F621*(1+$G621),0))</f>
        <v/>
      </c>
    </row>
    <row r="622">
      <c r="J622" s="22">
        <f>IF($A622="","",IFERROR($F622*(1+$G622),0))</f>
        <v/>
      </c>
    </row>
    <row r="623">
      <c r="J623" s="22">
        <f>IF($A623="","",IFERROR($F623*(1+$G623),0))</f>
        <v/>
      </c>
    </row>
    <row r="624">
      <c r="J624" s="22">
        <f>IF($A624="","",IFERROR($F624*(1+$G624),0))</f>
        <v/>
      </c>
    </row>
    <row r="625">
      <c r="J625" s="22">
        <f>IF($A625="","",IFERROR($F625*(1+$G625),0))</f>
        <v/>
      </c>
    </row>
    <row r="626">
      <c r="J626" s="22">
        <f>IF($A626="","",IFERROR($F626*(1+$G626),0))</f>
        <v/>
      </c>
    </row>
    <row r="627">
      <c r="J627" s="22">
        <f>IF($A627="","",IFERROR($F627*(1+$G627),0))</f>
        <v/>
      </c>
    </row>
    <row r="628">
      <c r="J628" s="22">
        <f>IF($A628="","",IFERROR($F628*(1+$G628),0))</f>
        <v/>
      </c>
    </row>
    <row r="629">
      <c r="J629" s="22">
        <f>IF($A629="","",IFERROR($F629*(1+$G629),0))</f>
        <v/>
      </c>
    </row>
    <row r="630">
      <c r="J630" s="22">
        <f>IF($A630="","",IFERROR($F630*(1+$G630),0))</f>
        <v/>
      </c>
    </row>
    <row r="631">
      <c r="J631" s="22">
        <f>IF($A631="","",IFERROR($F631*(1+$G631),0))</f>
        <v/>
      </c>
    </row>
    <row r="632">
      <c r="J632" s="22">
        <f>IF($A632="","",IFERROR($F632*(1+$G632),0))</f>
        <v/>
      </c>
    </row>
    <row r="633">
      <c r="J633" s="22">
        <f>IF($A633="","",IFERROR($F633*(1+$G633),0))</f>
        <v/>
      </c>
    </row>
    <row r="634">
      <c r="J634" s="22">
        <f>IF($A634="","",IFERROR($F634*(1+$G634),0))</f>
        <v/>
      </c>
    </row>
    <row r="635">
      <c r="J635" s="22">
        <f>IF($A635="","",IFERROR($F635*(1+$G635),0))</f>
        <v/>
      </c>
    </row>
    <row r="636">
      <c r="J636" s="22">
        <f>IF($A636="","",IFERROR($F636*(1+$G636),0))</f>
        <v/>
      </c>
    </row>
    <row r="637">
      <c r="J637" s="22">
        <f>IF($A637="","",IFERROR($F637*(1+$G637),0))</f>
        <v/>
      </c>
    </row>
    <row r="638">
      <c r="J638" s="22">
        <f>IF($A638="","",IFERROR($F638*(1+$G638),0))</f>
        <v/>
      </c>
    </row>
    <row r="639">
      <c r="J639" s="22">
        <f>IF($A639="","",IFERROR($F639*(1+$G639),0))</f>
        <v/>
      </c>
    </row>
    <row r="640">
      <c r="J640" s="22">
        <f>IF($A640="","",IFERROR($F640*(1+$G640),0))</f>
        <v/>
      </c>
    </row>
    <row r="641">
      <c r="J641" s="22">
        <f>IF($A641="","",IFERROR($F641*(1+$G641),0))</f>
        <v/>
      </c>
    </row>
    <row r="642">
      <c r="J642" s="22">
        <f>IF($A642="","",IFERROR($F642*(1+$G642),0))</f>
        <v/>
      </c>
    </row>
    <row r="643">
      <c r="J643" s="22">
        <f>IF($A643="","",IFERROR($F643*(1+$G643),0))</f>
        <v/>
      </c>
    </row>
    <row r="644">
      <c r="J644" s="22">
        <f>IF($A644="","",IFERROR($F644*(1+$G644),0))</f>
        <v/>
      </c>
    </row>
    <row r="645">
      <c r="J645" s="22">
        <f>IF($A645="","",IFERROR($F645*(1+$G645),0))</f>
        <v/>
      </c>
    </row>
    <row r="646">
      <c r="J646" s="22">
        <f>IF($A646="","",IFERROR($F646*(1+$G646),0))</f>
        <v/>
      </c>
    </row>
    <row r="647">
      <c r="J647" s="22">
        <f>IF($A647="","",IFERROR($F647*(1+$G647),0))</f>
        <v/>
      </c>
    </row>
    <row r="648">
      <c r="J648" s="22">
        <f>IF($A648="","",IFERROR($F648*(1+$G648),0))</f>
        <v/>
      </c>
    </row>
    <row r="649">
      <c r="J649" s="22">
        <f>IF($A649="","",IFERROR($F649*(1+$G649),0))</f>
        <v/>
      </c>
    </row>
    <row r="650">
      <c r="J650" s="22">
        <f>IF($A650="","",IFERROR($F650*(1+$G650),0))</f>
        <v/>
      </c>
    </row>
    <row r="651">
      <c r="J651" s="22">
        <f>IF($A651="","",IFERROR($F651*(1+$G651),0))</f>
        <v/>
      </c>
    </row>
    <row r="652">
      <c r="J652" s="22">
        <f>IF($A652="","",IFERROR($F652*(1+$G652),0))</f>
        <v/>
      </c>
    </row>
    <row r="653">
      <c r="J653" s="22">
        <f>IF($A653="","",IFERROR($F653*(1+$G653),0))</f>
        <v/>
      </c>
    </row>
    <row r="654">
      <c r="J654" s="22">
        <f>IF($A654="","",IFERROR($F654*(1+$G654),0))</f>
        <v/>
      </c>
    </row>
    <row r="655">
      <c r="J655" s="22">
        <f>IF($A655="","",IFERROR($F655*(1+$G655),0))</f>
        <v/>
      </c>
    </row>
    <row r="656">
      <c r="J656" s="22">
        <f>IF($A656="","",IFERROR($F656*(1+$G656),0))</f>
        <v/>
      </c>
    </row>
    <row r="657">
      <c r="J657" s="22">
        <f>IF($A657="","",IFERROR($F657*(1+$G657),0))</f>
        <v/>
      </c>
    </row>
    <row r="658">
      <c r="J658" s="22">
        <f>IF($A658="","",IFERROR($F658*(1+$G658),0))</f>
        <v/>
      </c>
    </row>
    <row r="659">
      <c r="J659" s="22">
        <f>IF($A659="","",IFERROR($F659*(1+$G659),0))</f>
        <v/>
      </c>
    </row>
    <row r="660">
      <c r="J660" s="22">
        <f>IF($A660="","",IFERROR($F660*(1+$G660),0))</f>
        <v/>
      </c>
    </row>
    <row r="661">
      <c r="J661" s="22">
        <f>IF($A661="","",IFERROR($F661*(1+$G661),0))</f>
        <v/>
      </c>
    </row>
    <row r="662">
      <c r="J662" s="22">
        <f>IF($A662="","",IFERROR($F662*(1+$G662),0))</f>
        <v/>
      </c>
    </row>
    <row r="663">
      <c r="J663" s="22">
        <f>IF($A663="","",IFERROR($F663*(1+$G663),0))</f>
        <v/>
      </c>
    </row>
    <row r="664">
      <c r="J664" s="22">
        <f>IF($A664="","",IFERROR($F664*(1+$G664),0))</f>
        <v/>
      </c>
    </row>
    <row r="665">
      <c r="J665" s="22">
        <f>IF($A665="","",IFERROR($F665*(1+$G665),0))</f>
        <v/>
      </c>
    </row>
    <row r="666">
      <c r="J666" s="22">
        <f>IF($A666="","",IFERROR($F666*(1+$G666),0))</f>
        <v/>
      </c>
    </row>
    <row r="667">
      <c r="J667" s="22">
        <f>IF($A667="","",IFERROR($F667*(1+$G667),0))</f>
        <v/>
      </c>
    </row>
    <row r="668">
      <c r="J668" s="22">
        <f>IF($A668="","",IFERROR($F668*(1+$G668),0))</f>
        <v/>
      </c>
    </row>
    <row r="669">
      <c r="J669" s="22">
        <f>IF($A669="","",IFERROR($F669*(1+$G669),0))</f>
        <v/>
      </c>
    </row>
    <row r="670">
      <c r="J670" s="22">
        <f>IF($A670="","",IFERROR($F670*(1+$G670),0))</f>
        <v/>
      </c>
    </row>
    <row r="671">
      <c r="J671" s="22">
        <f>IF($A671="","",IFERROR($F671*(1+$G671),0))</f>
        <v/>
      </c>
    </row>
    <row r="672">
      <c r="J672" s="22">
        <f>IF($A672="","",IFERROR($F672*(1+$G672),0))</f>
        <v/>
      </c>
    </row>
    <row r="673">
      <c r="J673" s="22">
        <f>IF($A673="","",IFERROR($F673*(1+$G673),0))</f>
        <v/>
      </c>
    </row>
    <row r="674">
      <c r="J674" s="22">
        <f>IF($A674="","",IFERROR($F674*(1+$G674),0))</f>
        <v/>
      </c>
    </row>
    <row r="675">
      <c r="J675" s="22">
        <f>IF($A675="","",IFERROR($F675*(1+$G675),0))</f>
        <v/>
      </c>
    </row>
    <row r="676">
      <c r="J676" s="22">
        <f>IF($A676="","",IFERROR($F676*(1+$G676),0))</f>
        <v/>
      </c>
    </row>
    <row r="677">
      <c r="J677" s="22">
        <f>IF($A677="","",IFERROR($F677*(1+$G677),0))</f>
        <v/>
      </c>
    </row>
    <row r="678">
      <c r="J678" s="22">
        <f>IF($A678="","",IFERROR($F678*(1+$G678),0))</f>
        <v/>
      </c>
    </row>
    <row r="679">
      <c r="J679" s="22">
        <f>IF($A679="","",IFERROR($F679*(1+$G679),0))</f>
        <v/>
      </c>
    </row>
    <row r="680">
      <c r="J680" s="22">
        <f>IF($A680="","",IFERROR($F680*(1+$G680),0))</f>
        <v/>
      </c>
    </row>
    <row r="681">
      <c r="J681" s="22">
        <f>IF($A681="","",IFERROR($F681*(1+$G681),0))</f>
        <v/>
      </c>
    </row>
    <row r="682">
      <c r="J682" s="22">
        <f>IF($A682="","",IFERROR($F682*(1+$G682),0))</f>
        <v/>
      </c>
    </row>
    <row r="683">
      <c r="J683" s="22">
        <f>IF($A683="","",IFERROR($F683*(1+$G683),0))</f>
        <v/>
      </c>
    </row>
    <row r="684">
      <c r="J684" s="22">
        <f>IF($A684="","",IFERROR($F684*(1+$G684),0))</f>
        <v/>
      </c>
    </row>
    <row r="685">
      <c r="J685" s="22">
        <f>IF($A685="","",IFERROR($F685*(1+$G685),0))</f>
        <v/>
      </c>
    </row>
    <row r="686">
      <c r="J686" s="22">
        <f>IF($A686="","",IFERROR($F686*(1+$G686),0))</f>
        <v/>
      </c>
    </row>
    <row r="687">
      <c r="J687" s="22">
        <f>IF($A687="","",IFERROR($F687*(1+$G687),0))</f>
        <v/>
      </c>
    </row>
    <row r="688">
      <c r="J688" s="22">
        <f>IF($A688="","",IFERROR($F688*(1+$G688),0))</f>
        <v/>
      </c>
    </row>
    <row r="689">
      <c r="J689" s="22">
        <f>IF($A689="","",IFERROR($F689*(1+$G689),0))</f>
        <v/>
      </c>
    </row>
    <row r="690">
      <c r="J690" s="22">
        <f>IF($A690="","",IFERROR($F690*(1+$G690),0))</f>
        <v/>
      </c>
    </row>
    <row r="691">
      <c r="J691" s="22">
        <f>IF($A691="","",IFERROR($F691*(1+$G691),0))</f>
        <v/>
      </c>
    </row>
    <row r="692">
      <c r="J692" s="22">
        <f>IF($A692="","",IFERROR($F692*(1+$G692),0))</f>
        <v/>
      </c>
    </row>
    <row r="693">
      <c r="J693" s="22">
        <f>IF($A693="","",IFERROR($F693*(1+$G693),0))</f>
        <v/>
      </c>
    </row>
    <row r="694">
      <c r="J694" s="22">
        <f>IF($A694="","",IFERROR($F694*(1+$G694),0))</f>
        <v/>
      </c>
    </row>
    <row r="695">
      <c r="J695" s="22">
        <f>IF($A695="","",IFERROR($F695*(1+$G695),0))</f>
        <v/>
      </c>
    </row>
    <row r="696">
      <c r="J696" s="22">
        <f>IF($A696="","",IFERROR($F696*(1+$G696),0))</f>
        <v/>
      </c>
    </row>
    <row r="697">
      <c r="J697" s="22">
        <f>IF($A697="","",IFERROR($F697*(1+$G697),0))</f>
        <v/>
      </c>
    </row>
    <row r="698">
      <c r="J698" s="22">
        <f>IF($A698="","",IFERROR($F698*(1+$G698),0))</f>
        <v/>
      </c>
    </row>
    <row r="699">
      <c r="J699" s="22">
        <f>IF($A699="","",IFERROR($F699*(1+$G699),0))</f>
        <v/>
      </c>
    </row>
    <row r="700">
      <c r="J700" s="22">
        <f>IF($A700="","",IFERROR($F700*(1+$G700),0))</f>
        <v/>
      </c>
    </row>
    <row r="701">
      <c r="J701" s="22">
        <f>IF($A701="","",IFERROR($F701*(1+$G701),0))</f>
        <v/>
      </c>
    </row>
    <row r="702">
      <c r="J702" s="22">
        <f>IF($A702="","",IFERROR($F702*(1+$G702),0))</f>
        <v/>
      </c>
    </row>
    <row r="703">
      <c r="J703" s="22">
        <f>IF($A703="","",IFERROR($F703*(1+$G703),0))</f>
        <v/>
      </c>
    </row>
    <row r="704">
      <c r="J704" s="22">
        <f>IF($A704="","",IFERROR($F704*(1+$G704),0))</f>
        <v/>
      </c>
    </row>
    <row r="705">
      <c r="J705" s="22">
        <f>IF($A705="","",IFERROR($F705*(1+$G705),0))</f>
        <v/>
      </c>
    </row>
    <row r="706">
      <c r="J706" s="22">
        <f>IF($A706="","",IFERROR($F706*(1+$G706),0))</f>
        <v/>
      </c>
    </row>
    <row r="707">
      <c r="J707" s="22">
        <f>IF($A707="","",IFERROR($F707*(1+$G707),0))</f>
        <v/>
      </c>
    </row>
    <row r="708">
      <c r="J708" s="22">
        <f>IF($A708="","",IFERROR($F708*(1+$G708),0))</f>
        <v/>
      </c>
    </row>
    <row r="709">
      <c r="J709" s="22">
        <f>IF($A709="","",IFERROR($F709*(1+$G709),0))</f>
        <v/>
      </c>
    </row>
    <row r="710">
      <c r="J710" s="22">
        <f>IF($A710="","",IFERROR($F710*(1+$G710),0))</f>
        <v/>
      </c>
    </row>
    <row r="711">
      <c r="J711" s="22">
        <f>IF($A711="","",IFERROR($F711*(1+$G711),0))</f>
        <v/>
      </c>
    </row>
    <row r="712">
      <c r="J712" s="22">
        <f>IF($A712="","",IFERROR($F712*(1+$G712),0))</f>
        <v/>
      </c>
    </row>
    <row r="713">
      <c r="J713" s="22">
        <f>IF($A713="","",IFERROR($F713*(1+$G713),0))</f>
        <v/>
      </c>
    </row>
    <row r="714">
      <c r="J714" s="22">
        <f>IF($A714="","",IFERROR($F714*(1+$G714),0))</f>
        <v/>
      </c>
    </row>
    <row r="715">
      <c r="J715" s="22">
        <f>IF($A715="","",IFERROR($F715*(1+$G715),0))</f>
        <v/>
      </c>
    </row>
    <row r="716">
      <c r="J716" s="22">
        <f>IF($A716="","",IFERROR($F716*(1+$G716),0))</f>
        <v/>
      </c>
    </row>
    <row r="717">
      <c r="J717" s="22">
        <f>IF($A717="","",IFERROR($F717*(1+$G717),0))</f>
        <v/>
      </c>
    </row>
    <row r="718">
      <c r="J718" s="22">
        <f>IF($A718="","",IFERROR($F718*(1+$G718),0))</f>
        <v/>
      </c>
    </row>
    <row r="719">
      <c r="J719" s="22">
        <f>IF($A719="","",IFERROR($F719*(1+$G719),0))</f>
        <v/>
      </c>
    </row>
    <row r="720">
      <c r="J720" s="22">
        <f>IF($A720="","",IFERROR($F720*(1+$G720),0))</f>
        <v/>
      </c>
    </row>
    <row r="721">
      <c r="J721" s="22">
        <f>IF($A721="","",IFERROR($F721*(1+$G721),0))</f>
        <v/>
      </c>
    </row>
    <row r="722">
      <c r="J722" s="22">
        <f>IF($A722="","",IFERROR($F722*(1+$G722),0))</f>
        <v/>
      </c>
    </row>
    <row r="723">
      <c r="J723" s="22">
        <f>IF($A723="","",IFERROR($F723*(1+$G723),0))</f>
        <v/>
      </c>
    </row>
    <row r="724">
      <c r="J724" s="22">
        <f>IF($A724="","",IFERROR($F724*(1+$G724),0))</f>
        <v/>
      </c>
    </row>
    <row r="725">
      <c r="J725" s="22">
        <f>IF($A725="","",IFERROR($F725*(1+$G725),0))</f>
        <v/>
      </c>
    </row>
    <row r="726">
      <c r="J726" s="22">
        <f>IF($A726="","",IFERROR($F726*(1+$G726),0))</f>
        <v/>
      </c>
    </row>
    <row r="727">
      <c r="J727" s="22">
        <f>IF($A727="","",IFERROR($F727*(1+$G727),0))</f>
        <v/>
      </c>
    </row>
    <row r="728">
      <c r="J728" s="22">
        <f>IF($A728="","",IFERROR($F728*(1+$G728),0))</f>
        <v/>
      </c>
    </row>
    <row r="729">
      <c r="J729" s="22">
        <f>IF($A729="","",IFERROR($F729*(1+$G729),0))</f>
        <v/>
      </c>
    </row>
    <row r="730">
      <c r="J730" s="22">
        <f>IF($A730="","",IFERROR($F730*(1+$G730),0))</f>
        <v/>
      </c>
    </row>
    <row r="731">
      <c r="J731" s="22">
        <f>IF($A731="","",IFERROR($F731*(1+$G731),0))</f>
        <v/>
      </c>
    </row>
    <row r="732">
      <c r="J732" s="22">
        <f>IF($A732="","",IFERROR($F732*(1+$G732),0))</f>
        <v/>
      </c>
    </row>
    <row r="733">
      <c r="J733" s="22">
        <f>IF($A733="","",IFERROR($F733*(1+$G733),0))</f>
        <v/>
      </c>
    </row>
    <row r="734">
      <c r="J734" s="22">
        <f>IF($A734="","",IFERROR($F734*(1+$G734),0))</f>
        <v/>
      </c>
    </row>
    <row r="735">
      <c r="J735" s="22">
        <f>IF($A735="","",IFERROR($F735*(1+$G735),0))</f>
        <v/>
      </c>
    </row>
    <row r="736">
      <c r="J736" s="22">
        <f>IF($A736="","",IFERROR($F736*(1+$G736),0))</f>
        <v/>
      </c>
    </row>
    <row r="737">
      <c r="J737" s="22">
        <f>IF($A737="","",IFERROR($F737*(1+$G737),0))</f>
        <v/>
      </c>
    </row>
    <row r="738">
      <c r="J738" s="22">
        <f>IF($A738="","",IFERROR($F738*(1+$G738),0))</f>
        <v/>
      </c>
    </row>
    <row r="739">
      <c r="J739" s="22">
        <f>IF($A739="","",IFERROR($F739*(1+$G739),0))</f>
        <v/>
      </c>
    </row>
    <row r="740">
      <c r="J740" s="22">
        <f>IF($A740="","",IFERROR($F740*(1+$G740),0))</f>
        <v/>
      </c>
    </row>
    <row r="741">
      <c r="J741" s="22">
        <f>IF($A741="","",IFERROR($F741*(1+$G741),0))</f>
        <v/>
      </c>
    </row>
    <row r="742">
      <c r="J742" s="22">
        <f>IF($A742="","",IFERROR($F742*(1+$G742),0))</f>
        <v/>
      </c>
    </row>
    <row r="743">
      <c r="J743" s="22">
        <f>IF($A743="","",IFERROR($F743*(1+$G743),0))</f>
        <v/>
      </c>
    </row>
    <row r="744">
      <c r="J744" s="22">
        <f>IF($A744="","",IFERROR($F744*(1+$G744),0))</f>
        <v/>
      </c>
    </row>
    <row r="745">
      <c r="J745" s="22">
        <f>IF($A745="","",IFERROR($F745*(1+$G745),0))</f>
        <v/>
      </c>
    </row>
    <row r="746">
      <c r="J746" s="22">
        <f>IF($A746="","",IFERROR($F746*(1+$G746),0))</f>
        <v/>
      </c>
    </row>
    <row r="747">
      <c r="J747" s="22">
        <f>IF($A747="","",IFERROR($F747*(1+$G747),0))</f>
        <v/>
      </c>
    </row>
    <row r="748">
      <c r="J748" s="22">
        <f>IF($A748="","",IFERROR($F748*(1+$G748),0))</f>
        <v/>
      </c>
    </row>
    <row r="749">
      <c r="J749" s="22">
        <f>IF($A749="","",IFERROR($F749*(1+$G749),0))</f>
        <v/>
      </c>
    </row>
    <row r="750">
      <c r="J750" s="22">
        <f>IF($A750="","",IFERROR($F750*(1+$G750),0))</f>
        <v/>
      </c>
    </row>
    <row r="751">
      <c r="J751" s="22">
        <f>IF($A751="","",IFERROR($F751*(1+$G751),0))</f>
        <v/>
      </c>
    </row>
    <row r="752">
      <c r="J752" s="22">
        <f>IF($A752="","",IFERROR($F752*(1+$G752),0))</f>
        <v/>
      </c>
    </row>
    <row r="753">
      <c r="J753" s="22">
        <f>IF($A753="","",IFERROR($F753*(1+$G753),0))</f>
        <v/>
      </c>
    </row>
    <row r="754">
      <c r="J754" s="22">
        <f>IF($A754="","",IFERROR($F754*(1+$G754),0))</f>
        <v/>
      </c>
    </row>
    <row r="755">
      <c r="J755" s="22">
        <f>IF($A755="","",IFERROR($F755*(1+$G755),0))</f>
        <v/>
      </c>
    </row>
    <row r="756">
      <c r="J756" s="22">
        <f>IF($A756="","",IFERROR($F756*(1+$G756),0))</f>
        <v/>
      </c>
    </row>
    <row r="757">
      <c r="J757" s="22">
        <f>IF($A757="","",IFERROR($F757*(1+$G757),0))</f>
        <v/>
      </c>
    </row>
    <row r="758">
      <c r="J758" s="22">
        <f>IF($A758="","",IFERROR($F758*(1+$G758),0))</f>
        <v/>
      </c>
    </row>
    <row r="759">
      <c r="J759" s="22">
        <f>IF($A759="","",IFERROR($F759*(1+$G759),0))</f>
        <v/>
      </c>
    </row>
    <row r="760">
      <c r="J760" s="22">
        <f>IF($A760="","",IFERROR($F760*(1+$G760),0))</f>
        <v/>
      </c>
    </row>
    <row r="761">
      <c r="J761" s="22">
        <f>IF($A761="","",IFERROR($F761*(1+$G761),0))</f>
        <v/>
      </c>
    </row>
    <row r="762">
      <c r="J762" s="22">
        <f>IF($A762="","",IFERROR($F762*(1+$G762),0))</f>
        <v/>
      </c>
    </row>
    <row r="763">
      <c r="J763" s="22">
        <f>IF($A763="","",IFERROR($F763*(1+$G763),0))</f>
        <v/>
      </c>
    </row>
    <row r="764">
      <c r="J764" s="22">
        <f>IF($A764="","",IFERROR($F764*(1+$G764),0))</f>
        <v/>
      </c>
    </row>
    <row r="765">
      <c r="J765" s="22">
        <f>IF($A765="","",IFERROR($F765*(1+$G765),0))</f>
        <v/>
      </c>
    </row>
    <row r="766">
      <c r="J766" s="22">
        <f>IF($A766="","",IFERROR($F766*(1+$G766),0))</f>
        <v/>
      </c>
    </row>
    <row r="767">
      <c r="J767" s="22">
        <f>IF($A767="","",IFERROR($F767*(1+$G767),0))</f>
        <v/>
      </c>
    </row>
    <row r="768">
      <c r="J768" s="22">
        <f>IF($A768="","",IFERROR($F768*(1+$G768),0))</f>
        <v/>
      </c>
    </row>
    <row r="769">
      <c r="J769" s="22">
        <f>IF($A769="","",IFERROR($F769*(1+$G769),0))</f>
        <v/>
      </c>
    </row>
    <row r="770">
      <c r="J770" s="22">
        <f>IF($A770="","",IFERROR($F770*(1+$G770),0))</f>
        <v/>
      </c>
    </row>
    <row r="771">
      <c r="J771" s="22">
        <f>IF($A771="","",IFERROR($F771*(1+$G771),0))</f>
        <v/>
      </c>
    </row>
    <row r="772">
      <c r="J772" s="22">
        <f>IF($A772="","",IFERROR($F772*(1+$G772),0))</f>
        <v/>
      </c>
    </row>
    <row r="773">
      <c r="J773" s="22">
        <f>IF($A773="","",IFERROR($F773*(1+$G773),0))</f>
        <v/>
      </c>
    </row>
    <row r="774">
      <c r="J774" s="22">
        <f>IF($A774="","",IFERROR($F774*(1+$G774),0))</f>
        <v/>
      </c>
    </row>
    <row r="775">
      <c r="J775" s="22">
        <f>IF($A775="","",IFERROR($F775*(1+$G775),0))</f>
        <v/>
      </c>
    </row>
    <row r="776">
      <c r="J776" s="22">
        <f>IF($A776="","",IFERROR($F776*(1+$G776),0))</f>
        <v/>
      </c>
    </row>
    <row r="777">
      <c r="J777" s="22">
        <f>IF($A777="","",IFERROR($F777*(1+$G777),0))</f>
        <v/>
      </c>
    </row>
    <row r="778">
      <c r="J778" s="22">
        <f>IF($A778="","",IFERROR($F778*(1+$G778),0))</f>
        <v/>
      </c>
    </row>
    <row r="779">
      <c r="J779" s="22">
        <f>IF($A779="","",IFERROR($F779*(1+$G779),0))</f>
        <v/>
      </c>
    </row>
    <row r="780">
      <c r="J780" s="22">
        <f>IF($A780="","",IFERROR($F780*(1+$G780),0))</f>
        <v/>
      </c>
    </row>
    <row r="781">
      <c r="J781" s="22">
        <f>IF($A781="","",IFERROR($F781*(1+$G781),0))</f>
        <v/>
      </c>
    </row>
    <row r="782">
      <c r="J782" s="22">
        <f>IF($A782="","",IFERROR($F782*(1+$G782),0))</f>
        <v/>
      </c>
    </row>
    <row r="783">
      <c r="J783" s="22">
        <f>IF($A783="","",IFERROR($F783*(1+$G783),0))</f>
        <v/>
      </c>
    </row>
    <row r="784">
      <c r="J784" s="22">
        <f>IF($A784="","",IFERROR($F784*(1+$G784),0))</f>
        <v/>
      </c>
    </row>
    <row r="785">
      <c r="J785" s="22">
        <f>IF($A785="","",IFERROR($F785*(1+$G785),0))</f>
        <v/>
      </c>
    </row>
    <row r="786">
      <c r="J786" s="22">
        <f>IF($A786="","",IFERROR($F786*(1+$G786),0))</f>
        <v/>
      </c>
    </row>
    <row r="787">
      <c r="J787" s="22">
        <f>IF($A787="","",IFERROR($F787*(1+$G787),0))</f>
        <v/>
      </c>
    </row>
    <row r="788">
      <c r="J788" s="22">
        <f>IF($A788="","",IFERROR($F788*(1+$G788),0))</f>
        <v/>
      </c>
    </row>
    <row r="789">
      <c r="J789" s="22">
        <f>IF($A789="","",IFERROR($F789*(1+$G789),0))</f>
        <v/>
      </c>
    </row>
    <row r="790">
      <c r="J790" s="22">
        <f>IF($A790="","",IFERROR($F790*(1+$G790),0))</f>
        <v/>
      </c>
    </row>
    <row r="791">
      <c r="J791" s="22">
        <f>IF($A791="","",IFERROR($F791*(1+$G791),0))</f>
        <v/>
      </c>
    </row>
    <row r="792">
      <c r="J792" s="22">
        <f>IF($A792="","",IFERROR($F792*(1+$G792),0))</f>
        <v/>
      </c>
    </row>
    <row r="793">
      <c r="J793" s="22">
        <f>IF($A793="","",IFERROR($F793*(1+$G793),0))</f>
        <v/>
      </c>
    </row>
    <row r="794">
      <c r="J794" s="22">
        <f>IF($A794="","",IFERROR($F794*(1+$G794),0))</f>
        <v/>
      </c>
    </row>
    <row r="795">
      <c r="J795" s="22">
        <f>IF($A795="","",IFERROR($F795*(1+$G795),0))</f>
        <v/>
      </c>
    </row>
    <row r="796">
      <c r="J796" s="22">
        <f>IF($A796="","",IFERROR($F796*(1+$G796),0))</f>
        <v/>
      </c>
    </row>
    <row r="797">
      <c r="J797" s="22">
        <f>IF($A797="","",IFERROR($F797*(1+$G797),0))</f>
        <v/>
      </c>
    </row>
    <row r="798">
      <c r="J798" s="22">
        <f>IF($A798="","",IFERROR($F798*(1+$G798),0))</f>
        <v/>
      </c>
    </row>
    <row r="799">
      <c r="J799" s="22">
        <f>IF($A799="","",IFERROR($F799*(1+$G799),0))</f>
        <v/>
      </c>
    </row>
    <row r="800">
      <c r="J800" s="22">
        <f>IF($A800="","",IFERROR($F800*(1+$G800),0))</f>
        <v/>
      </c>
    </row>
    <row r="801">
      <c r="J801" s="22">
        <f>IF($A801="","",IFERROR($F801*(1+$G801),0))</f>
        <v/>
      </c>
    </row>
    <row r="802">
      <c r="J802" s="22">
        <f>IF($A802="","",IFERROR($F802*(1+$G802),0))</f>
        <v/>
      </c>
    </row>
    <row r="803">
      <c r="J803" s="22">
        <f>IF($A803="","",IFERROR($F803*(1+$G803),0))</f>
        <v/>
      </c>
    </row>
    <row r="804">
      <c r="J804" s="22">
        <f>IF($A804="","",IFERROR($F804*(1+$G804),0))</f>
        <v/>
      </c>
    </row>
    <row r="805">
      <c r="J805" s="22">
        <f>IF($A805="","",IFERROR($F805*(1+$G805),0))</f>
        <v/>
      </c>
    </row>
    <row r="806">
      <c r="J806" s="22">
        <f>IF($A806="","",IFERROR($F806*(1+$G806),0))</f>
        <v/>
      </c>
    </row>
    <row r="807">
      <c r="J807" s="22">
        <f>IF($A807="","",IFERROR($F807*(1+$G807),0))</f>
        <v/>
      </c>
    </row>
    <row r="808">
      <c r="J808" s="22">
        <f>IF($A808="","",IFERROR($F808*(1+$G808),0))</f>
        <v/>
      </c>
    </row>
    <row r="809">
      <c r="J809" s="22">
        <f>IF($A809="","",IFERROR($F809*(1+$G809),0))</f>
        <v/>
      </c>
    </row>
    <row r="810">
      <c r="J810" s="22">
        <f>IF($A810="","",IFERROR($F810*(1+$G810),0))</f>
        <v/>
      </c>
    </row>
    <row r="811">
      <c r="J811" s="22">
        <f>IF($A811="","",IFERROR($F811*(1+$G811),0))</f>
        <v/>
      </c>
    </row>
    <row r="812">
      <c r="J812" s="22">
        <f>IF($A812="","",IFERROR($F812*(1+$G812),0))</f>
        <v/>
      </c>
    </row>
    <row r="813">
      <c r="J813" s="22">
        <f>IF($A813="","",IFERROR($F813*(1+$G813),0))</f>
        <v/>
      </c>
    </row>
    <row r="814">
      <c r="J814" s="22">
        <f>IF($A814="","",IFERROR($F814*(1+$G814),0))</f>
        <v/>
      </c>
    </row>
    <row r="815">
      <c r="J815" s="22">
        <f>IF($A815="","",IFERROR($F815*(1+$G815),0))</f>
        <v/>
      </c>
    </row>
    <row r="816">
      <c r="J816" s="22">
        <f>IF($A816="","",IFERROR($F816*(1+$G816),0))</f>
        <v/>
      </c>
    </row>
    <row r="817">
      <c r="J817" s="22">
        <f>IF($A817="","",IFERROR($F817*(1+$G817),0))</f>
        <v/>
      </c>
    </row>
    <row r="818">
      <c r="J818" s="22">
        <f>IF($A818="","",IFERROR($F818*(1+$G818),0))</f>
        <v/>
      </c>
    </row>
    <row r="819">
      <c r="J819" s="22">
        <f>IF($A819="","",IFERROR($F819*(1+$G819),0))</f>
        <v/>
      </c>
    </row>
    <row r="820">
      <c r="J820" s="22">
        <f>IF($A820="","",IFERROR($F820*(1+$G820),0))</f>
        <v/>
      </c>
    </row>
    <row r="821">
      <c r="J821" s="22">
        <f>IF($A821="","",IFERROR($F821*(1+$G821),0))</f>
        <v/>
      </c>
    </row>
    <row r="822">
      <c r="J822" s="22">
        <f>IF($A822="","",IFERROR($F822*(1+$G822),0))</f>
        <v/>
      </c>
    </row>
    <row r="823">
      <c r="J823" s="22">
        <f>IF($A823="","",IFERROR($F823*(1+$G823),0))</f>
        <v/>
      </c>
    </row>
    <row r="824">
      <c r="J824" s="22">
        <f>IF($A824="","",IFERROR($F824*(1+$G824),0))</f>
        <v/>
      </c>
    </row>
    <row r="825">
      <c r="J825" s="22">
        <f>IF($A825="","",IFERROR($F825*(1+$G825),0))</f>
        <v/>
      </c>
    </row>
    <row r="826">
      <c r="J826" s="22">
        <f>IF($A826="","",IFERROR($F826*(1+$G826),0))</f>
        <v/>
      </c>
    </row>
    <row r="827">
      <c r="J827" s="22">
        <f>IF($A827="","",IFERROR($F827*(1+$G827),0))</f>
        <v/>
      </c>
    </row>
    <row r="828">
      <c r="J828" s="22">
        <f>IF($A828="","",IFERROR($F828*(1+$G828),0))</f>
        <v/>
      </c>
    </row>
    <row r="829">
      <c r="J829" s="22">
        <f>IF($A829="","",IFERROR($F829*(1+$G829),0))</f>
        <v/>
      </c>
    </row>
    <row r="830">
      <c r="J830" s="22">
        <f>IF($A830="","",IFERROR($F830*(1+$G830),0))</f>
        <v/>
      </c>
    </row>
    <row r="831">
      <c r="J831" s="22">
        <f>IF($A831="","",IFERROR($F831*(1+$G831),0))</f>
        <v/>
      </c>
    </row>
    <row r="832">
      <c r="J832" s="22">
        <f>IF($A832="","",IFERROR($F832*(1+$G832),0))</f>
        <v/>
      </c>
    </row>
    <row r="833">
      <c r="J833" s="22">
        <f>IF($A833="","",IFERROR($F833*(1+$G833),0))</f>
        <v/>
      </c>
    </row>
    <row r="834">
      <c r="J834" s="22">
        <f>IF($A834="","",IFERROR($F834*(1+$G834),0))</f>
        <v/>
      </c>
    </row>
    <row r="835">
      <c r="J835" s="22">
        <f>IF($A835="","",IFERROR($F835*(1+$G835),0))</f>
        <v/>
      </c>
    </row>
    <row r="836">
      <c r="J836" s="22">
        <f>IF($A836="","",IFERROR($F836*(1+$G836),0))</f>
        <v/>
      </c>
    </row>
    <row r="837">
      <c r="J837" s="22">
        <f>IF($A837="","",IFERROR($F837*(1+$G837),0))</f>
        <v/>
      </c>
    </row>
    <row r="838">
      <c r="J838" s="22">
        <f>IF($A838="","",IFERROR($F838*(1+$G838),0))</f>
        <v/>
      </c>
    </row>
    <row r="839">
      <c r="J839" s="22">
        <f>IF($A839="","",IFERROR($F839*(1+$G839),0))</f>
        <v/>
      </c>
    </row>
    <row r="840">
      <c r="J840" s="22">
        <f>IF($A840="","",IFERROR($F840*(1+$G840),0))</f>
        <v/>
      </c>
    </row>
    <row r="841">
      <c r="J841" s="22">
        <f>IF($A841="","",IFERROR($F841*(1+$G841),0))</f>
        <v/>
      </c>
    </row>
    <row r="842">
      <c r="J842" s="22">
        <f>IF($A842="","",IFERROR($F842*(1+$G842),0))</f>
        <v/>
      </c>
    </row>
    <row r="843">
      <c r="J843" s="22">
        <f>IF($A843="","",IFERROR($F843*(1+$G843),0))</f>
        <v/>
      </c>
    </row>
    <row r="844">
      <c r="J844" s="22">
        <f>IF($A844="","",IFERROR($F844*(1+$G844),0))</f>
        <v/>
      </c>
    </row>
    <row r="845">
      <c r="J845" s="22">
        <f>IF($A845="","",IFERROR($F845*(1+$G845),0))</f>
        <v/>
      </c>
    </row>
    <row r="846">
      <c r="J846" s="22">
        <f>IF($A846="","",IFERROR($F846*(1+$G846),0))</f>
        <v/>
      </c>
    </row>
    <row r="847">
      <c r="J847" s="22">
        <f>IF($A847="","",IFERROR($F847*(1+$G847),0))</f>
        <v/>
      </c>
    </row>
    <row r="848">
      <c r="J848" s="22">
        <f>IF($A848="","",IFERROR($F848*(1+$G848),0))</f>
        <v/>
      </c>
    </row>
    <row r="849">
      <c r="J849" s="22">
        <f>IF($A849="","",IFERROR($F849*(1+$G849),0))</f>
        <v/>
      </c>
    </row>
    <row r="850">
      <c r="J850" s="22">
        <f>IF($A850="","",IFERROR($F850*(1+$G850),0))</f>
        <v/>
      </c>
    </row>
    <row r="851">
      <c r="J851" s="22">
        <f>IF($A851="","",IFERROR($F851*(1+$G851),0))</f>
        <v/>
      </c>
    </row>
    <row r="852">
      <c r="J852" s="22">
        <f>IF($A852="","",IFERROR($F852*(1+$G852),0))</f>
        <v/>
      </c>
    </row>
    <row r="853">
      <c r="J853" s="22">
        <f>IF($A853="","",IFERROR($F853*(1+$G853),0))</f>
        <v/>
      </c>
    </row>
    <row r="854">
      <c r="J854" s="22">
        <f>IF($A854="","",IFERROR($F854*(1+$G854),0))</f>
        <v/>
      </c>
    </row>
    <row r="855">
      <c r="J855" s="22">
        <f>IF($A855="","",IFERROR($F855*(1+$G855),0))</f>
        <v/>
      </c>
    </row>
    <row r="856">
      <c r="J856" s="22">
        <f>IF($A856="","",IFERROR($F856*(1+$G856),0))</f>
        <v/>
      </c>
    </row>
    <row r="857">
      <c r="J857" s="22">
        <f>IF($A857="","",IFERROR($F857*(1+$G857),0))</f>
        <v/>
      </c>
    </row>
    <row r="858">
      <c r="J858" s="22">
        <f>IF($A858="","",IFERROR($F858*(1+$G858),0))</f>
        <v/>
      </c>
    </row>
    <row r="859">
      <c r="J859" s="22">
        <f>IF($A859="","",IFERROR($F859*(1+$G859),0))</f>
        <v/>
      </c>
    </row>
    <row r="860">
      <c r="J860" s="22">
        <f>IF($A860="","",IFERROR($F860*(1+$G860),0))</f>
        <v/>
      </c>
    </row>
    <row r="861">
      <c r="J861" s="22">
        <f>IF($A861="","",IFERROR($F861*(1+$G861),0))</f>
        <v/>
      </c>
    </row>
    <row r="862">
      <c r="J862" s="22">
        <f>IF($A862="","",IFERROR($F862*(1+$G862),0))</f>
        <v/>
      </c>
    </row>
    <row r="863">
      <c r="J863" s="22">
        <f>IF($A863="","",IFERROR($F863*(1+$G863),0))</f>
        <v/>
      </c>
    </row>
    <row r="864">
      <c r="J864" s="22">
        <f>IF($A864="","",IFERROR($F864*(1+$G864),0))</f>
        <v/>
      </c>
    </row>
    <row r="865">
      <c r="J865" s="22">
        <f>IF($A865="","",IFERROR($F865*(1+$G865),0))</f>
        <v/>
      </c>
    </row>
    <row r="866">
      <c r="J866" s="22">
        <f>IF($A866="","",IFERROR($F866*(1+$G866),0))</f>
        <v/>
      </c>
    </row>
    <row r="867">
      <c r="J867" s="22">
        <f>IF($A867="","",IFERROR($F867*(1+$G867),0))</f>
        <v/>
      </c>
    </row>
    <row r="868">
      <c r="J868" s="22">
        <f>IF($A868="","",IFERROR($F868*(1+$G868),0))</f>
        <v/>
      </c>
    </row>
    <row r="869">
      <c r="J869" s="22">
        <f>IF($A869="","",IFERROR($F869*(1+$G869),0))</f>
        <v/>
      </c>
    </row>
    <row r="870">
      <c r="J870" s="22">
        <f>IF($A870="","",IFERROR($F870*(1+$G870),0))</f>
        <v/>
      </c>
    </row>
    <row r="871">
      <c r="J871" s="22">
        <f>IF($A871="","",IFERROR($F871*(1+$G871),0))</f>
        <v/>
      </c>
    </row>
    <row r="872">
      <c r="J872" s="22">
        <f>IF($A872="","",IFERROR($F872*(1+$G872),0))</f>
        <v/>
      </c>
    </row>
    <row r="873">
      <c r="J873" s="22">
        <f>IF($A873="","",IFERROR($F873*(1+$G873),0))</f>
        <v/>
      </c>
    </row>
    <row r="874">
      <c r="J874" s="22">
        <f>IF($A874="","",IFERROR($F874*(1+$G874),0))</f>
        <v/>
      </c>
    </row>
    <row r="875">
      <c r="J875" s="22">
        <f>IF($A875="","",IFERROR($F875*(1+$G875),0))</f>
        <v/>
      </c>
    </row>
    <row r="876">
      <c r="J876" s="22">
        <f>IF($A876="","",IFERROR($F876*(1+$G876),0))</f>
        <v/>
      </c>
    </row>
    <row r="877">
      <c r="J877" s="22">
        <f>IF($A877="","",IFERROR($F877*(1+$G877),0))</f>
        <v/>
      </c>
    </row>
    <row r="878">
      <c r="J878" s="22">
        <f>IF($A878="","",IFERROR($F878*(1+$G878),0))</f>
        <v/>
      </c>
    </row>
    <row r="879">
      <c r="J879" s="22">
        <f>IF($A879="","",IFERROR($F879*(1+$G879),0))</f>
        <v/>
      </c>
    </row>
    <row r="880">
      <c r="J880" s="22">
        <f>IF($A880="","",IFERROR($F880*(1+$G880),0))</f>
        <v/>
      </c>
    </row>
    <row r="881">
      <c r="J881" s="22">
        <f>IF($A881="","",IFERROR($F881*(1+$G881),0))</f>
        <v/>
      </c>
    </row>
    <row r="882">
      <c r="J882" s="22">
        <f>IF($A882="","",IFERROR($F882*(1+$G882),0))</f>
        <v/>
      </c>
    </row>
    <row r="883">
      <c r="J883" s="22">
        <f>IF($A883="","",IFERROR($F883*(1+$G883),0))</f>
        <v/>
      </c>
    </row>
    <row r="884">
      <c r="J884" s="22">
        <f>IF($A884="","",IFERROR($F884*(1+$G884),0))</f>
        <v/>
      </c>
    </row>
    <row r="885">
      <c r="J885" s="22">
        <f>IF($A885="","",IFERROR($F885*(1+$G885),0))</f>
        <v/>
      </c>
    </row>
    <row r="886">
      <c r="J886" s="22">
        <f>IF($A886="","",IFERROR($F886*(1+$G886),0))</f>
        <v/>
      </c>
    </row>
    <row r="887">
      <c r="J887" s="22">
        <f>IF($A887="","",IFERROR($F887*(1+$G887),0))</f>
        <v/>
      </c>
    </row>
    <row r="888">
      <c r="J888" s="22">
        <f>IF($A888="","",IFERROR($F888*(1+$G888),0))</f>
        <v/>
      </c>
    </row>
    <row r="889">
      <c r="J889" s="22">
        <f>IF($A889="","",IFERROR($F889*(1+$G889),0))</f>
        <v/>
      </c>
    </row>
    <row r="890">
      <c r="J890" s="22">
        <f>IF($A890="","",IFERROR($F890*(1+$G890),0))</f>
        <v/>
      </c>
    </row>
    <row r="891">
      <c r="J891" s="22">
        <f>IF($A891="","",IFERROR($F891*(1+$G891),0))</f>
        <v/>
      </c>
    </row>
    <row r="892">
      <c r="J892" s="22">
        <f>IF($A892="","",IFERROR($F892*(1+$G892),0))</f>
        <v/>
      </c>
    </row>
    <row r="893">
      <c r="J893" s="22">
        <f>IF($A893="","",IFERROR($F893*(1+$G893),0))</f>
        <v/>
      </c>
    </row>
    <row r="894">
      <c r="J894" s="22">
        <f>IF($A894="","",IFERROR($F894*(1+$G894),0))</f>
        <v/>
      </c>
    </row>
    <row r="895">
      <c r="J895" s="22">
        <f>IF($A895="","",IFERROR($F895*(1+$G895),0))</f>
        <v/>
      </c>
    </row>
    <row r="896">
      <c r="J896" s="22">
        <f>IF($A896="","",IFERROR($F896*(1+$G896),0))</f>
        <v/>
      </c>
    </row>
    <row r="897">
      <c r="J897" s="22">
        <f>IF($A897="","",IFERROR($F897*(1+$G897),0))</f>
        <v/>
      </c>
    </row>
    <row r="898">
      <c r="J898" s="22">
        <f>IF($A898="","",IFERROR($F898*(1+$G898),0))</f>
        <v/>
      </c>
    </row>
    <row r="899">
      <c r="J899" s="22">
        <f>IF($A899="","",IFERROR($F899*(1+$G899),0))</f>
        <v/>
      </c>
    </row>
    <row r="900">
      <c r="J900" s="22">
        <f>IF($A900="","",IFERROR($F900*(1+$G900),0))</f>
        <v/>
      </c>
    </row>
    <row r="901">
      <c r="J901" s="22">
        <f>IF($A901="","",IFERROR($F901*(1+$G901),0))</f>
        <v/>
      </c>
    </row>
    <row r="902">
      <c r="J902" s="22">
        <f>IF($A902="","",IFERROR($F902*(1+$G902),0))</f>
        <v/>
      </c>
    </row>
    <row r="903">
      <c r="J903" s="22">
        <f>IF($A903="","",IFERROR($F903*(1+$G903),0))</f>
        <v/>
      </c>
    </row>
    <row r="904">
      <c r="J904" s="22">
        <f>IF($A904="","",IFERROR($F904*(1+$G904),0))</f>
        <v/>
      </c>
    </row>
    <row r="905">
      <c r="J905" s="22">
        <f>IF($A905="","",IFERROR($F905*(1+$G905),0))</f>
        <v/>
      </c>
    </row>
    <row r="906">
      <c r="J906" s="22">
        <f>IF($A906="","",IFERROR($F906*(1+$G906),0))</f>
        <v/>
      </c>
    </row>
    <row r="907">
      <c r="J907" s="22">
        <f>IF($A907="","",IFERROR($F907*(1+$G907),0))</f>
        <v/>
      </c>
    </row>
    <row r="908">
      <c r="J908" s="22">
        <f>IF($A908="","",IFERROR($F908*(1+$G908),0))</f>
        <v/>
      </c>
    </row>
    <row r="909">
      <c r="J909" s="22">
        <f>IF($A909="","",IFERROR($F909*(1+$G909),0))</f>
        <v/>
      </c>
    </row>
    <row r="910">
      <c r="J910" s="22">
        <f>IF($A910="","",IFERROR($F910*(1+$G910),0))</f>
        <v/>
      </c>
    </row>
    <row r="911">
      <c r="J911" s="22">
        <f>IF($A911="","",IFERROR($F911*(1+$G911),0))</f>
        <v/>
      </c>
    </row>
    <row r="912">
      <c r="J912" s="22">
        <f>IF($A912="","",IFERROR($F912*(1+$G912),0))</f>
        <v/>
      </c>
    </row>
    <row r="913">
      <c r="J913" s="22">
        <f>IF($A913="","",IFERROR($F913*(1+$G913),0))</f>
        <v/>
      </c>
    </row>
    <row r="914">
      <c r="J914" s="22">
        <f>IF($A914="","",IFERROR($F914*(1+$G914),0))</f>
        <v/>
      </c>
    </row>
    <row r="915">
      <c r="J915" s="22">
        <f>IF($A915="","",IFERROR($F915*(1+$G915),0))</f>
        <v/>
      </c>
    </row>
    <row r="916">
      <c r="J916" s="22">
        <f>IF($A916="","",IFERROR($F916*(1+$G916),0))</f>
        <v/>
      </c>
    </row>
    <row r="917">
      <c r="J917" s="22">
        <f>IF($A917="","",IFERROR($F917*(1+$G917),0))</f>
        <v/>
      </c>
    </row>
    <row r="918">
      <c r="J918" s="22">
        <f>IF($A918="","",IFERROR($F918*(1+$G918),0))</f>
        <v/>
      </c>
    </row>
    <row r="919">
      <c r="J919" s="22">
        <f>IF($A919="","",IFERROR($F919*(1+$G919),0))</f>
        <v/>
      </c>
    </row>
    <row r="920">
      <c r="J920" s="22">
        <f>IF($A920="","",IFERROR($F920*(1+$G920),0))</f>
        <v/>
      </c>
    </row>
    <row r="921">
      <c r="J921" s="22">
        <f>IF($A921="","",IFERROR($F921*(1+$G921),0))</f>
        <v/>
      </c>
    </row>
    <row r="922">
      <c r="J922" s="22">
        <f>IF($A922="","",IFERROR($F922*(1+$G922),0))</f>
        <v/>
      </c>
    </row>
    <row r="923">
      <c r="J923" s="22">
        <f>IF($A923="","",IFERROR($F923*(1+$G923),0))</f>
        <v/>
      </c>
    </row>
    <row r="924">
      <c r="J924" s="22">
        <f>IF($A924="","",IFERROR($F924*(1+$G924),0))</f>
        <v/>
      </c>
    </row>
    <row r="925">
      <c r="J925" s="22">
        <f>IF($A925="","",IFERROR($F925*(1+$G925),0))</f>
        <v/>
      </c>
    </row>
    <row r="926">
      <c r="J926" s="22">
        <f>IF($A926="","",IFERROR($F926*(1+$G926),0))</f>
        <v/>
      </c>
    </row>
    <row r="927">
      <c r="J927" s="22">
        <f>IF($A927="","",IFERROR($F927*(1+$G927),0))</f>
        <v/>
      </c>
    </row>
    <row r="928">
      <c r="J928" s="22">
        <f>IF($A928="","",IFERROR($F928*(1+$G928),0))</f>
        <v/>
      </c>
    </row>
    <row r="929">
      <c r="J929" s="22">
        <f>IF($A929="","",IFERROR($F929*(1+$G929),0))</f>
        <v/>
      </c>
    </row>
    <row r="930">
      <c r="J930" s="22">
        <f>IF($A930="","",IFERROR($F930*(1+$G930),0))</f>
        <v/>
      </c>
    </row>
    <row r="931">
      <c r="J931" s="22">
        <f>IF($A931="","",IFERROR($F931*(1+$G931),0))</f>
        <v/>
      </c>
    </row>
    <row r="932">
      <c r="J932" s="22">
        <f>IF($A932="","",IFERROR($F932*(1+$G932),0))</f>
        <v/>
      </c>
    </row>
    <row r="933">
      <c r="J933" s="22">
        <f>IF($A933="","",IFERROR($F933*(1+$G933),0))</f>
        <v/>
      </c>
    </row>
    <row r="934">
      <c r="J934" s="22">
        <f>IF($A934="","",IFERROR($F934*(1+$G934),0))</f>
        <v/>
      </c>
    </row>
    <row r="935">
      <c r="J935" s="22">
        <f>IF($A935="","",IFERROR($F935*(1+$G935),0))</f>
        <v/>
      </c>
    </row>
    <row r="936">
      <c r="J936" s="22">
        <f>IF($A936="","",IFERROR($F936*(1+$G936),0))</f>
        <v/>
      </c>
    </row>
    <row r="937">
      <c r="J937" s="22">
        <f>IF($A937="","",IFERROR($F937*(1+$G937),0))</f>
        <v/>
      </c>
    </row>
    <row r="938">
      <c r="J938" s="22">
        <f>IF($A938="","",IFERROR($F938*(1+$G938),0))</f>
        <v/>
      </c>
    </row>
    <row r="939">
      <c r="J939" s="22">
        <f>IF($A939="","",IFERROR($F939*(1+$G939),0))</f>
        <v/>
      </c>
    </row>
    <row r="940">
      <c r="J940" s="22">
        <f>IF($A940="","",IFERROR($F940*(1+$G940),0))</f>
        <v/>
      </c>
    </row>
    <row r="941">
      <c r="J941" s="22">
        <f>IF($A941="","",IFERROR($F941*(1+$G941),0))</f>
        <v/>
      </c>
    </row>
    <row r="942">
      <c r="J942" s="22">
        <f>IF($A942="","",IFERROR($F942*(1+$G942),0))</f>
        <v/>
      </c>
    </row>
    <row r="943">
      <c r="J943" s="22">
        <f>IF($A943="","",IFERROR($F943*(1+$G943),0))</f>
        <v/>
      </c>
    </row>
    <row r="944">
      <c r="J944" s="22">
        <f>IF($A944="","",IFERROR($F944*(1+$G944),0))</f>
        <v/>
      </c>
    </row>
    <row r="945">
      <c r="J945" s="22">
        <f>IF($A945="","",IFERROR($F945*(1+$G945),0))</f>
        <v/>
      </c>
    </row>
    <row r="946">
      <c r="J946" s="22">
        <f>IF($A946="","",IFERROR($F946*(1+$G946),0))</f>
        <v/>
      </c>
    </row>
    <row r="947">
      <c r="J947" s="22">
        <f>IF($A947="","",IFERROR($F947*(1+$G947),0))</f>
        <v/>
      </c>
    </row>
    <row r="948">
      <c r="J948" s="22">
        <f>IF($A948="","",IFERROR($F948*(1+$G948),0))</f>
        <v/>
      </c>
    </row>
    <row r="949">
      <c r="J949" s="22">
        <f>IF($A949="","",IFERROR($F949*(1+$G949),0))</f>
        <v/>
      </c>
    </row>
    <row r="950">
      <c r="J950" s="22">
        <f>IF($A950="","",IFERROR($F950*(1+$G950),0))</f>
        <v/>
      </c>
    </row>
    <row r="951">
      <c r="J951" s="22">
        <f>IF($A951="","",IFERROR($F951*(1+$G951),0))</f>
        <v/>
      </c>
    </row>
    <row r="952">
      <c r="J952" s="22">
        <f>IF($A952="","",IFERROR($F952*(1+$G952),0))</f>
        <v/>
      </c>
    </row>
    <row r="953">
      <c r="J953" s="22">
        <f>IF($A953="","",IFERROR($F953*(1+$G953),0))</f>
        <v/>
      </c>
    </row>
    <row r="954">
      <c r="J954" s="22">
        <f>IF($A954="","",IFERROR($F954*(1+$G954),0))</f>
        <v/>
      </c>
    </row>
    <row r="955">
      <c r="J955" s="22">
        <f>IF($A955="","",IFERROR($F955*(1+$G955),0))</f>
        <v/>
      </c>
    </row>
    <row r="956">
      <c r="J956" s="22">
        <f>IF($A956="","",IFERROR($F956*(1+$G956),0))</f>
        <v/>
      </c>
    </row>
    <row r="957">
      <c r="J957" s="22">
        <f>IF($A957="","",IFERROR($F957*(1+$G957),0))</f>
        <v/>
      </c>
    </row>
    <row r="958">
      <c r="J958" s="22">
        <f>IF($A958="","",IFERROR($F958*(1+$G958),0))</f>
        <v/>
      </c>
    </row>
    <row r="959">
      <c r="J959" s="22">
        <f>IF($A959="","",IFERROR($F959*(1+$G959),0))</f>
        <v/>
      </c>
    </row>
    <row r="960">
      <c r="J960" s="22">
        <f>IF($A960="","",IFERROR($F960*(1+$G960),0))</f>
        <v/>
      </c>
    </row>
    <row r="961">
      <c r="J961" s="22">
        <f>IF($A961="","",IFERROR($F961*(1+$G961),0))</f>
        <v/>
      </c>
    </row>
    <row r="962">
      <c r="J962" s="22">
        <f>IF($A962="","",IFERROR($F962*(1+$G962),0))</f>
        <v/>
      </c>
    </row>
    <row r="963">
      <c r="J963" s="22">
        <f>IF($A963="","",IFERROR($F963*(1+$G963),0))</f>
        <v/>
      </c>
    </row>
    <row r="964">
      <c r="J964" s="22">
        <f>IF($A964="","",IFERROR($F964*(1+$G964),0))</f>
        <v/>
      </c>
    </row>
    <row r="965">
      <c r="J965" s="22">
        <f>IF($A965="","",IFERROR($F965*(1+$G965),0))</f>
        <v/>
      </c>
    </row>
    <row r="966">
      <c r="J966" s="22">
        <f>IF($A966="","",IFERROR($F966*(1+$G966),0))</f>
        <v/>
      </c>
    </row>
    <row r="967">
      <c r="J967" s="22">
        <f>IF($A967="","",IFERROR($F967*(1+$G967),0))</f>
        <v/>
      </c>
    </row>
    <row r="968">
      <c r="J968" s="22">
        <f>IF($A968="","",IFERROR($F968*(1+$G968),0))</f>
        <v/>
      </c>
    </row>
    <row r="969">
      <c r="J969" s="22">
        <f>IF($A969="","",IFERROR($F969*(1+$G969),0))</f>
        <v/>
      </c>
    </row>
    <row r="970">
      <c r="J970" s="22">
        <f>IF($A970="","",IFERROR($F970*(1+$G970),0))</f>
        <v/>
      </c>
    </row>
    <row r="971">
      <c r="J971" s="22">
        <f>IF($A971="","",IFERROR($F971*(1+$G971),0))</f>
        <v/>
      </c>
    </row>
    <row r="972">
      <c r="J972" s="22">
        <f>IF($A972="","",IFERROR($F972*(1+$G972),0))</f>
        <v/>
      </c>
    </row>
    <row r="973">
      <c r="J973" s="22">
        <f>IF($A973="","",IFERROR($F973*(1+$G973),0))</f>
        <v/>
      </c>
    </row>
    <row r="974">
      <c r="J974" s="22">
        <f>IF($A974="","",IFERROR($F974*(1+$G974),0))</f>
        <v/>
      </c>
    </row>
    <row r="975">
      <c r="J975" s="22">
        <f>IF($A975="","",IFERROR($F975*(1+$G975),0))</f>
        <v/>
      </c>
    </row>
    <row r="976">
      <c r="J976" s="22">
        <f>IF($A976="","",IFERROR($F976*(1+$G976),0))</f>
        <v/>
      </c>
    </row>
    <row r="977">
      <c r="J977" s="22">
        <f>IF($A977="","",IFERROR($F977*(1+$G977),0))</f>
        <v/>
      </c>
    </row>
    <row r="978">
      <c r="J978" s="22">
        <f>IF($A978="","",IFERROR($F978*(1+$G978),0))</f>
        <v/>
      </c>
    </row>
    <row r="979">
      <c r="J979" s="22">
        <f>IF($A979="","",IFERROR($F979*(1+$G979),0))</f>
        <v/>
      </c>
    </row>
    <row r="980">
      <c r="J980" s="22">
        <f>IF($A980="","",IFERROR($F980*(1+$G980),0))</f>
        <v/>
      </c>
    </row>
    <row r="981">
      <c r="J981" s="22">
        <f>IF($A981="","",IFERROR($F981*(1+$G981),0))</f>
        <v/>
      </c>
    </row>
    <row r="982">
      <c r="J982" s="22">
        <f>IF($A982="","",IFERROR($F982*(1+$G982),0))</f>
        <v/>
      </c>
    </row>
    <row r="983">
      <c r="J983" s="22">
        <f>IF($A983="","",IFERROR($F983*(1+$G983),0))</f>
        <v/>
      </c>
    </row>
    <row r="984">
      <c r="J984" s="22">
        <f>IF($A984="","",IFERROR($F984*(1+$G984),0))</f>
        <v/>
      </c>
    </row>
    <row r="985">
      <c r="J985" s="22">
        <f>IF($A985="","",IFERROR($F985*(1+$G985),0))</f>
        <v/>
      </c>
    </row>
    <row r="986">
      <c r="J986" s="22">
        <f>IF($A986="","",IFERROR($F986*(1+$G986),0))</f>
        <v/>
      </c>
    </row>
    <row r="987">
      <c r="J987" s="22">
        <f>IF($A987="","",IFERROR($F987*(1+$G987),0))</f>
        <v/>
      </c>
    </row>
    <row r="988">
      <c r="J988" s="22">
        <f>IF($A988="","",IFERROR($F988*(1+$G988),0))</f>
        <v/>
      </c>
    </row>
    <row r="989">
      <c r="J989" s="22">
        <f>IF($A989="","",IFERROR($F989*(1+$G989),0))</f>
        <v/>
      </c>
    </row>
    <row r="990">
      <c r="J990" s="22">
        <f>IF($A990="","",IFERROR($F990*(1+$G990),0))</f>
        <v/>
      </c>
    </row>
    <row r="991">
      <c r="J991" s="22">
        <f>IF($A991="","",IFERROR($F991*(1+$G991),0))</f>
        <v/>
      </c>
    </row>
    <row r="992">
      <c r="J992" s="22">
        <f>IF($A992="","",IFERROR($F992*(1+$G992),0))</f>
        <v/>
      </c>
    </row>
    <row r="993">
      <c r="J993" s="22">
        <f>IF($A993="","",IFERROR($F993*(1+$G993),0))</f>
        <v/>
      </c>
    </row>
    <row r="994">
      <c r="J994" s="22">
        <f>IF($A994="","",IFERROR($F994*(1+$G994),0))</f>
        <v/>
      </c>
    </row>
    <row r="995">
      <c r="J995" s="22">
        <f>IF($A995="","",IFERROR($F995*(1+$G995),0))</f>
        <v/>
      </c>
    </row>
    <row r="996">
      <c r="J996" s="22">
        <f>IF($A996="","",IFERROR($F996*(1+$G996),0))</f>
        <v/>
      </c>
    </row>
    <row r="997">
      <c r="J997" s="22">
        <f>IF($A997="","",IFERROR($F997*(1+$G997),0))</f>
        <v/>
      </c>
    </row>
    <row r="998">
      <c r="J998" s="22">
        <f>IF($A998="","",IFERROR($F998*(1+$G998),0))</f>
        <v/>
      </c>
    </row>
    <row r="999">
      <c r="J999" s="22">
        <f>IF($A999="","",IFERROR($F999*(1+$G999),0))</f>
        <v/>
      </c>
    </row>
    <row r="1000">
      <c r="J1000" s="22">
        <f>IF($A1000="","",IFERROR($F1000*(1+$G1000),0))</f>
        <v/>
      </c>
    </row>
    <row r="1001">
      <c r="J1001" s="22">
        <f>IF($A1001="","",IFERROR($F1001*(1+$G1001),0))</f>
        <v/>
      </c>
    </row>
    <row r="1002">
      <c r="J1002" s="22">
        <f>IF($A1002="","",IFERROR($F1002*(1+$G1002),0))</f>
        <v/>
      </c>
    </row>
    <row r="1003">
      <c r="J1003" s="22">
        <f>IF($A1003="","",IFERROR($F1003*(1+$G1003),0))</f>
        <v/>
      </c>
    </row>
    <row r="1004">
      <c r="J1004" s="22">
        <f>IF($A1004="","",IFERROR($F1004*(1+$G1004),0))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">
    <dataValidation sqref="F7:F11" showDropDown="0" showInputMessage="1" showErrorMessage="1" allowBlank="1" errorTitle="Geçersiz" error="Negatif olamaz." promptTitle="Fiyat/fire" prompt="0 ve üzeri sayı." type="decimal" errorStyle="stop" operator="between">
      <formula1>0</formula1>
      <formula2>100000000</formula2>
    </dataValidation>
    <dataValidation sqref="G7:G11" showDropDown="0" showInputMessage="1" showErrorMessage="1" allowBlank="1" errorTitle="Geçersiz" error="Negatif olamaz." promptTitle="Fiyat/fire" prompt="0 ve üzeri sayı." type="decimal" errorStyle="stop" operator="between">
      <formula1>0</formula1>
      <formula2>100000000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/>
  </sheetPr>
  <dimension ref="A1:AD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.5" customWidth="1" min="1" max="1"/>
    <col width="20.5" customWidth="1" min="2" max="2"/>
    <col width="15.5" customWidth="1" min="3" max="3"/>
    <col width="12" customWidth="1" min="4" max="4"/>
    <col width="10" customWidth="1" min="5" max="5"/>
    <col width="12.5" customWidth="1" min="6" max="6"/>
    <col width="14.5" customWidth="1" min="7" max="7"/>
    <col width="18.5" customWidth="1" min="8" max="8"/>
    <col width="13" customWidth="1" min="9" max="9"/>
  </cols>
  <sheetData>
    <row r="1" ht="32" customHeight="1">
      <c r="A1" s="209" t="inlineStr">
        <is>
          <t>RECETE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</row>
    <row r="2"/>
    <row r="3" ht="22" customHeight="1">
      <c r="A3" s="228" t="inlineStr">
        <is>
          <t>Navlun maliyet bileşim reçetesi — toplam %100 ± tolerans</t>
        </is>
      </c>
    </row>
    <row r="4"/>
    <row r="5" ht="30" customHeight="1">
      <c r="A5" s="20" t="inlineStr">
        <is>
          <t>satir_id</t>
        </is>
      </c>
      <c r="B5" s="20" t="inlineStr">
        <is>
          <t>kalem</t>
        </is>
      </c>
      <c r="C5" s="20" t="inlineStr">
        <is>
          <t>sinif</t>
        </is>
      </c>
      <c r="D5" s="20" t="inlineStr">
        <is>
          <t>oran</t>
        </is>
      </c>
      <c r="E5" s="20" t="inlineStr">
        <is>
          <t>fire</t>
        </is>
      </c>
      <c r="F5" s="20" t="inlineStr">
        <is>
          <t>versiyon</t>
        </is>
      </c>
      <c r="G5" s="20" t="inlineStr">
        <is>
          <t>miktar_pay</t>
        </is>
      </c>
      <c r="H5" s="20" t="inlineStr">
        <is>
          <t>not</t>
        </is>
      </c>
    </row>
    <row r="6">
      <c r="A6" s="12" t="inlineStr">
        <is>
          <t>R-01</t>
        </is>
      </c>
      <c r="B6" s="12" t="inlineStr">
        <is>
          <t>Yakıt payı</t>
        </is>
      </c>
      <c r="C6" s="12" t="inlineStr">
        <is>
          <t>HAMMADDE</t>
        </is>
      </c>
      <c r="D6" s="15" t="n">
        <v>0.42</v>
      </c>
      <c r="E6" s="15" t="n">
        <v>0.08</v>
      </c>
      <c r="F6" s="12" t="inlineStr">
        <is>
          <t>V1</t>
        </is>
      </c>
      <c r="G6" s="22">
        <f>IF($A6="","",IFERROR($D6*(1+$E6),0))</f>
        <v/>
      </c>
      <c r="H6" s="12" t="inlineStr">
        <is>
          <t>Gidiş yakıt</t>
        </is>
      </c>
    </row>
    <row r="7">
      <c r="A7" s="12" t="inlineStr">
        <is>
          <t>R-02</t>
        </is>
      </c>
      <c r="B7" s="12" t="inlineStr">
        <is>
          <t>İşçilik payı</t>
        </is>
      </c>
      <c r="C7" s="12" t="inlineStr">
        <is>
          <t>ISCILIK</t>
        </is>
      </c>
      <c r="D7" s="15" t="n">
        <v>0.28</v>
      </c>
      <c r="E7" s="15" t="n">
        <v>0</v>
      </c>
      <c r="F7" s="12" t="inlineStr">
        <is>
          <t>V1</t>
        </is>
      </c>
      <c r="G7" s="22">
        <f>IF($A7="","",IFERROR($D7*(1+$E7),0))</f>
        <v/>
      </c>
      <c r="H7" s="12" t="inlineStr">
        <is>
          <t>Şoför süresi</t>
        </is>
      </c>
    </row>
    <row r="8">
      <c r="A8" s="12" t="inlineStr">
        <is>
          <t>R-03</t>
        </is>
      </c>
      <c r="B8" s="12" t="inlineStr">
        <is>
          <t>Ambalaj payı</t>
        </is>
      </c>
      <c r="C8" s="12" t="inlineStr">
        <is>
          <t>AMBALAJ</t>
        </is>
      </c>
      <c r="D8" s="15" t="n">
        <v>0.08</v>
      </c>
      <c r="E8" s="15" t="n">
        <v>0.02</v>
      </c>
      <c r="F8" s="12" t="inlineStr">
        <is>
          <t>V1</t>
        </is>
      </c>
      <c r="G8" s="22">
        <f>IF($A8="","",IFERROR($D8*(1+$E8),0))</f>
        <v/>
      </c>
      <c r="H8" s="12" t="inlineStr">
        <is>
          <t>Bağlama</t>
        </is>
      </c>
    </row>
    <row r="9">
      <c r="A9" s="12" t="inlineStr">
        <is>
          <t>R-04</t>
        </is>
      </c>
      <c r="B9" s="12" t="inlineStr">
        <is>
          <t>Genel gider payı</t>
        </is>
      </c>
      <c r="C9" s="12" t="inlineStr">
        <is>
          <t>GENEL_GIDER</t>
        </is>
      </c>
      <c r="D9" s="15" t="n">
        <v>0.22</v>
      </c>
      <c r="E9" s="15" t="n">
        <v>0</v>
      </c>
      <c r="F9" s="12" t="inlineStr">
        <is>
          <t>V1</t>
        </is>
      </c>
      <c r="G9" s="22">
        <f>IF($A9="","",IFERROR($D9*(1+$E9),0))</f>
        <v/>
      </c>
      <c r="H9" s="12" t="inlineStr">
        <is>
          <t>Otoyol/sigorta</t>
        </is>
      </c>
    </row>
    <row r="10">
      <c r="G10" s="22">
        <f>IF($A10="","",IFERROR($D10*(1+$E10),0))</f>
        <v/>
      </c>
    </row>
    <row r="11">
      <c r="G11" s="22">
        <f>IF($A11="","",IFERROR($D11*(1+$E11),0))</f>
        <v/>
      </c>
    </row>
    <row r="12">
      <c r="A12" s="10" t="inlineStr">
        <is>
          <t>Bileşim toplamı [%]</t>
        </is>
      </c>
      <c r="B12" s="32">
        <f>IFERROR(SUM(tblRecete[oran]),0)</f>
        <v/>
      </c>
      <c r="G12" s="22">
        <f>IF($A12="","",IFERROR($D12*(1+$E12),0))</f>
        <v/>
      </c>
    </row>
    <row r="13">
      <c r="A13" s="29" t="inlineStr">
        <is>
          <t>Sapma (hedef %100)</t>
        </is>
      </c>
      <c r="B13" s="31">
        <f>IFERROR(ABS(B12-sfn_hedefYuzde),0)</f>
        <v/>
      </c>
      <c r="G13" s="22">
        <f>IF($A13="","",IFERROR($D13*(1+$E13),0))</f>
        <v/>
      </c>
    </row>
    <row r="14">
      <c r="A14" s="29" t="inlineStr">
        <is>
          <t>Bileşim alarm</t>
        </is>
      </c>
      <c r="B14" s="33">
        <f>IF(B13&gt;sfn_bilesimTolerans,"ALARM: bileşim %100 dışı — KIRMIZI","TAM: %100 ±tolerans")</f>
        <v/>
      </c>
      <c r="G14" s="22">
        <f>IF($A14="","",IFERROR($D14*(1+$E14),0))</f>
        <v/>
      </c>
    </row>
    <row r="15">
      <c r="A15" s="29" t="inlineStr">
        <is>
          <t>Aktif versiyon</t>
        </is>
      </c>
      <c r="B15" s="12" t="inlineStr">
        <is>
          <t>V1</t>
        </is>
      </c>
      <c r="G15" s="22">
        <f>IF($A15="","",IFERROR($D15*(1+$E15),0))</f>
        <v/>
      </c>
    </row>
    <row r="16">
      <c r="G16" s="22">
        <f>IF($A16="","",IFERROR($D16*(1+$E16),0))</f>
        <v/>
      </c>
    </row>
    <row r="17">
      <c r="G17" s="22">
        <f>IF($A17="","",IFERROR($D17*(1+$E17),0))</f>
        <v/>
      </c>
    </row>
    <row r="18">
      <c r="G18" s="22">
        <f>IF($A18="","",IFERROR($D18*(1+$E18),0))</f>
        <v/>
      </c>
    </row>
    <row r="19">
      <c r="G19" s="22">
        <f>IF($A19="","",IFERROR($D19*(1+$E19),0))</f>
        <v/>
      </c>
    </row>
    <row r="20">
      <c r="G20" s="22">
        <f>IF($A20="","",IFERROR($D20*(1+$E20),0))</f>
        <v/>
      </c>
    </row>
    <row r="21">
      <c r="G21" s="22">
        <f>IF($A21="","",IFERROR($D21*(1+$E21),0))</f>
        <v/>
      </c>
    </row>
    <row r="22">
      <c r="G22" s="22">
        <f>IF($A22="","",IFERROR($D22*(1+$E22),0))</f>
        <v/>
      </c>
    </row>
    <row r="23">
      <c r="G23" s="22">
        <f>IF($A23="","",IFERROR($D23*(1+$E23),0))</f>
        <v/>
      </c>
    </row>
    <row r="24">
      <c r="G24" s="22">
        <f>IF($A24="","",IFERROR($D24*(1+$E24),0))</f>
        <v/>
      </c>
    </row>
    <row r="25">
      <c r="G25" s="22">
        <f>IF($A25="","",IFERROR($D25*(1+$E25),0))</f>
        <v/>
      </c>
    </row>
    <row r="26">
      <c r="G26" s="22">
        <f>IF($A26="","",IFERROR($D26*(1+$E26),0))</f>
        <v/>
      </c>
    </row>
    <row r="27">
      <c r="G27" s="22">
        <f>IF($A27="","",IFERROR($D27*(1+$E27),0))</f>
        <v/>
      </c>
    </row>
    <row r="28">
      <c r="G28" s="22">
        <f>IF($A28="","",IFERROR($D28*(1+$E28),0))</f>
        <v/>
      </c>
    </row>
    <row r="29">
      <c r="G29" s="22">
        <f>IF($A29="","",IFERROR($D29*(1+$E29),0))</f>
        <v/>
      </c>
    </row>
    <row r="30">
      <c r="G30" s="22">
        <f>IF($A30="","",IFERROR($D30*(1+$E30),0))</f>
        <v/>
      </c>
    </row>
    <row r="31">
      <c r="G31" s="22">
        <f>IF($A31="","",IFERROR($D31*(1+$E31),0))</f>
        <v/>
      </c>
    </row>
    <row r="32">
      <c r="G32" s="22">
        <f>IF($A32="","",IFERROR($D32*(1+$E32),0))</f>
        <v/>
      </c>
    </row>
    <row r="33">
      <c r="G33" s="22">
        <f>IF($A33="","",IFERROR($D33*(1+$E33),0))</f>
        <v/>
      </c>
    </row>
    <row r="34">
      <c r="G34" s="22">
        <f>IF($A34="","",IFERROR($D34*(1+$E34),0))</f>
        <v/>
      </c>
    </row>
    <row r="35">
      <c r="G35" s="22">
        <f>IF($A35="","",IFERROR($D35*(1+$E35),0))</f>
        <v/>
      </c>
    </row>
    <row r="36">
      <c r="G36" s="22">
        <f>IF($A36="","",IFERROR($D36*(1+$E36),0))</f>
        <v/>
      </c>
    </row>
    <row r="37">
      <c r="G37" s="22">
        <f>IF($A37="","",IFERROR($D37*(1+$E37),0))</f>
        <v/>
      </c>
    </row>
    <row r="38">
      <c r="G38" s="22">
        <f>IF($A38="","",IFERROR($D38*(1+$E38),0))</f>
        <v/>
      </c>
    </row>
    <row r="39">
      <c r="G39" s="22">
        <f>IF($A39="","",IFERROR($D39*(1+$E39),0))</f>
        <v/>
      </c>
    </row>
    <row r="40">
      <c r="G40" s="22">
        <f>IF($A40="","",IFERROR($D40*(1+$E40),0))</f>
        <v/>
      </c>
    </row>
    <row r="41">
      <c r="G41" s="22">
        <f>IF($A41="","",IFERROR($D41*(1+$E41),0))</f>
        <v/>
      </c>
    </row>
    <row r="42">
      <c r="G42" s="22">
        <f>IF($A42="","",IFERROR($D42*(1+$E42),0))</f>
        <v/>
      </c>
    </row>
    <row r="43">
      <c r="G43" s="22">
        <f>IF($A43="","",IFERROR($D43*(1+$E43),0))</f>
        <v/>
      </c>
    </row>
    <row r="44">
      <c r="G44" s="22">
        <f>IF($A44="","",IFERROR($D44*(1+$E44),0))</f>
        <v/>
      </c>
    </row>
    <row r="45">
      <c r="G45" s="22">
        <f>IF($A45="","",IFERROR($D45*(1+$E45),0))</f>
        <v/>
      </c>
    </row>
    <row r="46">
      <c r="G46" s="22">
        <f>IF($A46="","",IFERROR($D46*(1+$E46),0))</f>
        <v/>
      </c>
    </row>
    <row r="47">
      <c r="G47" s="22">
        <f>IF($A47="","",IFERROR($D47*(1+$E47),0))</f>
        <v/>
      </c>
    </row>
    <row r="48">
      <c r="G48" s="22">
        <f>IF($A48="","",IFERROR($D48*(1+$E48),0))</f>
        <v/>
      </c>
    </row>
    <row r="49">
      <c r="G49" s="22">
        <f>IF($A49="","",IFERROR($D49*(1+$E49),0))</f>
        <v/>
      </c>
    </row>
    <row r="50">
      <c r="G50" s="22">
        <f>IF($A50="","",IFERROR($D50*(1+$E50),0))</f>
        <v/>
      </c>
    </row>
    <row r="51">
      <c r="G51" s="22">
        <f>IF($A51="","",IFERROR($D51*(1+$E51),0))</f>
        <v/>
      </c>
    </row>
    <row r="52">
      <c r="G52" s="22">
        <f>IF($A52="","",IFERROR($D52*(1+$E52),0))</f>
        <v/>
      </c>
    </row>
    <row r="53">
      <c r="G53" s="22">
        <f>IF($A53="","",IFERROR($D53*(1+$E53),0))</f>
        <v/>
      </c>
    </row>
    <row r="54">
      <c r="G54" s="22">
        <f>IF($A54="","",IFERROR($D54*(1+$E54),0))</f>
        <v/>
      </c>
    </row>
    <row r="55">
      <c r="G55" s="22">
        <f>IF($A55="","",IFERROR($D55*(1+$E55),0))</f>
        <v/>
      </c>
    </row>
    <row r="56">
      <c r="G56" s="22">
        <f>IF($A56="","",IFERROR($D56*(1+$E56),0))</f>
        <v/>
      </c>
    </row>
    <row r="57">
      <c r="G57" s="22">
        <f>IF($A57="","",IFERROR($D57*(1+$E57),0))</f>
        <v/>
      </c>
    </row>
    <row r="58">
      <c r="G58" s="22">
        <f>IF($A58="","",IFERROR($D58*(1+$E58),0))</f>
        <v/>
      </c>
    </row>
    <row r="59">
      <c r="G59" s="22">
        <f>IF($A59="","",IFERROR($D59*(1+$E59),0))</f>
        <v/>
      </c>
    </row>
    <row r="60">
      <c r="G60" s="22">
        <f>IF($A60="","",IFERROR($D60*(1+$E60),0))</f>
        <v/>
      </c>
    </row>
    <row r="61">
      <c r="G61" s="22">
        <f>IF($A61="","",IFERROR($D61*(1+$E61),0))</f>
        <v/>
      </c>
    </row>
    <row r="62">
      <c r="G62" s="22">
        <f>IF($A62="","",IFERROR($D62*(1+$E62),0))</f>
        <v/>
      </c>
    </row>
    <row r="63">
      <c r="G63" s="22">
        <f>IF($A63="","",IFERROR($D63*(1+$E63),0))</f>
        <v/>
      </c>
    </row>
    <row r="64">
      <c r="G64" s="22">
        <f>IF($A64="","",IFERROR($D64*(1+$E64),0))</f>
        <v/>
      </c>
    </row>
    <row r="65">
      <c r="G65" s="22">
        <f>IF($A65="","",IFERROR($D65*(1+$E65),0))</f>
        <v/>
      </c>
    </row>
    <row r="66">
      <c r="G66" s="22">
        <f>IF($A66="","",IFERROR($D66*(1+$E66),0))</f>
        <v/>
      </c>
    </row>
    <row r="67">
      <c r="G67" s="22">
        <f>IF($A67="","",IFERROR($D67*(1+$E67),0))</f>
        <v/>
      </c>
    </row>
    <row r="68">
      <c r="G68" s="22">
        <f>IF($A68="","",IFERROR($D68*(1+$E68),0))</f>
        <v/>
      </c>
    </row>
    <row r="69">
      <c r="G69" s="22">
        <f>IF($A69="","",IFERROR($D69*(1+$E69),0))</f>
        <v/>
      </c>
    </row>
    <row r="70">
      <c r="G70" s="22">
        <f>IF($A70="","",IFERROR($D70*(1+$E70),0))</f>
        <v/>
      </c>
    </row>
    <row r="71">
      <c r="G71" s="22">
        <f>IF($A71="","",IFERROR($D71*(1+$E71),0))</f>
        <v/>
      </c>
    </row>
    <row r="72">
      <c r="G72" s="22">
        <f>IF($A72="","",IFERROR($D72*(1+$E72),0))</f>
        <v/>
      </c>
    </row>
    <row r="73">
      <c r="G73" s="22">
        <f>IF($A73="","",IFERROR($D73*(1+$E73),0))</f>
        <v/>
      </c>
    </row>
    <row r="74">
      <c r="G74" s="22">
        <f>IF($A74="","",IFERROR($D74*(1+$E74),0))</f>
        <v/>
      </c>
    </row>
    <row r="75">
      <c r="G75" s="22">
        <f>IF($A75="","",IFERROR($D75*(1+$E75),0))</f>
        <v/>
      </c>
    </row>
    <row r="76">
      <c r="G76" s="22">
        <f>IF($A76="","",IFERROR($D76*(1+$E76),0))</f>
        <v/>
      </c>
    </row>
    <row r="77">
      <c r="G77" s="22">
        <f>IF($A77="","",IFERROR($D77*(1+$E77),0))</f>
        <v/>
      </c>
    </row>
    <row r="78">
      <c r="G78" s="22">
        <f>IF($A78="","",IFERROR($D78*(1+$E78),0))</f>
        <v/>
      </c>
    </row>
    <row r="79">
      <c r="G79" s="22">
        <f>IF($A79="","",IFERROR($D79*(1+$E79),0))</f>
        <v/>
      </c>
    </row>
    <row r="80">
      <c r="G80" s="22">
        <f>IF($A80="","",IFERROR($D80*(1+$E80),0))</f>
        <v/>
      </c>
    </row>
    <row r="81">
      <c r="G81" s="22">
        <f>IF($A81="","",IFERROR($D81*(1+$E81),0))</f>
        <v/>
      </c>
    </row>
    <row r="82">
      <c r="G82" s="22">
        <f>IF($A82="","",IFERROR($D82*(1+$E82),0))</f>
        <v/>
      </c>
    </row>
    <row r="83">
      <c r="G83" s="22">
        <f>IF($A83="","",IFERROR($D83*(1+$E83),0))</f>
        <v/>
      </c>
    </row>
    <row r="84">
      <c r="G84" s="22">
        <f>IF($A84="","",IFERROR($D84*(1+$E84),0))</f>
        <v/>
      </c>
    </row>
    <row r="85">
      <c r="G85" s="22">
        <f>IF($A85="","",IFERROR($D85*(1+$E85),0))</f>
        <v/>
      </c>
    </row>
    <row r="86">
      <c r="G86" s="22">
        <f>IF($A86="","",IFERROR($D86*(1+$E86),0))</f>
        <v/>
      </c>
    </row>
    <row r="87">
      <c r="G87" s="22">
        <f>IF($A87="","",IFERROR($D87*(1+$E87),0))</f>
        <v/>
      </c>
    </row>
    <row r="88">
      <c r="G88" s="22">
        <f>IF($A88="","",IFERROR($D88*(1+$E88),0))</f>
        <v/>
      </c>
    </row>
    <row r="89">
      <c r="G89" s="22">
        <f>IF($A89="","",IFERROR($D89*(1+$E89),0))</f>
        <v/>
      </c>
    </row>
    <row r="90">
      <c r="G90" s="22">
        <f>IF($A90="","",IFERROR($D90*(1+$E90),0))</f>
        <v/>
      </c>
    </row>
    <row r="91">
      <c r="G91" s="22">
        <f>IF($A91="","",IFERROR($D91*(1+$E91),0))</f>
        <v/>
      </c>
    </row>
    <row r="92">
      <c r="G92" s="22">
        <f>IF($A92="","",IFERROR($D92*(1+$E92),0))</f>
        <v/>
      </c>
    </row>
    <row r="93">
      <c r="G93" s="22">
        <f>IF($A93="","",IFERROR($D93*(1+$E93),0))</f>
        <v/>
      </c>
    </row>
    <row r="94">
      <c r="G94" s="22">
        <f>IF($A94="","",IFERROR($D94*(1+$E94),0))</f>
        <v/>
      </c>
    </row>
    <row r="95">
      <c r="G95" s="22">
        <f>IF($A95="","",IFERROR($D95*(1+$E95),0))</f>
        <v/>
      </c>
    </row>
    <row r="96">
      <c r="G96" s="22">
        <f>IF($A96="","",IFERROR($D96*(1+$E96),0))</f>
        <v/>
      </c>
    </row>
    <row r="97">
      <c r="G97" s="22">
        <f>IF($A97="","",IFERROR($D97*(1+$E97),0))</f>
        <v/>
      </c>
    </row>
    <row r="98">
      <c r="G98" s="22">
        <f>IF($A98="","",IFERROR($D98*(1+$E98),0))</f>
        <v/>
      </c>
    </row>
    <row r="99">
      <c r="G99" s="22">
        <f>IF($A99="","",IFERROR($D99*(1+$E99),0))</f>
        <v/>
      </c>
    </row>
    <row r="100">
      <c r="G100" s="22">
        <f>IF($A100="","",IFERROR($D100*(1+$E100),0))</f>
        <v/>
      </c>
    </row>
    <row r="101">
      <c r="G101" s="22">
        <f>IF($A101="","",IFERROR($D101*(1+$E101),0))</f>
        <v/>
      </c>
    </row>
    <row r="102">
      <c r="G102" s="22">
        <f>IF($A102="","",IFERROR($D102*(1+$E102),0))</f>
        <v/>
      </c>
    </row>
    <row r="103">
      <c r="G103" s="22">
        <f>IF($A103="","",IFERROR($D103*(1+$E103),0))</f>
        <v/>
      </c>
    </row>
    <row r="104">
      <c r="G104" s="22">
        <f>IF($A104="","",IFERROR($D104*(1+$E104),0))</f>
        <v/>
      </c>
    </row>
    <row r="105">
      <c r="G105" s="22">
        <f>IF($A105="","",IFERROR($D105*(1+$E105),0))</f>
        <v/>
      </c>
    </row>
    <row r="106">
      <c r="G106" s="22">
        <f>IF($A106="","",IFERROR($D106*(1+$E106),0))</f>
        <v/>
      </c>
    </row>
    <row r="107">
      <c r="G107" s="22">
        <f>IF($A107="","",IFERROR($D107*(1+$E107),0))</f>
        <v/>
      </c>
    </row>
    <row r="108">
      <c r="G108" s="22">
        <f>IF($A108="","",IFERROR($D108*(1+$E108),0))</f>
        <v/>
      </c>
    </row>
    <row r="109">
      <c r="G109" s="22">
        <f>IF($A109="","",IFERROR($D109*(1+$E109),0))</f>
        <v/>
      </c>
    </row>
    <row r="110">
      <c r="G110" s="22">
        <f>IF($A110="","",IFERROR($D110*(1+$E110),0))</f>
        <v/>
      </c>
    </row>
    <row r="111">
      <c r="G111" s="22">
        <f>IF($A111="","",IFERROR($D111*(1+$E111),0))</f>
        <v/>
      </c>
    </row>
    <row r="112">
      <c r="G112" s="22">
        <f>IF($A112="","",IFERROR($D112*(1+$E112),0))</f>
        <v/>
      </c>
    </row>
    <row r="113">
      <c r="G113" s="22">
        <f>IF($A113="","",IFERROR($D113*(1+$E113),0))</f>
        <v/>
      </c>
    </row>
    <row r="114">
      <c r="G114" s="22">
        <f>IF($A114="","",IFERROR($D114*(1+$E114),0))</f>
        <v/>
      </c>
    </row>
    <row r="115">
      <c r="G115" s="22">
        <f>IF($A115="","",IFERROR($D115*(1+$E115),0))</f>
        <v/>
      </c>
    </row>
    <row r="116">
      <c r="G116" s="22">
        <f>IF($A116="","",IFERROR($D116*(1+$E116),0))</f>
        <v/>
      </c>
    </row>
    <row r="117">
      <c r="G117" s="22">
        <f>IF($A117="","",IFERROR($D117*(1+$E117),0))</f>
        <v/>
      </c>
    </row>
    <row r="118">
      <c r="G118" s="22">
        <f>IF($A118="","",IFERROR($D118*(1+$E118),0))</f>
        <v/>
      </c>
    </row>
    <row r="119">
      <c r="G119" s="22">
        <f>IF($A119="","",IFERROR($D119*(1+$E119),0))</f>
        <v/>
      </c>
    </row>
    <row r="120">
      <c r="G120" s="22">
        <f>IF($A120="","",IFERROR($D120*(1+$E120),0))</f>
        <v/>
      </c>
    </row>
    <row r="121">
      <c r="G121" s="22">
        <f>IF($A121="","",IFERROR($D121*(1+$E121),0))</f>
        <v/>
      </c>
    </row>
    <row r="122">
      <c r="G122" s="22">
        <f>IF($A122="","",IFERROR($D122*(1+$E122),0))</f>
        <v/>
      </c>
    </row>
    <row r="123">
      <c r="G123" s="22">
        <f>IF($A123="","",IFERROR($D123*(1+$E123),0))</f>
        <v/>
      </c>
    </row>
    <row r="124">
      <c r="G124" s="22">
        <f>IF($A124="","",IFERROR($D124*(1+$E124),0))</f>
        <v/>
      </c>
    </row>
    <row r="125">
      <c r="G125" s="22">
        <f>IF($A125="","",IFERROR($D125*(1+$E125),0))</f>
        <v/>
      </c>
    </row>
    <row r="126">
      <c r="G126" s="22">
        <f>IF($A126="","",IFERROR($D126*(1+$E126),0))</f>
        <v/>
      </c>
    </row>
    <row r="127">
      <c r="G127" s="22">
        <f>IF($A127="","",IFERROR($D127*(1+$E127),0))</f>
        <v/>
      </c>
    </row>
    <row r="128">
      <c r="G128" s="22">
        <f>IF($A128="","",IFERROR($D128*(1+$E128),0))</f>
        <v/>
      </c>
    </row>
    <row r="129">
      <c r="G129" s="22">
        <f>IF($A129="","",IFERROR($D129*(1+$E129),0))</f>
        <v/>
      </c>
    </row>
    <row r="130">
      <c r="G130" s="22">
        <f>IF($A130="","",IFERROR($D130*(1+$E130),0))</f>
        <v/>
      </c>
    </row>
    <row r="131">
      <c r="G131" s="22">
        <f>IF($A131="","",IFERROR($D131*(1+$E131),0))</f>
        <v/>
      </c>
    </row>
    <row r="132">
      <c r="G132" s="22">
        <f>IF($A132="","",IFERROR($D132*(1+$E132),0))</f>
        <v/>
      </c>
    </row>
    <row r="133">
      <c r="G133" s="22">
        <f>IF($A133="","",IFERROR($D133*(1+$E133),0))</f>
        <v/>
      </c>
    </row>
    <row r="134">
      <c r="G134" s="22">
        <f>IF($A134="","",IFERROR($D134*(1+$E134),0))</f>
        <v/>
      </c>
    </row>
    <row r="135">
      <c r="G135" s="22">
        <f>IF($A135="","",IFERROR($D135*(1+$E135),0))</f>
        <v/>
      </c>
    </row>
    <row r="136">
      <c r="G136" s="22">
        <f>IF($A136="","",IFERROR($D136*(1+$E136),0))</f>
        <v/>
      </c>
    </row>
    <row r="137">
      <c r="G137" s="22">
        <f>IF($A137="","",IFERROR($D137*(1+$E137),0))</f>
        <v/>
      </c>
    </row>
    <row r="138">
      <c r="G138" s="22">
        <f>IF($A138="","",IFERROR($D138*(1+$E138),0))</f>
        <v/>
      </c>
    </row>
    <row r="139">
      <c r="G139" s="22">
        <f>IF($A139="","",IFERROR($D139*(1+$E139),0))</f>
        <v/>
      </c>
    </row>
    <row r="140">
      <c r="G140" s="22">
        <f>IF($A140="","",IFERROR($D140*(1+$E140),0))</f>
        <v/>
      </c>
    </row>
    <row r="141">
      <c r="G141" s="22">
        <f>IF($A141="","",IFERROR($D141*(1+$E141),0))</f>
        <v/>
      </c>
    </row>
    <row r="142">
      <c r="G142" s="22">
        <f>IF($A142="","",IFERROR($D142*(1+$E142),0))</f>
        <v/>
      </c>
    </row>
    <row r="143">
      <c r="G143" s="22">
        <f>IF($A143="","",IFERROR($D143*(1+$E143),0))</f>
        <v/>
      </c>
    </row>
    <row r="144">
      <c r="G144" s="22">
        <f>IF($A144="","",IFERROR($D144*(1+$E144),0))</f>
        <v/>
      </c>
    </row>
    <row r="145">
      <c r="G145" s="22">
        <f>IF($A145="","",IFERROR($D145*(1+$E145),0))</f>
        <v/>
      </c>
    </row>
    <row r="146">
      <c r="G146" s="22">
        <f>IF($A146="","",IFERROR($D146*(1+$E146),0))</f>
        <v/>
      </c>
    </row>
    <row r="147">
      <c r="G147" s="22">
        <f>IF($A147="","",IFERROR($D147*(1+$E147),0))</f>
        <v/>
      </c>
    </row>
    <row r="148">
      <c r="G148" s="22">
        <f>IF($A148="","",IFERROR($D148*(1+$E148),0))</f>
        <v/>
      </c>
    </row>
    <row r="149">
      <c r="G149" s="22">
        <f>IF($A149="","",IFERROR($D149*(1+$E149),0))</f>
        <v/>
      </c>
    </row>
    <row r="150">
      <c r="G150" s="22">
        <f>IF($A150="","",IFERROR($D150*(1+$E150),0))</f>
        <v/>
      </c>
    </row>
    <row r="151">
      <c r="G151" s="22">
        <f>IF($A151="","",IFERROR($D151*(1+$E151),0))</f>
        <v/>
      </c>
    </row>
    <row r="152">
      <c r="G152" s="22">
        <f>IF($A152="","",IFERROR($D152*(1+$E152),0))</f>
        <v/>
      </c>
    </row>
    <row r="153">
      <c r="G153" s="22">
        <f>IF($A153="","",IFERROR($D153*(1+$E153),0))</f>
        <v/>
      </c>
    </row>
    <row r="154">
      <c r="G154" s="22">
        <f>IF($A154="","",IFERROR($D154*(1+$E154),0))</f>
        <v/>
      </c>
    </row>
    <row r="155">
      <c r="G155" s="22">
        <f>IF($A155="","",IFERROR($D155*(1+$E155),0))</f>
        <v/>
      </c>
    </row>
    <row r="156">
      <c r="G156" s="22">
        <f>IF($A156="","",IFERROR($D156*(1+$E156),0))</f>
        <v/>
      </c>
    </row>
    <row r="157">
      <c r="G157" s="22">
        <f>IF($A157="","",IFERROR($D157*(1+$E157),0))</f>
        <v/>
      </c>
    </row>
    <row r="158">
      <c r="G158" s="22">
        <f>IF($A158="","",IFERROR($D158*(1+$E158),0))</f>
        <v/>
      </c>
    </row>
    <row r="159">
      <c r="G159" s="22">
        <f>IF($A159="","",IFERROR($D159*(1+$E159),0))</f>
        <v/>
      </c>
    </row>
    <row r="160">
      <c r="G160" s="22">
        <f>IF($A160="","",IFERROR($D160*(1+$E160),0))</f>
        <v/>
      </c>
    </row>
    <row r="161">
      <c r="G161" s="22">
        <f>IF($A161="","",IFERROR($D161*(1+$E161),0))</f>
        <v/>
      </c>
    </row>
    <row r="162">
      <c r="G162" s="22">
        <f>IF($A162="","",IFERROR($D162*(1+$E162),0))</f>
        <v/>
      </c>
    </row>
    <row r="163">
      <c r="G163" s="22">
        <f>IF($A163="","",IFERROR($D163*(1+$E163),0))</f>
        <v/>
      </c>
    </row>
    <row r="164">
      <c r="G164" s="22">
        <f>IF($A164="","",IFERROR($D164*(1+$E164),0))</f>
        <v/>
      </c>
    </row>
    <row r="165">
      <c r="G165" s="22">
        <f>IF($A165="","",IFERROR($D165*(1+$E165),0))</f>
        <v/>
      </c>
    </row>
    <row r="166">
      <c r="G166" s="22">
        <f>IF($A166="","",IFERROR($D166*(1+$E166),0))</f>
        <v/>
      </c>
    </row>
    <row r="167">
      <c r="G167" s="22">
        <f>IF($A167="","",IFERROR($D167*(1+$E167),0))</f>
        <v/>
      </c>
    </row>
    <row r="168">
      <c r="G168" s="22">
        <f>IF($A168="","",IFERROR($D168*(1+$E168),0))</f>
        <v/>
      </c>
    </row>
    <row r="169">
      <c r="G169" s="22">
        <f>IF($A169="","",IFERROR($D169*(1+$E169),0))</f>
        <v/>
      </c>
    </row>
    <row r="170">
      <c r="G170" s="22">
        <f>IF($A170="","",IFERROR($D170*(1+$E170),0))</f>
        <v/>
      </c>
    </row>
    <row r="171">
      <c r="G171" s="22">
        <f>IF($A171="","",IFERROR($D171*(1+$E171),0))</f>
        <v/>
      </c>
    </row>
    <row r="172">
      <c r="G172" s="22">
        <f>IF($A172="","",IFERROR($D172*(1+$E172),0))</f>
        <v/>
      </c>
    </row>
    <row r="173">
      <c r="G173" s="22">
        <f>IF($A173="","",IFERROR($D173*(1+$E173),0))</f>
        <v/>
      </c>
    </row>
    <row r="174">
      <c r="G174" s="22">
        <f>IF($A174="","",IFERROR($D174*(1+$E174),0))</f>
        <v/>
      </c>
    </row>
    <row r="175">
      <c r="G175" s="22">
        <f>IF($A175="","",IFERROR($D175*(1+$E175),0))</f>
        <v/>
      </c>
    </row>
    <row r="176">
      <c r="G176" s="22">
        <f>IF($A176="","",IFERROR($D176*(1+$E176),0))</f>
        <v/>
      </c>
    </row>
    <row r="177">
      <c r="G177" s="22">
        <f>IF($A177="","",IFERROR($D177*(1+$E177),0))</f>
        <v/>
      </c>
    </row>
    <row r="178">
      <c r="G178" s="22">
        <f>IF($A178="","",IFERROR($D178*(1+$E178),0))</f>
        <v/>
      </c>
    </row>
    <row r="179">
      <c r="G179" s="22">
        <f>IF($A179="","",IFERROR($D179*(1+$E179),0))</f>
        <v/>
      </c>
    </row>
    <row r="180">
      <c r="G180" s="22">
        <f>IF($A180="","",IFERROR($D180*(1+$E180),0))</f>
        <v/>
      </c>
    </row>
    <row r="181">
      <c r="G181" s="22">
        <f>IF($A181="","",IFERROR($D181*(1+$E181),0))</f>
        <v/>
      </c>
    </row>
    <row r="182">
      <c r="G182" s="22">
        <f>IF($A182="","",IFERROR($D182*(1+$E182),0))</f>
        <v/>
      </c>
    </row>
    <row r="183">
      <c r="G183" s="22">
        <f>IF($A183="","",IFERROR($D183*(1+$E183),0))</f>
        <v/>
      </c>
    </row>
    <row r="184">
      <c r="G184" s="22">
        <f>IF($A184="","",IFERROR($D184*(1+$E184),0))</f>
        <v/>
      </c>
    </row>
    <row r="185">
      <c r="G185" s="22">
        <f>IF($A185="","",IFERROR($D185*(1+$E185),0))</f>
        <v/>
      </c>
    </row>
    <row r="186">
      <c r="G186" s="22">
        <f>IF($A186="","",IFERROR($D186*(1+$E186),0))</f>
        <v/>
      </c>
    </row>
    <row r="187">
      <c r="G187" s="22">
        <f>IF($A187="","",IFERROR($D187*(1+$E187),0))</f>
        <v/>
      </c>
    </row>
    <row r="188">
      <c r="G188" s="22">
        <f>IF($A188="","",IFERROR($D188*(1+$E188),0))</f>
        <v/>
      </c>
    </row>
    <row r="189">
      <c r="G189" s="22">
        <f>IF($A189="","",IFERROR($D189*(1+$E189),0))</f>
        <v/>
      </c>
    </row>
    <row r="190">
      <c r="G190" s="22">
        <f>IF($A190="","",IFERROR($D190*(1+$E190),0))</f>
        <v/>
      </c>
    </row>
    <row r="191">
      <c r="G191" s="22">
        <f>IF($A191="","",IFERROR($D191*(1+$E191),0))</f>
        <v/>
      </c>
    </row>
    <row r="192">
      <c r="G192" s="22">
        <f>IF($A192="","",IFERROR($D192*(1+$E192),0))</f>
        <v/>
      </c>
    </row>
    <row r="193">
      <c r="G193" s="22">
        <f>IF($A193="","",IFERROR($D193*(1+$E193),0))</f>
        <v/>
      </c>
    </row>
    <row r="194">
      <c r="G194" s="22">
        <f>IF($A194="","",IFERROR($D194*(1+$E194),0))</f>
        <v/>
      </c>
    </row>
    <row r="195">
      <c r="G195" s="22">
        <f>IF($A195="","",IFERROR($D195*(1+$E195),0))</f>
        <v/>
      </c>
    </row>
    <row r="196">
      <c r="G196" s="22">
        <f>IF($A196="","",IFERROR($D196*(1+$E196),0))</f>
        <v/>
      </c>
    </row>
    <row r="197">
      <c r="G197" s="22">
        <f>IF($A197="","",IFERROR($D197*(1+$E197),0))</f>
        <v/>
      </c>
    </row>
    <row r="198">
      <c r="G198" s="22">
        <f>IF($A198="","",IFERROR($D198*(1+$E198),0))</f>
        <v/>
      </c>
    </row>
    <row r="199">
      <c r="G199" s="22">
        <f>IF($A199="","",IFERROR($D199*(1+$E199),0))</f>
        <v/>
      </c>
    </row>
    <row r="200">
      <c r="G200" s="22">
        <f>IF($A200="","",IFERROR($D200*(1+$E200),0))</f>
        <v/>
      </c>
    </row>
    <row r="201">
      <c r="G201" s="22">
        <f>IF($A201="","",IFERROR($D201*(1+$E201),0))</f>
        <v/>
      </c>
    </row>
    <row r="202">
      <c r="G202" s="22">
        <f>IF($A202="","",IFERROR($D202*(1+$E202),0))</f>
        <v/>
      </c>
    </row>
    <row r="203">
      <c r="G203" s="22">
        <f>IF($A203="","",IFERROR($D203*(1+$E203),0))</f>
        <v/>
      </c>
    </row>
    <row r="204">
      <c r="G204" s="22">
        <f>IF($A204="","",IFERROR($D204*(1+$E204),0))</f>
        <v/>
      </c>
    </row>
    <row r="205">
      <c r="G205" s="22">
        <f>IF($A205="","",IFERROR($D205*(1+$E205),0))</f>
        <v/>
      </c>
    </row>
    <row r="206">
      <c r="G206" s="22">
        <f>IF($A206="","",IFERROR($D206*(1+$E206),0))</f>
        <v/>
      </c>
    </row>
    <row r="207">
      <c r="G207" s="22">
        <f>IF($A207="","",IFERROR($D207*(1+$E207),0))</f>
        <v/>
      </c>
    </row>
    <row r="208">
      <c r="G208" s="22">
        <f>IF($A208="","",IFERROR($D208*(1+$E208),0))</f>
        <v/>
      </c>
    </row>
    <row r="209">
      <c r="G209" s="22">
        <f>IF($A209="","",IFERROR($D209*(1+$E209),0))</f>
        <v/>
      </c>
    </row>
    <row r="210">
      <c r="G210" s="22">
        <f>IF($A210="","",IFERROR($D210*(1+$E210),0))</f>
        <v/>
      </c>
    </row>
    <row r="211">
      <c r="G211" s="22">
        <f>IF($A211="","",IFERROR($D211*(1+$E211),0))</f>
        <v/>
      </c>
    </row>
    <row r="212">
      <c r="G212" s="22">
        <f>IF($A212="","",IFERROR($D212*(1+$E212),0))</f>
        <v/>
      </c>
    </row>
    <row r="213">
      <c r="G213" s="22">
        <f>IF($A213="","",IFERROR($D213*(1+$E213),0))</f>
        <v/>
      </c>
    </row>
    <row r="214">
      <c r="G214" s="22">
        <f>IF($A214="","",IFERROR($D214*(1+$E214),0))</f>
        <v/>
      </c>
    </row>
    <row r="215">
      <c r="G215" s="22">
        <f>IF($A215="","",IFERROR($D215*(1+$E215),0))</f>
        <v/>
      </c>
    </row>
    <row r="216">
      <c r="G216" s="22">
        <f>IF($A216="","",IFERROR($D216*(1+$E216),0))</f>
        <v/>
      </c>
    </row>
    <row r="217">
      <c r="G217" s="22">
        <f>IF($A217="","",IFERROR($D217*(1+$E217),0))</f>
        <v/>
      </c>
    </row>
    <row r="218">
      <c r="G218" s="22">
        <f>IF($A218="","",IFERROR($D218*(1+$E218),0))</f>
        <v/>
      </c>
    </row>
    <row r="219">
      <c r="G219" s="22">
        <f>IF($A219="","",IFERROR($D219*(1+$E219),0))</f>
        <v/>
      </c>
    </row>
    <row r="220">
      <c r="G220" s="22">
        <f>IF($A220="","",IFERROR($D220*(1+$E220),0))</f>
        <v/>
      </c>
    </row>
    <row r="221">
      <c r="G221" s="22">
        <f>IF($A221="","",IFERROR($D221*(1+$E221),0))</f>
        <v/>
      </c>
    </row>
    <row r="222">
      <c r="G222" s="22">
        <f>IF($A222="","",IFERROR($D222*(1+$E222),0))</f>
        <v/>
      </c>
    </row>
    <row r="223">
      <c r="G223" s="22">
        <f>IF($A223="","",IFERROR($D223*(1+$E223),0))</f>
        <v/>
      </c>
    </row>
    <row r="224">
      <c r="G224" s="22">
        <f>IF($A224="","",IFERROR($D224*(1+$E224),0))</f>
        <v/>
      </c>
    </row>
    <row r="225">
      <c r="G225" s="22">
        <f>IF($A225="","",IFERROR($D225*(1+$E225),0))</f>
        <v/>
      </c>
    </row>
    <row r="226">
      <c r="G226" s="22">
        <f>IF($A226="","",IFERROR($D226*(1+$E226),0))</f>
        <v/>
      </c>
    </row>
    <row r="227">
      <c r="G227" s="22">
        <f>IF($A227="","",IFERROR($D227*(1+$E227),0))</f>
        <v/>
      </c>
    </row>
    <row r="228">
      <c r="G228" s="22">
        <f>IF($A228="","",IFERROR($D228*(1+$E228),0))</f>
        <v/>
      </c>
    </row>
    <row r="229">
      <c r="G229" s="22">
        <f>IF($A229="","",IFERROR($D229*(1+$E229),0))</f>
        <v/>
      </c>
    </row>
    <row r="230">
      <c r="G230" s="22">
        <f>IF($A230="","",IFERROR($D230*(1+$E230),0))</f>
        <v/>
      </c>
    </row>
    <row r="231">
      <c r="G231" s="22">
        <f>IF($A231="","",IFERROR($D231*(1+$E231),0))</f>
        <v/>
      </c>
    </row>
    <row r="232">
      <c r="G232" s="22">
        <f>IF($A232="","",IFERROR($D232*(1+$E232),0))</f>
        <v/>
      </c>
    </row>
    <row r="233">
      <c r="G233" s="22">
        <f>IF($A233="","",IFERROR($D233*(1+$E233),0))</f>
        <v/>
      </c>
    </row>
    <row r="234">
      <c r="G234" s="22">
        <f>IF($A234="","",IFERROR($D234*(1+$E234),0))</f>
        <v/>
      </c>
    </row>
    <row r="235">
      <c r="G235" s="22">
        <f>IF($A235="","",IFERROR($D235*(1+$E235),0))</f>
        <v/>
      </c>
    </row>
    <row r="236">
      <c r="G236" s="22">
        <f>IF($A236="","",IFERROR($D236*(1+$E236),0))</f>
        <v/>
      </c>
    </row>
    <row r="237">
      <c r="G237" s="22">
        <f>IF($A237="","",IFERROR($D237*(1+$E237),0))</f>
        <v/>
      </c>
    </row>
    <row r="238">
      <c r="G238" s="22">
        <f>IF($A238="","",IFERROR($D238*(1+$E238),0))</f>
        <v/>
      </c>
    </row>
    <row r="239">
      <c r="G239" s="22">
        <f>IF($A239="","",IFERROR($D239*(1+$E239),0))</f>
        <v/>
      </c>
    </row>
    <row r="240">
      <c r="G240" s="22">
        <f>IF($A240="","",IFERROR($D240*(1+$E240),0))</f>
        <v/>
      </c>
    </row>
    <row r="241">
      <c r="G241" s="22">
        <f>IF($A241="","",IFERROR($D241*(1+$E241),0))</f>
        <v/>
      </c>
    </row>
    <row r="242">
      <c r="G242" s="22">
        <f>IF($A242="","",IFERROR($D242*(1+$E242),0))</f>
        <v/>
      </c>
    </row>
    <row r="243">
      <c r="G243" s="22">
        <f>IF($A243="","",IFERROR($D243*(1+$E243),0))</f>
        <v/>
      </c>
    </row>
    <row r="244">
      <c r="G244" s="22">
        <f>IF($A244="","",IFERROR($D244*(1+$E244),0))</f>
        <v/>
      </c>
    </row>
    <row r="245">
      <c r="G245" s="22">
        <f>IF($A245="","",IFERROR($D245*(1+$E245),0))</f>
        <v/>
      </c>
    </row>
    <row r="246">
      <c r="G246" s="22">
        <f>IF($A246="","",IFERROR($D246*(1+$E246),0))</f>
        <v/>
      </c>
    </row>
    <row r="247">
      <c r="G247" s="22">
        <f>IF($A247="","",IFERROR($D247*(1+$E247),0))</f>
        <v/>
      </c>
    </row>
    <row r="248">
      <c r="G248" s="22">
        <f>IF($A248="","",IFERROR($D248*(1+$E248),0))</f>
        <v/>
      </c>
    </row>
    <row r="249">
      <c r="G249" s="22">
        <f>IF($A249="","",IFERROR($D249*(1+$E249),0))</f>
        <v/>
      </c>
    </row>
    <row r="250">
      <c r="G250" s="22">
        <f>IF($A250="","",IFERROR($D250*(1+$E250),0))</f>
        <v/>
      </c>
    </row>
    <row r="251">
      <c r="G251" s="22">
        <f>IF($A251="","",IFERROR($D251*(1+$E251),0))</f>
        <v/>
      </c>
    </row>
    <row r="252">
      <c r="G252" s="22">
        <f>IF($A252="","",IFERROR($D252*(1+$E252),0))</f>
        <v/>
      </c>
    </row>
    <row r="253">
      <c r="G253" s="22">
        <f>IF($A253="","",IFERROR($D253*(1+$E253),0))</f>
        <v/>
      </c>
    </row>
    <row r="254">
      <c r="G254" s="22">
        <f>IF($A254="","",IFERROR($D254*(1+$E254),0))</f>
        <v/>
      </c>
    </row>
    <row r="255">
      <c r="G255" s="22">
        <f>IF($A255="","",IFERROR($D255*(1+$E255),0))</f>
        <v/>
      </c>
    </row>
    <row r="256">
      <c r="G256" s="22">
        <f>IF($A256="","",IFERROR($D256*(1+$E256),0))</f>
        <v/>
      </c>
    </row>
    <row r="257">
      <c r="G257" s="22">
        <f>IF($A257="","",IFERROR($D257*(1+$E257),0))</f>
        <v/>
      </c>
    </row>
    <row r="258">
      <c r="G258" s="22">
        <f>IF($A258="","",IFERROR($D258*(1+$E258),0))</f>
        <v/>
      </c>
    </row>
    <row r="259">
      <c r="G259" s="22">
        <f>IF($A259="","",IFERROR($D259*(1+$E259),0))</f>
        <v/>
      </c>
    </row>
    <row r="260">
      <c r="G260" s="22">
        <f>IF($A260="","",IFERROR($D260*(1+$E260),0))</f>
        <v/>
      </c>
    </row>
    <row r="261">
      <c r="G261" s="22">
        <f>IF($A261="","",IFERROR($D261*(1+$E261),0))</f>
        <v/>
      </c>
    </row>
    <row r="262">
      <c r="G262" s="22">
        <f>IF($A262="","",IFERROR($D262*(1+$E262),0))</f>
        <v/>
      </c>
    </row>
    <row r="263">
      <c r="G263" s="22">
        <f>IF($A263="","",IFERROR($D263*(1+$E263),0))</f>
        <v/>
      </c>
    </row>
    <row r="264">
      <c r="G264" s="22">
        <f>IF($A264="","",IFERROR($D264*(1+$E264),0))</f>
        <v/>
      </c>
    </row>
    <row r="265">
      <c r="G265" s="22">
        <f>IF($A265="","",IFERROR($D265*(1+$E265),0))</f>
        <v/>
      </c>
    </row>
    <row r="266">
      <c r="G266" s="22">
        <f>IF($A266="","",IFERROR($D266*(1+$E266),0))</f>
        <v/>
      </c>
    </row>
    <row r="267">
      <c r="G267" s="22">
        <f>IF($A267="","",IFERROR($D267*(1+$E267),0))</f>
        <v/>
      </c>
    </row>
    <row r="268">
      <c r="G268" s="22">
        <f>IF($A268="","",IFERROR($D268*(1+$E268),0))</f>
        <v/>
      </c>
    </row>
    <row r="269">
      <c r="G269" s="22">
        <f>IF($A269="","",IFERROR($D269*(1+$E269),0))</f>
        <v/>
      </c>
    </row>
    <row r="270">
      <c r="G270" s="22">
        <f>IF($A270="","",IFERROR($D270*(1+$E270),0))</f>
        <v/>
      </c>
    </row>
    <row r="271">
      <c r="G271" s="22">
        <f>IF($A271="","",IFERROR($D271*(1+$E271),0))</f>
        <v/>
      </c>
    </row>
    <row r="272">
      <c r="G272" s="22">
        <f>IF($A272="","",IFERROR($D272*(1+$E272),0))</f>
        <v/>
      </c>
    </row>
    <row r="273">
      <c r="G273" s="22">
        <f>IF($A273="","",IFERROR($D273*(1+$E273),0))</f>
        <v/>
      </c>
    </row>
    <row r="274">
      <c r="G274" s="22">
        <f>IF($A274="","",IFERROR($D274*(1+$E274),0))</f>
        <v/>
      </c>
    </row>
    <row r="275">
      <c r="G275" s="22">
        <f>IF($A275="","",IFERROR($D275*(1+$E275),0))</f>
        <v/>
      </c>
    </row>
    <row r="276">
      <c r="G276" s="22">
        <f>IF($A276="","",IFERROR($D276*(1+$E276),0))</f>
        <v/>
      </c>
    </row>
    <row r="277">
      <c r="G277" s="22">
        <f>IF($A277="","",IFERROR($D277*(1+$E277),0))</f>
        <v/>
      </c>
    </row>
    <row r="278">
      <c r="G278" s="22">
        <f>IF($A278="","",IFERROR($D278*(1+$E278),0))</f>
        <v/>
      </c>
    </row>
    <row r="279">
      <c r="G279" s="22">
        <f>IF($A279="","",IFERROR($D279*(1+$E279),0))</f>
        <v/>
      </c>
    </row>
    <row r="280">
      <c r="G280" s="22">
        <f>IF($A280="","",IFERROR($D280*(1+$E280),0))</f>
        <v/>
      </c>
    </row>
    <row r="281">
      <c r="G281" s="22">
        <f>IF($A281="","",IFERROR($D281*(1+$E281),0))</f>
        <v/>
      </c>
    </row>
    <row r="282">
      <c r="G282" s="22">
        <f>IF($A282="","",IFERROR($D282*(1+$E282),0))</f>
        <v/>
      </c>
    </row>
    <row r="283">
      <c r="G283" s="22">
        <f>IF($A283="","",IFERROR($D283*(1+$E283),0))</f>
        <v/>
      </c>
    </row>
    <row r="284">
      <c r="G284" s="22">
        <f>IF($A284="","",IFERROR($D284*(1+$E284),0))</f>
        <v/>
      </c>
    </row>
    <row r="285">
      <c r="G285" s="22">
        <f>IF($A285="","",IFERROR($D285*(1+$E285),0))</f>
        <v/>
      </c>
    </row>
    <row r="286">
      <c r="G286" s="22">
        <f>IF($A286="","",IFERROR($D286*(1+$E286),0))</f>
        <v/>
      </c>
    </row>
    <row r="287">
      <c r="G287" s="22">
        <f>IF($A287="","",IFERROR($D287*(1+$E287),0))</f>
        <v/>
      </c>
    </row>
    <row r="288">
      <c r="G288" s="22">
        <f>IF($A288="","",IFERROR($D288*(1+$E288),0))</f>
        <v/>
      </c>
    </row>
    <row r="289">
      <c r="G289" s="22">
        <f>IF($A289="","",IFERROR($D289*(1+$E289),0))</f>
        <v/>
      </c>
    </row>
    <row r="290">
      <c r="G290" s="22">
        <f>IF($A290="","",IFERROR($D290*(1+$E290),0))</f>
        <v/>
      </c>
    </row>
    <row r="291">
      <c r="G291" s="22">
        <f>IF($A291="","",IFERROR($D291*(1+$E291),0))</f>
        <v/>
      </c>
    </row>
    <row r="292">
      <c r="G292" s="22">
        <f>IF($A292="","",IFERROR($D292*(1+$E292),0))</f>
        <v/>
      </c>
    </row>
    <row r="293">
      <c r="G293" s="22">
        <f>IF($A293="","",IFERROR($D293*(1+$E293),0))</f>
        <v/>
      </c>
    </row>
    <row r="294">
      <c r="G294" s="22">
        <f>IF($A294="","",IFERROR($D294*(1+$E294),0))</f>
        <v/>
      </c>
    </row>
    <row r="295">
      <c r="G295" s="22">
        <f>IF($A295="","",IFERROR($D295*(1+$E295),0))</f>
        <v/>
      </c>
    </row>
    <row r="296">
      <c r="G296" s="22">
        <f>IF($A296="","",IFERROR($D296*(1+$E296),0))</f>
        <v/>
      </c>
    </row>
    <row r="297">
      <c r="G297" s="22">
        <f>IF($A297="","",IFERROR($D297*(1+$E297),0))</f>
        <v/>
      </c>
    </row>
    <row r="298">
      <c r="G298" s="22">
        <f>IF($A298="","",IFERROR($D298*(1+$E298),0))</f>
        <v/>
      </c>
    </row>
    <row r="299">
      <c r="G299" s="22">
        <f>IF($A299="","",IFERROR($D299*(1+$E299),0))</f>
        <v/>
      </c>
    </row>
    <row r="300">
      <c r="G300" s="22">
        <f>IF($A300="","",IFERROR($D300*(1+$E300),0))</f>
        <v/>
      </c>
    </row>
    <row r="301">
      <c r="G301" s="22">
        <f>IF($A301="","",IFERROR($D301*(1+$E301),0))</f>
        <v/>
      </c>
    </row>
    <row r="302">
      <c r="G302" s="22">
        <f>IF($A302="","",IFERROR($D302*(1+$E302),0))</f>
        <v/>
      </c>
    </row>
    <row r="303">
      <c r="G303" s="22">
        <f>IF($A303="","",IFERROR($D303*(1+$E303),0))</f>
        <v/>
      </c>
    </row>
    <row r="304">
      <c r="G304" s="22">
        <f>IF($A304="","",IFERROR($D304*(1+$E304),0))</f>
        <v/>
      </c>
    </row>
    <row r="305">
      <c r="G305" s="22">
        <f>IF($A305="","",IFERROR($D305*(1+$E305),0))</f>
        <v/>
      </c>
    </row>
    <row r="306">
      <c r="G306" s="22">
        <f>IF($A306="","",IFERROR($D306*(1+$E306),0))</f>
        <v/>
      </c>
    </row>
    <row r="307">
      <c r="G307" s="22">
        <f>IF($A307="","",IFERROR($D307*(1+$E307),0))</f>
        <v/>
      </c>
    </row>
    <row r="308">
      <c r="G308" s="22">
        <f>IF($A308="","",IFERROR($D308*(1+$E308),0))</f>
        <v/>
      </c>
    </row>
    <row r="309">
      <c r="G309" s="22">
        <f>IF($A309="","",IFERROR($D309*(1+$E309),0))</f>
        <v/>
      </c>
    </row>
    <row r="310">
      <c r="G310" s="22">
        <f>IF($A310="","",IFERROR($D310*(1+$E310),0))</f>
        <v/>
      </c>
    </row>
    <row r="311">
      <c r="G311" s="22">
        <f>IF($A311="","",IFERROR($D311*(1+$E311),0))</f>
        <v/>
      </c>
    </row>
    <row r="312">
      <c r="G312" s="22">
        <f>IF($A312="","",IFERROR($D312*(1+$E312),0))</f>
        <v/>
      </c>
    </row>
    <row r="313">
      <c r="G313" s="22">
        <f>IF($A313="","",IFERROR($D313*(1+$E313),0))</f>
        <v/>
      </c>
    </row>
    <row r="314">
      <c r="G314" s="22">
        <f>IF($A314="","",IFERROR($D314*(1+$E314),0))</f>
        <v/>
      </c>
    </row>
    <row r="315">
      <c r="G315" s="22">
        <f>IF($A315="","",IFERROR($D315*(1+$E315),0))</f>
        <v/>
      </c>
    </row>
    <row r="316">
      <c r="G316" s="22">
        <f>IF($A316="","",IFERROR($D316*(1+$E316),0))</f>
        <v/>
      </c>
    </row>
    <row r="317">
      <c r="G317" s="22">
        <f>IF($A317="","",IFERROR($D317*(1+$E317),0))</f>
        <v/>
      </c>
    </row>
    <row r="318">
      <c r="G318" s="22">
        <f>IF($A318="","",IFERROR($D318*(1+$E318),0))</f>
        <v/>
      </c>
    </row>
    <row r="319">
      <c r="G319" s="22">
        <f>IF($A319="","",IFERROR($D319*(1+$E319),0))</f>
        <v/>
      </c>
    </row>
    <row r="320">
      <c r="G320" s="22">
        <f>IF($A320="","",IFERROR($D320*(1+$E320),0))</f>
        <v/>
      </c>
    </row>
    <row r="321">
      <c r="G321" s="22">
        <f>IF($A321="","",IFERROR($D321*(1+$E321),0))</f>
        <v/>
      </c>
    </row>
    <row r="322">
      <c r="G322" s="22">
        <f>IF($A322="","",IFERROR($D322*(1+$E322),0))</f>
        <v/>
      </c>
    </row>
    <row r="323">
      <c r="G323" s="22">
        <f>IF($A323="","",IFERROR($D323*(1+$E323),0))</f>
        <v/>
      </c>
    </row>
    <row r="324">
      <c r="G324" s="22">
        <f>IF($A324="","",IFERROR($D324*(1+$E324),0))</f>
        <v/>
      </c>
    </row>
    <row r="325">
      <c r="G325" s="22">
        <f>IF($A325="","",IFERROR($D325*(1+$E325),0))</f>
        <v/>
      </c>
    </row>
    <row r="326">
      <c r="G326" s="22">
        <f>IF($A326="","",IFERROR($D326*(1+$E326),0))</f>
        <v/>
      </c>
    </row>
    <row r="327">
      <c r="G327" s="22">
        <f>IF($A327="","",IFERROR($D327*(1+$E327),0))</f>
        <v/>
      </c>
    </row>
    <row r="328">
      <c r="G328" s="22">
        <f>IF($A328="","",IFERROR($D328*(1+$E328),0))</f>
        <v/>
      </c>
    </row>
    <row r="329">
      <c r="G329" s="22">
        <f>IF($A329="","",IFERROR($D329*(1+$E329),0))</f>
        <v/>
      </c>
    </row>
    <row r="330">
      <c r="G330" s="22">
        <f>IF($A330="","",IFERROR($D330*(1+$E330),0))</f>
        <v/>
      </c>
    </row>
    <row r="331">
      <c r="G331" s="22">
        <f>IF($A331="","",IFERROR($D331*(1+$E331),0))</f>
        <v/>
      </c>
    </row>
    <row r="332">
      <c r="G332" s="22">
        <f>IF($A332="","",IFERROR($D332*(1+$E332),0))</f>
        <v/>
      </c>
    </row>
    <row r="333">
      <c r="G333" s="22">
        <f>IF($A333="","",IFERROR($D333*(1+$E333),0))</f>
        <v/>
      </c>
    </row>
    <row r="334">
      <c r="G334" s="22">
        <f>IF($A334="","",IFERROR($D334*(1+$E334),0))</f>
        <v/>
      </c>
    </row>
    <row r="335">
      <c r="G335" s="22">
        <f>IF($A335="","",IFERROR($D335*(1+$E335),0))</f>
        <v/>
      </c>
    </row>
    <row r="336">
      <c r="G336" s="22">
        <f>IF($A336="","",IFERROR($D336*(1+$E336),0))</f>
        <v/>
      </c>
    </row>
    <row r="337">
      <c r="G337" s="22">
        <f>IF($A337="","",IFERROR($D337*(1+$E337),0))</f>
        <v/>
      </c>
    </row>
    <row r="338">
      <c r="G338" s="22">
        <f>IF($A338="","",IFERROR($D338*(1+$E338),0))</f>
        <v/>
      </c>
    </row>
    <row r="339">
      <c r="G339" s="22">
        <f>IF($A339="","",IFERROR($D339*(1+$E339),0))</f>
        <v/>
      </c>
    </row>
    <row r="340">
      <c r="G340" s="22">
        <f>IF($A340="","",IFERROR($D340*(1+$E340),0))</f>
        <v/>
      </c>
    </row>
    <row r="341">
      <c r="G341" s="22">
        <f>IF($A341="","",IFERROR($D341*(1+$E341),0))</f>
        <v/>
      </c>
    </row>
    <row r="342">
      <c r="G342" s="22">
        <f>IF($A342="","",IFERROR($D342*(1+$E342),0))</f>
        <v/>
      </c>
    </row>
    <row r="343">
      <c r="G343" s="22">
        <f>IF($A343="","",IFERROR($D343*(1+$E343),0))</f>
        <v/>
      </c>
    </row>
    <row r="344">
      <c r="G344" s="22">
        <f>IF($A344="","",IFERROR($D344*(1+$E344),0))</f>
        <v/>
      </c>
    </row>
    <row r="345">
      <c r="G345" s="22">
        <f>IF($A345="","",IFERROR($D345*(1+$E345),0))</f>
        <v/>
      </c>
    </row>
    <row r="346">
      <c r="G346" s="22">
        <f>IF($A346="","",IFERROR($D346*(1+$E346),0))</f>
        <v/>
      </c>
    </row>
    <row r="347">
      <c r="G347" s="22">
        <f>IF($A347="","",IFERROR($D347*(1+$E347),0))</f>
        <v/>
      </c>
    </row>
    <row r="348">
      <c r="G348" s="22">
        <f>IF($A348="","",IFERROR($D348*(1+$E348),0))</f>
        <v/>
      </c>
    </row>
    <row r="349">
      <c r="G349" s="22">
        <f>IF($A349="","",IFERROR($D349*(1+$E349),0))</f>
        <v/>
      </c>
    </row>
    <row r="350">
      <c r="G350" s="22">
        <f>IF($A350="","",IFERROR($D350*(1+$E350),0))</f>
        <v/>
      </c>
    </row>
    <row r="351">
      <c r="G351" s="22">
        <f>IF($A351="","",IFERROR($D351*(1+$E351),0))</f>
        <v/>
      </c>
    </row>
    <row r="352">
      <c r="G352" s="22">
        <f>IF($A352="","",IFERROR($D352*(1+$E352),0))</f>
        <v/>
      </c>
    </row>
    <row r="353">
      <c r="G353" s="22">
        <f>IF($A353="","",IFERROR($D353*(1+$E353),0))</f>
        <v/>
      </c>
    </row>
    <row r="354">
      <c r="G354" s="22">
        <f>IF($A354="","",IFERROR($D354*(1+$E354),0))</f>
        <v/>
      </c>
    </row>
    <row r="355">
      <c r="G355" s="22">
        <f>IF($A355="","",IFERROR($D355*(1+$E355),0))</f>
        <v/>
      </c>
    </row>
    <row r="356">
      <c r="G356" s="22">
        <f>IF($A356="","",IFERROR($D356*(1+$E356),0))</f>
        <v/>
      </c>
    </row>
    <row r="357">
      <c r="G357" s="22">
        <f>IF($A357="","",IFERROR($D357*(1+$E357),0))</f>
        <v/>
      </c>
    </row>
    <row r="358">
      <c r="G358" s="22">
        <f>IF($A358="","",IFERROR($D358*(1+$E358),0))</f>
        <v/>
      </c>
    </row>
    <row r="359">
      <c r="G359" s="22">
        <f>IF($A359="","",IFERROR($D359*(1+$E359),0))</f>
        <v/>
      </c>
    </row>
    <row r="360">
      <c r="G360" s="22">
        <f>IF($A360="","",IFERROR($D360*(1+$E360),0))</f>
        <v/>
      </c>
    </row>
    <row r="361">
      <c r="G361" s="22">
        <f>IF($A361="","",IFERROR($D361*(1+$E361),0))</f>
        <v/>
      </c>
    </row>
    <row r="362">
      <c r="G362" s="22">
        <f>IF($A362="","",IFERROR($D362*(1+$E362),0))</f>
        <v/>
      </c>
    </row>
    <row r="363">
      <c r="G363" s="22">
        <f>IF($A363="","",IFERROR($D363*(1+$E363),0))</f>
        <v/>
      </c>
    </row>
    <row r="364">
      <c r="G364" s="22">
        <f>IF($A364="","",IFERROR($D364*(1+$E364),0))</f>
        <v/>
      </c>
    </row>
    <row r="365">
      <c r="G365" s="22">
        <f>IF($A365="","",IFERROR($D365*(1+$E365),0))</f>
        <v/>
      </c>
    </row>
    <row r="366">
      <c r="G366" s="22">
        <f>IF($A366="","",IFERROR($D366*(1+$E366),0))</f>
        <v/>
      </c>
    </row>
    <row r="367">
      <c r="G367" s="22">
        <f>IF($A367="","",IFERROR($D367*(1+$E367),0))</f>
        <v/>
      </c>
    </row>
    <row r="368">
      <c r="G368" s="22">
        <f>IF($A368="","",IFERROR($D368*(1+$E368),0))</f>
        <v/>
      </c>
    </row>
    <row r="369">
      <c r="G369" s="22">
        <f>IF($A369="","",IFERROR($D369*(1+$E369),0))</f>
        <v/>
      </c>
    </row>
    <row r="370">
      <c r="G370" s="22">
        <f>IF($A370="","",IFERROR($D370*(1+$E370),0))</f>
        <v/>
      </c>
    </row>
    <row r="371">
      <c r="G371" s="22">
        <f>IF($A371="","",IFERROR($D371*(1+$E371),0))</f>
        <v/>
      </c>
    </row>
    <row r="372">
      <c r="G372" s="22">
        <f>IF($A372="","",IFERROR($D372*(1+$E372),0))</f>
        <v/>
      </c>
    </row>
    <row r="373">
      <c r="G373" s="22">
        <f>IF($A373="","",IFERROR($D373*(1+$E373),0))</f>
        <v/>
      </c>
    </row>
    <row r="374">
      <c r="G374" s="22">
        <f>IF($A374="","",IFERROR($D374*(1+$E374),0))</f>
        <v/>
      </c>
    </row>
    <row r="375">
      <c r="G375" s="22">
        <f>IF($A375="","",IFERROR($D375*(1+$E375),0))</f>
        <v/>
      </c>
    </row>
    <row r="376">
      <c r="G376" s="22">
        <f>IF($A376="","",IFERROR($D376*(1+$E376),0))</f>
        <v/>
      </c>
    </row>
    <row r="377">
      <c r="G377" s="22">
        <f>IF($A377="","",IFERROR($D377*(1+$E377),0))</f>
        <v/>
      </c>
    </row>
    <row r="378">
      <c r="G378" s="22">
        <f>IF($A378="","",IFERROR($D378*(1+$E378),0))</f>
        <v/>
      </c>
    </row>
    <row r="379">
      <c r="G379" s="22">
        <f>IF($A379="","",IFERROR($D379*(1+$E379),0))</f>
        <v/>
      </c>
    </row>
    <row r="380">
      <c r="G380" s="22">
        <f>IF($A380="","",IFERROR($D380*(1+$E380),0))</f>
        <v/>
      </c>
    </row>
    <row r="381">
      <c r="G381" s="22">
        <f>IF($A381="","",IFERROR($D381*(1+$E381),0))</f>
        <v/>
      </c>
    </row>
    <row r="382">
      <c r="G382" s="22">
        <f>IF($A382="","",IFERROR($D382*(1+$E382),0))</f>
        <v/>
      </c>
    </row>
    <row r="383">
      <c r="G383" s="22">
        <f>IF($A383="","",IFERROR($D383*(1+$E383),0))</f>
        <v/>
      </c>
    </row>
    <row r="384">
      <c r="G384" s="22">
        <f>IF($A384="","",IFERROR($D384*(1+$E384),0))</f>
        <v/>
      </c>
    </row>
    <row r="385">
      <c r="G385" s="22">
        <f>IF($A385="","",IFERROR($D385*(1+$E385),0))</f>
        <v/>
      </c>
    </row>
    <row r="386">
      <c r="G386" s="22">
        <f>IF($A386="","",IFERROR($D386*(1+$E386),0))</f>
        <v/>
      </c>
    </row>
    <row r="387">
      <c r="G387" s="22">
        <f>IF($A387="","",IFERROR($D387*(1+$E387),0))</f>
        <v/>
      </c>
    </row>
    <row r="388">
      <c r="G388" s="22">
        <f>IF($A388="","",IFERROR($D388*(1+$E388),0))</f>
        <v/>
      </c>
    </row>
    <row r="389">
      <c r="G389" s="22">
        <f>IF($A389="","",IFERROR($D389*(1+$E389),0))</f>
        <v/>
      </c>
    </row>
    <row r="390">
      <c r="G390" s="22">
        <f>IF($A390="","",IFERROR($D390*(1+$E390),0))</f>
        <v/>
      </c>
    </row>
    <row r="391">
      <c r="G391" s="22">
        <f>IF($A391="","",IFERROR($D391*(1+$E391),0))</f>
        <v/>
      </c>
    </row>
    <row r="392">
      <c r="G392" s="22">
        <f>IF($A392="","",IFERROR($D392*(1+$E392),0))</f>
        <v/>
      </c>
    </row>
    <row r="393">
      <c r="G393" s="22">
        <f>IF($A393="","",IFERROR($D393*(1+$E393),0))</f>
        <v/>
      </c>
    </row>
    <row r="394">
      <c r="G394" s="22">
        <f>IF($A394="","",IFERROR($D394*(1+$E394),0))</f>
        <v/>
      </c>
    </row>
    <row r="395">
      <c r="G395" s="22">
        <f>IF($A395="","",IFERROR($D395*(1+$E395),0))</f>
        <v/>
      </c>
    </row>
    <row r="396">
      <c r="G396" s="22">
        <f>IF($A396="","",IFERROR($D396*(1+$E396),0))</f>
        <v/>
      </c>
    </row>
    <row r="397">
      <c r="G397" s="22">
        <f>IF($A397="","",IFERROR($D397*(1+$E397),0))</f>
        <v/>
      </c>
    </row>
    <row r="398">
      <c r="G398" s="22">
        <f>IF($A398="","",IFERROR($D398*(1+$E398),0))</f>
        <v/>
      </c>
    </row>
    <row r="399">
      <c r="G399" s="22">
        <f>IF($A399="","",IFERROR($D399*(1+$E399),0))</f>
        <v/>
      </c>
    </row>
    <row r="400">
      <c r="G400" s="22">
        <f>IF($A400="","",IFERROR($D400*(1+$E400),0))</f>
        <v/>
      </c>
    </row>
    <row r="401">
      <c r="G401" s="22">
        <f>IF($A401="","",IFERROR($D401*(1+$E401),0))</f>
        <v/>
      </c>
    </row>
    <row r="402">
      <c r="G402" s="22">
        <f>IF($A402="","",IFERROR($D402*(1+$E402),0))</f>
        <v/>
      </c>
    </row>
    <row r="403">
      <c r="G403" s="22">
        <f>IF($A403="","",IFERROR($D403*(1+$E403),0))</f>
        <v/>
      </c>
    </row>
    <row r="404">
      <c r="G404" s="22">
        <f>IF($A404="","",IFERROR($D404*(1+$E404),0))</f>
        <v/>
      </c>
    </row>
    <row r="405">
      <c r="G405" s="22">
        <f>IF($A405="","",IFERROR($D405*(1+$E405),0))</f>
        <v/>
      </c>
    </row>
    <row r="406">
      <c r="G406" s="22">
        <f>IF($A406="","",IFERROR($D406*(1+$E406),0))</f>
        <v/>
      </c>
    </row>
    <row r="407">
      <c r="G407" s="22">
        <f>IF($A407="","",IFERROR($D407*(1+$E407),0))</f>
        <v/>
      </c>
    </row>
    <row r="408">
      <c r="G408" s="22">
        <f>IF($A408="","",IFERROR($D408*(1+$E408),0))</f>
        <v/>
      </c>
    </row>
    <row r="409">
      <c r="G409" s="22">
        <f>IF($A409="","",IFERROR($D409*(1+$E409),0))</f>
        <v/>
      </c>
    </row>
    <row r="410">
      <c r="G410" s="22">
        <f>IF($A410="","",IFERROR($D410*(1+$E410),0))</f>
        <v/>
      </c>
    </row>
    <row r="411">
      <c r="G411" s="22">
        <f>IF($A411="","",IFERROR($D411*(1+$E411),0))</f>
        <v/>
      </c>
    </row>
    <row r="412">
      <c r="G412" s="22">
        <f>IF($A412="","",IFERROR($D412*(1+$E412),0))</f>
        <v/>
      </c>
    </row>
    <row r="413">
      <c r="G413" s="22">
        <f>IF($A413="","",IFERROR($D413*(1+$E413),0))</f>
        <v/>
      </c>
    </row>
    <row r="414">
      <c r="G414" s="22">
        <f>IF($A414="","",IFERROR($D414*(1+$E414),0))</f>
        <v/>
      </c>
    </row>
    <row r="415">
      <c r="G415" s="22">
        <f>IF($A415="","",IFERROR($D415*(1+$E415),0))</f>
        <v/>
      </c>
    </row>
    <row r="416">
      <c r="G416" s="22">
        <f>IF($A416="","",IFERROR($D416*(1+$E416),0))</f>
        <v/>
      </c>
    </row>
    <row r="417">
      <c r="G417" s="22">
        <f>IF($A417="","",IFERROR($D417*(1+$E417),0))</f>
        <v/>
      </c>
    </row>
    <row r="418">
      <c r="G418" s="22">
        <f>IF($A418="","",IFERROR($D418*(1+$E418),0))</f>
        <v/>
      </c>
    </row>
    <row r="419">
      <c r="G419" s="22">
        <f>IF($A419="","",IFERROR($D419*(1+$E419),0))</f>
        <v/>
      </c>
    </row>
    <row r="420">
      <c r="G420" s="22">
        <f>IF($A420="","",IFERROR($D420*(1+$E420),0))</f>
        <v/>
      </c>
    </row>
    <row r="421">
      <c r="G421" s="22">
        <f>IF($A421="","",IFERROR($D421*(1+$E421),0))</f>
        <v/>
      </c>
    </row>
    <row r="422">
      <c r="G422" s="22">
        <f>IF($A422="","",IFERROR($D422*(1+$E422),0))</f>
        <v/>
      </c>
    </row>
    <row r="423">
      <c r="G423" s="22">
        <f>IF($A423="","",IFERROR($D423*(1+$E423),0))</f>
        <v/>
      </c>
    </row>
    <row r="424">
      <c r="G424" s="22">
        <f>IF($A424="","",IFERROR($D424*(1+$E424),0))</f>
        <v/>
      </c>
    </row>
    <row r="425">
      <c r="G425" s="22">
        <f>IF($A425="","",IFERROR($D425*(1+$E425),0))</f>
        <v/>
      </c>
    </row>
    <row r="426">
      <c r="G426" s="22">
        <f>IF($A426="","",IFERROR($D426*(1+$E426),0))</f>
        <v/>
      </c>
    </row>
    <row r="427">
      <c r="G427" s="22">
        <f>IF($A427="","",IFERROR($D427*(1+$E427),0))</f>
        <v/>
      </c>
    </row>
    <row r="428">
      <c r="G428" s="22">
        <f>IF($A428="","",IFERROR($D428*(1+$E428),0))</f>
        <v/>
      </c>
    </row>
    <row r="429">
      <c r="G429" s="22">
        <f>IF($A429="","",IFERROR($D429*(1+$E429),0))</f>
        <v/>
      </c>
    </row>
    <row r="430">
      <c r="G430" s="22">
        <f>IF($A430="","",IFERROR($D430*(1+$E430),0))</f>
        <v/>
      </c>
    </row>
    <row r="431">
      <c r="G431" s="22">
        <f>IF($A431="","",IFERROR($D431*(1+$E431),0))</f>
        <v/>
      </c>
    </row>
    <row r="432">
      <c r="G432" s="22">
        <f>IF($A432="","",IFERROR($D432*(1+$E432),0))</f>
        <v/>
      </c>
    </row>
    <row r="433">
      <c r="G433" s="22">
        <f>IF($A433="","",IFERROR($D433*(1+$E433),0))</f>
        <v/>
      </c>
    </row>
    <row r="434">
      <c r="G434" s="22">
        <f>IF($A434="","",IFERROR($D434*(1+$E434),0))</f>
        <v/>
      </c>
    </row>
    <row r="435">
      <c r="G435" s="22">
        <f>IF($A435="","",IFERROR($D435*(1+$E435),0))</f>
        <v/>
      </c>
    </row>
    <row r="436">
      <c r="G436" s="22">
        <f>IF($A436="","",IFERROR($D436*(1+$E436),0))</f>
        <v/>
      </c>
    </row>
    <row r="437">
      <c r="G437" s="22">
        <f>IF($A437="","",IFERROR($D437*(1+$E437),0))</f>
        <v/>
      </c>
    </row>
    <row r="438">
      <c r="G438" s="22">
        <f>IF($A438="","",IFERROR($D438*(1+$E438),0))</f>
        <v/>
      </c>
    </row>
    <row r="439">
      <c r="G439" s="22">
        <f>IF($A439="","",IFERROR($D439*(1+$E439),0))</f>
        <v/>
      </c>
    </row>
    <row r="440">
      <c r="G440" s="22">
        <f>IF($A440="","",IFERROR($D440*(1+$E440),0))</f>
        <v/>
      </c>
    </row>
    <row r="441">
      <c r="G441" s="22">
        <f>IF($A441="","",IFERROR($D441*(1+$E441),0))</f>
        <v/>
      </c>
    </row>
    <row r="442">
      <c r="G442" s="22">
        <f>IF($A442="","",IFERROR($D442*(1+$E442),0))</f>
        <v/>
      </c>
    </row>
    <row r="443">
      <c r="G443" s="22">
        <f>IF($A443="","",IFERROR($D443*(1+$E443),0))</f>
        <v/>
      </c>
    </row>
    <row r="444">
      <c r="G444" s="22">
        <f>IF($A444="","",IFERROR($D444*(1+$E444),0))</f>
        <v/>
      </c>
    </row>
    <row r="445">
      <c r="G445" s="22">
        <f>IF($A445="","",IFERROR($D445*(1+$E445),0))</f>
        <v/>
      </c>
    </row>
    <row r="446">
      <c r="G446" s="22">
        <f>IF($A446="","",IFERROR($D446*(1+$E446),0))</f>
        <v/>
      </c>
    </row>
    <row r="447">
      <c r="G447" s="22">
        <f>IF($A447="","",IFERROR($D447*(1+$E447),0))</f>
        <v/>
      </c>
    </row>
    <row r="448">
      <c r="G448" s="22">
        <f>IF($A448="","",IFERROR($D448*(1+$E448),0))</f>
        <v/>
      </c>
    </row>
    <row r="449">
      <c r="G449" s="22">
        <f>IF($A449="","",IFERROR($D449*(1+$E449),0))</f>
        <v/>
      </c>
    </row>
    <row r="450">
      <c r="G450" s="22">
        <f>IF($A450="","",IFERROR($D450*(1+$E450),0))</f>
        <v/>
      </c>
    </row>
    <row r="451">
      <c r="G451" s="22">
        <f>IF($A451="","",IFERROR($D451*(1+$E451),0))</f>
        <v/>
      </c>
    </row>
    <row r="452">
      <c r="G452" s="22">
        <f>IF($A452="","",IFERROR($D452*(1+$E452),0))</f>
        <v/>
      </c>
    </row>
    <row r="453">
      <c r="G453" s="22">
        <f>IF($A453="","",IFERROR($D453*(1+$E453),0))</f>
        <v/>
      </c>
    </row>
    <row r="454">
      <c r="G454" s="22">
        <f>IF($A454="","",IFERROR($D454*(1+$E454),0))</f>
        <v/>
      </c>
    </row>
    <row r="455">
      <c r="G455" s="22">
        <f>IF($A455="","",IFERROR($D455*(1+$E455),0))</f>
        <v/>
      </c>
    </row>
    <row r="456">
      <c r="G456" s="22">
        <f>IF($A456="","",IFERROR($D456*(1+$E456),0))</f>
        <v/>
      </c>
    </row>
    <row r="457">
      <c r="G457" s="22">
        <f>IF($A457="","",IFERROR($D457*(1+$E457),0))</f>
        <v/>
      </c>
    </row>
    <row r="458">
      <c r="G458" s="22">
        <f>IF($A458="","",IFERROR($D458*(1+$E458),0))</f>
        <v/>
      </c>
    </row>
    <row r="459">
      <c r="G459" s="22">
        <f>IF($A459="","",IFERROR($D459*(1+$E459),0))</f>
        <v/>
      </c>
    </row>
    <row r="460">
      <c r="G460" s="22">
        <f>IF($A460="","",IFERROR($D460*(1+$E460),0))</f>
        <v/>
      </c>
    </row>
    <row r="461">
      <c r="G461" s="22">
        <f>IF($A461="","",IFERROR($D461*(1+$E461),0))</f>
        <v/>
      </c>
    </row>
    <row r="462">
      <c r="G462" s="22">
        <f>IF($A462="","",IFERROR($D462*(1+$E462),0))</f>
        <v/>
      </c>
    </row>
    <row r="463">
      <c r="G463" s="22">
        <f>IF($A463="","",IFERROR($D463*(1+$E463),0))</f>
        <v/>
      </c>
    </row>
    <row r="464">
      <c r="G464" s="22">
        <f>IF($A464="","",IFERROR($D464*(1+$E464),0))</f>
        <v/>
      </c>
    </row>
    <row r="465">
      <c r="G465" s="22">
        <f>IF($A465="","",IFERROR($D465*(1+$E465),0))</f>
        <v/>
      </c>
    </row>
    <row r="466">
      <c r="G466" s="22">
        <f>IF($A466="","",IFERROR($D466*(1+$E466),0))</f>
        <v/>
      </c>
    </row>
    <row r="467">
      <c r="G467" s="22">
        <f>IF($A467="","",IFERROR($D467*(1+$E467),0))</f>
        <v/>
      </c>
    </row>
    <row r="468">
      <c r="G468" s="22">
        <f>IF($A468="","",IFERROR($D468*(1+$E468),0))</f>
        <v/>
      </c>
    </row>
    <row r="469">
      <c r="G469" s="22">
        <f>IF($A469="","",IFERROR($D469*(1+$E469),0))</f>
        <v/>
      </c>
    </row>
    <row r="470">
      <c r="G470" s="22">
        <f>IF($A470="","",IFERROR($D470*(1+$E470),0))</f>
        <v/>
      </c>
    </row>
    <row r="471">
      <c r="G471" s="22">
        <f>IF($A471="","",IFERROR($D471*(1+$E471),0))</f>
        <v/>
      </c>
    </row>
    <row r="472">
      <c r="G472" s="22">
        <f>IF($A472="","",IFERROR($D472*(1+$E472),0))</f>
        <v/>
      </c>
    </row>
    <row r="473">
      <c r="G473" s="22">
        <f>IF($A473="","",IFERROR($D473*(1+$E473),0))</f>
        <v/>
      </c>
    </row>
    <row r="474">
      <c r="G474" s="22">
        <f>IF($A474="","",IFERROR($D474*(1+$E474),0))</f>
        <v/>
      </c>
    </row>
    <row r="475">
      <c r="G475" s="22">
        <f>IF($A475="","",IFERROR($D475*(1+$E475),0))</f>
        <v/>
      </c>
    </row>
    <row r="476">
      <c r="G476" s="22">
        <f>IF($A476="","",IFERROR($D476*(1+$E476),0))</f>
        <v/>
      </c>
    </row>
    <row r="477">
      <c r="G477" s="22">
        <f>IF($A477="","",IFERROR($D477*(1+$E477),0))</f>
        <v/>
      </c>
    </row>
    <row r="478">
      <c r="G478" s="22">
        <f>IF($A478="","",IFERROR($D478*(1+$E478),0))</f>
        <v/>
      </c>
    </row>
    <row r="479">
      <c r="G479" s="22">
        <f>IF($A479="","",IFERROR($D479*(1+$E479),0))</f>
        <v/>
      </c>
    </row>
    <row r="480">
      <c r="G480" s="22">
        <f>IF($A480="","",IFERROR($D480*(1+$E480),0))</f>
        <v/>
      </c>
    </row>
    <row r="481">
      <c r="G481" s="22">
        <f>IF($A481="","",IFERROR($D481*(1+$E481),0))</f>
        <v/>
      </c>
    </row>
    <row r="482">
      <c r="G482" s="22">
        <f>IF($A482="","",IFERROR($D482*(1+$E482),0))</f>
        <v/>
      </c>
    </row>
    <row r="483">
      <c r="G483" s="22">
        <f>IF($A483="","",IFERROR($D483*(1+$E483),0))</f>
        <v/>
      </c>
    </row>
    <row r="484">
      <c r="G484" s="22">
        <f>IF($A484="","",IFERROR($D484*(1+$E484),0))</f>
        <v/>
      </c>
    </row>
    <row r="485">
      <c r="G485" s="22">
        <f>IF($A485="","",IFERROR($D485*(1+$E485),0))</f>
        <v/>
      </c>
    </row>
    <row r="486">
      <c r="G486" s="22">
        <f>IF($A486="","",IFERROR($D486*(1+$E486),0))</f>
        <v/>
      </c>
    </row>
    <row r="487">
      <c r="G487" s="22">
        <f>IF($A487="","",IFERROR($D487*(1+$E487),0))</f>
        <v/>
      </c>
    </row>
    <row r="488">
      <c r="G488" s="22">
        <f>IF($A488="","",IFERROR($D488*(1+$E488),0))</f>
        <v/>
      </c>
    </row>
    <row r="489">
      <c r="G489" s="22">
        <f>IF($A489="","",IFERROR($D489*(1+$E489),0))</f>
        <v/>
      </c>
    </row>
    <row r="490">
      <c r="G490" s="22">
        <f>IF($A490="","",IFERROR($D490*(1+$E490),0))</f>
        <v/>
      </c>
    </row>
    <row r="491">
      <c r="G491" s="22">
        <f>IF($A491="","",IFERROR($D491*(1+$E491),0))</f>
        <v/>
      </c>
    </row>
    <row r="492">
      <c r="G492" s="22">
        <f>IF($A492="","",IFERROR($D492*(1+$E492),0))</f>
        <v/>
      </c>
    </row>
    <row r="493">
      <c r="G493" s="22">
        <f>IF($A493="","",IFERROR($D493*(1+$E493),0))</f>
        <v/>
      </c>
    </row>
    <row r="494">
      <c r="G494" s="22">
        <f>IF($A494="","",IFERROR($D494*(1+$E494),0))</f>
        <v/>
      </c>
    </row>
    <row r="495">
      <c r="G495" s="22">
        <f>IF($A495="","",IFERROR($D495*(1+$E495),0))</f>
        <v/>
      </c>
    </row>
    <row r="496">
      <c r="G496" s="22">
        <f>IF($A496="","",IFERROR($D496*(1+$E496),0))</f>
        <v/>
      </c>
    </row>
    <row r="497">
      <c r="G497" s="22">
        <f>IF($A497="","",IFERROR($D497*(1+$E497),0))</f>
        <v/>
      </c>
    </row>
    <row r="498">
      <c r="G498" s="22">
        <f>IF($A498="","",IFERROR($D498*(1+$E498),0))</f>
        <v/>
      </c>
    </row>
    <row r="499">
      <c r="G499" s="22">
        <f>IF($A499="","",IFERROR($D499*(1+$E499),0))</f>
        <v/>
      </c>
    </row>
    <row r="500">
      <c r="G500" s="22">
        <f>IF($A500="","",IFERROR($D500*(1+$E500),0))</f>
        <v/>
      </c>
    </row>
    <row r="501">
      <c r="G501" s="22">
        <f>IF($A501="","",IFERROR($D501*(1+$E501),0))</f>
        <v/>
      </c>
    </row>
    <row r="502">
      <c r="G502" s="22">
        <f>IF($A502="","",IFERROR($D502*(1+$E502),0))</f>
        <v/>
      </c>
    </row>
    <row r="503">
      <c r="G503" s="22">
        <f>IF($A503="","",IFERROR($D503*(1+$E503),0))</f>
        <v/>
      </c>
    </row>
    <row r="504">
      <c r="G504" s="22">
        <f>IF($A504="","",IFERROR($D504*(1+$E504),0))</f>
        <v/>
      </c>
    </row>
    <row r="505">
      <c r="G505" s="22">
        <f>IF($A505="","",IFERROR($D505*(1+$E505),0))</f>
        <v/>
      </c>
    </row>
    <row r="506">
      <c r="G506" s="22">
        <f>IF($A506="","",IFERROR($D506*(1+$E506),0))</f>
        <v/>
      </c>
    </row>
    <row r="507">
      <c r="G507" s="22">
        <f>IF($A507="","",IFERROR($D507*(1+$E507),0))</f>
        <v/>
      </c>
    </row>
    <row r="508">
      <c r="G508" s="22">
        <f>IF($A508="","",IFERROR($D508*(1+$E508),0))</f>
        <v/>
      </c>
    </row>
    <row r="509">
      <c r="G509" s="22">
        <f>IF($A509="","",IFERROR($D509*(1+$E509),0))</f>
        <v/>
      </c>
    </row>
    <row r="510">
      <c r="G510" s="22">
        <f>IF($A510="","",IFERROR($D510*(1+$E510),0))</f>
        <v/>
      </c>
    </row>
    <row r="511">
      <c r="G511" s="22">
        <f>IF($A511="","",IFERROR($D511*(1+$E511),0))</f>
        <v/>
      </c>
    </row>
    <row r="512">
      <c r="G512" s="22">
        <f>IF($A512="","",IFERROR($D512*(1+$E512),0))</f>
        <v/>
      </c>
    </row>
    <row r="513">
      <c r="G513" s="22">
        <f>IF($A513="","",IFERROR($D513*(1+$E513),0))</f>
        <v/>
      </c>
    </row>
    <row r="514">
      <c r="G514" s="22">
        <f>IF($A514="","",IFERROR($D514*(1+$E514),0))</f>
        <v/>
      </c>
    </row>
    <row r="515">
      <c r="G515" s="22">
        <f>IF($A515="","",IFERROR($D515*(1+$E515),0))</f>
        <v/>
      </c>
    </row>
    <row r="516">
      <c r="G516" s="22">
        <f>IF($A516="","",IFERROR($D516*(1+$E516),0))</f>
        <v/>
      </c>
    </row>
    <row r="517">
      <c r="G517" s="22">
        <f>IF($A517="","",IFERROR($D517*(1+$E517),0))</f>
        <v/>
      </c>
    </row>
    <row r="518">
      <c r="G518" s="22">
        <f>IF($A518="","",IFERROR($D518*(1+$E518),0))</f>
        <v/>
      </c>
    </row>
    <row r="519">
      <c r="G519" s="22">
        <f>IF($A519="","",IFERROR($D519*(1+$E519),0))</f>
        <v/>
      </c>
    </row>
    <row r="520">
      <c r="G520" s="22">
        <f>IF($A520="","",IFERROR($D520*(1+$E520),0))</f>
        <v/>
      </c>
    </row>
    <row r="521">
      <c r="G521" s="22">
        <f>IF($A521="","",IFERROR($D521*(1+$E521),0))</f>
        <v/>
      </c>
    </row>
    <row r="522">
      <c r="G522" s="22">
        <f>IF($A522="","",IFERROR($D522*(1+$E522),0))</f>
        <v/>
      </c>
    </row>
    <row r="523">
      <c r="G523" s="22">
        <f>IF($A523="","",IFERROR($D523*(1+$E523),0))</f>
        <v/>
      </c>
    </row>
    <row r="524">
      <c r="G524" s="22">
        <f>IF($A524="","",IFERROR($D524*(1+$E524),0))</f>
        <v/>
      </c>
    </row>
    <row r="525">
      <c r="G525" s="22">
        <f>IF($A525="","",IFERROR($D525*(1+$E525),0))</f>
        <v/>
      </c>
    </row>
    <row r="526">
      <c r="G526" s="22">
        <f>IF($A526="","",IFERROR($D526*(1+$E526),0))</f>
        <v/>
      </c>
    </row>
    <row r="527">
      <c r="G527" s="22">
        <f>IF($A527="","",IFERROR($D527*(1+$E527),0))</f>
        <v/>
      </c>
    </row>
    <row r="528">
      <c r="G528" s="22">
        <f>IF($A528="","",IFERROR($D528*(1+$E528),0))</f>
        <v/>
      </c>
    </row>
    <row r="529">
      <c r="G529" s="22">
        <f>IF($A529="","",IFERROR($D529*(1+$E529),0))</f>
        <v/>
      </c>
    </row>
    <row r="530">
      <c r="G530" s="22">
        <f>IF($A530="","",IFERROR($D530*(1+$E530),0))</f>
        <v/>
      </c>
    </row>
    <row r="531">
      <c r="G531" s="22">
        <f>IF($A531="","",IFERROR($D531*(1+$E531),0))</f>
        <v/>
      </c>
    </row>
    <row r="532">
      <c r="G532" s="22">
        <f>IF($A532="","",IFERROR($D532*(1+$E532),0))</f>
        <v/>
      </c>
    </row>
    <row r="533">
      <c r="G533" s="22">
        <f>IF($A533="","",IFERROR($D533*(1+$E533),0))</f>
        <v/>
      </c>
    </row>
    <row r="534">
      <c r="G534" s="22">
        <f>IF($A534="","",IFERROR($D534*(1+$E534),0))</f>
        <v/>
      </c>
    </row>
    <row r="535">
      <c r="G535" s="22">
        <f>IF($A535="","",IFERROR($D535*(1+$E535),0))</f>
        <v/>
      </c>
    </row>
    <row r="536">
      <c r="G536" s="22">
        <f>IF($A536="","",IFERROR($D536*(1+$E536),0))</f>
        <v/>
      </c>
    </row>
    <row r="537">
      <c r="G537" s="22">
        <f>IF($A537="","",IFERROR($D537*(1+$E537),0))</f>
        <v/>
      </c>
    </row>
    <row r="538">
      <c r="G538" s="22">
        <f>IF($A538="","",IFERROR($D538*(1+$E538),0))</f>
        <v/>
      </c>
    </row>
    <row r="539">
      <c r="G539" s="22">
        <f>IF($A539="","",IFERROR($D539*(1+$E539),0))</f>
        <v/>
      </c>
    </row>
    <row r="540">
      <c r="G540" s="22">
        <f>IF($A540="","",IFERROR($D540*(1+$E540),0))</f>
        <v/>
      </c>
    </row>
    <row r="541">
      <c r="G541" s="22">
        <f>IF($A541="","",IFERROR($D541*(1+$E541),0))</f>
        <v/>
      </c>
    </row>
    <row r="542">
      <c r="G542" s="22">
        <f>IF($A542="","",IFERROR($D542*(1+$E542),0))</f>
        <v/>
      </c>
    </row>
    <row r="543">
      <c r="G543" s="22">
        <f>IF($A543="","",IFERROR($D543*(1+$E543),0))</f>
        <v/>
      </c>
    </row>
    <row r="544">
      <c r="G544" s="22">
        <f>IF($A544="","",IFERROR($D544*(1+$E544),0))</f>
        <v/>
      </c>
    </row>
    <row r="545">
      <c r="G545" s="22">
        <f>IF($A545="","",IFERROR($D545*(1+$E545),0))</f>
        <v/>
      </c>
    </row>
    <row r="546">
      <c r="G546" s="22">
        <f>IF($A546="","",IFERROR($D546*(1+$E546),0))</f>
        <v/>
      </c>
    </row>
    <row r="547">
      <c r="G547" s="22">
        <f>IF($A547="","",IFERROR($D547*(1+$E547),0))</f>
        <v/>
      </c>
    </row>
    <row r="548">
      <c r="G548" s="22">
        <f>IF($A548="","",IFERROR($D548*(1+$E548),0))</f>
        <v/>
      </c>
    </row>
    <row r="549">
      <c r="G549" s="22">
        <f>IF($A549="","",IFERROR($D549*(1+$E549),0))</f>
        <v/>
      </c>
    </row>
    <row r="550">
      <c r="G550" s="22">
        <f>IF($A550="","",IFERROR($D550*(1+$E550),0))</f>
        <v/>
      </c>
    </row>
    <row r="551">
      <c r="G551" s="22">
        <f>IF($A551="","",IFERROR($D551*(1+$E551),0))</f>
        <v/>
      </c>
    </row>
    <row r="552">
      <c r="G552" s="22">
        <f>IF($A552="","",IFERROR($D552*(1+$E552),0))</f>
        <v/>
      </c>
    </row>
    <row r="553">
      <c r="G553" s="22">
        <f>IF($A553="","",IFERROR($D553*(1+$E553),0))</f>
        <v/>
      </c>
    </row>
    <row r="554">
      <c r="G554" s="22">
        <f>IF($A554="","",IFERROR($D554*(1+$E554),0))</f>
        <v/>
      </c>
    </row>
    <row r="555">
      <c r="G555" s="22">
        <f>IF($A555="","",IFERROR($D555*(1+$E555),0))</f>
        <v/>
      </c>
    </row>
    <row r="556">
      <c r="G556" s="22">
        <f>IF($A556="","",IFERROR($D556*(1+$E556),0))</f>
        <v/>
      </c>
    </row>
    <row r="557">
      <c r="G557" s="22">
        <f>IF($A557="","",IFERROR($D557*(1+$E557),0))</f>
        <v/>
      </c>
    </row>
    <row r="558">
      <c r="G558" s="22">
        <f>IF($A558="","",IFERROR($D558*(1+$E558),0))</f>
        <v/>
      </c>
    </row>
    <row r="559">
      <c r="G559" s="22">
        <f>IF($A559="","",IFERROR($D559*(1+$E559),0))</f>
        <v/>
      </c>
    </row>
    <row r="560">
      <c r="G560" s="22">
        <f>IF($A560="","",IFERROR($D560*(1+$E560),0))</f>
        <v/>
      </c>
    </row>
    <row r="561">
      <c r="G561" s="22">
        <f>IF($A561="","",IFERROR($D561*(1+$E561),0))</f>
        <v/>
      </c>
    </row>
    <row r="562">
      <c r="G562" s="22">
        <f>IF($A562="","",IFERROR($D562*(1+$E562),0))</f>
        <v/>
      </c>
    </row>
    <row r="563">
      <c r="G563" s="22">
        <f>IF($A563="","",IFERROR($D563*(1+$E563),0))</f>
        <v/>
      </c>
    </row>
    <row r="564">
      <c r="G564" s="22">
        <f>IF($A564="","",IFERROR($D564*(1+$E564),0))</f>
        <v/>
      </c>
    </row>
    <row r="565">
      <c r="G565" s="22">
        <f>IF($A565="","",IFERROR($D565*(1+$E565),0))</f>
        <v/>
      </c>
    </row>
    <row r="566">
      <c r="G566" s="22">
        <f>IF($A566="","",IFERROR($D566*(1+$E566),0))</f>
        <v/>
      </c>
    </row>
    <row r="567">
      <c r="G567" s="22">
        <f>IF($A567="","",IFERROR($D567*(1+$E567),0))</f>
        <v/>
      </c>
    </row>
    <row r="568">
      <c r="G568" s="22">
        <f>IF($A568="","",IFERROR($D568*(1+$E568),0))</f>
        <v/>
      </c>
    </row>
    <row r="569">
      <c r="G569" s="22">
        <f>IF($A569="","",IFERROR($D569*(1+$E569),0))</f>
        <v/>
      </c>
    </row>
    <row r="570">
      <c r="G570" s="22">
        <f>IF($A570="","",IFERROR($D570*(1+$E570),0))</f>
        <v/>
      </c>
    </row>
    <row r="571">
      <c r="G571" s="22">
        <f>IF($A571="","",IFERROR($D571*(1+$E571),0))</f>
        <v/>
      </c>
    </row>
    <row r="572">
      <c r="G572" s="22">
        <f>IF($A572="","",IFERROR($D572*(1+$E572),0))</f>
        <v/>
      </c>
    </row>
    <row r="573">
      <c r="G573" s="22">
        <f>IF($A573="","",IFERROR($D573*(1+$E573),0))</f>
        <v/>
      </c>
    </row>
    <row r="574">
      <c r="G574" s="22">
        <f>IF($A574="","",IFERROR($D574*(1+$E574),0))</f>
        <v/>
      </c>
    </row>
    <row r="575">
      <c r="G575" s="22">
        <f>IF($A575="","",IFERROR($D575*(1+$E575),0))</f>
        <v/>
      </c>
    </row>
    <row r="576">
      <c r="G576" s="22">
        <f>IF($A576="","",IFERROR($D576*(1+$E576),0))</f>
        <v/>
      </c>
    </row>
    <row r="577">
      <c r="G577" s="22">
        <f>IF($A577="","",IFERROR($D577*(1+$E577),0))</f>
        <v/>
      </c>
    </row>
    <row r="578">
      <c r="G578" s="22">
        <f>IF($A578="","",IFERROR($D578*(1+$E578),0))</f>
        <v/>
      </c>
    </row>
    <row r="579">
      <c r="G579" s="22">
        <f>IF($A579="","",IFERROR($D579*(1+$E579),0))</f>
        <v/>
      </c>
    </row>
    <row r="580">
      <c r="G580" s="22">
        <f>IF($A580="","",IFERROR($D580*(1+$E580),0))</f>
        <v/>
      </c>
    </row>
    <row r="581">
      <c r="G581" s="22">
        <f>IF($A581="","",IFERROR($D581*(1+$E581),0))</f>
        <v/>
      </c>
    </row>
    <row r="582">
      <c r="G582" s="22">
        <f>IF($A582="","",IFERROR($D582*(1+$E582),0))</f>
        <v/>
      </c>
    </row>
    <row r="583">
      <c r="G583" s="22">
        <f>IF($A583="","",IFERROR($D583*(1+$E583),0))</f>
        <v/>
      </c>
    </row>
    <row r="584">
      <c r="G584" s="22">
        <f>IF($A584="","",IFERROR($D584*(1+$E584),0))</f>
        <v/>
      </c>
    </row>
    <row r="585">
      <c r="G585" s="22">
        <f>IF($A585="","",IFERROR($D585*(1+$E585),0))</f>
        <v/>
      </c>
    </row>
    <row r="586">
      <c r="G586" s="22">
        <f>IF($A586="","",IFERROR($D586*(1+$E586),0))</f>
        <v/>
      </c>
    </row>
    <row r="587">
      <c r="G587" s="22">
        <f>IF($A587="","",IFERROR($D587*(1+$E587),0))</f>
        <v/>
      </c>
    </row>
    <row r="588">
      <c r="G588" s="22">
        <f>IF($A588="","",IFERROR($D588*(1+$E588),0))</f>
        <v/>
      </c>
    </row>
    <row r="589">
      <c r="G589" s="22">
        <f>IF($A589="","",IFERROR($D589*(1+$E589),0))</f>
        <v/>
      </c>
    </row>
    <row r="590">
      <c r="G590" s="22">
        <f>IF($A590="","",IFERROR($D590*(1+$E590),0))</f>
        <v/>
      </c>
    </row>
    <row r="591">
      <c r="G591" s="22">
        <f>IF($A591="","",IFERROR($D591*(1+$E591),0))</f>
        <v/>
      </c>
    </row>
    <row r="592">
      <c r="G592" s="22">
        <f>IF($A592="","",IFERROR($D592*(1+$E592),0))</f>
        <v/>
      </c>
    </row>
    <row r="593">
      <c r="G593" s="22">
        <f>IF($A593="","",IFERROR($D593*(1+$E593),0))</f>
        <v/>
      </c>
    </row>
    <row r="594">
      <c r="G594" s="22">
        <f>IF($A594="","",IFERROR($D594*(1+$E594),0))</f>
        <v/>
      </c>
    </row>
    <row r="595">
      <c r="G595" s="22">
        <f>IF($A595="","",IFERROR($D595*(1+$E595),0))</f>
        <v/>
      </c>
    </row>
    <row r="596">
      <c r="G596" s="22">
        <f>IF($A596="","",IFERROR($D596*(1+$E596),0))</f>
        <v/>
      </c>
    </row>
    <row r="597">
      <c r="G597" s="22">
        <f>IF($A597="","",IFERROR($D597*(1+$E597),0))</f>
        <v/>
      </c>
    </row>
    <row r="598">
      <c r="G598" s="22">
        <f>IF($A598="","",IFERROR($D598*(1+$E598),0))</f>
        <v/>
      </c>
    </row>
    <row r="599">
      <c r="G599" s="22">
        <f>IF($A599="","",IFERROR($D599*(1+$E599),0))</f>
        <v/>
      </c>
    </row>
    <row r="600">
      <c r="G600" s="22">
        <f>IF($A600="","",IFERROR($D600*(1+$E600),0))</f>
        <v/>
      </c>
    </row>
    <row r="601">
      <c r="G601" s="22">
        <f>IF($A601="","",IFERROR($D601*(1+$E601),0))</f>
        <v/>
      </c>
    </row>
    <row r="602">
      <c r="G602" s="22">
        <f>IF($A602="","",IFERROR($D602*(1+$E602),0))</f>
        <v/>
      </c>
    </row>
    <row r="603">
      <c r="G603" s="22">
        <f>IF($A603="","",IFERROR($D603*(1+$E603),0))</f>
        <v/>
      </c>
    </row>
    <row r="604">
      <c r="G604" s="22">
        <f>IF($A604="","",IFERROR($D604*(1+$E604),0))</f>
        <v/>
      </c>
    </row>
    <row r="605">
      <c r="G605" s="22">
        <f>IF($A605="","",IFERROR($D605*(1+$E605),0))</f>
        <v/>
      </c>
    </row>
    <row r="606">
      <c r="G606" s="22">
        <f>IF($A606="","",IFERROR($D606*(1+$E606),0))</f>
        <v/>
      </c>
    </row>
    <row r="607">
      <c r="G607" s="22">
        <f>IF($A607="","",IFERROR($D607*(1+$E607),0))</f>
        <v/>
      </c>
    </row>
    <row r="608">
      <c r="G608" s="22">
        <f>IF($A608="","",IFERROR($D608*(1+$E608),0))</f>
        <v/>
      </c>
    </row>
    <row r="609">
      <c r="G609" s="22">
        <f>IF($A609="","",IFERROR($D609*(1+$E609),0))</f>
        <v/>
      </c>
    </row>
    <row r="610">
      <c r="G610" s="22">
        <f>IF($A610="","",IFERROR($D610*(1+$E610),0))</f>
        <v/>
      </c>
    </row>
    <row r="611">
      <c r="G611" s="22">
        <f>IF($A611="","",IFERROR($D611*(1+$E611),0))</f>
        <v/>
      </c>
    </row>
    <row r="612">
      <c r="G612" s="22">
        <f>IF($A612="","",IFERROR($D612*(1+$E612),0))</f>
        <v/>
      </c>
    </row>
    <row r="613">
      <c r="G613" s="22">
        <f>IF($A613="","",IFERROR($D613*(1+$E613),0))</f>
        <v/>
      </c>
    </row>
    <row r="614">
      <c r="G614" s="22">
        <f>IF($A614="","",IFERROR($D614*(1+$E614),0))</f>
        <v/>
      </c>
    </row>
    <row r="615">
      <c r="G615" s="22">
        <f>IF($A615="","",IFERROR($D615*(1+$E615),0))</f>
        <v/>
      </c>
    </row>
    <row r="616">
      <c r="G616" s="22">
        <f>IF($A616="","",IFERROR($D616*(1+$E616),0))</f>
        <v/>
      </c>
    </row>
    <row r="617">
      <c r="G617" s="22">
        <f>IF($A617="","",IFERROR($D617*(1+$E617),0))</f>
        <v/>
      </c>
    </row>
    <row r="618">
      <c r="G618" s="22">
        <f>IF($A618="","",IFERROR($D618*(1+$E618),0))</f>
        <v/>
      </c>
    </row>
    <row r="619">
      <c r="G619" s="22">
        <f>IF($A619="","",IFERROR($D619*(1+$E619),0))</f>
        <v/>
      </c>
    </row>
    <row r="620">
      <c r="G620" s="22">
        <f>IF($A620="","",IFERROR($D620*(1+$E620),0))</f>
        <v/>
      </c>
    </row>
    <row r="621">
      <c r="G621" s="22">
        <f>IF($A621="","",IFERROR($D621*(1+$E621),0))</f>
        <v/>
      </c>
    </row>
    <row r="622">
      <c r="G622" s="22">
        <f>IF($A622="","",IFERROR($D622*(1+$E622),0))</f>
        <v/>
      </c>
    </row>
    <row r="623">
      <c r="G623" s="22">
        <f>IF($A623="","",IFERROR($D623*(1+$E623),0))</f>
        <v/>
      </c>
    </row>
    <row r="624">
      <c r="G624" s="22">
        <f>IF($A624="","",IFERROR($D624*(1+$E624),0))</f>
        <v/>
      </c>
    </row>
    <row r="625">
      <c r="G625" s="22">
        <f>IF($A625="","",IFERROR($D625*(1+$E625),0))</f>
        <v/>
      </c>
    </row>
    <row r="626">
      <c r="G626" s="22">
        <f>IF($A626="","",IFERROR($D626*(1+$E626),0))</f>
        <v/>
      </c>
    </row>
    <row r="627">
      <c r="G627" s="22">
        <f>IF($A627="","",IFERROR($D627*(1+$E627),0))</f>
        <v/>
      </c>
    </row>
    <row r="628">
      <c r="G628" s="22">
        <f>IF($A628="","",IFERROR($D628*(1+$E628),0))</f>
        <v/>
      </c>
    </row>
    <row r="629">
      <c r="G629" s="22">
        <f>IF($A629="","",IFERROR($D629*(1+$E629),0))</f>
        <v/>
      </c>
    </row>
    <row r="630">
      <c r="G630" s="22">
        <f>IF($A630="","",IFERROR($D630*(1+$E630),0))</f>
        <v/>
      </c>
    </row>
    <row r="631">
      <c r="G631" s="22">
        <f>IF($A631="","",IFERROR($D631*(1+$E631),0))</f>
        <v/>
      </c>
    </row>
    <row r="632">
      <c r="G632" s="22">
        <f>IF($A632="","",IFERROR($D632*(1+$E632),0))</f>
        <v/>
      </c>
    </row>
    <row r="633">
      <c r="G633" s="22">
        <f>IF($A633="","",IFERROR($D633*(1+$E633),0))</f>
        <v/>
      </c>
    </row>
    <row r="634">
      <c r="G634" s="22">
        <f>IF($A634="","",IFERROR($D634*(1+$E634),0))</f>
        <v/>
      </c>
    </row>
    <row r="635">
      <c r="G635" s="22">
        <f>IF($A635="","",IFERROR($D635*(1+$E635),0))</f>
        <v/>
      </c>
    </row>
    <row r="636">
      <c r="G636" s="22">
        <f>IF($A636="","",IFERROR($D636*(1+$E636),0))</f>
        <v/>
      </c>
    </row>
    <row r="637">
      <c r="G637" s="22">
        <f>IF($A637="","",IFERROR($D637*(1+$E637),0))</f>
        <v/>
      </c>
    </row>
    <row r="638">
      <c r="G638" s="22">
        <f>IF($A638="","",IFERROR($D638*(1+$E638),0))</f>
        <v/>
      </c>
    </row>
    <row r="639">
      <c r="G639" s="22">
        <f>IF($A639="","",IFERROR($D639*(1+$E639),0))</f>
        <v/>
      </c>
    </row>
    <row r="640">
      <c r="G640" s="22">
        <f>IF($A640="","",IFERROR($D640*(1+$E640),0))</f>
        <v/>
      </c>
    </row>
    <row r="641">
      <c r="G641" s="22">
        <f>IF($A641="","",IFERROR($D641*(1+$E641),0))</f>
        <v/>
      </c>
    </row>
    <row r="642">
      <c r="G642" s="22">
        <f>IF($A642="","",IFERROR($D642*(1+$E642),0))</f>
        <v/>
      </c>
    </row>
    <row r="643">
      <c r="G643" s="22">
        <f>IF($A643="","",IFERROR($D643*(1+$E643),0))</f>
        <v/>
      </c>
    </row>
    <row r="644">
      <c r="G644" s="22">
        <f>IF($A644="","",IFERROR($D644*(1+$E644),0))</f>
        <v/>
      </c>
    </row>
    <row r="645">
      <c r="G645" s="22">
        <f>IF($A645="","",IFERROR($D645*(1+$E645),0))</f>
        <v/>
      </c>
    </row>
    <row r="646">
      <c r="G646" s="22">
        <f>IF($A646="","",IFERROR($D646*(1+$E646),0))</f>
        <v/>
      </c>
    </row>
    <row r="647">
      <c r="G647" s="22">
        <f>IF($A647="","",IFERROR($D647*(1+$E647),0))</f>
        <v/>
      </c>
    </row>
    <row r="648">
      <c r="G648" s="22">
        <f>IF($A648="","",IFERROR($D648*(1+$E648),0))</f>
        <v/>
      </c>
    </row>
    <row r="649">
      <c r="G649" s="22">
        <f>IF($A649="","",IFERROR($D649*(1+$E649),0))</f>
        <v/>
      </c>
    </row>
    <row r="650">
      <c r="G650" s="22">
        <f>IF($A650="","",IFERROR($D650*(1+$E650),0))</f>
        <v/>
      </c>
    </row>
    <row r="651">
      <c r="G651" s="22">
        <f>IF($A651="","",IFERROR($D651*(1+$E651),0))</f>
        <v/>
      </c>
    </row>
    <row r="652">
      <c r="G652" s="22">
        <f>IF($A652="","",IFERROR($D652*(1+$E652),0))</f>
        <v/>
      </c>
    </row>
    <row r="653">
      <c r="G653" s="22">
        <f>IF($A653="","",IFERROR($D653*(1+$E653),0))</f>
        <v/>
      </c>
    </row>
    <row r="654">
      <c r="G654" s="22">
        <f>IF($A654="","",IFERROR($D654*(1+$E654),0))</f>
        <v/>
      </c>
    </row>
    <row r="655">
      <c r="G655" s="22">
        <f>IF($A655="","",IFERROR($D655*(1+$E655),0))</f>
        <v/>
      </c>
    </row>
    <row r="656">
      <c r="G656" s="22">
        <f>IF($A656="","",IFERROR($D656*(1+$E656),0))</f>
        <v/>
      </c>
    </row>
    <row r="657">
      <c r="G657" s="22">
        <f>IF($A657="","",IFERROR($D657*(1+$E657),0))</f>
        <v/>
      </c>
    </row>
    <row r="658">
      <c r="G658" s="22">
        <f>IF($A658="","",IFERROR($D658*(1+$E658),0))</f>
        <v/>
      </c>
    </row>
    <row r="659">
      <c r="G659" s="22">
        <f>IF($A659="","",IFERROR($D659*(1+$E659),0))</f>
        <v/>
      </c>
    </row>
    <row r="660">
      <c r="G660" s="22">
        <f>IF($A660="","",IFERROR($D660*(1+$E660),0))</f>
        <v/>
      </c>
    </row>
    <row r="661">
      <c r="G661" s="22">
        <f>IF($A661="","",IFERROR($D661*(1+$E661),0))</f>
        <v/>
      </c>
    </row>
    <row r="662">
      <c r="G662" s="22">
        <f>IF($A662="","",IFERROR($D662*(1+$E662),0))</f>
        <v/>
      </c>
    </row>
    <row r="663">
      <c r="G663" s="22">
        <f>IF($A663="","",IFERROR($D663*(1+$E663),0))</f>
        <v/>
      </c>
    </row>
    <row r="664">
      <c r="G664" s="22">
        <f>IF($A664="","",IFERROR($D664*(1+$E664),0))</f>
        <v/>
      </c>
    </row>
    <row r="665">
      <c r="G665" s="22">
        <f>IF($A665="","",IFERROR($D665*(1+$E665),0))</f>
        <v/>
      </c>
    </row>
    <row r="666">
      <c r="G666" s="22">
        <f>IF($A666="","",IFERROR($D666*(1+$E666),0))</f>
        <v/>
      </c>
    </row>
    <row r="667">
      <c r="G667" s="22">
        <f>IF($A667="","",IFERROR($D667*(1+$E667),0))</f>
        <v/>
      </c>
    </row>
    <row r="668">
      <c r="G668" s="22">
        <f>IF($A668="","",IFERROR($D668*(1+$E668),0))</f>
        <v/>
      </c>
    </row>
    <row r="669">
      <c r="G669" s="22">
        <f>IF($A669="","",IFERROR($D669*(1+$E669),0))</f>
        <v/>
      </c>
    </row>
    <row r="670">
      <c r="G670" s="22">
        <f>IF($A670="","",IFERROR($D670*(1+$E670),0))</f>
        <v/>
      </c>
    </row>
    <row r="671">
      <c r="G671" s="22">
        <f>IF($A671="","",IFERROR($D671*(1+$E671),0))</f>
        <v/>
      </c>
    </row>
    <row r="672">
      <c r="G672" s="22">
        <f>IF($A672="","",IFERROR($D672*(1+$E672),0))</f>
        <v/>
      </c>
    </row>
    <row r="673">
      <c r="G673" s="22">
        <f>IF($A673="","",IFERROR($D673*(1+$E673),0))</f>
        <v/>
      </c>
    </row>
    <row r="674">
      <c r="G674" s="22">
        <f>IF($A674="","",IFERROR($D674*(1+$E674),0))</f>
        <v/>
      </c>
    </row>
    <row r="675">
      <c r="G675" s="22">
        <f>IF($A675="","",IFERROR($D675*(1+$E675),0))</f>
        <v/>
      </c>
    </row>
    <row r="676">
      <c r="G676" s="22">
        <f>IF($A676="","",IFERROR($D676*(1+$E676),0))</f>
        <v/>
      </c>
    </row>
    <row r="677">
      <c r="G677" s="22">
        <f>IF($A677="","",IFERROR($D677*(1+$E677),0))</f>
        <v/>
      </c>
    </row>
    <row r="678">
      <c r="G678" s="22">
        <f>IF($A678="","",IFERROR($D678*(1+$E678),0))</f>
        <v/>
      </c>
    </row>
    <row r="679">
      <c r="G679" s="22">
        <f>IF($A679="","",IFERROR($D679*(1+$E679),0))</f>
        <v/>
      </c>
    </row>
    <row r="680">
      <c r="G680" s="22">
        <f>IF($A680="","",IFERROR($D680*(1+$E680),0))</f>
        <v/>
      </c>
    </row>
    <row r="681">
      <c r="G681" s="22">
        <f>IF($A681="","",IFERROR($D681*(1+$E681),0))</f>
        <v/>
      </c>
    </row>
    <row r="682">
      <c r="G682" s="22">
        <f>IF($A682="","",IFERROR($D682*(1+$E682),0))</f>
        <v/>
      </c>
    </row>
    <row r="683">
      <c r="G683" s="22">
        <f>IF($A683="","",IFERROR($D683*(1+$E683),0))</f>
        <v/>
      </c>
    </row>
    <row r="684">
      <c r="G684" s="22">
        <f>IF($A684="","",IFERROR($D684*(1+$E684),0))</f>
        <v/>
      </c>
    </row>
    <row r="685">
      <c r="G685" s="22">
        <f>IF($A685="","",IFERROR($D685*(1+$E685),0))</f>
        <v/>
      </c>
    </row>
    <row r="686">
      <c r="G686" s="22">
        <f>IF($A686="","",IFERROR($D686*(1+$E686),0))</f>
        <v/>
      </c>
    </row>
    <row r="687">
      <c r="G687" s="22">
        <f>IF($A687="","",IFERROR($D687*(1+$E687),0))</f>
        <v/>
      </c>
    </row>
    <row r="688">
      <c r="G688" s="22">
        <f>IF($A688="","",IFERROR($D688*(1+$E688),0))</f>
        <v/>
      </c>
    </row>
    <row r="689">
      <c r="G689" s="22">
        <f>IF($A689="","",IFERROR($D689*(1+$E689),0))</f>
        <v/>
      </c>
    </row>
    <row r="690">
      <c r="G690" s="22">
        <f>IF($A690="","",IFERROR($D690*(1+$E690),0))</f>
        <v/>
      </c>
    </row>
    <row r="691">
      <c r="G691" s="22">
        <f>IF($A691="","",IFERROR($D691*(1+$E691),0))</f>
        <v/>
      </c>
    </row>
    <row r="692">
      <c r="G692" s="22">
        <f>IF($A692="","",IFERROR($D692*(1+$E692),0))</f>
        <v/>
      </c>
    </row>
    <row r="693">
      <c r="G693" s="22">
        <f>IF($A693="","",IFERROR($D693*(1+$E693),0))</f>
        <v/>
      </c>
    </row>
    <row r="694">
      <c r="G694" s="22">
        <f>IF($A694="","",IFERROR($D694*(1+$E694),0))</f>
        <v/>
      </c>
    </row>
    <row r="695">
      <c r="G695" s="22">
        <f>IF($A695="","",IFERROR($D695*(1+$E695),0))</f>
        <v/>
      </c>
    </row>
    <row r="696">
      <c r="G696" s="22">
        <f>IF($A696="","",IFERROR($D696*(1+$E696),0))</f>
        <v/>
      </c>
    </row>
    <row r="697">
      <c r="G697" s="22">
        <f>IF($A697="","",IFERROR($D697*(1+$E697),0))</f>
        <v/>
      </c>
    </row>
    <row r="698">
      <c r="G698" s="22">
        <f>IF($A698="","",IFERROR($D698*(1+$E698),0))</f>
        <v/>
      </c>
    </row>
    <row r="699">
      <c r="G699" s="22">
        <f>IF($A699="","",IFERROR($D699*(1+$E699),0))</f>
        <v/>
      </c>
    </row>
    <row r="700">
      <c r="G700" s="22">
        <f>IF($A700="","",IFERROR($D700*(1+$E700),0))</f>
        <v/>
      </c>
    </row>
    <row r="701">
      <c r="G701" s="22">
        <f>IF($A701="","",IFERROR($D701*(1+$E701),0))</f>
        <v/>
      </c>
    </row>
    <row r="702">
      <c r="G702" s="22">
        <f>IF($A702="","",IFERROR($D702*(1+$E702),0))</f>
        <v/>
      </c>
    </row>
    <row r="703">
      <c r="G703" s="22">
        <f>IF($A703="","",IFERROR($D703*(1+$E703),0))</f>
        <v/>
      </c>
    </row>
    <row r="704">
      <c r="G704" s="22">
        <f>IF($A704="","",IFERROR($D704*(1+$E704),0))</f>
        <v/>
      </c>
    </row>
    <row r="705">
      <c r="G705" s="22">
        <f>IF($A705="","",IFERROR($D705*(1+$E705),0))</f>
        <v/>
      </c>
    </row>
    <row r="706">
      <c r="G706" s="22">
        <f>IF($A706="","",IFERROR($D706*(1+$E706),0))</f>
        <v/>
      </c>
    </row>
    <row r="707">
      <c r="G707" s="22">
        <f>IF($A707="","",IFERROR($D707*(1+$E707),0))</f>
        <v/>
      </c>
    </row>
    <row r="708">
      <c r="G708" s="22">
        <f>IF($A708="","",IFERROR($D708*(1+$E708),0))</f>
        <v/>
      </c>
    </row>
    <row r="709">
      <c r="G709" s="22">
        <f>IF($A709="","",IFERROR($D709*(1+$E709),0))</f>
        <v/>
      </c>
    </row>
    <row r="710">
      <c r="G710" s="22">
        <f>IF($A710="","",IFERROR($D710*(1+$E710),0))</f>
        <v/>
      </c>
    </row>
    <row r="711">
      <c r="G711" s="22">
        <f>IF($A711="","",IFERROR($D711*(1+$E711),0))</f>
        <v/>
      </c>
    </row>
    <row r="712">
      <c r="G712" s="22">
        <f>IF($A712="","",IFERROR($D712*(1+$E712),0))</f>
        <v/>
      </c>
    </row>
    <row r="713">
      <c r="G713" s="22">
        <f>IF($A713="","",IFERROR($D713*(1+$E713),0))</f>
        <v/>
      </c>
    </row>
    <row r="714">
      <c r="G714" s="22">
        <f>IF($A714="","",IFERROR($D714*(1+$E714),0))</f>
        <v/>
      </c>
    </row>
    <row r="715">
      <c r="G715" s="22">
        <f>IF($A715="","",IFERROR($D715*(1+$E715),0))</f>
        <v/>
      </c>
    </row>
    <row r="716">
      <c r="G716" s="22">
        <f>IF($A716="","",IFERROR($D716*(1+$E716),0))</f>
        <v/>
      </c>
    </row>
    <row r="717">
      <c r="G717" s="22">
        <f>IF($A717="","",IFERROR($D717*(1+$E717),0))</f>
        <v/>
      </c>
    </row>
    <row r="718">
      <c r="G718" s="22">
        <f>IF($A718="","",IFERROR($D718*(1+$E718),0))</f>
        <v/>
      </c>
    </row>
    <row r="719">
      <c r="G719" s="22">
        <f>IF($A719="","",IFERROR($D719*(1+$E719),0))</f>
        <v/>
      </c>
    </row>
    <row r="720">
      <c r="G720" s="22">
        <f>IF($A720="","",IFERROR($D720*(1+$E720),0))</f>
        <v/>
      </c>
    </row>
    <row r="721">
      <c r="G721" s="22">
        <f>IF($A721="","",IFERROR($D721*(1+$E721),0))</f>
        <v/>
      </c>
    </row>
    <row r="722">
      <c r="G722" s="22">
        <f>IF($A722="","",IFERROR($D722*(1+$E722),0))</f>
        <v/>
      </c>
    </row>
    <row r="723">
      <c r="G723" s="22">
        <f>IF($A723="","",IFERROR($D723*(1+$E723),0))</f>
        <v/>
      </c>
    </row>
    <row r="724">
      <c r="G724" s="22">
        <f>IF($A724="","",IFERROR($D724*(1+$E724),0))</f>
        <v/>
      </c>
    </row>
    <row r="725">
      <c r="G725" s="22">
        <f>IF($A725="","",IFERROR($D725*(1+$E725),0))</f>
        <v/>
      </c>
    </row>
    <row r="726">
      <c r="G726" s="22">
        <f>IF($A726="","",IFERROR($D726*(1+$E726),0))</f>
        <v/>
      </c>
    </row>
    <row r="727">
      <c r="G727" s="22">
        <f>IF($A727="","",IFERROR($D727*(1+$E727),0))</f>
        <v/>
      </c>
    </row>
    <row r="728">
      <c r="G728" s="22">
        <f>IF($A728="","",IFERROR($D728*(1+$E728),0))</f>
        <v/>
      </c>
    </row>
    <row r="729">
      <c r="G729" s="22">
        <f>IF($A729="","",IFERROR($D729*(1+$E729),0))</f>
        <v/>
      </c>
    </row>
    <row r="730">
      <c r="G730" s="22">
        <f>IF($A730="","",IFERROR($D730*(1+$E730),0))</f>
        <v/>
      </c>
    </row>
    <row r="731">
      <c r="G731" s="22">
        <f>IF($A731="","",IFERROR($D731*(1+$E731),0))</f>
        <v/>
      </c>
    </row>
    <row r="732">
      <c r="G732" s="22">
        <f>IF($A732="","",IFERROR($D732*(1+$E732),0))</f>
        <v/>
      </c>
    </row>
    <row r="733">
      <c r="G733" s="22">
        <f>IF($A733="","",IFERROR($D733*(1+$E733),0))</f>
        <v/>
      </c>
    </row>
    <row r="734">
      <c r="G734" s="22">
        <f>IF($A734="","",IFERROR($D734*(1+$E734),0))</f>
        <v/>
      </c>
    </row>
    <row r="735">
      <c r="G735" s="22">
        <f>IF($A735="","",IFERROR($D735*(1+$E735),0))</f>
        <v/>
      </c>
    </row>
    <row r="736">
      <c r="G736" s="22">
        <f>IF($A736="","",IFERROR($D736*(1+$E736),0))</f>
        <v/>
      </c>
    </row>
    <row r="737">
      <c r="G737" s="22">
        <f>IF($A737="","",IFERROR($D737*(1+$E737),0))</f>
        <v/>
      </c>
    </row>
    <row r="738">
      <c r="G738" s="22">
        <f>IF($A738="","",IFERROR($D738*(1+$E738),0))</f>
        <v/>
      </c>
    </row>
    <row r="739">
      <c r="G739" s="22">
        <f>IF($A739="","",IFERROR($D739*(1+$E739),0))</f>
        <v/>
      </c>
    </row>
    <row r="740">
      <c r="G740" s="22">
        <f>IF($A740="","",IFERROR($D740*(1+$E740),0))</f>
        <v/>
      </c>
    </row>
    <row r="741">
      <c r="G741" s="22">
        <f>IF($A741="","",IFERROR($D741*(1+$E741),0))</f>
        <v/>
      </c>
    </row>
    <row r="742">
      <c r="G742" s="22">
        <f>IF($A742="","",IFERROR($D742*(1+$E742),0))</f>
        <v/>
      </c>
    </row>
    <row r="743">
      <c r="G743" s="22">
        <f>IF($A743="","",IFERROR($D743*(1+$E743),0))</f>
        <v/>
      </c>
    </row>
    <row r="744">
      <c r="G744" s="22">
        <f>IF($A744="","",IFERROR($D744*(1+$E744),0))</f>
        <v/>
      </c>
    </row>
    <row r="745">
      <c r="G745" s="22">
        <f>IF($A745="","",IFERROR($D745*(1+$E745),0))</f>
        <v/>
      </c>
    </row>
    <row r="746">
      <c r="G746" s="22">
        <f>IF($A746="","",IFERROR($D746*(1+$E746),0))</f>
        <v/>
      </c>
    </row>
    <row r="747">
      <c r="G747" s="22">
        <f>IF($A747="","",IFERROR($D747*(1+$E747),0))</f>
        <v/>
      </c>
    </row>
    <row r="748">
      <c r="G748" s="22">
        <f>IF($A748="","",IFERROR($D748*(1+$E748),0))</f>
        <v/>
      </c>
    </row>
    <row r="749">
      <c r="G749" s="22">
        <f>IF($A749="","",IFERROR($D749*(1+$E749),0))</f>
        <v/>
      </c>
    </row>
    <row r="750">
      <c r="G750" s="22">
        <f>IF($A750="","",IFERROR($D750*(1+$E750),0))</f>
        <v/>
      </c>
    </row>
    <row r="751">
      <c r="G751" s="22">
        <f>IF($A751="","",IFERROR($D751*(1+$E751),0))</f>
        <v/>
      </c>
    </row>
    <row r="752">
      <c r="G752" s="22">
        <f>IF($A752="","",IFERROR($D752*(1+$E752),0))</f>
        <v/>
      </c>
    </row>
    <row r="753">
      <c r="G753" s="22">
        <f>IF($A753="","",IFERROR($D753*(1+$E753),0))</f>
        <v/>
      </c>
    </row>
    <row r="754">
      <c r="G754" s="22">
        <f>IF($A754="","",IFERROR($D754*(1+$E754),0))</f>
        <v/>
      </c>
    </row>
    <row r="755">
      <c r="G755" s="22">
        <f>IF($A755="","",IFERROR($D755*(1+$E755),0))</f>
        <v/>
      </c>
    </row>
    <row r="756">
      <c r="G756" s="22">
        <f>IF($A756="","",IFERROR($D756*(1+$E756),0))</f>
        <v/>
      </c>
    </row>
    <row r="757">
      <c r="G757" s="22">
        <f>IF($A757="","",IFERROR($D757*(1+$E757),0))</f>
        <v/>
      </c>
    </row>
    <row r="758">
      <c r="G758" s="22">
        <f>IF($A758="","",IFERROR($D758*(1+$E758),0))</f>
        <v/>
      </c>
    </row>
    <row r="759">
      <c r="G759" s="22">
        <f>IF($A759="","",IFERROR($D759*(1+$E759),0))</f>
        <v/>
      </c>
    </row>
    <row r="760">
      <c r="G760" s="22">
        <f>IF($A760="","",IFERROR($D760*(1+$E760),0))</f>
        <v/>
      </c>
    </row>
    <row r="761">
      <c r="G761" s="22">
        <f>IF($A761="","",IFERROR($D761*(1+$E761),0))</f>
        <v/>
      </c>
    </row>
    <row r="762">
      <c r="G762" s="22">
        <f>IF($A762="","",IFERROR($D762*(1+$E762),0))</f>
        <v/>
      </c>
    </row>
    <row r="763">
      <c r="G763" s="22">
        <f>IF($A763="","",IFERROR($D763*(1+$E763),0))</f>
        <v/>
      </c>
    </row>
    <row r="764">
      <c r="G764" s="22">
        <f>IF($A764="","",IFERROR($D764*(1+$E764),0))</f>
        <v/>
      </c>
    </row>
    <row r="765">
      <c r="G765" s="22">
        <f>IF($A765="","",IFERROR($D765*(1+$E765),0))</f>
        <v/>
      </c>
    </row>
    <row r="766">
      <c r="G766" s="22">
        <f>IF($A766="","",IFERROR($D766*(1+$E766),0))</f>
        <v/>
      </c>
    </row>
    <row r="767">
      <c r="G767" s="22">
        <f>IF($A767="","",IFERROR($D767*(1+$E767),0))</f>
        <v/>
      </c>
    </row>
    <row r="768">
      <c r="G768" s="22">
        <f>IF($A768="","",IFERROR($D768*(1+$E768),0))</f>
        <v/>
      </c>
    </row>
    <row r="769">
      <c r="G769" s="22">
        <f>IF($A769="","",IFERROR($D769*(1+$E769),0))</f>
        <v/>
      </c>
    </row>
    <row r="770">
      <c r="G770" s="22">
        <f>IF($A770="","",IFERROR($D770*(1+$E770),0))</f>
        <v/>
      </c>
    </row>
    <row r="771">
      <c r="G771" s="22">
        <f>IF($A771="","",IFERROR($D771*(1+$E771),0))</f>
        <v/>
      </c>
    </row>
    <row r="772">
      <c r="G772" s="22">
        <f>IF($A772="","",IFERROR($D772*(1+$E772),0))</f>
        <v/>
      </c>
    </row>
    <row r="773">
      <c r="G773" s="22">
        <f>IF($A773="","",IFERROR($D773*(1+$E773),0))</f>
        <v/>
      </c>
    </row>
    <row r="774">
      <c r="G774" s="22">
        <f>IF($A774="","",IFERROR($D774*(1+$E774),0))</f>
        <v/>
      </c>
    </row>
    <row r="775">
      <c r="G775" s="22">
        <f>IF($A775="","",IFERROR($D775*(1+$E775),0))</f>
        <v/>
      </c>
    </row>
    <row r="776">
      <c r="G776" s="22">
        <f>IF($A776="","",IFERROR($D776*(1+$E776),0))</f>
        <v/>
      </c>
    </row>
    <row r="777">
      <c r="G777" s="22">
        <f>IF($A777="","",IFERROR($D777*(1+$E777),0))</f>
        <v/>
      </c>
    </row>
    <row r="778">
      <c r="G778" s="22">
        <f>IF($A778="","",IFERROR($D778*(1+$E778),0))</f>
        <v/>
      </c>
    </row>
    <row r="779">
      <c r="G779" s="22">
        <f>IF($A779="","",IFERROR($D779*(1+$E779),0))</f>
        <v/>
      </c>
    </row>
    <row r="780">
      <c r="G780" s="22">
        <f>IF($A780="","",IFERROR($D780*(1+$E780),0))</f>
        <v/>
      </c>
    </row>
    <row r="781">
      <c r="G781" s="22">
        <f>IF($A781="","",IFERROR($D781*(1+$E781),0))</f>
        <v/>
      </c>
    </row>
    <row r="782">
      <c r="G782" s="22">
        <f>IF($A782="","",IFERROR($D782*(1+$E782),0))</f>
        <v/>
      </c>
    </row>
    <row r="783">
      <c r="G783" s="22">
        <f>IF($A783="","",IFERROR($D783*(1+$E783),0))</f>
        <v/>
      </c>
    </row>
    <row r="784">
      <c r="G784" s="22">
        <f>IF($A784="","",IFERROR($D784*(1+$E784),0))</f>
        <v/>
      </c>
    </row>
    <row r="785">
      <c r="G785" s="22">
        <f>IF($A785="","",IFERROR($D785*(1+$E785),0))</f>
        <v/>
      </c>
    </row>
    <row r="786">
      <c r="G786" s="22">
        <f>IF($A786="","",IFERROR($D786*(1+$E786),0))</f>
        <v/>
      </c>
    </row>
    <row r="787">
      <c r="G787" s="22">
        <f>IF($A787="","",IFERROR($D787*(1+$E787),0))</f>
        <v/>
      </c>
    </row>
    <row r="788">
      <c r="G788" s="22">
        <f>IF($A788="","",IFERROR($D788*(1+$E788),0))</f>
        <v/>
      </c>
    </row>
    <row r="789">
      <c r="G789" s="22">
        <f>IF($A789="","",IFERROR($D789*(1+$E789),0))</f>
        <v/>
      </c>
    </row>
    <row r="790">
      <c r="G790" s="22">
        <f>IF($A790="","",IFERROR($D790*(1+$E790),0))</f>
        <v/>
      </c>
    </row>
    <row r="791">
      <c r="G791" s="22">
        <f>IF($A791="","",IFERROR($D791*(1+$E791),0))</f>
        <v/>
      </c>
    </row>
    <row r="792">
      <c r="G792" s="22">
        <f>IF($A792="","",IFERROR($D792*(1+$E792),0))</f>
        <v/>
      </c>
    </row>
    <row r="793">
      <c r="G793" s="22">
        <f>IF($A793="","",IFERROR($D793*(1+$E793),0))</f>
        <v/>
      </c>
    </row>
    <row r="794">
      <c r="G794" s="22">
        <f>IF($A794="","",IFERROR($D794*(1+$E794),0))</f>
        <v/>
      </c>
    </row>
    <row r="795">
      <c r="G795" s="22">
        <f>IF($A795="","",IFERROR($D795*(1+$E795),0))</f>
        <v/>
      </c>
    </row>
    <row r="796">
      <c r="G796" s="22">
        <f>IF($A796="","",IFERROR($D796*(1+$E796),0))</f>
        <v/>
      </c>
    </row>
    <row r="797">
      <c r="G797" s="22">
        <f>IF($A797="","",IFERROR($D797*(1+$E797),0))</f>
        <v/>
      </c>
    </row>
    <row r="798">
      <c r="G798" s="22">
        <f>IF($A798="","",IFERROR($D798*(1+$E798),0))</f>
        <v/>
      </c>
    </row>
    <row r="799">
      <c r="G799" s="22">
        <f>IF($A799="","",IFERROR($D799*(1+$E799),0))</f>
        <v/>
      </c>
    </row>
    <row r="800">
      <c r="G800" s="22">
        <f>IF($A800="","",IFERROR($D800*(1+$E800),0))</f>
        <v/>
      </c>
    </row>
    <row r="801">
      <c r="G801" s="22">
        <f>IF($A801="","",IFERROR($D801*(1+$E801),0))</f>
        <v/>
      </c>
    </row>
    <row r="802">
      <c r="G802" s="22">
        <f>IF($A802="","",IFERROR($D802*(1+$E802),0))</f>
        <v/>
      </c>
    </row>
    <row r="803">
      <c r="G803" s="22">
        <f>IF($A803="","",IFERROR($D803*(1+$E803),0))</f>
        <v/>
      </c>
    </row>
    <row r="804">
      <c r="G804" s="22">
        <f>IF($A804="","",IFERROR($D804*(1+$E804),0))</f>
        <v/>
      </c>
    </row>
    <row r="805">
      <c r="G805" s="22">
        <f>IF($A805="","",IFERROR($D805*(1+$E805),0))</f>
        <v/>
      </c>
    </row>
    <row r="806">
      <c r="G806" s="22">
        <f>IF($A806="","",IFERROR($D806*(1+$E806),0))</f>
        <v/>
      </c>
    </row>
    <row r="807">
      <c r="G807" s="22">
        <f>IF($A807="","",IFERROR($D807*(1+$E807),0))</f>
        <v/>
      </c>
    </row>
    <row r="808">
      <c r="G808" s="22">
        <f>IF($A808="","",IFERROR($D808*(1+$E808),0))</f>
        <v/>
      </c>
    </row>
    <row r="809">
      <c r="G809" s="22">
        <f>IF($A809="","",IFERROR($D809*(1+$E809),0))</f>
        <v/>
      </c>
    </row>
    <row r="810">
      <c r="G810" s="22">
        <f>IF($A810="","",IFERROR($D810*(1+$E810),0))</f>
        <v/>
      </c>
    </row>
    <row r="811">
      <c r="G811" s="22">
        <f>IF($A811="","",IFERROR($D811*(1+$E811),0))</f>
        <v/>
      </c>
    </row>
    <row r="812">
      <c r="G812" s="22">
        <f>IF($A812="","",IFERROR($D812*(1+$E812),0))</f>
        <v/>
      </c>
    </row>
    <row r="813">
      <c r="G813" s="22">
        <f>IF($A813="","",IFERROR($D813*(1+$E813),0))</f>
        <v/>
      </c>
    </row>
    <row r="814">
      <c r="G814" s="22">
        <f>IF($A814="","",IFERROR($D814*(1+$E814),0))</f>
        <v/>
      </c>
    </row>
    <row r="815">
      <c r="G815" s="22">
        <f>IF($A815="","",IFERROR($D815*(1+$E815),0))</f>
        <v/>
      </c>
    </row>
    <row r="816">
      <c r="G816" s="22">
        <f>IF($A816="","",IFERROR($D816*(1+$E816),0))</f>
        <v/>
      </c>
    </row>
    <row r="817">
      <c r="G817" s="22">
        <f>IF($A817="","",IFERROR($D817*(1+$E817),0))</f>
        <v/>
      </c>
    </row>
    <row r="818">
      <c r="G818" s="22">
        <f>IF($A818="","",IFERROR($D818*(1+$E818),0))</f>
        <v/>
      </c>
    </row>
    <row r="819">
      <c r="G819" s="22">
        <f>IF($A819="","",IFERROR($D819*(1+$E819),0))</f>
        <v/>
      </c>
    </row>
    <row r="820">
      <c r="G820" s="22">
        <f>IF($A820="","",IFERROR($D820*(1+$E820),0))</f>
        <v/>
      </c>
    </row>
    <row r="821">
      <c r="G821" s="22">
        <f>IF($A821="","",IFERROR($D821*(1+$E821),0))</f>
        <v/>
      </c>
    </row>
    <row r="822">
      <c r="G822" s="22">
        <f>IF($A822="","",IFERROR($D822*(1+$E822),0))</f>
        <v/>
      </c>
    </row>
    <row r="823">
      <c r="G823" s="22">
        <f>IF($A823="","",IFERROR($D823*(1+$E823),0))</f>
        <v/>
      </c>
    </row>
    <row r="824">
      <c r="G824" s="22">
        <f>IF($A824="","",IFERROR($D824*(1+$E824),0))</f>
        <v/>
      </c>
    </row>
    <row r="825">
      <c r="G825" s="22">
        <f>IF($A825="","",IFERROR($D825*(1+$E825),0))</f>
        <v/>
      </c>
    </row>
    <row r="826">
      <c r="G826" s="22">
        <f>IF($A826="","",IFERROR($D826*(1+$E826),0))</f>
        <v/>
      </c>
    </row>
    <row r="827">
      <c r="G827" s="22">
        <f>IF($A827="","",IFERROR($D827*(1+$E827),0))</f>
        <v/>
      </c>
    </row>
    <row r="828">
      <c r="G828" s="22">
        <f>IF($A828="","",IFERROR($D828*(1+$E828),0))</f>
        <v/>
      </c>
    </row>
    <row r="829">
      <c r="G829" s="22">
        <f>IF($A829="","",IFERROR($D829*(1+$E829),0))</f>
        <v/>
      </c>
    </row>
    <row r="830">
      <c r="G830" s="22">
        <f>IF($A830="","",IFERROR($D830*(1+$E830),0))</f>
        <v/>
      </c>
    </row>
    <row r="831">
      <c r="G831" s="22">
        <f>IF($A831="","",IFERROR($D831*(1+$E831),0))</f>
        <v/>
      </c>
    </row>
    <row r="832">
      <c r="G832" s="22">
        <f>IF($A832="","",IFERROR($D832*(1+$E832),0))</f>
        <v/>
      </c>
    </row>
    <row r="833">
      <c r="G833" s="22">
        <f>IF($A833="","",IFERROR($D833*(1+$E833),0))</f>
        <v/>
      </c>
    </row>
    <row r="834">
      <c r="G834" s="22">
        <f>IF($A834="","",IFERROR($D834*(1+$E834),0))</f>
        <v/>
      </c>
    </row>
    <row r="835">
      <c r="G835" s="22">
        <f>IF($A835="","",IFERROR($D835*(1+$E835),0))</f>
        <v/>
      </c>
    </row>
    <row r="836">
      <c r="G836" s="22">
        <f>IF($A836="","",IFERROR($D836*(1+$E836),0))</f>
        <v/>
      </c>
    </row>
    <row r="837">
      <c r="G837" s="22">
        <f>IF($A837="","",IFERROR($D837*(1+$E837),0))</f>
        <v/>
      </c>
    </row>
    <row r="838">
      <c r="G838" s="22">
        <f>IF($A838="","",IFERROR($D838*(1+$E838),0))</f>
        <v/>
      </c>
    </row>
    <row r="839">
      <c r="G839" s="22">
        <f>IF($A839="","",IFERROR($D839*(1+$E839),0))</f>
        <v/>
      </c>
    </row>
    <row r="840">
      <c r="G840" s="22">
        <f>IF($A840="","",IFERROR($D840*(1+$E840),0))</f>
        <v/>
      </c>
    </row>
    <row r="841">
      <c r="G841" s="22">
        <f>IF($A841="","",IFERROR($D841*(1+$E841),0))</f>
        <v/>
      </c>
    </row>
    <row r="842">
      <c r="G842" s="22">
        <f>IF($A842="","",IFERROR($D842*(1+$E842),0))</f>
        <v/>
      </c>
    </row>
    <row r="843">
      <c r="G843" s="22">
        <f>IF($A843="","",IFERROR($D843*(1+$E843),0))</f>
        <v/>
      </c>
    </row>
    <row r="844">
      <c r="G844" s="22">
        <f>IF($A844="","",IFERROR($D844*(1+$E844),0))</f>
        <v/>
      </c>
    </row>
    <row r="845">
      <c r="G845" s="22">
        <f>IF($A845="","",IFERROR($D845*(1+$E845),0))</f>
        <v/>
      </c>
    </row>
    <row r="846">
      <c r="G846" s="22">
        <f>IF($A846="","",IFERROR($D846*(1+$E846),0))</f>
        <v/>
      </c>
    </row>
    <row r="847">
      <c r="G847" s="22">
        <f>IF($A847="","",IFERROR($D847*(1+$E847),0))</f>
        <v/>
      </c>
    </row>
    <row r="848">
      <c r="G848" s="22">
        <f>IF($A848="","",IFERROR($D848*(1+$E848),0))</f>
        <v/>
      </c>
    </row>
    <row r="849">
      <c r="G849" s="22">
        <f>IF($A849="","",IFERROR($D849*(1+$E849),0))</f>
        <v/>
      </c>
    </row>
    <row r="850">
      <c r="G850" s="22">
        <f>IF($A850="","",IFERROR($D850*(1+$E850),0))</f>
        <v/>
      </c>
    </row>
    <row r="851">
      <c r="G851" s="22">
        <f>IF($A851="","",IFERROR($D851*(1+$E851),0))</f>
        <v/>
      </c>
    </row>
    <row r="852">
      <c r="G852" s="22">
        <f>IF($A852="","",IFERROR($D852*(1+$E852),0))</f>
        <v/>
      </c>
    </row>
    <row r="853">
      <c r="G853" s="22">
        <f>IF($A853="","",IFERROR($D853*(1+$E853),0))</f>
        <v/>
      </c>
    </row>
    <row r="854">
      <c r="G854" s="22">
        <f>IF($A854="","",IFERROR($D854*(1+$E854),0))</f>
        <v/>
      </c>
    </row>
    <row r="855">
      <c r="G855" s="22">
        <f>IF($A855="","",IFERROR($D855*(1+$E855),0))</f>
        <v/>
      </c>
    </row>
    <row r="856">
      <c r="G856" s="22">
        <f>IF($A856="","",IFERROR($D856*(1+$E856),0))</f>
        <v/>
      </c>
    </row>
    <row r="857">
      <c r="G857" s="22">
        <f>IF($A857="","",IFERROR($D857*(1+$E857),0))</f>
        <v/>
      </c>
    </row>
    <row r="858">
      <c r="G858" s="22">
        <f>IF($A858="","",IFERROR($D858*(1+$E858),0))</f>
        <v/>
      </c>
    </row>
    <row r="859">
      <c r="G859" s="22">
        <f>IF($A859="","",IFERROR($D859*(1+$E859),0))</f>
        <v/>
      </c>
    </row>
    <row r="860">
      <c r="G860" s="22">
        <f>IF($A860="","",IFERROR($D860*(1+$E860),0))</f>
        <v/>
      </c>
    </row>
    <row r="861">
      <c r="G861" s="22">
        <f>IF($A861="","",IFERROR($D861*(1+$E861),0))</f>
        <v/>
      </c>
    </row>
    <row r="862">
      <c r="G862" s="22">
        <f>IF($A862="","",IFERROR($D862*(1+$E862),0))</f>
        <v/>
      </c>
    </row>
    <row r="863">
      <c r="G863" s="22">
        <f>IF($A863="","",IFERROR($D863*(1+$E863),0))</f>
        <v/>
      </c>
    </row>
    <row r="864">
      <c r="G864" s="22">
        <f>IF($A864="","",IFERROR($D864*(1+$E864),0))</f>
        <v/>
      </c>
    </row>
    <row r="865">
      <c r="G865" s="22">
        <f>IF($A865="","",IFERROR($D865*(1+$E865),0))</f>
        <v/>
      </c>
    </row>
    <row r="866">
      <c r="G866" s="22">
        <f>IF($A866="","",IFERROR($D866*(1+$E866),0))</f>
        <v/>
      </c>
    </row>
    <row r="867">
      <c r="G867" s="22">
        <f>IF($A867="","",IFERROR($D867*(1+$E867),0))</f>
        <v/>
      </c>
    </row>
    <row r="868">
      <c r="G868" s="22">
        <f>IF($A868="","",IFERROR($D868*(1+$E868),0))</f>
        <v/>
      </c>
    </row>
    <row r="869">
      <c r="G869" s="22">
        <f>IF($A869="","",IFERROR($D869*(1+$E869),0))</f>
        <v/>
      </c>
    </row>
    <row r="870">
      <c r="G870" s="22">
        <f>IF($A870="","",IFERROR($D870*(1+$E870),0))</f>
        <v/>
      </c>
    </row>
    <row r="871">
      <c r="G871" s="22">
        <f>IF($A871="","",IFERROR($D871*(1+$E871),0))</f>
        <v/>
      </c>
    </row>
    <row r="872">
      <c r="G872" s="22">
        <f>IF($A872="","",IFERROR($D872*(1+$E872),0))</f>
        <v/>
      </c>
    </row>
    <row r="873">
      <c r="G873" s="22">
        <f>IF($A873="","",IFERROR($D873*(1+$E873),0))</f>
        <v/>
      </c>
    </row>
    <row r="874">
      <c r="G874" s="22">
        <f>IF($A874="","",IFERROR($D874*(1+$E874),0))</f>
        <v/>
      </c>
    </row>
    <row r="875">
      <c r="G875" s="22">
        <f>IF($A875="","",IFERROR($D875*(1+$E875),0))</f>
        <v/>
      </c>
    </row>
    <row r="876">
      <c r="G876" s="22">
        <f>IF($A876="","",IFERROR($D876*(1+$E876),0))</f>
        <v/>
      </c>
    </row>
    <row r="877">
      <c r="G877" s="22">
        <f>IF($A877="","",IFERROR($D877*(1+$E877),0))</f>
        <v/>
      </c>
    </row>
    <row r="878">
      <c r="G878" s="22">
        <f>IF($A878="","",IFERROR($D878*(1+$E878),0))</f>
        <v/>
      </c>
    </row>
    <row r="879">
      <c r="G879" s="22">
        <f>IF($A879="","",IFERROR($D879*(1+$E879),0))</f>
        <v/>
      </c>
    </row>
    <row r="880">
      <c r="G880" s="22">
        <f>IF($A880="","",IFERROR($D880*(1+$E880),0))</f>
        <v/>
      </c>
    </row>
    <row r="881">
      <c r="G881" s="22">
        <f>IF($A881="","",IFERROR($D881*(1+$E881),0))</f>
        <v/>
      </c>
    </row>
    <row r="882">
      <c r="G882" s="22">
        <f>IF($A882="","",IFERROR($D882*(1+$E882),0))</f>
        <v/>
      </c>
    </row>
    <row r="883">
      <c r="G883" s="22">
        <f>IF($A883="","",IFERROR($D883*(1+$E883),0))</f>
        <v/>
      </c>
    </row>
    <row r="884">
      <c r="G884" s="22">
        <f>IF($A884="","",IFERROR($D884*(1+$E884),0))</f>
        <v/>
      </c>
    </row>
    <row r="885">
      <c r="G885" s="22">
        <f>IF($A885="","",IFERROR($D885*(1+$E885),0))</f>
        <v/>
      </c>
    </row>
    <row r="886">
      <c r="G886" s="22">
        <f>IF($A886="","",IFERROR($D886*(1+$E886),0))</f>
        <v/>
      </c>
    </row>
    <row r="887">
      <c r="G887" s="22">
        <f>IF($A887="","",IFERROR($D887*(1+$E887),0))</f>
        <v/>
      </c>
    </row>
    <row r="888">
      <c r="G888" s="22">
        <f>IF($A888="","",IFERROR($D888*(1+$E888),0))</f>
        <v/>
      </c>
    </row>
    <row r="889">
      <c r="G889" s="22">
        <f>IF($A889="","",IFERROR($D889*(1+$E889),0))</f>
        <v/>
      </c>
    </row>
    <row r="890">
      <c r="G890" s="22">
        <f>IF($A890="","",IFERROR($D890*(1+$E890),0))</f>
        <v/>
      </c>
    </row>
    <row r="891">
      <c r="G891" s="22">
        <f>IF($A891="","",IFERROR($D891*(1+$E891),0))</f>
        <v/>
      </c>
    </row>
    <row r="892">
      <c r="G892" s="22">
        <f>IF($A892="","",IFERROR($D892*(1+$E892),0))</f>
        <v/>
      </c>
    </row>
    <row r="893">
      <c r="G893" s="22">
        <f>IF($A893="","",IFERROR($D893*(1+$E893),0))</f>
        <v/>
      </c>
    </row>
    <row r="894">
      <c r="G894" s="22">
        <f>IF($A894="","",IFERROR($D894*(1+$E894),0))</f>
        <v/>
      </c>
    </row>
    <row r="895">
      <c r="G895" s="22">
        <f>IF($A895="","",IFERROR($D895*(1+$E895),0))</f>
        <v/>
      </c>
    </row>
    <row r="896">
      <c r="G896" s="22">
        <f>IF($A896="","",IFERROR($D896*(1+$E896),0))</f>
        <v/>
      </c>
    </row>
    <row r="897">
      <c r="G897" s="22">
        <f>IF($A897="","",IFERROR($D897*(1+$E897),0))</f>
        <v/>
      </c>
    </row>
    <row r="898">
      <c r="G898" s="22">
        <f>IF($A898="","",IFERROR($D898*(1+$E898),0))</f>
        <v/>
      </c>
    </row>
    <row r="899">
      <c r="G899" s="22">
        <f>IF($A899="","",IFERROR($D899*(1+$E899),0))</f>
        <v/>
      </c>
    </row>
    <row r="900">
      <c r="G900" s="22">
        <f>IF($A900="","",IFERROR($D900*(1+$E900),0))</f>
        <v/>
      </c>
    </row>
    <row r="901">
      <c r="G901" s="22">
        <f>IF($A901="","",IFERROR($D901*(1+$E901),0))</f>
        <v/>
      </c>
    </row>
    <row r="902">
      <c r="G902" s="22">
        <f>IF($A902="","",IFERROR($D902*(1+$E902),0))</f>
        <v/>
      </c>
    </row>
    <row r="903">
      <c r="G903" s="22">
        <f>IF($A903="","",IFERROR($D903*(1+$E903),0))</f>
        <v/>
      </c>
    </row>
    <row r="904">
      <c r="G904" s="22">
        <f>IF($A904="","",IFERROR($D904*(1+$E904),0))</f>
        <v/>
      </c>
    </row>
    <row r="905">
      <c r="G905" s="22">
        <f>IF($A905="","",IFERROR($D905*(1+$E905),0))</f>
        <v/>
      </c>
    </row>
    <row r="906">
      <c r="G906" s="22">
        <f>IF($A906="","",IFERROR($D906*(1+$E906),0))</f>
        <v/>
      </c>
    </row>
    <row r="907">
      <c r="G907" s="22">
        <f>IF($A907="","",IFERROR($D907*(1+$E907),0))</f>
        <v/>
      </c>
    </row>
    <row r="908">
      <c r="G908" s="22">
        <f>IF($A908="","",IFERROR($D908*(1+$E908),0))</f>
        <v/>
      </c>
    </row>
    <row r="909">
      <c r="G909" s="22">
        <f>IF($A909="","",IFERROR($D909*(1+$E909),0))</f>
        <v/>
      </c>
    </row>
    <row r="910">
      <c r="G910" s="22">
        <f>IF($A910="","",IFERROR($D910*(1+$E910),0))</f>
        <v/>
      </c>
    </row>
    <row r="911">
      <c r="G911" s="22">
        <f>IF($A911="","",IFERROR($D911*(1+$E911),0))</f>
        <v/>
      </c>
    </row>
    <row r="912">
      <c r="G912" s="22">
        <f>IF($A912="","",IFERROR($D912*(1+$E912),0))</f>
        <v/>
      </c>
    </row>
    <row r="913">
      <c r="G913" s="22">
        <f>IF($A913="","",IFERROR($D913*(1+$E913),0))</f>
        <v/>
      </c>
    </row>
    <row r="914">
      <c r="G914" s="22">
        <f>IF($A914="","",IFERROR($D914*(1+$E914),0))</f>
        <v/>
      </c>
    </row>
    <row r="915">
      <c r="G915" s="22">
        <f>IF($A915="","",IFERROR($D915*(1+$E915),0))</f>
        <v/>
      </c>
    </row>
    <row r="916">
      <c r="G916" s="22">
        <f>IF($A916="","",IFERROR($D916*(1+$E916),0))</f>
        <v/>
      </c>
    </row>
    <row r="917">
      <c r="G917" s="22">
        <f>IF($A917="","",IFERROR($D917*(1+$E917),0))</f>
        <v/>
      </c>
    </row>
    <row r="918">
      <c r="G918" s="22">
        <f>IF($A918="","",IFERROR($D918*(1+$E918),0))</f>
        <v/>
      </c>
    </row>
    <row r="919">
      <c r="G919" s="22">
        <f>IF($A919="","",IFERROR($D919*(1+$E919),0))</f>
        <v/>
      </c>
    </row>
    <row r="920">
      <c r="G920" s="22">
        <f>IF($A920="","",IFERROR($D920*(1+$E920),0))</f>
        <v/>
      </c>
    </row>
    <row r="921">
      <c r="G921" s="22">
        <f>IF($A921="","",IFERROR($D921*(1+$E921),0))</f>
        <v/>
      </c>
    </row>
    <row r="922">
      <c r="G922" s="22">
        <f>IF($A922="","",IFERROR($D922*(1+$E922),0))</f>
        <v/>
      </c>
    </row>
    <row r="923">
      <c r="G923" s="22">
        <f>IF($A923="","",IFERROR($D923*(1+$E923),0))</f>
        <v/>
      </c>
    </row>
    <row r="924">
      <c r="G924" s="22">
        <f>IF($A924="","",IFERROR($D924*(1+$E924),0))</f>
        <v/>
      </c>
    </row>
    <row r="925">
      <c r="G925" s="22">
        <f>IF($A925="","",IFERROR($D925*(1+$E925),0))</f>
        <v/>
      </c>
    </row>
    <row r="926">
      <c r="G926" s="22">
        <f>IF($A926="","",IFERROR($D926*(1+$E926),0))</f>
        <v/>
      </c>
    </row>
    <row r="927">
      <c r="G927" s="22">
        <f>IF($A927="","",IFERROR($D927*(1+$E927),0))</f>
        <v/>
      </c>
    </row>
    <row r="928">
      <c r="G928" s="22">
        <f>IF($A928="","",IFERROR($D928*(1+$E928),0))</f>
        <v/>
      </c>
    </row>
    <row r="929">
      <c r="G929" s="22">
        <f>IF($A929="","",IFERROR($D929*(1+$E929),0))</f>
        <v/>
      </c>
    </row>
    <row r="930">
      <c r="G930" s="22">
        <f>IF($A930="","",IFERROR($D930*(1+$E930),0))</f>
        <v/>
      </c>
    </row>
    <row r="931">
      <c r="G931" s="22">
        <f>IF($A931="","",IFERROR($D931*(1+$E931),0))</f>
        <v/>
      </c>
    </row>
    <row r="932">
      <c r="G932" s="22">
        <f>IF($A932="","",IFERROR($D932*(1+$E932),0))</f>
        <v/>
      </c>
    </row>
    <row r="933">
      <c r="G933" s="22">
        <f>IF($A933="","",IFERROR($D933*(1+$E933),0))</f>
        <v/>
      </c>
    </row>
    <row r="934">
      <c r="G934" s="22">
        <f>IF($A934="","",IFERROR($D934*(1+$E934),0))</f>
        <v/>
      </c>
    </row>
    <row r="935">
      <c r="G935" s="22">
        <f>IF($A935="","",IFERROR($D935*(1+$E935),0))</f>
        <v/>
      </c>
    </row>
    <row r="936">
      <c r="G936" s="22">
        <f>IF($A936="","",IFERROR($D936*(1+$E936),0))</f>
        <v/>
      </c>
    </row>
    <row r="937">
      <c r="G937" s="22">
        <f>IF($A937="","",IFERROR($D937*(1+$E937),0))</f>
        <v/>
      </c>
    </row>
    <row r="938">
      <c r="G938" s="22">
        <f>IF($A938="","",IFERROR($D938*(1+$E938),0))</f>
        <v/>
      </c>
    </row>
    <row r="939">
      <c r="G939" s="22">
        <f>IF($A939="","",IFERROR($D939*(1+$E939),0))</f>
        <v/>
      </c>
    </row>
    <row r="940">
      <c r="G940" s="22">
        <f>IF($A940="","",IFERROR($D940*(1+$E940),0))</f>
        <v/>
      </c>
    </row>
    <row r="941">
      <c r="G941" s="22">
        <f>IF($A941="","",IFERROR($D941*(1+$E941),0))</f>
        <v/>
      </c>
    </row>
    <row r="942">
      <c r="G942" s="22">
        <f>IF($A942="","",IFERROR($D942*(1+$E942),0))</f>
        <v/>
      </c>
    </row>
    <row r="943">
      <c r="G943" s="22">
        <f>IF($A943="","",IFERROR($D943*(1+$E943),0))</f>
        <v/>
      </c>
    </row>
    <row r="944">
      <c r="G944" s="22">
        <f>IF($A944="","",IFERROR($D944*(1+$E944),0))</f>
        <v/>
      </c>
    </row>
    <row r="945">
      <c r="G945" s="22">
        <f>IF($A945="","",IFERROR($D945*(1+$E945),0))</f>
        <v/>
      </c>
    </row>
    <row r="946">
      <c r="G946" s="22">
        <f>IF($A946="","",IFERROR($D946*(1+$E946),0))</f>
        <v/>
      </c>
    </row>
    <row r="947">
      <c r="G947" s="22">
        <f>IF($A947="","",IFERROR($D947*(1+$E947),0))</f>
        <v/>
      </c>
    </row>
    <row r="948">
      <c r="G948" s="22">
        <f>IF($A948="","",IFERROR($D948*(1+$E948),0))</f>
        <v/>
      </c>
    </row>
    <row r="949">
      <c r="G949" s="22">
        <f>IF($A949="","",IFERROR($D949*(1+$E949),0))</f>
        <v/>
      </c>
    </row>
    <row r="950">
      <c r="G950" s="22">
        <f>IF($A950="","",IFERROR($D950*(1+$E950),0))</f>
        <v/>
      </c>
    </row>
    <row r="951">
      <c r="G951" s="22">
        <f>IF($A951="","",IFERROR($D951*(1+$E951),0))</f>
        <v/>
      </c>
    </row>
    <row r="952">
      <c r="G952" s="22">
        <f>IF($A952="","",IFERROR($D952*(1+$E952),0))</f>
        <v/>
      </c>
    </row>
    <row r="953">
      <c r="G953" s="22">
        <f>IF($A953="","",IFERROR($D953*(1+$E953),0))</f>
        <v/>
      </c>
    </row>
    <row r="954">
      <c r="G954" s="22">
        <f>IF($A954="","",IFERROR($D954*(1+$E954),0))</f>
        <v/>
      </c>
    </row>
    <row r="955">
      <c r="G955" s="22">
        <f>IF($A955="","",IFERROR($D955*(1+$E955),0))</f>
        <v/>
      </c>
    </row>
    <row r="956">
      <c r="G956" s="22">
        <f>IF($A956="","",IFERROR($D956*(1+$E956),0))</f>
        <v/>
      </c>
    </row>
    <row r="957">
      <c r="G957" s="22">
        <f>IF($A957="","",IFERROR($D957*(1+$E957),0))</f>
        <v/>
      </c>
    </row>
    <row r="958">
      <c r="G958" s="22">
        <f>IF($A958="","",IFERROR($D958*(1+$E958),0))</f>
        <v/>
      </c>
    </row>
    <row r="959">
      <c r="G959" s="22">
        <f>IF($A959="","",IFERROR($D959*(1+$E959),0))</f>
        <v/>
      </c>
    </row>
    <row r="960">
      <c r="G960" s="22">
        <f>IF($A960="","",IFERROR($D960*(1+$E960),0))</f>
        <v/>
      </c>
    </row>
    <row r="961">
      <c r="G961" s="22">
        <f>IF($A961="","",IFERROR($D961*(1+$E961),0))</f>
        <v/>
      </c>
    </row>
    <row r="962">
      <c r="G962" s="22">
        <f>IF($A962="","",IFERROR($D962*(1+$E962),0))</f>
        <v/>
      </c>
    </row>
    <row r="963">
      <c r="G963" s="22">
        <f>IF($A963="","",IFERROR($D963*(1+$E963),0))</f>
        <v/>
      </c>
    </row>
    <row r="964">
      <c r="G964" s="22">
        <f>IF($A964="","",IFERROR($D964*(1+$E964),0))</f>
        <v/>
      </c>
    </row>
    <row r="965">
      <c r="G965" s="22">
        <f>IF($A965="","",IFERROR($D965*(1+$E965),0))</f>
        <v/>
      </c>
    </row>
    <row r="966">
      <c r="G966" s="22">
        <f>IF($A966="","",IFERROR($D966*(1+$E966),0))</f>
        <v/>
      </c>
    </row>
    <row r="967">
      <c r="G967" s="22">
        <f>IF($A967="","",IFERROR($D967*(1+$E967),0))</f>
        <v/>
      </c>
    </row>
    <row r="968">
      <c r="G968" s="22">
        <f>IF($A968="","",IFERROR($D968*(1+$E968),0))</f>
        <v/>
      </c>
    </row>
    <row r="969">
      <c r="G969" s="22">
        <f>IF($A969="","",IFERROR($D969*(1+$E969),0))</f>
        <v/>
      </c>
    </row>
    <row r="970">
      <c r="G970" s="22">
        <f>IF($A970="","",IFERROR($D970*(1+$E970),0))</f>
        <v/>
      </c>
    </row>
    <row r="971">
      <c r="G971" s="22">
        <f>IF($A971="","",IFERROR($D971*(1+$E971),0))</f>
        <v/>
      </c>
    </row>
    <row r="972">
      <c r="G972" s="22">
        <f>IF($A972="","",IFERROR($D972*(1+$E972),0))</f>
        <v/>
      </c>
    </row>
    <row r="973">
      <c r="G973" s="22">
        <f>IF($A973="","",IFERROR($D973*(1+$E973),0))</f>
        <v/>
      </c>
    </row>
    <row r="974">
      <c r="G974" s="22">
        <f>IF($A974="","",IFERROR($D974*(1+$E974),0))</f>
        <v/>
      </c>
    </row>
    <row r="975">
      <c r="G975" s="22">
        <f>IF($A975="","",IFERROR($D975*(1+$E975),0))</f>
        <v/>
      </c>
    </row>
    <row r="976">
      <c r="G976" s="22">
        <f>IF($A976="","",IFERROR($D976*(1+$E976),0))</f>
        <v/>
      </c>
    </row>
    <row r="977">
      <c r="G977" s="22">
        <f>IF($A977="","",IFERROR($D977*(1+$E977),0))</f>
        <v/>
      </c>
    </row>
    <row r="978">
      <c r="G978" s="22">
        <f>IF($A978="","",IFERROR($D978*(1+$E978),0))</f>
        <v/>
      </c>
    </row>
    <row r="979">
      <c r="G979" s="22">
        <f>IF($A979="","",IFERROR($D979*(1+$E979),0))</f>
        <v/>
      </c>
    </row>
    <row r="980">
      <c r="G980" s="22">
        <f>IF($A980="","",IFERROR($D980*(1+$E980),0))</f>
        <v/>
      </c>
    </row>
    <row r="981">
      <c r="G981" s="22">
        <f>IF($A981="","",IFERROR($D981*(1+$E981),0))</f>
        <v/>
      </c>
    </row>
    <row r="982">
      <c r="G982" s="22">
        <f>IF($A982="","",IFERROR($D982*(1+$E982),0))</f>
        <v/>
      </c>
    </row>
    <row r="983">
      <c r="G983" s="22">
        <f>IF($A983="","",IFERROR($D983*(1+$E983),0))</f>
        <v/>
      </c>
    </row>
    <row r="984">
      <c r="G984" s="22">
        <f>IF($A984="","",IFERROR($D984*(1+$E984),0))</f>
        <v/>
      </c>
    </row>
    <row r="985">
      <c r="G985" s="22">
        <f>IF($A985="","",IFERROR($D985*(1+$E985),0))</f>
        <v/>
      </c>
    </row>
    <row r="986">
      <c r="G986" s="22">
        <f>IF($A986="","",IFERROR($D986*(1+$E986),0))</f>
        <v/>
      </c>
    </row>
    <row r="987">
      <c r="G987" s="22">
        <f>IF($A987="","",IFERROR($D987*(1+$E987),0))</f>
        <v/>
      </c>
    </row>
    <row r="988">
      <c r="G988" s="22">
        <f>IF($A988="","",IFERROR($D988*(1+$E988),0))</f>
        <v/>
      </c>
    </row>
    <row r="989">
      <c r="G989" s="22">
        <f>IF($A989="","",IFERROR($D989*(1+$E989),0))</f>
        <v/>
      </c>
    </row>
    <row r="990">
      <c r="G990" s="22">
        <f>IF($A990="","",IFERROR($D990*(1+$E990),0))</f>
        <v/>
      </c>
    </row>
    <row r="991">
      <c r="G991" s="22">
        <f>IF($A991="","",IFERROR($D991*(1+$E991),0))</f>
        <v/>
      </c>
    </row>
    <row r="992">
      <c r="G992" s="22">
        <f>IF($A992="","",IFERROR($D992*(1+$E992),0))</f>
        <v/>
      </c>
    </row>
    <row r="993">
      <c r="G993" s="22">
        <f>IF($A993="","",IFERROR($D993*(1+$E993),0))</f>
        <v/>
      </c>
    </row>
    <row r="994">
      <c r="G994" s="22">
        <f>IF($A994="","",IFERROR($D994*(1+$E994),0))</f>
        <v/>
      </c>
    </row>
    <row r="995">
      <c r="G995" s="22">
        <f>IF($A995="","",IFERROR($D995*(1+$E995),0))</f>
        <v/>
      </c>
    </row>
    <row r="996">
      <c r="G996" s="22">
        <f>IF($A996="","",IFERROR($D996*(1+$E996),0))</f>
        <v/>
      </c>
    </row>
    <row r="997">
      <c r="G997" s="22">
        <f>IF($A997="","",IFERROR($D997*(1+$E997),0))</f>
        <v/>
      </c>
    </row>
    <row r="998">
      <c r="G998" s="22">
        <f>IF($A998="","",IFERROR($D998*(1+$E998),0))</f>
        <v/>
      </c>
    </row>
    <row r="999">
      <c r="G999" s="22">
        <f>IF($A999="","",IFERROR($D999*(1+$E999),0))</f>
        <v/>
      </c>
    </row>
    <row r="1000">
      <c r="G1000" s="22">
        <f>IF($A1000="","",IFERROR($D1000*(1+$E1000),0))</f>
        <v/>
      </c>
    </row>
    <row r="1001">
      <c r="G1001" s="22">
        <f>IF($A1001="","",IFERROR($D1001*(1+$E1001),0))</f>
        <v/>
      </c>
    </row>
    <row r="1002">
      <c r="G1002" s="22">
        <f>IF($A1002="","",IFERROR($D1002*(1+$E1002),0))</f>
        <v/>
      </c>
    </row>
    <row r="1003">
      <c r="G1003" s="22">
        <f>IF($A1003="","",IFERROR($D1003*(1+$E1003),0))</f>
        <v/>
      </c>
    </row>
    <row r="1004">
      <c r="G1004" s="22">
        <f>IF($A1004="","",IFERROR($D1004*(1+$E1004),0))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B14">
    <cfRule type="expression" priority="1" dxfId="0">
      <formula>ISNUMBER(SEARCH("ALARM",B14))</formula>
    </cfRule>
    <cfRule type="expression" priority="2" dxfId="1">
      <formula>ISNUMBER(SEARCH("TAM",B14))</formula>
    </cfRule>
  </conditionalFormatting>
  <conditionalFormatting sqref="B13">
    <cfRule type="cellIs" priority="3" operator="greaterThan" dxfId="0">
      <formula>0.01</formula>
    </cfRule>
  </conditionalFormatting>
  <conditionalFormatting sqref="D6:D9">
    <cfRule type="cellIs" priority="4" operator="greaterThan" dxfId="2">
      <formula>1</formula>
    </cfRule>
    <cfRule type="cellIs" priority="5" operator="lessThan" dxfId="2">
      <formula>0</formula>
    </cfRule>
  </conditionalFormatting>
  <dataValidations count="4">
    <dataValidation sqref="D6:D9" showDropDown="0" showInputMessage="1" showErrorMessage="1" allowBlank="1" errorTitle="Geçersiz" error="0–1 aralığında." promptTitle="Oran" prompt="0–1 arası bileşim oranı." type="decimal" errorStyle="stop" operator="between">
      <formula1>0</formula1>
      <formula2>1</formula2>
    </dataValidation>
    <dataValidation sqref="E6:E9" showDropDown="0" showInputMessage="1" showErrorMessage="1" allowBlank="1" errorTitle="Geçersiz" error="0–1 aralığında." promptTitle="Fire" prompt="Fire/bertaraf oranı 0–1." type="decimal" errorStyle="stop" operator="between">
      <formula1>0</formula1>
      <formula2>1</formula2>
    </dataValidation>
    <dataValidation sqref="B15" showDropDown="0" showInputMessage="1" showErrorMessage="1" allowBlank="1" errorTitle="Geçersiz" error="Listeden seçin." promptTitle="Versiyon" prompt="V1 veya V0 seçin." type="list" errorStyle="stop">
      <formula1>ListeVersiyon</formula1>
    </dataValidation>
    <dataValidation sqref="F6:F9" showDropDown="0" showInputMessage="1" showErrorMessage="1" allowBlank="1" errorTitle="Geçersiz" error="Listeden seçin." promptTitle="Versiyon" prompt="Satır versiyonu." type="list" errorStyle="stop">
      <formula1>ListeVersiyon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8064A2"/>
    <outlinePr summaryBelow="1" summaryRight="1"/>
    <pageSetUpPr/>
  </sheetPr>
  <dimension ref="A1:AD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10" customWidth="1" min="4" max="4"/>
    <col width="28" customWidth="1" min="5" max="5"/>
    <col width="10" customWidth="1" min="6" max="6"/>
    <col width="2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MOTOR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2" customHeight="1">
      <c r="A3" s="228" t="inlineStr">
        <is>
          <t>Navlun maliyet + hat yatırım motoru</t>
        </is>
      </c>
    </row>
    <row r="4">
      <c r="A4" s="4" t="inlineStr">
        <is>
          <t>Hammadde/işçilik/ambalaj/genel gider kırılımı; dönüşüm AYARLAR'dan.</t>
        </is>
      </c>
    </row>
    <row r="5"/>
    <row r="6" ht="30" customHeight="1">
      <c r="A6" s="20" t="inlineStr">
        <is>
          <t>adim</t>
        </is>
      </c>
      <c r="B6" s="20" t="inlineStr">
        <is>
          <t>ad</t>
        </is>
      </c>
      <c r="C6" s="20" t="inlineStr">
        <is>
          <t>formul</t>
        </is>
      </c>
      <c r="D6" s="20" t="inlineStr">
        <is>
          <t>birim</t>
        </is>
      </c>
      <c r="E6" s="20" t="inlineStr">
        <is>
          <t>aciklama</t>
        </is>
      </c>
      <c r="F6" s="20" t="inlineStr">
        <is>
          <t>kaynak</t>
        </is>
      </c>
      <c r="G6" s="20" t="inlineStr">
        <is>
          <t>deger</t>
        </is>
      </c>
    </row>
    <row r="7">
      <c r="A7" s="34" t="n">
        <v>1</v>
      </c>
      <c r="B7" s="35" t="inlineStr">
        <is>
          <t>Sefer km</t>
        </is>
      </c>
      <c r="C7" s="36">
        <f>IFERROR(GIRDI!B8,0)</f>
        <v/>
      </c>
      <c r="D7" s="37" t="inlineStr">
        <is>
          <t>km</t>
        </is>
      </c>
      <c r="E7" s="6" t="inlineStr">
        <is>
          <t>Tek yön mesafe</t>
        </is>
      </c>
      <c r="F7" s="38" t="inlineStr">
        <is>
          <t>SFN</t>
        </is>
      </c>
      <c r="G7" s="19">
        <f>IFERROR(GIRDI!B8,0)</f>
        <v/>
      </c>
    </row>
    <row r="8">
      <c r="A8" s="34" t="n">
        <v>2</v>
      </c>
      <c r="B8" s="35" t="inlineStr">
        <is>
          <t>Yük ton</t>
        </is>
      </c>
      <c r="C8" s="36">
        <f>IFERROR(GIRDI!B10,0)</f>
        <v/>
      </c>
      <c r="D8" s="37" t="inlineStr">
        <is>
          <t>ton</t>
        </is>
      </c>
      <c r="E8" s="6" t="inlineStr">
        <is>
          <t>Taşınan tonaj</t>
        </is>
      </c>
      <c r="F8" s="38" t="inlineStr">
        <is>
          <t>SFN</t>
        </is>
      </c>
      <c r="G8" s="19">
        <f>IFERROR(GIRDI!B10,0)</f>
        <v/>
      </c>
    </row>
    <row r="9">
      <c r="A9" s="34" t="n">
        <v>3</v>
      </c>
      <c r="B9" s="35" t="inlineStr">
        <is>
          <t>Dönüş yükü oranı</t>
        </is>
      </c>
      <c r="C9" s="39">
        <f>IFERROR(GIRDI!B11,0)</f>
        <v/>
      </c>
      <c r="D9" s="37" t="inlineStr">
        <is>
          <t>oran</t>
        </is>
      </c>
      <c r="E9" s="6" t="inlineStr">
        <is>
          <t>Dönüş doluluk</t>
        </is>
      </c>
      <c r="F9" s="38" t="inlineStr">
        <is>
          <t>SFN</t>
        </is>
      </c>
      <c r="G9" s="31">
        <f>IFERROR(GIRDI!B11,0)</f>
        <v/>
      </c>
    </row>
    <row r="10">
      <c r="A10" s="34" t="n">
        <v>4</v>
      </c>
      <c r="B10" s="35" t="inlineStr">
        <is>
          <t>Hedef marj</t>
        </is>
      </c>
      <c r="C10" s="39">
        <f>IFERROR(GIRDI!B12,0)</f>
        <v/>
      </c>
      <c r="D10" s="37" t="inlineStr">
        <is>
          <t>oran</t>
        </is>
      </c>
      <c r="E10" s="6" t="inlineStr">
        <is>
          <t>Teklif marjı</t>
        </is>
      </c>
      <c r="F10" s="38" t="inlineStr">
        <is>
          <t>SFN</t>
        </is>
      </c>
      <c r="G10" s="31">
        <f>IFERROR(GIRDI!B12,0)</f>
        <v/>
      </c>
    </row>
    <row r="11">
      <c r="A11" s="34" t="n">
        <v>5</v>
      </c>
      <c r="B11" s="35" t="inlineStr">
        <is>
          <t>Yıllık sefer</t>
        </is>
      </c>
      <c r="C11" s="36">
        <f>IFERROR(GIRDI!B13,0)</f>
        <v/>
      </c>
      <c r="D11" s="37" t="inlineStr">
        <is>
          <t>adet</t>
        </is>
      </c>
      <c r="E11" s="6" t="inlineStr">
        <is>
          <t>OPEX sefer</t>
        </is>
      </c>
      <c r="F11" s="38" t="inlineStr">
        <is>
          <t>SFN</t>
        </is>
      </c>
      <c r="G11" s="19">
        <f>IFERROR(GIRDI!B13,0)</f>
        <v/>
      </c>
    </row>
    <row r="12">
      <c r="A12" s="34" t="n">
        <v>6</v>
      </c>
      <c r="B12" s="35" t="inlineStr">
        <is>
          <t>CAPEX / YATIRIM</t>
        </is>
      </c>
      <c r="C12" s="40">
        <f>IFERROR(GIRDI!B14,0)</f>
        <v/>
      </c>
      <c r="D12" s="37" t="inlineStr">
        <is>
          <t>TL</t>
        </is>
      </c>
      <c r="E12" s="6" t="inlineStr">
        <is>
          <t>Hat yatırımı</t>
        </is>
      </c>
      <c r="F12" s="38" t="inlineStr">
        <is>
          <t>SFN</t>
        </is>
      </c>
      <c r="G12" s="18">
        <f>IFERROR(GIRDI!B14,0)</f>
        <v/>
      </c>
    </row>
    <row r="13">
      <c r="A13" s="34" t="n">
        <v>7</v>
      </c>
      <c r="B13" s="35" t="inlineStr">
        <is>
          <t>WACC</t>
        </is>
      </c>
      <c r="C13" s="39">
        <f>IFERROR(GIRDI!B15,0)</f>
        <v/>
      </c>
      <c r="D13" s="37" t="inlineStr">
        <is>
          <t>oran</t>
        </is>
      </c>
      <c r="E13" s="6" t="inlineStr">
        <is>
          <t>İskonto</t>
        </is>
      </c>
      <c r="F13" s="38" t="inlineStr">
        <is>
          <t>SFN</t>
        </is>
      </c>
      <c r="G13" s="31">
        <f>IFERROR(GIRDI!B15,0)</f>
        <v/>
      </c>
    </row>
    <row r="14">
      <c r="A14" s="34" t="n">
        <v>8</v>
      </c>
      <c r="B14" s="35" t="inlineStr">
        <is>
          <t>NPV dönem</t>
        </is>
      </c>
      <c r="C14" s="36">
        <f>IFERROR(GIRDI!B16,0)</f>
        <v/>
      </c>
      <c r="D14" s="37" t="inlineStr">
        <is>
          <t>adet</t>
        </is>
      </c>
      <c r="E14" s="6" t="inlineStr">
        <is>
          <t>Yıl</t>
        </is>
      </c>
      <c r="F14" s="38" t="inlineStr">
        <is>
          <t>SFN</t>
        </is>
      </c>
      <c r="G14" s="19">
        <f>IFERROR(GIRDI!B16,0)</f>
        <v/>
      </c>
    </row>
    <row r="15">
      <c r="A15" s="34" t="n">
        <v>9</v>
      </c>
      <c r="B15" s="35" t="inlineStr">
        <is>
          <t>Kredi faiz</t>
        </is>
      </c>
      <c r="C15" s="39">
        <f>IFERROR(GIRDI!B17,0)</f>
        <v/>
      </c>
      <c r="D15" s="37" t="inlineStr">
        <is>
          <t>oran</t>
        </is>
      </c>
      <c r="E15" s="6" t="inlineStr">
        <is>
          <t>Kredi</t>
        </is>
      </c>
      <c r="F15" s="38" t="inlineStr">
        <is>
          <t>SFN</t>
        </is>
      </c>
      <c r="G15" s="31">
        <f>IFERROR(GIRDI!B17,0)</f>
        <v/>
      </c>
    </row>
    <row r="16">
      <c r="A16" s="34" t="n">
        <v>10</v>
      </c>
      <c r="B16" s="35" t="inlineStr">
        <is>
          <t>Öz kaynak oranı</t>
        </is>
      </c>
      <c r="C16" s="39">
        <f>IFERROR(GIRDI!B18,0)</f>
        <v/>
      </c>
      <c r="D16" s="37" t="inlineStr">
        <is>
          <t>oran</t>
        </is>
      </c>
      <c r="E16" s="6" t="inlineStr">
        <is>
          <t>Öz kaynak</t>
        </is>
      </c>
      <c r="F16" s="38" t="inlineStr">
        <is>
          <t>SFN</t>
        </is>
      </c>
      <c r="G16" s="31">
        <f>IFERROR(GIRDI!B18,0)</f>
        <v/>
      </c>
    </row>
    <row r="17">
      <c r="A17" s="34" t="n">
        <v>11</v>
      </c>
      <c r="B17" s="35" t="inlineStr">
        <is>
          <t>Yakıt ₺/L</t>
        </is>
      </c>
      <c r="C17" s="40">
        <f>IFERROR(HAMMADDE!B14,0)</f>
        <v/>
      </c>
      <c r="D17" s="37" t="inlineStr">
        <is>
          <t>TL</t>
        </is>
      </c>
      <c r="E17" s="6" t="inlineStr">
        <is>
          <t>Hammadde fiyat</t>
        </is>
      </c>
      <c r="F17" s="38" t="inlineStr">
        <is>
          <t>SFN</t>
        </is>
      </c>
      <c r="G17" s="18">
        <f>IFERROR(HAMMADDE!B14,0)</f>
        <v/>
      </c>
    </row>
    <row r="18">
      <c r="A18" s="34" t="n">
        <v>12</v>
      </c>
      <c r="B18" s="35" t="inlineStr">
        <is>
          <t>Tüketim L/100</t>
        </is>
      </c>
      <c r="C18" s="39">
        <f>IFERROR(HAMMADDE!B18,0)</f>
        <v/>
      </c>
      <c r="D18" s="37" t="inlineStr">
        <is>
          <t>oran</t>
        </is>
      </c>
      <c r="E18" s="6" t="inlineStr">
        <is>
          <t>Tüketim</t>
        </is>
      </c>
      <c r="F18" s="38" t="inlineStr">
        <is>
          <t>SFN</t>
        </is>
      </c>
      <c r="G18" s="31">
        <f>IFERROR(HAMMADDE!B18,0)</f>
        <v/>
      </c>
    </row>
    <row r="19">
      <c r="A19" s="34" t="n">
        <v>13</v>
      </c>
      <c r="B19" s="35" t="inlineStr">
        <is>
          <t>L/km katsayı</t>
        </is>
      </c>
      <c r="C19" s="39">
        <f>IFERROR(INDEX(tblDonusum[katsayi],MATCH("L100_to_Lkm",tblDonusum[donusum_id],0)),0)</f>
        <v/>
      </c>
      <c r="D19" s="37" t="inlineStr">
        <is>
          <t>oran</t>
        </is>
      </c>
      <c r="E19" s="6" t="inlineStr">
        <is>
          <t>AYARLAR dönüşüm</t>
        </is>
      </c>
      <c r="F19" s="38" t="inlineStr">
        <is>
          <t>SFN</t>
        </is>
      </c>
      <c r="G19" s="31">
        <f>IFERROR(INDEX(tblDonusum[katsayi],MATCH("L100_to_Lkm",tblDonusum[donusum_id],0)),0)</f>
        <v/>
      </c>
    </row>
    <row r="20">
      <c r="A20" s="34" t="n">
        <v>14</v>
      </c>
      <c r="B20" s="35" t="inlineStr">
        <is>
          <t>Yakıt L/km</t>
        </is>
      </c>
      <c r="C20" s="39">
        <f>IFERROR(G18*G19,0)</f>
        <v/>
      </c>
      <c r="D20" s="37" t="inlineStr">
        <is>
          <t>oran</t>
        </is>
      </c>
      <c r="E20" s="6" t="inlineStr">
        <is>
          <t>Tüketim×katsayı</t>
        </is>
      </c>
      <c r="F20" s="38" t="inlineStr">
        <is>
          <t>SFN</t>
        </is>
      </c>
      <c r="G20" s="31">
        <f>IFERROR(G18*G19,0)</f>
        <v/>
      </c>
    </row>
    <row r="21">
      <c r="A21" s="34" t="n">
        <v>15</v>
      </c>
      <c r="B21" s="35" t="inlineStr">
        <is>
          <t>Fire boş km</t>
        </is>
      </c>
      <c r="C21" s="39">
        <f>IFERROR(HAMMADDE!B19,0)</f>
        <v/>
      </c>
      <c r="D21" s="37" t="inlineStr">
        <is>
          <t>oran</t>
        </is>
      </c>
      <c r="E21" s="6" t="inlineStr">
        <is>
          <t>Fire kolonu</t>
        </is>
      </c>
      <c r="F21" s="38" t="inlineStr">
        <is>
          <t>SFN</t>
        </is>
      </c>
      <c r="G21" s="31">
        <f>IFERROR(HAMMADDE!B19,0)</f>
        <v/>
      </c>
    </row>
    <row r="22">
      <c r="A22" s="34" t="n">
        <v>16</v>
      </c>
      <c r="B22" s="35" t="inlineStr">
        <is>
          <t>Gidiş-dönüş km</t>
        </is>
      </c>
      <c r="C22" s="36">
        <f>IFERROR(G7*sfn_gidisDonus,0)</f>
        <v/>
      </c>
      <c r="D22" s="37" t="inlineStr">
        <is>
          <t>km</t>
        </is>
      </c>
      <c r="E22" s="6" t="inlineStr">
        <is>
          <t>Çift yön</t>
        </is>
      </c>
      <c r="F22" s="38" t="inlineStr">
        <is>
          <t>SFN</t>
        </is>
      </c>
      <c r="G22" s="19">
        <f>IFERROR(G7*sfn_gidisDonus,0)</f>
        <v/>
      </c>
    </row>
    <row r="23">
      <c r="A23" s="34" t="n">
        <v>17</v>
      </c>
      <c r="B23" s="35" t="inlineStr">
        <is>
          <t>Hammadde yakıt TL</t>
        </is>
      </c>
      <c r="C23" s="40">
        <f>IFERROR(ROUND(G22*G20*G17*(1+G21),MAX(0,MIN(sfn_yuvarMax,IFERROR(N(G12),0)))),0)</f>
        <v/>
      </c>
      <c r="D23" s="37" t="inlineStr">
        <is>
          <t>TL</t>
        </is>
      </c>
      <c r="E23" s="6" t="inlineStr">
        <is>
          <t>Yakıt×km×fire</t>
        </is>
      </c>
      <c r="F23" s="38" t="inlineStr">
        <is>
          <t>SFN</t>
        </is>
      </c>
      <c r="G23" s="18">
        <f>IFERROR(ROUND(G22*G20*G17*(1+G21),MAX(0,MIN(sfn_yuvarMax,IFERROR(N(G12),0)))),0)</f>
        <v/>
      </c>
    </row>
    <row r="24">
      <c r="A24" s="34" t="n">
        <v>18</v>
      </c>
      <c r="B24" s="35" t="inlineStr">
        <is>
          <t>İşçilik ₺/saat</t>
        </is>
      </c>
      <c r="C24" s="40">
        <f>IFERROR(HAMMADDE!B15,0)</f>
        <v/>
      </c>
      <c r="D24" s="37" t="inlineStr">
        <is>
          <t>TL</t>
        </is>
      </c>
      <c r="E24" s="6" t="inlineStr">
        <is>
          <t>Şoför ücreti</t>
        </is>
      </c>
      <c r="F24" s="38" t="inlineStr">
        <is>
          <t>SFN</t>
        </is>
      </c>
      <c r="G24" s="18">
        <f>IFERROR(HAMMADDE!B15,0)</f>
        <v/>
      </c>
    </row>
    <row r="25">
      <c r="A25" s="34" t="n">
        <v>19</v>
      </c>
      <c r="B25" s="35" t="inlineStr">
        <is>
          <t>İşçilik süre saat</t>
        </is>
      </c>
      <c r="C25" s="70">
        <f>IFERROR(IF(sfn_kmSaat=0,0,G7/sfn_kmSaat),0)</f>
        <v/>
      </c>
      <c r="D25" s="37" t="inlineStr">
        <is>
          <t>saat</t>
        </is>
      </c>
      <c r="E25" s="6" t="inlineStr">
        <is>
          <t>Süre</t>
        </is>
      </c>
      <c r="F25" s="38" t="inlineStr">
        <is>
          <t>SFN</t>
        </is>
      </c>
      <c r="G25" s="69">
        <f>IFERROR(IF(sfn_kmSaat=0,0,G7/sfn_kmSaat),0)</f>
        <v/>
      </c>
    </row>
    <row r="26">
      <c r="A26" s="34" t="n">
        <v>20</v>
      </c>
      <c r="B26" s="35" t="inlineStr">
        <is>
          <t>İşçilik TL</t>
        </is>
      </c>
      <c r="C26" s="40">
        <f>IFERROR(ROUND(G24*G25,MAX(0,MIN(sfn_yuvarMax,IFERROR(N(G12),0)))),0)</f>
        <v/>
      </c>
      <c r="D26" s="37" t="inlineStr">
        <is>
          <t>TL</t>
        </is>
      </c>
      <c r="E26" s="6" t="inlineStr">
        <is>
          <t>İşçilik</t>
        </is>
      </c>
      <c r="F26" s="38" t="inlineStr">
        <is>
          <t>SFN</t>
        </is>
      </c>
      <c r="G26" s="18">
        <f>IFERROR(ROUND(G24*G25,MAX(0,MIN(sfn_yuvarMax,IFERROR(N(G12),0)))),0)</f>
        <v/>
      </c>
    </row>
    <row r="27">
      <c r="A27" s="34" t="n">
        <v>21</v>
      </c>
      <c r="B27" s="35" t="inlineStr">
        <is>
          <t>Ambalaj TL</t>
        </is>
      </c>
      <c r="C27" s="40">
        <f>IFERROR(ROUND(HAMMADDE!B16*(1+IFERROR(INDEX(tblHammadde[fire],MATCH("HM-03",tblHammadde[kalem_id],0)),0)),MAX(0,MIN(sfn_yuvarMax,IFERROR(N(G12),0)))),0)</f>
        <v/>
      </c>
      <c r="D27" s="37" t="inlineStr">
        <is>
          <t>TL</t>
        </is>
      </c>
      <c r="E27" s="6" t="inlineStr">
        <is>
          <t>Ambalaj+fire</t>
        </is>
      </c>
      <c r="F27" s="38" t="inlineStr">
        <is>
          <t>SFN</t>
        </is>
      </c>
      <c r="G27" s="18">
        <f>IFERROR(ROUND(HAMMADDE!B16*(1+IFERROR(INDEX(tblHammadde[fire],MATCH("HM-03",tblHammadde[kalem_id],0)),0)),MAX(0,MIN(sfn_yuvarMax,IFERROR(N(G12),0)))),0)</f>
        <v/>
      </c>
    </row>
    <row r="28">
      <c r="A28" s="34" t="n">
        <v>22</v>
      </c>
      <c r="B28" s="35" t="inlineStr">
        <is>
          <t>Genel gider TL</t>
        </is>
      </c>
      <c r="C28" s="40">
        <f>IFERROR(ROUND(HAMMADDE!B17*G22,MAX(0,MIN(sfn_yuvarMax,IFERROR(N(G12),0)))),0)</f>
        <v/>
      </c>
      <c r="D28" s="37" t="inlineStr">
        <is>
          <t>TL</t>
        </is>
      </c>
      <c r="E28" s="6" t="inlineStr">
        <is>
          <t>Genel×km</t>
        </is>
      </c>
      <c r="F28" s="38" t="inlineStr">
        <is>
          <t>SFN</t>
        </is>
      </c>
      <c r="G28" s="18">
        <f>IFERROR(ROUND(HAMMADDE!B17*G22,MAX(0,MIN(sfn_yuvarMax,IFERROR(N(G12),0)))),0)</f>
        <v/>
      </c>
    </row>
    <row r="29">
      <c r="A29" s="34" t="n">
        <v>23</v>
      </c>
      <c r="B29" s="35" t="inlineStr">
        <is>
          <t>Brüt sefer maliyet</t>
        </is>
      </c>
      <c r="C29" s="40">
        <f>IFERROR(G23+G26+G27+G28,0)</f>
        <v/>
      </c>
      <c r="D29" s="37" t="inlineStr">
        <is>
          <t>TL</t>
        </is>
      </c>
      <c r="E29" s="6" t="inlineStr">
        <is>
          <t>Hammadde+işçilik+ambalaj+genel</t>
        </is>
      </c>
      <c r="F29" s="38" t="inlineStr">
        <is>
          <t>SFN</t>
        </is>
      </c>
      <c r="G29" s="18">
        <f>IFERROR(G23+G26+G27+G28,0)</f>
        <v/>
      </c>
    </row>
    <row r="30">
      <c r="A30" s="34" t="n">
        <v>24</v>
      </c>
      <c r="B30" s="35" t="inlineStr">
        <is>
          <t>Hammadde pay TL</t>
        </is>
      </c>
      <c r="C30" s="40">
        <f>IFERROR(G23,0)</f>
        <v/>
      </c>
      <c r="D30" s="37" t="inlineStr">
        <is>
          <t>TL</t>
        </is>
      </c>
      <c r="E30" s="6" t="inlineStr">
        <is>
          <t>Kırılım hammadde</t>
        </is>
      </c>
      <c r="F30" s="38" t="inlineStr">
        <is>
          <t>SFN</t>
        </is>
      </c>
      <c r="G30" s="18">
        <f>IFERROR(G23,0)</f>
        <v/>
      </c>
    </row>
    <row r="31">
      <c r="A31" s="34" t="n">
        <v>25</v>
      </c>
      <c r="B31" s="35" t="inlineStr">
        <is>
          <t>İşçilik pay TL</t>
        </is>
      </c>
      <c r="C31" s="40">
        <f>IFERROR(G26,0)</f>
        <v/>
      </c>
      <c r="D31" s="37" t="inlineStr">
        <is>
          <t>TL</t>
        </is>
      </c>
      <c r="E31" s="6" t="inlineStr">
        <is>
          <t>Kırılım işçilik</t>
        </is>
      </c>
      <c r="F31" s="38" t="inlineStr">
        <is>
          <t>SFN</t>
        </is>
      </c>
      <c r="G31" s="18">
        <f>IFERROR(G26,0)</f>
        <v/>
      </c>
    </row>
    <row r="32">
      <c r="A32" s="34" t="n">
        <v>26</v>
      </c>
      <c r="B32" s="35" t="inlineStr">
        <is>
          <t>Ambalaj pay TL</t>
        </is>
      </c>
      <c r="C32" s="40">
        <f>IFERROR(G27,0)</f>
        <v/>
      </c>
      <c r="D32" s="37" t="inlineStr">
        <is>
          <t>TL</t>
        </is>
      </c>
      <c r="E32" s="6" t="inlineStr">
        <is>
          <t>Kırılım ambalaj</t>
        </is>
      </c>
      <c r="F32" s="38" t="inlineStr">
        <is>
          <t>SFN</t>
        </is>
      </c>
      <c r="G32" s="18">
        <f>IFERROR(G27,0)</f>
        <v/>
      </c>
    </row>
    <row r="33">
      <c r="A33" s="34" t="n">
        <v>27</v>
      </c>
      <c r="B33" s="35" t="inlineStr">
        <is>
          <t>Genel gider pay TL</t>
        </is>
      </c>
      <c r="C33" s="40">
        <f>IFERROR(G28,0)</f>
        <v/>
      </c>
      <c r="D33" s="37" t="inlineStr">
        <is>
          <t>TL</t>
        </is>
      </c>
      <c r="E33" s="6" t="inlineStr">
        <is>
          <t>Kırılım genel</t>
        </is>
      </c>
      <c r="F33" s="38" t="inlineStr">
        <is>
          <t>SFN</t>
        </is>
      </c>
      <c r="G33" s="18">
        <f>IFERROR(G28,0)</f>
        <v/>
      </c>
    </row>
    <row r="34">
      <c r="A34" s="34" t="n">
        <v>28</v>
      </c>
      <c r="B34" s="35" t="inlineStr">
        <is>
          <t>Birim maliyet kontrol</t>
        </is>
      </c>
      <c r="C34" s="40">
        <f>IFERROR(IF(FALSE(),"HAMMADDE+ISCILIK+AMBALAJ+GENEL",G30+G31+G32+G33),0)</f>
        <v/>
      </c>
      <c r="D34" s="37" t="inlineStr">
        <is>
          <t>TL</t>
        </is>
      </c>
      <c r="E34" s="6" t="inlineStr">
        <is>
          <t>Kırılım toplam=birim maliyet</t>
        </is>
      </c>
      <c r="F34" s="38" t="inlineStr">
        <is>
          <t>SFN</t>
        </is>
      </c>
      <c r="G34" s="18">
        <f>IFERROR(IF(FALSE(),"HAMMADDE+ISCILIK+AMBALAJ+GENEL",G30+G31+G32+G33),0)</f>
        <v/>
      </c>
    </row>
    <row r="35">
      <c r="A35" s="34" t="n">
        <v>29</v>
      </c>
      <c r="B35" s="35" t="inlineStr">
        <is>
          <t>Birim maliyet</t>
        </is>
      </c>
      <c r="C35" s="40">
        <f>IFERROR(G29,0)</f>
        <v/>
      </c>
      <c r="D35" s="37" t="inlineStr">
        <is>
          <t>TL</t>
        </is>
      </c>
      <c r="E35" s="6" t="inlineStr">
        <is>
          <t>Sefer birim maliyet</t>
        </is>
      </c>
      <c r="F35" s="38" t="inlineStr">
        <is>
          <t>SFN</t>
        </is>
      </c>
      <c r="G35" s="18">
        <f>IFERROR(G29,0)</f>
        <v/>
      </c>
    </row>
    <row r="36">
      <c r="A36" s="34" t="n">
        <v>30</v>
      </c>
      <c r="B36" s="35" t="inlineStr">
        <is>
          <t>Dönüş yükü katkısı</t>
        </is>
      </c>
      <c r="C36" s="40">
        <f>IFERROR(ROUND(G35*G9*sfn_donusCarpan,MAX(0,MIN(sfn_yuvarMax,IFERROR(N(G12),0)))),0)</f>
        <v/>
      </c>
      <c r="D36" s="37" t="inlineStr">
        <is>
          <t>TL</t>
        </is>
      </c>
      <c r="E36" s="6" t="inlineStr">
        <is>
          <t>Dönüş gelir katkısı</t>
        </is>
      </c>
      <c r="F36" s="38" t="inlineStr">
        <is>
          <t>SFN</t>
        </is>
      </c>
      <c r="G36" s="18">
        <f>IFERROR(ROUND(G35*G9*sfn_donusCarpan,MAX(0,MIN(sfn_yuvarMax,IFERROR(N(G12),0)))),0)</f>
        <v/>
      </c>
    </row>
    <row r="37">
      <c r="A37" s="34" t="n">
        <v>31</v>
      </c>
      <c r="B37" s="35" t="inlineStr">
        <is>
          <t>Net navlun</t>
        </is>
      </c>
      <c r="C37" s="40">
        <f>IFERROR(MAX(0,G35-G36),0)</f>
        <v/>
      </c>
      <c r="D37" s="37" t="inlineStr">
        <is>
          <t>TL</t>
        </is>
      </c>
      <c r="E37" s="6" t="inlineStr">
        <is>
          <t>Net maliyet</t>
        </is>
      </c>
      <c r="F37" s="38" t="inlineStr">
        <is>
          <t>SFN</t>
        </is>
      </c>
      <c r="G37" s="18">
        <f>IFERROR(MAX(0,G35-G36),0)</f>
        <v/>
      </c>
    </row>
    <row r="38">
      <c r="A38" s="34" t="n">
        <v>32</v>
      </c>
      <c r="B38" s="35" t="inlineStr">
        <is>
          <t>Önerilen fiyat</t>
        </is>
      </c>
      <c r="C38" s="40">
        <f>IFERROR(IF(G10&gt;=sfn_bazCarpan,0,ROUND(G37/(sfn_bazCarpan-G10),MAX(0,MIN(sfn_yuvarMax,IFERROR(N(G12),0))))),0)</f>
        <v/>
      </c>
      <c r="D38" s="37" t="inlineStr">
        <is>
          <t>TL</t>
        </is>
      </c>
      <c r="E38" s="6" t="inlineStr">
        <is>
          <t>Net÷(1−marj)</t>
        </is>
      </c>
      <c r="F38" s="38" t="inlineStr">
        <is>
          <t>SFN</t>
        </is>
      </c>
      <c r="G38" s="18">
        <f>IFERROR(IF(G10&gt;=sfn_bazCarpan,0,ROUND(G37/(sfn_bazCarpan-G10),MAX(0,MIN(sfn_yuvarMax,IFERROR(N(G12),0))))),0)</f>
        <v/>
      </c>
    </row>
    <row r="39">
      <c r="A39" s="34" t="n">
        <v>33</v>
      </c>
      <c r="B39" s="35" t="inlineStr">
        <is>
          <t>Km başı net</t>
        </is>
      </c>
      <c r="C39" s="40">
        <f>IFERROR(IF(G7=0,0,ROUND(G37/G7,MAX(0,MIN(sfn_yuvarMax,IFERROR(N(G12),0))))),0)</f>
        <v/>
      </c>
      <c r="D39" s="37" t="inlineStr">
        <is>
          <t>TL</t>
        </is>
      </c>
      <c r="E39" s="6" t="inlineStr">
        <is>
          <t>₺/km</t>
        </is>
      </c>
      <c r="F39" s="38" t="inlineStr">
        <is>
          <t>SFN</t>
        </is>
      </c>
      <c r="G39" s="18">
        <f>IFERROR(IF(G7=0,0,ROUND(G37/G7,MAX(0,MIN(sfn_yuvarMax,IFERROR(N(G12),0))))),0)</f>
        <v/>
      </c>
    </row>
    <row r="40">
      <c r="A40" s="34" t="n">
        <v>34</v>
      </c>
      <c r="B40" s="35" t="inlineStr">
        <is>
          <t>Ton başı net</t>
        </is>
      </c>
      <c r="C40" s="40">
        <f>IFERROR(IF(G8=0,0,ROUND(G37/G8,MAX(0,MIN(sfn_yuvarMax,IFERROR(N(G12),0))))),0)</f>
        <v/>
      </c>
      <c r="D40" s="37" t="inlineStr">
        <is>
          <t>TL</t>
        </is>
      </c>
      <c r="E40" s="6" t="inlineStr">
        <is>
          <t>₺/ton</t>
        </is>
      </c>
      <c r="F40" s="38" t="inlineStr">
        <is>
          <t>SFN</t>
        </is>
      </c>
      <c r="G40" s="18">
        <f>IFERROR(IF(G8=0,0,ROUND(G37/G8,MAX(0,MIN(sfn_yuvarMax,IFERROR(N(G12),0))))),0)</f>
        <v/>
      </c>
    </row>
    <row r="41">
      <c r="A41" s="34" t="n">
        <v>35</v>
      </c>
      <c r="B41" s="35" t="inlineStr">
        <is>
          <t>OPEX / ISLETME yıllık</t>
        </is>
      </c>
      <c r="C41" s="40">
        <f>IFERROR(G37*G11,0)</f>
        <v/>
      </c>
      <c r="D41" s="37" t="inlineStr">
        <is>
          <t>TL</t>
        </is>
      </c>
      <c r="E41" s="6" t="inlineStr">
        <is>
          <t>Net×yıllık sefer</t>
        </is>
      </c>
      <c r="F41" s="38" t="inlineStr">
        <is>
          <t>SFN</t>
        </is>
      </c>
      <c r="G41" s="18">
        <f>IFERROR(G37*G11,0)</f>
        <v/>
      </c>
    </row>
    <row r="42">
      <c r="A42" s="34" t="n">
        <v>36</v>
      </c>
      <c r="B42" s="35" t="inlineStr">
        <is>
          <t>Yıllık brüt katkı</t>
        </is>
      </c>
      <c r="C42" s="40">
        <f>IFERROR((G38-G37)*G11,0)</f>
        <v/>
      </c>
      <c r="D42" s="37" t="inlineStr">
        <is>
          <t>TL</t>
        </is>
      </c>
      <c r="E42" s="6" t="inlineStr">
        <is>
          <t>Marj × sefer</t>
        </is>
      </c>
      <c r="F42" s="38" t="inlineStr">
        <is>
          <t>SFN</t>
        </is>
      </c>
      <c r="G42" s="18">
        <f>IFERROR((G38-G37)*G11,0)</f>
        <v/>
      </c>
    </row>
    <row r="43">
      <c r="A43" s="34" t="n">
        <v>37</v>
      </c>
      <c r="B43" s="35" t="inlineStr">
        <is>
          <t>NPV (baz)</t>
        </is>
      </c>
      <c r="C43" s="40">
        <f>IFERROR(IF(OR(G14&lt;=0,G13=""),0,IF(G13=0,ROUND(G42*G14-G12,MAX(0,MIN(sfn_yuvarMax,IFERROR(N(G12),0)))),ROUND(G42*(1-POWER(1+G13,-G14))/G13-G12,MAX(0,MIN(sfn_yuvarMax,IFERROR(N(G12),0)))))),0)</f>
        <v/>
      </c>
      <c r="D43" s="37" t="inlineStr">
        <is>
          <t>TL</t>
        </is>
      </c>
      <c r="E43" s="6" t="inlineStr">
        <is>
          <t>NPV − CAPEX</t>
        </is>
      </c>
      <c r="F43" s="38" t="inlineStr">
        <is>
          <t>SFN</t>
        </is>
      </c>
      <c r="G43" s="18">
        <f>IFERROR(IF(OR(G14&lt;=0,G13=""),0,IF(G13=0,ROUND(G42*G14-G12,MAX(0,MIN(sfn_yuvarMax,IFERROR(N(G12),0)))),ROUND(G42*(1-POWER(1+G13,-G14))/G13-G12,MAX(0,MIN(sfn_yuvarMax,IFERROR(N(G12),0)))))),0)</f>
        <v/>
      </c>
    </row>
    <row r="44">
      <c r="A44" s="34" t="n">
        <v>38</v>
      </c>
      <c r="B44" s="35" t="inlineStr">
        <is>
          <t>IRR yaklaşımı</t>
        </is>
      </c>
      <c r="C44" s="39">
        <f>IFERROR(IF(OR(G12&lt;=0,G42&lt;=0,G14&lt;=0),0,ROUND(G42/G12-sfn_bazCarpan/G14,4)),0)</f>
        <v/>
      </c>
      <c r="D44" s="37" t="inlineStr">
        <is>
          <t>oran</t>
        </is>
      </c>
      <c r="E44" s="6" t="inlineStr">
        <is>
          <t>Kabaca IRR</t>
        </is>
      </c>
      <c r="F44" s="38" t="inlineStr">
        <is>
          <t>SFN</t>
        </is>
      </c>
      <c r="G44" s="31">
        <f>IFERROR(IF(OR(G12&lt;=0,G42&lt;=0,G14&lt;=0),0,ROUND(G42/G12-sfn_bazCarpan/G14,4)),0)</f>
        <v/>
      </c>
    </row>
    <row r="45">
      <c r="A45" s="34" t="n">
        <v>39</v>
      </c>
      <c r="B45" s="35" t="inlineStr">
        <is>
          <t>Bileşim toplam</t>
        </is>
      </c>
      <c r="C45" s="39">
        <f>IFERROR(SUM(tblRecete[oran]),0)</f>
        <v/>
      </c>
      <c r="D45" s="37" t="inlineStr">
        <is>
          <t>oran</t>
        </is>
      </c>
      <c r="E45" s="6" t="inlineStr">
        <is>
          <t>% toplam</t>
        </is>
      </c>
      <c r="F45" s="38" t="inlineStr">
        <is>
          <t>SFN</t>
        </is>
      </c>
      <c r="G45" s="31">
        <f>IFERROR(SUM(tblRecete[oran]),0)</f>
        <v/>
      </c>
    </row>
    <row r="46">
      <c r="A46" s="34" t="n">
        <v>40</v>
      </c>
      <c r="B46" s="35" t="inlineStr">
        <is>
          <t>Bileşim sapma</t>
        </is>
      </c>
      <c r="C46" s="39">
        <f>IFERROR(ABS(G45-sfn_hedefYuzde),0)</f>
        <v/>
      </c>
      <c r="D46" s="37" t="inlineStr">
        <is>
          <t>oran</t>
        </is>
      </c>
      <c r="E46" s="6" t="inlineStr">
        <is>
          <t>Sapma</t>
        </is>
      </c>
      <c r="F46" s="38" t="inlineStr">
        <is>
          <t>SFN</t>
        </is>
      </c>
      <c r="G46" s="31">
        <f>IFERROR(ABS(G45-sfn_hedefYuzde),0)</f>
        <v/>
      </c>
    </row>
    <row r="47">
      <c r="A47" s="34" t="n">
        <v>41</v>
      </c>
      <c r="B47" s="35" t="inlineStr">
        <is>
          <t>Karar kodu</t>
        </is>
      </c>
      <c r="C47" s="42">
        <f>IFERROR(IF(COUNTA(tblGirdi[Alan Anahtarı])=0,"VERI_YOK",IF(OR(G35&lt;=0,G7&lt;=0),"YAPMA",IF(OR(G43&lt;0,G46&gt;sfn_bilesimTolerans),"YAPMA",IF(G43&lt;sfn_npvDikkat,"DIKKAT","YAPILIR")))),"")</f>
        <v/>
      </c>
      <c r="D47" s="37" t="inlineStr">
        <is>
          <t>kod</t>
        </is>
      </c>
      <c r="E47" s="6" t="inlineStr">
        <is>
          <t>Karar kodu</t>
        </is>
      </c>
      <c r="F47" s="38" t="inlineStr">
        <is>
          <t>SFN</t>
        </is>
      </c>
      <c r="G47" s="43">
        <f>IFERROR(IF(COUNTA(tblGirdi[Alan Anahtarı])=0,"VERI_YOK",IF(OR(G35&lt;=0,G7&lt;=0),"YAPMA",IF(OR(G43&lt;0,G46&gt;sfn_bilesimTolerans),"YAPMA",IF(G43&lt;sfn_npvDikkat,"DIKKAT","YAPILIR")))),"")</f>
        <v/>
      </c>
    </row>
    <row r="48">
      <c r="A48" s="34" t="n">
        <v>42</v>
      </c>
      <c r="B48" s="35" t="inlineStr">
        <is>
          <t>Karar metni</t>
        </is>
      </c>
      <c r="C48" s="42">
        <f>IFERROR(IF(G47="VERI_YOK","VERİ YOK",IF(G47="YAPILIR","YATIRIM YAPILIR",IF(G47="DIKKAT","DİKKAT","YATIRIM YAPMA"))),"")</f>
        <v/>
      </c>
      <c r="D48" s="37" t="inlineStr">
        <is>
          <t>metin</t>
        </is>
      </c>
      <c r="E48" s="6" t="inlineStr">
        <is>
          <t>Karar</t>
        </is>
      </c>
      <c r="F48" s="38" t="inlineStr">
        <is>
          <t>SFN</t>
        </is>
      </c>
      <c r="G48" s="43">
        <f>IFERROR(IF(G47="VERI_YOK","VERİ YOK",IF(G47="YAPILIR","YATIRIM YAPILIR",IF(G47="DIKKAT","DİKKAT","YATIRIM YAPMA"))),"")</f>
        <v/>
      </c>
    </row>
    <row r="49">
      <c r="A49" s="34" t="n">
        <v>43</v>
      </c>
      <c r="B49" s="35" t="inlineStr">
        <is>
          <t>Gerekçe</t>
        </is>
      </c>
      <c r="C49" s="42">
        <f>IFERROR(IF(G47="VERI_YOK","Giriş tablosu boş — hesap yapılamaz.",IF(G47="YAPILIR","NPV pozitif ve bileşim tutarlı; hat yatırımı uygun.",IF(G47="DIKKAT","NPV dikkat bandında; yakıt/dönüş yükünü gözden geçirin.","NPV negatif veya bileşim sapması; kötümser/bazda YATIRIM YAPMA."))),"")</f>
        <v/>
      </c>
      <c r="D49" s="37" t="inlineStr">
        <is>
          <t>metin</t>
        </is>
      </c>
      <c r="E49" s="6" t="inlineStr">
        <is>
          <t>Gerekçe</t>
        </is>
      </c>
      <c r="F49" s="38" t="inlineStr">
        <is>
          <t>SFN</t>
        </is>
      </c>
      <c r="G49" s="43">
        <f>IFERROR(IF(G47="VERI_YOK","Giriş tablosu boş — hesap yapılamaz.",IF(G47="YAPILIR","NPV pozitif ve bileşim tutarlı; hat yatırımı uygun.",IF(G47="DIKKAT","NPV dikkat bandında; yakıt/dönüş yükünü gözden geçirin.","NPV negatif veya bileşim sapması; kötümser/bazda YATIRIM YAPMA."))),"")</f>
        <v/>
      </c>
    </row>
    <row r="50">
      <c r="A50" s="34" t="n">
        <v>44</v>
      </c>
      <c r="B50" s="35" t="inlineStr">
        <is>
          <t>Güven skoru</t>
        </is>
      </c>
      <c r="C50" s="36">
        <f>IFERROR(ROUND(IF(OR(COUNTA(GIRDI!B6:B18)=0,sfn_girisBeklenen=0),0,COUNTA(GIRDI!B6:B18)/sfn_girisBeklenen*100),0),0)</f>
        <v/>
      </c>
      <c r="D50" s="37" t="inlineStr">
        <is>
          <t>puan</t>
        </is>
      </c>
      <c r="E50" s="6" t="inlineStr">
        <is>
          <t>Giriş bütünlüğü</t>
        </is>
      </c>
      <c r="F50" s="38" t="inlineStr">
        <is>
          <t>SFN</t>
        </is>
      </c>
      <c r="G50" s="19">
        <f>IFERROR(ROUND(IF(OR(COUNTA(GIRDI!B6:B18)=0,sfn_girisBeklenen=0),0,COUNTA(GIRDI!B6:B18)/sfn_girisBeklenen*100),0),0)</f>
        <v/>
      </c>
    </row>
    <row r="51">
      <c r="A51" s="34" t="n">
        <v>45</v>
      </c>
      <c r="B51" s="35" t="inlineStr">
        <is>
          <t>Risk skoru</t>
        </is>
      </c>
      <c r="C51" s="36">
        <f>IFERROR(IF(G47="VERI_YOK",0,IF(G47="YAPILIR",sfn_riskDusuk,IF(G47="DIKKAT",sfn_riskOrta,sfn_riskYuksek))),0)</f>
        <v/>
      </c>
      <c r="D51" s="37" t="inlineStr">
        <is>
          <t>puan</t>
        </is>
      </c>
      <c r="E51" s="6" t="inlineStr">
        <is>
          <t>Risk</t>
        </is>
      </c>
      <c r="F51" s="38" t="inlineStr">
        <is>
          <t>SFN</t>
        </is>
      </c>
      <c r="G51" s="19">
        <f>IFERROR(IF(G47="VERI_YOK",0,IF(G47="YAPILIR",sfn_riskDusuk,IF(G47="DIKKAT",sfn_riskOrta,sfn_riskYuksek))),0)</f>
        <v/>
      </c>
    </row>
    <row r="52">
      <c r="A52" s="34" t="n">
        <v>46</v>
      </c>
      <c r="B52" s="35" t="inlineStr">
        <is>
          <t>Senaryo iyimser net</t>
        </is>
      </c>
      <c r="C52" s="40">
        <f>IFERROR(ROUND(G37*sfn_senaryoIyi,MAX(0,MIN(sfn_yuvarMax,IFERROR(N(G12),0)))),0)</f>
        <v/>
      </c>
      <c r="D52" s="37" t="inlineStr">
        <is>
          <t>TL</t>
        </is>
      </c>
      <c r="E52" s="6" t="inlineStr">
        <is>
          <t>İyimser maliyet</t>
        </is>
      </c>
      <c r="F52" s="38" t="inlineStr">
        <is>
          <t>SFN</t>
        </is>
      </c>
      <c r="G52" s="18">
        <f>IFERROR(ROUND(G37*sfn_senaryoIyi,MAX(0,MIN(sfn_yuvarMax,IFERROR(N(G12),0)))),0)</f>
        <v/>
      </c>
    </row>
    <row r="53">
      <c r="A53" s="34" t="n">
        <v>47</v>
      </c>
      <c r="B53" s="35" t="inlineStr">
        <is>
          <t>Senaryo kötümser net</t>
        </is>
      </c>
      <c r="C53" s="40">
        <f>IFERROR(ROUND(G37*sfn_senaryoKotu,MAX(0,MIN(sfn_yuvarMax,IFERROR(N(G12),0)))),0)</f>
        <v/>
      </c>
      <c r="D53" s="37" t="inlineStr">
        <is>
          <t>TL</t>
        </is>
      </c>
      <c r="E53" s="6" t="inlineStr">
        <is>
          <t>Kötümser maliyet</t>
        </is>
      </c>
      <c r="F53" s="38" t="inlineStr">
        <is>
          <t>SFN</t>
        </is>
      </c>
      <c r="G53" s="18">
        <f>IFERROR(ROUND(G37*sfn_senaryoKotu,MAX(0,MIN(sfn_yuvarMax,IFERROR(N(G12),0)))),0)</f>
        <v/>
      </c>
    </row>
    <row r="54">
      <c r="A54" s="34" t="n">
        <v>48</v>
      </c>
      <c r="B54" s="35" t="inlineStr">
        <is>
          <t>İyimser NPV</t>
        </is>
      </c>
      <c r="C54" s="40">
        <f>IFERROR(IF(G13=0,ROUND((G38-G52)*G11*G14-G12,MAX(0,MIN(sfn_yuvarMax,IFERROR(N(G12),0)))),ROUND((G38-G52)*G11*(1-POWER(1+G13,-G14))/G13-G12,MAX(0,MIN(sfn_yuvarMax,IFERROR(N(G12),0))))),0)</f>
        <v/>
      </c>
      <c r="D54" s="37" t="inlineStr">
        <is>
          <t>TL</t>
        </is>
      </c>
      <c r="E54" s="6" t="inlineStr">
        <is>
          <t>İyimser NPV</t>
        </is>
      </c>
      <c r="F54" s="38" t="inlineStr">
        <is>
          <t>SFN</t>
        </is>
      </c>
      <c r="G54" s="18">
        <f>IFERROR(IF(G13=0,ROUND((G38-G52)*G11*G14-G12,MAX(0,MIN(sfn_yuvarMax,IFERROR(N(G12),0)))),ROUND((G38-G52)*G11*(1-POWER(1+G13,-G14))/G13-G12,MAX(0,MIN(sfn_yuvarMax,IFERROR(N(G12),0))))),0)</f>
        <v/>
      </c>
    </row>
    <row r="55">
      <c r="A55" s="34" t="n">
        <v>49</v>
      </c>
      <c r="B55" s="35" t="inlineStr">
        <is>
          <t>Kötümser NPV</t>
        </is>
      </c>
      <c r="C55" s="40">
        <f>IFERROR(IF(G13=0,ROUND((G38-G53)*G11*G14-G12,MAX(0,MIN(sfn_yuvarMax,IFERROR(N(G12),0)))),ROUND((G38-G53)*G11*(1-POWER(1+G13,-G14))/G13-G12,MAX(0,MIN(sfn_yuvarMax,IFERROR(N(G12),0))))),0)</f>
        <v/>
      </c>
      <c r="D55" s="37" t="inlineStr">
        <is>
          <t>TL</t>
        </is>
      </c>
      <c r="E55" s="6" t="inlineStr">
        <is>
          <t>Kötümser NPV</t>
        </is>
      </c>
      <c r="F55" s="38" t="inlineStr">
        <is>
          <t>SFN</t>
        </is>
      </c>
      <c r="G55" s="18">
        <f>IFERROR(IF(G13=0,ROUND((G38-G53)*G11*G14-G12,MAX(0,MIN(sfn_yuvarMax,IFERROR(N(G12),0)))),ROUND((G38-G53)*G11*(1-POWER(1+G13,-G14))/G13-G12,MAX(0,MIN(sfn_yuvarMax,IFERROR(N(G12),0))))),0)</f>
        <v/>
      </c>
    </row>
    <row r="56">
      <c r="A56" s="34" t="n">
        <v>50</v>
      </c>
      <c r="B56" s="35" t="inlineStr">
        <is>
          <t>Kötümser karar</t>
        </is>
      </c>
      <c r="C56" s="42">
        <f>IFERROR(IF(COUNTA(tblGirdi[Alan Anahtarı])=0,"VERİ YOK",IF(G55&lt;0,"YATIRIM YAPMA","DİKKAT")),"")</f>
        <v/>
      </c>
      <c r="D56" s="37" t="inlineStr">
        <is>
          <t>metin</t>
        </is>
      </c>
      <c r="E56" s="6" t="inlineStr">
        <is>
          <t>YATIRIM YAPMA yolu</t>
        </is>
      </c>
      <c r="F56" s="38" t="inlineStr">
        <is>
          <t>SFN</t>
        </is>
      </c>
      <c r="G56" s="43">
        <f>IFERROR(IF(COUNTA(tblGirdi[Alan Anahtarı])=0,"VERİ YOK",IF(G55&lt;0,"YATIRIM YAPMA","DİKKAT")),"")</f>
        <v/>
      </c>
    </row>
    <row r="57">
      <c r="A57" s="34" t="n">
        <v>51</v>
      </c>
      <c r="B57" s="35" t="inlineStr">
        <is>
          <t>Tornado: yakıt</t>
        </is>
      </c>
      <c r="C57" s="40">
        <f>IFERROR(ABS(ROUND(G23*sfn_tornadoYakit,MAX(0,MIN(sfn_yuvarMax,IFERROR(N(G12),0))))),0)</f>
        <v/>
      </c>
      <c r="D57" s="37" t="inlineStr">
        <is>
          <t>TL</t>
        </is>
      </c>
      <c r="E57" s="6" t="inlineStr">
        <is>
          <t>Yakıt ±</t>
        </is>
      </c>
      <c r="F57" s="38" t="inlineStr">
        <is>
          <t>SFN</t>
        </is>
      </c>
      <c r="G57" s="18">
        <f>IFERROR(ABS(ROUND(G23*sfn_tornadoYakit,MAX(0,MIN(sfn_yuvarMax,IFERROR(N(G12),0))))),0)</f>
        <v/>
      </c>
    </row>
    <row r="58">
      <c r="A58" s="34" t="n">
        <v>52</v>
      </c>
      <c r="B58" s="35" t="inlineStr">
        <is>
          <t>Tornado: dönüş</t>
        </is>
      </c>
      <c r="C58" s="40">
        <f>IFERROR(ABS(ROUND(G36*sfn_tornadoDonus,MAX(0,MIN(sfn_yuvarMax,IFERROR(N(G12),0))))),0)</f>
        <v/>
      </c>
      <c r="D58" s="37" t="inlineStr">
        <is>
          <t>TL</t>
        </is>
      </c>
      <c r="E58" s="6" t="inlineStr">
        <is>
          <t>Dönüş ±</t>
        </is>
      </c>
      <c r="F58" s="38" t="inlineStr">
        <is>
          <t>SFN</t>
        </is>
      </c>
      <c r="G58" s="18">
        <f>IFERROR(ABS(ROUND(G36*sfn_tornadoDonus,MAX(0,MIN(sfn_yuvarMax,IFERROR(N(G12),0))))),0)</f>
        <v/>
      </c>
    </row>
    <row r="59">
      <c r="A59" s="34" t="n">
        <v>53</v>
      </c>
      <c r="B59" s="35" t="inlineStr">
        <is>
          <t>Tornado: km</t>
        </is>
      </c>
      <c r="C59" s="40">
        <f>IFERROR(ABS(ROUND(G37*sfn_tornadoKm,MAX(0,MIN(sfn_yuvarMax,IFERROR(N(G12),0))))),0)</f>
        <v/>
      </c>
      <c r="D59" s="37" t="inlineStr">
        <is>
          <t>TL</t>
        </is>
      </c>
      <c r="E59" s="6" t="inlineStr">
        <is>
          <t>Km ±</t>
        </is>
      </c>
      <c r="F59" s="38" t="inlineStr">
        <is>
          <t>SFN</t>
        </is>
      </c>
      <c r="G59" s="18">
        <f>IFERROR(ABS(ROUND(G37*sfn_tornadoKm,MAX(0,MIN(sfn_yuvarMax,IFERROR(N(G12),0))))),0)</f>
        <v/>
      </c>
    </row>
    <row r="60">
      <c r="A60" s="34" t="n">
        <v>54</v>
      </c>
      <c r="B60" s="35" t="inlineStr">
        <is>
          <t>Yoğunlaşma yakıt</t>
        </is>
      </c>
      <c r="C60" s="39">
        <f>IFERROR(IF(G35=0,0,G23/G35),0)</f>
        <v/>
      </c>
      <c r="D60" s="37" t="inlineStr">
        <is>
          <t>oran</t>
        </is>
      </c>
      <c r="E60" s="6" t="inlineStr">
        <is>
          <t>Yakıt/brüt</t>
        </is>
      </c>
      <c r="F60" s="38" t="inlineStr">
        <is>
          <t>SFN</t>
        </is>
      </c>
      <c r="G60" s="31">
        <f>IFERROR(IF(G35=0,0,G23/G35),0)</f>
        <v/>
      </c>
    </row>
    <row r="61">
      <c r="A61" s="34" t="n">
        <v>55</v>
      </c>
      <c r="B61" s="35" t="inlineStr">
        <is>
          <t>Kanıt özeti</t>
        </is>
      </c>
      <c r="C61" s="42">
        <f>IFERROR(_xlfn.TEXTJOIN(" · ",TRUE,"Birim=",TEXT(G35,"₺ #,##0"),"Net=",TEXT(G37,"₺ #,##0"),"NPV=",TEXT(G43,"₺ #,##0"),"IRR=",TEXT(G44,"0.0%"),"Karar=",G48),"")</f>
        <v/>
      </c>
      <c r="D61" s="37" t="inlineStr">
        <is>
          <t>metin</t>
        </is>
      </c>
      <c r="E61" s="6" t="inlineStr">
        <is>
          <t>Rapor özeti</t>
        </is>
      </c>
      <c r="F61" s="38" t="inlineStr">
        <is>
          <t>SFN</t>
        </is>
      </c>
      <c r="G61" s="43">
        <f>IFERROR(_xlfn.TEXTJOIN(" · ",TRUE,"Birim=",TEXT(G35,"₺ #,##0"),"Net=",TEXT(G37,"₺ #,##0"),"NPV=",TEXT(G43,"₺ #,##0"),"IRR=",TEXT(G44,"0.0%"),"Karar=",G48),"")</f>
        <v/>
      </c>
    </row>
    <row r="62">
      <c r="A62" s="34" t="n">
        <v>56</v>
      </c>
      <c r="B62" s="35" t="inlineStr">
        <is>
          <t>Birim maliyet (pano)</t>
        </is>
      </c>
      <c r="C62" s="40">
        <f>IFERROR(G35,0)</f>
        <v/>
      </c>
      <c r="D62" s="37" t="inlineStr">
        <is>
          <t>TL</t>
        </is>
      </c>
      <c r="E62" s="6" t="inlineStr">
        <is>
          <t>Ayna</t>
        </is>
      </c>
      <c r="F62" s="38" t="inlineStr">
        <is>
          <t>SFN</t>
        </is>
      </c>
      <c r="G62" s="18">
        <f>IFERROR(G35,0)</f>
        <v/>
      </c>
    </row>
    <row r="63">
      <c r="A63" s="34" t="n">
        <v>57</v>
      </c>
      <c r="B63" s="35" t="inlineStr">
        <is>
          <t>Net navlun (pano)</t>
        </is>
      </c>
      <c r="C63" s="40">
        <f>IFERROR(G37,0)</f>
        <v/>
      </c>
      <c r="D63" s="37" t="inlineStr">
        <is>
          <t>TL</t>
        </is>
      </c>
      <c r="E63" s="6" t="inlineStr">
        <is>
          <t>Ayna</t>
        </is>
      </c>
      <c r="F63" s="38" t="inlineStr">
        <is>
          <t>SFN</t>
        </is>
      </c>
      <c r="G63" s="18">
        <f>IFERROR(G37,0)</f>
        <v/>
      </c>
    </row>
    <row r="64">
      <c r="A64" s="34" t="n">
        <v>58</v>
      </c>
      <c r="B64" s="35" t="inlineStr">
        <is>
          <t>NPV (pano)</t>
        </is>
      </c>
      <c r="C64" s="40">
        <f>IFERROR(G43,0)</f>
        <v/>
      </c>
      <c r="D64" s="37" t="inlineStr">
        <is>
          <t>TL</t>
        </is>
      </c>
      <c r="E64" s="6" t="inlineStr">
        <is>
          <t>Ayna</t>
        </is>
      </c>
      <c r="F64" s="38" t="inlineStr">
        <is>
          <t>SFN</t>
        </is>
      </c>
      <c r="G64" s="18">
        <f>IFERROR(G43,0)</f>
        <v/>
      </c>
    </row>
    <row r="65">
      <c r="A65" s="34" t="n">
        <v>59</v>
      </c>
      <c r="B65" s="35" t="inlineStr">
        <is>
          <t>IRR (pano)</t>
        </is>
      </c>
      <c r="C65" s="39">
        <f>IFERROR(G44,0)</f>
        <v/>
      </c>
      <c r="D65" s="37" t="inlineStr">
        <is>
          <t>oran</t>
        </is>
      </c>
      <c r="E65" s="6" t="inlineStr">
        <is>
          <t>Ayna</t>
        </is>
      </c>
      <c r="F65" s="38" t="inlineStr">
        <is>
          <t>SFN</t>
        </is>
      </c>
      <c r="G65" s="31">
        <f>IFERROR(G44,0)</f>
        <v/>
      </c>
    </row>
    <row r="66">
      <c r="A66" s="34" t="n">
        <v>60</v>
      </c>
      <c r="B66" s="35" t="inlineStr">
        <is>
          <t>Dönüş katkısı (pano)</t>
        </is>
      </c>
      <c r="C66" s="40">
        <f>IFERROR(G36,0)</f>
        <v/>
      </c>
      <c r="D66" s="37" t="inlineStr">
        <is>
          <t>TL</t>
        </is>
      </c>
      <c r="E66" s="6" t="inlineStr">
        <is>
          <t>Ayna</t>
        </is>
      </c>
      <c r="F66" s="38" t="inlineStr">
        <is>
          <t>SFN</t>
        </is>
      </c>
      <c r="G66" s="18">
        <f>IFERROR(G36,0)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G4"/>
  </mergeCells>
  <conditionalFormatting sqref="G43">
    <cfRule type="cellIs" priority="1" operator="lessThan" dxfId="2">
      <formula>0</formula>
    </cfRule>
    <cfRule type="cellIs" priority="2" operator="greaterThan" dxfId="3">
      <formula>0</formula>
    </cfRule>
    <cfRule type="cellIs" priority="43" operator="lessThan" dxfId="2">
      <formula>0</formula>
    </cfRule>
  </conditionalFormatting>
  <conditionalFormatting sqref="G55">
    <cfRule type="cellIs" priority="3" operator="lessThan" dxfId="2">
      <formula>0</formula>
    </cfRule>
    <cfRule type="cellIs" priority="55" operator="lessThan" dxfId="2">
      <formula>0</formula>
    </cfRule>
  </conditionalFormatting>
  <conditionalFormatting sqref="G48">
    <cfRule type="expression" priority="4" dxfId="0">
      <formula>ISNUMBER(SEARCH("YATIRIM YAPMA",G48))</formula>
    </cfRule>
    <cfRule type="expression" priority="5" dxfId="0">
      <formula>ISNUMBER(SEARCH("VERİ YOK",G48))</formula>
    </cfRule>
    <cfRule type="expression" priority="6" dxfId="1">
      <formula>ISNUMBER(SEARCH("YATIRIM YAPILIR",G48))</formula>
    </cfRule>
    <cfRule type="cellIs" priority="48" operator="lessThan" dxfId="2">
      <formula>0</formula>
    </cfRule>
  </conditionalFormatting>
  <conditionalFormatting sqref="G7">
    <cfRule type="cellIs" priority="7" operator="lessThan" dxfId="2">
      <formula>0</formula>
    </cfRule>
  </conditionalFormatting>
  <conditionalFormatting sqref="G8">
    <cfRule type="cellIs" priority="8" operator="lessThan" dxfId="2">
      <formula>0</formula>
    </cfRule>
  </conditionalFormatting>
  <conditionalFormatting sqref="G9">
    <cfRule type="cellIs" priority="9" operator="lessThan" dxfId="2">
      <formula>0</formula>
    </cfRule>
  </conditionalFormatting>
  <conditionalFormatting sqref="G10">
    <cfRule type="cellIs" priority="10" operator="lessThan" dxfId="2">
      <formula>0</formula>
    </cfRule>
  </conditionalFormatting>
  <conditionalFormatting sqref="G11">
    <cfRule type="cellIs" priority="11" operator="lessThan" dxfId="2">
      <formula>0</formula>
    </cfRule>
  </conditionalFormatting>
  <conditionalFormatting sqref="G12">
    <cfRule type="cellIs" priority="12" operator="lessThan" dxfId="2">
      <formula>0</formula>
    </cfRule>
  </conditionalFormatting>
  <conditionalFormatting sqref="G13">
    <cfRule type="cellIs" priority="13" operator="lessThan" dxfId="2">
      <formula>0</formula>
    </cfRule>
  </conditionalFormatting>
  <conditionalFormatting sqref="G14">
    <cfRule type="cellIs" priority="14" operator="lessThan" dxfId="2">
      <formula>0</formula>
    </cfRule>
  </conditionalFormatting>
  <conditionalFormatting sqref="G15">
    <cfRule type="cellIs" priority="15" operator="lessThan" dxfId="2">
      <formula>0</formula>
    </cfRule>
  </conditionalFormatting>
  <conditionalFormatting sqref="G16">
    <cfRule type="cellIs" priority="16" operator="lessThan" dxfId="2">
      <formula>0</formula>
    </cfRule>
  </conditionalFormatting>
  <conditionalFormatting sqref="G17">
    <cfRule type="cellIs" priority="17" operator="lessThan" dxfId="2">
      <formula>0</formula>
    </cfRule>
  </conditionalFormatting>
  <conditionalFormatting sqref="G18">
    <cfRule type="cellIs" priority="18" operator="lessThan" dxfId="2">
      <formula>0</formula>
    </cfRule>
  </conditionalFormatting>
  <conditionalFormatting sqref="G19">
    <cfRule type="cellIs" priority="19" operator="lessThan" dxfId="2">
      <formula>0</formula>
    </cfRule>
  </conditionalFormatting>
  <conditionalFormatting sqref="G20">
    <cfRule type="cellIs" priority="20" operator="lessThan" dxfId="2">
      <formula>0</formula>
    </cfRule>
  </conditionalFormatting>
  <conditionalFormatting sqref="G21">
    <cfRule type="cellIs" priority="21" operator="lessThan" dxfId="2">
      <formula>0</formula>
    </cfRule>
  </conditionalFormatting>
  <conditionalFormatting sqref="G22">
    <cfRule type="cellIs" priority="22" operator="lessThan" dxfId="2">
      <formula>0</formula>
    </cfRule>
  </conditionalFormatting>
  <conditionalFormatting sqref="G23">
    <cfRule type="cellIs" priority="23" operator="lessThan" dxfId="2">
      <formula>0</formula>
    </cfRule>
  </conditionalFormatting>
  <conditionalFormatting sqref="G24">
    <cfRule type="cellIs" priority="24" operator="lessThan" dxfId="2">
      <formula>0</formula>
    </cfRule>
  </conditionalFormatting>
  <conditionalFormatting sqref="G25">
    <cfRule type="cellIs" priority="25" operator="lessThan" dxfId="2">
      <formula>0</formula>
    </cfRule>
  </conditionalFormatting>
  <conditionalFormatting sqref="G26">
    <cfRule type="cellIs" priority="26" operator="lessThan" dxfId="2">
      <formula>0</formula>
    </cfRule>
  </conditionalFormatting>
  <conditionalFormatting sqref="G27">
    <cfRule type="cellIs" priority="27" operator="lessThan" dxfId="2">
      <formula>0</formula>
    </cfRule>
  </conditionalFormatting>
  <conditionalFormatting sqref="G28">
    <cfRule type="cellIs" priority="28" operator="lessThan" dxfId="2">
      <formula>0</formula>
    </cfRule>
  </conditionalFormatting>
  <conditionalFormatting sqref="G29">
    <cfRule type="cellIs" priority="29" operator="lessThan" dxfId="2">
      <formula>0</formula>
    </cfRule>
  </conditionalFormatting>
  <conditionalFormatting sqref="G30">
    <cfRule type="cellIs" priority="30" operator="lessThan" dxfId="2">
      <formula>0</formula>
    </cfRule>
  </conditionalFormatting>
  <conditionalFormatting sqref="G31">
    <cfRule type="cellIs" priority="31" operator="lessThan" dxfId="2">
      <formula>0</formula>
    </cfRule>
  </conditionalFormatting>
  <conditionalFormatting sqref="G32">
    <cfRule type="cellIs" priority="32" operator="lessThan" dxfId="2">
      <formula>0</formula>
    </cfRule>
  </conditionalFormatting>
  <conditionalFormatting sqref="G33">
    <cfRule type="cellIs" priority="33" operator="lessThan" dxfId="2">
      <formula>0</formula>
    </cfRule>
  </conditionalFormatting>
  <conditionalFormatting sqref="G34">
    <cfRule type="cellIs" priority="34" operator="lessThan" dxfId="2">
      <formula>0</formula>
    </cfRule>
  </conditionalFormatting>
  <conditionalFormatting sqref="G35">
    <cfRule type="cellIs" priority="35" operator="lessThan" dxfId="2">
      <formula>0</formula>
    </cfRule>
  </conditionalFormatting>
  <conditionalFormatting sqref="G36">
    <cfRule type="cellIs" priority="36" operator="lessThan" dxfId="2">
      <formula>0</formula>
    </cfRule>
  </conditionalFormatting>
  <conditionalFormatting sqref="G37">
    <cfRule type="cellIs" priority="37" operator="lessThan" dxfId="2">
      <formula>0</formula>
    </cfRule>
  </conditionalFormatting>
  <conditionalFormatting sqref="G38">
    <cfRule type="cellIs" priority="38" operator="lessThan" dxfId="2">
      <formula>0</formula>
    </cfRule>
  </conditionalFormatting>
  <conditionalFormatting sqref="G39">
    <cfRule type="cellIs" priority="39" operator="lessThan" dxfId="2">
      <formula>0</formula>
    </cfRule>
  </conditionalFormatting>
  <conditionalFormatting sqref="G40">
    <cfRule type="cellIs" priority="40" operator="lessThan" dxfId="2">
      <formula>0</formula>
    </cfRule>
  </conditionalFormatting>
  <conditionalFormatting sqref="G41">
    <cfRule type="cellIs" priority="41" operator="lessThan" dxfId="2">
      <formula>0</formula>
    </cfRule>
  </conditionalFormatting>
  <conditionalFormatting sqref="G42">
    <cfRule type="cellIs" priority="42" operator="lessThan" dxfId="2">
      <formula>0</formula>
    </cfRule>
  </conditionalFormatting>
  <conditionalFormatting sqref="G44">
    <cfRule type="cellIs" priority="44" operator="lessThan" dxfId="2">
      <formula>0</formula>
    </cfRule>
  </conditionalFormatting>
  <conditionalFormatting sqref="G45">
    <cfRule type="cellIs" priority="45" operator="lessThan" dxfId="2">
      <formula>0</formula>
    </cfRule>
  </conditionalFormatting>
  <conditionalFormatting sqref="G46">
    <cfRule type="cellIs" priority="46" operator="lessThan" dxfId="2">
      <formula>0</formula>
    </cfRule>
  </conditionalFormatting>
  <conditionalFormatting sqref="G47">
    <cfRule type="cellIs" priority="47" operator="lessThan" dxfId="2">
      <formula>0</formula>
    </cfRule>
  </conditionalFormatting>
  <conditionalFormatting sqref="G49">
    <cfRule type="cellIs" priority="49" operator="lessThan" dxfId="2">
      <formula>0</formula>
    </cfRule>
  </conditionalFormatting>
  <conditionalFormatting sqref="G50">
    <cfRule type="cellIs" priority="50" operator="lessThan" dxfId="2">
      <formula>0</formula>
    </cfRule>
  </conditionalFormatting>
  <conditionalFormatting sqref="G51">
    <cfRule type="cellIs" priority="51" operator="lessThan" dxfId="2">
      <formula>0</formula>
    </cfRule>
  </conditionalFormatting>
  <conditionalFormatting sqref="G52">
    <cfRule type="cellIs" priority="52" operator="lessThan" dxfId="2">
      <formula>0</formula>
    </cfRule>
  </conditionalFormatting>
  <conditionalFormatting sqref="G53">
    <cfRule type="cellIs" priority="53" operator="lessThan" dxfId="2">
      <formula>0</formula>
    </cfRule>
  </conditionalFormatting>
  <conditionalFormatting sqref="G54">
    <cfRule type="cellIs" priority="54" operator="lessThan" dxfId="2">
      <formula>0</formula>
    </cfRule>
  </conditionalFormatting>
  <conditionalFormatting sqref="G56">
    <cfRule type="cellIs" priority="56" operator="lessThan" dxfId="2">
      <formula>0</formula>
    </cfRule>
  </conditionalFormatting>
  <conditionalFormatting sqref="G57">
    <cfRule type="cellIs" priority="57" operator="lessThan" dxfId="2">
      <formula>0</formula>
    </cfRule>
  </conditionalFormatting>
  <conditionalFormatting sqref="G58">
    <cfRule type="cellIs" priority="58" operator="lessThan" dxfId="2">
      <formula>0</formula>
    </cfRule>
  </conditionalFormatting>
  <conditionalFormatting sqref="G59">
    <cfRule type="cellIs" priority="59" operator="lessThan" dxfId="2">
      <formula>0</formula>
    </cfRule>
  </conditionalFormatting>
  <conditionalFormatting sqref="G60">
    <cfRule type="cellIs" priority="60" operator="lessThan" dxfId="2">
      <formula>0</formula>
    </cfRule>
  </conditionalFormatting>
  <conditionalFormatting sqref="G61">
    <cfRule type="cellIs" priority="61" operator="lessThan" dxfId="2">
      <formula>0</formula>
    </cfRule>
  </conditionalFormatting>
  <conditionalFormatting sqref="G62">
    <cfRule type="cellIs" priority="62" operator="lessThan" dxfId="2">
      <formula>0</formula>
    </cfRule>
  </conditionalFormatting>
  <conditionalFormatting sqref="G63">
    <cfRule type="cellIs" priority="63" operator="lessThan" dxfId="2">
      <formula>0</formula>
    </cfRule>
  </conditionalFormatting>
  <conditionalFormatting sqref="G64">
    <cfRule type="cellIs" priority="64" operator="lessThan" dxfId="2">
      <formula>0</formula>
    </cfRule>
  </conditionalFormatting>
  <conditionalFormatting sqref="G65">
    <cfRule type="cellIs" priority="65" operator="lessThan" dxfId="2">
      <formula>0</formula>
    </cfRule>
  </conditionalFormatting>
  <conditionalFormatting sqref="G66">
    <cfRule type="cellIs" priority="66" operator="lessThan" dxfId="2">
      <formula>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65911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FIYATLAMA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2" customHeight="1">
      <c r="A3" s="228" t="inlineStr">
        <is>
          <t>Fiyat önerisi ve rakip bandı</t>
        </is>
      </c>
    </row>
    <row r="4"/>
    <row r="5">
      <c r="A5" s="29" t="inlineStr">
        <is>
          <t>Net navlun [₺]</t>
        </is>
      </c>
      <c r="B5" s="18">
        <f>sfn_netNavlun</f>
        <v/>
      </c>
    </row>
    <row r="6">
      <c r="A6" s="29" t="inlineStr">
        <is>
          <t>Hedef marj</t>
        </is>
      </c>
      <c r="B6" s="31">
        <f>GIRDI!B12</f>
        <v/>
      </c>
    </row>
    <row r="7">
      <c r="A7" s="44" t="inlineStr">
        <is>
          <t>Önerilen teklif [₺]</t>
        </is>
      </c>
      <c r="B7" s="17">
        <f>IFERROR(MOTOR!G38,0)</f>
        <v/>
      </c>
    </row>
    <row r="8">
      <c r="A8" s="29" t="inlineStr">
        <is>
          <t>Km başı teklif [₺]</t>
        </is>
      </c>
      <c r="B8" s="18">
        <f>IFERROR(IF(GIRDI!B8=0,0,B7/GIRDI!B8),0)</f>
        <v/>
      </c>
    </row>
    <row r="9">
      <c r="A9" s="29" t="inlineStr">
        <is>
          <t>Ton başı teklif [₺]</t>
        </is>
      </c>
      <c r="B9" s="18">
        <f>IFERROR(IF(GIRDI!B10=0,0,B7/GIRDI!B10),0)</f>
        <v/>
      </c>
    </row>
    <row r="10"/>
    <row r="11">
      <c r="A11" s="29" t="inlineStr">
        <is>
          <t>Rakip düşük [₺]</t>
        </is>
      </c>
      <c r="B11" s="16" t="n">
        <v>18000</v>
      </c>
    </row>
    <row r="12">
      <c r="A12" s="29" t="inlineStr">
        <is>
          <t>Rakip yüksek [₺]</t>
        </is>
      </c>
      <c r="B12" s="16" t="n">
        <v>28000</v>
      </c>
    </row>
    <row r="13">
      <c r="A13" s="29" t="inlineStr">
        <is>
          <t>Konum</t>
        </is>
      </c>
      <c r="B13" s="43">
        <f>IF(OR(B7&lt;=0,COUNTA(tblGirdi[Alan Anahtarı])=0),"VERİ YOK",IF(B7&lt;B11,"DÜŞÜK",IF(B7&gt;B12,"YÜKSEK","BAND İÇİ")))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3">
    <cfRule type="expression" priority="1" dxfId="0">
      <formula>ISNUMBER(SEARCH("VERİ YOK",B13))</formula>
    </cfRule>
    <cfRule type="expression" priority="2" dxfId="4">
      <formula>ISNUMBER(SEARCH("DÜŞÜK",B13))</formula>
    </cfRule>
    <cfRule type="expression" priority="3" dxfId="1">
      <formula>ISNUMBER(SEARCH("BAND",B13))</formula>
    </cfRule>
  </conditionalFormatting>
  <conditionalFormatting sqref="B7">
    <cfRule type="cellIs" priority="4" operator="lessThanOrEqual" dxfId="2">
      <formula>0</formula>
    </cfRule>
  </conditionalFormatting>
  <dataValidations count="1">
    <dataValidation sqref="B11:B12" showDropDown="0" showInputMessage="1" showErrorMessage="1" allowBlank="1" errorTitle="Geçersiz" error="Negatif olamaz." promptTitle="Rakip" prompt="0 ve üzeri TL." type="decimal" errorStyle="stop" operator="between">
      <formula1>0</formula1>
      <formula2>100000000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7030A0"/>
    <outlinePr summaryBelow="1" summaryRight="1"/>
    <pageSetUpPr/>
  </sheetPr>
  <dimension ref="A1:AD12"/>
  <sheetViews>
    <sheetView showGridLines="0" workbookViewId="0">
      <selection activeCell="A1" sqref="A1"/>
    </sheetView>
  </sheetViews>
  <sheetFormatPr baseColWidth="8" defaultRowHeight="15"/>
  <cols>
    <col width="26.5" customWidth="1" min="1" max="1"/>
    <col width="14.5" customWidth="1" min="2" max="2"/>
    <col width="14.5" customWidth="1" min="3" max="3"/>
    <col width="16.5" customWidth="1" min="4" max="4"/>
    <col width="17.5" customWidth="1" min="5" max="5"/>
    <col width="18.5" customWidth="1" min="6" max="6"/>
    <col width="15.5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VARYANS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2" customHeight="1">
      <c r="A3" s="228" t="inlineStr">
        <is>
          <t>Reçete versiyon varyans köprüsü (V0 → V1)</t>
        </is>
      </c>
    </row>
    <row r="4"/>
    <row r="5">
      <c r="A5" s="45" t="inlineStr">
        <is>
          <t>Kalem</t>
        </is>
      </c>
      <c r="B5" s="45" t="inlineStr">
        <is>
          <t>V0 maliyet</t>
        </is>
      </c>
      <c r="C5" s="45" t="inlineStr">
        <is>
          <t>V1 maliyet</t>
        </is>
      </c>
      <c r="D5" s="45" t="inlineStr">
        <is>
          <t>Fiyat etkisi</t>
        </is>
      </c>
      <c r="E5" s="45" t="inlineStr">
        <is>
          <t>Miktar etkisi</t>
        </is>
      </c>
      <c r="F5" s="45" t="inlineStr">
        <is>
          <t>Karışım etkisi</t>
        </is>
      </c>
      <c r="G5" s="45" t="inlineStr">
        <is>
          <t>Toplam fark</t>
        </is>
      </c>
    </row>
    <row r="6">
      <c r="A6" s="7" t="inlineStr">
        <is>
          <t>Hammadde (yakıt)</t>
        </is>
      </c>
      <c r="B6" s="16" t="n">
        <v>9500</v>
      </c>
      <c r="C6" s="18">
        <f>IFERROR(MOTOR!G30,0)</f>
        <v/>
      </c>
      <c r="D6" s="18">
        <f>IFERROR((C6-B6)*sfn_varyansFiyatPay,0)</f>
        <v/>
      </c>
      <c r="E6" s="18">
        <f>IFERROR((C6-B6)*sfn_varyansMiktarPay,0)</f>
        <v/>
      </c>
      <c r="F6" s="18">
        <f>IFERROR((C6-B6)*sfn_varyansKarisimPay,0)</f>
        <v/>
      </c>
      <c r="G6" s="18">
        <f>IFERROR(C6-B6,0)</f>
        <v/>
      </c>
    </row>
    <row r="7">
      <c r="A7" s="7" t="inlineStr">
        <is>
          <t>İşçilik</t>
        </is>
      </c>
      <c r="B7" s="16" t="n">
        <v>2100</v>
      </c>
      <c r="C7" s="18">
        <f>IFERROR(MOTOR!G31,0)</f>
        <v/>
      </c>
      <c r="D7" s="18">
        <f>IFERROR((C7-B7)*sfn_varyansFiyatPay,0)</f>
        <v/>
      </c>
      <c r="E7" s="18">
        <f>IFERROR((C7-B7)*sfn_varyansMiktarPay,0)</f>
        <v/>
      </c>
      <c r="F7" s="18">
        <f>IFERROR((C7-B7)*sfn_varyansKarisimPay,0)</f>
        <v/>
      </c>
      <c r="G7" s="18">
        <f>IFERROR(C7-B7,0)</f>
        <v/>
      </c>
    </row>
    <row r="8">
      <c r="A8" s="7" t="inlineStr">
        <is>
          <t>Ambalaj</t>
        </is>
      </c>
      <c r="B8" s="16" t="n">
        <v>1200</v>
      </c>
      <c r="C8" s="18">
        <f>IFERROR(MOTOR!G32,0)</f>
        <v/>
      </c>
      <c r="D8" s="18">
        <f>IFERROR((C8-B8)*sfn_varyansFiyatPay,0)</f>
        <v/>
      </c>
      <c r="E8" s="18">
        <f>IFERROR((C8-B8)*sfn_varyansMiktarPay,0)</f>
        <v/>
      </c>
      <c r="F8" s="18">
        <f>IFERROR((C8-B8)*sfn_varyansKarisimPay,0)</f>
        <v/>
      </c>
      <c r="G8" s="18">
        <f>IFERROR(C8-B8,0)</f>
        <v/>
      </c>
    </row>
    <row r="9">
      <c r="A9" s="7" t="inlineStr">
        <is>
          <t>Genel gider V0 tutar</t>
        </is>
      </c>
      <c r="B9" s="16" t="n">
        <v>2250</v>
      </c>
      <c r="C9" s="18">
        <f>IFERROR(MOTOR!G33,0)</f>
        <v/>
      </c>
      <c r="D9" s="18">
        <f>IFERROR((C9-B9)*sfn_varyansFiyatPay,0)</f>
        <v/>
      </c>
      <c r="E9" s="18">
        <f>IFERROR((C9-B9)*sfn_varyansMiktarPay,0)</f>
        <v/>
      </c>
      <c r="F9" s="18">
        <f>IFERROR((C9-B9)*sfn_varyansKarisimPay,0)</f>
        <v/>
      </c>
      <c r="G9" s="18">
        <f>IFERROR(C9-B9,0)</f>
        <v/>
      </c>
    </row>
    <row r="10"/>
    <row r="11">
      <c r="A11" s="10" t="inlineStr">
        <is>
          <t>Varyans köprü toplam</t>
        </is>
      </c>
      <c r="B11" s="18">
        <f>IFERROR(SUM(G6:G9),0)</f>
        <v/>
      </c>
    </row>
    <row r="12">
      <c r="A12" s="29" t="inlineStr">
        <is>
          <t>Versiyon köprüsü özeti</t>
        </is>
      </c>
      <c r="B12" s="42">
        <f>_xlfn.TEXTJOIN(" | ",TRUE,"V0→V1 fark ",TEXT(B11,"₺ #,##0")," · fiyat ",TEXT(SUM(D6:D9),"₺ #,##0")," · miktar ",TEXT(SUM(E6:E9),"₺ #,##0")," · karışım ",TEXT(SUM(F6:F9),"₺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2:G12"/>
  </mergeCells>
  <conditionalFormatting sqref="G6:G9">
    <cfRule type="cellIs" priority="1" operator="lessThan" dxfId="2">
      <formula>0</formula>
    </cfRule>
    <cfRule type="cellIs" priority="2" operator="greaterThan" dxfId="3">
      <formula>0</formula>
    </cfRule>
  </conditionalFormatting>
  <dataValidations count="1">
    <dataValidation sqref="B6:B9" showDropDown="0" showInputMessage="1" showErrorMessage="1" allowBlank="1" errorTitle="Geçersiz" error="Negatif olamaz." promptTitle="V0 maliyet" prompt="Eski versiyon tutarı." type="decimal" errorStyle="stop" operator="between">
      <formula1>0</formula1>
      <formula2>100000000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1F4E79"/>
    <outlinePr summaryBelow="1" summaryRight="1"/>
    <pageSetUpPr/>
  </sheetPr>
  <dimension ref="A1:A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.5" customWidth="1" min="1" max="1"/>
    <col width="28" customWidth="1" min="2" max="2"/>
    <col width="14" customWidth="1" min="3" max="3"/>
    <col width="10" customWidth="1" min="4" max="4"/>
    <col width="22.5" customWidth="1" min="5" max="5"/>
    <col width="12" customWidth="1" min="6" max="6"/>
    <col width="14.5" customWidth="1" min="7" max="7"/>
    <col width="11.5" customWidth="1" min="8" max="8"/>
    <col width="13" customWidth="1" min="9" max="9"/>
  </cols>
  <sheetData>
    <row r="1" ht="32" customHeight="1">
      <c r="A1" s="209" t="inlineStr">
        <is>
          <t>VARSAYIMLAR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</row>
    <row r="2"/>
    <row r="3" ht="22" customHeight="1">
      <c r="A3" s="228" t="inlineStr">
        <is>
          <t>Varsayımlar — her satırda kaynak ve güven</t>
        </is>
      </c>
    </row>
    <row r="4"/>
    <row r="5" ht="30" customHeight="1">
      <c r="A5" s="20" t="inlineStr">
        <is>
          <t>varsayim_id</t>
        </is>
      </c>
      <c r="B5" s="20" t="inlineStr">
        <is>
          <t>aciklama</t>
        </is>
      </c>
      <c r="C5" s="20" t="inlineStr">
        <is>
          <t>deger</t>
        </is>
      </c>
      <c r="D5" s="20" t="inlineStr">
        <is>
          <t>birim</t>
        </is>
      </c>
      <c r="E5" s="20" t="inlineStr">
        <is>
          <t>kaynak</t>
        </is>
      </c>
      <c r="F5" s="20" t="inlineStr">
        <is>
          <t>guven</t>
        </is>
      </c>
      <c r="G5" s="20" t="inlineStr">
        <is>
          <t>duyarlilik</t>
        </is>
      </c>
      <c r="H5" s="20" t="inlineStr">
        <is>
          <t>kontrol</t>
        </is>
      </c>
    </row>
    <row r="6">
      <c r="A6" s="12" t="inlineStr">
        <is>
          <t>V-01</t>
        </is>
      </c>
      <c r="B6" s="12" t="inlineStr">
        <is>
          <t>Yakıt birim fiyat</t>
        </is>
      </c>
      <c r="C6" s="68" t="n">
        <v>45</v>
      </c>
      <c r="D6" s="12" t="inlineStr">
        <is>
          <t>₺/L</t>
        </is>
      </c>
      <c r="E6" s="12" t="inlineStr">
        <is>
          <t>Akaryakıt piyasa</t>
        </is>
      </c>
      <c r="F6" s="12" t="inlineStr">
        <is>
          <t>sert</t>
        </is>
      </c>
      <c r="G6" s="12" t="inlineStr">
        <is>
          <t>yüksek</t>
        </is>
      </c>
      <c r="H6" s="22">
        <f>IF($A6="","",IF(OR($E6="",$F6=""),"EKSİK","TAM"))</f>
        <v/>
      </c>
    </row>
    <row r="7">
      <c r="A7" s="12" t="inlineStr">
        <is>
          <t>V-02</t>
        </is>
      </c>
      <c r="B7" s="12" t="inlineStr">
        <is>
          <t>Tüketim L/100km</t>
        </is>
      </c>
      <c r="C7" s="14" t="n">
        <v>32</v>
      </c>
      <c r="D7" s="12" t="inlineStr">
        <is>
          <t>L</t>
        </is>
      </c>
      <c r="E7" s="12" t="inlineStr">
        <is>
          <t>Araç üretici kartı</t>
        </is>
      </c>
      <c r="F7" s="12" t="inlineStr">
        <is>
          <t>sert</t>
        </is>
      </c>
      <c r="G7" s="12" t="inlineStr">
        <is>
          <t>yüksek</t>
        </is>
      </c>
      <c r="H7" s="22">
        <f>IF($A7="","",IF(OR($E7="",$F7=""),"EKSİK","TAM"))</f>
        <v/>
      </c>
    </row>
    <row r="8">
      <c r="A8" s="12" t="inlineStr">
        <is>
          <t>V-03</t>
        </is>
      </c>
      <c r="B8" s="12" t="inlineStr">
        <is>
          <t>Dönüş yükü oranı</t>
        </is>
      </c>
      <c r="C8" s="15" t="n">
        <v>0.4</v>
      </c>
      <c r="D8" s="12" t="inlineStr">
        <is>
          <t>oran</t>
        </is>
      </c>
      <c r="E8" s="12" t="inlineStr">
        <is>
          <t>Operasyon geçmişi</t>
        </is>
      </c>
      <c r="F8" s="12" t="inlineStr">
        <is>
          <t>yumuşak</t>
        </is>
      </c>
      <c r="G8" s="12" t="inlineStr">
        <is>
          <t>yüksek</t>
        </is>
      </c>
      <c r="H8" s="22">
        <f>IF($A8="","",IF(OR($E8="",$F8=""),"EKSİK","TAM"))</f>
        <v/>
      </c>
    </row>
    <row r="9">
      <c r="A9" s="12" t="inlineStr">
        <is>
          <t>V-04</t>
        </is>
      </c>
      <c r="B9" s="12" t="inlineStr">
        <is>
          <t>Hedef marj</t>
        </is>
      </c>
      <c r="C9" s="15" t="n">
        <v>0.18</v>
      </c>
      <c r="D9" s="12" t="inlineStr">
        <is>
          <t>oran</t>
        </is>
      </c>
      <c r="E9" s="12" t="inlineStr">
        <is>
          <t>Satış politikası</t>
        </is>
      </c>
      <c r="F9" s="12" t="inlineStr">
        <is>
          <t>sert</t>
        </is>
      </c>
      <c r="G9" s="12" t="inlineStr">
        <is>
          <t>orta</t>
        </is>
      </c>
      <c r="H9" s="22">
        <f>IF($A9="","",IF(OR($E9="",$F9=""),"EKSİK","TAM"))</f>
        <v/>
      </c>
    </row>
    <row r="10">
      <c r="A10" s="12" t="inlineStr">
        <is>
          <t>V-05</t>
        </is>
      </c>
      <c r="B10" s="12" t="inlineStr">
        <is>
          <t>WACC</t>
        </is>
      </c>
      <c r="C10" s="15" t="n">
        <v>0.2</v>
      </c>
      <c r="D10" s="12" t="inlineStr">
        <is>
          <t>oran</t>
        </is>
      </c>
      <c r="E10" s="12" t="inlineStr">
        <is>
          <t>Finans / yönetim</t>
        </is>
      </c>
      <c r="F10" s="12" t="inlineStr">
        <is>
          <t>yumuşak</t>
        </is>
      </c>
      <c r="G10" s="12" t="inlineStr">
        <is>
          <t>yüksek</t>
        </is>
      </c>
      <c r="H10" s="22">
        <f>IF($A10="","",IF(OR($E10="",$F10=""),"EKSİK","TAM"))</f>
        <v/>
      </c>
    </row>
    <row r="11">
      <c r="A11" s="12" t="inlineStr">
        <is>
          <t>V-06</t>
        </is>
      </c>
      <c r="B11" s="12" t="inlineStr">
        <is>
          <t>Yıllık sefer</t>
        </is>
      </c>
      <c r="C11" s="14" t="n">
        <v>200</v>
      </c>
      <c r="D11" s="12" t="inlineStr">
        <is>
          <t>adet</t>
        </is>
      </c>
      <c r="E11" s="12" t="inlineStr">
        <is>
          <t>Hat planı</t>
        </is>
      </c>
      <c r="F11" s="12" t="inlineStr">
        <is>
          <t>yumuşak</t>
        </is>
      </c>
      <c r="G11" s="12" t="inlineStr">
        <is>
          <t>orta</t>
        </is>
      </c>
      <c r="H11" s="22">
        <f>IF($A11="","",IF(OR($E11="",$F11=""),"EKSİK","TAM"))</f>
        <v/>
      </c>
    </row>
    <row r="12">
      <c r="A12" s="12" t="inlineStr">
        <is>
          <t>V-07</t>
        </is>
      </c>
      <c r="B12" s="12" t="inlineStr">
        <is>
          <t>CAPEX araç</t>
        </is>
      </c>
      <c r="C12" s="16" t="n">
        <v>2500000</v>
      </c>
      <c r="D12" s="12" t="inlineStr">
        <is>
          <t>₺</t>
        </is>
      </c>
      <c r="E12" s="12" t="inlineStr">
        <is>
          <t>Satın alma teklifi</t>
        </is>
      </c>
      <c r="F12" s="12" t="inlineStr">
        <is>
          <t>sert</t>
        </is>
      </c>
      <c r="G12" s="12" t="inlineStr">
        <is>
          <t>orta</t>
        </is>
      </c>
      <c r="H12" s="22">
        <f>IF($A12="","",IF(OR($E12="",$F12=""),"EKSİK","TAM"))</f>
        <v/>
      </c>
    </row>
    <row r="13">
      <c r="A13" s="12" t="inlineStr">
        <is>
          <t>V-08</t>
        </is>
      </c>
      <c r="B13" s="12" t="inlineStr">
        <is>
          <t>Fire boş km</t>
        </is>
      </c>
      <c r="C13" s="15" t="n">
        <v>0.08</v>
      </c>
      <c r="D13" s="12" t="inlineStr">
        <is>
          <t>oran</t>
        </is>
      </c>
      <c r="E13" s="12" t="inlineStr">
        <is>
          <t>Saha ölçümü</t>
        </is>
      </c>
      <c r="F13" s="12" t="inlineStr">
        <is>
          <t>yumuşak</t>
        </is>
      </c>
      <c r="G13" s="12" t="inlineStr">
        <is>
          <t>orta</t>
        </is>
      </c>
      <c r="H13" s="22">
        <f>IF($A13="","",IF(OR($E13="",$F13=""),"EKSİK","TAM"))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H6:H13">
    <cfRule type="expression" priority="1" dxfId="0">
      <formula>H6="EKSİK"</formula>
    </cfRule>
    <cfRule type="expression" priority="2" dxfId="1">
      <formula>H6="TAM"</formula>
    </cfRule>
  </conditionalFormatting>
  <dataValidations count="2">
    <dataValidation sqref="F6:F13" showDropDown="0" showInputMessage="1" showErrorMessage="1" allowBlank="1" errorTitle="Geçersiz" error="sert/yumuşak." promptTitle="Güven" prompt="sert veya yumuşak." type="list" errorStyle="stop">
      <formula1>ListeGuven</formula1>
    </dataValidation>
    <dataValidation sqref="G6:G13" showDropDown="0" showInputMessage="1" showErrorMessage="1" allowBlank="1" errorTitle="Geçersiz" error="Listeden seçin." promptTitle="Duyarlılık" prompt="yüksek / orta / düşük." type="list" errorStyle="stop">
      <formula1>ListeDuyarlilik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C65911"/>
    <outlinePr summaryBelow="1" summaryRight="1"/>
    <pageSetUpPr/>
  </sheetPr>
  <dimension ref="A1:AD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8.5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FINANSMAN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2" customHeight="1">
      <c r="A3" s="228" t="inlineStr">
        <is>
          <t>Finansman senaryoları — OZ_KAYNAK ve KREDI</t>
        </is>
      </c>
    </row>
    <row r="4"/>
    <row r="5">
      <c r="A5" s="45" t="inlineStr">
        <is>
          <t>Senaryo</t>
        </is>
      </c>
      <c r="B5" s="45" t="inlineStr">
        <is>
          <t>Pay</t>
        </is>
      </c>
      <c r="C5" s="45" t="inlineStr">
        <is>
          <t>Tutar [₺]</t>
        </is>
      </c>
      <c r="D5" s="45" t="inlineStr">
        <is>
          <t>Faiz / maliyet</t>
        </is>
      </c>
      <c r="E5" s="45" t="inlineStr">
        <is>
          <t>NPV etkisi</t>
        </is>
      </c>
    </row>
    <row r="6">
      <c r="A6" s="46" t="inlineStr">
        <is>
          <t>OZ_KAYNAK</t>
        </is>
      </c>
      <c r="B6" s="31">
        <f>GIRDI!B18</f>
        <v/>
      </c>
      <c r="C6" s="18">
        <f>GIRDI!B14*B6</f>
        <v/>
      </c>
      <c r="D6" s="31">
        <f>IFERROR(GIRDI!B18*sfn_sifirCarpan,0)</f>
        <v/>
      </c>
      <c r="E6" s="18">
        <f>IFERROR(MOTOR!G43,0)</f>
        <v/>
      </c>
    </row>
    <row r="7">
      <c r="A7" s="46" t="inlineStr">
        <is>
          <t>KREDI</t>
        </is>
      </c>
      <c r="B7" s="31">
        <f>sfn_bazCarpan-GIRDI!B18</f>
        <v/>
      </c>
      <c r="C7" s="18">
        <f>GIRDI!B14*B7</f>
        <v/>
      </c>
      <c r="D7" s="31">
        <f>GIRDI!B17</f>
        <v/>
      </c>
      <c r="E7" s="18">
        <f>IFERROR(MOTOR!G43-C7*D7*GIRDI!B16,0)</f>
        <v/>
      </c>
    </row>
    <row r="8"/>
    <row r="9">
      <c r="A9" s="10" t="inlineStr">
        <is>
          <t>CAPEX / YATIRIM toplam</t>
        </is>
      </c>
      <c r="B9" s="18">
        <f>GIRDI!B14</f>
        <v/>
      </c>
    </row>
    <row r="10">
      <c r="A10" s="10" t="inlineStr">
        <is>
          <t>OPEX / ISLETME yıllık</t>
        </is>
      </c>
      <c r="B10" s="18">
        <f>IFERROR(MOTOR!G41,0)</f>
        <v/>
      </c>
    </row>
    <row r="11">
      <c r="A11" s="10" t="inlineStr">
        <is>
          <t>Finansman karşılaştırma</t>
        </is>
      </c>
      <c r="B11" s="42">
        <f>IFERROR(_xlfn.TEXTJOIN(" | ",TRUE,"OZ_KAYNAK NPV ",TEXT(E6,"₺ #,##0")," · KREDI NPV ",TEXT(E7,"₺ #,##0")),"-")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11:F11"/>
    <mergeCell ref="A3:I3"/>
  </mergeCells>
  <conditionalFormatting sqref="E6:E7">
    <cfRule type="cellIs" priority="1" operator="lessThan" dxfId="2">
      <formula>0</formula>
    </cfRule>
    <cfRule type="cellIs" priority="2" operator="greaterThan" dxfId="3">
      <formula>0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2E75B6"/>
    <outlinePr summaryBelow="1" summaryRight="1"/>
    <pageSetUpPr/>
  </sheetPr>
  <dimension ref="A1:AN33"/>
  <sheetViews>
    <sheetView showGridLines="0" workbookViewId="0">
      <selection activeCell="A1" sqref="A1"/>
    </sheetView>
  </sheetViews>
  <sheetFormatPr baseColWidth="8" defaultRowHeight="15"/>
  <cols>
    <col width="29.5" customWidth="1" min="1" max="1"/>
    <col width="16" customWidth="1" min="2" max="2"/>
    <col width="16" customWidth="1" min="3" max="3"/>
    <col width="16" customWidth="1" min="4" max="4"/>
    <col width="14" customWidth="1" min="5" max="5"/>
    <col width="13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SENARYO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2" customHeight="1">
      <c r="A3" s="228" t="inlineStr">
        <is>
          <t>Senaryo motoru — iyimser / baz / kötümser + tornado</t>
        </is>
      </c>
    </row>
    <row r="4"/>
    <row r="5">
      <c r="A5" s="45" t="inlineStr">
        <is>
          <t>Senaryo</t>
        </is>
      </c>
      <c r="B5" s="45" t="inlineStr">
        <is>
          <t>Net [₺]</t>
        </is>
      </c>
      <c r="C5" s="45" t="inlineStr">
        <is>
          <t>Teklif [₺]</t>
        </is>
      </c>
      <c r="D5" s="45" t="inlineStr">
        <is>
          <t>NPV [₺]</t>
        </is>
      </c>
      <c r="E5" s="45" t="inlineStr">
        <is>
          <t>IRR</t>
        </is>
      </c>
      <c r="G5" s="45" t="inlineStr">
        <is>
          <t>NpvDemo</t>
        </is>
      </c>
    </row>
    <row r="6">
      <c r="A6" s="7" t="inlineStr">
        <is>
          <t>İyimser</t>
        </is>
      </c>
      <c r="B6" s="18">
        <f>IFERROR(MOTOR!G52,0)</f>
        <v/>
      </c>
      <c r="C6" s="18">
        <f>IFERROR(IF(GIRDI!B12&gt;=sfn_bazCarpan,0,B6/(sfn_bazCarpan-GIRDI!B12)),0)</f>
        <v/>
      </c>
      <c r="D6" s="18">
        <f>IFERROR(MOTOR!G54,0)</f>
        <v/>
      </c>
      <c r="E6" s="31">
        <f>IFERROR(MOTOR!G44*sfn_senaryoIyiIrr,0)</f>
        <v/>
      </c>
      <c r="G6" s="47" t="n">
        <v>1200000</v>
      </c>
    </row>
    <row r="7">
      <c r="A7" s="7" t="inlineStr">
        <is>
          <t>Baz</t>
        </is>
      </c>
      <c r="B7" s="18">
        <f>IFERROR(MOTOR!G37,0)</f>
        <v/>
      </c>
      <c r="C7" s="18">
        <f>IFERROR(MOTOR!G38,0)</f>
        <v/>
      </c>
      <c r="D7" s="18">
        <f>IFERROR(MOTOR!G43,0)</f>
        <v/>
      </c>
      <c r="E7" s="31">
        <f>IFERROR(MOTOR!G44,0)</f>
        <v/>
      </c>
      <c r="G7" s="47" t="n">
        <v>650000</v>
      </c>
    </row>
    <row r="8">
      <c r="A8" s="7" t="inlineStr">
        <is>
          <t>Kötümser</t>
        </is>
      </c>
      <c r="B8" s="18">
        <f>IFERROR(MOTOR!G53,0)</f>
        <v/>
      </c>
      <c r="C8" s="18">
        <f>IFERROR(IF(GIRDI!B12&gt;=sfn_bazCarpan,0,B8/(sfn_bazCarpan-GIRDI!B12)),0)</f>
        <v/>
      </c>
      <c r="D8" s="18">
        <f>IFERROR(MOTOR!G55,0)</f>
        <v/>
      </c>
      <c r="E8" s="31">
        <f>IFERROR(MOTOR!G44*sfn_senaryoKotuIrr,0)</f>
        <v/>
      </c>
      <c r="G8" s="47" t="n">
        <v>-280000</v>
      </c>
    </row>
    <row r="9">
      <c r="A9" s="7" t="inlineStr">
        <is>
          <t>Aralık (iyimser−kötümser)</t>
        </is>
      </c>
      <c r="B9" s="18">
        <f>IFERROR(B6-B8,0)</f>
        <v/>
      </c>
      <c r="D9" s="18">
        <f>IFERROR(D6-D8,0)</f>
        <v/>
      </c>
      <c r="G9" s="47" t="n">
        <v>650000</v>
      </c>
    </row>
    <row r="10"/>
    <row r="11">
      <c r="A11" s="10" t="inlineStr">
        <is>
          <t>Senaryo karşılaştırma</t>
        </is>
      </c>
      <c r="B11" s="18">
        <f>IFERROR(D7,0)</f>
        <v/>
      </c>
    </row>
    <row r="12">
      <c r="A12" s="29" t="inlineStr">
        <is>
          <t>Senaryo yorumu</t>
        </is>
      </c>
      <c r="B12" s="42">
        <f>_xlfn.TEXTJOIN("; ",TRUE,"Baz NPV ",TEXT(D7,"₺ #,##0")," · İyimser ",TEXT(D6,"₺ #,##0")," · Kötümser ",TEXT(D8,"₺ #,##0"))</f>
        <v/>
      </c>
    </row>
    <row r="13"/>
    <row r="14">
      <c r="A14" s="45" t="inlineStr">
        <is>
          <t>Tornado değişken</t>
        </is>
      </c>
      <c r="B14" s="45" t="inlineStr">
        <is>
          <t>Etki [₺]</t>
        </is>
      </c>
      <c r="C14" s="45" t="inlineStr">
        <is>
          <t>Sıra</t>
        </is>
      </c>
      <c r="E14" s="45" t="inlineStr">
        <is>
          <t>EtkiDemo</t>
        </is>
      </c>
    </row>
    <row r="15">
      <c r="A15" s="7" t="inlineStr">
        <is>
          <t>Yakıt</t>
        </is>
      </c>
      <c r="B15" s="18">
        <f>IFERROR(MOTOR!G57,0)</f>
        <v/>
      </c>
      <c r="C15" s="19">
        <f>IFERROR(RANK(B15,$B$15:$B$17,0),0)</f>
        <v/>
      </c>
      <c r="E15" s="47" t="n">
        <v>180000</v>
      </c>
    </row>
    <row r="16">
      <c r="A16" s="7" t="inlineStr">
        <is>
          <t>Dönüş yükü</t>
        </is>
      </c>
      <c r="B16" s="18">
        <f>IFERROR(MOTOR!G58,0)</f>
        <v/>
      </c>
      <c r="C16" s="19">
        <f>IFERROR(RANK(B16,$B$15:$B$17,0),0)</f>
        <v/>
      </c>
      <c r="E16" s="47" t="n">
        <v>95000</v>
      </c>
    </row>
    <row r="17">
      <c r="A17" s="7" t="inlineStr">
        <is>
          <t>Sefer km</t>
        </is>
      </c>
      <c r="B17" s="18">
        <f>IFERROR(MOTOR!G59,0)</f>
        <v/>
      </c>
      <c r="C17" s="19">
        <f>IFERROR(RANK(B17,$B$15:$B$17,0),0)</f>
        <v/>
      </c>
      <c r="E17" s="47" t="n">
        <v>70000</v>
      </c>
    </row>
    <row r="18">
      <c r="A18" s="13" t="inlineStr">
        <is>
          <t>Yakıt 2</t>
        </is>
      </c>
      <c r="B18" s="18">
        <f>B15*sfn_siraBir</f>
        <v/>
      </c>
    </row>
    <row r="19">
      <c r="A19" s="29" t="inlineStr">
        <is>
          <t>Duyarlılık sıra</t>
        </is>
      </c>
      <c r="B19" s="43">
        <f>_xlfn.TEXTJOIN(" &gt; ",TRUE,IF(C15=1,A15,IF(C16=1,A16,A17)),IF(C15=2,A15,IF(C16=2,A16,A17)),IF(C15=3,A15,IF(C16=3,A16,A17)))</f>
        <v/>
      </c>
    </row>
    <row r="20">
      <c r="A20" s="29" t="inlineStr">
        <is>
          <t>Duyarlılık yorumu</t>
        </is>
      </c>
      <c r="B20" s="42">
        <f>_xlfn.TEXTJOIN(" ",TRUE,"Tornado zirve: ",B19," · Etki ",TEXT(MAX(B15:B17),"₺ #,##0"))</f>
        <v/>
      </c>
    </row>
    <row r="21"/>
    <row r="22">
      <c r="A22" s="29" t="inlineStr">
        <is>
          <t>Tahmin alt</t>
        </is>
      </c>
      <c r="B22" s="18">
        <f>IFERROR(B7*sfn_tahminAlt,0)</f>
        <v/>
      </c>
    </row>
    <row r="23">
      <c r="A23" s="29" t="inlineStr">
        <is>
          <t>Tahmin üst</t>
        </is>
      </c>
      <c r="B23" s="18">
        <f>IFERROR(B7*sfn_tahminUst,0)</f>
        <v/>
      </c>
    </row>
    <row r="24">
      <c r="A24" s="29" t="inlineStr">
        <is>
          <t>Aralık genişliği</t>
        </is>
      </c>
      <c r="B24" s="18">
        <f>IFERROR(B23-B22,0)</f>
        <v/>
      </c>
    </row>
    <row r="25">
      <c r="A25" s="13" t="inlineStr">
        <is>
          <t>Tahmin bandı</t>
        </is>
      </c>
      <c r="B25" s="18">
        <f>B22</f>
        <v/>
      </c>
      <c r="C25" s="18">
        <f>B7</f>
        <v/>
      </c>
      <c r="D25" s="18">
        <f>B23</f>
        <v/>
      </c>
    </row>
    <row r="26"/>
    <row r="27">
      <c r="A27" s="13" t="inlineStr">
        <is>
          <t>Seri nokta</t>
        </is>
      </c>
      <c r="D27" s="10" t="inlineStr">
        <is>
          <t>TrendDemo</t>
        </is>
      </c>
    </row>
    <row r="28">
      <c r="A28" s="48" t="n">
        <v>1</v>
      </c>
      <c r="B28" s="18">
        <f>B6</f>
        <v/>
      </c>
      <c r="D28" s="47" t="n">
        <v>14800</v>
      </c>
    </row>
    <row r="29">
      <c r="A29" s="48" t="n">
        <v>2</v>
      </c>
      <c r="B29" s="18">
        <f>B7</f>
        <v/>
      </c>
      <c r="D29" s="47" t="n">
        <v>15200</v>
      </c>
    </row>
    <row r="30">
      <c r="A30" s="48" t="n">
        <v>3</v>
      </c>
      <c r="B30" s="18">
        <f>B8</f>
        <v/>
      </c>
      <c r="D30" s="47" t="n">
        <v>16100</v>
      </c>
    </row>
    <row r="31">
      <c r="A31" s="48" t="n">
        <v>4</v>
      </c>
      <c r="B31" s="18">
        <f>B9</f>
        <v/>
      </c>
      <c r="D31" s="47" t="n">
        <v>15200</v>
      </c>
    </row>
    <row r="32">
      <c r="A32" s="7" t="inlineStr">
        <is>
          <t>Tahmin sonraki</t>
        </is>
      </c>
      <c r="B32" s="18">
        <f>IFERROR(IF(OR(COUNT(B28:B31)&lt;2,STDEV(B28:B31)=0),AVERAGE(B28:B31),AVERAGE(B28:B31)+STDEV(B28:B31)*0),0)</f>
        <v/>
      </c>
    </row>
    <row r="33">
      <c r="A33" s="29" t="inlineStr">
        <is>
          <t>Tahmin yorumu</t>
        </is>
      </c>
      <c r="B33" s="42">
        <f>_xlfn.TEXTJOIN("; ",TRUE,"Tahmin ",TEXT(B32,"₺ #,##0")," · Alt ",TEXT(B22,"₺ #,##0")," · Üst ",TEXT(B23,"₺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D6:D8">
    <cfRule type="cellIs" priority="1" operator="lessThan" dxfId="2">
      <formula>0</formula>
    </cfRule>
    <cfRule type="cellIs" priority="2" operator="greaterThan" dxfId="3">
      <formula>0</formula>
    </cfRule>
  </conditionalFormatting>
  <conditionalFormatting sqref="B6:B8">
    <cfRule type="cellIs" priority="3" operator="lessThan" dxfId="2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00B3261E"/>
    <outlinePr summaryBelow="1" summaryRight="1"/>
    <pageSetUpPr fitToPage="1"/>
  </sheetPr>
  <dimension ref="A1:AD16"/>
  <sheetViews>
    <sheetView showGridLines="0" workbookViewId="0">
      <selection activeCell="A1" sqref="A1"/>
    </sheetView>
  </sheetViews>
  <sheetFormatPr baseColWidth="8" defaultRowHeight="15"/>
  <cols>
    <col width="89.5" customWidth="1" min="1" max="1"/>
    <col width="5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KARAR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2" customHeight="1">
      <c r="A3" s="228" t="inlineStr">
        <is>
          <t>Hat yatırım / navlun karar kapısı</t>
        </is>
      </c>
    </row>
    <row r="4"/>
    <row r="5">
      <c r="A5" s="49" t="inlineStr">
        <is>
          <t>Karar</t>
        </is>
      </c>
      <c r="B5" s="60">
        <f>sfn_kararMetni</f>
        <v/>
      </c>
    </row>
    <row r="6">
      <c r="A6" s="29" t="inlineStr">
        <is>
          <t>Gerekçe</t>
        </is>
      </c>
      <c r="B6" s="42">
        <f>sfn_kararGerekce</f>
        <v/>
      </c>
    </row>
    <row r="7"/>
    <row r="8">
      <c r="A8" s="29" t="inlineStr">
        <is>
          <t>NPV [₺]</t>
        </is>
      </c>
      <c r="B8" s="18">
        <f>sfn_npv</f>
        <v/>
      </c>
    </row>
    <row r="9">
      <c r="A9" s="29" t="inlineStr">
        <is>
          <t>IRR</t>
        </is>
      </c>
      <c r="B9" s="31">
        <f>sfn_irr</f>
        <v/>
      </c>
    </row>
    <row r="10">
      <c r="A10" s="29" t="inlineStr">
        <is>
          <t>Net navlun [₺]</t>
        </is>
      </c>
      <c r="B10" s="18">
        <f>sfn_netNavlun</f>
        <v/>
      </c>
    </row>
    <row r="11">
      <c r="A11" s="29" t="inlineStr">
        <is>
          <t>Kötümser karar</t>
        </is>
      </c>
      <c r="B11" s="43">
        <f>IFERROR(MOTOR!G56,"YATIRIM YAPMA")</f>
        <v/>
      </c>
    </row>
    <row r="12"/>
    <row r="13">
      <c r="A13" s="29" t="inlineStr">
        <is>
          <t>CAPEX / YATIRIM</t>
        </is>
      </c>
      <c r="B13" s="18">
        <f>GIRDI!B14</f>
        <v/>
      </c>
    </row>
    <row r="14">
      <c r="A14" s="29" t="inlineStr">
        <is>
          <t>OPEX / ISLETME yıllık</t>
        </is>
      </c>
      <c r="B14" s="18">
        <f>IFERROR(MOTOR!G41,0)</f>
        <v/>
      </c>
    </row>
    <row r="15"/>
    <row r="16">
      <c r="A16" s="4" t="inlineStr">
        <is>
          <t>Boş girişte karar daima VERİ YOK olur. Kötümser NPV negatifse YATIRIM YAPMA 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6:H16"/>
    <mergeCell ref="A1:I1"/>
    <mergeCell ref="B6:H6"/>
    <mergeCell ref="A3:I3"/>
  </mergeCells>
  <conditionalFormatting sqref="B5">
    <cfRule type="expression" priority="1" dxfId="0">
      <formula>ISNUMBER(SEARCH("VERİ YOK",B5))</formula>
    </cfRule>
    <cfRule type="expression" priority="2" dxfId="0">
      <formula>ISNUMBER(SEARCH("YATIRIM YAPMA",B5))</formula>
    </cfRule>
    <cfRule type="expression" priority="3" dxfId="1">
      <formula>ISNUMBER(SEARCH("YATIRIM YAPILIR",B5))</formula>
    </cfRule>
    <cfRule type="expression" priority="4" dxfId="4">
      <formula>ISNUMBER(SEARCH("DİKKAT",B5))</formula>
    </cfRule>
  </conditionalFormatting>
  <conditionalFormatting sqref="B11">
    <cfRule type="expression" priority="5" dxfId="0">
      <formula>ISNUMBER(SEARCH("YATIRIM YAPMA",B11))</formula>
    </cfRule>
  </conditionalFormatting>
  <conditionalFormatting sqref="B8">
    <cfRule type="cellIs" priority="6" operator="lessThan" dxfId="2">
      <formula>0</formula>
    </cfRule>
    <cfRule type="cellIs" priority="7" operator="greater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&amp;LSevkiyat Fiyatlama &amp; Navlun Maliyet Motoru · KARAR&amp;CExcelArşiv&amp;RSayfa &amp;P / &amp;N</oddFooter>
    <evenHeader/>
    <evenFooter>&amp;LSevkiyat Fiyatlama &amp; Navlun Maliyet Motoru · KARAR&amp;CExcelArşiv&amp;RSayfa &amp;P / &amp;N</evenFooter>
    <firstHeader/>
    <firstFooter/>
  </headerFooter>
</worksheet>
</file>

<file path=xl/worksheets/sheet22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D3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5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KANIT RAPORU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2" customHeight="1">
      <c r="A3" s="228" t="inlineStr">
        <is>
          <t>KANIT RAPORU — Sevkiyat Fiyatlama &amp; Navlun</t>
        </is>
      </c>
    </row>
    <row r="4">
      <c r="A4" s="13" t="inlineStr">
        <is>
          <t>Lojistik / finans dosyası</t>
        </is>
      </c>
    </row>
    <row r="5"/>
    <row r="6">
      <c r="A6" s="29" t="inlineStr">
        <is>
          <t>Şirket</t>
        </is>
      </c>
      <c r="B6" s="43">
        <f>GIRDI!B6</f>
        <v/>
      </c>
    </row>
    <row r="7">
      <c r="A7" s="29" t="inlineStr">
        <is>
          <t>Dönem</t>
        </is>
      </c>
      <c r="B7" s="43">
        <f>GIRDI!B7</f>
        <v/>
      </c>
    </row>
    <row r="8">
      <c r="A8" s="29" t="inlineStr">
        <is>
          <t>Araç tipi</t>
        </is>
      </c>
      <c r="B8" s="43">
        <f>GIRDI!B9</f>
        <v/>
      </c>
    </row>
    <row r="9">
      <c r="A9" s="29" t="inlineStr">
        <is>
          <t>Rapor tarihi</t>
        </is>
      </c>
      <c r="B9" s="71">
        <f>raporTarihi</f>
        <v/>
      </c>
    </row>
    <row r="10"/>
    <row r="11">
      <c r="A11" s="29" t="inlineStr">
        <is>
          <t>Birim maliyet [₺]</t>
        </is>
      </c>
      <c r="B11" s="18">
        <f>sfn_birimMaliyet</f>
        <v/>
      </c>
    </row>
    <row r="12">
      <c r="A12" s="29" t="inlineStr">
        <is>
          <t>Net navlun [₺]</t>
        </is>
      </c>
      <c r="B12" s="18">
        <f>sfn_netNavlun</f>
        <v/>
      </c>
    </row>
    <row r="13">
      <c r="A13" s="29" t="inlineStr">
        <is>
          <t>Dönüş katkı [₺]</t>
        </is>
      </c>
      <c r="B13" s="18">
        <f>sfn_donusYukuKatki</f>
        <v/>
      </c>
    </row>
    <row r="14">
      <c r="A14" s="44" t="inlineStr">
        <is>
          <t>Önerilen fiyat [₺]</t>
        </is>
      </c>
      <c r="B14" s="17">
        <f>IFERROR(MOTOR!G38,0)</f>
        <v/>
      </c>
    </row>
    <row r="15">
      <c r="A15" s="29" t="inlineStr">
        <is>
          <t>NPV [₺]</t>
        </is>
      </c>
      <c r="B15" s="18">
        <f>sfn_npv</f>
        <v/>
      </c>
    </row>
    <row r="16">
      <c r="A16" s="29" t="inlineStr">
        <is>
          <t>IRR</t>
        </is>
      </c>
      <c r="B16" s="31">
        <f>sfn_irr</f>
        <v/>
      </c>
    </row>
    <row r="17"/>
    <row r="18">
      <c r="A18" s="44" t="inlineStr">
        <is>
          <t>Karar</t>
        </is>
      </c>
      <c r="B18" s="62">
        <f>sfn_kararMetni</f>
        <v/>
      </c>
    </row>
    <row r="19">
      <c r="A19" s="29" t="inlineStr">
        <is>
          <t>Gerekçe</t>
        </is>
      </c>
      <c r="B19" s="42">
        <f>sfn_kararGerekce</f>
        <v/>
      </c>
    </row>
    <row r="20"/>
    <row r="21">
      <c r="A21" s="29" t="inlineStr">
        <is>
          <t>Kanıt özeti</t>
        </is>
      </c>
      <c r="B21" s="42">
        <f>IFERROR(MOTOR!G61,"-")</f>
        <v/>
      </c>
    </row>
    <row r="22"/>
    <row r="23">
      <c r="A23" s="29" t="inlineStr">
        <is>
          <t>Parmak izi</t>
        </is>
      </c>
      <c r="B23" s="13">
        <f>sfn_parmakIzi</f>
        <v/>
      </c>
    </row>
    <row r="24"/>
    <row r="25"/>
    <row r="26">
      <c r="A26" s="29" t="inlineStr">
        <is>
          <t>Hazırlayan</t>
        </is>
      </c>
      <c r="B26" s="63" t="inlineStr"/>
    </row>
    <row r="27">
      <c r="A27" s="29" t="inlineStr">
        <is>
          <t>Onaylayan</t>
        </is>
      </c>
      <c r="B27" s="63" t="inlineStr"/>
    </row>
    <row r="28"/>
    <row r="29"/>
    <row r="30">
      <c r="A30" s="64" t="inlineStr">
        <is>
          <t>Bu çıktı karar destek amaçlıdır; bağlayıcı lojistik veya yatırım kararı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B21:H21"/>
    <mergeCell ref="A1:I1"/>
    <mergeCell ref="A3:I3"/>
    <mergeCell ref="B19:H19"/>
  </mergeCells>
  <dataValidations count="1">
    <dataValidation sqref="B26:B27" showDropDown="0" showInputMessage="1" showErrorMessage="1" allowBlank="1" errorTitle="Uzun" error="En fazla 80 karakter." promptTitle="İmza" prompt="Ad soyad yazın (opsiyonel)." type="textLength" errorStyle="stop" operator="lessThanOrEqual">
      <formula1>0</formula1>
      <formula2>80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&amp;LSevkiyat Fiyatlama &amp; Navlun Maliyet Motoru · 1.0.0&amp;CExcelArşiv&amp;RSayfa &amp;P / &amp;N</oddFooter>
    <evenHeader/>
    <evenFooter>&amp;LSevkiyat Fiyatlama &amp; Navlun Maliyet Motoru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C00000"/>
    <outlinePr summaryBelow="1" summaryRight="1"/>
    <pageSetUpPr/>
  </sheetPr>
  <dimension ref="A1:AD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KONTROLLER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2" customHeight="1">
      <c r="A3" s="228" t="inlineStr">
        <is>
          <t>Dosya sağlık kontrolleri</t>
        </is>
      </c>
    </row>
    <row r="4">
      <c r="A4" s="45" t="inlineStr">
        <is>
          <t>Kontrol</t>
        </is>
      </c>
      <c r="B4" s="45" t="inlineStr">
        <is>
          <t>Sonuç</t>
        </is>
      </c>
    </row>
    <row r="5">
      <c r="A5" s="7" t="inlineStr">
        <is>
          <t>Giriş dolu mu?</t>
        </is>
      </c>
      <c r="B5" s="43">
        <f>IFERROR(IF(COUNTA(tblGirdi[Alan Anahtarı])=0,"BOŞ","DOLU"),"BOŞ")</f>
        <v/>
      </c>
    </row>
    <row r="6">
      <c r="A6" s="7" t="inlineStr">
        <is>
          <t>Sefer km &gt; 0?</t>
        </is>
      </c>
      <c r="B6" s="43">
        <f>IFERROR(IF(GIRDI!B8&gt;0,"TEMİZ","HATALI"),"HATALI")</f>
        <v/>
      </c>
    </row>
    <row r="7">
      <c r="A7" s="7" t="inlineStr">
        <is>
          <t>Bileşim %100?</t>
        </is>
      </c>
      <c r="B7" s="43">
        <f>IFERROR(IF(ABS(MOTOR!G45-sfn_hedefYuzde)&lt;=sfn_bilesimTolerans,"TEMİZ","ALARM"),"ALARM")</f>
        <v/>
      </c>
    </row>
    <row r="8">
      <c r="A8" s="7" t="inlineStr">
        <is>
          <t>Kırılım = birim?</t>
        </is>
      </c>
      <c r="B8" s="43">
        <f>IFERROR(IF(ABS(MOTOR!G34-MOTOR!G35)&lt;=sfn_tolerans,"TEMİZ","HATALI"),"HATALI")</f>
        <v/>
      </c>
    </row>
    <row r="9">
      <c r="A9" s="7" t="inlineStr">
        <is>
          <t>CAPEX tanımlı mı?</t>
        </is>
      </c>
      <c r="B9" s="43">
        <f>IFERROR(IF(GIRDI!B14&gt;0,"TEMİZ","EKSİK"),"EKSİK")</f>
        <v/>
      </c>
    </row>
    <row r="10">
      <c r="A10" s="7" t="inlineStr">
        <is>
          <t>Dönüşüm tablosu?</t>
        </is>
      </c>
      <c r="B10" s="43">
        <f>IFERROR(IF(COUNTA(tblDonusum[donusum_id])&gt;0,"TEMİZ","EKSİK"),"EKSİK")</f>
        <v/>
      </c>
    </row>
    <row r="11">
      <c r="A11" s="7" t="inlineStr">
        <is>
          <t>Fire kolonu?</t>
        </is>
      </c>
      <c r="B11" s="43">
        <f>IFERROR(IF(COUNTA(tblRecete[fire])&gt;0,"TEMİZ","EKSİK"),"EKSİK")</f>
        <v/>
      </c>
    </row>
    <row r="12">
      <c r="A12" s="7" t="inlineStr">
        <is>
          <t>Versiyon köprüsü?</t>
        </is>
      </c>
      <c r="B12" s="43">
        <f>IFERROR(IF(VARYANS!B11&lt;&gt;"","TEMİZ","EKSİK"),"EKSİK")</f>
        <v/>
      </c>
    </row>
    <row r="13"/>
    <row r="14">
      <c r="A14" s="29" t="inlineStr">
        <is>
          <t>Karar (ayna)</t>
        </is>
      </c>
      <c r="B14" s="43">
        <f>IFERROR(sfn_kararMetni,"-")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2">
    <cfRule type="expression" priority="1" dxfId="0">
      <formula>B5="HATALI"</formula>
    </cfRule>
    <cfRule type="expression" priority="2" dxfId="0">
      <formula>B5="ALARM"</formula>
    </cfRule>
    <cfRule type="expression" priority="3" dxfId="1">
      <formula>B5="TEMİZ"</formula>
    </cfRule>
    <cfRule type="expression" priority="4" dxfId="4">
      <formula>B5="BOŞ"</formula>
    </cfRule>
    <cfRule type="expression" priority="5" dxfId="4">
      <formula>B5="EKSİK"</formula>
    </cfRule>
    <cfRule type="expression" priority="6" dxfId="1">
      <formula>B5="DOLU"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70AD47"/>
    <outlinePr summaryBelow="1" summaryRight="1"/>
    <pageSetUpPr/>
  </sheetPr>
  <dimension ref="A1:AD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.5" customWidth="1" min="1" max="1"/>
    <col width="14" customWidth="1" min="2" max="2"/>
    <col width="14" customWidth="1" min="3" max="3"/>
    <col width="14" customWidth="1" min="4" max="4"/>
    <col width="14.5" customWidth="1" min="5" max="5"/>
    <col width="14" customWidth="1" min="6" max="6"/>
    <col width="14.5" customWidth="1" min="7" max="7"/>
    <col width="14" customWidth="1" min="8" max="8"/>
    <col width="16.5" customWidth="1" min="9" max="9"/>
    <col width="13" customWidth="1" min="10" max="10"/>
  </cols>
  <sheetData>
    <row r="1" ht="32" customHeight="1">
      <c r="A1" s="209" t="inlineStr">
        <is>
          <t>ORNEK VERI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2" customHeight="1">
      <c r="A3" s="228" t="inlineStr">
        <is>
          <t>Örnek sevkiyat satırları</t>
        </is>
      </c>
    </row>
    <row r="4"/>
    <row r="5" ht="30" customHeight="1">
      <c r="A5" s="20" t="inlineStr">
        <is>
          <t>Sefer Numarasi</t>
        </is>
      </c>
      <c r="B5" s="20" t="inlineStr">
        <is>
          <t>Arac Tipi</t>
        </is>
      </c>
      <c r="C5" s="20" t="inlineStr">
        <is>
          <t>Km</t>
        </is>
      </c>
      <c r="D5" s="20" t="inlineStr">
        <is>
          <t>Ton</t>
        </is>
      </c>
      <c r="E5" s="20" t="inlineStr">
        <is>
          <t>Donus Oran</t>
        </is>
      </c>
      <c r="F5" s="20" t="inlineStr">
        <is>
          <t>Yakit Tl</t>
        </is>
      </c>
      <c r="G5" s="20" t="inlineStr">
        <is>
          <t>Net Navlun</t>
        </is>
      </c>
      <c r="H5" s="20" t="inlineStr">
        <is>
          <t>Teklif</t>
        </is>
      </c>
      <c r="I5" s="20" t="inlineStr">
        <is>
          <t>Marj Kontrol</t>
        </is>
      </c>
    </row>
    <row r="6">
      <c r="A6" s="12" t="inlineStr">
        <is>
          <t>SF-001</t>
        </is>
      </c>
      <c r="B6" s="12" t="inlineStr">
        <is>
          <t>TIR</t>
        </is>
      </c>
      <c r="C6" s="14" t="n">
        <v>450</v>
      </c>
      <c r="D6" s="14" t="n">
        <v>20</v>
      </c>
      <c r="E6" s="15" t="n">
        <v>0.4</v>
      </c>
      <c r="F6" s="68" t="n">
        <v>45</v>
      </c>
      <c r="G6" s="16" t="n">
        <v>13200</v>
      </c>
      <c r="H6" s="16" t="n">
        <v>16100</v>
      </c>
      <c r="I6" s="22">
        <f>IF($A6="","",IFERROR(IF(N($H6)=0,0,(N($H6)-N($G6))/N($H6)),0))</f>
        <v/>
      </c>
    </row>
    <row r="7">
      <c r="A7" s="12" t="inlineStr">
        <is>
          <t>SF-002</t>
        </is>
      </c>
      <c r="B7" s="12" t="inlineStr">
        <is>
          <t>Kamyon</t>
        </is>
      </c>
      <c r="C7" s="14" t="n">
        <v>280</v>
      </c>
      <c r="D7" s="14" t="n">
        <v>12</v>
      </c>
      <c r="E7" s="15" t="n">
        <v>0.25</v>
      </c>
      <c r="F7" s="68" t="n">
        <v>45</v>
      </c>
      <c r="G7" s="16" t="n">
        <v>7800</v>
      </c>
      <c r="H7" s="16" t="n">
        <v>9500</v>
      </c>
      <c r="I7" s="22">
        <f>IF($A7="","",IFERROR(IF(N($H7)=0,0,(N($H7)-N($G7))/N($H7)),0))</f>
        <v/>
      </c>
    </row>
    <row r="8">
      <c r="A8" s="12" t="inlineStr">
        <is>
          <t>SF-003</t>
        </is>
      </c>
      <c r="B8" s="12" t="inlineStr">
        <is>
          <t>Panelvan</t>
        </is>
      </c>
      <c r="C8" s="14" t="n">
        <v>120</v>
      </c>
      <c r="D8" s="14" t="n">
        <v>2</v>
      </c>
      <c r="E8" s="15" t="n">
        <v>0.1</v>
      </c>
      <c r="F8" s="68" t="n">
        <v>45</v>
      </c>
      <c r="G8" s="16" t="n">
        <v>2100</v>
      </c>
      <c r="H8" s="16" t="n">
        <v>2600</v>
      </c>
      <c r="I8" s="22">
        <f>IF($A8="","",IFERROR(IF(N($H8)=0,0,(N($H8)-N($G8))/N($H8)),0))</f>
        <v/>
      </c>
    </row>
    <row r="9">
      <c r="A9" s="12" t="inlineStr">
        <is>
          <t>SF-004</t>
        </is>
      </c>
      <c r="B9" s="12" t="inlineStr">
        <is>
          <t>TIR</t>
        </is>
      </c>
      <c r="C9" s="14" t="n">
        <v>620</v>
      </c>
      <c r="D9" s="14" t="n">
        <v>22</v>
      </c>
      <c r="E9" s="15" t="n">
        <v>0.5</v>
      </c>
      <c r="F9" s="68" t="n">
        <v>48</v>
      </c>
      <c r="G9" s="16" t="n">
        <v>16800</v>
      </c>
      <c r="H9" s="16" t="n">
        <v>20500</v>
      </c>
      <c r="I9" s="22">
        <f>IF($A9="","",IFERROR(IF(N($H9)=0,0,(N($H9)-N($G9))/N($H9)),0))</f>
        <v/>
      </c>
    </row>
    <row r="10">
      <c r="A10" s="12" t="inlineStr">
        <is>
          <t>SF-005</t>
        </is>
      </c>
      <c r="B10" s="12" t="inlineStr">
        <is>
          <t>Kamyon</t>
        </is>
      </c>
      <c r="C10" s="14" t="n">
        <v>350</v>
      </c>
      <c r="D10" s="14" t="n">
        <v>14</v>
      </c>
      <c r="E10" s="15" t="n">
        <v>0.3</v>
      </c>
      <c r="F10" s="68" t="n">
        <v>45</v>
      </c>
      <c r="G10" s="16" t="n">
        <v>9200</v>
      </c>
      <c r="H10" s="16" t="n">
        <v>11200</v>
      </c>
      <c r="I10" s="22">
        <f>IF($A10="","",IFERROR(IF(N($H10)=0,0,(N($H10)-N($G10))/N($H10)),0))</f>
        <v/>
      </c>
    </row>
    <row r="11">
      <c r="I11" s="22">
        <f>IF($A11="","",IFERROR(IF(N($H11)=0,0,(N($H11)-N($G11))/N($H11)),0))</f>
        <v/>
      </c>
    </row>
    <row r="12">
      <c r="I12" s="22">
        <f>IF($A12="","",IFERROR(IF(N($H12)=0,0,(N($H12)-N($G12))/N($H12)),0))</f>
        <v/>
      </c>
    </row>
    <row r="13">
      <c r="I13" s="22">
        <f>IF($A13="","",IFERROR(IF(N($H13)=0,0,(N($H13)-N($G13))/N($H13)),0))</f>
        <v/>
      </c>
    </row>
    <row r="14">
      <c r="I14" s="22">
        <f>IF($A14="","",IFERROR(IF(N($H14)=0,0,(N($H14)-N($G14))/N($H14)),0))</f>
        <v/>
      </c>
    </row>
    <row r="15">
      <c r="I15" s="22">
        <f>IF($A15="","",IFERROR(IF(N($H15)=0,0,(N($H15)-N($G15))/N($H15)),0))</f>
        <v/>
      </c>
    </row>
    <row r="16">
      <c r="I16" s="22">
        <f>IF($A16="","",IFERROR(IF(N($H16)=0,0,(N($H16)-N($G16))/N($H16)),0))</f>
        <v/>
      </c>
    </row>
    <row r="17">
      <c r="I17" s="22">
        <f>IF($A17="","",IFERROR(IF(N($H17)=0,0,(N($H17)-N($G17))/N($H17)),0))</f>
        <v/>
      </c>
    </row>
    <row r="18">
      <c r="I18" s="22">
        <f>IF($A18="","",IFERROR(IF(N($H18)=0,0,(N($H18)-N($G18))/N($H18)),0))</f>
        <v/>
      </c>
    </row>
    <row r="19">
      <c r="I19" s="22">
        <f>IF($A19="","",IFERROR(IF(N($H19)=0,0,(N($H19)-N($G19))/N($H19)),0))</f>
        <v/>
      </c>
    </row>
    <row r="20">
      <c r="I20" s="22">
        <f>IF($A20="","",IFERROR(IF(N($H20)=0,0,(N($H20)-N($G20))/N($H20)),0))</f>
        <v/>
      </c>
    </row>
    <row r="21">
      <c r="I21" s="22">
        <f>IF($A21="","",IFERROR(IF(N($H21)=0,0,(N($H21)-N($G21))/N($H21)),0))</f>
        <v/>
      </c>
    </row>
    <row r="22">
      <c r="I22" s="22">
        <f>IF($A22="","",IFERROR(IF(N($H22)=0,0,(N($H22)-N($G22))/N($H22)),0))</f>
        <v/>
      </c>
    </row>
    <row r="23">
      <c r="I23" s="22">
        <f>IF($A23="","",IFERROR(IF(N($H23)=0,0,(N($H23)-N($G23))/N($H23)),0))</f>
        <v/>
      </c>
    </row>
    <row r="24">
      <c r="I24" s="22">
        <f>IF($A24="","",IFERROR(IF(N($H24)=0,0,(N($H24)-N($G24))/N($H24)),0))</f>
        <v/>
      </c>
    </row>
    <row r="25">
      <c r="I25" s="22">
        <f>IF($A25="","",IFERROR(IF(N($H25)=0,0,(N($H25)-N($G25))/N($H25)),0))</f>
        <v/>
      </c>
    </row>
    <row r="26">
      <c r="I26" s="22">
        <f>IF($A26="","",IFERROR(IF(N($H26)=0,0,(N($H26)-N($G26))/N($H26)),0))</f>
        <v/>
      </c>
    </row>
    <row r="27">
      <c r="I27" s="22">
        <f>IF($A27="","",IFERROR(IF(N($H27)=0,0,(N($H27)-N($G27))/N($H27)),0))</f>
        <v/>
      </c>
    </row>
    <row r="28">
      <c r="I28" s="22">
        <f>IF($A28="","",IFERROR(IF(N($H28)=0,0,(N($H28)-N($G28))/N($H28)),0))</f>
        <v/>
      </c>
    </row>
    <row r="29">
      <c r="I29" s="22">
        <f>IF($A29="","",IFERROR(IF(N($H29)=0,0,(N($H29)-N($G29))/N($H29)),0))</f>
        <v/>
      </c>
    </row>
    <row r="30">
      <c r="I30" s="22">
        <f>IF($A30="","",IFERROR(IF(N($H30)=0,0,(N($H30)-N($G30))/N($H30)),0))</f>
        <v/>
      </c>
    </row>
    <row r="31">
      <c r="I31" s="22">
        <f>IF($A31="","",IFERROR(IF(N($H31)=0,0,(N($H31)-N($G31))/N($H31)),0))</f>
        <v/>
      </c>
    </row>
    <row r="32">
      <c r="I32" s="22">
        <f>IF($A32="","",IFERROR(IF(N($H32)=0,0,(N($H32)-N($G32))/N($H32)),0))</f>
        <v/>
      </c>
    </row>
    <row r="33">
      <c r="I33" s="22">
        <f>IF($A33="","",IFERROR(IF(N($H33)=0,0,(N($H33)-N($G33))/N($H33)),0))</f>
        <v/>
      </c>
    </row>
    <row r="34">
      <c r="I34" s="22">
        <f>IF($A34="","",IFERROR(IF(N($H34)=0,0,(N($H34)-N($G34))/N($H34)),0))</f>
        <v/>
      </c>
    </row>
    <row r="35">
      <c r="I35" s="22">
        <f>IF($A35="","",IFERROR(IF(N($H35)=0,0,(N($H35)-N($G35))/N($H35)),0))</f>
        <v/>
      </c>
    </row>
    <row r="36">
      <c r="I36" s="22">
        <f>IF($A36="","",IFERROR(IF(N($H36)=0,0,(N($H36)-N($G36))/N($H36)),0))</f>
        <v/>
      </c>
    </row>
    <row r="37">
      <c r="I37" s="22">
        <f>IF($A37="","",IFERROR(IF(N($H37)=0,0,(N($H37)-N($G37))/N($H37)),0))</f>
        <v/>
      </c>
    </row>
    <row r="38">
      <c r="I38" s="22">
        <f>IF($A38="","",IFERROR(IF(N($H38)=0,0,(N($H38)-N($G38))/N($H38)),0))</f>
        <v/>
      </c>
    </row>
    <row r="39">
      <c r="I39" s="22">
        <f>IF($A39="","",IFERROR(IF(N($H39)=0,0,(N($H39)-N($G39))/N($H39)),0))</f>
        <v/>
      </c>
    </row>
    <row r="40">
      <c r="I40" s="22">
        <f>IF($A40="","",IFERROR(IF(N($H40)=0,0,(N($H40)-N($G40))/N($H40)),0))</f>
        <v/>
      </c>
    </row>
    <row r="41">
      <c r="I41" s="22">
        <f>IF($A41="","",IFERROR(IF(N($H41)=0,0,(N($H41)-N($G41))/N($H41)),0))</f>
        <v/>
      </c>
    </row>
    <row r="42">
      <c r="I42" s="22">
        <f>IF($A42="","",IFERROR(IF(N($H42)=0,0,(N($H42)-N($G42))/N($H42)),0))</f>
        <v/>
      </c>
    </row>
    <row r="43">
      <c r="I43" s="22">
        <f>IF($A43="","",IFERROR(IF(N($H43)=0,0,(N($H43)-N($G43))/N($H43)),0))</f>
        <v/>
      </c>
    </row>
    <row r="44">
      <c r="I44" s="22">
        <f>IF($A44="","",IFERROR(IF(N($H44)=0,0,(N($H44)-N($G44))/N($H44)),0))</f>
        <v/>
      </c>
    </row>
    <row r="45">
      <c r="I45" s="22">
        <f>IF($A45="","",IFERROR(IF(N($H45)=0,0,(N($H45)-N($G45))/N($H45)),0))</f>
        <v/>
      </c>
    </row>
    <row r="46">
      <c r="I46" s="22">
        <f>IF($A46="","",IFERROR(IF(N($H46)=0,0,(N($H46)-N($G46))/N($H46)),0))</f>
        <v/>
      </c>
    </row>
    <row r="47">
      <c r="I47" s="22">
        <f>IF($A47="","",IFERROR(IF(N($H47)=0,0,(N($H47)-N($G47))/N($H47)),0))</f>
        <v/>
      </c>
    </row>
    <row r="48">
      <c r="I48" s="22">
        <f>IF($A48="","",IFERROR(IF(N($H48)=0,0,(N($H48)-N($G48))/N($H48)),0))</f>
        <v/>
      </c>
    </row>
    <row r="49">
      <c r="I49" s="22">
        <f>IF($A49="","",IFERROR(IF(N($H49)=0,0,(N($H49)-N($G49))/N($H49)),0))</f>
        <v/>
      </c>
    </row>
    <row r="50">
      <c r="I50" s="22">
        <f>IF($A50="","",IFERROR(IF(N($H50)=0,0,(N($H50)-N($G50))/N($H50)),0))</f>
        <v/>
      </c>
    </row>
    <row r="51">
      <c r="I51" s="22">
        <f>IF($A51="","",IFERROR(IF(N($H51)=0,0,(N($H51)-N($G51))/N($H51)),0))</f>
        <v/>
      </c>
    </row>
    <row r="52">
      <c r="I52" s="22">
        <f>IF($A52="","",IFERROR(IF(N($H52)=0,0,(N($H52)-N($G52))/N($H52)),0))</f>
        <v/>
      </c>
    </row>
    <row r="53">
      <c r="I53" s="22">
        <f>IF($A53="","",IFERROR(IF(N($H53)=0,0,(N($H53)-N($G53))/N($H53)),0))</f>
        <v/>
      </c>
    </row>
    <row r="54">
      <c r="I54" s="22">
        <f>IF($A54="","",IFERROR(IF(N($H54)=0,0,(N($H54)-N($G54))/N($H54)),0))</f>
        <v/>
      </c>
    </row>
    <row r="55">
      <c r="I55" s="22">
        <f>IF($A55="","",IFERROR(IF(N($H55)=0,0,(N($H55)-N($G55))/N($H55)),0))</f>
        <v/>
      </c>
    </row>
    <row r="56">
      <c r="I56" s="22">
        <f>IF($A56="","",IFERROR(IF(N($H56)=0,0,(N($H56)-N($G56))/N($H56)),0))</f>
        <v/>
      </c>
    </row>
    <row r="57">
      <c r="I57" s="22">
        <f>IF($A57="","",IFERROR(IF(N($H57)=0,0,(N($H57)-N($G57))/N($H57)),0))</f>
        <v/>
      </c>
    </row>
    <row r="58">
      <c r="I58" s="22">
        <f>IF($A58="","",IFERROR(IF(N($H58)=0,0,(N($H58)-N($G58))/N($H58)),0))</f>
        <v/>
      </c>
    </row>
    <row r="59">
      <c r="I59" s="22">
        <f>IF($A59="","",IFERROR(IF(N($H59)=0,0,(N($H59)-N($G59))/N($H59)),0))</f>
        <v/>
      </c>
    </row>
    <row r="60">
      <c r="I60" s="22">
        <f>IF($A60="","",IFERROR(IF(N($H60)=0,0,(N($H60)-N($G60))/N($H60)),0))</f>
        <v/>
      </c>
    </row>
    <row r="61">
      <c r="I61" s="22">
        <f>IF($A61="","",IFERROR(IF(N($H61)=0,0,(N($H61)-N($G61))/N($H61)),0))</f>
        <v/>
      </c>
    </row>
    <row r="62">
      <c r="I62" s="22">
        <f>IF($A62="","",IFERROR(IF(N($H62)=0,0,(N($H62)-N($G62))/N($H62)),0))</f>
        <v/>
      </c>
    </row>
    <row r="63">
      <c r="I63" s="22">
        <f>IF($A63="","",IFERROR(IF(N($H63)=0,0,(N($H63)-N($G63))/N($H63)),0))</f>
        <v/>
      </c>
    </row>
    <row r="64">
      <c r="I64" s="22">
        <f>IF($A64="","",IFERROR(IF(N($H64)=0,0,(N($H64)-N($G64))/N($H64)),0))</f>
        <v/>
      </c>
    </row>
    <row r="65">
      <c r="I65" s="22">
        <f>IF($A65="","",IFERROR(IF(N($H65)=0,0,(N($H65)-N($G65))/N($H65)),0))</f>
        <v/>
      </c>
    </row>
    <row r="66">
      <c r="I66" s="22">
        <f>IF($A66="","",IFERROR(IF(N($H66)=0,0,(N($H66)-N($G66))/N($H66)),0))</f>
        <v/>
      </c>
    </row>
    <row r="67">
      <c r="I67" s="22">
        <f>IF($A67="","",IFERROR(IF(N($H67)=0,0,(N($H67)-N($G67))/N($H67)),0))</f>
        <v/>
      </c>
    </row>
    <row r="68">
      <c r="I68" s="22">
        <f>IF($A68="","",IFERROR(IF(N($H68)=0,0,(N($H68)-N($G68))/N($H68)),0))</f>
        <v/>
      </c>
    </row>
    <row r="69">
      <c r="I69" s="22">
        <f>IF($A69="","",IFERROR(IF(N($H69)=0,0,(N($H69)-N($G69))/N($H69)),0))</f>
        <v/>
      </c>
    </row>
    <row r="70">
      <c r="I70" s="22">
        <f>IF($A70="","",IFERROR(IF(N($H70)=0,0,(N($H70)-N($G70))/N($H70)),0))</f>
        <v/>
      </c>
    </row>
    <row r="71">
      <c r="I71" s="22">
        <f>IF($A71="","",IFERROR(IF(N($H71)=0,0,(N($H71)-N($G71))/N($H71)),0))</f>
        <v/>
      </c>
    </row>
    <row r="72">
      <c r="I72" s="22">
        <f>IF($A72="","",IFERROR(IF(N($H72)=0,0,(N($H72)-N($G72))/N($H72)),0))</f>
        <v/>
      </c>
    </row>
    <row r="73">
      <c r="I73" s="22">
        <f>IF($A73="","",IFERROR(IF(N($H73)=0,0,(N($H73)-N($G73))/N($H73)),0))</f>
        <v/>
      </c>
    </row>
    <row r="74">
      <c r="I74" s="22">
        <f>IF($A74="","",IFERROR(IF(N($H74)=0,0,(N($H74)-N($G74))/N($H74)),0))</f>
        <v/>
      </c>
    </row>
    <row r="75">
      <c r="I75" s="22">
        <f>IF($A75="","",IFERROR(IF(N($H75)=0,0,(N($H75)-N($G75))/N($H75)),0))</f>
        <v/>
      </c>
    </row>
    <row r="76">
      <c r="I76" s="22">
        <f>IF($A76="","",IFERROR(IF(N($H76)=0,0,(N($H76)-N($G76))/N($H76)),0))</f>
        <v/>
      </c>
    </row>
    <row r="77">
      <c r="I77" s="22">
        <f>IF($A77="","",IFERROR(IF(N($H77)=0,0,(N($H77)-N($G77))/N($H77)),0))</f>
        <v/>
      </c>
    </row>
    <row r="78">
      <c r="I78" s="22">
        <f>IF($A78="","",IFERROR(IF(N($H78)=0,0,(N($H78)-N($G78))/N($H78)),0))</f>
        <v/>
      </c>
    </row>
    <row r="79">
      <c r="I79" s="22">
        <f>IF($A79="","",IFERROR(IF(N($H79)=0,0,(N($H79)-N($G79))/N($H79)),0))</f>
        <v/>
      </c>
    </row>
    <row r="80">
      <c r="I80" s="22">
        <f>IF($A80="","",IFERROR(IF(N($H80)=0,0,(N($H80)-N($G80))/N($H80)),0))</f>
        <v/>
      </c>
    </row>
    <row r="81">
      <c r="I81" s="22">
        <f>IF($A81="","",IFERROR(IF(N($H81)=0,0,(N($H81)-N($G81))/N($H81)),0))</f>
        <v/>
      </c>
    </row>
    <row r="82">
      <c r="I82" s="22">
        <f>IF($A82="","",IFERROR(IF(N($H82)=0,0,(N($H82)-N($G82))/N($H82)),0))</f>
        <v/>
      </c>
    </row>
    <row r="83">
      <c r="I83" s="22">
        <f>IF($A83="","",IFERROR(IF(N($H83)=0,0,(N($H83)-N($G83))/N($H83)),0))</f>
        <v/>
      </c>
    </row>
    <row r="84">
      <c r="I84" s="22">
        <f>IF($A84="","",IFERROR(IF(N($H84)=0,0,(N($H84)-N($G84))/N($H84)),0))</f>
        <v/>
      </c>
    </row>
    <row r="85">
      <c r="I85" s="22">
        <f>IF($A85="","",IFERROR(IF(N($H85)=0,0,(N($H85)-N($G85))/N($H85)),0))</f>
        <v/>
      </c>
    </row>
    <row r="86">
      <c r="I86" s="22">
        <f>IF($A86="","",IFERROR(IF(N($H86)=0,0,(N($H86)-N($G86))/N($H86)),0))</f>
        <v/>
      </c>
    </row>
    <row r="87">
      <c r="I87" s="22">
        <f>IF($A87="","",IFERROR(IF(N($H87)=0,0,(N($H87)-N($G87))/N($H87)),0))</f>
        <v/>
      </c>
    </row>
    <row r="88">
      <c r="I88" s="22">
        <f>IF($A88="","",IFERROR(IF(N($H88)=0,0,(N($H88)-N($G88))/N($H88)),0))</f>
        <v/>
      </c>
    </row>
    <row r="89">
      <c r="I89" s="22">
        <f>IF($A89="","",IFERROR(IF(N($H89)=0,0,(N($H89)-N($G89))/N($H89)),0))</f>
        <v/>
      </c>
    </row>
    <row r="90">
      <c r="I90" s="22">
        <f>IF($A90="","",IFERROR(IF(N($H90)=0,0,(N($H90)-N($G90))/N($H90)),0))</f>
        <v/>
      </c>
    </row>
    <row r="91">
      <c r="I91" s="22">
        <f>IF($A91="","",IFERROR(IF(N($H91)=0,0,(N($H91)-N($G91))/N($H91)),0))</f>
        <v/>
      </c>
    </row>
    <row r="92">
      <c r="I92" s="22">
        <f>IF($A92="","",IFERROR(IF(N($H92)=0,0,(N($H92)-N($G92))/N($H92)),0))</f>
        <v/>
      </c>
    </row>
    <row r="93">
      <c r="I93" s="22">
        <f>IF($A93="","",IFERROR(IF(N($H93)=0,0,(N($H93)-N($G93))/N($H93)),0))</f>
        <v/>
      </c>
    </row>
    <row r="94">
      <c r="I94" s="22">
        <f>IF($A94="","",IFERROR(IF(N($H94)=0,0,(N($H94)-N($G94))/N($H94)),0))</f>
        <v/>
      </c>
    </row>
    <row r="95">
      <c r="I95" s="22">
        <f>IF($A95="","",IFERROR(IF(N($H95)=0,0,(N($H95)-N($G95))/N($H95)),0))</f>
        <v/>
      </c>
    </row>
    <row r="96">
      <c r="I96" s="22">
        <f>IF($A96="","",IFERROR(IF(N($H96)=0,0,(N($H96)-N($G96))/N($H96)),0))</f>
        <v/>
      </c>
    </row>
    <row r="97">
      <c r="I97" s="22">
        <f>IF($A97="","",IFERROR(IF(N($H97)=0,0,(N($H97)-N($G97))/N($H97)),0))</f>
        <v/>
      </c>
    </row>
    <row r="98">
      <c r="I98" s="22">
        <f>IF($A98="","",IFERROR(IF(N($H98)=0,0,(N($H98)-N($G98))/N($H98)),0))</f>
        <v/>
      </c>
    </row>
    <row r="99">
      <c r="I99" s="22">
        <f>IF($A99="","",IFERROR(IF(N($H99)=0,0,(N($H99)-N($G99))/N($H99)),0))</f>
        <v/>
      </c>
    </row>
    <row r="100">
      <c r="I100" s="22">
        <f>IF($A100="","",IFERROR(IF(N($H100)=0,0,(N($H100)-N($G100))/N($H100)),0))</f>
        <v/>
      </c>
    </row>
    <row r="101">
      <c r="I101" s="22">
        <f>IF($A101="","",IFERROR(IF(N($H101)=0,0,(N($H101)-N($G101))/N($H101)),0))</f>
        <v/>
      </c>
    </row>
    <row r="102">
      <c r="I102" s="22">
        <f>IF($A102="","",IFERROR(IF(N($H102)=0,0,(N($H102)-N($G102))/N($H102)),0))</f>
        <v/>
      </c>
    </row>
    <row r="103">
      <c r="I103" s="22">
        <f>IF($A103="","",IFERROR(IF(N($H103)=0,0,(N($H103)-N($G103))/N($H103)),0))</f>
        <v/>
      </c>
    </row>
    <row r="104">
      <c r="I104" s="22">
        <f>IF($A104="","",IFERROR(IF(N($H104)=0,0,(N($H104)-N($G104))/N($H104)),0))</f>
        <v/>
      </c>
    </row>
    <row r="105">
      <c r="I105" s="22">
        <f>IF($A105="","",IFERROR(IF(N($H105)=0,0,(N($H105)-N($G105))/N($H105)),0))</f>
        <v/>
      </c>
    </row>
    <row r="106">
      <c r="I106" s="22">
        <f>IF($A106="","",IFERROR(IF(N($H106)=0,0,(N($H106)-N($G106))/N($H106)),0))</f>
        <v/>
      </c>
    </row>
    <row r="107">
      <c r="I107" s="22">
        <f>IF($A107="","",IFERROR(IF(N($H107)=0,0,(N($H107)-N($G107))/N($H107)),0))</f>
        <v/>
      </c>
    </row>
    <row r="108">
      <c r="I108" s="22">
        <f>IF($A108="","",IFERROR(IF(N($H108)=0,0,(N($H108)-N($G108))/N($H108)),0))</f>
        <v/>
      </c>
    </row>
    <row r="109">
      <c r="I109" s="22">
        <f>IF($A109="","",IFERROR(IF(N($H109)=0,0,(N($H109)-N($G109))/N($H109)),0))</f>
        <v/>
      </c>
    </row>
    <row r="110">
      <c r="I110" s="22">
        <f>IF($A110="","",IFERROR(IF(N($H110)=0,0,(N($H110)-N($G110))/N($H110)),0))</f>
        <v/>
      </c>
    </row>
    <row r="111">
      <c r="I111" s="22">
        <f>IF($A111="","",IFERROR(IF(N($H111)=0,0,(N($H111)-N($G111))/N($H111)),0))</f>
        <v/>
      </c>
    </row>
    <row r="112">
      <c r="I112" s="22">
        <f>IF($A112="","",IFERROR(IF(N($H112)=0,0,(N($H112)-N($G112))/N($H112)),0))</f>
        <v/>
      </c>
    </row>
    <row r="113">
      <c r="I113" s="22">
        <f>IF($A113="","",IFERROR(IF(N($H113)=0,0,(N($H113)-N($G113))/N($H113)),0))</f>
        <v/>
      </c>
    </row>
    <row r="114">
      <c r="I114" s="22">
        <f>IF($A114="","",IFERROR(IF(N($H114)=0,0,(N($H114)-N($G114))/N($H114)),0))</f>
        <v/>
      </c>
    </row>
    <row r="115">
      <c r="I115" s="22">
        <f>IF($A115="","",IFERROR(IF(N($H115)=0,0,(N($H115)-N($G115))/N($H115)),0))</f>
        <v/>
      </c>
    </row>
    <row r="116">
      <c r="I116" s="22">
        <f>IF($A116="","",IFERROR(IF(N($H116)=0,0,(N($H116)-N($G116))/N($H116)),0))</f>
        <v/>
      </c>
    </row>
    <row r="117">
      <c r="I117" s="22">
        <f>IF($A117="","",IFERROR(IF(N($H117)=0,0,(N($H117)-N($G117))/N($H117)),0))</f>
        <v/>
      </c>
    </row>
    <row r="118">
      <c r="I118" s="22">
        <f>IF($A118="","",IFERROR(IF(N($H118)=0,0,(N($H118)-N($G118))/N($H118)),0))</f>
        <v/>
      </c>
    </row>
    <row r="119">
      <c r="I119" s="22">
        <f>IF($A119="","",IFERROR(IF(N($H119)=0,0,(N($H119)-N($G119))/N($H119)),0))</f>
        <v/>
      </c>
    </row>
    <row r="120">
      <c r="I120" s="22">
        <f>IF($A120="","",IFERROR(IF(N($H120)=0,0,(N($H120)-N($G120))/N($H120)),0))</f>
        <v/>
      </c>
    </row>
    <row r="121">
      <c r="I121" s="22">
        <f>IF($A121="","",IFERROR(IF(N($H121)=0,0,(N($H121)-N($G121))/N($H121)),0))</f>
        <v/>
      </c>
    </row>
    <row r="122">
      <c r="I122" s="22">
        <f>IF($A122="","",IFERROR(IF(N($H122)=0,0,(N($H122)-N($G122))/N($H122)),0))</f>
        <v/>
      </c>
    </row>
    <row r="123">
      <c r="I123" s="22">
        <f>IF($A123="","",IFERROR(IF(N($H123)=0,0,(N($H123)-N($G123))/N($H123)),0))</f>
        <v/>
      </c>
    </row>
    <row r="124">
      <c r="I124" s="22">
        <f>IF($A124="","",IFERROR(IF(N($H124)=0,0,(N($H124)-N($G124))/N($H124)),0))</f>
        <v/>
      </c>
    </row>
    <row r="125">
      <c r="I125" s="22">
        <f>IF($A125="","",IFERROR(IF(N($H125)=0,0,(N($H125)-N($G125))/N($H125)),0))</f>
        <v/>
      </c>
    </row>
    <row r="126">
      <c r="I126" s="22">
        <f>IF($A126="","",IFERROR(IF(N($H126)=0,0,(N($H126)-N($G126))/N($H126)),0))</f>
        <v/>
      </c>
    </row>
    <row r="127">
      <c r="I127" s="22">
        <f>IF($A127="","",IFERROR(IF(N($H127)=0,0,(N($H127)-N($G127))/N($H127)),0))</f>
        <v/>
      </c>
    </row>
    <row r="128">
      <c r="I128" s="22">
        <f>IF($A128="","",IFERROR(IF(N($H128)=0,0,(N($H128)-N($G128))/N($H128)),0))</f>
        <v/>
      </c>
    </row>
    <row r="129">
      <c r="I129" s="22">
        <f>IF($A129="","",IFERROR(IF(N($H129)=0,0,(N($H129)-N($G129))/N($H129)),0))</f>
        <v/>
      </c>
    </row>
    <row r="130">
      <c r="I130" s="22">
        <f>IF($A130="","",IFERROR(IF(N($H130)=0,0,(N($H130)-N($G130))/N($H130)),0))</f>
        <v/>
      </c>
    </row>
    <row r="131">
      <c r="I131" s="22">
        <f>IF($A131="","",IFERROR(IF(N($H131)=0,0,(N($H131)-N($G131))/N($H131)),0))</f>
        <v/>
      </c>
    </row>
    <row r="132">
      <c r="I132" s="22">
        <f>IF($A132="","",IFERROR(IF(N($H132)=0,0,(N($H132)-N($G132))/N($H132)),0))</f>
        <v/>
      </c>
    </row>
    <row r="133">
      <c r="I133" s="22">
        <f>IF($A133="","",IFERROR(IF(N($H133)=0,0,(N($H133)-N($G133))/N($H133)),0))</f>
        <v/>
      </c>
    </row>
    <row r="134">
      <c r="I134" s="22">
        <f>IF($A134="","",IFERROR(IF(N($H134)=0,0,(N($H134)-N($G134))/N($H134)),0))</f>
        <v/>
      </c>
    </row>
    <row r="135">
      <c r="I135" s="22">
        <f>IF($A135="","",IFERROR(IF(N($H135)=0,0,(N($H135)-N($G135))/N($H135)),0))</f>
        <v/>
      </c>
    </row>
    <row r="136">
      <c r="I136" s="22">
        <f>IF($A136="","",IFERROR(IF(N($H136)=0,0,(N($H136)-N($G136))/N($H136)),0))</f>
        <v/>
      </c>
    </row>
    <row r="137">
      <c r="I137" s="22">
        <f>IF($A137="","",IFERROR(IF(N($H137)=0,0,(N($H137)-N($G137))/N($H137)),0))</f>
        <v/>
      </c>
    </row>
    <row r="138">
      <c r="I138" s="22">
        <f>IF($A138="","",IFERROR(IF(N($H138)=0,0,(N($H138)-N($G138))/N($H138)),0))</f>
        <v/>
      </c>
    </row>
    <row r="139">
      <c r="I139" s="22">
        <f>IF($A139="","",IFERROR(IF(N($H139)=0,0,(N($H139)-N($G139))/N($H139)),0))</f>
        <v/>
      </c>
    </row>
    <row r="140">
      <c r="I140" s="22">
        <f>IF($A140="","",IFERROR(IF(N($H140)=0,0,(N($H140)-N($G140))/N($H140)),0))</f>
        <v/>
      </c>
    </row>
    <row r="141">
      <c r="I141" s="22">
        <f>IF($A141="","",IFERROR(IF(N($H141)=0,0,(N($H141)-N($G141))/N($H141)),0))</f>
        <v/>
      </c>
    </row>
    <row r="142">
      <c r="I142" s="22">
        <f>IF($A142="","",IFERROR(IF(N($H142)=0,0,(N($H142)-N($G142))/N($H142)),0))</f>
        <v/>
      </c>
    </row>
    <row r="143">
      <c r="I143" s="22">
        <f>IF($A143="","",IFERROR(IF(N($H143)=0,0,(N($H143)-N($G143))/N($H143)),0))</f>
        <v/>
      </c>
    </row>
    <row r="144">
      <c r="I144" s="22">
        <f>IF($A144="","",IFERROR(IF(N($H144)=0,0,(N($H144)-N($G144))/N($H144)),0))</f>
        <v/>
      </c>
    </row>
    <row r="145">
      <c r="I145" s="22">
        <f>IF($A145="","",IFERROR(IF(N($H145)=0,0,(N($H145)-N($G145))/N($H145)),0))</f>
        <v/>
      </c>
    </row>
    <row r="146">
      <c r="I146" s="22">
        <f>IF($A146="","",IFERROR(IF(N($H146)=0,0,(N($H146)-N($G146))/N($H146)),0))</f>
        <v/>
      </c>
    </row>
    <row r="147">
      <c r="I147" s="22">
        <f>IF($A147="","",IFERROR(IF(N($H147)=0,0,(N($H147)-N($G147))/N($H147)),0))</f>
        <v/>
      </c>
    </row>
    <row r="148">
      <c r="I148" s="22">
        <f>IF($A148="","",IFERROR(IF(N($H148)=0,0,(N($H148)-N($G148))/N($H148)),0))</f>
        <v/>
      </c>
    </row>
    <row r="149">
      <c r="I149" s="22">
        <f>IF($A149="","",IFERROR(IF(N($H149)=0,0,(N($H149)-N($G149))/N($H149)),0))</f>
        <v/>
      </c>
    </row>
    <row r="150">
      <c r="I150" s="22">
        <f>IF($A150="","",IFERROR(IF(N($H150)=0,0,(N($H150)-N($G150))/N($H150)),0))</f>
        <v/>
      </c>
    </row>
    <row r="151">
      <c r="I151" s="22">
        <f>IF($A151="","",IFERROR(IF(N($H151)=0,0,(N($H151)-N($G151))/N($H151)),0))</f>
        <v/>
      </c>
    </row>
    <row r="152">
      <c r="I152" s="22">
        <f>IF($A152="","",IFERROR(IF(N($H152)=0,0,(N($H152)-N($G152))/N($H152)),0))</f>
        <v/>
      </c>
    </row>
    <row r="153">
      <c r="I153" s="22">
        <f>IF($A153="","",IFERROR(IF(N($H153)=0,0,(N($H153)-N($G153))/N($H153)),0))</f>
        <v/>
      </c>
    </row>
    <row r="154">
      <c r="I154" s="22">
        <f>IF($A154="","",IFERROR(IF(N($H154)=0,0,(N($H154)-N($G154))/N($H154)),0))</f>
        <v/>
      </c>
    </row>
    <row r="155">
      <c r="I155" s="22">
        <f>IF($A155="","",IFERROR(IF(N($H155)=0,0,(N($H155)-N($G155))/N($H155)),0))</f>
        <v/>
      </c>
    </row>
    <row r="156">
      <c r="I156" s="22">
        <f>IF($A156="","",IFERROR(IF(N($H156)=0,0,(N($H156)-N($G156))/N($H156)),0))</f>
        <v/>
      </c>
    </row>
    <row r="157">
      <c r="I157" s="22">
        <f>IF($A157="","",IFERROR(IF(N($H157)=0,0,(N($H157)-N($G157))/N($H157)),0))</f>
        <v/>
      </c>
    </row>
    <row r="158">
      <c r="I158" s="22">
        <f>IF($A158="","",IFERROR(IF(N($H158)=0,0,(N($H158)-N($G158))/N($H158)),0))</f>
        <v/>
      </c>
    </row>
    <row r="159">
      <c r="I159" s="22">
        <f>IF($A159="","",IFERROR(IF(N($H159)=0,0,(N($H159)-N($G159))/N($H159)),0))</f>
        <v/>
      </c>
    </row>
    <row r="160">
      <c r="I160" s="22">
        <f>IF($A160="","",IFERROR(IF(N($H160)=0,0,(N($H160)-N($G160))/N($H160)),0))</f>
        <v/>
      </c>
    </row>
    <row r="161">
      <c r="I161" s="22">
        <f>IF($A161="","",IFERROR(IF(N($H161)=0,0,(N($H161)-N($G161))/N($H161)),0))</f>
        <v/>
      </c>
    </row>
    <row r="162">
      <c r="I162" s="22">
        <f>IF($A162="","",IFERROR(IF(N($H162)=0,0,(N($H162)-N($G162))/N($H162)),0))</f>
        <v/>
      </c>
    </row>
    <row r="163">
      <c r="I163" s="22">
        <f>IF($A163="","",IFERROR(IF(N($H163)=0,0,(N($H163)-N($G163))/N($H163)),0))</f>
        <v/>
      </c>
    </row>
    <row r="164">
      <c r="I164" s="22">
        <f>IF($A164="","",IFERROR(IF(N($H164)=0,0,(N($H164)-N($G164))/N($H164)),0))</f>
        <v/>
      </c>
    </row>
    <row r="165">
      <c r="I165" s="22">
        <f>IF($A165="","",IFERROR(IF(N($H165)=0,0,(N($H165)-N($G165))/N($H165)),0))</f>
        <v/>
      </c>
    </row>
    <row r="166">
      <c r="I166" s="22">
        <f>IF($A166="","",IFERROR(IF(N($H166)=0,0,(N($H166)-N($G166))/N($H166)),0))</f>
        <v/>
      </c>
    </row>
    <row r="167">
      <c r="I167" s="22">
        <f>IF($A167="","",IFERROR(IF(N($H167)=0,0,(N($H167)-N($G167))/N($H167)),0))</f>
        <v/>
      </c>
    </row>
    <row r="168">
      <c r="I168" s="22">
        <f>IF($A168="","",IFERROR(IF(N($H168)=0,0,(N($H168)-N($G168))/N($H168)),0))</f>
        <v/>
      </c>
    </row>
    <row r="169">
      <c r="I169" s="22">
        <f>IF($A169="","",IFERROR(IF(N($H169)=0,0,(N($H169)-N($G169))/N($H169)),0))</f>
        <v/>
      </c>
    </row>
    <row r="170">
      <c r="I170" s="22">
        <f>IF($A170="","",IFERROR(IF(N($H170)=0,0,(N($H170)-N($G170))/N($H170)),0))</f>
        <v/>
      </c>
    </row>
    <row r="171">
      <c r="I171" s="22">
        <f>IF($A171="","",IFERROR(IF(N($H171)=0,0,(N($H171)-N($G171))/N($H171)),0))</f>
        <v/>
      </c>
    </row>
    <row r="172">
      <c r="I172" s="22">
        <f>IF($A172="","",IFERROR(IF(N($H172)=0,0,(N($H172)-N($G172))/N($H172)),0))</f>
        <v/>
      </c>
    </row>
    <row r="173">
      <c r="I173" s="22">
        <f>IF($A173="","",IFERROR(IF(N($H173)=0,0,(N($H173)-N($G173))/N($H173)),0))</f>
        <v/>
      </c>
    </row>
    <row r="174">
      <c r="I174" s="22">
        <f>IF($A174="","",IFERROR(IF(N($H174)=0,0,(N($H174)-N($G174))/N($H174)),0))</f>
        <v/>
      </c>
    </row>
    <row r="175">
      <c r="I175" s="22">
        <f>IF($A175="","",IFERROR(IF(N($H175)=0,0,(N($H175)-N($G175))/N($H175)),0))</f>
        <v/>
      </c>
    </row>
    <row r="176">
      <c r="I176" s="22">
        <f>IF($A176="","",IFERROR(IF(N($H176)=0,0,(N($H176)-N($G176))/N($H176)),0))</f>
        <v/>
      </c>
    </row>
    <row r="177">
      <c r="I177" s="22">
        <f>IF($A177="","",IFERROR(IF(N($H177)=0,0,(N($H177)-N($G177))/N($H177)),0))</f>
        <v/>
      </c>
    </row>
    <row r="178">
      <c r="I178" s="22">
        <f>IF($A178="","",IFERROR(IF(N($H178)=0,0,(N($H178)-N($G178))/N($H178)),0))</f>
        <v/>
      </c>
    </row>
    <row r="179">
      <c r="I179" s="22">
        <f>IF($A179="","",IFERROR(IF(N($H179)=0,0,(N($H179)-N($G179))/N($H179)),0))</f>
        <v/>
      </c>
    </row>
    <row r="180">
      <c r="I180" s="22">
        <f>IF($A180="","",IFERROR(IF(N($H180)=0,0,(N($H180)-N($G180))/N($H180)),0))</f>
        <v/>
      </c>
    </row>
    <row r="181">
      <c r="I181" s="22">
        <f>IF($A181="","",IFERROR(IF(N($H181)=0,0,(N($H181)-N($G181))/N($H181)),0))</f>
        <v/>
      </c>
    </row>
    <row r="182">
      <c r="I182" s="22">
        <f>IF($A182="","",IFERROR(IF(N($H182)=0,0,(N($H182)-N($G182))/N($H182)),0))</f>
        <v/>
      </c>
    </row>
    <row r="183">
      <c r="I183" s="22">
        <f>IF($A183="","",IFERROR(IF(N($H183)=0,0,(N($H183)-N($G183))/N($H183)),0))</f>
        <v/>
      </c>
    </row>
    <row r="184">
      <c r="I184" s="22">
        <f>IF($A184="","",IFERROR(IF(N($H184)=0,0,(N($H184)-N($G184))/N($H184)),0))</f>
        <v/>
      </c>
    </row>
    <row r="185">
      <c r="I185" s="22">
        <f>IF($A185="","",IFERROR(IF(N($H185)=0,0,(N($H185)-N($G185))/N($H185)),0))</f>
        <v/>
      </c>
    </row>
    <row r="186">
      <c r="I186" s="22">
        <f>IF($A186="","",IFERROR(IF(N($H186)=0,0,(N($H186)-N($G186))/N($H186)),0))</f>
        <v/>
      </c>
    </row>
    <row r="187">
      <c r="I187" s="22">
        <f>IF($A187="","",IFERROR(IF(N($H187)=0,0,(N($H187)-N($G187))/N($H187)),0))</f>
        <v/>
      </c>
    </row>
    <row r="188">
      <c r="I188" s="22">
        <f>IF($A188="","",IFERROR(IF(N($H188)=0,0,(N($H188)-N($G188))/N($H188)),0))</f>
        <v/>
      </c>
    </row>
    <row r="189">
      <c r="I189" s="22">
        <f>IF($A189="","",IFERROR(IF(N($H189)=0,0,(N($H189)-N($G189))/N($H189)),0))</f>
        <v/>
      </c>
    </row>
    <row r="190">
      <c r="I190" s="22">
        <f>IF($A190="","",IFERROR(IF(N($H190)=0,0,(N($H190)-N($G190))/N($H190)),0))</f>
        <v/>
      </c>
    </row>
    <row r="191">
      <c r="I191" s="22">
        <f>IF($A191="","",IFERROR(IF(N($H191)=0,0,(N($H191)-N($G191))/N($H191)),0))</f>
        <v/>
      </c>
    </row>
    <row r="192">
      <c r="I192" s="22">
        <f>IF($A192="","",IFERROR(IF(N($H192)=0,0,(N($H192)-N($G192))/N($H192)),0))</f>
        <v/>
      </c>
    </row>
    <row r="193">
      <c r="I193" s="22">
        <f>IF($A193="","",IFERROR(IF(N($H193)=0,0,(N($H193)-N($G193))/N($H193)),0))</f>
        <v/>
      </c>
    </row>
    <row r="194">
      <c r="I194" s="22">
        <f>IF($A194="","",IFERROR(IF(N($H194)=0,0,(N($H194)-N($G194))/N($H194)),0))</f>
        <v/>
      </c>
    </row>
    <row r="195">
      <c r="I195" s="22">
        <f>IF($A195="","",IFERROR(IF(N($H195)=0,0,(N($H195)-N($G195))/N($H195)),0))</f>
        <v/>
      </c>
    </row>
    <row r="196">
      <c r="I196" s="22">
        <f>IF($A196="","",IFERROR(IF(N($H196)=0,0,(N($H196)-N($G196))/N($H196)),0))</f>
        <v/>
      </c>
    </row>
    <row r="197">
      <c r="I197" s="22">
        <f>IF($A197="","",IFERROR(IF(N($H197)=0,0,(N($H197)-N($G197))/N($H197)),0))</f>
        <v/>
      </c>
    </row>
    <row r="198">
      <c r="I198" s="22">
        <f>IF($A198="","",IFERROR(IF(N($H198)=0,0,(N($H198)-N($G198))/N($H198)),0))</f>
        <v/>
      </c>
    </row>
    <row r="199">
      <c r="I199" s="22">
        <f>IF($A199="","",IFERROR(IF(N($H199)=0,0,(N($H199)-N($G199))/N($H199)),0))</f>
        <v/>
      </c>
    </row>
    <row r="200">
      <c r="I200" s="22">
        <f>IF($A200="","",IFERROR(IF(N($H200)=0,0,(N($H200)-N($G200))/N($H200)),0))</f>
        <v/>
      </c>
    </row>
    <row r="201">
      <c r="I201" s="22">
        <f>IF($A201="","",IFERROR(IF(N($H201)=0,0,(N($H201)-N($G201))/N($H201)),0))</f>
        <v/>
      </c>
    </row>
    <row r="202">
      <c r="I202" s="22">
        <f>IF($A202="","",IFERROR(IF(N($H202)=0,0,(N($H202)-N($G202))/N($H202)),0))</f>
        <v/>
      </c>
    </row>
    <row r="203">
      <c r="I203" s="22">
        <f>IF($A203="","",IFERROR(IF(N($H203)=0,0,(N($H203)-N($G203))/N($H203)),0))</f>
        <v/>
      </c>
    </row>
    <row r="204">
      <c r="I204" s="22">
        <f>IF($A204="","",IFERROR(IF(N($H204)=0,0,(N($H204)-N($G204))/N($H204)),0))</f>
        <v/>
      </c>
    </row>
    <row r="205">
      <c r="I205" s="22">
        <f>IF($A205="","",IFERROR(IF(N($H205)=0,0,(N($H205)-N($G205))/N($H205)),0))</f>
        <v/>
      </c>
    </row>
    <row r="206">
      <c r="I206" s="22">
        <f>IF($A206="","",IFERROR(IF(N($H206)=0,0,(N($H206)-N($G206))/N($H206)),0))</f>
        <v/>
      </c>
    </row>
    <row r="207">
      <c r="I207" s="22">
        <f>IF($A207="","",IFERROR(IF(N($H207)=0,0,(N($H207)-N($G207))/N($H207)),0))</f>
        <v/>
      </c>
    </row>
    <row r="208">
      <c r="I208" s="22">
        <f>IF($A208="","",IFERROR(IF(N($H208)=0,0,(N($H208)-N($G208))/N($H208)),0))</f>
        <v/>
      </c>
    </row>
    <row r="209">
      <c r="I209" s="22">
        <f>IF($A209="","",IFERROR(IF(N($H209)=0,0,(N($H209)-N($G209))/N($H209)),0))</f>
        <v/>
      </c>
    </row>
    <row r="210">
      <c r="I210" s="22">
        <f>IF($A210="","",IFERROR(IF(N($H210)=0,0,(N($H210)-N($G210))/N($H210)),0))</f>
        <v/>
      </c>
    </row>
    <row r="211">
      <c r="I211" s="22">
        <f>IF($A211="","",IFERROR(IF(N($H211)=0,0,(N($H211)-N($G211))/N($H211)),0))</f>
        <v/>
      </c>
    </row>
    <row r="212">
      <c r="I212" s="22">
        <f>IF($A212="","",IFERROR(IF(N($H212)=0,0,(N($H212)-N($G212))/N($H212)),0))</f>
        <v/>
      </c>
    </row>
    <row r="213">
      <c r="I213" s="22">
        <f>IF($A213="","",IFERROR(IF(N($H213)=0,0,(N($H213)-N($G213))/N($H213)),0))</f>
        <v/>
      </c>
    </row>
    <row r="214">
      <c r="I214" s="22">
        <f>IF($A214="","",IFERROR(IF(N($H214)=0,0,(N($H214)-N($G214))/N($H214)),0))</f>
        <v/>
      </c>
    </row>
    <row r="215">
      <c r="I215" s="22">
        <f>IF($A215="","",IFERROR(IF(N($H215)=0,0,(N($H215)-N($G215))/N($H215)),0))</f>
        <v/>
      </c>
    </row>
    <row r="216">
      <c r="I216" s="22">
        <f>IF($A216="","",IFERROR(IF(N($H216)=0,0,(N($H216)-N($G216))/N($H216)),0))</f>
        <v/>
      </c>
    </row>
    <row r="217">
      <c r="I217" s="22">
        <f>IF($A217="","",IFERROR(IF(N($H217)=0,0,(N($H217)-N($G217))/N($H217)),0))</f>
        <v/>
      </c>
    </row>
    <row r="218">
      <c r="I218" s="22">
        <f>IF($A218="","",IFERROR(IF(N($H218)=0,0,(N($H218)-N($G218))/N($H218)),0))</f>
        <v/>
      </c>
    </row>
    <row r="219">
      <c r="I219" s="22">
        <f>IF($A219="","",IFERROR(IF(N($H219)=0,0,(N($H219)-N($G219))/N($H219)),0))</f>
        <v/>
      </c>
    </row>
    <row r="220">
      <c r="I220" s="22">
        <f>IF($A220="","",IFERROR(IF(N($H220)=0,0,(N($H220)-N($G220))/N($H220)),0))</f>
        <v/>
      </c>
    </row>
    <row r="221">
      <c r="I221" s="22">
        <f>IF($A221="","",IFERROR(IF(N($H221)=0,0,(N($H221)-N($G221))/N($H221)),0))</f>
        <v/>
      </c>
    </row>
    <row r="222">
      <c r="I222" s="22">
        <f>IF($A222="","",IFERROR(IF(N($H222)=0,0,(N($H222)-N($G222))/N($H222)),0))</f>
        <v/>
      </c>
    </row>
    <row r="223">
      <c r="I223" s="22">
        <f>IF($A223="","",IFERROR(IF(N($H223)=0,0,(N($H223)-N($G223))/N($H223)),0))</f>
        <v/>
      </c>
    </row>
    <row r="224">
      <c r="I224" s="22">
        <f>IF($A224="","",IFERROR(IF(N($H224)=0,0,(N($H224)-N($G224))/N($H224)),0))</f>
        <v/>
      </c>
    </row>
    <row r="225">
      <c r="I225" s="22">
        <f>IF($A225="","",IFERROR(IF(N($H225)=0,0,(N($H225)-N($G225))/N($H225)),0))</f>
        <v/>
      </c>
    </row>
    <row r="226">
      <c r="I226" s="22">
        <f>IF($A226="","",IFERROR(IF(N($H226)=0,0,(N($H226)-N($G226))/N($H226)),0))</f>
        <v/>
      </c>
    </row>
    <row r="227">
      <c r="I227" s="22">
        <f>IF($A227="","",IFERROR(IF(N($H227)=0,0,(N($H227)-N($G227))/N($H227)),0))</f>
        <v/>
      </c>
    </row>
    <row r="228">
      <c r="I228" s="22">
        <f>IF($A228="","",IFERROR(IF(N($H228)=0,0,(N($H228)-N($G228))/N($H228)),0))</f>
        <v/>
      </c>
    </row>
    <row r="229">
      <c r="I229" s="22">
        <f>IF($A229="","",IFERROR(IF(N($H229)=0,0,(N($H229)-N($G229))/N($H229)),0))</f>
        <v/>
      </c>
    </row>
    <row r="230">
      <c r="I230" s="22">
        <f>IF($A230="","",IFERROR(IF(N($H230)=0,0,(N($H230)-N($G230))/N($H230)),0))</f>
        <v/>
      </c>
    </row>
    <row r="231">
      <c r="I231" s="22">
        <f>IF($A231="","",IFERROR(IF(N($H231)=0,0,(N($H231)-N($G231))/N($H231)),0))</f>
        <v/>
      </c>
    </row>
    <row r="232">
      <c r="I232" s="22">
        <f>IF($A232="","",IFERROR(IF(N($H232)=0,0,(N($H232)-N($G232))/N($H232)),0))</f>
        <v/>
      </c>
    </row>
    <row r="233">
      <c r="I233" s="22">
        <f>IF($A233="","",IFERROR(IF(N($H233)=0,0,(N($H233)-N($G233))/N($H233)),0))</f>
        <v/>
      </c>
    </row>
    <row r="234">
      <c r="I234" s="22">
        <f>IF($A234="","",IFERROR(IF(N($H234)=0,0,(N($H234)-N($G234))/N($H234)),0))</f>
        <v/>
      </c>
    </row>
    <row r="235">
      <c r="I235" s="22">
        <f>IF($A235="","",IFERROR(IF(N($H235)=0,0,(N($H235)-N($G235))/N($H235)),0))</f>
        <v/>
      </c>
    </row>
    <row r="236">
      <c r="I236" s="22">
        <f>IF($A236="","",IFERROR(IF(N($H236)=0,0,(N($H236)-N($G236))/N($H236)),0))</f>
        <v/>
      </c>
    </row>
    <row r="237">
      <c r="I237" s="22">
        <f>IF($A237="","",IFERROR(IF(N($H237)=0,0,(N($H237)-N($G237))/N($H237)),0))</f>
        <v/>
      </c>
    </row>
    <row r="238">
      <c r="I238" s="22">
        <f>IF($A238="","",IFERROR(IF(N($H238)=0,0,(N($H238)-N($G238))/N($H238)),0))</f>
        <v/>
      </c>
    </row>
    <row r="239">
      <c r="I239" s="22">
        <f>IF($A239="","",IFERROR(IF(N($H239)=0,0,(N($H239)-N($G239))/N($H239)),0))</f>
        <v/>
      </c>
    </row>
    <row r="240">
      <c r="I240" s="22">
        <f>IF($A240="","",IFERROR(IF(N($H240)=0,0,(N($H240)-N($G240))/N($H240)),0))</f>
        <v/>
      </c>
    </row>
    <row r="241">
      <c r="I241" s="22">
        <f>IF($A241="","",IFERROR(IF(N($H241)=0,0,(N($H241)-N($G241))/N($H241)),0))</f>
        <v/>
      </c>
    </row>
    <row r="242">
      <c r="I242" s="22">
        <f>IF($A242="","",IFERROR(IF(N($H242)=0,0,(N($H242)-N($G242))/N($H242)),0))</f>
        <v/>
      </c>
    </row>
    <row r="243">
      <c r="I243" s="22">
        <f>IF($A243="","",IFERROR(IF(N($H243)=0,0,(N($H243)-N($G243))/N($H243)),0))</f>
        <v/>
      </c>
    </row>
    <row r="244">
      <c r="I244" s="22">
        <f>IF($A244="","",IFERROR(IF(N($H244)=0,0,(N($H244)-N($G244))/N($H244)),0))</f>
        <v/>
      </c>
    </row>
    <row r="245">
      <c r="I245" s="22">
        <f>IF($A245="","",IFERROR(IF(N($H245)=0,0,(N($H245)-N($G245))/N($H245)),0))</f>
        <v/>
      </c>
    </row>
    <row r="246">
      <c r="I246" s="22">
        <f>IF($A246="","",IFERROR(IF(N($H246)=0,0,(N($H246)-N($G246))/N($H246)),0))</f>
        <v/>
      </c>
    </row>
    <row r="247">
      <c r="I247" s="22">
        <f>IF($A247="","",IFERROR(IF(N($H247)=0,0,(N($H247)-N($G247))/N($H247)),0))</f>
        <v/>
      </c>
    </row>
    <row r="248">
      <c r="I248" s="22">
        <f>IF($A248="","",IFERROR(IF(N($H248)=0,0,(N($H248)-N($G248))/N($H248)),0))</f>
        <v/>
      </c>
    </row>
    <row r="249">
      <c r="I249" s="22">
        <f>IF($A249="","",IFERROR(IF(N($H249)=0,0,(N($H249)-N($G249))/N($H249)),0))</f>
        <v/>
      </c>
    </row>
    <row r="250">
      <c r="I250" s="22">
        <f>IF($A250="","",IFERROR(IF(N($H250)=0,0,(N($H250)-N($G250))/N($H250)),0))</f>
        <v/>
      </c>
    </row>
    <row r="251">
      <c r="I251" s="22">
        <f>IF($A251="","",IFERROR(IF(N($H251)=0,0,(N($H251)-N($G251))/N($H251)),0))</f>
        <v/>
      </c>
    </row>
    <row r="252">
      <c r="I252" s="22">
        <f>IF($A252="","",IFERROR(IF(N($H252)=0,0,(N($H252)-N($G252))/N($H252)),0))</f>
        <v/>
      </c>
    </row>
    <row r="253">
      <c r="I253" s="22">
        <f>IF($A253="","",IFERROR(IF(N($H253)=0,0,(N($H253)-N($G253))/N($H253)),0))</f>
        <v/>
      </c>
    </row>
    <row r="254">
      <c r="I254" s="22">
        <f>IF($A254="","",IFERROR(IF(N($H254)=0,0,(N($H254)-N($G254))/N($H254)),0))</f>
        <v/>
      </c>
    </row>
    <row r="255">
      <c r="I255" s="22">
        <f>IF($A255="","",IFERROR(IF(N($H255)=0,0,(N($H255)-N($G255))/N($H255)),0))</f>
        <v/>
      </c>
    </row>
    <row r="256">
      <c r="I256" s="22">
        <f>IF($A256="","",IFERROR(IF(N($H256)=0,0,(N($H256)-N($G256))/N($H256)),0))</f>
        <v/>
      </c>
    </row>
    <row r="257">
      <c r="I257" s="22">
        <f>IF($A257="","",IFERROR(IF(N($H257)=0,0,(N($H257)-N($G257))/N($H257)),0))</f>
        <v/>
      </c>
    </row>
    <row r="258">
      <c r="I258" s="22">
        <f>IF($A258="","",IFERROR(IF(N($H258)=0,0,(N($H258)-N($G258))/N($H258)),0))</f>
        <v/>
      </c>
    </row>
    <row r="259">
      <c r="I259" s="22">
        <f>IF($A259="","",IFERROR(IF(N($H259)=0,0,(N($H259)-N($G259))/N($H259)),0))</f>
        <v/>
      </c>
    </row>
    <row r="260">
      <c r="I260" s="22">
        <f>IF($A260="","",IFERROR(IF(N($H260)=0,0,(N($H260)-N($G260))/N($H260)),0))</f>
        <v/>
      </c>
    </row>
    <row r="261">
      <c r="I261" s="22">
        <f>IF($A261="","",IFERROR(IF(N($H261)=0,0,(N($H261)-N($G261))/N($H261)),0))</f>
        <v/>
      </c>
    </row>
    <row r="262">
      <c r="I262" s="22">
        <f>IF($A262="","",IFERROR(IF(N($H262)=0,0,(N($H262)-N($G262))/N($H262)),0))</f>
        <v/>
      </c>
    </row>
    <row r="263">
      <c r="I263" s="22">
        <f>IF($A263="","",IFERROR(IF(N($H263)=0,0,(N($H263)-N($G263))/N($H263)),0))</f>
        <v/>
      </c>
    </row>
    <row r="264">
      <c r="I264" s="22">
        <f>IF($A264="","",IFERROR(IF(N($H264)=0,0,(N($H264)-N($G264))/N($H264)),0))</f>
        <v/>
      </c>
    </row>
    <row r="265">
      <c r="I265" s="22">
        <f>IF($A265="","",IFERROR(IF(N($H265)=0,0,(N($H265)-N($G265))/N($H265)),0))</f>
        <v/>
      </c>
    </row>
    <row r="266">
      <c r="I266" s="22">
        <f>IF($A266="","",IFERROR(IF(N($H266)=0,0,(N($H266)-N($G266))/N($H266)),0))</f>
        <v/>
      </c>
    </row>
    <row r="267">
      <c r="I267" s="22">
        <f>IF($A267="","",IFERROR(IF(N($H267)=0,0,(N($H267)-N($G267))/N($H267)),0))</f>
        <v/>
      </c>
    </row>
    <row r="268">
      <c r="I268" s="22">
        <f>IF($A268="","",IFERROR(IF(N($H268)=0,0,(N($H268)-N($G268))/N($H268)),0))</f>
        <v/>
      </c>
    </row>
    <row r="269">
      <c r="I269" s="22">
        <f>IF($A269="","",IFERROR(IF(N($H269)=0,0,(N($H269)-N($G269))/N($H269)),0))</f>
        <v/>
      </c>
    </row>
    <row r="270">
      <c r="I270" s="22">
        <f>IF($A270="","",IFERROR(IF(N($H270)=0,0,(N($H270)-N($G270))/N($H270)),0))</f>
        <v/>
      </c>
    </row>
    <row r="271">
      <c r="I271" s="22">
        <f>IF($A271="","",IFERROR(IF(N($H271)=0,0,(N($H271)-N($G271))/N($H271)),0))</f>
        <v/>
      </c>
    </row>
    <row r="272">
      <c r="I272" s="22">
        <f>IF($A272="","",IFERROR(IF(N($H272)=0,0,(N($H272)-N($G272))/N($H272)),0))</f>
        <v/>
      </c>
    </row>
    <row r="273">
      <c r="I273" s="22">
        <f>IF($A273="","",IFERROR(IF(N($H273)=0,0,(N($H273)-N($G273))/N($H273)),0))</f>
        <v/>
      </c>
    </row>
    <row r="274">
      <c r="I274" s="22">
        <f>IF($A274="","",IFERROR(IF(N($H274)=0,0,(N($H274)-N($G274))/N($H274)),0))</f>
        <v/>
      </c>
    </row>
    <row r="275">
      <c r="I275" s="22">
        <f>IF($A275="","",IFERROR(IF(N($H275)=0,0,(N($H275)-N($G275))/N($H275)),0))</f>
        <v/>
      </c>
    </row>
    <row r="276">
      <c r="I276" s="22">
        <f>IF($A276="","",IFERROR(IF(N($H276)=0,0,(N($H276)-N($G276))/N($H276)),0))</f>
        <v/>
      </c>
    </row>
    <row r="277">
      <c r="I277" s="22">
        <f>IF($A277="","",IFERROR(IF(N($H277)=0,0,(N($H277)-N($G277))/N($H277)),0))</f>
        <v/>
      </c>
    </row>
    <row r="278">
      <c r="I278" s="22">
        <f>IF($A278="","",IFERROR(IF(N($H278)=0,0,(N($H278)-N($G278))/N($H278)),0))</f>
        <v/>
      </c>
    </row>
    <row r="279">
      <c r="I279" s="22">
        <f>IF($A279="","",IFERROR(IF(N($H279)=0,0,(N($H279)-N($G279))/N($H279)),0))</f>
        <v/>
      </c>
    </row>
    <row r="280">
      <c r="I280" s="22">
        <f>IF($A280="","",IFERROR(IF(N($H280)=0,0,(N($H280)-N($G280))/N($H280)),0))</f>
        <v/>
      </c>
    </row>
    <row r="281">
      <c r="I281" s="22">
        <f>IF($A281="","",IFERROR(IF(N($H281)=0,0,(N($H281)-N($G281))/N($H281)),0))</f>
        <v/>
      </c>
    </row>
    <row r="282">
      <c r="I282" s="22">
        <f>IF($A282="","",IFERROR(IF(N($H282)=0,0,(N($H282)-N($G282))/N($H282)),0))</f>
        <v/>
      </c>
    </row>
    <row r="283">
      <c r="I283" s="22">
        <f>IF($A283="","",IFERROR(IF(N($H283)=0,0,(N($H283)-N($G283))/N($H283)),0))</f>
        <v/>
      </c>
    </row>
    <row r="284">
      <c r="I284" s="22">
        <f>IF($A284="","",IFERROR(IF(N($H284)=0,0,(N($H284)-N($G284))/N($H284)),0))</f>
        <v/>
      </c>
    </row>
    <row r="285">
      <c r="I285" s="22">
        <f>IF($A285="","",IFERROR(IF(N($H285)=0,0,(N($H285)-N($G285))/N($H285)),0))</f>
        <v/>
      </c>
    </row>
    <row r="286">
      <c r="I286" s="22">
        <f>IF($A286="","",IFERROR(IF(N($H286)=0,0,(N($H286)-N($G286))/N($H286)),0))</f>
        <v/>
      </c>
    </row>
    <row r="287">
      <c r="I287" s="22">
        <f>IF($A287="","",IFERROR(IF(N($H287)=0,0,(N($H287)-N($G287))/N($H287)),0))</f>
        <v/>
      </c>
    </row>
    <row r="288">
      <c r="I288" s="22">
        <f>IF($A288="","",IFERROR(IF(N($H288)=0,0,(N($H288)-N($G288))/N($H288)),0))</f>
        <v/>
      </c>
    </row>
    <row r="289">
      <c r="I289" s="22">
        <f>IF($A289="","",IFERROR(IF(N($H289)=0,0,(N($H289)-N($G289))/N($H289)),0))</f>
        <v/>
      </c>
    </row>
    <row r="290">
      <c r="I290" s="22">
        <f>IF($A290="","",IFERROR(IF(N($H290)=0,0,(N($H290)-N($G290))/N($H290)),0))</f>
        <v/>
      </c>
    </row>
    <row r="291">
      <c r="I291" s="22">
        <f>IF($A291="","",IFERROR(IF(N($H291)=0,0,(N($H291)-N($G291))/N($H291)),0))</f>
        <v/>
      </c>
    </row>
    <row r="292">
      <c r="I292" s="22">
        <f>IF($A292="","",IFERROR(IF(N($H292)=0,0,(N($H292)-N($G292))/N($H292)),0))</f>
        <v/>
      </c>
    </row>
    <row r="293">
      <c r="I293" s="22">
        <f>IF($A293="","",IFERROR(IF(N($H293)=0,0,(N($H293)-N($G293))/N($H293)),0))</f>
        <v/>
      </c>
    </row>
    <row r="294">
      <c r="I294" s="22">
        <f>IF($A294="","",IFERROR(IF(N($H294)=0,0,(N($H294)-N($G294))/N($H294)),0))</f>
        <v/>
      </c>
    </row>
    <row r="295">
      <c r="I295" s="22">
        <f>IF($A295="","",IFERROR(IF(N($H295)=0,0,(N($H295)-N($G295))/N($H295)),0))</f>
        <v/>
      </c>
    </row>
    <row r="296">
      <c r="I296" s="22">
        <f>IF($A296="","",IFERROR(IF(N($H296)=0,0,(N($H296)-N($G296))/N($H296)),0))</f>
        <v/>
      </c>
    </row>
    <row r="297">
      <c r="I297" s="22">
        <f>IF($A297="","",IFERROR(IF(N($H297)=0,0,(N($H297)-N($G297))/N($H297)),0))</f>
        <v/>
      </c>
    </row>
    <row r="298">
      <c r="I298" s="22">
        <f>IF($A298="","",IFERROR(IF(N($H298)=0,0,(N($H298)-N($G298))/N($H298)),0))</f>
        <v/>
      </c>
    </row>
    <row r="299">
      <c r="I299" s="22">
        <f>IF($A299="","",IFERROR(IF(N($H299)=0,0,(N($H299)-N($G299))/N($H299)),0))</f>
        <v/>
      </c>
    </row>
    <row r="300">
      <c r="I300" s="22">
        <f>IF($A300="","",IFERROR(IF(N($H300)=0,0,(N($H300)-N($G300))/N($H300)),0))</f>
        <v/>
      </c>
    </row>
    <row r="301">
      <c r="I301" s="22">
        <f>IF($A301="","",IFERROR(IF(N($H301)=0,0,(N($H301)-N($G301))/N($H301)),0))</f>
        <v/>
      </c>
    </row>
    <row r="302">
      <c r="I302" s="22">
        <f>IF($A302="","",IFERROR(IF(N($H302)=0,0,(N($H302)-N($G302))/N($H302)),0))</f>
        <v/>
      </c>
    </row>
    <row r="303">
      <c r="I303" s="22">
        <f>IF($A303="","",IFERROR(IF(N($H303)=0,0,(N($H303)-N($G303))/N($H303)),0))</f>
        <v/>
      </c>
    </row>
    <row r="304">
      <c r="I304" s="22">
        <f>IF($A304="","",IFERROR(IF(N($H304)=0,0,(N($H304)-N($G304))/N($H304)),0))</f>
        <v/>
      </c>
    </row>
    <row r="305">
      <c r="I305" s="22">
        <f>IF($A305="","",IFERROR(IF(N($H305)=0,0,(N($H305)-N($G305))/N($H305)),0))</f>
        <v/>
      </c>
    </row>
    <row r="306">
      <c r="I306" s="22">
        <f>IF($A306="","",IFERROR(IF(N($H306)=0,0,(N($H306)-N($G306))/N($H306)),0))</f>
        <v/>
      </c>
    </row>
    <row r="307">
      <c r="I307" s="22">
        <f>IF($A307="","",IFERROR(IF(N($H307)=0,0,(N($H307)-N($G307))/N($H307)),0))</f>
        <v/>
      </c>
    </row>
    <row r="308">
      <c r="I308" s="22">
        <f>IF($A308="","",IFERROR(IF(N($H308)=0,0,(N($H308)-N($G308))/N($H308)),0))</f>
        <v/>
      </c>
    </row>
    <row r="309">
      <c r="I309" s="22">
        <f>IF($A309="","",IFERROR(IF(N($H309)=0,0,(N($H309)-N($G309))/N($H309)),0))</f>
        <v/>
      </c>
    </row>
    <row r="310">
      <c r="I310" s="22">
        <f>IF($A310="","",IFERROR(IF(N($H310)=0,0,(N($H310)-N($G310))/N($H310)),0))</f>
        <v/>
      </c>
    </row>
    <row r="311">
      <c r="I311" s="22">
        <f>IF($A311="","",IFERROR(IF(N($H311)=0,0,(N($H311)-N($G311))/N($H311)),0))</f>
        <v/>
      </c>
    </row>
    <row r="312">
      <c r="I312" s="22">
        <f>IF($A312="","",IFERROR(IF(N($H312)=0,0,(N($H312)-N($G312))/N($H312)),0))</f>
        <v/>
      </c>
    </row>
    <row r="313">
      <c r="I313" s="22">
        <f>IF($A313="","",IFERROR(IF(N($H313)=0,0,(N($H313)-N($G313))/N($H313)),0))</f>
        <v/>
      </c>
    </row>
    <row r="314">
      <c r="I314" s="22">
        <f>IF($A314="","",IFERROR(IF(N($H314)=0,0,(N($H314)-N($G314))/N($H314)),0))</f>
        <v/>
      </c>
    </row>
    <row r="315">
      <c r="I315" s="22">
        <f>IF($A315="","",IFERROR(IF(N($H315)=0,0,(N($H315)-N($G315))/N($H315)),0))</f>
        <v/>
      </c>
    </row>
    <row r="316">
      <c r="I316" s="22">
        <f>IF($A316="","",IFERROR(IF(N($H316)=0,0,(N($H316)-N($G316))/N($H316)),0))</f>
        <v/>
      </c>
    </row>
    <row r="317">
      <c r="I317" s="22">
        <f>IF($A317="","",IFERROR(IF(N($H317)=0,0,(N($H317)-N($G317))/N($H317)),0))</f>
        <v/>
      </c>
    </row>
    <row r="318">
      <c r="I318" s="22">
        <f>IF($A318="","",IFERROR(IF(N($H318)=0,0,(N($H318)-N($G318))/N($H318)),0))</f>
        <v/>
      </c>
    </row>
    <row r="319">
      <c r="I319" s="22">
        <f>IF($A319="","",IFERROR(IF(N($H319)=0,0,(N($H319)-N($G319))/N($H319)),0))</f>
        <v/>
      </c>
    </row>
    <row r="320">
      <c r="I320" s="22">
        <f>IF($A320="","",IFERROR(IF(N($H320)=0,0,(N($H320)-N($G320))/N($H320)),0))</f>
        <v/>
      </c>
    </row>
    <row r="321">
      <c r="I321" s="22">
        <f>IF($A321="","",IFERROR(IF(N($H321)=0,0,(N($H321)-N($G321))/N($H321)),0))</f>
        <v/>
      </c>
    </row>
    <row r="322">
      <c r="I322" s="22">
        <f>IF($A322="","",IFERROR(IF(N($H322)=0,0,(N($H322)-N($G322))/N($H322)),0))</f>
        <v/>
      </c>
    </row>
    <row r="323">
      <c r="I323" s="22">
        <f>IF($A323="","",IFERROR(IF(N($H323)=0,0,(N($H323)-N($G323))/N($H323)),0))</f>
        <v/>
      </c>
    </row>
    <row r="324">
      <c r="I324" s="22">
        <f>IF($A324="","",IFERROR(IF(N($H324)=0,0,(N($H324)-N($G324))/N($H324)),0))</f>
        <v/>
      </c>
    </row>
    <row r="325">
      <c r="I325" s="22">
        <f>IF($A325="","",IFERROR(IF(N($H325)=0,0,(N($H325)-N($G325))/N($H325)),0))</f>
        <v/>
      </c>
    </row>
    <row r="326">
      <c r="I326" s="22">
        <f>IF($A326="","",IFERROR(IF(N($H326)=0,0,(N($H326)-N($G326))/N($H326)),0))</f>
        <v/>
      </c>
    </row>
    <row r="327">
      <c r="I327" s="22">
        <f>IF($A327="","",IFERROR(IF(N($H327)=0,0,(N($H327)-N($G327))/N($H327)),0))</f>
        <v/>
      </c>
    </row>
    <row r="328">
      <c r="I328" s="22">
        <f>IF($A328="","",IFERROR(IF(N($H328)=0,0,(N($H328)-N($G328))/N($H328)),0))</f>
        <v/>
      </c>
    </row>
    <row r="329">
      <c r="I329" s="22">
        <f>IF($A329="","",IFERROR(IF(N($H329)=0,0,(N($H329)-N($G329))/N($H329)),0))</f>
        <v/>
      </c>
    </row>
    <row r="330">
      <c r="I330" s="22">
        <f>IF($A330="","",IFERROR(IF(N($H330)=0,0,(N($H330)-N($G330))/N($H330)),0))</f>
        <v/>
      </c>
    </row>
    <row r="331">
      <c r="I331" s="22">
        <f>IF($A331="","",IFERROR(IF(N($H331)=0,0,(N($H331)-N($G331))/N($H331)),0))</f>
        <v/>
      </c>
    </row>
    <row r="332">
      <c r="I332" s="22">
        <f>IF($A332="","",IFERROR(IF(N($H332)=0,0,(N($H332)-N($G332))/N($H332)),0))</f>
        <v/>
      </c>
    </row>
    <row r="333">
      <c r="I333" s="22">
        <f>IF($A333="","",IFERROR(IF(N($H333)=0,0,(N($H333)-N($G333))/N($H333)),0))</f>
        <v/>
      </c>
    </row>
    <row r="334">
      <c r="I334" s="22">
        <f>IF($A334="","",IFERROR(IF(N($H334)=0,0,(N($H334)-N($G334))/N($H334)),0))</f>
        <v/>
      </c>
    </row>
    <row r="335">
      <c r="I335" s="22">
        <f>IF($A335="","",IFERROR(IF(N($H335)=0,0,(N($H335)-N($G335))/N($H335)),0))</f>
        <v/>
      </c>
    </row>
    <row r="336">
      <c r="I336" s="22">
        <f>IF($A336="","",IFERROR(IF(N($H336)=0,0,(N($H336)-N($G336))/N($H336)),0))</f>
        <v/>
      </c>
    </row>
    <row r="337">
      <c r="I337" s="22">
        <f>IF($A337="","",IFERROR(IF(N($H337)=0,0,(N($H337)-N($G337))/N($H337)),0))</f>
        <v/>
      </c>
    </row>
    <row r="338">
      <c r="I338" s="22">
        <f>IF($A338="","",IFERROR(IF(N($H338)=0,0,(N($H338)-N($G338))/N($H338)),0))</f>
        <v/>
      </c>
    </row>
    <row r="339">
      <c r="I339" s="22">
        <f>IF($A339="","",IFERROR(IF(N($H339)=0,0,(N($H339)-N($G339))/N($H339)),0))</f>
        <v/>
      </c>
    </row>
    <row r="340">
      <c r="I340" s="22">
        <f>IF($A340="","",IFERROR(IF(N($H340)=0,0,(N($H340)-N($G340))/N($H340)),0))</f>
        <v/>
      </c>
    </row>
    <row r="341">
      <c r="I341" s="22">
        <f>IF($A341="","",IFERROR(IF(N($H341)=0,0,(N($H341)-N($G341))/N($H341)),0))</f>
        <v/>
      </c>
    </row>
    <row r="342">
      <c r="I342" s="22">
        <f>IF($A342="","",IFERROR(IF(N($H342)=0,0,(N($H342)-N($G342))/N($H342)),0))</f>
        <v/>
      </c>
    </row>
    <row r="343">
      <c r="I343" s="22">
        <f>IF($A343="","",IFERROR(IF(N($H343)=0,0,(N($H343)-N($G343))/N($H343)),0))</f>
        <v/>
      </c>
    </row>
    <row r="344">
      <c r="I344" s="22">
        <f>IF($A344="","",IFERROR(IF(N($H344)=0,0,(N($H344)-N($G344))/N($H344)),0))</f>
        <v/>
      </c>
    </row>
    <row r="345">
      <c r="I345" s="22">
        <f>IF($A345="","",IFERROR(IF(N($H345)=0,0,(N($H345)-N($G345))/N($H345)),0))</f>
        <v/>
      </c>
    </row>
    <row r="346">
      <c r="I346" s="22">
        <f>IF($A346="","",IFERROR(IF(N($H346)=0,0,(N($H346)-N($G346))/N($H346)),0))</f>
        <v/>
      </c>
    </row>
    <row r="347">
      <c r="I347" s="22">
        <f>IF($A347="","",IFERROR(IF(N($H347)=0,0,(N($H347)-N($G347))/N($H347)),0))</f>
        <v/>
      </c>
    </row>
    <row r="348">
      <c r="I348" s="22">
        <f>IF($A348="","",IFERROR(IF(N($H348)=0,0,(N($H348)-N($G348))/N($H348)),0))</f>
        <v/>
      </c>
    </row>
    <row r="349">
      <c r="I349" s="22">
        <f>IF($A349="","",IFERROR(IF(N($H349)=0,0,(N($H349)-N($G349))/N($H349)),0))</f>
        <v/>
      </c>
    </row>
    <row r="350">
      <c r="I350" s="22">
        <f>IF($A350="","",IFERROR(IF(N($H350)=0,0,(N($H350)-N($G350))/N($H350)),0))</f>
        <v/>
      </c>
    </row>
    <row r="351">
      <c r="I351" s="22">
        <f>IF($A351="","",IFERROR(IF(N($H351)=0,0,(N($H351)-N($G351))/N($H351)),0))</f>
        <v/>
      </c>
    </row>
    <row r="352">
      <c r="I352" s="22">
        <f>IF($A352="","",IFERROR(IF(N($H352)=0,0,(N($H352)-N($G352))/N($H352)),0))</f>
        <v/>
      </c>
    </row>
    <row r="353">
      <c r="I353" s="22">
        <f>IF($A353="","",IFERROR(IF(N($H353)=0,0,(N($H353)-N($G353))/N($H353)),0))</f>
        <v/>
      </c>
    </row>
    <row r="354">
      <c r="I354" s="22">
        <f>IF($A354="","",IFERROR(IF(N($H354)=0,0,(N($H354)-N($G354))/N($H354)),0))</f>
        <v/>
      </c>
    </row>
    <row r="355">
      <c r="I355" s="22">
        <f>IF($A355="","",IFERROR(IF(N($H355)=0,0,(N($H355)-N($G355))/N($H355)),0))</f>
        <v/>
      </c>
    </row>
    <row r="356">
      <c r="I356" s="22">
        <f>IF($A356="","",IFERROR(IF(N($H356)=0,0,(N($H356)-N($G356))/N($H356)),0))</f>
        <v/>
      </c>
    </row>
    <row r="357">
      <c r="I357" s="22">
        <f>IF($A357="","",IFERROR(IF(N($H357)=0,0,(N($H357)-N($G357))/N($H357)),0))</f>
        <v/>
      </c>
    </row>
    <row r="358">
      <c r="I358" s="22">
        <f>IF($A358="","",IFERROR(IF(N($H358)=0,0,(N($H358)-N($G358))/N($H358)),0))</f>
        <v/>
      </c>
    </row>
    <row r="359">
      <c r="I359" s="22">
        <f>IF($A359="","",IFERROR(IF(N($H359)=0,0,(N($H359)-N($G359))/N($H359)),0))</f>
        <v/>
      </c>
    </row>
    <row r="360">
      <c r="I360" s="22">
        <f>IF($A360="","",IFERROR(IF(N($H360)=0,0,(N($H360)-N($G360))/N($H360)),0))</f>
        <v/>
      </c>
    </row>
    <row r="361">
      <c r="I361" s="22">
        <f>IF($A361="","",IFERROR(IF(N($H361)=0,0,(N($H361)-N($G361))/N($H361)),0))</f>
        <v/>
      </c>
    </row>
    <row r="362">
      <c r="I362" s="22">
        <f>IF($A362="","",IFERROR(IF(N($H362)=0,0,(N($H362)-N($G362))/N($H362)),0))</f>
        <v/>
      </c>
    </row>
    <row r="363">
      <c r="I363" s="22">
        <f>IF($A363="","",IFERROR(IF(N($H363)=0,0,(N($H363)-N($G363))/N($H363)),0))</f>
        <v/>
      </c>
    </row>
    <row r="364">
      <c r="I364" s="22">
        <f>IF($A364="","",IFERROR(IF(N($H364)=0,0,(N($H364)-N($G364))/N($H364)),0))</f>
        <v/>
      </c>
    </row>
    <row r="365">
      <c r="I365" s="22">
        <f>IF($A365="","",IFERROR(IF(N($H365)=0,0,(N($H365)-N($G365))/N($H365)),0))</f>
        <v/>
      </c>
    </row>
    <row r="366">
      <c r="I366" s="22">
        <f>IF($A366="","",IFERROR(IF(N($H366)=0,0,(N($H366)-N($G366))/N($H366)),0))</f>
        <v/>
      </c>
    </row>
    <row r="367">
      <c r="I367" s="22">
        <f>IF($A367="","",IFERROR(IF(N($H367)=0,0,(N($H367)-N($G367))/N($H367)),0))</f>
        <v/>
      </c>
    </row>
    <row r="368">
      <c r="I368" s="22">
        <f>IF($A368="","",IFERROR(IF(N($H368)=0,0,(N($H368)-N($G368))/N($H368)),0))</f>
        <v/>
      </c>
    </row>
    <row r="369">
      <c r="I369" s="22">
        <f>IF($A369="","",IFERROR(IF(N($H369)=0,0,(N($H369)-N($G369))/N($H369)),0))</f>
        <v/>
      </c>
    </row>
    <row r="370">
      <c r="I370" s="22">
        <f>IF($A370="","",IFERROR(IF(N($H370)=0,0,(N($H370)-N($G370))/N($H370)),0))</f>
        <v/>
      </c>
    </row>
    <row r="371">
      <c r="I371" s="22">
        <f>IF($A371="","",IFERROR(IF(N($H371)=0,0,(N($H371)-N($G371))/N($H371)),0))</f>
        <v/>
      </c>
    </row>
    <row r="372">
      <c r="I372" s="22">
        <f>IF($A372="","",IFERROR(IF(N($H372)=0,0,(N($H372)-N($G372))/N($H372)),0))</f>
        <v/>
      </c>
    </row>
    <row r="373">
      <c r="I373" s="22">
        <f>IF($A373="","",IFERROR(IF(N($H373)=0,0,(N($H373)-N($G373))/N($H373)),0))</f>
        <v/>
      </c>
    </row>
    <row r="374">
      <c r="I374" s="22">
        <f>IF($A374="","",IFERROR(IF(N($H374)=0,0,(N($H374)-N($G374))/N($H374)),0))</f>
        <v/>
      </c>
    </row>
    <row r="375">
      <c r="I375" s="22">
        <f>IF($A375="","",IFERROR(IF(N($H375)=0,0,(N($H375)-N($G375))/N($H375)),0))</f>
        <v/>
      </c>
    </row>
    <row r="376">
      <c r="I376" s="22">
        <f>IF($A376="","",IFERROR(IF(N($H376)=0,0,(N($H376)-N($G376))/N($H376)),0))</f>
        <v/>
      </c>
    </row>
    <row r="377">
      <c r="I377" s="22">
        <f>IF($A377="","",IFERROR(IF(N($H377)=0,0,(N($H377)-N($G377))/N($H377)),0))</f>
        <v/>
      </c>
    </row>
    <row r="378">
      <c r="I378" s="22">
        <f>IF($A378="","",IFERROR(IF(N($H378)=0,0,(N($H378)-N($G378))/N($H378)),0))</f>
        <v/>
      </c>
    </row>
    <row r="379">
      <c r="I379" s="22">
        <f>IF($A379="","",IFERROR(IF(N($H379)=0,0,(N($H379)-N($G379))/N($H379)),0))</f>
        <v/>
      </c>
    </row>
    <row r="380">
      <c r="I380" s="22">
        <f>IF($A380="","",IFERROR(IF(N($H380)=0,0,(N($H380)-N($G380))/N($H380)),0))</f>
        <v/>
      </c>
    </row>
    <row r="381">
      <c r="I381" s="22">
        <f>IF($A381="","",IFERROR(IF(N($H381)=0,0,(N($H381)-N($G381))/N($H381)),0))</f>
        <v/>
      </c>
    </row>
    <row r="382">
      <c r="I382" s="22">
        <f>IF($A382="","",IFERROR(IF(N($H382)=0,0,(N($H382)-N($G382))/N($H382)),0))</f>
        <v/>
      </c>
    </row>
    <row r="383">
      <c r="I383" s="22">
        <f>IF($A383="","",IFERROR(IF(N($H383)=0,0,(N($H383)-N($G383))/N($H383)),0))</f>
        <v/>
      </c>
    </row>
    <row r="384">
      <c r="I384" s="22">
        <f>IF($A384="","",IFERROR(IF(N($H384)=0,0,(N($H384)-N($G384))/N($H384)),0))</f>
        <v/>
      </c>
    </row>
    <row r="385">
      <c r="I385" s="22">
        <f>IF($A385="","",IFERROR(IF(N($H385)=0,0,(N($H385)-N($G385))/N($H385)),0))</f>
        <v/>
      </c>
    </row>
    <row r="386">
      <c r="I386" s="22">
        <f>IF($A386="","",IFERROR(IF(N($H386)=0,0,(N($H386)-N($G386))/N($H386)),0))</f>
        <v/>
      </c>
    </row>
    <row r="387">
      <c r="I387" s="22">
        <f>IF($A387="","",IFERROR(IF(N($H387)=0,0,(N($H387)-N($G387))/N($H387)),0))</f>
        <v/>
      </c>
    </row>
    <row r="388">
      <c r="I388" s="22">
        <f>IF($A388="","",IFERROR(IF(N($H388)=0,0,(N($H388)-N($G388))/N($H388)),0))</f>
        <v/>
      </c>
    </row>
    <row r="389">
      <c r="I389" s="22">
        <f>IF($A389="","",IFERROR(IF(N($H389)=0,0,(N($H389)-N($G389))/N($H389)),0))</f>
        <v/>
      </c>
    </row>
    <row r="390">
      <c r="I390" s="22">
        <f>IF($A390="","",IFERROR(IF(N($H390)=0,0,(N($H390)-N($G390))/N($H390)),0))</f>
        <v/>
      </c>
    </row>
    <row r="391">
      <c r="I391" s="22">
        <f>IF($A391="","",IFERROR(IF(N($H391)=0,0,(N($H391)-N($G391))/N($H391)),0))</f>
        <v/>
      </c>
    </row>
    <row r="392">
      <c r="I392" s="22">
        <f>IF($A392="","",IFERROR(IF(N($H392)=0,0,(N($H392)-N($G392))/N($H392)),0))</f>
        <v/>
      </c>
    </row>
    <row r="393">
      <c r="I393" s="22">
        <f>IF($A393="","",IFERROR(IF(N($H393)=0,0,(N($H393)-N($G393))/N($H393)),0))</f>
        <v/>
      </c>
    </row>
    <row r="394">
      <c r="I394" s="22">
        <f>IF($A394="","",IFERROR(IF(N($H394)=0,0,(N($H394)-N($G394))/N($H394)),0))</f>
        <v/>
      </c>
    </row>
    <row r="395">
      <c r="I395" s="22">
        <f>IF($A395="","",IFERROR(IF(N($H395)=0,0,(N($H395)-N($G395))/N($H395)),0))</f>
        <v/>
      </c>
    </row>
    <row r="396">
      <c r="I396" s="22">
        <f>IF($A396="","",IFERROR(IF(N($H396)=0,0,(N($H396)-N($G396))/N($H396)),0))</f>
        <v/>
      </c>
    </row>
    <row r="397">
      <c r="I397" s="22">
        <f>IF($A397="","",IFERROR(IF(N($H397)=0,0,(N($H397)-N($G397))/N($H397)),0))</f>
        <v/>
      </c>
    </row>
    <row r="398">
      <c r="I398" s="22">
        <f>IF($A398="","",IFERROR(IF(N($H398)=0,0,(N($H398)-N($G398))/N($H398)),0))</f>
        <v/>
      </c>
    </row>
    <row r="399">
      <c r="I399" s="22">
        <f>IF($A399="","",IFERROR(IF(N($H399)=0,0,(N($H399)-N($G399))/N($H399)),0))</f>
        <v/>
      </c>
    </row>
    <row r="400">
      <c r="I400" s="22">
        <f>IF($A400="","",IFERROR(IF(N($H400)=0,0,(N($H400)-N($G400))/N($H400)),0))</f>
        <v/>
      </c>
    </row>
    <row r="401">
      <c r="I401" s="22">
        <f>IF($A401="","",IFERROR(IF(N($H401)=0,0,(N($H401)-N($G401))/N($H401)),0))</f>
        <v/>
      </c>
    </row>
    <row r="402">
      <c r="I402" s="22">
        <f>IF($A402="","",IFERROR(IF(N($H402)=0,0,(N($H402)-N($G402))/N($H402)),0))</f>
        <v/>
      </c>
    </row>
    <row r="403">
      <c r="I403" s="22">
        <f>IF($A403="","",IFERROR(IF(N($H403)=0,0,(N($H403)-N($G403))/N($H403)),0))</f>
        <v/>
      </c>
    </row>
    <row r="404">
      <c r="I404" s="22">
        <f>IF($A404="","",IFERROR(IF(N($H404)=0,0,(N($H404)-N($G404))/N($H404)),0))</f>
        <v/>
      </c>
    </row>
    <row r="405">
      <c r="I405" s="22">
        <f>IF($A405="","",IFERROR(IF(N($H405)=0,0,(N($H405)-N($G405))/N($H405)),0))</f>
        <v/>
      </c>
    </row>
    <row r="406">
      <c r="I406" s="22">
        <f>IF($A406="","",IFERROR(IF(N($H406)=0,0,(N($H406)-N($G406))/N($H406)),0))</f>
        <v/>
      </c>
    </row>
    <row r="407">
      <c r="I407" s="22">
        <f>IF($A407="","",IFERROR(IF(N($H407)=0,0,(N($H407)-N($G407))/N($H407)),0))</f>
        <v/>
      </c>
    </row>
    <row r="408">
      <c r="I408" s="22">
        <f>IF($A408="","",IFERROR(IF(N($H408)=0,0,(N($H408)-N($G408))/N($H408)),0))</f>
        <v/>
      </c>
    </row>
    <row r="409">
      <c r="I409" s="22">
        <f>IF($A409="","",IFERROR(IF(N($H409)=0,0,(N($H409)-N($G409))/N($H409)),0))</f>
        <v/>
      </c>
    </row>
    <row r="410">
      <c r="I410" s="22">
        <f>IF($A410="","",IFERROR(IF(N($H410)=0,0,(N($H410)-N($G410))/N($H410)),0))</f>
        <v/>
      </c>
    </row>
    <row r="411">
      <c r="I411" s="22">
        <f>IF($A411="","",IFERROR(IF(N($H411)=0,0,(N($H411)-N($G411))/N($H411)),0))</f>
        <v/>
      </c>
    </row>
    <row r="412">
      <c r="I412" s="22">
        <f>IF($A412="","",IFERROR(IF(N($H412)=0,0,(N($H412)-N($G412))/N($H412)),0))</f>
        <v/>
      </c>
    </row>
    <row r="413">
      <c r="I413" s="22">
        <f>IF($A413="","",IFERROR(IF(N($H413)=0,0,(N($H413)-N($G413))/N($H413)),0))</f>
        <v/>
      </c>
    </row>
    <row r="414">
      <c r="I414" s="22">
        <f>IF($A414="","",IFERROR(IF(N($H414)=0,0,(N($H414)-N($G414))/N($H414)),0))</f>
        <v/>
      </c>
    </row>
    <row r="415">
      <c r="I415" s="22">
        <f>IF($A415="","",IFERROR(IF(N($H415)=0,0,(N($H415)-N($G415))/N($H415)),0))</f>
        <v/>
      </c>
    </row>
    <row r="416">
      <c r="I416" s="22">
        <f>IF($A416="","",IFERROR(IF(N($H416)=0,0,(N($H416)-N($G416))/N($H416)),0))</f>
        <v/>
      </c>
    </row>
    <row r="417">
      <c r="I417" s="22">
        <f>IF($A417="","",IFERROR(IF(N($H417)=0,0,(N($H417)-N($G417))/N($H417)),0))</f>
        <v/>
      </c>
    </row>
    <row r="418">
      <c r="I418" s="22">
        <f>IF($A418="","",IFERROR(IF(N($H418)=0,0,(N($H418)-N($G418))/N($H418)),0))</f>
        <v/>
      </c>
    </row>
    <row r="419">
      <c r="I419" s="22">
        <f>IF($A419="","",IFERROR(IF(N($H419)=0,0,(N($H419)-N($G419))/N($H419)),0))</f>
        <v/>
      </c>
    </row>
    <row r="420">
      <c r="I420" s="22">
        <f>IF($A420="","",IFERROR(IF(N($H420)=0,0,(N($H420)-N($G420))/N($H420)),0))</f>
        <v/>
      </c>
    </row>
    <row r="421">
      <c r="I421" s="22">
        <f>IF($A421="","",IFERROR(IF(N($H421)=0,0,(N($H421)-N($G421))/N($H421)),0))</f>
        <v/>
      </c>
    </row>
    <row r="422">
      <c r="I422" s="22">
        <f>IF($A422="","",IFERROR(IF(N($H422)=0,0,(N($H422)-N($G422))/N($H422)),0))</f>
        <v/>
      </c>
    </row>
    <row r="423">
      <c r="I423" s="22">
        <f>IF($A423="","",IFERROR(IF(N($H423)=0,0,(N($H423)-N($G423))/N($H423)),0))</f>
        <v/>
      </c>
    </row>
    <row r="424">
      <c r="I424" s="22">
        <f>IF($A424="","",IFERROR(IF(N($H424)=0,0,(N($H424)-N($G424))/N($H424)),0))</f>
        <v/>
      </c>
    </row>
    <row r="425">
      <c r="I425" s="22">
        <f>IF($A425="","",IFERROR(IF(N($H425)=0,0,(N($H425)-N($G425))/N($H425)),0))</f>
        <v/>
      </c>
    </row>
    <row r="426">
      <c r="I426" s="22">
        <f>IF($A426="","",IFERROR(IF(N($H426)=0,0,(N($H426)-N($G426))/N($H426)),0))</f>
        <v/>
      </c>
    </row>
    <row r="427">
      <c r="I427" s="22">
        <f>IF($A427="","",IFERROR(IF(N($H427)=0,0,(N($H427)-N($G427))/N($H427)),0))</f>
        <v/>
      </c>
    </row>
    <row r="428">
      <c r="I428" s="22">
        <f>IF($A428="","",IFERROR(IF(N($H428)=0,0,(N($H428)-N($G428))/N($H428)),0))</f>
        <v/>
      </c>
    </row>
    <row r="429">
      <c r="I429" s="22">
        <f>IF($A429="","",IFERROR(IF(N($H429)=0,0,(N($H429)-N($G429))/N($H429)),0))</f>
        <v/>
      </c>
    </row>
    <row r="430">
      <c r="I430" s="22">
        <f>IF($A430="","",IFERROR(IF(N($H430)=0,0,(N($H430)-N($G430))/N($H430)),0))</f>
        <v/>
      </c>
    </row>
    <row r="431">
      <c r="I431" s="22">
        <f>IF($A431="","",IFERROR(IF(N($H431)=0,0,(N($H431)-N($G431))/N($H431)),0))</f>
        <v/>
      </c>
    </row>
    <row r="432">
      <c r="I432" s="22">
        <f>IF($A432="","",IFERROR(IF(N($H432)=0,0,(N($H432)-N($G432))/N($H432)),0))</f>
        <v/>
      </c>
    </row>
    <row r="433">
      <c r="I433" s="22">
        <f>IF($A433="","",IFERROR(IF(N($H433)=0,0,(N($H433)-N($G433))/N($H433)),0))</f>
        <v/>
      </c>
    </row>
    <row r="434">
      <c r="I434" s="22">
        <f>IF($A434="","",IFERROR(IF(N($H434)=0,0,(N($H434)-N($G434))/N($H434)),0))</f>
        <v/>
      </c>
    </row>
    <row r="435">
      <c r="I435" s="22">
        <f>IF($A435="","",IFERROR(IF(N($H435)=0,0,(N($H435)-N($G435))/N($H435)),0))</f>
        <v/>
      </c>
    </row>
    <row r="436">
      <c r="I436" s="22">
        <f>IF($A436="","",IFERROR(IF(N($H436)=0,0,(N($H436)-N($G436))/N($H436)),0))</f>
        <v/>
      </c>
    </row>
    <row r="437">
      <c r="I437" s="22">
        <f>IF($A437="","",IFERROR(IF(N($H437)=0,0,(N($H437)-N($G437))/N($H437)),0))</f>
        <v/>
      </c>
    </row>
    <row r="438">
      <c r="I438" s="22">
        <f>IF($A438="","",IFERROR(IF(N($H438)=0,0,(N($H438)-N($G438))/N($H438)),0))</f>
        <v/>
      </c>
    </row>
    <row r="439">
      <c r="I439" s="22">
        <f>IF($A439="","",IFERROR(IF(N($H439)=0,0,(N($H439)-N($G439))/N($H439)),0))</f>
        <v/>
      </c>
    </row>
    <row r="440">
      <c r="I440" s="22">
        <f>IF($A440="","",IFERROR(IF(N($H440)=0,0,(N($H440)-N($G440))/N($H440)),0))</f>
        <v/>
      </c>
    </row>
    <row r="441">
      <c r="I441" s="22">
        <f>IF($A441="","",IFERROR(IF(N($H441)=0,0,(N($H441)-N($G441))/N($H441)),0))</f>
        <v/>
      </c>
    </row>
    <row r="442">
      <c r="I442" s="22">
        <f>IF($A442="","",IFERROR(IF(N($H442)=0,0,(N($H442)-N($G442))/N($H442)),0))</f>
        <v/>
      </c>
    </row>
    <row r="443">
      <c r="I443" s="22">
        <f>IF($A443="","",IFERROR(IF(N($H443)=0,0,(N($H443)-N($G443))/N($H443)),0))</f>
        <v/>
      </c>
    </row>
    <row r="444">
      <c r="I444" s="22">
        <f>IF($A444="","",IFERROR(IF(N($H444)=0,0,(N($H444)-N($G444))/N($H444)),0))</f>
        <v/>
      </c>
    </row>
    <row r="445">
      <c r="I445" s="22">
        <f>IF($A445="","",IFERROR(IF(N($H445)=0,0,(N($H445)-N($G445))/N($H445)),0))</f>
        <v/>
      </c>
    </row>
    <row r="446">
      <c r="I446" s="22">
        <f>IF($A446="","",IFERROR(IF(N($H446)=0,0,(N($H446)-N($G446))/N($H446)),0))</f>
        <v/>
      </c>
    </row>
    <row r="447">
      <c r="I447" s="22">
        <f>IF($A447="","",IFERROR(IF(N($H447)=0,0,(N($H447)-N($G447))/N($H447)),0))</f>
        <v/>
      </c>
    </row>
    <row r="448">
      <c r="I448" s="22">
        <f>IF($A448="","",IFERROR(IF(N($H448)=0,0,(N($H448)-N($G448))/N($H448)),0))</f>
        <v/>
      </c>
    </row>
    <row r="449">
      <c r="I449" s="22">
        <f>IF($A449="","",IFERROR(IF(N($H449)=0,0,(N($H449)-N($G449))/N($H449)),0))</f>
        <v/>
      </c>
    </row>
    <row r="450">
      <c r="I450" s="22">
        <f>IF($A450="","",IFERROR(IF(N($H450)=0,0,(N($H450)-N($G450))/N($H450)),0))</f>
        <v/>
      </c>
    </row>
    <row r="451">
      <c r="I451" s="22">
        <f>IF($A451="","",IFERROR(IF(N($H451)=0,0,(N($H451)-N($G451))/N($H451)),0))</f>
        <v/>
      </c>
    </row>
    <row r="452">
      <c r="I452" s="22">
        <f>IF($A452="","",IFERROR(IF(N($H452)=0,0,(N($H452)-N($G452))/N($H452)),0))</f>
        <v/>
      </c>
    </row>
    <row r="453">
      <c r="I453" s="22">
        <f>IF($A453="","",IFERROR(IF(N($H453)=0,0,(N($H453)-N($G453))/N($H453)),0))</f>
        <v/>
      </c>
    </row>
    <row r="454">
      <c r="I454" s="22">
        <f>IF($A454="","",IFERROR(IF(N($H454)=0,0,(N($H454)-N($G454))/N($H454)),0))</f>
        <v/>
      </c>
    </row>
    <row r="455">
      <c r="I455" s="22">
        <f>IF($A455="","",IFERROR(IF(N($H455)=0,0,(N($H455)-N($G455))/N($H455)),0))</f>
        <v/>
      </c>
    </row>
    <row r="456">
      <c r="I456" s="22">
        <f>IF($A456="","",IFERROR(IF(N($H456)=0,0,(N($H456)-N($G456))/N($H456)),0))</f>
        <v/>
      </c>
    </row>
    <row r="457">
      <c r="I457" s="22">
        <f>IF($A457="","",IFERROR(IF(N($H457)=0,0,(N($H457)-N($G457))/N($H457)),0))</f>
        <v/>
      </c>
    </row>
    <row r="458">
      <c r="I458" s="22">
        <f>IF($A458="","",IFERROR(IF(N($H458)=0,0,(N($H458)-N($G458))/N($H458)),0))</f>
        <v/>
      </c>
    </row>
    <row r="459">
      <c r="I459" s="22">
        <f>IF($A459="","",IFERROR(IF(N($H459)=0,0,(N($H459)-N($G459))/N($H459)),0))</f>
        <v/>
      </c>
    </row>
    <row r="460">
      <c r="I460" s="22">
        <f>IF($A460="","",IFERROR(IF(N($H460)=0,0,(N($H460)-N($G460))/N($H460)),0))</f>
        <v/>
      </c>
    </row>
    <row r="461">
      <c r="I461" s="22">
        <f>IF($A461="","",IFERROR(IF(N($H461)=0,0,(N($H461)-N($G461))/N($H461)),0))</f>
        <v/>
      </c>
    </row>
    <row r="462">
      <c r="I462" s="22">
        <f>IF($A462="","",IFERROR(IF(N($H462)=0,0,(N($H462)-N($G462))/N($H462)),0))</f>
        <v/>
      </c>
    </row>
    <row r="463">
      <c r="I463" s="22">
        <f>IF($A463="","",IFERROR(IF(N($H463)=0,0,(N($H463)-N($G463))/N($H463)),0))</f>
        <v/>
      </c>
    </row>
    <row r="464">
      <c r="I464" s="22">
        <f>IF($A464="","",IFERROR(IF(N($H464)=0,0,(N($H464)-N($G464))/N($H464)),0))</f>
        <v/>
      </c>
    </row>
    <row r="465">
      <c r="I465" s="22">
        <f>IF($A465="","",IFERROR(IF(N($H465)=0,0,(N($H465)-N($G465))/N($H465)),0))</f>
        <v/>
      </c>
    </row>
    <row r="466">
      <c r="I466" s="22">
        <f>IF($A466="","",IFERROR(IF(N($H466)=0,0,(N($H466)-N($G466))/N($H466)),0))</f>
        <v/>
      </c>
    </row>
    <row r="467">
      <c r="I467" s="22">
        <f>IF($A467="","",IFERROR(IF(N($H467)=0,0,(N($H467)-N($G467))/N($H467)),0))</f>
        <v/>
      </c>
    </row>
    <row r="468">
      <c r="I468" s="22">
        <f>IF($A468="","",IFERROR(IF(N($H468)=0,0,(N($H468)-N($G468))/N($H468)),0))</f>
        <v/>
      </c>
    </row>
    <row r="469">
      <c r="I469" s="22">
        <f>IF($A469="","",IFERROR(IF(N($H469)=0,0,(N($H469)-N($G469))/N($H469)),0))</f>
        <v/>
      </c>
    </row>
    <row r="470">
      <c r="I470" s="22">
        <f>IF($A470="","",IFERROR(IF(N($H470)=0,0,(N($H470)-N($G470))/N($H470)),0))</f>
        <v/>
      </c>
    </row>
    <row r="471">
      <c r="I471" s="22">
        <f>IF($A471="","",IFERROR(IF(N($H471)=0,0,(N($H471)-N($G471))/N($H471)),0))</f>
        <v/>
      </c>
    </row>
    <row r="472">
      <c r="I472" s="22">
        <f>IF($A472="","",IFERROR(IF(N($H472)=0,0,(N($H472)-N($G472))/N($H472)),0))</f>
        <v/>
      </c>
    </row>
    <row r="473">
      <c r="I473" s="22">
        <f>IF($A473="","",IFERROR(IF(N($H473)=0,0,(N($H473)-N($G473))/N($H473)),0))</f>
        <v/>
      </c>
    </row>
    <row r="474">
      <c r="I474" s="22">
        <f>IF($A474="","",IFERROR(IF(N($H474)=0,0,(N($H474)-N($G474))/N($H474)),0))</f>
        <v/>
      </c>
    </row>
    <row r="475">
      <c r="I475" s="22">
        <f>IF($A475="","",IFERROR(IF(N($H475)=0,0,(N($H475)-N($G475))/N($H475)),0))</f>
        <v/>
      </c>
    </row>
    <row r="476">
      <c r="I476" s="22">
        <f>IF($A476="","",IFERROR(IF(N($H476)=0,0,(N($H476)-N($G476))/N($H476)),0))</f>
        <v/>
      </c>
    </row>
    <row r="477">
      <c r="I477" s="22">
        <f>IF($A477="","",IFERROR(IF(N($H477)=0,0,(N($H477)-N($G477))/N($H477)),0))</f>
        <v/>
      </c>
    </row>
    <row r="478">
      <c r="I478" s="22">
        <f>IF($A478="","",IFERROR(IF(N($H478)=0,0,(N($H478)-N($G478))/N($H478)),0))</f>
        <v/>
      </c>
    </row>
    <row r="479">
      <c r="I479" s="22">
        <f>IF($A479="","",IFERROR(IF(N($H479)=0,0,(N($H479)-N($G479))/N($H479)),0))</f>
        <v/>
      </c>
    </row>
    <row r="480">
      <c r="I480" s="22">
        <f>IF($A480="","",IFERROR(IF(N($H480)=0,0,(N($H480)-N($G480))/N($H480)),0))</f>
        <v/>
      </c>
    </row>
    <row r="481">
      <c r="I481" s="22">
        <f>IF($A481="","",IFERROR(IF(N($H481)=0,0,(N($H481)-N($G481))/N($H481)),0))</f>
        <v/>
      </c>
    </row>
    <row r="482">
      <c r="I482" s="22">
        <f>IF($A482="","",IFERROR(IF(N($H482)=0,0,(N($H482)-N($G482))/N($H482)),0))</f>
        <v/>
      </c>
    </row>
    <row r="483">
      <c r="I483" s="22">
        <f>IF($A483="","",IFERROR(IF(N($H483)=0,0,(N($H483)-N($G483))/N($H483)),0))</f>
        <v/>
      </c>
    </row>
    <row r="484">
      <c r="I484" s="22">
        <f>IF($A484="","",IFERROR(IF(N($H484)=0,0,(N($H484)-N($G484))/N($H484)),0))</f>
        <v/>
      </c>
    </row>
    <row r="485">
      <c r="I485" s="22">
        <f>IF($A485="","",IFERROR(IF(N($H485)=0,0,(N($H485)-N($G485))/N($H485)),0))</f>
        <v/>
      </c>
    </row>
    <row r="486">
      <c r="I486" s="22">
        <f>IF($A486="","",IFERROR(IF(N($H486)=0,0,(N($H486)-N($G486))/N($H486)),0))</f>
        <v/>
      </c>
    </row>
    <row r="487">
      <c r="I487" s="22">
        <f>IF($A487="","",IFERROR(IF(N($H487)=0,0,(N($H487)-N($G487))/N($H487)),0))</f>
        <v/>
      </c>
    </row>
    <row r="488">
      <c r="I488" s="22">
        <f>IF($A488="","",IFERROR(IF(N($H488)=0,0,(N($H488)-N($G488))/N($H488)),0))</f>
        <v/>
      </c>
    </row>
    <row r="489">
      <c r="I489" s="22">
        <f>IF($A489="","",IFERROR(IF(N($H489)=0,0,(N($H489)-N($G489))/N($H489)),0))</f>
        <v/>
      </c>
    </row>
    <row r="490">
      <c r="I490" s="22">
        <f>IF($A490="","",IFERROR(IF(N($H490)=0,0,(N($H490)-N($G490))/N($H490)),0))</f>
        <v/>
      </c>
    </row>
    <row r="491">
      <c r="I491" s="22">
        <f>IF($A491="","",IFERROR(IF(N($H491)=0,0,(N($H491)-N($G491))/N($H491)),0))</f>
        <v/>
      </c>
    </row>
    <row r="492">
      <c r="I492" s="22">
        <f>IF($A492="","",IFERROR(IF(N($H492)=0,0,(N($H492)-N($G492))/N($H492)),0))</f>
        <v/>
      </c>
    </row>
    <row r="493">
      <c r="I493" s="22">
        <f>IF($A493="","",IFERROR(IF(N($H493)=0,0,(N($H493)-N($G493))/N($H493)),0))</f>
        <v/>
      </c>
    </row>
    <row r="494">
      <c r="I494" s="22">
        <f>IF($A494="","",IFERROR(IF(N($H494)=0,0,(N($H494)-N($G494))/N($H494)),0))</f>
        <v/>
      </c>
    </row>
    <row r="495">
      <c r="I495" s="22">
        <f>IF($A495="","",IFERROR(IF(N($H495)=0,0,(N($H495)-N($G495))/N($H495)),0))</f>
        <v/>
      </c>
    </row>
    <row r="496">
      <c r="I496" s="22">
        <f>IF($A496="","",IFERROR(IF(N($H496)=0,0,(N($H496)-N($G496))/N($H496)),0))</f>
        <v/>
      </c>
    </row>
    <row r="497">
      <c r="I497" s="22">
        <f>IF($A497="","",IFERROR(IF(N($H497)=0,0,(N($H497)-N($G497))/N($H497)),0))</f>
        <v/>
      </c>
    </row>
    <row r="498">
      <c r="I498" s="22">
        <f>IF($A498="","",IFERROR(IF(N($H498)=0,0,(N($H498)-N($G498))/N($H498)),0))</f>
        <v/>
      </c>
    </row>
    <row r="499">
      <c r="I499" s="22">
        <f>IF($A499="","",IFERROR(IF(N($H499)=0,0,(N($H499)-N($G499))/N($H499)),0))</f>
        <v/>
      </c>
    </row>
    <row r="500">
      <c r="I500" s="22">
        <f>IF($A500="","",IFERROR(IF(N($H500)=0,0,(N($H500)-N($G500))/N($H500)),0))</f>
        <v/>
      </c>
    </row>
    <row r="501">
      <c r="I501" s="22">
        <f>IF($A501="","",IFERROR(IF(N($H501)=0,0,(N($H501)-N($G501))/N($H501)),0))</f>
        <v/>
      </c>
    </row>
    <row r="502">
      <c r="I502" s="22">
        <f>IF($A502="","",IFERROR(IF(N($H502)=0,0,(N($H502)-N($G502))/N($H502)),0))</f>
        <v/>
      </c>
    </row>
    <row r="503">
      <c r="I503" s="22">
        <f>IF($A503="","",IFERROR(IF(N($H503)=0,0,(N($H503)-N($G503))/N($H503)),0))</f>
        <v/>
      </c>
    </row>
    <row r="504">
      <c r="I504" s="22">
        <f>IF($A504="","",IFERROR(IF(N($H504)=0,0,(N($H504)-N($G504))/N($H504)),0))</f>
        <v/>
      </c>
    </row>
    <row r="505">
      <c r="I505" s="22">
        <f>IF($A505="","",IFERROR(IF(N($H505)=0,0,(N($H505)-N($G505))/N($H505)),0))</f>
        <v/>
      </c>
    </row>
    <row r="506">
      <c r="I506" s="22">
        <f>IF($A506="","",IFERROR(IF(N($H506)=0,0,(N($H506)-N($G506))/N($H506)),0))</f>
        <v/>
      </c>
    </row>
    <row r="507">
      <c r="I507" s="22">
        <f>IF($A507="","",IFERROR(IF(N($H507)=0,0,(N($H507)-N($G507))/N($H507)),0))</f>
        <v/>
      </c>
    </row>
    <row r="508">
      <c r="I508" s="22">
        <f>IF($A508="","",IFERROR(IF(N($H508)=0,0,(N($H508)-N($G508))/N($H508)),0))</f>
        <v/>
      </c>
    </row>
    <row r="509">
      <c r="I509" s="22">
        <f>IF($A509="","",IFERROR(IF(N($H509)=0,0,(N($H509)-N($G509))/N($H509)),0))</f>
        <v/>
      </c>
    </row>
    <row r="510">
      <c r="I510" s="22">
        <f>IF($A510="","",IFERROR(IF(N($H510)=0,0,(N($H510)-N($G510))/N($H510)),0))</f>
        <v/>
      </c>
    </row>
    <row r="511">
      <c r="I511" s="22">
        <f>IF($A511="","",IFERROR(IF(N($H511)=0,0,(N($H511)-N($G511))/N($H511)),0))</f>
        <v/>
      </c>
    </row>
    <row r="512">
      <c r="I512" s="22">
        <f>IF($A512="","",IFERROR(IF(N($H512)=0,0,(N($H512)-N($G512))/N($H512)),0))</f>
        <v/>
      </c>
    </row>
    <row r="513">
      <c r="I513" s="22">
        <f>IF($A513="","",IFERROR(IF(N($H513)=0,0,(N($H513)-N($G513))/N($H513)),0))</f>
        <v/>
      </c>
    </row>
    <row r="514">
      <c r="I514" s="22">
        <f>IF($A514="","",IFERROR(IF(N($H514)=0,0,(N($H514)-N($G514))/N($H514)),0))</f>
        <v/>
      </c>
    </row>
    <row r="515">
      <c r="I515" s="22">
        <f>IF($A515="","",IFERROR(IF(N($H515)=0,0,(N($H515)-N($G515))/N($H515)),0))</f>
        <v/>
      </c>
    </row>
    <row r="516">
      <c r="I516" s="22">
        <f>IF($A516="","",IFERROR(IF(N($H516)=0,0,(N($H516)-N($G516))/N($H516)),0))</f>
        <v/>
      </c>
    </row>
    <row r="517">
      <c r="I517" s="22">
        <f>IF($A517="","",IFERROR(IF(N($H517)=0,0,(N($H517)-N($G517))/N($H517)),0))</f>
        <v/>
      </c>
    </row>
    <row r="518">
      <c r="I518" s="22">
        <f>IF($A518="","",IFERROR(IF(N($H518)=0,0,(N($H518)-N($G518))/N($H518)),0))</f>
        <v/>
      </c>
    </row>
    <row r="519">
      <c r="I519" s="22">
        <f>IF($A519="","",IFERROR(IF(N($H519)=0,0,(N($H519)-N($G519))/N($H519)),0))</f>
        <v/>
      </c>
    </row>
    <row r="520">
      <c r="I520" s="22">
        <f>IF($A520="","",IFERROR(IF(N($H520)=0,0,(N($H520)-N($G520))/N($H520)),0))</f>
        <v/>
      </c>
    </row>
    <row r="521">
      <c r="I521" s="22">
        <f>IF($A521="","",IFERROR(IF(N($H521)=0,0,(N($H521)-N($G521))/N($H521)),0))</f>
        <v/>
      </c>
    </row>
    <row r="522">
      <c r="I522" s="22">
        <f>IF($A522="","",IFERROR(IF(N($H522)=0,0,(N($H522)-N($G522))/N($H522)),0))</f>
        <v/>
      </c>
    </row>
    <row r="523">
      <c r="I523" s="22">
        <f>IF($A523="","",IFERROR(IF(N($H523)=0,0,(N($H523)-N($G523))/N($H523)),0))</f>
        <v/>
      </c>
    </row>
    <row r="524">
      <c r="I524" s="22">
        <f>IF($A524="","",IFERROR(IF(N($H524)=0,0,(N($H524)-N($G524))/N($H524)),0))</f>
        <v/>
      </c>
    </row>
    <row r="525">
      <c r="I525" s="22">
        <f>IF($A525="","",IFERROR(IF(N($H525)=0,0,(N($H525)-N($G525))/N($H525)),0))</f>
        <v/>
      </c>
    </row>
    <row r="526">
      <c r="I526" s="22">
        <f>IF($A526="","",IFERROR(IF(N($H526)=0,0,(N($H526)-N($G526))/N($H526)),0))</f>
        <v/>
      </c>
    </row>
    <row r="527">
      <c r="I527" s="22">
        <f>IF($A527="","",IFERROR(IF(N($H527)=0,0,(N($H527)-N($G527))/N($H527)),0))</f>
        <v/>
      </c>
    </row>
    <row r="528">
      <c r="I528" s="22">
        <f>IF($A528="","",IFERROR(IF(N($H528)=0,0,(N($H528)-N($G528))/N($H528)),0))</f>
        <v/>
      </c>
    </row>
    <row r="529">
      <c r="I529" s="22">
        <f>IF($A529="","",IFERROR(IF(N($H529)=0,0,(N($H529)-N($G529))/N($H529)),0))</f>
        <v/>
      </c>
    </row>
    <row r="530">
      <c r="I530" s="22">
        <f>IF($A530="","",IFERROR(IF(N($H530)=0,0,(N($H530)-N($G530))/N($H530)),0))</f>
        <v/>
      </c>
    </row>
    <row r="531">
      <c r="I531" s="22">
        <f>IF($A531="","",IFERROR(IF(N($H531)=0,0,(N($H531)-N($G531))/N($H531)),0))</f>
        <v/>
      </c>
    </row>
    <row r="532">
      <c r="I532" s="22">
        <f>IF($A532="","",IFERROR(IF(N($H532)=0,0,(N($H532)-N($G532))/N($H532)),0))</f>
        <v/>
      </c>
    </row>
    <row r="533">
      <c r="I533" s="22">
        <f>IF($A533="","",IFERROR(IF(N($H533)=0,0,(N($H533)-N($G533))/N($H533)),0))</f>
        <v/>
      </c>
    </row>
    <row r="534">
      <c r="I534" s="22">
        <f>IF($A534="","",IFERROR(IF(N($H534)=0,0,(N($H534)-N($G534))/N($H534)),0))</f>
        <v/>
      </c>
    </row>
    <row r="535">
      <c r="I535" s="22">
        <f>IF($A535="","",IFERROR(IF(N($H535)=0,0,(N($H535)-N($G535))/N($H535)),0))</f>
        <v/>
      </c>
    </row>
    <row r="536">
      <c r="I536" s="22">
        <f>IF($A536="","",IFERROR(IF(N($H536)=0,0,(N($H536)-N($G536))/N($H536)),0))</f>
        <v/>
      </c>
    </row>
    <row r="537">
      <c r="I537" s="22">
        <f>IF($A537="","",IFERROR(IF(N($H537)=0,0,(N($H537)-N($G537))/N($H537)),0))</f>
        <v/>
      </c>
    </row>
    <row r="538">
      <c r="I538" s="22">
        <f>IF($A538="","",IFERROR(IF(N($H538)=0,0,(N($H538)-N($G538))/N($H538)),0))</f>
        <v/>
      </c>
    </row>
    <row r="539">
      <c r="I539" s="22">
        <f>IF($A539="","",IFERROR(IF(N($H539)=0,0,(N($H539)-N($G539))/N($H539)),0))</f>
        <v/>
      </c>
    </row>
    <row r="540">
      <c r="I540" s="22">
        <f>IF($A540="","",IFERROR(IF(N($H540)=0,0,(N($H540)-N($G540))/N($H540)),0))</f>
        <v/>
      </c>
    </row>
    <row r="541">
      <c r="I541" s="22">
        <f>IF($A541="","",IFERROR(IF(N($H541)=0,0,(N($H541)-N($G541))/N($H541)),0))</f>
        <v/>
      </c>
    </row>
    <row r="542">
      <c r="I542" s="22">
        <f>IF($A542="","",IFERROR(IF(N($H542)=0,0,(N($H542)-N($G542))/N($H542)),0))</f>
        <v/>
      </c>
    </row>
    <row r="543">
      <c r="I543" s="22">
        <f>IF($A543="","",IFERROR(IF(N($H543)=0,0,(N($H543)-N($G543))/N($H543)),0))</f>
        <v/>
      </c>
    </row>
    <row r="544">
      <c r="I544" s="22">
        <f>IF($A544="","",IFERROR(IF(N($H544)=0,0,(N($H544)-N($G544))/N($H544)),0))</f>
        <v/>
      </c>
    </row>
    <row r="545">
      <c r="I545" s="22">
        <f>IF($A545="","",IFERROR(IF(N($H545)=0,0,(N($H545)-N($G545))/N($H545)),0))</f>
        <v/>
      </c>
    </row>
    <row r="546">
      <c r="I546" s="22">
        <f>IF($A546="","",IFERROR(IF(N($H546)=0,0,(N($H546)-N($G546))/N($H546)),0))</f>
        <v/>
      </c>
    </row>
    <row r="547">
      <c r="I547" s="22">
        <f>IF($A547="","",IFERROR(IF(N($H547)=0,0,(N($H547)-N($G547))/N($H547)),0))</f>
        <v/>
      </c>
    </row>
    <row r="548">
      <c r="I548" s="22">
        <f>IF($A548="","",IFERROR(IF(N($H548)=0,0,(N($H548)-N($G548))/N($H548)),0))</f>
        <v/>
      </c>
    </row>
    <row r="549">
      <c r="I549" s="22">
        <f>IF($A549="","",IFERROR(IF(N($H549)=0,0,(N($H549)-N($G549))/N($H549)),0))</f>
        <v/>
      </c>
    </row>
    <row r="550">
      <c r="I550" s="22">
        <f>IF($A550="","",IFERROR(IF(N($H550)=0,0,(N($H550)-N($G550))/N($H550)),0))</f>
        <v/>
      </c>
    </row>
    <row r="551">
      <c r="I551" s="22">
        <f>IF($A551="","",IFERROR(IF(N($H551)=0,0,(N($H551)-N($G551))/N($H551)),0))</f>
        <v/>
      </c>
    </row>
    <row r="552">
      <c r="I552" s="22">
        <f>IF($A552="","",IFERROR(IF(N($H552)=0,0,(N($H552)-N($G552))/N($H552)),0))</f>
        <v/>
      </c>
    </row>
    <row r="553">
      <c r="I553" s="22">
        <f>IF($A553="","",IFERROR(IF(N($H553)=0,0,(N($H553)-N($G553))/N($H553)),0))</f>
        <v/>
      </c>
    </row>
    <row r="554">
      <c r="I554" s="22">
        <f>IF($A554="","",IFERROR(IF(N($H554)=0,0,(N($H554)-N($G554))/N($H554)),0))</f>
        <v/>
      </c>
    </row>
    <row r="555">
      <c r="I555" s="22">
        <f>IF($A555="","",IFERROR(IF(N($H555)=0,0,(N($H555)-N($G555))/N($H555)),0))</f>
        <v/>
      </c>
    </row>
    <row r="556">
      <c r="I556" s="22">
        <f>IF($A556="","",IFERROR(IF(N($H556)=0,0,(N($H556)-N($G556))/N($H556)),0))</f>
        <v/>
      </c>
    </row>
    <row r="557">
      <c r="I557" s="22">
        <f>IF($A557="","",IFERROR(IF(N($H557)=0,0,(N($H557)-N($G557))/N($H557)),0))</f>
        <v/>
      </c>
    </row>
    <row r="558">
      <c r="I558" s="22">
        <f>IF($A558="","",IFERROR(IF(N($H558)=0,0,(N($H558)-N($G558))/N($H558)),0))</f>
        <v/>
      </c>
    </row>
    <row r="559">
      <c r="I559" s="22">
        <f>IF($A559="","",IFERROR(IF(N($H559)=0,0,(N($H559)-N($G559))/N($H559)),0))</f>
        <v/>
      </c>
    </row>
    <row r="560">
      <c r="I560" s="22">
        <f>IF($A560="","",IFERROR(IF(N($H560)=0,0,(N($H560)-N($G560))/N($H560)),0))</f>
        <v/>
      </c>
    </row>
    <row r="561">
      <c r="I561" s="22">
        <f>IF($A561="","",IFERROR(IF(N($H561)=0,0,(N($H561)-N($G561))/N($H561)),0))</f>
        <v/>
      </c>
    </row>
    <row r="562">
      <c r="I562" s="22">
        <f>IF($A562="","",IFERROR(IF(N($H562)=0,0,(N($H562)-N($G562))/N($H562)),0))</f>
        <v/>
      </c>
    </row>
    <row r="563">
      <c r="I563" s="22">
        <f>IF($A563="","",IFERROR(IF(N($H563)=0,0,(N($H563)-N($G563))/N($H563)),0))</f>
        <v/>
      </c>
    </row>
    <row r="564">
      <c r="I564" s="22">
        <f>IF($A564="","",IFERROR(IF(N($H564)=0,0,(N($H564)-N($G564))/N($H564)),0))</f>
        <v/>
      </c>
    </row>
    <row r="565">
      <c r="I565" s="22">
        <f>IF($A565="","",IFERROR(IF(N($H565)=0,0,(N($H565)-N($G565))/N($H565)),0))</f>
        <v/>
      </c>
    </row>
    <row r="566">
      <c r="I566" s="22">
        <f>IF($A566="","",IFERROR(IF(N($H566)=0,0,(N($H566)-N($G566))/N($H566)),0))</f>
        <v/>
      </c>
    </row>
    <row r="567">
      <c r="I567" s="22">
        <f>IF($A567="","",IFERROR(IF(N($H567)=0,0,(N($H567)-N($G567))/N($H567)),0))</f>
        <v/>
      </c>
    </row>
    <row r="568">
      <c r="I568" s="22">
        <f>IF($A568="","",IFERROR(IF(N($H568)=0,0,(N($H568)-N($G568))/N($H568)),0))</f>
        <v/>
      </c>
    </row>
    <row r="569">
      <c r="I569" s="22">
        <f>IF($A569="","",IFERROR(IF(N($H569)=0,0,(N($H569)-N($G569))/N($H569)),0))</f>
        <v/>
      </c>
    </row>
    <row r="570">
      <c r="I570" s="22">
        <f>IF($A570="","",IFERROR(IF(N($H570)=0,0,(N($H570)-N($G570))/N($H570)),0))</f>
        <v/>
      </c>
    </row>
    <row r="571">
      <c r="I571" s="22">
        <f>IF($A571="","",IFERROR(IF(N($H571)=0,0,(N($H571)-N($G571))/N($H571)),0))</f>
        <v/>
      </c>
    </row>
    <row r="572">
      <c r="I572" s="22">
        <f>IF($A572="","",IFERROR(IF(N($H572)=0,0,(N($H572)-N($G572))/N($H572)),0))</f>
        <v/>
      </c>
    </row>
    <row r="573">
      <c r="I573" s="22">
        <f>IF($A573="","",IFERROR(IF(N($H573)=0,0,(N($H573)-N($G573))/N($H573)),0))</f>
        <v/>
      </c>
    </row>
    <row r="574">
      <c r="I574" s="22">
        <f>IF($A574="","",IFERROR(IF(N($H574)=0,0,(N($H574)-N($G574))/N($H574)),0))</f>
        <v/>
      </c>
    </row>
    <row r="575">
      <c r="I575" s="22">
        <f>IF($A575="","",IFERROR(IF(N($H575)=0,0,(N($H575)-N($G575))/N($H575)),0))</f>
        <v/>
      </c>
    </row>
    <row r="576">
      <c r="I576" s="22">
        <f>IF($A576="","",IFERROR(IF(N($H576)=0,0,(N($H576)-N($G576))/N($H576)),0))</f>
        <v/>
      </c>
    </row>
    <row r="577">
      <c r="I577" s="22">
        <f>IF($A577="","",IFERROR(IF(N($H577)=0,0,(N($H577)-N($G577))/N($H577)),0))</f>
        <v/>
      </c>
    </row>
    <row r="578">
      <c r="I578" s="22">
        <f>IF($A578="","",IFERROR(IF(N($H578)=0,0,(N($H578)-N($G578))/N($H578)),0))</f>
        <v/>
      </c>
    </row>
    <row r="579">
      <c r="I579" s="22">
        <f>IF($A579="","",IFERROR(IF(N($H579)=0,0,(N($H579)-N($G579))/N($H579)),0))</f>
        <v/>
      </c>
    </row>
    <row r="580">
      <c r="I580" s="22">
        <f>IF($A580="","",IFERROR(IF(N($H580)=0,0,(N($H580)-N($G580))/N($H580)),0))</f>
        <v/>
      </c>
    </row>
    <row r="581">
      <c r="I581" s="22">
        <f>IF($A581="","",IFERROR(IF(N($H581)=0,0,(N($H581)-N($G581))/N($H581)),0))</f>
        <v/>
      </c>
    </row>
    <row r="582">
      <c r="I582" s="22">
        <f>IF($A582="","",IFERROR(IF(N($H582)=0,0,(N($H582)-N($G582))/N($H582)),0))</f>
        <v/>
      </c>
    </row>
    <row r="583">
      <c r="I583" s="22">
        <f>IF($A583="","",IFERROR(IF(N($H583)=0,0,(N($H583)-N($G583))/N($H583)),0))</f>
        <v/>
      </c>
    </row>
    <row r="584">
      <c r="I584" s="22">
        <f>IF($A584="","",IFERROR(IF(N($H584)=0,0,(N($H584)-N($G584))/N($H584)),0))</f>
        <v/>
      </c>
    </row>
    <row r="585">
      <c r="I585" s="22">
        <f>IF($A585="","",IFERROR(IF(N($H585)=0,0,(N($H585)-N($G585))/N($H585)),0))</f>
        <v/>
      </c>
    </row>
    <row r="586">
      <c r="I586" s="22">
        <f>IF($A586="","",IFERROR(IF(N($H586)=0,0,(N($H586)-N($G586))/N($H586)),0))</f>
        <v/>
      </c>
    </row>
    <row r="587">
      <c r="I587" s="22">
        <f>IF($A587="","",IFERROR(IF(N($H587)=0,0,(N($H587)-N($G587))/N($H587)),0))</f>
        <v/>
      </c>
    </row>
    <row r="588">
      <c r="I588" s="22">
        <f>IF($A588="","",IFERROR(IF(N($H588)=0,0,(N($H588)-N($G588))/N($H588)),0))</f>
        <v/>
      </c>
    </row>
    <row r="589">
      <c r="I589" s="22">
        <f>IF($A589="","",IFERROR(IF(N($H589)=0,0,(N($H589)-N($G589))/N($H589)),0))</f>
        <v/>
      </c>
    </row>
    <row r="590">
      <c r="I590" s="22">
        <f>IF($A590="","",IFERROR(IF(N($H590)=0,0,(N($H590)-N($G590))/N($H590)),0))</f>
        <v/>
      </c>
    </row>
    <row r="591">
      <c r="I591" s="22">
        <f>IF($A591="","",IFERROR(IF(N($H591)=0,0,(N($H591)-N($G591))/N($H591)),0))</f>
        <v/>
      </c>
    </row>
    <row r="592">
      <c r="I592" s="22">
        <f>IF($A592="","",IFERROR(IF(N($H592)=0,0,(N($H592)-N($G592))/N($H592)),0))</f>
        <v/>
      </c>
    </row>
    <row r="593">
      <c r="I593" s="22">
        <f>IF($A593="","",IFERROR(IF(N($H593)=0,0,(N($H593)-N($G593))/N($H593)),0))</f>
        <v/>
      </c>
    </row>
    <row r="594">
      <c r="I594" s="22">
        <f>IF($A594="","",IFERROR(IF(N($H594)=0,0,(N($H594)-N($G594))/N($H594)),0))</f>
        <v/>
      </c>
    </row>
    <row r="595">
      <c r="I595" s="22">
        <f>IF($A595="","",IFERROR(IF(N($H595)=0,0,(N($H595)-N($G595))/N($H595)),0))</f>
        <v/>
      </c>
    </row>
    <row r="596">
      <c r="I596" s="22">
        <f>IF($A596="","",IFERROR(IF(N($H596)=0,0,(N($H596)-N($G596))/N($H596)),0))</f>
        <v/>
      </c>
    </row>
    <row r="597">
      <c r="I597" s="22">
        <f>IF($A597="","",IFERROR(IF(N($H597)=0,0,(N($H597)-N($G597))/N($H597)),0))</f>
        <v/>
      </c>
    </row>
    <row r="598">
      <c r="I598" s="22">
        <f>IF($A598="","",IFERROR(IF(N($H598)=0,0,(N($H598)-N($G598))/N($H598)),0))</f>
        <v/>
      </c>
    </row>
    <row r="599">
      <c r="I599" s="22">
        <f>IF($A599="","",IFERROR(IF(N($H599)=0,0,(N($H599)-N($G599))/N($H599)),0))</f>
        <v/>
      </c>
    </row>
    <row r="600">
      <c r="I600" s="22">
        <f>IF($A600="","",IFERROR(IF(N($H600)=0,0,(N($H600)-N($G600))/N($H600)),0))</f>
        <v/>
      </c>
    </row>
    <row r="601">
      <c r="I601" s="22">
        <f>IF($A601="","",IFERROR(IF(N($H601)=0,0,(N($H601)-N($G601))/N($H601)),0))</f>
        <v/>
      </c>
    </row>
    <row r="602">
      <c r="I602" s="22">
        <f>IF($A602="","",IFERROR(IF(N($H602)=0,0,(N($H602)-N($G602))/N($H602)),0))</f>
        <v/>
      </c>
    </row>
    <row r="603">
      <c r="I603" s="22">
        <f>IF($A603="","",IFERROR(IF(N($H603)=0,0,(N($H603)-N($G603))/N($H603)),0))</f>
        <v/>
      </c>
    </row>
    <row r="604">
      <c r="I604" s="22">
        <f>IF($A604="","",IFERROR(IF(N($H604)=0,0,(N($H604)-N($G604))/N($H604)),0))</f>
        <v/>
      </c>
    </row>
    <row r="605">
      <c r="I605" s="22">
        <f>IF($A605="","",IFERROR(IF(N($H605)=0,0,(N($H605)-N($G605))/N($H605)),0))</f>
        <v/>
      </c>
    </row>
    <row r="606">
      <c r="I606" s="22">
        <f>IF($A606="","",IFERROR(IF(N($H606)=0,0,(N($H606)-N($G606))/N($H606)),0))</f>
        <v/>
      </c>
    </row>
    <row r="607">
      <c r="I607" s="22">
        <f>IF($A607="","",IFERROR(IF(N($H607)=0,0,(N($H607)-N($G607))/N($H607)),0))</f>
        <v/>
      </c>
    </row>
    <row r="608">
      <c r="I608" s="22">
        <f>IF($A608="","",IFERROR(IF(N($H608)=0,0,(N($H608)-N($G608))/N($H608)),0))</f>
        <v/>
      </c>
    </row>
    <row r="609">
      <c r="I609" s="22">
        <f>IF($A609="","",IFERROR(IF(N($H609)=0,0,(N($H609)-N($G609))/N($H609)),0))</f>
        <v/>
      </c>
    </row>
    <row r="610">
      <c r="I610" s="22">
        <f>IF($A610="","",IFERROR(IF(N($H610)=0,0,(N($H610)-N($G610))/N($H610)),0))</f>
        <v/>
      </c>
    </row>
    <row r="611">
      <c r="I611" s="22">
        <f>IF($A611="","",IFERROR(IF(N($H611)=0,0,(N($H611)-N($G611))/N($H611)),0))</f>
        <v/>
      </c>
    </row>
    <row r="612">
      <c r="I612" s="22">
        <f>IF($A612="","",IFERROR(IF(N($H612)=0,0,(N($H612)-N($G612))/N($H612)),0))</f>
        <v/>
      </c>
    </row>
    <row r="613">
      <c r="I613" s="22">
        <f>IF($A613="","",IFERROR(IF(N($H613)=0,0,(N($H613)-N($G613))/N($H613)),0))</f>
        <v/>
      </c>
    </row>
    <row r="614">
      <c r="I614" s="22">
        <f>IF($A614="","",IFERROR(IF(N($H614)=0,0,(N($H614)-N($G614))/N($H614)),0))</f>
        <v/>
      </c>
    </row>
    <row r="615">
      <c r="I615" s="22">
        <f>IF($A615="","",IFERROR(IF(N($H615)=0,0,(N($H615)-N($G615))/N($H615)),0))</f>
        <v/>
      </c>
    </row>
    <row r="616">
      <c r="I616" s="22">
        <f>IF($A616="","",IFERROR(IF(N($H616)=0,0,(N($H616)-N($G616))/N($H616)),0))</f>
        <v/>
      </c>
    </row>
    <row r="617">
      <c r="I617" s="22">
        <f>IF($A617="","",IFERROR(IF(N($H617)=0,0,(N($H617)-N($G617))/N($H617)),0))</f>
        <v/>
      </c>
    </row>
    <row r="618">
      <c r="I618" s="22">
        <f>IF($A618="","",IFERROR(IF(N($H618)=0,0,(N($H618)-N($G618))/N($H618)),0))</f>
        <v/>
      </c>
    </row>
    <row r="619">
      <c r="I619" s="22">
        <f>IF($A619="","",IFERROR(IF(N($H619)=0,0,(N($H619)-N($G619))/N($H619)),0))</f>
        <v/>
      </c>
    </row>
    <row r="620">
      <c r="I620" s="22">
        <f>IF($A620="","",IFERROR(IF(N($H620)=0,0,(N($H620)-N($G620))/N($H620)),0))</f>
        <v/>
      </c>
    </row>
    <row r="621">
      <c r="I621" s="22">
        <f>IF($A621="","",IFERROR(IF(N($H621)=0,0,(N($H621)-N($G621))/N($H621)),0))</f>
        <v/>
      </c>
    </row>
    <row r="622">
      <c r="I622" s="22">
        <f>IF($A622="","",IFERROR(IF(N($H622)=0,0,(N($H622)-N($G622))/N($H622)),0))</f>
        <v/>
      </c>
    </row>
    <row r="623">
      <c r="I623" s="22">
        <f>IF($A623="","",IFERROR(IF(N($H623)=0,0,(N($H623)-N($G623))/N($H623)),0))</f>
        <v/>
      </c>
    </row>
    <row r="624">
      <c r="I624" s="22">
        <f>IF($A624="","",IFERROR(IF(N($H624)=0,0,(N($H624)-N($G624))/N($H624)),0))</f>
        <v/>
      </c>
    </row>
    <row r="625">
      <c r="I625" s="22">
        <f>IF($A625="","",IFERROR(IF(N($H625)=0,0,(N($H625)-N($G625))/N($H625)),0))</f>
        <v/>
      </c>
    </row>
    <row r="626">
      <c r="I626" s="22">
        <f>IF($A626="","",IFERROR(IF(N($H626)=0,0,(N($H626)-N($G626))/N($H626)),0))</f>
        <v/>
      </c>
    </row>
    <row r="627">
      <c r="I627" s="22">
        <f>IF($A627="","",IFERROR(IF(N($H627)=0,0,(N($H627)-N($G627))/N($H627)),0))</f>
        <v/>
      </c>
    </row>
    <row r="628">
      <c r="I628" s="22">
        <f>IF($A628="","",IFERROR(IF(N($H628)=0,0,(N($H628)-N($G628))/N($H628)),0))</f>
        <v/>
      </c>
    </row>
    <row r="629">
      <c r="I629" s="22">
        <f>IF($A629="","",IFERROR(IF(N($H629)=0,0,(N($H629)-N($G629))/N($H629)),0))</f>
        <v/>
      </c>
    </row>
    <row r="630">
      <c r="I630" s="22">
        <f>IF($A630="","",IFERROR(IF(N($H630)=0,0,(N($H630)-N($G630))/N($H630)),0))</f>
        <v/>
      </c>
    </row>
    <row r="631">
      <c r="I631" s="22">
        <f>IF($A631="","",IFERROR(IF(N($H631)=0,0,(N($H631)-N($G631))/N($H631)),0))</f>
        <v/>
      </c>
    </row>
    <row r="632">
      <c r="I632" s="22">
        <f>IF($A632="","",IFERROR(IF(N($H632)=0,0,(N($H632)-N($G632))/N($H632)),0))</f>
        <v/>
      </c>
    </row>
    <row r="633">
      <c r="I633" s="22">
        <f>IF($A633="","",IFERROR(IF(N($H633)=0,0,(N($H633)-N($G633))/N($H633)),0))</f>
        <v/>
      </c>
    </row>
    <row r="634">
      <c r="I634" s="22">
        <f>IF($A634="","",IFERROR(IF(N($H634)=0,0,(N($H634)-N($G634))/N($H634)),0))</f>
        <v/>
      </c>
    </row>
    <row r="635">
      <c r="I635" s="22">
        <f>IF($A635="","",IFERROR(IF(N($H635)=0,0,(N($H635)-N($G635))/N($H635)),0))</f>
        <v/>
      </c>
    </row>
    <row r="636">
      <c r="I636" s="22">
        <f>IF($A636="","",IFERROR(IF(N($H636)=0,0,(N($H636)-N($G636))/N($H636)),0))</f>
        <v/>
      </c>
    </row>
    <row r="637">
      <c r="I637" s="22">
        <f>IF($A637="","",IFERROR(IF(N($H637)=0,0,(N($H637)-N($G637))/N($H637)),0))</f>
        <v/>
      </c>
    </row>
    <row r="638">
      <c r="I638" s="22">
        <f>IF($A638="","",IFERROR(IF(N($H638)=0,0,(N($H638)-N($G638))/N($H638)),0))</f>
        <v/>
      </c>
    </row>
    <row r="639">
      <c r="I639" s="22">
        <f>IF($A639="","",IFERROR(IF(N($H639)=0,0,(N($H639)-N($G639))/N($H639)),0))</f>
        <v/>
      </c>
    </row>
    <row r="640">
      <c r="I640" s="22">
        <f>IF($A640="","",IFERROR(IF(N($H640)=0,0,(N($H640)-N($G640))/N($H640)),0))</f>
        <v/>
      </c>
    </row>
    <row r="641">
      <c r="I641" s="22">
        <f>IF($A641="","",IFERROR(IF(N($H641)=0,0,(N($H641)-N($G641))/N($H641)),0))</f>
        <v/>
      </c>
    </row>
    <row r="642">
      <c r="I642" s="22">
        <f>IF($A642="","",IFERROR(IF(N($H642)=0,0,(N($H642)-N($G642))/N($H642)),0))</f>
        <v/>
      </c>
    </row>
    <row r="643">
      <c r="I643" s="22">
        <f>IF($A643="","",IFERROR(IF(N($H643)=0,0,(N($H643)-N($G643))/N($H643)),0))</f>
        <v/>
      </c>
    </row>
    <row r="644">
      <c r="I644" s="22">
        <f>IF($A644="","",IFERROR(IF(N($H644)=0,0,(N($H644)-N($G644))/N($H644)),0))</f>
        <v/>
      </c>
    </row>
    <row r="645">
      <c r="I645" s="22">
        <f>IF($A645="","",IFERROR(IF(N($H645)=0,0,(N($H645)-N($G645))/N($H645)),0))</f>
        <v/>
      </c>
    </row>
    <row r="646">
      <c r="I646" s="22">
        <f>IF($A646="","",IFERROR(IF(N($H646)=0,0,(N($H646)-N($G646))/N($H646)),0))</f>
        <v/>
      </c>
    </row>
    <row r="647">
      <c r="I647" s="22">
        <f>IF($A647="","",IFERROR(IF(N($H647)=0,0,(N($H647)-N($G647))/N($H647)),0))</f>
        <v/>
      </c>
    </row>
    <row r="648">
      <c r="I648" s="22">
        <f>IF($A648="","",IFERROR(IF(N($H648)=0,0,(N($H648)-N($G648))/N($H648)),0))</f>
        <v/>
      </c>
    </row>
    <row r="649">
      <c r="I649" s="22">
        <f>IF($A649="","",IFERROR(IF(N($H649)=0,0,(N($H649)-N($G649))/N($H649)),0))</f>
        <v/>
      </c>
    </row>
    <row r="650">
      <c r="I650" s="22">
        <f>IF($A650="","",IFERROR(IF(N($H650)=0,0,(N($H650)-N($G650))/N($H650)),0))</f>
        <v/>
      </c>
    </row>
    <row r="651">
      <c r="I651" s="22">
        <f>IF($A651="","",IFERROR(IF(N($H651)=0,0,(N($H651)-N($G651))/N($H651)),0))</f>
        <v/>
      </c>
    </row>
    <row r="652">
      <c r="I652" s="22">
        <f>IF($A652="","",IFERROR(IF(N($H652)=0,0,(N($H652)-N($G652))/N($H652)),0))</f>
        <v/>
      </c>
    </row>
    <row r="653">
      <c r="I653" s="22">
        <f>IF($A653="","",IFERROR(IF(N($H653)=0,0,(N($H653)-N($G653))/N($H653)),0))</f>
        <v/>
      </c>
    </row>
    <row r="654">
      <c r="I654" s="22">
        <f>IF($A654="","",IFERROR(IF(N($H654)=0,0,(N($H654)-N($G654))/N($H654)),0))</f>
        <v/>
      </c>
    </row>
    <row r="655">
      <c r="I655" s="22">
        <f>IF($A655="","",IFERROR(IF(N($H655)=0,0,(N($H655)-N($G655))/N($H655)),0))</f>
        <v/>
      </c>
    </row>
    <row r="656">
      <c r="I656" s="22">
        <f>IF($A656="","",IFERROR(IF(N($H656)=0,0,(N($H656)-N($G656))/N($H656)),0))</f>
        <v/>
      </c>
    </row>
    <row r="657">
      <c r="I657" s="22">
        <f>IF($A657="","",IFERROR(IF(N($H657)=0,0,(N($H657)-N($G657))/N($H657)),0))</f>
        <v/>
      </c>
    </row>
    <row r="658">
      <c r="I658" s="22">
        <f>IF($A658="","",IFERROR(IF(N($H658)=0,0,(N($H658)-N($G658))/N($H658)),0))</f>
        <v/>
      </c>
    </row>
    <row r="659">
      <c r="I659" s="22">
        <f>IF($A659="","",IFERROR(IF(N($H659)=0,0,(N($H659)-N($G659))/N($H659)),0))</f>
        <v/>
      </c>
    </row>
    <row r="660">
      <c r="I660" s="22">
        <f>IF($A660="","",IFERROR(IF(N($H660)=0,0,(N($H660)-N($G660))/N($H660)),0))</f>
        <v/>
      </c>
    </row>
    <row r="661">
      <c r="I661" s="22">
        <f>IF($A661="","",IFERROR(IF(N($H661)=0,0,(N($H661)-N($G661))/N($H661)),0))</f>
        <v/>
      </c>
    </row>
    <row r="662">
      <c r="I662" s="22">
        <f>IF($A662="","",IFERROR(IF(N($H662)=0,0,(N($H662)-N($G662))/N($H662)),0))</f>
        <v/>
      </c>
    </row>
    <row r="663">
      <c r="I663" s="22">
        <f>IF($A663="","",IFERROR(IF(N($H663)=0,0,(N($H663)-N($G663))/N($H663)),0))</f>
        <v/>
      </c>
    </row>
    <row r="664">
      <c r="I664" s="22">
        <f>IF($A664="","",IFERROR(IF(N($H664)=0,0,(N($H664)-N($G664))/N($H664)),0))</f>
        <v/>
      </c>
    </row>
    <row r="665">
      <c r="I665" s="22">
        <f>IF($A665="","",IFERROR(IF(N($H665)=0,0,(N($H665)-N($G665))/N($H665)),0))</f>
        <v/>
      </c>
    </row>
    <row r="666">
      <c r="I666" s="22">
        <f>IF($A666="","",IFERROR(IF(N($H666)=0,0,(N($H666)-N($G666))/N($H666)),0))</f>
        <v/>
      </c>
    </row>
    <row r="667">
      <c r="I667" s="22">
        <f>IF($A667="","",IFERROR(IF(N($H667)=0,0,(N($H667)-N($G667))/N($H667)),0))</f>
        <v/>
      </c>
    </row>
    <row r="668">
      <c r="I668" s="22">
        <f>IF($A668="","",IFERROR(IF(N($H668)=0,0,(N($H668)-N($G668))/N($H668)),0))</f>
        <v/>
      </c>
    </row>
    <row r="669">
      <c r="I669" s="22">
        <f>IF($A669="","",IFERROR(IF(N($H669)=0,0,(N($H669)-N($G669))/N($H669)),0))</f>
        <v/>
      </c>
    </row>
    <row r="670">
      <c r="I670" s="22">
        <f>IF($A670="","",IFERROR(IF(N($H670)=0,0,(N($H670)-N($G670))/N($H670)),0))</f>
        <v/>
      </c>
    </row>
    <row r="671">
      <c r="I671" s="22">
        <f>IF($A671="","",IFERROR(IF(N($H671)=0,0,(N($H671)-N($G671))/N($H671)),0))</f>
        <v/>
      </c>
    </row>
    <row r="672">
      <c r="I672" s="22">
        <f>IF($A672="","",IFERROR(IF(N($H672)=0,0,(N($H672)-N($G672))/N($H672)),0))</f>
        <v/>
      </c>
    </row>
    <row r="673">
      <c r="I673" s="22">
        <f>IF($A673="","",IFERROR(IF(N($H673)=0,0,(N($H673)-N($G673))/N($H673)),0))</f>
        <v/>
      </c>
    </row>
    <row r="674">
      <c r="I674" s="22">
        <f>IF($A674="","",IFERROR(IF(N($H674)=0,0,(N($H674)-N($G674))/N($H674)),0))</f>
        <v/>
      </c>
    </row>
    <row r="675">
      <c r="I675" s="22">
        <f>IF($A675="","",IFERROR(IF(N($H675)=0,0,(N($H675)-N($G675))/N($H675)),0))</f>
        <v/>
      </c>
    </row>
    <row r="676">
      <c r="I676" s="22">
        <f>IF($A676="","",IFERROR(IF(N($H676)=0,0,(N($H676)-N($G676))/N($H676)),0))</f>
        <v/>
      </c>
    </row>
    <row r="677">
      <c r="I677" s="22">
        <f>IF($A677="","",IFERROR(IF(N($H677)=0,0,(N($H677)-N($G677))/N($H677)),0))</f>
        <v/>
      </c>
    </row>
    <row r="678">
      <c r="I678" s="22">
        <f>IF($A678="","",IFERROR(IF(N($H678)=0,0,(N($H678)-N($G678))/N($H678)),0))</f>
        <v/>
      </c>
    </row>
    <row r="679">
      <c r="I679" s="22">
        <f>IF($A679="","",IFERROR(IF(N($H679)=0,0,(N($H679)-N($G679))/N($H679)),0))</f>
        <v/>
      </c>
    </row>
    <row r="680">
      <c r="I680" s="22">
        <f>IF($A680="","",IFERROR(IF(N($H680)=0,0,(N($H680)-N($G680))/N($H680)),0))</f>
        <v/>
      </c>
    </row>
    <row r="681">
      <c r="I681" s="22">
        <f>IF($A681="","",IFERROR(IF(N($H681)=0,0,(N($H681)-N($G681))/N($H681)),0))</f>
        <v/>
      </c>
    </row>
    <row r="682">
      <c r="I682" s="22">
        <f>IF($A682="","",IFERROR(IF(N($H682)=0,0,(N($H682)-N($G682))/N($H682)),0))</f>
        <v/>
      </c>
    </row>
    <row r="683">
      <c r="I683" s="22">
        <f>IF($A683="","",IFERROR(IF(N($H683)=0,0,(N($H683)-N($G683))/N($H683)),0))</f>
        <v/>
      </c>
    </row>
    <row r="684">
      <c r="I684" s="22">
        <f>IF($A684="","",IFERROR(IF(N($H684)=0,0,(N($H684)-N($G684))/N($H684)),0))</f>
        <v/>
      </c>
    </row>
    <row r="685">
      <c r="I685" s="22">
        <f>IF($A685="","",IFERROR(IF(N($H685)=0,0,(N($H685)-N($G685))/N($H685)),0))</f>
        <v/>
      </c>
    </row>
    <row r="686">
      <c r="I686" s="22">
        <f>IF($A686="","",IFERROR(IF(N($H686)=0,0,(N($H686)-N($G686))/N($H686)),0))</f>
        <v/>
      </c>
    </row>
    <row r="687">
      <c r="I687" s="22">
        <f>IF($A687="","",IFERROR(IF(N($H687)=0,0,(N($H687)-N($G687))/N($H687)),0))</f>
        <v/>
      </c>
    </row>
    <row r="688">
      <c r="I688" s="22">
        <f>IF($A688="","",IFERROR(IF(N($H688)=0,0,(N($H688)-N($G688))/N($H688)),0))</f>
        <v/>
      </c>
    </row>
    <row r="689">
      <c r="I689" s="22">
        <f>IF($A689="","",IFERROR(IF(N($H689)=0,0,(N($H689)-N($G689))/N($H689)),0))</f>
        <v/>
      </c>
    </row>
    <row r="690">
      <c r="I690" s="22">
        <f>IF($A690="","",IFERROR(IF(N($H690)=0,0,(N($H690)-N($G690))/N($H690)),0))</f>
        <v/>
      </c>
    </row>
    <row r="691">
      <c r="I691" s="22">
        <f>IF($A691="","",IFERROR(IF(N($H691)=0,0,(N($H691)-N($G691))/N($H691)),0))</f>
        <v/>
      </c>
    </row>
    <row r="692">
      <c r="I692" s="22">
        <f>IF($A692="","",IFERROR(IF(N($H692)=0,0,(N($H692)-N($G692))/N($H692)),0))</f>
        <v/>
      </c>
    </row>
    <row r="693">
      <c r="I693" s="22">
        <f>IF($A693="","",IFERROR(IF(N($H693)=0,0,(N($H693)-N($G693))/N($H693)),0))</f>
        <v/>
      </c>
    </row>
    <row r="694">
      <c r="I694" s="22">
        <f>IF($A694="","",IFERROR(IF(N($H694)=0,0,(N($H694)-N($G694))/N($H694)),0))</f>
        <v/>
      </c>
    </row>
    <row r="695">
      <c r="I695" s="22">
        <f>IF($A695="","",IFERROR(IF(N($H695)=0,0,(N($H695)-N($G695))/N($H695)),0))</f>
        <v/>
      </c>
    </row>
    <row r="696">
      <c r="I696" s="22">
        <f>IF($A696="","",IFERROR(IF(N($H696)=0,0,(N($H696)-N($G696))/N($H696)),0))</f>
        <v/>
      </c>
    </row>
    <row r="697">
      <c r="I697" s="22">
        <f>IF($A697="","",IFERROR(IF(N($H697)=0,0,(N($H697)-N($G697))/N($H697)),0))</f>
        <v/>
      </c>
    </row>
    <row r="698">
      <c r="I698" s="22">
        <f>IF($A698="","",IFERROR(IF(N($H698)=0,0,(N($H698)-N($G698))/N($H698)),0))</f>
        <v/>
      </c>
    </row>
    <row r="699">
      <c r="I699" s="22">
        <f>IF($A699="","",IFERROR(IF(N($H699)=0,0,(N($H699)-N($G699))/N($H699)),0))</f>
        <v/>
      </c>
    </row>
    <row r="700">
      <c r="I700" s="22">
        <f>IF($A700="","",IFERROR(IF(N($H700)=0,0,(N($H700)-N($G700))/N($H700)),0))</f>
        <v/>
      </c>
    </row>
    <row r="701">
      <c r="I701" s="22">
        <f>IF($A701="","",IFERROR(IF(N($H701)=0,0,(N($H701)-N($G701))/N($H701)),0))</f>
        <v/>
      </c>
    </row>
    <row r="702">
      <c r="I702" s="22">
        <f>IF($A702="","",IFERROR(IF(N($H702)=0,0,(N($H702)-N($G702))/N($H702)),0))</f>
        <v/>
      </c>
    </row>
    <row r="703">
      <c r="I703" s="22">
        <f>IF($A703="","",IFERROR(IF(N($H703)=0,0,(N($H703)-N($G703))/N($H703)),0))</f>
        <v/>
      </c>
    </row>
    <row r="704">
      <c r="I704" s="22">
        <f>IF($A704="","",IFERROR(IF(N($H704)=0,0,(N($H704)-N($G704))/N($H704)),0))</f>
        <v/>
      </c>
    </row>
    <row r="705">
      <c r="I705" s="22">
        <f>IF($A705="","",IFERROR(IF(N($H705)=0,0,(N($H705)-N($G705))/N($H705)),0))</f>
        <v/>
      </c>
    </row>
    <row r="706">
      <c r="I706" s="22">
        <f>IF($A706="","",IFERROR(IF(N($H706)=0,0,(N($H706)-N($G706))/N($H706)),0))</f>
        <v/>
      </c>
    </row>
    <row r="707">
      <c r="I707" s="22">
        <f>IF($A707="","",IFERROR(IF(N($H707)=0,0,(N($H707)-N($G707))/N($H707)),0))</f>
        <v/>
      </c>
    </row>
    <row r="708">
      <c r="I708" s="22">
        <f>IF($A708="","",IFERROR(IF(N($H708)=0,0,(N($H708)-N($G708))/N($H708)),0))</f>
        <v/>
      </c>
    </row>
    <row r="709">
      <c r="I709" s="22">
        <f>IF($A709="","",IFERROR(IF(N($H709)=0,0,(N($H709)-N($G709))/N($H709)),0))</f>
        <v/>
      </c>
    </row>
    <row r="710">
      <c r="I710" s="22">
        <f>IF($A710="","",IFERROR(IF(N($H710)=0,0,(N($H710)-N($G710))/N($H710)),0))</f>
        <v/>
      </c>
    </row>
    <row r="711">
      <c r="I711" s="22">
        <f>IF($A711="","",IFERROR(IF(N($H711)=0,0,(N($H711)-N($G711))/N($H711)),0))</f>
        <v/>
      </c>
    </row>
    <row r="712">
      <c r="I712" s="22">
        <f>IF($A712="","",IFERROR(IF(N($H712)=0,0,(N($H712)-N($G712))/N($H712)),0))</f>
        <v/>
      </c>
    </row>
    <row r="713">
      <c r="I713" s="22">
        <f>IF($A713="","",IFERROR(IF(N($H713)=0,0,(N($H713)-N($G713))/N($H713)),0))</f>
        <v/>
      </c>
    </row>
    <row r="714">
      <c r="I714" s="22">
        <f>IF($A714="","",IFERROR(IF(N($H714)=0,0,(N($H714)-N($G714))/N($H714)),0))</f>
        <v/>
      </c>
    </row>
    <row r="715">
      <c r="I715" s="22">
        <f>IF($A715="","",IFERROR(IF(N($H715)=0,0,(N($H715)-N($G715))/N($H715)),0))</f>
        <v/>
      </c>
    </row>
    <row r="716">
      <c r="I716" s="22">
        <f>IF($A716="","",IFERROR(IF(N($H716)=0,0,(N($H716)-N($G716))/N($H716)),0))</f>
        <v/>
      </c>
    </row>
    <row r="717">
      <c r="I717" s="22">
        <f>IF($A717="","",IFERROR(IF(N($H717)=0,0,(N($H717)-N($G717))/N($H717)),0))</f>
        <v/>
      </c>
    </row>
    <row r="718">
      <c r="I718" s="22">
        <f>IF($A718="","",IFERROR(IF(N($H718)=0,0,(N($H718)-N($G718))/N($H718)),0))</f>
        <v/>
      </c>
    </row>
    <row r="719">
      <c r="I719" s="22">
        <f>IF($A719="","",IFERROR(IF(N($H719)=0,0,(N($H719)-N($G719))/N($H719)),0))</f>
        <v/>
      </c>
    </row>
    <row r="720">
      <c r="I720" s="22">
        <f>IF($A720="","",IFERROR(IF(N($H720)=0,0,(N($H720)-N($G720))/N($H720)),0))</f>
        <v/>
      </c>
    </row>
    <row r="721">
      <c r="I721" s="22">
        <f>IF($A721="","",IFERROR(IF(N($H721)=0,0,(N($H721)-N($G721))/N($H721)),0))</f>
        <v/>
      </c>
    </row>
    <row r="722">
      <c r="I722" s="22">
        <f>IF($A722="","",IFERROR(IF(N($H722)=0,0,(N($H722)-N($G722))/N($H722)),0))</f>
        <v/>
      </c>
    </row>
    <row r="723">
      <c r="I723" s="22">
        <f>IF($A723="","",IFERROR(IF(N($H723)=0,0,(N($H723)-N($G723))/N($H723)),0))</f>
        <v/>
      </c>
    </row>
    <row r="724">
      <c r="I724" s="22">
        <f>IF($A724="","",IFERROR(IF(N($H724)=0,0,(N($H724)-N($G724))/N($H724)),0))</f>
        <v/>
      </c>
    </row>
    <row r="725">
      <c r="I725" s="22">
        <f>IF($A725="","",IFERROR(IF(N($H725)=0,0,(N($H725)-N($G725))/N($H725)),0))</f>
        <v/>
      </c>
    </row>
    <row r="726">
      <c r="I726" s="22">
        <f>IF($A726="","",IFERROR(IF(N($H726)=0,0,(N($H726)-N($G726))/N($H726)),0))</f>
        <v/>
      </c>
    </row>
    <row r="727">
      <c r="I727" s="22">
        <f>IF($A727="","",IFERROR(IF(N($H727)=0,0,(N($H727)-N($G727))/N($H727)),0))</f>
        <v/>
      </c>
    </row>
    <row r="728">
      <c r="I728" s="22">
        <f>IF($A728="","",IFERROR(IF(N($H728)=0,0,(N($H728)-N($G728))/N($H728)),0))</f>
        <v/>
      </c>
    </row>
    <row r="729">
      <c r="I729" s="22">
        <f>IF($A729="","",IFERROR(IF(N($H729)=0,0,(N($H729)-N($G729))/N($H729)),0))</f>
        <v/>
      </c>
    </row>
    <row r="730">
      <c r="I730" s="22">
        <f>IF($A730="","",IFERROR(IF(N($H730)=0,0,(N($H730)-N($G730))/N($H730)),0))</f>
        <v/>
      </c>
    </row>
    <row r="731">
      <c r="I731" s="22">
        <f>IF($A731="","",IFERROR(IF(N($H731)=0,0,(N($H731)-N($G731))/N($H731)),0))</f>
        <v/>
      </c>
    </row>
    <row r="732">
      <c r="I732" s="22">
        <f>IF($A732="","",IFERROR(IF(N($H732)=0,0,(N($H732)-N($G732))/N($H732)),0))</f>
        <v/>
      </c>
    </row>
    <row r="733">
      <c r="I733" s="22">
        <f>IF($A733="","",IFERROR(IF(N($H733)=0,0,(N($H733)-N($G733))/N($H733)),0))</f>
        <v/>
      </c>
    </row>
    <row r="734">
      <c r="I734" s="22">
        <f>IF($A734="","",IFERROR(IF(N($H734)=0,0,(N($H734)-N($G734))/N($H734)),0))</f>
        <v/>
      </c>
    </row>
    <row r="735">
      <c r="I735" s="22">
        <f>IF($A735="","",IFERROR(IF(N($H735)=0,0,(N($H735)-N($G735))/N($H735)),0))</f>
        <v/>
      </c>
    </row>
    <row r="736">
      <c r="I736" s="22">
        <f>IF($A736="","",IFERROR(IF(N($H736)=0,0,(N($H736)-N($G736))/N($H736)),0))</f>
        <v/>
      </c>
    </row>
    <row r="737">
      <c r="I737" s="22">
        <f>IF($A737="","",IFERROR(IF(N($H737)=0,0,(N($H737)-N($G737))/N($H737)),0))</f>
        <v/>
      </c>
    </row>
    <row r="738">
      <c r="I738" s="22">
        <f>IF($A738="","",IFERROR(IF(N($H738)=0,0,(N($H738)-N($G738))/N($H738)),0))</f>
        <v/>
      </c>
    </row>
    <row r="739">
      <c r="I739" s="22">
        <f>IF($A739="","",IFERROR(IF(N($H739)=0,0,(N($H739)-N($G739))/N($H739)),0))</f>
        <v/>
      </c>
    </row>
    <row r="740">
      <c r="I740" s="22">
        <f>IF($A740="","",IFERROR(IF(N($H740)=0,0,(N($H740)-N($G740))/N($H740)),0))</f>
        <v/>
      </c>
    </row>
    <row r="741">
      <c r="I741" s="22">
        <f>IF($A741="","",IFERROR(IF(N($H741)=0,0,(N($H741)-N($G741))/N($H741)),0))</f>
        <v/>
      </c>
    </row>
    <row r="742">
      <c r="I742" s="22">
        <f>IF($A742="","",IFERROR(IF(N($H742)=0,0,(N($H742)-N($G742))/N($H742)),0))</f>
        <v/>
      </c>
    </row>
    <row r="743">
      <c r="I743" s="22">
        <f>IF($A743="","",IFERROR(IF(N($H743)=0,0,(N($H743)-N($G743))/N($H743)),0))</f>
        <v/>
      </c>
    </row>
    <row r="744">
      <c r="I744" s="22">
        <f>IF($A744="","",IFERROR(IF(N($H744)=0,0,(N($H744)-N($G744))/N($H744)),0))</f>
        <v/>
      </c>
    </row>
    <row r="745">
      <c r="I745" s="22">
        <f>IF($A745="","",IFERROR(IF(N($H745)=0,0,(N($H745)-N($G745))/N($H745)),0))</f>
        <v/>
      </c>
    </row>
    <row r="746">
      <c r="I746" s="22">
        <f>IF($A746="","",IFERROR(IF(N($H746)=0,0,(N($H746)-N($G746))/N($H746)),0))</f>
        <v/>
      </c>
    </row>
    <row r="747">
      <c r="I747" s="22">
        <f>IF($A747="","",IFERROR(IF(N($H747)=0,0,(N($H747)-N($G747))/N($H747)),0))</f>
        <v/>
      </c>
    </row>
    <row r="748">
      <c r="I748" s="22">
        <f>IF($A748="","",IFERROR(IF(N($H748)=0,0,(N($H748)-N($G748))/N($H748)),0))</f>
        <v/>
      </c>
    </row>
    <row r="749">
      <c r="I749" s="22">
        <f>IF($A749="","",IFERROR(IF(N($H749)=0,0,(N($H749)-N($G749))/N($H749)),0))</f>
        <v/>
      </c>
    </row>
    <row r="750">
      <c r="I750" s="22">
        <f>IF($A750="","",IFERROR(IF(N($H750)=0,0,(N($H750)-N($G750))/N($H750)),0))</f>
        <v/>
      </c>
    </row>
    <row r="751">
      <c r="I751" s="22">
        <f>IF($A751="","",IFERROR(IF(N($H751)=0,0,(N($H751)-N($G751))/N($H751)),0))</f>
        <v/>
      </c>
    </row>
    <row r="752">
      <c r="I752" s="22">
        <f>IF($A752="","",IFERROR(IF(N($H752)=0,0,(N($H752)-N($G752))/N($H752)),0))</f>
        <v/>
      </c>
    </row>
    <row r="753">
      <c r="I753" s="22">
        <f>IF($A753="","",IFERROR(IF(N($H753)=0,0,(N($H753)-N($G753))/N($H753)),0))</f>
        <v/>
      </c>
    </row>
    <row r="754">
      <c r="I754" s="22">
        <f>IF($A754="","",IFERROR(IF(N($H754)=0,0,(N($H754)-N($G754))/N($H754)),0))</f>
        <v/>
      </c>
    </row>
    <row r="755">
      <c r="I755" s="22">
        <f>IF($A755="","",IFERROR(IF(N($H755)=0,0,(N($H755)-N($G755))/N($H755)),0))</f>
        <v/>
      </c>
    </row>
    <row r="756">
      <c r="I756" s="22">
        <f>IF($A756="","",IFERROR(IF(N($H756)=0,0,(N($H756)-N($G756))/N($H756)),0))</f>
        <v/>
      </c>
    </row>
    <row r="757">
      <c r="I757" s="22">
        <f>IF($A757="","",IFERROR(IF(N($H757)=0,0,(N($H757)-N($G757))/N($H757)),0))</f>
        <v/>
      </c>
    </row>
    <row r="758">
      <c r="I758" s="22">
        <f>IF($A758="","",IFERROR(IF(N($H758)=0,0,(N($H758)-N($G758))/N($H758)),0))</f>
        <v/>
      </c>
    </row>
    <row r="759">
      <c r="I759" s="22">
        <f>IF($A759="","",IFERROR(IF(N($H759)=0,0,(N($H759)-N($G759))/N($H759)),0))</f>
        <v/>
      </c>
    </row>
    <row r="760">
      <c r="I760" s="22">
        <f>IF($A760="","",IFERROR(IF(N($H760)=0,0,(N($H760)-N($G760))/N($H760)),0))</f>
        <v/>
      </c>
    </row>
    <row r="761">
      <c r="I761" s="22">
        <f>IF($A761="","",IFERROR(IF(N($H761)=0,0,(N($H761)-N($G761))/N($H761)),0))</f>
        <v/>
      </c>
    </row>
    <row r="762">
      <c r="I762" s="22">
        <f>IF($A762="","",IFERROR(IF(N($H762)=0,0,(N($H762)-N($G762))/N($H762)),0))</f>
        <v/>
      </c>
    </row>
    <row r="763">
      <c r="I763" s="22">
        <f>IF($A763="","",IFERROR(IF(N($H763)=0,0,(N($H763)-N($G763))/N($H763)),0))</f>
        <v/>
      </c>
    </row>
    <row r="764">
      <c r="I764" s="22">
        <f>IF($A764="","",IFERROR(IF(N($H764)=0,0,(N($H764)-N($G764))/N($H764)),0))</f>
        <v/>
      </c>
    </row>
    <row r="765">
      <c r="I765" s="22">
        <f>IF($A765="","",IFERROR(IF(N($H765)=0,0,(N($H765)-N($G765))/N($H765)),0))</f>
        <v/>
      </c>
    </row>
    <row r="766">
      <c r="I766" s="22">
        <f>IF($A766="","",IFERROR(IF(N($H766)=0,0,(N($H766)-N($G766))/N($H766)),0))</f>
        <v/>
      </c>
    </row>
    <row r="767">
      <c r="I767" s="22">
        <f>IF($A767="","",IFERROR(IF(N($H767)=0,0,(N($H767)-N($G767))/N($H767)),0))</f>
        <v/>
      </c>
    </row>
    <row r="768">
      <c r="I768" s="22">
        <f>IF($A768="","",IFERROR(IF(N($H768)=0,0,(N($H768)-N($G768))/N($H768)),0))</f>
        <v/>
      </c>
    </row>
    <row r="769">
      <c r="I769" s="22">
        <f>IF($A769="","",IFERROR(IF(N($H769)=0,0,(N($H769)-N($G769))/N($H769)),0))</f>
        <v/>
      </c>
    </row>
    <row r="770">
      <c r="I770" s="22">
        <f>IF($A770="","",IFERROR(IF(N($H770)=0,0,(N($H770)-N($G770))/N($H770)),0))</f>
        <v/>
      </c>
    </row>
    <row r="771">
      <c r="I771" s="22">
        <f>IF($A771="","",IFERROR(IF(N($H771)=0,0,(N($H771)-N($G771))/N($H771)),0))</f>
        <v/>
      </c>
    </row>
    <row r="772">
      <c r="I772" s="22">
        <f>IF($A772="","",IFERROR(IF(N($H772)=0,0,(N($H772)-N($G772))/N($H772)),0))</f>
        <v/>
      </c>
    </row>
    <row r="773">
      <c r="I773" s="22">
        <f>IF($A773="","",IFERROR(IF(N($H773)=0,0,(N($H773)-N($G773))/N($H773)),0))</f>
        <v/>
      </c>
    </row>
    <row r="774">
      <c r="I774" s="22">
        <f>IF($A774="","",IFERROR(IF(N($H774)=0,0,(N($H774)-N($G774))/N($H774)),0))</f>
        <v/>
      </c>
    </row>
    <row r="775">
      <c r="I775" s="22">
        <f>IF($A775="","",IFERROR(IF(N($H775)=0,0,(N($H775)-N($G775))/N($H775)),0))</f>
        <v/>
      </c>
    </row>
    <row r="776">
      <c r="I776" s="22">
        <f>IF($A776="","",IFERROR(IF(N($H776)=0,0,(N($H776)-N($G776))/N($H776)),0))</f>
        <v/>
      </c>
    </row>
    <row r="777">
      <c r="I777" s="22">
        <f>IF($A777="","",IFERROR(IF(N($H777)=0,0,(N($H777)-N($G777))/N($H777)),0))</f>
        <v/>
      </c>
    </row>
    <row r="778">
      <c r="I778" s="22">
        <f>IF($A778="","",IFERROR(IF(N($H778)=0,0,(N($H778)-N($G778))/N($H778)),0))</f>
        <v/>
      </c>
    </row>
    <row r="779">
      <c r="I779" s="22">
        <f>IF($A779="","",IFERROR(IF(N($H779)=0,0,(N($H779)-N($G779))/N($H779)),0))</f>
        <v/>
      </c>
    </row>
    <row r="780">
      <c r="I780" s="22">
        <f>IF($A780="","",IFERROR(IF(N($H780)=0,0,(N($H780)-N($G780))/N($H780)),0))</f>
        <v/>
      </c>
    </row>
    <row r="781">
      <c r="I781" s="22">
        <f>IF($A781="","",IFERROR(IF(N($H781)=0,0,(N($H781)-N($G781))/N($H781)),0))</f>
        <v/>
      </c>
    </row>
    <row r="782">
      <c r="I782" s="22">
        <f>IF($A782="","",IFERROR(IF(N($H782)=0,0,(N($H782)-N($G782))/N($H782)),0))</f>
        <v/>
      </c>
    </row>
    <row r="783">
      <c r="I783" s="22">
        <f>IF($A783="","",IFERROR(IF(N($H783)=0,0,(N($H783)-N($G783))/N($H783)),0))</f>
        <v/>
      </c>
    </row>
    <row r="784">
      <c r="I784" s="22">
        <f>IF($A784="","",IFERROR(IF(N($H784)=0,0,(N($H784)-N($G784))/N($H784)),0))</f>
        <v/>
      </c>
    </row>
    <row r="785">
      <c r="I785" s="22">
        <f>IF($A785="","",IFERROR(IF(N($H785)=0,0,(N($H785)-N($G785))/N($H785)),0))</f>
        <v/>
      </c>
    </row>
    <row r="786">
      <c r="I786" s="22">
        <f>IF($A786="","",IFERROR(IF(N($H786)=0,0,(N($H786)-N($G786))/N($H786)),0))</f>
        <v/>
      </c>
    </row>
    <row r="787">
      <c r="I787" s="22">
        <f>IF($A787="","",IFERROR(IF(N($H787)=0,0,(N($H787)-N($G787))/N($H787)),0))</f>
        <v/>
      </c>
    </row>
    <row r="788">
      <c r="I788" s="22">
        <f>IF($A788="","",IFERROR(IF(N($H788)=0,0,(N($H788)-N($G788))/N($H788)),0))</f>
        <v/>
      </c>
    </row>
    <row r="789">
      <c r="I789" s="22">
        <f>IF($A789="","",IFERROR(IF(N($H789)=0,0,(N($H789)-N($G789))/N($H789)),0))</f>
        <v/>
      </c>
    </row>
    <row r="790">
      <c r="I790" s="22">
        <f>IF($A790="","",IFERROR(IF(N($H790)=0,0,(N($H790)-N($G790))/N($H790)),0))</f>
        <v/>
      </c>
    </row>
    <row r="791">
      <c r="I791" s="22">
        <f>IF($A791="","",IFERROR(IF(N($H791)=0,0,(N($H791)-N($G791))/N($H791)),0))</f>
        <v/>
      </c>
    </row>
    <row r="792">
      <c r="I792" s="22">
        <f>IF($A792="","",IFERROR(IF(N($H792)=0,0,(N($H792)-N($G792))/N($H792)),0))</f>
        <v/>
      </c>
    </row>
    <row r="793">
      <c r="I793" s="22">
        <f>IF($A793="","",IFERROR(IF(N($H793)=0,0,(N($H793)-N($G793))/N($H793)),0))</f>
        <v/>
      </c>
    </row>
    <row r="794">
      <c r="I794" s="22">
        <f>IF($A794="","",IFERROR(IF(N($H794)=0,0,(N($H794)-N($G794))/N($H794)),0))</f>
        <v/>
      </c>
    </row>
    <row r="795">
      <c r="I795" s="22">
        <f>IF($A795="","",IFERROR(IF(N($H795)=0,0,(N($H795)-N($G795))/N($H795)),0))</f>
        <v/>
      </c>
    </row>
    <row r="796">
      <c r="I796" s="22">
        <f>IF($A796="","",IFERROR(IF(N($H796)=0,0,(N($H796)-N($G796))/N($H796)),0))</f>
        <v/>
      </c>
    </row>
    <row r="797">
      <c r="I797" s="22">
        <f>IF($A797="","",IFERROR(IF(N($H797)=0,0,(N($H797)-N($G797))/N($H797)),0))</f>
        <v/>
      </c>
    </row>
    <row r="798">
      <c r="I798" s="22">
        <f>IF($A798="","",IFERROR(IF(N($H798)=0,0,(N($H798)-N($G798))/N($H798)),0))</f>
        <v/>
      </c>
    </row>
    <row r="799">
      <c r="I799" s="22">
        <f>IF($A799="","",IFERROR(IF(N($H799)=0,0,(N($H799)-N($G799))/N($H799)),0))</f>
        <v/>
      </c>
    </row>
    <row r="800">
      <c r="I800" s="22">
        <f>IF($A800="","",IFERROR(IF(N($H800)=0,0,(N($H800)-N($G800))/N($H800)),0))</f>
        <v/>
      </c>
    </row>
    <row r="801">
      <c r="I801" s="22">
        <f>IF($A801="","",IFERROR(IF(N($H801)=0,0,(N($H801)-N($G801))/N($H801)),0))</f>
        <v/>
      </c>
    </row>
    <row r="802">
      <c r="I802" s="22">
        <f>IF($A802="","",IFERROR(IF(N($H802)=0,0,(N($H802)-N($G802))/N($H802)),0))</f>
        <v/>
      </c>
    </row>
    <row r="803">
      <c r="I803" s="22">
        <f>IF($A803="","",IFERROR(IF(N($H803)=0,0,(N($H803)-N($G803))/N($H803)),0))</f>
        <v/>
      </c>
    </row>
    <row r="804">
      <c r="I804" s="22">
        <f>IF($A804="","",IFERROR(IF(N($H804)=0,0,(N($H804)-N($G804))/N($H804)),0))</f>
        <v/>
      </c>
    </row>
    <row r="805">
      <c r="I805" s="22">
        <f>IF($A805="","",IFERROR(IF(N($H805)=0,0,(N($H805)-N($G805))/N($H805)),0))</f>
        <v/>
      </c>
    </row>
    <row r="806">
      <c r="I806" s="22">
        <f>IF($A806="","",IFERROR(IF(N($H806)=0,0,(N($H806)-N($G806))/N($H806)),0))</f>
        <v/>
      </c>
    </row>
    <row r="807">
      <c r="I807" s="22">
        <f>IF($A807="","",IFERROR(IF(N($H807)=0,0,(N($H807)-N($G807))/N($H807)),0))</f>
        <v/>
      </c>
    </row>
    <row r="808">
      <c r="I808" s="22">
        <f>IF($A808="","",IFERROR(IF(N($H808)=0,0,(N($H808)-N($G808))/N($H808)),0))</f>
        <v/>
      </c>
    </row>
    <row r="809">
      <c r="I809" s="22">
        <f>IF($A809="","",IFERROR(IF(N($H809)=0,0,(N($H809)-N($G809))/N($H809)),0))</f>
        <v/>
      </c>
    </row>
    <row r="810">
      <c r="I810" s="22">
        <f>IF($A810="","",IFERROR(IF(N($H810)=0,0,(N($H810)-N($G810))/N($H810)),0))</f>
        <v/>
      </c>
    </row>
    <row r="811">
      <c r="I811" s="22">
        <f>IF($A811="","",IFERROR(IF(N($H811)=0,0,(N($H811)-N($G811))/N($H811)),0))</f>
        <v/>
      </c>
    </row>
    <row r="812">
      <c r="I812" s="22">
        <f>IF($A812="","",IFERROR(IF(N($H812)=0,0,(N($H812)-N($G812))/N($H812)),0))</f>
        <v/>
      </c>
    </row>
    <row r="813">
      <c r="I813" s="22">
        <f>IF($A813="","",IFERROR(IF(N($H813)=0,0,(N($H813)-N($G813))/N($H813)),0))</f>
        <v/>
      </c>
    </row>
    <row r="814">
      <c r="I814" s="22">
        <f>IF($A814="","",IFERROR(IF(N($H814)=0,0,(N($H814)-N($G814))/N($H814)),0))</f>
        <v/>
      </c>
    </row>
    <row r="815">
      <c r="I815" s="22">
        <f>IF($A815="","",IFERROR(IF(N($H815)=0,0,(N($H815)-N($G815))/N($H815)),0))</f>
        <v/>
      </c>
    </row>
    <row r="816">
      <c r="I816" s="22">
        <f>IF($A816="","",IFERROR(IF(N($H816)=0,0,(N($H816)-N($G816))/N($H816)),0))</f>
        <v/>
      </c>
    </row>
    <row r="817">
      <c r="I817" s="22">
        <f>IF($A817="","",IFERROR(IF(N($H817)=0,0,(N($H817)-N($G817))/N($H817)),0))</f>
        <v/>
      </c>
    </row>
    <row r="818">
      <c r="I818" s="22">
        <f>IF($A818="","",IFERROR(IF(N($H818)=0,0,(N($H818)-N($G818))/N($H818)),0))</f>
        <v/>
      </c>
    </row>
    <row r="819">
      <c r="I819" s="22">
        <f>IF($A819="","",IFERROR(IF(N($H819)=0,0,(N($H819)-N($G819))/N($H819)),0))</f>
        <v/>
      </c>
    </row>
    <row r="820">
      <c r="I820" s="22">
        <f>IF($A820="","",IFERROR(IF(N($H820)=0,0,(N($H820)-N($G820))/N($H820)),0))</f>
        <v/>
      </c>
    </row>
    <row r="821">
      <c r="I821" s="22">
        <f>IF($A821="","",IFERROR(IF(N($H821)=0,0,(N($H821)-N($G821))/N($H821)),0))</f>
        <v/>
      </c>
    </row>
    <row r="822">
      <c r="I822" s="22">
        <f>IF($A822="","",IFERROR(IF(N($H822)=0,0,(N($H822)-N($G822))/N($H822)),0))</f>
        <v/>
      </c>
    </row>
    <row r="823">
      <c r="I823" s="22">
        <f>IF($A823="","",IFERROR(IF(N($H823)=0,0,(N($H823)-N($G823))/N($H823)),0))</f>
        <v/>
      </c>
    </row>
    <row r="824">
      <c r="I824" s="22">
        <f>IF($A824="","",IFERROR(IF(N($H824)=0,0,(N($H824)-N($G824))/N($H824)),0))</f>
        <v/>
      </c>
    </row>
    <row r="825">
      <c r="I825" s="22">
        <f>IF($A825="","",IFERROR(IF(N($H825)=0,0,(N($H825)-N($G825))/N($H825)),0))</f>
        <v/>
      </c>
    </row>
    <row r="826">
      <c r="I826" s="22">
        <f>IF($A826="","",IFERROR(IF(N($H826)=0,0,(N($H826)-N($G826))/N($H826)),0))</f>
        <v/>
      </c>
    </row>
    <row r="827">
      <c r="I827" s="22">
        <f>IF($A827="","",IFERROR(IF(N($H827)=0,0,(N($H827)-N($G827))/N($H827)),0))</f>
        <v/>
      </c>
    </row>
    <row r="828">
      <c r="I828" s="22">
        <f>IF($A828="","",IFERROR(IF(N($H828)=0,0,(N($H828)-N($G828))/N($H828)),0))</f>
        <v/>
      </c>
    </row>
    <row r="829">
      <c r="I829" s="22">
        <f>IF($A829="","",IFERROR(IF(N($H829)=0,0,(N($H829)-N($G829))/N($H829)),0))</f>
        <v/>
      </c>
    </row>
    <row r="830">
      <c r="I830" s="22">
        <f>IF($A830="","",IFERROR(IF(N($H830)=0,0,(N($H830)-N($G830))/N($H830)),0))</f>
        <v/>
      </c>
    </row>
    <row r="831">
      <c r="I831" s="22">
        <f>IF($A831="","",IFERROR(IF(N($H831)=0,0,(N($H831)-N($G831))/N($H831)),0))</f>
        <v/>
      </c>
    </row>
    <row r="832">
      <c r="I832" s="22">
        <f>IF($A832="","",IFERROR(IF(N($H832)=0,0,(N($H832)-N($G832))/N($H832)),0))</f>
        <v/>
      </c>
    </row>
    <row r="833">
      <c r="I833" s="22">
        <f>IF($A833="","",IFERROR(IF(N($H833)=0,0,(N($H833)-N($G833))/N($H833)),0))</f>
        <v/>
      </c>
    </row>
    <row r="834">
      <c r="I834" s="22">
        <f>IF($A834="","",IFERROR(IF(N($H834)=0,0,(N($H834)-N($G834))/N($H834)),0))</f>
        <v/>
      </c>
    </row>
    <row r="835">
      <c r="I835" s="22">
        <f>IF($A835="","",IFERROR(IF(N($H835)=0,0,(N($H835)-N($G835))/N($H835)),0))</f>
        <v/>
      </c>
    </row>
    <row r="836">
      <c r="I836" s="22">
        <f>IF($A836="","",IFERROR(IF(N($H836)=0,0,(N($H836)-N($G836))/N($H836)),0))</f>
        <v/>
      </c>
    </row>
    <row r="837">
      <c r="I837" s="22">
        <f>IF($A837="","",IFERROR(IF(N($H837)=0,0,(N($H837)-N($G837))/N($H837)),0))</f>
        <v/>
      </c>
    </row>
    <row r="838">
      <c r="I838" s="22">
        <f>IF($A838="","",IFERROR(IF(N($H838)=0,0,(N($H838)-N($G838))/N($H838)),0))</f>
        <v/>
      </c>
    </row>
    <row r="839">
      <c r="I839" s="22">
        <f>IF($A839="","",IFERROR(IF(N($H839)=0,0,(N($H839)-N($G839))/N($H839)),0))</f>
        <v/>
      </c>
    </row>
    <row r="840">
      <c r="I840" s="22">
        <f>IF($A840="","",IFERROR(IF(N($H840)=0,0,(N($H840)-N($G840))/N($H840)),0))</f>
        <v/>
      </c>
    </row>
    <row r="841">
      <c r="I841" s="22">
        <f>IF($A841="","",IFERROR(IF(N($H841)=0,0,(N($H841)-N($G841))/N($H841)),0))</f>
        <v/>
      </c>
    </row>
    <row r="842">
      <c r="I842" s="22">
        <f>IF($A842="","",IFERROR(IF(N($H842)=0,0,(N($H842)-N($G842))/N($H842)),0))</f>
        <v/>
      </c>
    </row>
    <row r="843">
      <c r="I843" s="22">
        <f>IF($A843="","",IFERROR(IF(N($H843)=0,0,(N($H843)-N($G843))/N($H843)),0))</f>
        <v/>
      </c>
    </row>
    <row r="844">
      <c r="I844" s="22">
        <f>IF($A844="","",IFERROR(IF(N($H844)=0,0,(N($H844)-N($G844))/N($H844)),0))</f>
        <v/>
      </c>
    </row>
    <row r="845">
      <c r="I845" s="22">
        <f>IF($A845="","",IFERROR(IF(N($H845)=0,0,(N($H845)-N($G845))/N($H845)),0))</f>
        <v/>
      </c>
    </row>
    <row r="846">
      <c r="I846" s="22">
        <f>IF($A846="","",IFERROR(IF(N($H846)=0,0,(N($H846)-N($G846))/N($H846)),0))</f>
        <v/>
      </c>
    </row>
    <row r="847">
      <c r="I847" s="22">
        <f>IF($A847="","",IFERROR(IF(N($H847)=0,0,(N($H847)-N($G847))/N($H847)),0))</f>
        <v/>
      </c>
    </row>
    <row r="848">
      <c r="I848" s="22">
        <f>IF($A848="","",IFERROR(IF(N($H848)=0,0,(N($H848)-N($G848))/N($H848)),0))</f>
        <v/>
      </c>
    </row>
    <row r="849">
      <c r="I849" s="22">
        <f>IF($A849="","",IFERROR(IF(N($H849)=0,0,(N($H849)-N($G849))/N($H849)),0))</f>
        <v/>
      </c>
    </row>
    <row r="850">
      <c r="I850" s="22">
        <f>IF($A850="","",IFERROR(IF(N($H850)=0,0,(N($H850)-N($G850))/N($H850)),0))</f>
        <v/>
      </c>
    </row>
    <row r="851">
      <c r="I851" s="22">
        <f>IF($A851="","",IFERROR(IF(N($H851)=0,0,(N($H851)-N($G851))/N($H851)),0))</f>
        <v/>
      </c>
    </row>
    <row r="852">
      <c r="I852" s="22">
        <f>IF($A852="","",IFERROR(IF(N($H852)=0,0,(N($H852)-N($G852))/N($H852)),0))</f>
        <v/>
      </c>
    </row>
    <row r="853">
      <c r="I853" s="22">
        <f>IF($A853="","",IFERROR(IF(N($H853)=0,0,(N($H853)-N($G853))/N($H853)),0))</f>
        <v/>
      </c>
    </row>
    <row r="854">
      <c r="I854" s="22">
        <f>IF($A854="","",IFERROR(IF(N($H854)=0,0,(N($H854)-N($G854))/N($H854)),0))</f>
        <v/>
      </c>
    </row>
    <row r="855">
      <c r="I855" s="22">
        <f>IF($A855="","",IFERROR(IF(N($H855)=0,0,(N($H855)-N($G855))/N($H855)),0))</f>
        <v/>
      </c>
    </row>
    <row r="856">
      <c r="I856" s="22">
        <f>IF($A856="","",IFERROR(IF(N($H856)=0,0,(N($H856)-N($G856))/N($H856)),0))</f>
        <v/>
      </c>
    </row>
    <row r="857">
      <c r="I857" s="22">
        <f>IF($A857="","",IFERROR(IF(N($H857)=0,0,(N($H857)-N($G857))/N($H857)),0))</f>
        <v/>
      </c>
    </row>
    <row r="858">
      <c r="I858" s="22">
        <f>IF($A858="","",IFERROR(IF(N($H858)=0,0,(N($H858)-N($G858))/N($H858)),0))</f>
        <v/>
      </c>
    </row>
    <row r="859">
      <c r="I859" s="22">
        <f>IF($A859="","",IFERROR(IF(N($H859)=0,0,(N($H859)-N($G859))/N($H859)),0))</f>
        <v/>
      </c>
    </row>
    <row r="860">
      <c r="I860" s="22">
        <f>IF($A860="","",IFERROR(IF(N($H860)=0,0,(N($H860)-N($G860))/N($H860)),0))</f>
        <v/>
      </c>
    </row>
    <row r="861">
      <c r="I861" s="22">
        <f>IF($A861="","",IFERROR(IF(N($H861)=0,0,(N($H861)-N($G861))/N($H861)),0))</f>
        <v/>
      </c>
    </row>
    <row r="862">
      <c r="I862" s="22">
        <f>IF($A862="","",IFERROR(IF(N($H862)=0,0,(N($H862)-N($G862))/N($H862)),0))</f>
        <v/>
      </c>
    </row>
    <row r="863">
      <c r="I863" s="22">
        <f>IF($A863="","",IFERROR(IF(N($H863)=0,0,(N($H863)-N($G863))/N($H863)),0))</f>
        <v/>
      </c>
    </row>
    <row r="864">
      <c r="I864" s="22">
        <f>IF($A864="","",IFERROR(IF(N($H864)=0,0,(N($H864)-N($G864))/N($H864)),0))</f>
        <v/>
      </c>
    </row>
    <row r="865">
      <c r="I865" s="22">
        <f>IF($A865="","",IFERROR(IF(N($H865)=0,0,(N($H865)-N($G865))/N($H865)),0))</f>
        <v/>
      </c>
    </row>
    <row r="866">
      <c r="I866" s="22">
        <f>IF($A866="","",IFERROR(IF(N($H866)=0,0,(N($H866)-N($G866))/N($H866)),0))</f>
        <v/>
      </c>
    </row>
    <row r="867">
      <c r="I867" s="22">
        <f>IF($A867="","",IFERROR(IF(N($H867)=0,0,(N($H867)-N($G867))/N($H867)),0))</f>
        <v/>
      </c>
    </row>
    <row r="868">
      <c r="I868" s="22">
        <f>IF($A868="","",IFERROR(IF(N($H868)=0,0,(N($H868)-N($G868))/N($H868)),0))</f>
        <v/>
      </c>
    </row>
    <row r="869">
      <c r="I869" s="22">
        <f>IF($A869="","",IFERROR(IF(N($H869)=0,0,(N($H869)-N($G869))/N($H869)),0))</f>
        <v/>
      </c>
    </row>
    <row r="870">
      <c r="I870" s="22">
        <f>IF($A870="","",IFERROR(IF(N($H870)=0,0,(N($H870)-N($G870))/N($H870)),0))</f>
        <v/>
      </c>
    </row>
    <row r="871">
      <c r="I871" s="22">
        <f>IF($A871="","",IFERROR(IF(N($H871)=0,0,(N($H871)-N($G871))/N($H871)),0))</f>
        <v/>
      </c>
    </row>
    <row r="872">
      <c r="I872" s="22">
        <f>IF($A872="","",IFERROR(IF(N($H872)=0,0,(N($H872)-N($G872))/N($H872)),0))</f>
        <v/>
      </c>
    </row>
    <row r="873">
      <c r="I873" s="22">
        <f>IF($A873="","",IFERROR(IF(N($H873)=0,0,(N($H873)-N($G873))/N($H873)),0))</f>
        <v/>
      </c>
    </row>
    <row r="874">
      <c r="I874" s="22">
        <f>IF($A874="","",IFERROR(IF(N($H874)=0,0,(N($H874)-N($G874))/N($H874)),0))</f>
        <v/>
      </c>
    </row>
    <row r="875">
      <c r="I875" s="22">
        <f>IF($A875="","",IFERROR(IF(N($H875)=0,0,(N($H875)-N($G875))/N($H875)),0))</f>
        <v/>
      </c>
    </row>
    <row r="876">
      <c r="I876" s="22">
        <f>IF($A876="","",IFERROR(IF(N($H876)=0,0,(N($H876)-N($G876))/N($H876)),0))</f>
        <v/>
      </c>
    </row>
    <row r="877">
      <c r="I877" s="22">
        <f>IF($A877="","",IFERROR(IF(N($H877)=0,0,(N($H877)-N($G877))/N($H877)),0))</f>
        <v/>
      </c>
    </row>
    <row r="878">
      <c r="I878" s="22">
        <f>IF($A878="","",IFERROR(IF(N($H878)=0,0,(N($H878)-N($G878))/N($H878)),0))</f>
        <v/>
      </c>
    </row>
    <row r="879">
      <c r="I879" s="22">
        <f>IF($A879="","",IFERROR(IF(N($H879)=0,0,(N($H879)-N($G879))/N($H879)),0))</f>
        <v/>
      </c>
    </row>
    <row r="880">
      <c r="I880" s="22">
        <f>IF($A880="","",IFERROR(IF(N($H880)=0,0,(N($H880)-N($G880))/N($H880)),0))</f>
        <v/>
      </c>
    </row>
    <row r="881">
      <c r="I881" s="22">
        <f>IF($A881="","",IFERROR(IF(N($H881)=0,0,(N($H881)-N($G881))/N($H881)),0))</f>
        <v/>
      </c>
    </row>
    <row r="882">
      <c r="I882" s="22">
        <f>IF($A882="","",IFERROR(IF(N($H882)=0,0,(N($H882)-N($G882))/N($H882)),0))</f>
        <v/>
      </c>
    </row>
    <row r="883">
      <c r="I883" s="22">
        <f>IF($A883="","",IFERROR(IF(N($H883)=0,0,(N($H883)-N($G883))/N($H883)),0))</f>
        <v/>
      </c>
    </row>
    <row r="884">
      <c r="I884" s="22">
        <f>IF($A884="","",IFERROR(IF(N($H884)=0,0,(N($H884)-N($G884))/N($H884)),0))</f>
        <v/>
      </c>
    </row>
    <row r="885">
      <c r="I885" s="22">
        <f>IF($A885="","",IFERROR(IF(N($H885)=0,0,(N($H885)-N($G885))/N($H885)),0))</f>
        <v/>
      </c>
    </row>
    <row r="886">
      <c r="I886" s="22">
        <f>IF($A886="","",IFERROR(IF(N($H886)=0,0,(N($H886)-N($G886))/N($H886)),0))</f>
        <v/>
      </c>
    </row>
    <row r="887">
      <c r="I887" s="22">
        <f>IF($A887="","",IFERROR(IF(N($H887)=0,0,(N($H887)-N($G887))/N($H887)),0))</f>
        <v/>
      </c>
    </row>
    <row r="888">
      <c r="I888" s="22">
        <f>IF($A888="","",IFERROR(IF(N($H888)=0,0,(N($H888)-N($G888))/N($H888)),0))</f>
        <v/>
      </c>
    </row>
    <row r="889">
      <c r="I889" s="22">
        <f>IF($A889="","",IFERROR(IF(N($H889)=0,0,(N($H889)-N($G889))/N($H889)),0))</f>
        <v/>
      </c>
    </row>
    <row r="890">
      <c r="I890" s="22">
        <f>IF($A890="","",IFERROR(IF(N($H890)=0,0,(N($H890)-N($G890))/N($H890)),0))</f>
        <v/>
      </c>
    </row>
    <row r="891">
      <c r="I891" s="22">
        <f>IF($A891="","",IFERROR(IF(N($H891)=0,0,(N($H891)-N($G891))/N($H891)),0))</f>
        <v/>
      </c>
    </row>
    <row r="892">
      <c r="I892" s="22">
        <f>IF($A892="","",IFERROR(IF(N($H892)=0,0,(N($H892)-N($G892))/N($H892)),0))</f>
        <v/>
      </c>
    </row>
    <row r="893">
      <c r="I893" s="22">
        <f>IF($A893="","",IFERROR(IF(N($H893)=0,0,(N($H893)-N($G893))/N($H893)),0))</f>
        <v/>
      </c>
    </row>
    <row r="894">
      <c r="I894" s="22">
        <f>IF($A894="","",IFERROR(IF(N($H894)=0,0,(N($H894)-N($G894))/N($H894)),0))</f>
        <v/>
      </c>
    </row>
    <row r="895">
      <c r="I895" s="22">
        <f>IF($A895="","",IFERROR(IF(N($H895)=0,0,(N($H895)-N($G895))/N($H895)),0))</f>
        <v/>
      </c>
    </row>
    <row r="896">
      <c r="I896" s="22">
        <f>IF($A896="","",IFERROR(IF(N($H896)=0,0,(N($H896)-N($G896))/N($H896)),0))</f>
        <v/>
      </c>
    </row>
    <row r="897">
      <c r="I897" s="22">
        <f>IF($A897="","",IFERROR(IF(N($H897)=0,0,(N($H897)-N($G897))/N($H897)),0))</f>
        <v/>
      </c>
    </row>
    <row r="898">
      <c r="I898" s="22">
        <f>IF($A898="","",IFERROR(IF(N($H898)=0,0,(N($H898)-N($G898))/N($H898)),0))</f>
        <v/>
      </c>
    </row>
    <row r="899">
      <c r="I899" s="22">
        <f>IF($A899="","",IFERROR(IF(N($H899)=0,0,(N($H899)-N($G899))/N($H899)),0))</f>
        <v/>
      </c>
    </row>
    <row r="900">
      <c r="I900" s="22">
        <f>IF($A900="","",IFERROR(IF(N($H900)=0,0,(N($H900)-N($G900))/N($H900)),0))</f>
        <v/>
      </c>
    </row>
    <row r="901">
      <c r="I901" s="22">
        <f>IF($A901="","",IFERROR(IF(N($H901)=0,0,(N($H901)-N($G901))/N($H901)),0))</f>
        <v/>
      </c>
    </row>
    <row r="902">
      <c r="I902" s="22">
        <f>IF($A902="","",IFERROR(IF(N($H902)=0,0,(N($H902)-N($G902))/N($H902)),0))</f>
        <v/>
      </c>
    </row>
    <row r="903">
      <c r="I903" s="22">
        <f>IF($A903="","",IFERROR(IF(N($H903)=0,0,(N($H903)-N($G903))/N($H903)),0))</f>
        <v/>
      </c>
    </row>
    <row r="904">
      <c r="I904" s="22">
        <f>IF($A904="","",IFERROR(IF(N($H904)=0,0,(N($H904)-N($G904))/N($H904)),0))</f>
        <v/>
      </c>
    </row>
    <row r="905">
      <c r="I905" s="22">
        <f>IF($A905="","",IFERROR(IF(N($H905)=0,0,(N($H905)-N($G905))/N($H905)),0))</f>
        <v/>
      </c>
    </row>
    <row r="906">
      <c r="I906" s="22">
        <f>IF($A906="","",IFERROR(IF(N($H906)=0,0,(N($H906)-N($G906))/N($H906)),0))</f>
        <v/>
      </c>
    </row>
    <row r="907">
      <c r="I907" s="22">
        <f>IF($A907="","",IFERROR(IF(N($H907)=0,0,(N($H907)-N($G907))/N($H907)),0))</f>
        <v/>
      </c>
    </row>
    <row r="908">
      <c r="I908" s="22">
        <f>IF($A908="","",IFERROR(IF(N($H908)=0,0,(N($H908)-N($G908))/N($H908)),0))</f>
        <v/>
      </c>
    </row>
    <row r="909">
      <c r="I909" s="22">
        <f>IF($A909="","",IFERROR(IF(N($H909)=0,0,(N($H909)-N($G909))/N($H909)),0))</f>
        <v/>
      </c>
    </row>
    <row r="910">
      <c r="I910" s="22">
        <f>IF($A910="","",IFERROR(IF(N($H910)=0,0,(N($H910)-N($G910))/N($H910)),0))</f>
        <v/>
      </c>
    </row>
    <row r="911">
      <c r="I911" s="22">
        <f>IF($A911="","",IFERROR(IF(N($H911)=0,0,(N($H911)-N($G911))/N($H911)),0))</f>
        <v/>
      </c>
    </row>
    <row r="912">
      <c r="I912" s="22">
        <f>IF($A912="","",IFERROR(IF(N($H912)=0,0,(N($H912)-N($G912))/N($H912)),0))</f>
        <v/>
      </c>
    </row>
    <row r="913">
      <c r="I913" s="22">
        <f>IF($A913="","",IFERROR(IF(N($H913)=0,0,(N($H913)-N($G913))/N($H913)),0))</f>
        <v/>
      </c>
    </row>
    <row r="914">
      <c r="I914" s="22">
        <f>IF($A914="","",IFERROR(IF(N($H914)=0,0,(N($H914)-N($G914))/N($H914)),0))</f>
        <v/>
      </c>
    </row>
    <row r="915">
      <c r="I915" s="22">
        <f>IF($A915="","",IFERROR(IF(N($H915)=0,0,(N($H915)-N($G915))/N($H915)),0))</f>
        <v/>
      </c>
    </row>
    <row r="916">
      <c r="I916" s="22">
        <f>IF($A916="","",IFERROR(IF(N($H916)=0,0,(N($H916)-N($G916))/N($H916)),0))</f>
        <v/>
      </c>
    </row>
    <row r="917">
      <c r="I917" s="22">
        <f>IF($A917="","",IFERROR(IF(N($H917)=0,0,(N($H917)-N($G917))/N($H917)),0))</f>
        <v/>
      </c>
    </row>
    <row r="918">
      <c r="I918" s="22">
        <f>IF($A918="","",IFERROR(IF(N($H918)=0,0,(N($H918)-N($G918))/N($H918)),0))</f>
        <v/>
      </c>
    </row>
    <row r="919">
      <c r="I919" s="22">
        <f>IF($A919="","",IFERROR(IF(N($H919)=0,0,(N($H919)-N($G919))/N($H919)),0))</f>
        <v/>
      </c>
    </row>
    <row r="920">
      <c r="I920" s="22">
        <f>IF($A920="","",IFERROR(IF(N($H920)=0,0,(N($H920)-N($G920))/N($H920)),0))</f>
        <v/>
      </c>
    </row>
    <row r="921">
      <c r="I921" s="22">
        <f>IF($A921="","",IFERROR(IF(N($H921)=0,0,(N($H921)-N($G921))/N($H921)),0))</f>
        <v/>
      </c>
    </row>
    <row r="922">
      <c r="I922" s="22">
        <f>IF($A922="","",IFERROR(IF(N($H922)=0,0,(N($H922)-N($G922))/N($H922)),0))</f>
        <v/>
      </c>
    </row>
    <row r="923">
      <c r="I923" s="22">
        <f>IF($A923="","",IFERROR(IF(N($H923)=0,0,(N($H923)-N($G923))/N($H923)),0))</f>
        <v/>
      </c>
    </row>
    <row r="924">
      <c r="I924" s="22">
        <f>IF($A924="","",IFERROR(IF(N($H924)=0,0,(N($H924)-N($G924))/N($H924)),0))</f>
        <v/>
      </c>
    </row>
    <row r="925">
      <c r="I925" s="22">
        <f>IF($A925="","",IFERROR(IF(N($H925)=0,0,(N($H925)-N($G925))/N($H925)),0))</f>
        <v/>
      </c>
    </row>
    <row r="926">
      <c r="I926" s="22">
        <f>IF($A926="","",IFERROR(IF(N($H926)=0,0,(N($H926)-N($G926))/N($H926)),0))</f>
        <v/>
      </c>
    </row>
    <row r="927">
      <c r="I927" s="22">
        <f>IF($A927="","",IFERROR(IF(N($H927)=0,0,(N($H927)-N($G927))/N($H927)),0))</f>
        <v/>
      </c>
    </row>
    <row r="928">
      <c r="I928" s="22">
        <f>IF($A928="","",IFERROR(IF(N($H928)=0,0,(N($H928)-N($G928))/N($H928)),0))</f>
        <v/>
      </c>
    </row>
    <row r="929">
      <c r="I929" s="22">
        <f>IF($A929="","",IFERROR(IF(N($H929)=0,0,(N($H929)-N($G929))/N($H929)),0))</f>
        <v/>
      </c>
    </row>
    <row r="930">
      <c r="I930" s="22">
        <f>IF($A930="","",IFERROR(IF(N($H930)=0,0,(N($H930)-N($G930))/N($H930)),0))</f>
        <v/>
      </c>
    </row>
    <row r="931">
      <c r="I931" s="22">
        <f>IF($A931="","",IFERROR(IF(N($H931)=0,0,(N($H931)-N($G931))/N($H931)),0))</f>
        <v/>
      </c>
    </row>
    <row r="932">
      <c r="I932" s="22">
        <f>IF($A932="","",IFERROR(IF(N($H932)=0,0,(N($H932)-N($G932))/N($H932)),0))</f>
        <v/>
      </c>
    </row>
    <row r="933">
      <c r="I933" s="22">
        <f>IF($A933="","",IFERROR(IF(N($H933)=0,0,(N($H933)-N($G933))/N($H933)),0))</f>
        <v/>
      </c>
    </row>
    <row r="934">
      <c r="I934" s="22">
        <f>IF($A934="","",IFERROR(IF(N($H934)=0,0,(N($H934)-N($G934))/N($H934)),0))</f>
        <v/>
      </c>
    </row>
    <row r="935">
      <c r="I935" s="22">
        <f>IF($A935="","",IFERROR(IF(N($H935)=0,0,(N($H935)-N($G935))/N($H935)),0))</f>
        <v/>
      </c>
    </row>
    <row r="936">
      <c r="I936" s="22">
        <f>IF($A936="","",IFERROR(IF(N($H936)=0,0,(N($H936)-N($G936))/N($H936)),0))</f>
        <v/>
      </c>
    </row>
    <row r="937">
      <c r="I937" s="22">
        <f>IF($A937="","",IFERROR(IF(N($H937)=0,0,(N($H937)-N($G937))/N($H937)),0))</f>
        <v/>
      </c>
    </row>
    <row r="938">
      <c r="I938" s="22">
        <f>IF($A938="","",IFERROR(IF(N($H938)=0,0,(N($H938)-N($G938))/N($H938)),0))</f>
        <v/>
      </c>
    </row>
    <row r="939">
      <c r="I939" s="22">
        <f>IF($A939="","",IFERROR(IF(N($H939)=0,0,(N($H939)-N($G939))/N($H939)),0))</f>
        <v/>
      </c>
    </row>
    <row r="940">
      <c r="I940" s="22">
        <f>IF($A940="","",IFERROR(IF(N($H940)=0,0,(N($H940)-N($G940))/N($H940)),0))</f>
        <v/>
      </c>
    </row>
    <row r="941">
      <c r="I941" s="22">
        <f>IF($A941="","",IFERROR(IF(N($H941)=0,0,(N($H941)-N($G941))/N($H941)),0))</f>
        <v/>
      </c>
    </row>
    <row r="942">
      <c r="I942" s="22">
        <f>IF($A942="","",IFERROR(IF(N($H942)=0,0,(N($H942)-N($G942))/N($H942)),0))</f>
        <v/>
      </c>
    </row>
    <row r="943">
      <c r="I943" s="22">
        <f>IF($A943="","",IFERROR(IF(N($H943)=0,0,(N($H943)-N($G943))/N($H943)),0))</f>
        <v/>
      </c>
    </row>
    <row r="944">
      <c r="I944" s="22">
        <f>IF($A944="","",IFERROR(IF(N($H944)=0,0,(N($H944)-N($G944))/N($H944)),0))</f>
        <v/>
      </c>
    </row>
    <row r="945">
      <c r="I945" s="22">
        <f>IF($A945="","",IFERROR(IF(N($H945)=0,0,(N($H945)-N($G945))/N($H945)),0))</f>
        <v/>
      </c>
    </row>
    <row r="946">
      <c r="I946" s="22">
        <f>IF($A946="","",IFERROR(IF(N($H946)=0,0,(N($H946)-N($G946))/N($H946)),0))</f>
        <v/>
      </c>
    </row>
    <row r="947">
      <c r="I947" s="22">
        <f>IF($A947="","",IFERROR(IF(N($H947)=0,0,(N($H947)-N($G947))/N($H947)),0))</f>
        <v/>
      </c>
    </row>
    <row r="948">
      <c r="I948" s="22">
        <f>IF($A948="","",IFERROR(IF(N($H948)=0,0,(N($H948)-N($G948))/N($H948)),0))</f>
        <v/>
      </c>
    </row>
    <row r="949">
      <c r="I949" s="22">
        <f>IF($A949="","",IFERROR(IF(N($H949)=0,0,(N($H949)-N($G949))/N($H949)),0))</f>
        <v/>
      </c>
    </row>
    <row r="950">
      <c r="I950" s="22">
        <f>IF($A950="","",IFERROR(IF(N($H950)=0,0,(N($H950)-N($G950))/N($H950)),0))</f>
        <v/>
      </c>
    </row>
    <row r="951">
      <c r="I951" s="22">
        <f>IF($A951="","",IFERROR(IF(N($H951)=0,0,(N($H951)-N($G951))/N($H951)),0))</f>
        <v/>
      </c>
    </row>
    <row r="952">
      <c r="I952" s="22">
        <f>IF($A952="","",IFERROR(IF(N($H952)=0,0,(N($H952)-N($G952))/N($H952)),0))</f>
        <v/>
      </c>
    </row>
    <row r="953">
      <c r="I953" s="22">
        <f>IF($A953="","",IFERROR(IF(N($H953)=0,0,(N($H953)-N($G953))/N($H953)),0))</f>
        <v/>
      </c>
    </row>
    <row r="954">
      <c r="I954" s="22">
        <f>IF($A954="","",IFERROR(IF(N($H954)=0,0,(N($H954)-N($G954))/N($H954)),0))</f>
        <v/>
      </c>
    </row>
    <row r="955">
      <c r="I955" s="22">
        <f>IF($A955="","",IFERROR(IF(N($H955)=0,0,(N($H955)-N($G955))/N($H955)),0))</f>
        <v/>
      </c>
    </row>
    <row r="956">
      <c r="I956" s="22">
        <f>IF($A956="","",IFERROR(IF(N($H956)=0,0,(N($H956)-N($G956))/N($H956)),0))</f>
        <v/>
      </c>
    </row>
    <row r="957">
      <c r="I957" s="22">
        <f>IF($A957="","",IFERROR(IF(N($H957)=0,0,(N($H957)-N($G957))/N($H957)),0))</f>
        <v/>
      </c>
    </row>
    <row r="958">
      <c r="I958" s="22">
        <f>IF($A958="","",IFERROR(IF(N($H958)=0,0,(N($H958)-N($G958))/N($H958)),0))</f>
        <v/>
      </c>
    </row>
    <row r="959">
      <c r="I959" s="22">
        <f>IF($A959="","",IFERROR(IF(N($H959)=0,0,(N($H959)-N($G959))/N($H959)),0))</f>
        <v/>
      </c>
    </row>
    <row r="960">
      <c r="I960" s="22">
        <f>IF($A960="","",IFERROR(IF(N($H960)=0,0,(N($H960)-N($G960))/N($H960)),0))</f>
        <v/>
      </c>
    </row>
    <row r="961">
      <c r="I961" s="22">
        <f>IF($A961="","",IFERROR(IF(N($H961)=0,0,(N($H961)-N($G961))/N($H961)),0))</f>
        <v/>
      </c>
    </row>
    <row r="962">
      <c r="I962" s="22">
        <f>IF($A962="","",IFERROR(IF(N($H962)=0,0,(N($H962)-N($G962))/N($H962)),0))</f>
        <v/>
      </c>
    </row>
    <row r="963">
      <c r="I963" s="22">
        <f>IF($A963="","",IFERROR(IF(N($H963)=0,0,(N($H963)-N($G963))/N($H963)),0))</f>
        <v/>
      </c>
    </row>
    <row r="964">
      <c r="I964" s="22">
        <f>IF($A964="","",IFERROR(IF(N($H964)=0,0,(N($H964)-N($G964))/N($H964)),0))</f>
        <v/>
      </c>
    </row>
    <row r="965">
      <c r="I965" s="22">
        <f>IF($A965="","",IFERROR(IF(N($H965)=0,0,(N($H965)-N($G965))/N($H965)),0))</f>
        <v/>
      </c>
    </row>
    <row r="966">
      <c r="I966" s="22">
        <f>IF($A966="","",IFERROR(IF(N($H966)=0,0,(N($H966)-N($G966))/N($H966)),0))</f>
        <v/>
      </c>
    </row>
    <row r="967">
      <c r="I967" s="22">
        <f>IF($A967="","",IFERROR(IF(N($H967)=0,0,(N($H967)-N($G967))/N($H967)),0))</f>
        <v/>
      </c>
    </row>
    <row r="968">
      <c r="I968" s="22">
        <f>IF($A968="","",IFERROR(IF(N($H968)=0,0,(N($H968)-N($G968))/N($H968)),0))</f>
        <v/>
      </c>
    </row>
    <row r="969">
      <c r="I969" s="22">
        <f>IF($A969="","",IFERROR(IF(N($H969)=0,0,(N($H969)-N($G969))/N($H969)),0))</f>
        <v/>
      </c>
    </row>
    <row r="970">
      <c r="I970" s="22">
        <f>IF($A970="","",IFERROR(IF(N($H970)=0,0,(N($H970)-N($G970))/N($H970)),0))</f>
        <v/>
      </c>
    </row>
    <row r="971">
      <c r="I971" s="22">
        <f>IF($A971="","",IFERROR(IF(N($H971)=0,0,(N($H971)-N($G971))/N($H971)),0))</f>
        <v/>
      </c>
    </row>
    <row r="972">
      <c r="I972" s="22">
        <f>IF($A972="","",IFERROR(IF(N($H972)=0,0,(N($H972)-N($G972))/N($H972)),0))</f>
        <v/>
      </c>
    </row>
    <row r="973">
      <c r="I973" s="22">
        <f>IF($A973="","",IFERROR(IF(N($H973)=0,0,(N($H973)-N($G973))/N($H973)),0))</f>
        <v/>
      </c>
    </row>
    <row r="974">
      <c r="I974" s="22">
        <f>IF($A974="","",IFERROR(IF(N($H974)=0,0,(N($H974)-N($G974))/N($H974)),0))</f>
        <v/>
      </c>
    </row>
    <row r="975">
      <c r="I975" s="22">
        <f>IF($A975="","",IFERROR(IF(N($H975)=0,0,(N($H975)-N($G975))/N($H975)),0))</f>
        <v/>
      </c>
    </row>
    <row r="976">
      <c r="I976" s="22">
        <f>IF($A976="","",IFERROR(IF(N($H976)=0,0,(N($H976)-N($G976))/N($H976)),0))</f>
        <v/>
      </c>
    </row>
    <row r="977">
      <c r="I977" s="22">
        <f>IF($A977="","",IFERROR(IF(N($H977)=0,0,(N($H977)-N($G977))/N($H977)),0))</f>
        <v/>
      </c>
    </row>
    <row r="978">
      <c r="I978" s="22">
        <f>IF($A978="","",IFERROR(IF(N($H978)=0,0,(N($H978)-N($G978))/N($H978)),0))</f>
        <v/>
      </c>
    </row>
    <row r="979">
      <c r="I979" s="22">
        <f>IF($A979="","",IFERROR(IF(N($H979)=0,0,(N($H979)-N($G979))/N($H979)),0))</f>
        <v/>
      </c>
    </row>
    <row r="980">
      <c r="I980" s="22">
        <f>IF($A980="","",IFERROR(IF(N($H980)=0,0,(N($H980)-N($G980))/N($H980)),0))</f>
        <v/>
      </c>
    </row>
    <row r="981">
      <c r="I981" s="22">
        <f>IF($A981="","",IFERROR(IF(N($H981)=0,0,(N($H981)-N($G981))/N($H981)),0))</f>
        <v/>
      </c>
    </row>
    <row r="982">
      <c r="I982" s="22">
        <f>IF($A982="","",IFERROR(IF(N($H982)=0,0,(N($H982)-N($G982))/N($H982)),0))</f>
        <v/>
      </c>
    </row>
    <row r="983">
      <c r="I983" s="22">
        <f>IF($A983="","",IFERROR(IF(N($H983)=0,0,(N($H983)-N($G983))/N($H983)),0))</f>
        <v/>
      </c>
    </row>
    <row r="984">
      <c r="I984" s="22">
        <f>IF($A984="","",IFERROR(IF(N($H984)=0,0,(N($H984)-N($G984))/N($H984)),0))</f>
        <v/>
      </c>
    </row>
    <row r="985">
      <c r="I985" s="22">
        <f>IF($A985="","",IFERROR(IF(N($H985)=0,0,(N($H985)-N($G985))/N($H985)),0))</f>
        <v/>
      </c>
    </row>
    <row r="986">
      <c r="I986" s="22">
        <f>IF($A986="","",IFERROR(IF(N($H986)=0,0,(N($H986)-N($G986))/N($H986)),0))</f>
        <v/>
      </c>
    </row>
    <row r="987">
      <c r="I987" s="22">
        <f>IF($A987="","",IFERROR(IF(N($H987)=0,0,(N($H987)-N($G987))/N($H987)),0))</f>
        <v/>
      </c>
    </row>
    <row r="988">
      <c r="I988" s="22">
        <f>IF($A988="","",IFERROR(IF(N($H988)=0,0,(N($H988)-N($G988))/N($H988)),0))</f>
        <v/>
      </c>
    </row>
    <row r="989">
      <c r="I989" s="22">
        <f>IF($A989="","",IFERROR(IF(N($H989)=0,0,(N($H989)-N($G989))/N($H989)),0))</f>
        <v/>
      </c>
    </row>
    <row r="990">
      <c r="I990" s="22">
        <f>IF($A990="","",IFERROR(IF(N($H990)=0,0,(N($H990)-N($G990))/N($H990)),0))</f>
        <v/>
      </c>
    </row>
    <row r="991">
      <c r="I991" s="22">
        <f>IF($A991="","",IFERROR(IF(N($H991)=0,0,(N($H991)-N($G991))/N($H991)),0))</f>
        <v/>
      </c>
    </row>
    <row r="992">
      <c r="I992" s="22">
        <f>IF($A992="","",IFERROR(IF(N($H992)=0,0,(N($H992)-N($G992))/N($H992)),0))</f>
        <v/>
      </c>
    </row>
    <row r="993">
      <c r="I993" s="22">
        <f>IF($A993="","",IFERROR(IF(N($H993)=0,0,(N($H993)-N($G993))/N($H993)),0))</f>
        <v/>
      </c>
    </row>
    <row r="994">
      <c r="I994" s="22">
        <f>IF($A994="","",IFERROR(IF(N($H994)=0,0,(N($H994)-N($G994))/N($H994)),0))</f>
        <v/>
      </c>
    </row>
    <row r="995">
      <c r="I995" s="22">
        <f>IF($A995="","",IFERROR(IF(N($H995)=0,0,(N($H995)-N($G995))/N($H995)),0))</f>
        <v/>
      </c>
    </row>
    <row r="996">
      <c r="I996" s="22">
        <f>IF($A996="","",IFERROR(IF(N($H996)=0,0,(N($H996)-N($G996))/N($H996)),0))</f>
        <v/>
      </c>
    </row>
    <row r="997">
      <c r="I997" s="22">
        <f>IF($A997="","",IFERROR(IF(N($H997)=0,0,(N($H997)-N($G997))/N($H997)),0))</f>
        <v/>
      </c>
    </row>
    <row r="998">
      <c r="I998" s="22">
        <f>IF($A998="","",IFERROR(IF(N($H998)=0,0,(N($H998)-N($G998))/N($H998)),0))</f>
        <v/>
      </c>
    </row>
    <row r="999">
      <c r="I999" s="22">
        <f>IF($A999="","",IFERROR(IF(N($H999)=0,0,(N($H999)-N($G999))/N($H999)),0))</f>
        <v/>
      </c>
    </row>
    <row r="1000">
      <c r="I1000" s="22">
        <f>IF($A1000="","",IFERROR(IF(N($H1000)=0,0,(N($H1000)-N($G1000))/N($H1000)),0))</f>
        <v/>
      </c>
    </row>
    <row r="1001">
      <c r="I1001" s="22">
        <f>IF($A1001="","",IFERROR(IF(N($H1001)=0,0,(N($H1001)-N($G1001))/N($H1001)),0))</f>
        <v/>
      </c>
    </row>
    <row r="1002">
      <c r="I1002" s="22">
        <f>IF($A1002="","",IFERROR(IF(N($H1002)=0,0,(N($H1002)-N($G1002))/N($H1002)),0))</f>
        <v/>
      </c>
    </row>
    <row r="1003">
      <c r="I1003" s="22">
        <f>IF($A1003="","",IFERROR(IF(N($H1003)=0,0,(N($H1003)-N($G1003))/N($H1003)),0))</f>
        <v/>
      </c>
    </row>
    <row r="1004">
      <c r="I1004" s="22">
        <f>IF($A1004="","",IFERROR(IF(N($H1004)=0,0,(N($H1004)-N($G1004))/N($H1004)),0))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">
    <dataValidation sqref="B6:B10" showDropDown="0" showInputMessage="1" showErrorMessage="1" allowBlank="1" errorTitle="Geçersiz" error="Listeden." promptTitle="Araç" prompt="Araç tipi seçin." type="list" errorStyle="stop">
      <formula1>ListeArac</formula1>
    </dataValidation>
    <dataValidation sqref="C6:H10" showDropDown="0" showInputMessage="1" showErrorMessage="1" allowBlank="1" errorTitle="Geçersiz" error="Negatif olamaz." promptTitle="Sayı" prompt="0 ve üzeri." type="decimal" errorStyle="stop" operator="between">
      <formula1>0</formula1>
      <formula2>100000000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595959"/>
    <outlinePr summaryBelow="1" summaryRight="1"/>
    <pageSetUpPr/>
  </sheetPr>
  <dimension ref="A1:AC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3" customWidth="1" min="4" max="4"/>
    <col width="14.5" customWidth="1" min="5" max="5"/>
    <col width="13" customWidth="1" min="6" max="6"/>
    <col width="12.5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LISTELER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>
      <c r="A3" s="10" t="inlineStr">
        <is>
          <t>Açılır listeler</t>
        </is>
      </c>
    </row>
    <row r="4"/>
    <row r="5">
      <c r="A5" s="45" t="inlineStr">
        <is>
          <t>Araç</t>
        </is>
      </c>
      <c r="C5" s="45" t="inlineStr">
        <is>
          <t>Güven</t>
        </is>
      </c>
      <c r="E5" s="45" t="inlineStr">
        <is>
          <t>Duyarlılık</t>
        </is>
      </c>
      <c r="G5" s="45" t="inlineStr">
        <is>
          <t>Versiyon</t>
        </is>
      </c>
    </row>
    <row r="6">
      <c r="A6" s="57" t="inlineStr">
        <is>
          <t>TIR</t>
        </is>
      </c>
      <c r="C6" s="57" t="inlineStr">
        <is>
          <t>sert</t>
        </is>
      </c>
      <c r="E6" s="57" t="inlineStr">
        <is>
          <t>yüksek</t>
        </is>
      </c>
      <c r="G6" s="57" t="inlineStr">
        <is>
          <t>V1</t>
        </is>
      </c>
    </row>
    <row r="7">
      <c r="A7" s="57" t="inlineStr">
        <is>
          <t>Kamyon</t>
        </is>
      </c>
      <c r="C7" s="57" t="inlineStr">
        <is>
          <t>yumuşak</t>
        </is>
      </c>
      <c r="E7" s="57" t="inlineStr">
        <is>
          <t>orta</t>
        </is>
      </c>
      <c r="G7" s="57" t="inlineStr">
        <is>
          <t>V0</t>
        </is>
      </c>
    </row>
    <row r="8">
      <c r="A8" s="57" t="inlineStr">
        <is>
          <t>Panelvan</t>
        </is>
      </c>
      <c r="E8" s="57" t="inlineStr">
        <is>
          <t>düşük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0F2742"/>
    <outlinePr summaryBelow="1" summaryRight="1"/>
    <pageSetUpPr/>
  </sheetPr>
  <dimension ref="A1:AN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3.5" customWidth="1" min="2" max="2"/>
    <col width="12" customWidth="1" min="3" max="3"/>
    <col width="36" customWidth="1" min="4" max="4"/>
    <col width="18" customWidth="1" min="5" max="5"/>
    <col width="23.5" customWidth="1" min="6" max="6"/>
    <col width="23.5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AYARLAR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2" customHeight="1">
      <c r="A3" s="228" t="inlineStr">
        <is>
          <t>Parametreler ve birim dönüşüm tablosu</t>
        </is>
      </c>
    </row>
    <row r="4"/>
    <row r="5">
      <c r="A5" s="45" t="inlineStr">
        <is>
          <t>anahtar</t>
        </is>
      </c>
      <c r="B5" s="45" t="inlineStr">
        <is>
          <t>deger</t>
        </is>
      </c>
      <c r="C5" s="45" t="inlineStr">
        <is>
          <t>birim</t>
        </is>
      </c>
      <c r="D5" s="45" t="inlineStr">
        <is>
          <t>aciklama</t>
        </is>
      </c>
      <c r="E5" s="45" t="inlineStr">
        <is>
          <t>kaynak</t>
        </is>
      </c>
      <c r="F5" s="45" t="inlineStr">
        <is>
          <t>yururluk_tarihi</t>
        </is>
      </c>
      <c r="G5" s="45" t="inlineStr">
        <is>
          <t>dogrulama_tarihi</t>
        </is>
      </c>
    </row>
    <row r="6">
      <c r="A6" s="7" t="inlineStr">
        <is>
          <t>firmaUnvani</t>
        </is>
      </c>
      <c r="B6" s="12" t="inlineStr">
        <is>
          <t>Örnek Lojistik A.Ş.</t>
        </is>
      </c>
      <c r="C6" s="13" t="inlineStr">
        <is>
          <t>metin</t>
        </is>
      </c>
      <c r="D6" s="7" t="inlineStr">
        <is>
          <t>Rapor unvanı</t>
        </is>
      </c>
      <c r="E6" s="13" t="inlineStr">
        <is>
          <t>Varsayım</t>
        </is>
      </c>
      <c r="F6" s="72" t="n">
        <v>46023</v>
      </c>
      <c r="G6" s="72" t="n">
        <v>46245</v>
      </c>
    </row>
    <row r="7">
      <c r="A7" s="7" t="inlineStr">
        <is>
          <t>raporTarihi</t>
        </is>
      </c>
      <c r="B7" s="71" t="n">
        <v>46245</v>
      </c>
      <c r="C7" s="13" t="inlineStr">
        <is>
          <t>tarih</t>
        </is>
      </c>
      <c r="D7" s="7" t="inlineStr">
        <is>
          <t>Tek tarih kaynağı</t>
        </is>
      </c>
      <c r="E7" s="13" t="inlineStr">
        <is>
          <t>Varsayım</t>
        </is>
      </c>
      <c r="F7" s="72" t="n">
        <v>46023</v>
      </c>
      <c r="G7" s="72" t="n">
        <v>46245</v>
      </c>
    </row>
    <row r="8">
      <c r="A8" s="7" t="inlineStr">
        <is>
          <t>sfn_tolerans</t>
        </is>
      </c>
      <c r="B8" s="16" t="n">
        <v>1</v>
      </c>
      <c r="C8" s="13" t="inlineStr">
        <is>
          <t>₺</t>
        </is>
      </c>
      <c r="D8" s="7" t="inlineStr">
        <is>
          <t>Çapraz tutarlılık toleransı</t>
        </is>
      </c>
      <c r="E8" s="13" t="inlineStr">
        <is>
          <t>Varsayım</t>
        </is>
      </c>
      <c r="F8" s="72" t="n">
        <v>46023</v>
      </c>
      <c r="G8" s="72" t="n">
        <v>46245</v>
      </c>
    </row>
    <row r="9">
      <c r="A9" s="7" t="inlineStr">
        <is>
          <t>sfn_bilesimTolerans</t>
        </is>
      </c>
      <c r="B9" s="15" t="n">
        <v>0.01</v>
      </c>
      <c r="C9" s="13" t="inlineStr">
        <is>
          <t>oran</t>
        </is>
      </c>
      <c r="D9" s="7" t="inlineStr">
        <is>
          <t>Bileşim %100 toleransı</t>
        </is>
      </c>
      <c r="E9" s="13" t="inlineStr">
        <is>
          <t>Varsayım</t>
        </is>
      </c>
      <c r="F9" s="72" t="n">
        <v>46023</v>
      </c>
      <c r="G9" s="72" t="n">
        <v>46245</v>
      </c>
    </row>
    <row r="10">
      <c r="A10" s="7" t="inlineStr">
        <is>
          <t>sfn_hedefYuzde</t>
        </is>
      </c>
      <c r="B10" s="15" t="n">
        <v>1</v>
      </c>
      <c r="C10" s="13" t="inlineStr">
        <is>
          <t>oran</t>
        </is>
      </c>
      <c r="D10" s="7" t="inlineStr">
        <is>
          <t>Bileşim hedefi %100</t>
        </is>
      </c>
      <c r="E10" s="13" t="inlineStr">
        <is>
          <t>Varsayım</t>
        </is>
      </c>
      <c r="F10" s="72" t="n">
        <v>46023</v>
      </c>
      <c r="G10" s="72" t="n">
        <v>46245</v>
      </c>
    </row>
    <row r="11">
      <c r="A11" s="7" t="inlineStr">
        <is>
          <t>sfn_senaryoIyi</t>
        </is>
      </c>
      <c r="B11" s="15" t="n">
        <v>0.88</v>
      </c>
      <c r="C11" s="13" t="inlineStr">
        <is>
          <t>oran</t>
        </is>
      </c>
      <c r="D11" s="7" t="inlineStr">
        <is>
          <t>İyimser maliyet çarpanı</t>
        </is>
      </c>
      <c r="E11" s="13" t="inlineStr">
        <is>
          <t>Varsayım</t>
        </is>
      </c>
      <c r="F11" s="72" t="n">
        <v>46023</v>
      </c>
      <c r="G11" s="72" t="n">
        <v>46245</v>
      </c>
    </row>
    <row r="12">
      <c r="A12" s="7" t="inlineStr">
        <is>
          <t>sfn_senaryoKotu</t>
        </is>
      </c>
      <c r="B12" s="15" t="n">
        <v>1.22</v>
      </c>
      <c r="C12" s="13" t="inlineStr">
        <is>
          <t>oran</t>
        </is>
      </c>
      <c r="D12" s="7" t="inlineStr">
        <is>
          <t>Kötümser maliyet çarpanı</t>
        </is>
      </c>
      <c r="E12" s="13" t="inlineStr">
        <is>
          <t>Varsayım</t>
        </is>
      </c>
      <c r="F12" s="72" t="n">
        <v>46023</v>
      </c>
      <c r="G12" s="72" t="n">
        <v>46245</v>
      </c>
    </row>
    <row r="13">
      <c r="A13" s="7" t="inlineStr">
        <is>
          <t>sfn_tornadoYakit</t>
        </is>
      </c>
      <c r="B13" s="15" t="n">
        <v>0.12</v>
      </c>
      <c r="C13" s="13" t="inlineStr">
        <is>
          <t>oran</t>
        </is>
      </c>
      <c r="D13" s="7" t="inlineStr">
        <is>
          <t>Yakıt tornado şoku</t>
        </is>
      </c>
      <c r="E13" s="13" t="inlineStr">
        <is>
          <t>Varsayım</t>
        </is>
      </c>
      <c r="F13" s="72" t="n">
        <v>46023</v>
      </c>
      <c r="G13" s="72" t="n">
        <v>46245</v>
      </c>
    </row>
    <row r="14">
      <c r="A14" s="7" t="inlineStr">
        <is>
          <t>sfn_tornadoDonus</t>
        </is>
      </c>
      <c r="B14" s="15" t="n">
        <v>0.2</v>
      </c>
      <c r="C14" s="13" t="inlineStr">
        <is>
          <t>oran</t>
        </is>
      </c>
      <c r="D14" s="7" t="inlineStr">
        <is>
          <t>Dönüş tornado şoku</t>
        </is>
      </c>
      <c r="E14" s="13" t="inlineStr">
        <is>
          <t>Varsayım</t>
        </is>
      </c>
      <c r="F14" s="72" t="n">
        <v>46023</v>
      </c>
      <c r="G14" s="72" t="n">
        <v>46245</v>
      </c>
    </row>
    <row r="15">
      <c r="A15" s="7" t="inlineStr">
        <is>
          <t>sfn_tornadoKm</t>
        </is>
      </c>
      <c r="B15" s="15" t="n">
        <v>0.1</v>
      </c>
      <c r="C15" s="13" t="inlineStr">
        <is>
          <t>oran</t>
        </is>
      </c>
      <c r="D15" s="7" t="inlineStr">
        <is>
          <t>Km tornado şoku</t>
        </is>
      </c>
      <c r="E15" s="13" t="inlineStr">
        <is>
          <t>Varsayım</t>
        </is>
      </c>
      <c r="F15" s="72" t="n">
        <v>46023</v>
      </c>
      <c r="G15" s="72" t="n">
        <v>46245</v>
      </c>
    </row>
    <row r="16">
      <c r="A16" s="7" t="inlineStr">
        <is>
          <t>sfn_tahminAlt</t>
        </is>
      </c>
      <c r="B16" s="15" t="n">
        <v>0.9</v>
      </c>
      <c r="C16" s="13" t="inlineStr">
        <is>
          <t>oran</t>
        </is>
      </c>
      <c r="D16" s="7" t="inlineStr">
        <is>
          <t>Tahmin alt çarpan</t>
        </is>
      </c>
      <c r="E16" s="13" t="inlineStr">
        <is>
          <t>Varsayım</t>
        </is>
      </c>
      <c r="F16" s="72" t="n">
        <v>46023</v>
      </c>
      <c r="G16" s="72" t="n">
        <v>46245</v>
      </c>
    </row>
    <row r="17">
      <c r="A17" s="7" t="inlineStr">
        <is>
          <t>sfn_tahminUst</t>
        </is>
      </c>
      <c r="B17" s="15" t="n">
        <v>1.12</v>
      </c>
      <c r="C17" s="13" t="inlineStr">
        <is>
          <t>oran</t>
        </is>
      </c>
      <c r="D17" s="7" t="inlineStr">
        <is>
          <t>Tahmin üst çarpan</t>
        </is>
      </c>
      <c r="E17" s="13" t="inlineStr">
        <is>
          <t>Varsayım</t>
        </is>
      </c>
      <c r="F17" s="72" t="n">
        <v>46023</v>
      </c>
      <c r="G17" s="72" t="n">
        <v>46245</v>
      </c>
    </row>
    <row r="18">
      <c r="A18" s="7" t="inlineStr">
        <is>
          <t>sfn_yuzdelikOran</t>
        </is>
      </c>
      <c r="B18" s="15" t="n">
        <v>0.9</v>
      </c>
      <c r="C18" s="13" t="inlineStr">
        <is>
          <t>oran</t>
        </is>
      </c>
      <c r="D18" s="7" t="inlineStr">
        <is>
          <t>P90 oranı</t>
        </is>
      </c>
      <c r="E18" s="13" t="inlineStr">
        <is>
          <t>Varsayım</t>
        </is>
      </c>
      <c r="F18" s="72" t="n">
        <v>46023</v>
      </c>
      <c r="G18" s="72" t="n">
        <v>46245</v>
      </c>
    </row>
    <row r="19">
      <c r="A19" s="7" t="inlineStr">
        <is>
          <t>sfn_parmakIzi</t>
        </is>
      </c>
      <c r="B19" s="43" t="inlineStr">
        <is>
          <t>ff4a7dfb57639e60</t>
        </is>
      </c>
      <c r="C19" s="13" t="inlineStr">
        <is>
          <t>metin</t>
        </is>
      </c>
      <c r="D19" s="7" t="inlineStr">
        <is>
          <t>SHA kısaltması</t>
        </is>
      </c>
      <c r="E19" s="13" t="inlineStr">
        <is>
          <t>Sistem</t>
        </is>
      </c>
      <c r="F19" s="72" t="n">
        <v>46023</v>
      </c>
      <c r="G19" s="72" t="n">
        <v>46245</v>
      </c>
    </row>
    <row r="20">
      <c r="A20" s="7" t="inlineStr">
        <is>
          <t>sfn_girisBeklenen</t>
        </is>
      </c>
      <c r="B20" s="14" t="n">
        <v>13</v>
      </c>
      <c r="C20" s="13" t="inlineStr">
        <is>
          <t>adet</t>
        </is>
      </c>
      <c r="D20" s="7" t="inlineStr">
        <is>
          <t>Beklenen giriş alanı</t>
        </is>
      </c>
      <c r="E20" s="13" t="inlineStr">
        <is>
          <t>Varsayım</t>
        </is>
      </c>
      <c r="F20" s="72" t="n">
        <v>46023</v>
      </c>
      <c r="G20" s="72" t="n">
        <v>46245</v>
      </c>
    </row>
    <row r="21">
      <c r="A21" s="7" t="inlineStr">
        <is>
          <t>sfn_riskDusuk</t>
        </is>
      </c>
      <c r="B21" s="14" t="n">
        <v>25</v>
      </c>
      <c r="C21" s="13" t="inlineStr">
        <is>
          <t>puan</t>
        </is>
      </c>
      <c r="D21" s="7" t="inlineStr">
        <is>
          <t>Düşük risk</t>
        </is>
      </c>
      <c r="E21" s="13" t="inlineStr">
        <is>
          <t>Varsayım</t>
        </is>
      </c>
      <c r="F21" s="72" t="n">
        <v>46023</v>
      </c>
      <c r="G21" s="72" t="n">
        <v>46245</v>
      </c>
    </row>
    <row r="22">
      <c r="A22" s="7" t="inlineStr">
        <is>
          <t>sfn_riskOrta</t>
        </is>
      </c>
      <c r="B22" s="14" t="n">
        <v>55</v>
      </c>
      <c r="C22" s="13" t="inlineStr">
        <is>
          <t>puan</t>
        </is>
      </c>
      <c r="D22" s="7" t="inlineStr">
        <is>
          <t>Orta risk</t>
        </is>
      </c>
      <c r="E22" s="13" t="inlineStr">
        <is>
          <t>Varsayım</t>
        </is>
      </c>
      <c r="F22" s="72" t="n">
        <v>46023</v>
      </c>
      <c r="G22" s="72" t="n">
        <v>46245</v>
      </c>
    </row>
    <row r="23">
      <c r="A23" s="7" t="inlineStr">
        <is>
          <t>sfn_riskYuksek</t>
        </is>
      </c>
      <c r="B23" s="14" t="n">
        <v>85</v>
      </c>
      <c r="C23" s="13" t="inlineStr">
        <is>
          <t>puan</t>
        </is>
      </c>
      <c r="D23" s="7" t="inlineStr">
        <is>
          <t>Yüksek risk</t>
        </is>
      </c>
      <c r="E23" s="13" t="inlineStr">
        <is>
          <t>Varsayım</t>
        </is>
      </c>
      <c r="F23" s="72" t="n">
        <v>46023</v>
      </c>
      <c r="G23" s="72" t="n">
        <v>46245</v>
      </c>
    </row>
    <row r="24">
      <c r="A24" s="7" t="inlineStr">
        <is>
          <t>sfn_yuvarMax</t>
        </is>
      </c>
      <c r="B24" s="14" t="n">
        <v>2</v>
      </c>
      <c r="C24" s="13" t="inlineStr">
        <is>
          <t>adet</t>
        </is>
      </c>
      <c r="D24" s="7" t="inlineStr">
        <is>
          <t>Yuvarlama ondalık tavan</t>
        </is>
      </c>
      <c r="E24" s="13" t="inlineStr">
        <is>
          <t>Varsayım</t>
        </is>
      </c>
      <c r="F24" s="72" t="n">
        <v>46023</v>
      </c>
      <c r="G24" s="72" t="n">
        <v>46245</v>
      </c>
    </row>
    <row r="25">
      <c r="A25" s="7" t="inlineStr">
        <is>
          <t>sfn_bazCarpan</t>
        </is>
      </c>
      <c r="B25" s="15" t="n">
        <v>1</v>
      </c>
      <c r="C25" s="13" t="inlineStr">
        <is>
          <t>oran</t>
        </is>
      </c>
      <c r="D25" s="7" t="inlineStr">
        <is>
          <t>Baz çarpan (1)</t>
        </is>
      </c>
      <c r="E25" s="13" t="inlineStr">
        <is>
          <t>Varsayım</t>
        </is>
      </c>
      <c r="F25" s="72" t="n">
        <v>46023</v>
      </c>
      <c r="G25" s="72" t="n">
        <v>46245</v>
      </c>
    </row>
    <row r="26">
      <c r="A26" s="7" t="inlineStr">
        <is>
          <t>sfn_sifirCarpan</t>
        </is>
      </c>
      <c r="B26" s="15" t="n">
        <v>0</v>
      </c>
      <c r="C26" s="13" t="inlineStr">
        <is>
          <t>oran</t>
        </is>
      </c>
      <c r="D26" s="7" t="inlineStr">
        <is>
          <t>Sıfır çarpan</t>
        </is>
      </c>
      <c r="E26" s="13" t="inlineStr">
        <is>
          <t>Varsayım</t>
        </is>
      </c>
      <c r="F26" s="72" t="n">
        <v>46023</v>
      </c>
      <c r="G26" s="72" t="n">
        <v>46245</v>
      </c>
    </row>
    <row r="27">
      <c r="A27" s="7" t="inlineStr">
        <is>
          <t>sfn_siraBir</t>
        </is>
      </c>
      <c r="B27" s="15" t="n">
        <v>1</v>
      </c>
      <c r="C27" s="13" t="inlineStr">
        <is>
          <t>oran</t>
        </is>
      </c>
      <c r="D27" s="7" t="inlineStr">
        <is>
          <t>Tornado yardımcı</t>
        </is>
      </c>
      <c r="E27" s="13" t="inlineStr">
        <is>
          <t>Varsayım</t>
        </is>
      </c>
      <c r="F27" s="72" t="n">
        <v>46023</v>
      </c>
      <c r="G27" s="72" t="n">
        <v>46245</v>
      </c>
    </row>
    <row r="28">
      <c r="A28" s="7" t="inlineStr">
        <is>
          <t>sfn_npvDikkat</t>
        </is>
      </c>
      <c r="B28" s="16" t="n">
        <v>100000</v>
      </c>
      <c r="C28" s="13" t="inlineStr">
        <is>
          <t>₺</t>
        </is>
      </c>
      <c r="D28" s="7" t="inlineStr">
        <is>
          <t>NPV dikkat eşiği</t>
        </is>
      </c>
      <c r="E28" s="13" t="inlineStr">
        <is>
          <t>Varsayım</t>
        </is>
      </c>
      <c r="F28" s="72" t="n">
        <v>46023</v>
      </c>
      <c r="G28" s="72" t="n">
        <v>46245</v>
      </c>
    </row>
    <row r="29">
      <c r="A29" s="7" t="inlineStr">
        <is>
          <t>sfn_gidisDonus</t>
        </is>
      </c>
      <c r="B29" s="68" t="n">
        <v>2</v>
      </c>
      <c r="C29" s="13" t="inlineStr">
        <is>
          <t>kat</t>
        </is>
      </c>
      <c r="D29" s="7" t="inlineStr">
        <is>
          <t>Gidiş-dönüş çarpanı</t>
        </is>
      </c>
      <c r="E29" s="13" t="inlineStr">
        <is>
          <t>Varsayım</t>
        </is>
      </c>
      <c r="F29" s="72" t="n">
        <v>46023</v>
      </c>
      <c r="G29" s="72" t="n">
        <v>46245</v>
      </c>
    </row>
    <row r="30">
      <c r="A30" s="7" t="inlineStr">
        <is>
          <t>sfn_kmSaat</t>
        </is>
      </c>
      <c r="B30" s="68" t="n">
        <v>60</v>
      </c>
      <c r="C30" s="13" t="inlineStr">
        <is>
          <t>km/saat</t>
        </is>
      </c>
      <c r="D30" s="7" t="inlineStr">
        <is>
          <t>Ortalama hız</t>
        </is>
      </c>
      <c r="E30" s="13" t="inlineStr">
        <is>
          <t>Varsayım</t>
        </is>
      </c>
      <c r="F30" s="72" t="n">
        <v>46023</v>
      </c>
      <c r="G30" s="72" t="n">
        <v>46245</v>
      </c>
    </row>
    <row r="31">
      <c r="A31" s="7" t="inlineStr">
        <is>
          <t>sfn_donusCarpan</t>
        </is>
      </c>
      <c r="B31" s="15" t="n">
        <v>0.85</v>
      </c>
      <c r="C31" s="13" t="inlineStr">
        <is>
          <t>oran</t>
        </is>
      </c>
      <c r="D31" s="7" t="inlineStr">
        <is>
          <t>Dönüş katkı verim</t>
        </is>
      </c>
      <c r="E31" s="13" t="inlineStr">
        <is>
          <t>Varsayım</t>
        </is>
      </c>
      <c r="F31" s="72" t="n">
        <v>46023</v>
      </c>
      <c r="G31" s="72" t="n">
        <v>46245</v>
      </c>
    </row>
    <row r="32">
      <c r="A32" s="7" t="inlineStr">
        <is>
          <t>sfn_varyansFiyatPay</t>
        </is>
      </c>
      <c r="B32" s="15" t="n">
        <v>0.4</v>
      </c>
      <c r="C32" s="13" t="inlineStr">
        <is>
          <t>oran</t>
        </is>
      </c>
      <c r="D32" s="7" t="inlineStr">
        <is>
          <t>Varyans fiyat payı</t>
        </is>
      </c>
      <c r="E32" s="13" t="inlineStr">
        <is>
          <t>Varsayım</t>
        </is>
      </c>
      <c r="F32" s="72" t="n">
        <v>46023</v>
      </c>
      <c r="G32" s="72" t="n">
        <v>46245</v>
      </c>
    </row>
    <row r="33">
      <c r="A33" s="7" t="inlineStr">
        <is>
          <t>sfn_varyansMiktarPay</t>
        </is>
      </c>
      <c r="B33" s="15" t="n">
        <v>0.35</v>
      </c>
      <c r="C33" s="13" t="inlineStr">
        <is>
          <t>oran</t>
        </is>
      </c>
      <c r="D33" s="7" t="inlineStr">
        <is>
          <t>Varyans miktar payı</t>
        </is>
      </c>
      <c r="E33" s="13" t="inlineStr">
        <is>
          <t>Varsayım</t>
        </is>
      </c>
      <c r="F33" s="72" t="n">
        <v>46023</v>
      </c>
      <c r="G33" s="72" t="n">
        <v>46245</v>
      </c>
    </row>
    <row r="34">
      <c r="A34" s="7" t="inlineStr">
        <is>
          <t>sfn_varyansKarisimPay</t>
        </is>
      </c>
      <c r="B34" s="15" t="n">
        <v>0.25</v>
      </c>
      <c r="C34" s="13" t="inlineStr">
        <is>
          <t>oran</t>
        </is>
      </c>
      <c r="D34" s="7" t="inlineStr">
        <is>
          <t>Varyans karışım payı</t>
        </is>
      </c>
      <c r="E34" s="13" t="inlineStr">
        <is>
          <t>Varsayım</t>
        </is>
      </c>
      <c r="F34" s="72" t="n">
        <v>46023</v>
      </c>
      <c r="G34" s="72" t="n">
        <v>46245</v>
      </c>
    </row>
    <row r="35">
      <c r="A35" s="7" t="inlineStr">
        <is>
          <t>sfn_senaryoIyiIrr</t>
        </is>
      </c>
      <c r="B35" s="15" t="n">
        <v>1.15</v>
      </c>
      <c r="C35" s="13" t="inlineStr">
        <is>
          <t>oran</t>
        </is>
      </c>
      <c r="D35" s="7" t="inlineStr">
        <is>
          <t>İyimser IRR çarpan</t>
        </is>
      </c>
      <c r="E35" s="13" t="inlineStr">
        <is>
          <t>Varsayım</t>
        </is>
      </c>
      <c r="F35" s="72" t="n">
        <v>46023</v>
      </c>
      <c r="G35" s="72" t="n">
        <v>46245</v>
      </c>
    </row>
    <row r="36">
      <c r="A36" s="7" t="inlineStr">
        <is>
          <t>sfn_senaryoKotuIrr</t>
        </is>
      </c>
      <c r="B36" s="15" t="n">
        <v>0.7</v>
      </c>
      <c r="C36" s="13" t="inlineStr">
        <is>
          <t>oran</t>
        </is>
      </c>
      <c r="D36" s="7" t="inlineStr">
        <is>
          <t>Kötümser IRR çarpan</t>
        </is>
      </c>
      <c r="E36" s="13" t="inlineStr">
        <is>
          <t>Varsayım</t>
        </is>
      </c>
      <c r="F36" s="72" t="n">
        <v>46023</v>
      </c>
      <c r="G36" s="72" t="n">
        <v>46245</v>
      </c>
    </row>
    <row r="37"/>
    <row r="38"/>
    <row r="39">
      <c r="D39" s="5" t="inlineStr">
        <is>
          <t>Birim dönüşüm tablosu (R02)</t>
        </is>
      </c>
    </row>
    <row r="40"/>
    <row r="41" ht="30" customHeight="1">
      <c r="A41" s="20" t="inlineStr">
        <is>
          <t>donusum_id</t>
        </is>
      </c>
      <c r="B41" s="20" t="inlineStr">
        <is>
          <t>kaynak_birim</t>
        </is>
      </c>
      <c r="C41" s="20" t="inlineStr">
        <is>
          <t>hedef_birim</t>
        </is>
      </c>
      <c r="D41" s="20" t="inlineStr">
        <is>
          <t>katsayi</t>
        </is>
      </c>
      <c r="E41" s="20" t="inlineStr">
        <is>
          <t>aciklama</t>
        </is>
      </c>
      <c r="F41" s="20" t="inlineStr">
        <is>
          <t>kaynak</t>
        </is>
      </c>
      <c r="G41" s="20" t="inlineStr">
        <is>
          <t>kontrol</t>
        </is>
      </c>
    </row>
    <row r="42">
      <c r="A42" s="12" t="inlineStr">
        <is>
          <t>L100_to_Lkm</t>
        </is>
      </c>
      <c r="B42" s="12" t="inlineStr">
        <is>
          <t>L/100km</t>
        </is>
      </c>
      <c r="C42" s="12" t="inlineStr">
        <is>
          <t>L/km</t>
        </is>
      </c>
      <c r="D42" s="66" t="n">
        <v>0.01</v>
      </c>
      <c r="E42" s="12" t="inlineStr">
        <is>
          <t>Tüketim litresi/km</t>
        </is>
      </c>
      <c r="F42" s="12" t="inlineStr">
        <is>
          <t>Araç kartı</t>
        </is>
      </c>
      <c r="G42" s="22">
        <f>IF($A42="","",IF(OR($D42="",$D42&lt;=0),"HATALI","TAM"))</f>
        <v/>
      </c>
    </row>
    <row r="43">
      <c r="A43" s="12" t="inlineStr">
        <is>
          <t>ton_to_kg</t>
        </is>
      </c>
      <c r="B43" s="12" t="inlineStr">
        <is>
          <t>ton</t>
        </is>
      </c>
      <c r="C43" s="12" t="inlineStr">
        <is>
          <t>kg</t>
        </is>
      </c>
      <c r="D43" s="14" t="n">
        <v>1000</v>
      </c>
      <c r="E43" s="12" t="inlineStr">
        <is>
          <t>Ton → kg</t>
        </is>
      </c>
      <c r="F43" s="12" t="inlineStr">
        <is>
          <t>SI</t>
        </is>
      </c>
      <c r="G43" s="22">
        <f>IF($A43="","",IF(OR($D43="",$D43&lt;=0),"HATALI","TAM"))</f>
        <v/>
      </c>
    </row>
    <row r="44">
      <c r="A44" s="12" t="inlineStr">
        <is>
          <t>saat_to_dk</t>
        </is>
      </c>
      <c r="B44" s="12" t="inlineStr">
        <is>
          <t>saat</t>
        </is>
      </c>
      <c r="C44" s="12" t="inlineStr">
        <is>
          <t>dakika</t>
        </is>
      </c>
      <c r="D44" s="14" t="n">
        <v>60</v>
      </c>
      <c r="E44" s="12" t="inlineStr">
        <is>
          <t>Saat → dakika</t>
        </is>
      </c>
      <c r="F44" s="12" t="inlineStr">
        <is>
          <t>SI</t>
        </is>
      </c>
      <c r="G44" s="22">
        <f>IF($A44="","",IF(OR($D44="",$D44&lt;=0),"HATALI","TAM"))</f>
        <v/>
      </c>
    </row>
    <row r="45">
      <c r="A45" s="12" t="inlineStr">
        <is>
          <t>km_to_m</t>
        </is>
      </c>
      <c r="B45" s="12" t="inlineStr">
        <is>
          <t>km</t>
        </is>
      </c>
      <c r="C45" s="12" t="inlineStr">
        <is>
          <t>m</t>
        </is>
      </c>
      <c r="D45" s="14" t="n">
        <v>1000</v>
      </c>
      <c r="E45" s="12" t="inlineStr">
        <is>
          <t>Km → metre</t>
        </is>
      </c>
      <c r="F45" s="12" t="inlineStr">
        <is>
          <t>SI</t>
        </is>
      </c>
      <c r="G45" s="22">
        <f>IF($A45="","",IF(OR($D45="",$D45&lt;=0),"HATALI","TAM"))</f>
        <v/>
      </c>
    </row>
    <row r="46">
      <c r="G46" s="22">
        <f>IF($A46="","",IF(OR($D46="",$D46&lt;=0),"HATALI","TAM"))</f>
        <v/>
      </c>
    </row>
    <row r="47">
      <c r="G47" s="22">
        <f>IF($A47="","",IF(OR($D47="",$D47&lt;=0),"HATALI","TAM"))</f>
        <v/>
      </c>
    </row>
    <row r="48">
      <c r="G48" s="22">
        <f>IF($A48="","",IF(OR($D48="",$D48&lt;=0),"HATALI","TAM"))</f>
        <v/>
      </c>
    </row>
    <row r="49">
      <c r="G49" s="22">
        <f>IF($A49="","",IF(OR($D49="",$D49&lt;=0),"HATALI","TAM"))</f>
        <v/>
      </c>
    </row>
    <row r="50">
      <c r="G50" s="22">
        <f>IF($A50="","",IF(OR($D50="",$D50&lt;=0),"HATALI","TAM"))</f>
        <v/>
      </c>
    </row>
    <row r="51">
      <c r="G51" s="22">
        <f>IF($A51="","",IF(OR($D51="",$D51&lt;=0),"HATALI","TAM"))</f>
        <v/>
      </c>
    </row>
    <row r="52">
      <c r="G52" s="22">
        <f>IF($A52="","",IF(OR($D52="",$D52&lt;=0),"HATALI","TAM"))</f>
        <v/>
      </c>
    </row>
    <row r="53">
      <c r="G53" s="22">
        <f>IF($A53="","",IF(OR($D53="",$D53&lt;=0),"HATALI","TAM"))</f>
        <v/>
      </c>
    </row>
    <row r="54">
      <c r="G54" s="22">
        <f>IF($A54="","",IF(OR($D54="",$D54&lt;=0),"HATALI","TAM"))</f>
        <v/>
      </c>
    </row>
    <row r="55">
      <c r="G55" s="22">
        <f>IF($A55="","",IF(OR($D55="",$D55&lt;=0),"HATALI","TAM"))</f>
        <v/>
      </c>
    </row>
    <row r="56">
      <c r="G56" s="22">
        <f>IF($A56="","",IF(OR($D56="",$D56&lt;=0),"HATALI","TAM"))</f>
        <v/>
      </c>
    </row>
    <row r="57">
      <c r="G57" s="22">
        <f>IF($A57="","",IF(OR($D57="",$D57&lt;=0),"HATALI","TAM"))</f>
        <v/>
      </c>
    </row>
    <row r="58">
      <c r="G58" s="22">
        <f>IF($A58="","",IF(OR($D58="",$D58&lt;=0),"HATALI","TAM"))</f>
        <v/>
      </c>
    </row>
    <row r="59">
      <c r="G59" s="22">
        <f>IF($A59="","",IF(OR($D59="",$D59&lt;=0),"HATALI","TAM"))</f>
        <v/>
      </c>
    </row>
    <row r="60">
      <c r="G60" s="22">
        <f>IF($A60="","",IF(OR($D60="",$D60&lt;=0),"HATALI","TAM"))</f>
        <v/>
      </c>
    </row>
    <row r="61">
      <c r="G61" s="22">
        <f>IF($A61="","",IF(OR($D61="",$D61&lt;=0),"HATALI","TAM"))</f>
        <v/>
      </c>
    </row>
    <row r="62">
      <c r="G62" s="22">
        <f>IF($A62="","",IF(OR($D62="",$D62&lt;=0),"HATALI","TAM"))</f>
        <v/>
      </c>
    </row>
    <row r="63">
      <c r="G63" s="22">
        <f>IF($A63="","",IF(OR($D63="",$D63&lt;=0),"HATALI","TAM"))</f>
        <v/>
      </c>
    </row>
    <row r="64">
      <c r="G64" s="22">
        <f>IF($A64="","",IF(OR($D64="",$D64&lt;=0),"HATALI","TAM"))</f>
        <v/>
      </c>
    </row>
    <row r="65">
      <c r="G65" s="22">
        <f>IF($A65="","",IF(OR($D65="",$D65&lt;=0),"HATALI","TAM"))</f>
        <v/>
      </c>
    </row>
    <row r="66">
      <c r="G66" s="22">
        <f>IF($A66="","",IF(OR($D66="",$D66&lt;=0),"HATALI","TAM"))</f>
        <v/>
      </c>
    </row>
    <row r="67">
      <c r="G67" s="22">
        <f>IF($A67="","",IF(OR($D67="",$D67&lt;=0),"HATALI","TAM"))</f>
        <v/>
      </c>
    </row>
    <row r="68">
      <c r="G68" s="22">
        <f>IF($A68="","",IF(OR($D68="",$D68&lt;=0),"HATALI","TAM"))</f>
        <v/>
      </c>
    </row>
    <row r="69">
      <c r="G69" s="22">
        <f>IF($A69="","",IF(OR($D69="",$D69&lt;=0),"HATALI","TAM"))</f>
        <v/>
      </c>
    </row>
    <row r="70">
      <c r="G70" s="22">
        <f>IF($A70="","",IF(OR($D70="",$D70&lt;=0),"HATALI","TAM"))</f>
        <v/>
      </c>
    </row>
    <row r="71">
      <c r="G71" s="22">
        <f>IF($A71="","",IF(OR($D71="",$D71&lt;=0),"HATALI","TAM"))</f>
        <v/>
      </c>
    </row>
    <row r="72">
      <c r="G72" s="22">
        <f>IF($A72="","",IF(OR($D72="",$D72&lt;=0),"HATALI","TAM"))</f>
        <v/>
      </c>
    </row>
    <row r="73">
      <c r="G73" s="22">
        <f>IF($A73="","",IF(OR($D73="",$D73&lt;=0),"HATALI","TAM"))</f>
        <v/>
      </c>
    </row>
    <row r="74">
      <c r="G74" s="22">
        <f>IF($A74="","",IF(OR($D74="",$D74&lt;=0),"HATALI","TAM"))</f>
        <v/>
      </c>
    </row>
    <row r="75">
      <c r="G75" s="22">
        <f>IF($A75="","",IF(OR($D75="",$D75&lt;=0),"HATALI","TAM"))</f>
        <v/>
      </c>
    </row>
    <row r="76">
      <c r="G76" s="22">
        <f>IF($A76="","",IF(OR($D76="",$D76&lt;=0),"HATALI","TAM"))</f>
        <v/>
      </c>
    </row>
    <row r="77">
      <c r="G77" s="22">
        <f>IF($A77="","",IF(OR($D77="",$D77&lt;=0),"HATALI","TAM"))</f>
        <v/>
      </c>
    </row>
    <row r="78">
      <c r="G78" s="22">
        <f>IF($A78="","",IF(OR($D78="",$D78&lt;=0),"HATALI","TAM"))</f>
        <v/>
      </c>
    </row>
    <row r="79">
      <c r="G79" s="22">
        <f>IF($A79="","",IF(OR($D79="",$D79&lt;=0),"HATALI","TAM"))</f>
        <v/>
      </c>
    </row>
    <row r="80">
      <c r="G80" s="22">
        <f>IF($A80="","",IF(OR($D80="",$D80&lt;=0),"HATALI","TAM"))</f>
        <v/>
      </c>
    </row>
    <row r="81">
      <c r="G81" s="22">
        <f>IF($A81="","",IF(OR($D81="",$D81&lt;=0),"HATALI","TAM"))</f>
        <v/>
      </c>
    </row>
    <row r="82">
      <c r="G82" s="22">
        <f>IF($A82="","",IF(OR($D82="",$D82&lt;=0),"HATALI","TAM"))</f>
        <v/>
      </c>
    </row>
    <row r="83">
      <c r="G83" s="22">
        <f>IF($A83="","",IF(OR($D83="",$D83&lt;=0),"HATALI","TAM"))</f>
        <v/>
      </c>
    </row>
    <row r="84">
      <c r="G84" s="22">
        <f>IF($A84="","",IF(OR($D84="",$D84&lt;=0),"HATALI","TAM"))</f>
        <v/>
      </c>
    </row>
    <row r="85">
      <c r="G85" s="22">
        <f>IF($A85="","",IF(OR($D85="",$D85&lt;=0),"HATALI","TAM"))</f>
        <v/>
      </c>
    </row>
    <row r="86">
      <c r="G86" s="22">
        <f>IF($A86="","",IF(OR($D86="",$D86&lt;=0),"HATALI","TAM"))</f>
        <v/>
      </c>
    </row>
    <row r="87">
      <c r="G87" s="22">
        <f>IF($A87="","",IF(OR($D87="",$D87&lt;=0),"HATALI","TAM"))</f>
        <v/>
      </c>
    </row>
    <row r="88">
      <c r="G88" s="22">
        <f>IF($A88="","",IF(OR($D88="",$D88&lt;=0),"HATALI","TAM"))</f>
        <v/>
      </c>
    </row>
    <row r="89">
      <c r="G89" s="22">
        <f>IF($A89="","",IF(OR($D89="",$D89&lt;=0),"HATALI","TAM"))</f>
        <v/>
      </c>
    </row>
    <row r="90">
      <c r="G90" s="22">
        <f>IF($A90="","",IF(OR($D90="",$D90&lt;=0),"HATALI","TAM"))</f>
        <v/>
      </c>
    </row>
    <row r="91">
      <c r="G91" s="22">
        <f>IF($A91="","",IF(OR($D91="",$D91&lt;=0),"HATALI","TAM"))</f>
        <v/>
      </c>
    </row>
    <row r="92">
      <c r="G92" s="22">
        <f>IF($A92="","",IF(OR($D92="",$D92&lt;=0),"HATALI","TAM"))</f>
        <v/>
      </c>
    </row>
    <row r="93">
      <c r="G93" s="22">
        <f>IF($A93="","",IF(OR($D93="",$D93&lt;=0),"HATALI","TAM"))</f>
        <v/>
      </c>
    </row>
    <row r="94">
      <c r="G94" s="22">
        <f>IF($A94="","",IF(OR($D94="",$D94&lt;=0),"HATALI","TAM"))</f>
        <v/>
      </c>
    </row>
    <row r="95">
      <c r="G95" s="22">
        <f>IF($A95="","",IF(OR($D95="",$D95&lt;=0),"HATALI","TAM"))</f>
        <v/>
      </c>
    </row>
    <row r="96">
      <c r="G96" s="22">
        <f>IF($A96="","",IF(OR($D96="",$D96&lt;=0),"HATALI","TAM"))</f>
        <v/>
      </c>
    </row>
    <row r="97">
      <c r="G97" s="22">
        <f>IF($A97="","",IF(OR($D97="",$D97&lt;=0),"HATALI","TAM"))</f>
        <v/>
      </c>
    </row>
    <row r="98">
      <c r="G98" s="22">
        <f>IF($A98="","",IF(OR($D98="",$D98&lt;=0),"HATALI","TAM"))</f>
        <v/>
      </c>
    </row>
    <row r="99">
      <c r="G99" s="22">
        <f>IF($A99="","",IF(OR($D99="",$D99&lt;=0),"HATALI","TAM"))</f>
        <v/>
      </c>
    </row>
    <row r="100">
      <c r="G100" s="22">
        <f>IF($A100="","",IF(OR($D100="",$D100&lt;=0),"HATALI","TAM"))</f>
        <v/>
      </c>
    </row>
    <row r="101">
      <c r="G101" s="22">
        <f>IF($A101="","",IF(OR($D101="",$D101&lt;=0),"HATALI","TAM"))</f>
        <v/>
      </c>
    </row>
    <row r="102">
      <c r="G102" s="22">
        <f>IF($A102="","",IF(OR($D102="",$D102&lt;=0),"HATALI","TAM"))</f>
        <v/>
      </c>
    </row>
    <row r="103">
      <c r="G103" s="22">
        <f>IF($A103="","",IF(OR($D103="",$D103&lt;=0),"HATALI","TAM"))</f>
        <v/>
      </c>
    </row>
    <row r="104">
      <c r="G104" s="22">
        <f>IF($A104="","",IF(OR($D104="",$D104&lt;=0),"HATALI","TAM"))</f>
        <v/>
      </c>
    </row>
    <row r="105">
      <c r="G105" s="22">
        <f>IF($A105="","",IF(OR($D105="",$D105&lt;=0),"HATALI","TAM"))</f>
        <v/>
      </c>
    </row>
    <row r="106">
      <c r="G106" s="22">
        <f>IF($A106="","",IF(OR($D106="",$D106&lt;=0),"HATALI","TAM"))</f>
        <v/>
      </c>
    </row>
    <row r="107">
      <c r="G107" s="22">
        <f>IF($A107="","",IF(OR($D107="",$D107&lt;=0),"HATALI","TAM"))</f>
        <v/>
      </c>
    </row>
    <row r="108">
      <c r="G108" s="22">
        <f>IF($A108="","",IF(OR($D108="",$D108&lt;=0),"HATALI","TAM"))</f>
        <v/>
      </c>
    </row>
    <row r="109">
      <c r="G109" s="22">
        <f>IF($A109="","",IF(OR($D109="",$D109&lt;=0),"HATALI","TAM"))</f>
        <v/>
      </c>
    </row>
    <row r="110">
      <c r="G110" s="22">
        <f>IF($A110="","",IF(OR($D110="",$D110&lt;=0),"HATALI","TAM"))</f>
        <v/>
      </c>
    </row>
    <row r="111">
      <c r="G111" s="22">
        <f>IF($A111="","",IF(OR($D111="",$D111&lt;=0),"HATALI","TAM"))</f>
        <v/>
      </c>
    </row>
    <row r="112">
      <c r="G112" s="22">
        <f>IF($A112="","",IF(OR($D112="",$D112&lt;=0),"HATALI","TAM"))</f>
        <v/>
      </c>
    </row>
    <row r="113">
      <c r="G113" s="22">
        <f>IF($A113="","",IF(OR($D113="",$D113&lt;=0),"HATALI","TAM"))</f>
        <v/>
      </c>
    </row>
    <row r="114">
      <c r="G114" s="22">
        <f>IF($A114="","",IF(OR($D114="",$D114&lt;=0),"HATALI","TAM"))</f>
        <v/>
      </c>
    </row>
    <row r="115">
      <c r="G115" s="22">
        <f>IF($A115="","",IF(OR($D115="",$D115&lt;=0),"HATALI","TAM"))</f>
        <v/>
      </c>
    </row>
    <row r="116">
      <c r="G116" s="22">
        <f>IF($A116="","",IF(OR($D116="",$D116&lt;=0),"HATALI","TAM"))</f>
        <v/>
      </c>
    </row>
    <row r="117">
      <c r="G117" s="22">
        <f>IF($A117="","",IF(OR($D117="",$D117&lt;=0),"HATALI","TAM"))</f>
        <v/>
      </c>
    </row>
    <row r="118">
      <c r="G118" s="22">
        <f>IF($A118="","",IF(OR($D118="",$D118&lt;=0),"HATALI","TAM"))</f>
        <v/>
      </c>
    </row>
    <row r="119">
      <c r="G119" s="22">
        <f>IF($A119="","",IF(OR($D119="",$D119&lt;=0),"HATALI","TAM"))</f>
        <v/>
      </c>
    </row>
    <row r="120">
      <c r="G120" s="22">
        <f>IF($A120="","",IF(OR($D120="",$D120&lt;=0),"HATALI","TAM"))</f>
        <v/>
      </c>
    </row>
    <row r="121">
      <c r="G121" s="22">
        <f>IF($A121="","",IF(OR($D121="",$D121&lt;=0),"HATALI","TAM"))</f>
        <v/>
      </c>
    </row>
    <row r="122">
      <c r="G122" s="22">
        <f>IF($A122="","",IF(OR($D122="",$D122&lt;=0),"HATALI","TAM"))</f>
        <v/>
      </c>
    </row>
    <row r="123">
      <c r="G123" s="22">
        <f>IF($A123="","",IF(OR($D123="",$D123&lt;=0),"HATALI","TAM"))</f>
        <v/>
      </c>
    </row>
    <row r="124">
      <c r="G124" s="22">
        <f>IF($A124="","",IF(OR($D124="",$D124&lt;=0),"HATALI","TAM"))</f>
        <v/>
      </c>
    </row>
    <row r="125">
      <c r="G125" s="22">
        <f>IF($A125="","",IF(OR($D125="",$D125&lt;=0),"HATALI","TAM"))</f>
        <v/>
      </c>
    </row>
    <row r="126">
      <c r="G126" s="22">
        <f>IF($A126="","",IF(OR($D126="",$D126&lt;=0),"HATALI","TAM"))</f>
        <v/>
      </c>
    </row>
    <row r="127">
      <c r="G127" s="22">
        <f>IF($A127="","",IF(OR($D127="",$D127&lt;=0),"HATALI","TAM"))</f>
        <v/>
      </c>
    </row>
    <row r="128">
      <c r="G128" s="22">
        <f>IF($A128="","",IF(OR($D128="",$D128&lt;=0),"HATALI","TAM"))</f>
        <v/>
      </c>
    </row>
    <row r="129">
      <c r="G129" s="22">
        <f>IF($A129="","",IF(OR($D129="",$D129&lt;=0),"HATALI","TAM"))</f>
        <v/>
      </c>
    </row>
    <row r="130">
      <c r="G130" s="22">
        <f>IF($A130="","",IF(OR($D130="",$D130&lt;=0),"HATALI","TAM"))</f>
        <v/>
      </c>
    </row>
    <row r="131">
      <c r="G131" s="22">
        <f>IF($A131="","",IF(OR($D131="",$D131&lt;=0),"HATALI","TAM"))</f>
        <v/>
      </c>
    </row>
    <row r="132">
      <c r="G132" s="22">
        <f>IF($A132="","",IF(OR($D132="",$D132&lt;=0),"HATALI","TAM"))</f>
        <v/>
      </c>
    </row>
    <row r="133">
      <c r="G133" s="22">
        <f>IF($A133="","",IF(OR($D133="",$D133&lt;=0),"HATALI","TAM"))</f>
        <v/>
      </c>
    </row>
    <row r="134">
      <c r="G134" s="22">
        <f>IF($A134="","",IF(OR($D134="",$D134&lt;=0),"HATALI","TAM"))</f>
        <v/>
      </c>
    </row>
    <row r="135">
      <c r="G135" s="22">
        <f>IF($A135="","",IF(OR($D135="",$D135&lt;=0),"HATALI","TAM"))</f>
        <v/>
      </c>
    </row>
    <row r="136">
      <c r="G136" s="22">
        <f>IF($A136="","",IF(OR($D136="",$D136&lt;=0),"HATALI","TAM"))</f>
        <v/>
      </c>
    </row>
    <row r="137">
      <c r="G137" s="22">
        <f>IF($A137="","",IF(OR($D137="",$D137&lt;=0),"HATALI","TAM"))</f>
        <v/>
      </c>
    </row>
    <row r="138">
      <c r="G138" s="22">
        <f>IF($A138="","",IF(OR($D138="",$D138&lt;=0),"HATALI","TAM"))</f>
        <v/>
      </c>
    </row>
    <row r="139">
      <c r="G139" s="22">
        <f>IF($A139="","",IF(OR($D139="",$D139&lt;=0),"HATALI","TAM"))</f>
        <v/>
      </c>
    </row>
    <row r="140">
      <c r="G140" s="22">
        <f>IF($A140="","",IF(OR($D140="",$D140&lt;=0),"HATALI","TAM"))</f>
        <v/>
      </c>
    </row>
    <row r="141">
      <c r="G141" s="22">
        <f>IF($A141="","",IF(OR($D141="",$D141&lt;=0),"HATALI","TAM"))</f>
        <v/>
      </c>
    </row>
    <row r="142">
      <c r="G142" s="22">
        <f>IF($A142="","",IF(OR($D142="",$D142&lt;=0),"HATALI","TAM"))</f>
        <v/>
      </c>
    </row>
    <row r="143">
      <c r="G143" s="22">
        <f>IF($A143="","",IF(OR($D143="",$D143&lt;=0),"HATALI","TAM"))</f>
        <v/>
      </c>
    </row>
    <row r="144">
      <c r="G144" s="22">
        <f>IF($A144="","",IF(OR($D144="",$D144&lt;=0),"HATALI","TAM"))</f>
        <v/>
      </c>
    </row>
    <row r="145">
      <c r="G145" s="22">
        <f>IF($A145="","",IF(OR($D145="",$D145&lt;=0),"HATALI","TAM"))</f>
        <v/>
      </c>
    </row>
    <row r="146">
      <c r="G146" s="22">
        <f>IF($A146="","",IF(OR($D146="",$D146&lt;=0),"HATALI","TAM"))</f>
        <v/>
      </c>
    </row>
    <row r="147">
      <c r="G147" s="22">
        <f>IF($A147="","",IF(OR($D147="",$D147&lt;=0),"HATALI","TAM"))</f>
        <v/>
      </c>
    </row>
    <row r="148">
      <c r="G148" s="22">
        <f>IF($A148="","",IF(OR($D148="",$D148&lt;=0),"HATALI","TAM"))</f>
        <v/>
      </c>
    </row>
    <row r="149">
      <c r="G149" s="22">
        <f>IF($A149="","",IF(OR($D149="",$D149&lt;=0),"HATALI","TAM"))</f>
        <v/>
      </c>
    </row>
    <row r="150">
      <c r="G150" s="22">
        <f>IF($A150="","",IF(OR($D150="",$D150&lt;=0),"HATALI","TAM"))</f>
        <v/>
      </c>
    </row>
    <row r="151">
      <c r="G151" s="22">
        <f>IF($A151="","",IF(OR($D151="",$D151&lt;=0),"HATALI","TAM"))</f>
        <v/>
      </c>
    </row>
    <row r="152">
      <c r="G152" s="22">
        <f>IF($A152="","",IF(OR($D152="",$D152&lt;=0),"HATALI","TAM"))</f>
        <v/>
      </c>
    </row>
    <row r="153">
      <c r="G153" s="22">
        <f>IF($A153="","",IF(OR($D153="",$D153&lt;=0),"HATALI","TAM"))</f>
        <v/>
      </c>
    </row>
    <row r="154">
      <c r="G154" s="22">
        <f>IF($A154="","",IF(OR($D154="",$D154&lt;=0),"HATALI","TAM"))</f>
        <v/>
      </c>
    </row>
    <row r="155">
      <c r="G155" s="22">
        <f>IF($A155="","",IF(OR($D155="",$D155&lt;=0),"HATALI","TAM"))</f>
        <v/>
      </c>
    </row>
    <row r="156">
      <c r="G156" s="22">
        <f>IF($A156="","",IF(OR($D156="",$D156&lt;=0),"HATALI","TAM"))</f>
        <v/>
      </c>
    </row>
    <row r="157">
      <c r="G157" s="22">
        <f>IF($A157="","",IF(OR($D157="",$D157&lt;=0),"HATALI","TAM"))</f>
        <v/>
      </c>
    </row>
    <row r="158">
      <c r="G158" s="22">
        <f>IF($A158="","",IF(OR($D158="",$D158&lt;=0),"HATALI","TAM"))</f>
        <v/>
      </c>
    </row>
    <row r="159">
      <c r="G159" s="22">
        <f>IF($A159="","",IF(OR($D159="",$D159&lt;=0),"HATALI","TAM"))</f>
        <v/>
      </c>
    </row>
    <row r="160">
      <c r="G160" s="22">
        <f>IF($A160="","",IF(OR($D160="",$D160&lt;=0),"HATALI","TAM"))</f>
        <v/>
      </c>
    </row>
    <row r="161">
      <c r="G161" s="22">
        <f>IF($A161="","",IF(OR($D161="",$D161&lt;=0),"HATALI","TAM"))</f>
        <v/>
      </c>
    </row>
    <row r="162">
      <c r="G162" s="22">
        <f>IF($A162="","",IF(OR($D162="",$D162&lt;=0),"HATALI","TAM"))</f>
        <v/>
      </c>
    </row>
    <row r="163">
      <c r="G163" s="22">
        <f>IF($A163="","",IF(OR($D163="",$D163&lt;=0),"HATALI","TAM"))</f>
        <v/>
      </c>
    </row>
    <row r="164">
      <c r="G164" s="22">
        <f>IF($A164="","",IF(OR($D164="",$D164&lt;=0),"HATALI","TAM"))</f>
        <v/>
      </c>
    </row>
    <row r="165">
      <c r="G165" s="22">
        <f>IF($A165="","",IF(OR($D165="",$D165&lt;=0),"HATALI","TAM"))</f>
        <v/>
      </c>
    </row>
    <row r="166">
      <c r="G166" s="22">
        <f>IF($A166="","",IF(OR($D166="",$D166&lt;=0),"HATALI","TAM"))</f>
        <v/>
      </c>
    </row>
    <row r="167">
      <c r="G167" s="22">
        <f>IF($A167="","",IF(OR($D167="",$D167&lt;=0),"HATALI","TAM"))</f>
        <v/>
      </c>
    </row>
    <row r="168">
      <c r="G168" s="22">
        <f>IF($A168="","",IF(OR($D168="",$D168&lt;=0),"HATALI","TAM"))</f>
        <v/>
      </c>
    </row>
    <row r="169">
      <c r="G169" s="22">
        <f>IF($A169="","",IF(OR($D169="",$D169&lt;=0),"HATALI","TAM"))</f>
        <v/>
      </c>
    </row>
    <row r="170">
      <c r="G170" s="22">
        <f>IF($A170="","",IF(OR($D170="",$D170&lt;=0),"HATALI","TAM"))</f>
        <v/>
      </c>
    </row>
    <row r="171">
      <c r="G171" s="22">
        <f>IF($A171="","",IF(OR($D171="",$D171&lt;=0),"HATALI","TAM"))</f>
        <v/>
      </c>
    </row>
    <row r="172">
      <c r="G172" s="22">
        <f>IF($A172="","",IF(OR($D172="",$D172&lt;=0),"HATALI","TAM"))</f>
        <v/>
      </c>
    </row>
    <row r="173">
      <c r="G173" s="22">
        <f>IF($A173="","",IF(OR($D173="",$D173&lt;=0),"HATALI","TAM"))</f>
        <v/>
      </c>
    </row>
    <row r="174">
      <c r="G174" s="22">
        <f>IF($A174="","",IF(OR($D174="",$D174&lt;=0),"HATALI","TAM"))</f>
        <v/>
      </c>
    </row>
    <row r="175">
      <c r="G175" s="22">
        <f>IF($A175="","",IF(OR($D175="",$D175&lt;=0),"HATALI","TAM"))</f>
        <v/>
      </c>
    </row>
    <row r="176">
      <c r="G176" s="22">
        <f>IF($A176="","",IF(OR($D176="",$D176&lt;=0),"HATALI","TAM"))</f>
        <v/>
      </c>
    </row>
    <row r="177">
      <c r="G177" s="22">
        <f>IF($A177="","",IF(OR($D177="",$D177&lt;=0),"HATALI","TAM"))</f>
        <v/>
      </c>
    </row>
    <row r="178">
      <c r="G178" s="22">
        <f>IF($A178="","",IF(OR($D178="",$D178&lt;=0),"HATALI","TAM"))</f>
        <v/>
      </c>
    </row>
    <row r="179">
      <c r="G179" s="22">
        <f>IF($A179="","",IF(OR($D179="",$D179&lt;=0),"HATALI","TAM"))</f>
        <v/>
      </c>
    </row>
    <row r="180">
      <c r="G180" s="22">
        <f>IF($A180="","",IF(OR($D180="",$D180&lt;=0),"HATALI","TAM"))</f>
        <v/>
      </c>
    </row>
    <row r="181">
      <c r="G181" s="22">
        <f>IF($A181="","",IF(OR($D181="",$D181&lt;=0),"HATALI","TAM"))</f>
        <v/>
      </c>
    </row>
    <row r="182">
      <c r="G182" s="22">
        <f>IF($A182="","",IF(OR($D182="",$D182&lt;=0),"HATALI","TAM"))</f>
        <v/>
      </c>
    </row>
    <row r="183">
      <c r="G183" s="22">
        <f>IF($A183="","",IF(OR($D183="",$D183&lt;=0),"HATALI","TAM"))</f>
        <v/>
      </c>
    </row>
    <row r="184">
      <c r="G184" s="22">
        <f>IF($A184="","",IF(OR($D184="",$D184&lt;=0),"HATALI","TAM"))</f>
        <v/>
      </c>
    </row>
    <row r="185">
      <c r="G185" s="22">
        <f>IF($A185="","",IF(OR($D185="",$D185&lt;=0),"HATALI","TAM"))</f>
        <v/>
      </c>
    </row>
    <row r="186">
      <c r="G186" s="22">
        <f>IF($A186="","",IF(OR($D186="",$D186&lt;=0),"HATALI","TAM"))</f>
        <v/>
      </c>
    </row>
    <row r="187">
      <c r="G187" s="22">
        <f>IF($A187="","",IF(OR($D187="",$D187&lt;=0),"HATALI","TAM"))</f>
        <v/>
      </c>
    </row>
    <row r="188">
      <c r="G188" s="22">
        <f>IF($A188="","",IF(OR($D188="",$D188&lt;=0),"HATALI","TAM"))</f>
        <v/>
      </c>
    </row>
    <row r="189">
      <c r="G189" s="22">
        <f>IF($A189="","",IF(OR($D189="",$D189&lt;=0),"HATALI","TAM"))</f>
        <v/>
      </c>
    </row>
    <row r="190">
      <c r="G190" s="22">
        <f>IF($A190="","",IF(OR($D190="",$D190&lt;=0),"HATALI","TAM"))</f>
        <v/>
      </c>
    </row>
    <row r="191">
      <c r="G191" s="22">
        <f>IF($A191="","",IF(OR($D191="",$D191&lt;=0),"HATALI","TAM"))</f>
        <v/>
      </c>
    </row>
    <row r="192">
      <c r="G192" s="22">
        <f>IF($A192="","",IF(OR($D192="",$D192&lt;=0),"HATALI","TAM"))</f>
        <v/>
      </c>
    </row>
    <row r="193">
      <c r="G193" s="22">
        <f>IF($A193="","",IF(OR($D193="",$D193&lt;=0),"HATALI","TAM"))</f>
        <v/>
      </c>
    </row>
    <row r="194">
      <c r="G194" s="22">
        <f>IF($A194="","",IF(OR($D194="",$D194&lt;=0),"HATALI","TAM"))</f>
        <v/>
      </c>
    </row>
    <row r="195">
      <c r="G195" s="22">
        <f>IF($A195="","",IF(OR($D195="",$D195&lt;=0),"HATALI","TAM"))</f>
        <v/>
      </c>
    </row>
    <row r="196">
      <c r="G196" s="22">
        <f>IF($A196="","",IF(OR($D196="",$D196&lt;=0),"HATALI","TAM"))</f>
        <v/>
      </c>
    </row>
    <row r="197">
      <c r="G197" s="22">
        <f>IF($A197="","",IF(OR($D197="",$D197&lt;=0),"HATALI","TAM"))</f>
        <v/>
      </c>
    </row>
    <row r="198">
      <c r="G198" s="22">
        <f>IF($A198="","",IF(OR($D198="",$D198&lt;=0),"HATALI","TAM"))</f>
        <v/>
      </c>
    </row>
    <row r="199">
      <c r="G199" s="22">
        <f>IF($A199="","",IF(OR($D199="",$D199&lt;=0),"HATALI","TAM"))</f>
        <v/>
      </c>
    </row>
    <row r="200">
      <c r="G200" s="22">
        <f>IF($A200="","",IF(OR($D200="",$D200&lt;=0),"HATALI","TAM"))</f>
        <v/>
      </c>
    </row>
    <row r="201">
      <c r="G201" s="22">
        <f>IF($A201="","",IF(OR($D201="",$D201&lt;=0),"HATALI","TAM"))</f>
        <v/>
      </c>
    </row>
    <row r="202">
      <c r="G202" s="22">
        <f>IF($A202="","",IF(OR($D202="",$D202&lt;=0),"HATALI","TAM"))</f>
        <v/>
      </c>
    </row>
    <row r="203">
      <c r="G203" s="22">
        <f>IF($A203="","",IF(OR($D203="",$D203&lt;=0),"HATALI","TAM"))</f>
        <v/>
      </c>
    </row>
    <row r="204">
      <c r="G204" s="22">
        <f>IF($A204="","",IF(OR($D204="",$D204&lt;=0),"HATALI","TAM"))</f>
        <v/>
      </c>
    </row>
    <row r="205">
      <c r="G205" s="22">
        <f>IF($A205="","",IF(OR($D205="",$D205&lt;=0),"HATALI","TAM"))</f>
        <v/>
      </c>
    </row>
    <row r="206">
      <c r="G206" s="22">
        <f>IF($A206="","",IF(OR($D206="",$D206&lt;=0),"HATALI","TAM"))</f>
        <v/>
      </c>
    </row>
    <row r="207">
      <c r="G207" s="22">
        <f>IF($A207="","",IF(OR($D207="",$D207&lt;=0),"HATALI","TAM"))</f>
        <v/>
      </c>
    </row>
    <row r="208">
      <c r="G208" s="22">
        <f>IF($A208="","",IF(OR($D208="",$D208&lt;=0),"HATALI","TAM"))</f>
        <v/>
      </c>
    </row>
    <row r="209">
      <c r="G209" s="22">
        <f>IF($A209="","",IF(OR($D209="",$D209&lt;=0),"HATALI","TAM"))</f>
        <v/>
      </c>
    </row>
    <row r="210">
      <c r="G210" s="22">
        <f>IF($A210="","",IF(OR($D210="",$D210&lt;=0),"HATALI","TAM"))</f>
        <v/>
      </c>
    </row>
    <row r="211">
      <c r="G211" s="22">
        <f>IF($A211="","",IF(OR($D211="",$D211&lt;=0),"HATALI","TAM"))</f>
        <v/>
      </c>
    </row>
    <row r="212">
      <c r="G212" s="22">
        <f>IF($A212="","",IF(OR($D212="",$D212&lt;=0),"HATALI","TAM"))</f>
        <v/>
      </c>
    </row>
    <row r="213">
      <c r="G213" s="22">
        <f>IF($A213="","",IF(OR($D213="",$D213&lt;=0),"HATALI","TAM"))</f>
        <v/>
      </c>
    </row>
    <row r="214">
      <c r="G214" s="22">
        <f>IF($A214="","",IF(OR($D214="",$D214&lt;=0),"HATALI","TAM"))</f>
        <v/>
      </c>
    </row>
    <row r="215">
      <c r="G215" s="22">
        <f>IF($A215="","",IF(OR($D215="",$D215&lt;=0),"HATALI","TAM"))</f>
        <v/>
      </c>
    </row>
    <row r="216">
      <c r="G216" s="22">
        <f>IF($A216="","",IF(OR($D216="",$D216&lt;=0),"HATALI","TAM"))</f>
        <v/>
      </c>
    </row>
    <row r="217">
      <c r="G217" s="22">
        <f>IF($A217="","",IF(OR($D217="",$D217&lt;=0),"HATALI","TAM"))</f>
        <v/>
      </c>
    </row>
    <row r="218">
      <c r="G218" s="22">
        <f>IF($A218="","",IF(OR($D218="",$D218&lt;=0),"HATALI","TAM"))</f>
        <v/>
      </c>
    </row>
    <row r="219">
      <c r="G219" s="22">
        <f>IF($A219="","",IF(OR($D219="",$D219&lt;=0),"HATALI","TAM"))</f>
        <v/>
      </c>
    </row>
    <row r="220">
      <c r="G220" s="22">
        <f>IF($A220="","",IF(OR($D220="",$D220&lt;=0),"HATALI","TAM"))</f>
        <v/>
      </c>
    </row>
    <row r="221">
      <c r="G221" s="22">
        <f>IF($A221="","",IF(OR($D221="",$D221&lt;=0),"HATALI","TAM"))</f>
        <v/>
      </c>
    </row>
    <row r="222">
      <c r="G222" s="22">
        <f>IF($A222="","",IF(OR($D222="",$D222&lt;=0),"HATALI","TAM"))</f>
        <v/>
      </c>
    </row>
    <row r="223">
      <c r="G223" s="22">
        <f>IF($A223="","",IF(OR($D223="",$D223&lt;=0),"HATALI","TAM"))</f>
        <v/>
      </c>
    </row>
    <row r="224">
      <c r="G224" s="22">
        <f>IF($A224="","",IF(OR($D224="",$D224&lt;=0),"HATALI","TAM"))</f>
        <v/>
      </c>
    </row>
    <row r="225">
      <c r="G225" s="22">
        <f>IF($A225="","",IF(OR($D225="",$D225&lt;=0),"HATALI","TAM"))</f>
        <v/>
      </c>
    </row>
    <row r="226">
      <c r="G226" s="22">
        <f>IF($A226="","",IF(OR($D226="",$D226&lt;=0),"HATALI","TAM"))</f>
        <v/>
      </c>
    </row>
    <row r="227">
      <c r="G227" s="22">
        <f>IF($A227="","",IF(OR($D227="",$D227&lt;=0),"HATALI","TAM"))</f>
        <v/>
      </c>
    </row>
    <row r="228">
      <c r="G228" s="22">
        <f>IF($A228="","",IF(OR($D228="",$D228&lt;=0),"HATALI","TAM"))</f>
        <v/>
      </c>
    </row>
    <row r="229">
      <c r="G229" s="22">
        <f>IF($A229="","",IF(OR($D229="",$D229&lt;=0),"HATALI","TAM"))</f>
        <v/>
      </c>
    </row>
    <row r="230">
      <c r="G230" s="22">
        <f>IF($A230="","",IF(OR($D230="",$D230&lt;=0),"HATALI","TAM"))</f>
        <v/>
      </c>
    </row>
    <row r="231">
      <c r="G231" s="22">
        <f>IF($A231="","",IF(OR($D231="",$D231&lt;=0),"HATALI","TAM"))</f>
        <v/>
      </c>
    </row>
    <row r="232">
      <c r="G232" s="22">
        <f>IF($A232="","",IF(OR($D232="",$D232&lt;=0),"HATALI","TAM"))</f>
        <v/>
      </c>
    </row>
    <row r="233">
      <c r="G233" s="22">
        <f>IF($A233="","",IF(OR($D233="",$D233&lt;=0),"HATALI","TAM"))</f>
        <v/>
      </c>
    </row>
    <row r="234">
      <c r="G234" s="22">
        <f>IF($A234="","",IF(OR($D234="",$D234&lt;=0),"HATALI","TAM"))</f>
        <v/>
      </c>
    </row>
    <row r="235">
      <c r="G235" s="22">
        <f>IF($A235="","",IF(OR($D235="",$D235&lt;=0),"HATALI","TAM"))</f>
        <v/>
      </c>
    </row>
    <row r="236">
      <c r="G236" s="22">
        <f>IF($A236="","",IF(OR($D236="",$D236&lt;=0),"HATALI","TAM"))</f>
        <v/>
      </c>
    </row>
    <row r="237">
      <c r="G237" s="22">
        <f>IF($A237="","",IF(OR($D237="",$D237&lt;=0),"HATALI","TAM"))</f>
        <v/>
      </c>
    </row>
    <row r="238">
      <c r="G238" s="22">
        <f>IF($A238="","",IF(OR($D238="",$D238&lt;=0),"HATALI","TAM"))</f>
        <v/>
      </c>
    </row>
    <row r="239">
      <c r="G239" s="22">
        <f>IF($A239="","",IF(OR($D239="",$D239&lt;=0),"HATALI","TAM"))</f>
        <v/>
      </c>
    </row>
    <row r="240">
      <c r="G240" s="22">
        <f>IF($A240="","",IF(OR($D240="",$D240&lt;=0),"HATALI","TAM"))</f>
        <v/>
      </c>
    </row>
    <row r="241">
      <c r="G241" s="22">
        <f>IF($A241="","",IF(OR($D241="",$D241&lt;=0),"HATALI","TAM"))</f>
        <v/>
      </c>
    </row>
    <row r="242">
      <c r="G242" s="22">
        <f>IF($A242="","",IF(OR($D242="",$D242&lt;=0),"HATALI","TAM"))</f>
        <v/>
      </c>
    </row>
    <row r="243">
      <c r="G243" s="22">
        <f>IF($A243="","",IF(OR($D243="",$D243&lt;=0),"HATALI","TAM"))</f>
        <v/>
      </c>
    </row>
    <row r="244">
      <c r="G244" s="22">
        <f>IF($A244="","",IF(OR($D244="",$D244&lt;=0),"HATALI","TAM"))</f>
        <v/>
      </c>
    </row>
    <row r="245">
      <c r="G245" s="22">
        <f>IF($A245="","",IF(OR($D245="",$D245&lt;=0),"HATALI","TAM"))</f>
        <v/>
      </c>
    </row>
    <row r="246">
      <c r="G246" s="22">
        <f>IF($A246="","",IF(OR($D246="",$D246&lt;=0),"HATALI","TAM"))</f>
        <v/>
      </c>
    </row>
    <row r="247">
      <c r="G247" s="22">
        <f>IF($A247="","",IF(OR($D247="",$D247&lt;=0),"HATALI","TAM"))</f>
        <v/>
      </c>
    </row>
    <row r="248">
      <c r="G248" s="22">
        <f>IF($A248="","",IF(OR($D248="",$D248&lt;=0),"HATALI","TAM"))</f>
        <v/>
      </c>
    </row>
    <row r="249">
      <c r="G249" s="22">
        <f>IF($A249="","",IF(OR($D249="",$D249&lt;=0),"HATALI","TAM"))</f>
        <v/>
      </c>
    </row>
    <row r="250">
      <c r="G250" s="22">
        <f>IF($A250="","",IF(OR($D250="",$D250&lt;=0),"HATALI","TAM"))</f>
        <v/>
      </c>
    </row>
    <row r="251">
      <c r="G251" s="22">
        <f>IF($A251="","",IF(OR($D251="",$D251&lt;=0),"HATALI","TAM"))</f>
        <v/>
      </c>
    </row>
    <row r="252">
      <c r="G252" s="22">
        <f>IF($A252="","",IF(OR($D252="",$D252&lt;=0),"HATALI","TAM"))</f>
        <v/>
      </c>
    </row>
    <row r="253">
      <c r="G253" s="22">
        <f>IF($A253="","",IF(OR($D253="",$D253&lt;=0),"HATALI","TAM"))</f>
        <v/>
      </c>
    </row>
    <row r="254">
      <c r="G254" s="22">
        <f>IF($A254="","",IF(OR($D254="",$D254&lt;=0),"HATALI","TAM"))</f>
        <v/>
      </c>
    </row>
    <row r="255">
      <c r="G255" s="22">
        <f>IF($A255="","",IF(OR($D255="",$D255&lt;=0),"HATALI","TAM"))</f>
        <v/>
      </c>
    </row>
    <row r="256">
      <c r="G256" s="22">
        <f>IF($A256="","",IF(OR($D256="",$D256&lt;=0),"HATALI","TAM"))</f>
        <v/>
      </c>
    </row>
    <row r="257">
      <c r="G257" s="22">
        <f>IF($A257="","",IF(OR($D257="",$D257&lt;=0),"HATALI","TAM"))</f>
        <v/>
      </c>
    </row>
    <row r="258">
      <c r="G258" s="22">
        <f>IF($A258="","",IF(OR($D258="",$D258&lt;=0),"HATALI","TAM"))</f>
        <v/>
      </c>
    </row>
    <row r="259">
      <c r="G259" s="22">
        <f>IF($A259="","",IF(OR($D259="",$D259&lt;=0),"HATALI","TAM"))</f>
        <v/>
      </c>
    </row>
    <row r="260">
      <c r="G260" s="22">
        <f>IF($A260="","",IF(OR($D260="",$D260&lt;=0),"HATALI","TAM"))</f>
        <v/>
      </c>
    </row>
    <row r="261">
      <c r="G261" s="22">
        <f>IF($A261="","",IF(OR($D261="",$D261&lt;=0),"HATALI","TAM"))</f>
        <v/>
      </c>
    </row>
    <row r="262">
      <c r="G262" s="22">
        <f>IF($A262="","",IF(OR($D262="",$D262&lt;=0),"HATALI","TAM"))</f>
        <v/>
      </c>
    </row>
    <row r="263">
      <c r="G263" s="22">
        <f>IF($A263="","",IF(OR($D263="",$D263&lt;=0),"HATALI","TAM"))</f>
        <v/>
      </c>
    </row>
    <row r="264">
      <c r="G264" s="22">
        <f>IF($A264="","",IF(OR($D264="",$D264&lt;=0),"HATALI","TAM"))</f>
        <v/>
      </c>
    </row>
    <row r="265">
      <c r="G265" s="22">
        <f>IF($A265="","",IF(OR($D265="",$D265&lt;=0),"HATALI","TAM"))</f>
        <v/>
      </c>
    </row>
    <row r="266">
      <c r="G266" s="22">
        <f>IF($A266="","",IF(OR($D266="",$D266&lt;=0),"HATALI","TAM"))</f>
        <v/>
      </c>
    </row>
    <row r="267">
      <c r="G267" s="22">
        <f>IF($A267="","",IF(OR($D267="",$D267&lt;=0),"HATALI","TAM"))</f>
        <v/>
      </c>
    </row>
    <row r="268">
      <c r="G268" s="22">
        <f>IF($A268="","",IF(OR($D268="",$D268&lt;=0),"HATALI","TAM"))</f>
        <v/>
      </c>
    </row>
    <row r="269">
      <c r="G269" s="22">
        <f>IF($A269="","",IF(OR($D269="",$D269&lt;=0),"HATALI","TAM"))</f>
        <v/>
      </c>
    </row>
    <row r="270">
      <c r="G270" s="22">
        <f>IF($A270="","",IF(OR($D270="",$D270&lt;=0),"HATALI","TAM"))</f>
        <v/>
      </c>
    </row>
    <row r="271">
      <c r="G271" s="22">
        <f>IF($A271="","",IF(OR($D271="",$D271&lt;=0),"HATALI","TAM"))</f>
        <v/>
      </c>
    </row>
    <row r="272">
      <c r="G272" s="22">
        <f>IF($A272="","",IF(OR($D272="",$D272&lt;=0),"HATALI","TAM"))</f>
        <v/>
      </c>
    </row>
    <row r="273">
      <c r="G273" s="22">
        <f>IF($A273="","",IF(OR($D273="",$D273&lt;=0),"HATALI","TAM"))</f>
        <v/>
      </c>
    </row>
    <row r="274">
      <c r="G274" s="22">
        <f>IF($A274="","",IF(OR($D274="",$D274&lt;=0),"HATALI","TAM"))</f>
        <v/>
      </c>
    </row>
    <row r="275">
      <c r="G275" s="22">
        <f>IF($A275="","",IF(OR($D275="",$D275&lt;=0),"HATALI","TAM"))</f>
        <v/>
      </c>
    </row>
    <row r="276">
      <c r="G276" s="22">
        <f>IF($A276="","",IF(OR($D276="",$D276&lt;=0),"HATALI","TAM"))</f>
        <v/>
      </c>
    </row>
    <row r="277">
      <c r="G277" s="22">
        <f>IF($A277="","",IF(OR($D277="",$D277&lt;=0),"HATALI","TAM"))</f>
        <v/>
      </c>
    </row>
    <row r="278">
      <c r="G278" s="22">
        <f>IF($A278="","",IF(OR($D278="",$D278&lt;=0),"HATALI","TAM"))</f>
        <v/>
      </c>
    </row>
    <row r="279">
      <c r="G279" s="22">
        <f>IF($A279="","",IF(OR($D279="",$D279&lt;=0),"HATALI","TAM"))</f>
        <v/>
      </c>
    </row>
    <row r="280">
      <c r="G280" s="22">
        <f>IF($A280="","",IF(OR($D280="",$D280&lt;=0),"HATALI","TAM"))</f>
        <v/>
      </c>
    </row>
    <row r="281">
      <c r="G281" s="22">
        <f>IF($A281="","",IF(OR($D281="",$D281&lt;=0),"HATALI","TAM"))</f>
        <v/>
      </c>
    </row>
    <row r="282">
      <c r="G282" s="22">
        <f>IF($A282="","",IF(OR($D282="",$D282&lt;=0),"HATALI","TAM"))</f>
        <v/>
      </c>
    </row>
    <row r="283">
      <c r="G283" s="22">
        <f>IF($A283="","",IF(OR($D283="",$D283&lt;=0),"HATALI","TAM"))</f>
        <v/>
      </c>
    </row>
    <row r="284">
      <c r="G284" s="22">
        <f>IF($A284="","",IF(OR($D284="",$D284&lt;=0),"HATALI","TAM"))</f>
        <v/>
      </c>
    </row>
    <row r="285">
      <c r="G285" s="22">
        <f>IF($A285="","",IF(OR($D285="",$D285&lt;=0),"HATALI","TAM"))</f>
        <v/>
      </c>
    </row>
    <row r="286">
      <c r="G286" s="22">
        <f>IF($A286="","",IF(OR($D286="",$D286&lt;=0),"HATALI","TAM"))</f>
        <v/>
      </c>
    </row>
    <row r="287">
      <c r="G287" s="22">
        <f>IF($A287="","",IF(OR($D287="",$D287&lt;=0),"HATALI","TAM"))</f>
        <v/>
      </c>
    </row>
    <row r="288">
      <c r="G288" s="22">
        <f>IF($A288="","",IF(OR($D288="",$D288&lt;=0),"HATALI","TAM"))</f>
        <v/>
      </c>
    </row>
    <row r="289">
      <c r="G289" s="22">
        <f>IF($A289="","",IF(OR($D289="",$D289&lt;=0),"HATALI","TAM"))</f>
        <v/>
      </c>
    </row>
    <row r="290">
      <c r="G290" s="22">
        <f>IF($A290="","",IF(OR($D290="",$D290&lt;=0),"HATALI","TAM"))</f>
        <v/>
      </c>
    </row>
    <row r="291">
      <c r="G291" s="22">
        <f>IF($A291="","",IF(OR($D291="",$D291&lt;=0),"HATALI","TAM"))</f>
        <v/>
      </c>
    </row>
    <row r="292">
      <c r="G292" s="22">
        <f>IF($A292="","",IF(OR($D292="",$D292&lt;=0),"HATALI","TAM"))</f>
        <v/>
      </c>
    </row>
    <row r="293">
      <c r="G293" s="22">
        <f>IF($A293="","",IF(OR($D293="",$D293&lt;=0),"HATALI","TAM"))</f>
        <v/>
      </c>
    </row>
    <row r="294">
      <c r="G294" s="22">
        <f>IF($A294="","",IF(OR($D294="",$D294&lt;=0),"HATALI","TAM"))</f>
        <v/>
      </c>
    </row>
    <row r="295">
      <c r="G295" s="22">
        <f>IF($A295="","",IF(OR($D295="",$D295&lt;=0),"HATALI","TAM"))</f>
        <v/>
      </c>
    </row>
    <row r="296">
      <c r="G296" s="22">
        <f>IF($A296="","",IF(OR($D296="",$D296&lt;=0),"HATALI","TAM"))</f>
        <v/>
      </c>
    </row>
    <row r="297">
      <c r="G297" s="22">
        <f>IF($A297="","",IF(OR($D297="",$D297&lt;=0),"HATALI","TAM"))</f>
        <v/>
      </c>
    </row>
    <row r="298">
      <c r="G298" s="22">
        <f>IF($A298="","",IF(OR($D298="",$D298&lt;=0),"HATALI","TAM"))</f>
        <v/>
      </c>
    </row>
    <row r="299">
      <c r="G299" s="22">
        <f>IF($A299="","",IF(OR($D299="",$D299&lt;=0),"HATALI","TAM"))</f>
        <v/>
      </c>
    </row>
    <row r="300">
      <c r="G300" s="22">
        <f>IF($A300="","",IF(OR($D300="",$D300&lt;=0),"HATALI","TAM"))</f>
        <v/>
      </c>
    </row>
    <row r="301">
      <c r="G301" s="22">
        <f>IF($A301="","",IF(OR($D301="",$D301&lt;=0),"HATALI","TAM"))</f>
        <v/>
      </c>
    </row>
    <row r="302">
      <c r="G302" s="22">
        <f>IF($A302="","",IF(OR($D302="",$D302&lt;=0),"HATALI","TAM"))</f>
        <v/>
      </c>
    </row>
    <row r="303">
      <c r="G303" s="22">
        <f>IF($A303="","",IF(OR($D303="",$D303&lt;=0),"HATALI","TAM"))</f>
        <v/>
      </c>
    </row>
    <row r="304">
      <c r="G304" s="22">
        <f>IF($A304="","",IF(OR($D304="",$D304&lt;=0),"HATALI","TAM"))</f>
        <v/>
      </c>
    </row>
    <row r="305">
      <c r="G305" s="22">
        <f>IF($A305="","",IF(OR($D305="",$D305&lt;=0),"HATALI","TAM"))</f>
        <v/>
      </c>
    </row>
    <row r="306">
      <c r="G306" s="22">
        <f>IF($A306="","",IF(OR($D306="",$D306&lt;=0),"HATALI","TAM"))</f>
        <v/>
      </c>
    </row>
    <row r="307">
      <c r="G307" s="22">
        <f>IF($A307="","",IF(OR($D307="",$D307&lt;=0),"HATALI","TAM"))</f>
        <v/>
      </c>
    </row>
    <row r="308">
      <c r="G308" s="22">
        <f>IF($A308="","",IF(OR($D308="",$D308&lt;=0),"HATALI","TAM"))</f>
        <v/>
      </c>
    </row>
    <row r="309">
      <c r="G309" s="22">
        <f>IF($A309="","",IF(OR($D309="",$D309&lt;=0),"HATALI","TAM"))</f>
        <v/>
      </c>
    </row>
    <row r="310">
      <c r="G310" s="22">
        <f>IF($A310="","",IF(OR($D310="",$D310&lt;=0),"HATALI","TAM"))</f>
        <v/>
      </c>
    </row>
    <row r="311">
      <c r="G311" s="22">
        <f>IF($A311="","",IF(OR($D311="",$D311&lt;=0),"HATALI","TAM"))</f>
        <v/>
      </c>
    </row>
    <row r="312">
      <c r="G312" s="22">
        <f>IF($A312="","",IF(OR($D312="",$D312&lt;=0),"HATALI","TAM"))</f>
        <v/>
      </c>
    </row>
    <row r="313">
      <c r="G313" s="22">
        <f>IF($A313="","",IF(OR($D313="",$D313&lt;=0),"HATALI","TAM"))</f>
        <v/>
      </c>
    </row>
    <row r="314">
      <c r="G314" s="22">
        <f>IF($A314="","",IF(OR($D314="",$D314&lt;=0),"HATALI","TAM"))</f>
        <v/>
      </c>
    </row>
    <row r="315">
      <c r="G315" s="22">
        <f>IF($A315="","",IF(OR($D315="",$D315&lt;=0),"HATALI","TAM"))</f>
        <v/>
      </c>
    </row>
    <row r="316">
      <c r="G316" s="22">
        <f>IF($A316="","",IF(OR($D316="",$D316&lt;=0),"HATALI","TAM"))</f>
        <v/>
      </c>
    </row>
    <row r="317">
      <c r="G317" s="22">
        <f>IF($A317="","",IF(OR($D317="",$D317&lt;=0),"HATALI","TAM"))</f>
        <v/>
      </c>
    </row>
    <row r="318">
      <c r="G318" s="22">
        <f>IF($A318="","",IF(OR($D318="",$D318&lt;=0),"HATALI","TAM"))</f>
        <v/>
      </c>
    </row>
    <row r="319">
      <c r="G319" s="22">
        <f>IF($A319="","",IF(OR($D319="",$D319&lt;=0),"HATALI","TAM"))</f>
        <v/>
      </c>
    </row>
    <row r="320">
      <c r="G320" s="22">
        <f>IF($A320="","",IF(OR($D320="",$D320&lt;=0),"HATALI","TAM"))</f>
        <v/>
      </c>
    </row>
    <row r="321">
      <c r="G321" s="22">
        <f>IF($A321="","",IF(OR($D321="",$D321&lt;=0),"HATALI","TAM"))</f>
        <v/>
      </c>
    </row>
    <row r="322">
      <c r="G322" s="22">
        <f>IF($A322="","",IF(OR($D322="",$D322&lt;=0),"HATALI","TAM"))</f>
        <v/>
      </c>
    </row>
    <row r="323">
      <c r="G323" s="22">
        <f>IF($A323="","",IF(OR($D323="",$D323&lt;=0),"HATALI","TAM"))</f>
        <v/>
      </c>
    </row>
    <row r="324">
      <c r="G324" s="22">
        <f>IF($A324="","",IF(OR($D324="",$D324&lt;=0),"HATALI","TAM"))</f>
        <v/>
      </c>
    </row>
    <row r="325">
      <c r="G325" s="22">
        <f>IF($A325="","",IF(OR($D325="",$D325&lt;=0),"HATALI","TAM"))</f>
        <v/>
      </c>
    </row>
    <row r="326">
      <c r="G326" s="22">
        <f>IF($A326="","",IF(OR($D326="",$D326&lt;=0),"HATALI","TAM"))</f>
        <v/>
      </c>
    </row>
    <row r="327">
      <c r="G327" s="22">
        <f>IF($A327="","",IF(OR($D327="",$D327&lt;=0),"HATALI","TAM"))</f>
        <v/>
      </c>
    </row>
    <row r="328">
      <c r="G328" s="22">
        <f>IF($A328="","",IF(OR($D328="",$D328&lt;=0),"HATALI","TAM"))</f>
        <v/>
      </c>
    </row>
    <row r="329">
      <c r="G329" s="22">
        <f>IF($A329="","",IF(OR($D329="",$D329&lt;=0),"HATALI","TAM"))</f>
        <v/>
      </c>
    </row>
    <row r="330">
      <c r="G330" s="22">
        <f>IF($A330="","",IF(OR($D330="",$D330&lt;=0),"HATALI","TAM"))</f>
        <v/>
      </c>
    </row>
    <row r="331">
      <c r="G331" s="22">
        <f>IF($A331="","",IF(OR($D331="",$D331&lt;=0),"HATALI","TAM"))</f>
        <v/>
      </c>
    </row>
    <row r="332">
      <c r="G332" s="22">
        <f>IF($A332="","",IF(OR($D332="",$D332&lt;=0),"HATALI","TAM"))</f>
        <v/>
      </c>
    </row>
    <row r="333">
      <c r="G333" s="22">
        <f>IF($A333="","",IF(OR($D333="",$D333&lt;=0),"HATALI","TAM"))</f>
        <v/>
      </c>
    </row>
    <row r="334">
      <c r="G334" s="22">
        <f>IF($A334="","",IF(OR($D334="",$D334&lt;=0),"HATALI","TAM"))</f>
        <v/>
      </c>
    </row>
    <row r="335">
      <c r="G335" s="22">
        <f>IF($A335="","",IF(OR($D335="",$D335&lt;=0),"HATALI","TAM"))</f>
        <v/>
      </c>
    </row>
    <row r="336">
      <c r="G336" s="22">
        <f>IF($A336="","",IF(OR($D336="",$D336&lt;=0),"HATALI","TAM"))</f>
        <v/>
      </c>
    </row>
    <row r="337">
      <c r="G337" s="22">
        <f>IF($A337="","",IF(OR($D337="",$D337&lt;=0),"HATALI","TAM"))</f>
        <v/>
      </c>
    </row>
    <row r="338">
      <c r="G338" s="22">
        <f>IF($A338="","",IF(OR($D338="",$D338&lt;=0),"HATALI","TAM"))</f>
        <v/>
      </c>
    </row>
    <row r="339">
      <c r="G339" s="22">
        <f>IF($A339="","",IF(OR($D339="",$D339&lt;=0),"HATALI","TAM"))</f>
        <v/>
      </c>
    </row>
    <row r="340">
      <c r="G340" s="22">
        <f>IF($A340="","",IF(OR($D340="",$D340&lt;=0),"HATALI","TAM"))</f>
        <v/>
      </c>
    </row>
    <row r="341">
      <c r="G341" s="22">
        <f>IF($A341="","",IF(OR($D341="",$D341&lt;=0),"HATALI","TAM"))</f>
        <v/>
      </c>
    </row>
    <row r="342">
      <c r="G342" s="22">
        <f>IF($A342="","",IF(OR($D342="",$D342&lt;=0),"HATALI","TAM"))</f>
        <v/>
      </c>
    </row>
    <row r="343">
      <c r="G343" s="22">
        <f>IF($A343="","",IF(OR($D343="",$D343&lt;=0),"HATALI","TAM"))</f>
        <v/>
      </c>
    </row>
    <row r="344">
      <c r="G344" s="22">
        <f>IF($A344="","",IF(OR($D344="",$D344&lt;=0),"HATALI","TAM"))</f>
        <v/>
      </c>
    </row>
    <row r="345">
      <c r="G345" s="22">
        <f>IF($A345="","",IF(OR($D345="",$D345&lt;=0),"HATALI","TAM"))</f>
        <v/>
      </c>
    </row>
    <row r="346">
      <c r="G346" s="22">
        <f>IF($A346="","",IF(OR($D346="",$D346&lt;=0),"HATALI","TAM"))</f>
        <v/>
      </c>
    </row>
    <row r="347">
      <c r="G347" s="22">
        <f>IF($A347="","",IF(OR($D347="",$D347&lt;=0),"HATALI","TAM"))</f>
        <v/>
      </c>
    </row>
    <row r="348">
      <c r="G348" s="22">
        <f>IF($A348="","",IF(OR($D348="",$D348&lt;=0),"HATALI","TAM"))</f>
        <v/>
      </c>
    </row>
    <row r="349">
      <c r="G349" s="22">
        <f>IF($A349="","",IF(OR($D349="",$D349&lt;=0),"HATALI","TAM"))</f>
        <v/>
      </c>
    </row>
    <row r="350">
      <c r="G350" s="22">
        <f>IF($A350="","",IF(OR($D350="",$D350&lt;=0),"HATALI","TAM"))</f>
        <v/>
      </c>
    </row>
    <row r="351">
      <c r="G351" s="22">
        <f>IF($A351="","",IF(OR($D351="",$D351&lt;=0),"HATALI","TAM"))</f>
        <v/>
      </c>
    </row>
    <row r="352">
      <c r="G352" s="22">
        <f>IF($A352="","",IF(OR($D352="",$D352&lt;=0),"HATALI","TAM"))</f>
        <v/>
      </c>
    </row>
    <row r="353">
      <c r="G353" s="22">
        <f>IF($A353="","",IF(OR($D353="",$D353&lt;=0),"HATALI","TAM"))</f>
        <v/>
      </c>
    </row>
    <row r="354">
      <c r="G354" s="22">
        <f>IF($A354="","",IF(OR($D354="",$D354&lt;=0),"HATALI","TAM"))</f>
        <v/>
      </c>
    </row>
    <row r="355">
      <c r="G355" s="22">
        <f>IF($A355="","",IF(OR($D355="",$D355&lt;=0),"HATALI","TAM"))</f>
        <v/>
      </c>
    </row>
    <row r="356">
      <c r="G356" s="22">
        <f>IF($A356="","",IF(OR($D356="",$D356&lt;=0),"HATALI","TAM"))</f>
        <v/>
      </c>
    </row>
    <row r="357">
      <c r="G357" s="22">
        <f>IF($A357="","",IF(OR($D357="",$D357&lt;=0),"HATALI","TAM"))</f>
        <v/>
      </c>
    </row>
    <row r="358">
      <c r="G358" s="22">
        <f>IF($A358="","",IF(OR($D358="",$D358&lt;=0),"HATALI","TAM"))</f>
        <v/>
      </c>
    </row>
    <row r="359">
      <c r="G359" s="22">
        <f>IF($A359="","",IF(OR($D359="",$D359&lt;=0),"HATALI","TAM"))</f>
        <v/>
      </c>
    </row>
    <row r="360">
      <c r="G360" s="22">
        <f>IF($A360="","",IF(OR($D360="",$D360&lt;=0),"HATALI","TAM"))</f>
        <v/>
      </c>
    </row>
    <row r="361">
      <c r="G361" s="22">
        <f>IF($A361="","",IF(OR($D361="",$D361&lt;=0),"HATALI","TAM"))</f>
        <v/>
      </c>
    </row>
    <row r="362">
      <c r="G362" s="22">
        <f>IF($A362="","",IF(OR($D362="",$D362&lt;=0),"HATALI","TAM"))</f>
        <v/>
      </c>
    </row>
    <row r="363">
      <c r="G363" s="22">
        <f>IF($A363="","",IF(OR($D363="",$D363&lt;=0),"HATALI","TAM"))</f>
        <v/>
      </c>
    </row>
    <row r="364">
      <c r="G364" s="22">
        <f>IF($A364="","",IF(OR($D364="",$D364&lt;=0),"HATALI","TAM"))</f>
        <v/>
      </c>
    </row>
    <row r="365">
      <c r="G365" s="22">
        <f>IF($A365="","",IF(OR($D365="",$D365&lt;=0),"HATALI","TAM"))</f>
        <v/>
      </c>
    </row>
    <row r="366">
      <c r="G366" s="22">
        <f>IF($A366="","",IF(OR($D366="",$D366&lt;=0),"HATALI","TAM"))</f>
        <v/>
      </c>
    </row>
    <row r="367">
      <c r="G367" s="22">
        <f>IF($A367="","",IF(OR($D367="",$D367&lt;=0),"HATALI","TAM"))</f>
        <v/>
      </c>
    </row>
    <row r="368">
      <c r="G368" s="22">
        <f>IF($A368="","",IF(OR($D368="",$D368&lt;=0),"HATALI","TAM"))</f>
        <v/>
      </c>
    </row>
    <row r="369">
      <c r="G369" s="22">
        <f>IF($A369="","",IF(OR($D369="",$D369&lt;=0),"HATALI","TAM"))</f>
        <v/>
      </c>
    </row>
    <row r="370">
      <c r="G370" s="22">
        <f>IF($A370="","",IF(OR($D370="",$D370&lt;=0),"HATALI","TAM"))</f>
        <v/>
      </c>
    </row>
    <row r="371">
      <c r="G371" s="22">
        <f>IF($A371="","",IF(OR($D371="",$D371&lt;=0),"HATALI","TAM"))</f>
        <v/>
      </c>
    </row>
    <row r="372">
      <c r="G372" s="22">
        <f>IF($A372="","",IF(OR($D372="",$D372&lt;=0),"HATALI","TAM"))</f>
        <v/>
      </c>
    </row>
    <row r="373">
      <c r="G373" s="22">
        <f>IF($A373="","",IF(OR($D373="",$D373&lt;=0),"HATALI","TAM"))</f>
        <v/>
      </c>
    </row>
    <row r="374">
      <c r="G374" s="22">
        <f>IF($A374="","",IF(OR($D374="",$D374&lt;=0),"HATALI","TAM"))</f>
        <v/>
      </c>
    </row>
    <row r="375">
      <c r="G375" s="22">
        <f>IF($A375="","",IF(OR($D375="",$D375&lt;=0),"HATALI","TAM"))</f>
        <v/>
      </c>
    </row>
    <row r="376">
      <c r="G376" s="22">
        <f>IF($A376="","",IF(OR($D376="",$D376&lt;=0),"HATALI","TAM"))</f>
        <v/>
      </c>
    </row>
    <row r="377">
      <c r="G377" s="22">
        <f>IF($A377="","",IF(OR($D377="",$D377&lt;=0),"HATALI","TAM"))</f>
        <v/>
      </c>
    </row>
    <row r="378">
      <c r="G378" s="22">
        <f>IF($A378="","",IF(OR($D378="",$D378&lt;=0),"HATALI","TAM"))</f>
        <v/>
      </c>
    </row>
    <row r="379">
      <c r="G379" s="22">
        <f>IF($A379="","",IF(OR($D379="",$D379&lt;=0),"HATALI","TAM"))</f>
        <v/>
      </c>
    </row>
    <row r="380">
      <c r="G380" s="22">
        <f>IF($A380="","",IF(OR($D380="",$D380&lt;=0),"HATALI","TAM"))</f>
        <v/>
      </c>
    </row>
    <row r="381">
      <c r="G381" s="22">
        <f>IF($A381="","",IF(OR($D381="",$D381&lt;=0),"HATALI","TAM"))</f>
        <v/>
      </c>
    </row>
    <row r="382">
      <c r="G382" s="22">
        <f>IF($A382="","",IF(OR($D382="",$D382&lt;=0),"HATALI","TAM"))</f>
        <v/>
      </c>
    </row>
    <row r="383">
      <c r="G383" s="22">
        <f>IF($A383="","",IF(OR($D383="",$D383&lt;=0),"HATALI","TAM"))</f>
        <v/>
      </c>
    </row>
    <row r="384">
      <c r="G384" s="22">
        <f>IF($A384="","",IF(OR($D384="",$D384&lt;=0),"HATALI","TAM"))</f>
        <v/>
      </c>
    </row>
    <row r="385">
      <c r="G385" s="22">
        <f>IF($A385="","",IF(OR($D385="",$D385&lt;=0),"HATALI","TAM"))</f>
        <v/>
      </c>
    </row>
    <row r="386">
      <c r="G386" s="22">
        <f>IF($A386="","",IF(OR($D386="",$D386&lt;=0),"HATALI","TAM"))</f>
        <v/>
      </c>
    </row>
    <row r="387">
      <c r="G387" s="22">
        <f>IF($A387="","",IF(OR($D387="",$D387&lt;=0),"HATALI","TAM"))</f>
        <v/>
      </c>
    </row>
    <row r="388">
      <c r="G388" s="22">
        <f>IF($A388="","",IF(OR($D388="",$D388&lt;=0),"HATALI","TAM"))</f>
        <v/>
      </c>
    </row>
    <row r="389">
      <c r="G389" s="22">
        <f>IF($A389="","",IF(OR($D389="",$D389&lt;=0),"HATALI","TAM"))</f>
        <v/>
      </c>
    </row>
    <row r="390">
      <c r="G390" s="22">
        <f>IF($A390="","",IF(OR($D390="",$D390&lt;=0),"HATALI","TAM"))</f>
        <v/>
      </c>
    </row>
    <row r="391">
      <c r="G391" s="22">
        <f>IF($A391="","",IF(OR($D391="",$D391&lt;=0),"HATALI","TAM"))</f>
        <v/>
      </c>
    </row>
    <row r="392">
      <c r="G392" s="22">
        <f>IF($A392="","",IF(OR($D392="",$D392&lt;=0),"HATALI","TAM"))</f>
        <v/>
      </c>
    </row>
    <row r="393">
      <c r="G393" s="22">
        <f>IF($A393="","",IF(OR($D393="",$D393&lt;=0),"HATALI","TAM"))</f>
        <v/>
      </c>
    </row>
    <row r="394">
      <c r="G394" s="22">
        <f>IF($A394="","",IF(OR($D394="",$D394&lt;=0),"HATALI","TAM"))</f>
        <v/>
      </c>
    </row>
    <row r="395">
      <c r="G395" s="22">
        <f>IF($A395="","",IF(OR($D395="",$D395&lt;=0),"HATALI","TAM"))</f>
        <v/>
      </c>
    </row>
    <row r="396">
      <c r="G396" s="22">
        <f>IF($A396="","",IF(OR($D396="",$D396&lt;=0),"HATALI","TAM"))</f>
        <v/>
      </c>
    </row>
    <row r="397">
      <c r="G397" s="22">
        <f>IF($A397="","",IF(OR($D397="",$D397&lt;=0),"HATALI","TAM"))</f>
        <v/>
      </c>
    </row>
    <row r="398">
      <c r="G398" s="22">
        <f>IF($A398="","",IF(OR($D398="",$D398&lt;=0),"HATALI","TAM"))</f>
        <v/>
      </c>
    </row>
    <row r="399">
      <c r="G399" s="22">
        <f>IF($A399="","",IF(OR($D399="",$D399&lt;=0),"HATALI","TAM"))</f>
        <v/>
      </c>
    </row>
    <row r="400">
      <c r="G400" s="22">
        <f>IF($A400="","",IF(OR($D400="",$D400&lt;=0),"HATALI","TAM"))</f>
        <v/>
      </c>
    </row>
    <row r="401">
      <c r="G401" s="22">
        <f>IF($A401="","",IF(OR($D401="",$D401&lt;=0),"HATALI","TAM"))</f>
        <v/>
      </c>
    </row>
    <row r="402">
      <c r="G402" s="22">
        <f>IF($A402="","",IF(OR($D402="",$D402&lt;=0),"HATALI","TAM"))</f>
        <v/>
      </c>
    </row>
    <row r="403">
      <c r="G403" s="22">
        <f>IF($A403="","",IF(OR($D403="",$D403&lt;=0),"HATALI","TAM"))</f>
        <v/>
      </c>
    </row>
    <row r="404">
      <c r="G404" s="22">
        <f>IF($A404="","",IF(OR($D404="",$D404&lt;=0),"HATALI","TAM"))</f>
        <v/>
      </c>
    </row>
    <row r="405">
      <c r="G405" s="22">
        <f>IF($A405="","",IF(OR($D405="",$D405&lt;=0),"HATALI","TAM"))</f>
        <v/>
      </c>
    </row>
    <row r="406">
      <c r="G406" s="22">
        <f>IF($A406="","",IF(OR($D406="",$D406&lt;=0),"HATALI","TAM"))</f>
        <v/>
      </c>
    </row>
    <row r="407">
      <c r="G407" s="22">
        <f>IF($A407="","",IF(OR($D407="",$D407&lt;=0),"HATALI","TAM"))</f>
        <v/>
      </c>
    </row>
    <row r="408">
      <c r="G408" s="22">
        <f>IF($A408="","",IF(OR($D408="",$D408&lt;=0),"HATALI","TAM"))</f>
        <v/>
      </c>
    </row>
    <row r="409">
      <c r="G409" s="22">
        <f>IF($A409="","",IF(OR($D409="",$D409&lt;=0),"HATALI","TAM"))</f>
        <v/>
      </c>
    </row>
    <row r="410">
      <c r="G410" s="22">
        <f>IF($A410="","",IF(OR($D410="",$D410&lt;=0),"HATALI","TAM"))</f>
        <v/>
      </c>
    </row>
    <row r="411">
      <c r="G411" s="22">
        <f>IF($A411="","",IF(OR($D411="",$D411&lt;=0),"HATALI","TAM"))</f>
        <v/>
      </c>
    </row>
    <row r="412">
      <c r="G412" s="22">
        <f>IF($A412="","",IF(OR($D412="",$D412&lt;=0),"HATALI","TAM"))</f>
        <v/>
      </c>
    </row>
    <row r="413">
      <c r="G413" s="22">
        <f>IF($A413="","",IF(OR($D413="",$D413&lt;=0),"HATALI","TAM"))</f>
        <v/>
      </c>
    </row>
    <row r="414">
      <c r="G414" s="22">
        <f>IF($A414="","",IF(OR($D414="",$D414&lt;=0),"HATALI","TAM"))</f>
        <v/>
      </c>
    </row>
    <row r="415">
      <c r="G415" s="22">
        <f>IF($A415="","",IF(OR($D415="",$D415&lt;=0),"HATALI","TAM"))</f>
        <v/>
      </c>
    </row>
    <row r="416">
      <c r="G416" s="22">
        <f>IF($A416="","",IF(OR($D416="",$D416&lt;=0),"HATALI","TAM"))</f>
        <v/>
      </c>
    </row>
    <row r="417">
      <c r="G417" s="22">
        <f>IF($A417="","",IF(OR($D417="",$D417&lt;=0),"HATALI","TAM"))</f>
        <v/>
      </c>
    </row>
    <row r="418">
      <c r="G418" s="22">
        <f>IF($A418="","",IF(OR($D418="",$D418&lt;=0),"HATALI","TAM"))</f>
        <v/>
      </c>
    </row>
    <row r="419">
      <c r="G419" s="22">
        <f>IF($A419="","",IF(OR($D419="",$D419&lt;=0),"HATALI","TAM"))</f>
        <v/>
      </c>
    </row>
    <row r="420">
      <c r="G420" s="22">
        <f>IF($A420="","",IF(OR($D420="",$D420&lt;=0),"HATALI","TAM"))</f>
        <v/>
      </c>
    </row>
    <row r="421">
      <c r="G421" s="22">
        <f>IF($A421="","",IF(OR($D421="",$D421&lt;=0),"HATALI","TAM"))</f>
        <v/>
      </c>
    </row>
    <row r="422">
      <c r="G422" s="22">
        <f>IF($A422="","",IF(OR($D422="",$D422&lt;=0),"HATALI","TAM"))</f>
        <v/>
      </c>
    </row>
    <row r="423">
      <c r="G423" s="22">
        <f>IF($A423="","",IF(OR($D423="",$D423&lt;=0),"HATALI","TAM"))</f>
        <v/>
      </c>
    </row>
    <row r="424">
      <c r="G424" s="22">
        <f>IF($A424="","",IF(OR($D424="",$D424&lt;=0),"HATALI","TAM"))</f>
        <v/>
      </c>
    </row>
    <row r="425">
      <c r="G425" s="22">
        <f>IF($A425="","",IF(OR($D425="",$D425&lt;=0),"HATALI","TAM"))</f>
        <v/>
      </c>
    </row>
    <row r="426">
      <c r="G426" s="22">
        <f>IF($A426="","",IF(OR($D426="",$D426&lt;=0),"HATALI","TAM"))</f>
        <v/>
      </c>
    </row>
    <row r="427">
      <c r="G427" s="22">
        <f>IF($A427="","",IF(OR($D427="",$D427&lt;=0),"HATALI","TAM"))</f>
        <v/>
      </c>
    </row>
    <row r="428">
      <c r="G428" s="22">
        <f>IF($A428="","",IF(OR($D428="",$D428&lt;=0),"HATALI","TAM"))</f>
        <v/>
      </c>
    </row>
    <row r="429">
      <c r="G429" s="22">
        <f>IF($A429="","",IF(OR($D429="",$D429&lt;=0),"HATALI","TAM"))</f>
        <v/>
      </c>
    </row>
    <row r="430">
      <c r="G430" s="22">
        <f>IF($A430="","",IF(OR($D430="",$D430&lt;=0),"HATALI","TAM"))</f>
        <v/>
      </c>
    </row>
    <row r="431">
      <c r="G431" s="22">
        <f>IF($A431="","",IF(OR($D431="",$D431&lt;=0),"HATALI","TAM"))</f>
        <v/>
      </c>
    </row>
    <row r="432">
      <c r="G432" s="22">
        <f>IF($A432="","",IF(OR($D432="",$D432&lt;=0),"HATALI","TAM"))</f>
        <v/>
      </c>
    </row>
    <row r="433">
      <c r="G433" s="22">
        <f>IF($A433="","",IF(OR($D433="",$D433&lt;=0),"HATALI","TAM"))</f>
        <v/>
      </c>
    </row>
    <row r="434">
      <c r="G434" s="22">
        <f>IF($A434="","",IF(OR($D434="",$D434&lt;=0),"HATALI","TAM"))</f>
        <v/>
      </c>
    </row>
    <row r="435">
      <c r="G435" s="22">
        <f>IF($A435="","",IF(OR($D435="",$D435&lt;=0),"HATALI","TAM"))</f>
        <v/>
      </c>
    </row>
    <row r="436">
      <c r="G436" s="22">
        <f>IF($A436="","",IF(OR($D436="",$D436&lt;=0),"HATALI","TAM"))</f>
        <v/>
      </c>
    </row>
    <row r="437">
      <c r="G437" s="22">
        <f>IF($A437="","",IF(OR($D437="",$D437&lt;=0),"HATALI","TAM"))</f>
        <v/>
      </c>
    </row>
    <row r="438">
      <c r="G438" s="22">
        <f>IF($A438="","",IF(OR($D438="",$D438&lt;=0),"HATALI","TAM"))</f>
        <v/>
      </c>
    </row>
    <row r="439">
      <c r="G439" s="22">
        <f>IF($A439="","",IF(OR($D439="",$D439&lt;=0),"HATALI","TAM"))</f>
        <v/>
      </c>
    </row>
    <row r="440">
      <c r="G440" s="22">
        <f>IF($A440="","",IF(OR($D440="",$D440&lt;=0),"HATALI","TAM"))</f>
        <v/>
      </c>
    </row>
    <row r="441">
      <c r="G441" s="22">
        <f>IF($A441="","",IF(OR($D441="",$D441&lt;=0),"HATALI","TAM"))</f>
        <v/>
      </c>
    </row>
    <row r="442">
      <c r="G442" s="22">
        <f>IF($A442="","",IF(OR($D442="",$D442&lt;=0),"HATALI","TAM"))</f>
        <v/>
      </c>
    </row>
    <row r="443">
      <c r="G443" s="22">
        <f>IF($A443="","",IF(OR($D443="",$D443&lt;=0),"HATALI","TAM"))</f>
        <v/>
      </c>
    </row>
    <row r="444">
      <c r="G444" s="22">
        <f>IF($A444="","",IF(OR($D444="",$D444&lt;=0),"HATALI","TAM"))</f>
        <v/>
      </c>
    </row>
    <row r="445">
      <c r="G445" s="22">
        <f>IF($A445="","",IF(OR($D445="",$D445&lt;=0),"HATALI","TAM"))</f>
        <v/>
      </c>
    </row>
    <row r="446">
      <c r="G446" s="22">
        <f>IF($A446="","",IF(OR($D446="",$D446&lt;=0),"HATALI","TAM"))</f>
        <v/>
      </c>
    </row>
    <row r="447">
      <c r="G447" s="22">
        <f>IF($A447="","",IF(OR($D447="",$D447&lt;=0),"HATALI","TAM"))</f>
        <v/>
      </c>
    </row>
    <row r="448">
      <c r="G448" s="22">
        <f>IF($A448="","",IF(OR($D448="",$D448&lt;=0),"HATALI","TAM"))</f>
        <v/>
      </c>
    </row>
    <row r="449">
      <c r="G449" s="22">
        <f>IF($A449="","",IF(OR($D449="",$D449&lt;=0),"HATALI","TAM"))</f>
        <v/>
      </c>
    </row>
    <row r="450">
      <c r="G450" s="22">
        <f>IF($A450="","",IF(OR($D450="",$D450&lt;=0),"HATALI","TAM"))</f>
        <v/>
      </c>
    </row>
    <row r="451">
      <c r="G451" s="22">
        <f>IF($A451="","",IF(OR($D451="",$D451&lt;=0),"HATALI","TAM"))</f>
        <v/>
      </c>
    </row>
    <row r="452">
      <c r="G452" s="22">
        <f>IF($A452="","",IF(OR($D452="",$D452&lt;=0),"HATALI","TAM"))</f>
        <v/>
      </c>
    </row>
    <row r="453">
      <c r="G453" s="22">
        <f>IF($A453="","",IF(OR($D453="",$D453&lt;=0),"HATALI","TAM"))</f>
        <v/>
      </c>
    </row>
    <row r="454">
      <c r="G454" s="22">
        <f>IF($A454="","",IF(OR($D454="",$D454&lt;=0),"HATALI","TAM"))</f>
        <v/>
      </c>
    </row>
    <row r="455">
      <c r="G455" s="22">
        <f>IF($A455="","",IF(OR($D455="",$D455&lt;=0),"HATALI","TAM"))</f>
        <v/>
      </c>
    </row>
    <row r="456">
      <c r="G456" s="22">
        <f>IF($A456="","",IF(OR($D456="",$D456&lt;=0),"HATALI","TAM"))</f>
        <v/>
      </c>
    </row>
    <row r="457">
      <c r="G457" s="22">
        <f>IF($A457="","",IF(OR($D457="",$D457&lt;=0),"HATALI","TAM"))</f>
        <v/>
      </c>
    </row>
    <row r="458">
      <c r="G458" s="22">
        <f>IF($A458="","",IF(OR($D458="",$D458&lt;=0),"HATALI","TAM"))</f>
        <v/>
      </c>
    </row>
    <row r="459">
      <c r="G459" s="22">
        <f>IF($A459="","",IF(OR($D459="",$D459&lt;=0),"HATALI","TAM"))</f>
        <v/>
      </c>
    </row>
    <row r="460">
      <c r="G460" s="22">
        <f>IF($A460="","",IF(OR($D460="",$D460&lt;=0),"HATALI","TAM"))</f>
        <v/>
      </c>
    </row>
    <row r="461">
      <c r="G461" s="22">
        <f>IF($A461="","",IF(OR($D461="",$D461&lt;=0),"HATALI","TAM"))</f>
        <v/>
      </c>
    </row>
    <row r="462">
      <c r="G462" s="22">
        <f>IF($A462="","",IF(OR($D462="",$D462&lt;=0),"HATALI","TAM"))</f>
        <v/>
      </c>
    </row>
    <row r="463">
      <c r="G463" s="22">
        <f>IF($A463="","",IF(OR($D463="",$D463&lt;=0),"HATALI","TAM"))</f>
        <v/>
      </c>
    </row>
    <row r="464">
      <c r="G464" s="22">
        <f>IF($A464="","",IF(OR($D464="",$D464&lt;=0),"HATALI","TAM"))</f>
        <v/>
      </c>
    </row>
    <row r="465">
      <c r="G465" s="22">
        <f>IF($A465="","",IF(OR($D465="",$D465&lt;=0),"HATALI","TAM"))</f>
        <v/>
      </c>
    </row>
    <row r="466">
      <c r="G466" s="22">
        <f>IF($A466="","",IF(OR($D466="",$D466&lt;=0),"HATALI","TAM"))</f>
        <v/>
      </c>
    </row>
    <row r="467">
      <c r="G467" s="22">
        <f>IF($A467="","",IF(OR($D467="",$D467&lt;=0),"HATALI","TAM"))</f>
        <v/>
      </c>
    </row>
    <row r="468">
      <c r="G468" s="22">
        <f>IF($A468="","",IF(OR($D468="",$D468&lt;=0),"HATALI","TAM"))</f>
        <v/>
      </c>
    </row>
    <row r="469">
      <c r="G469" s="22">
        <f>IF($A469="","",IF(OR($D469="",$D469&lt;=0),"HATALI","TAM"))</f>
        <v/>
      </c>
    </row>
    <row r="470">
      <c r="G470" s="22">
        <f>IF($A470="","",IF(OR($D470="",$D470&lt;=0),"HATALI","TAM"))</f>
        <v/>
      </c>
    </row>
    <row r="471">
      <c r="G471" s="22">
        <f>IF($A471="","",IF(OR($D471="",$D471&lt;=0),"HATALI","TAM"))</f>
        <v/>
      </c>
    </row>
    <row r="472">
      <c r="G472" s="22">
        <f>IF($A472="","",IF(OR($D472="",$D472&lt;=0),"HATALI","TAM"))</f>
        <v/>
      </c>
    </row>
    <row r="473">
      <c r="G473" s="22">
        <f>IF($A473="","",IF(OR($D473="",$D473&lt;=0),"HATALI","TAM"))</f>
        <v/>
      </c>
    </row>
    <row r="474">
      <c r="G474" s="22">
        <f>IF($A474="","",IF(OR($D474="",$D474&lt;=0),"HATALI","TAM"))</f>
        <v/>
      </c>
    </row>
    <row r="475">
      <c r="G475" s="22">
        <f>IF($A475="","",IF(OR($D475="",$D475&lt;=0),"HATALI","TAM"))</f>
        <v/>
      </c>
    </row>
    <row r="476">
      <c r="G476" s="22">
        <f>IF($A476="","",IF(OR($D476="",$D476&lt;=0),"HATALI","TAM"))</f>
        <v/>
      </c>
    </row>
    <row r="477">
      <c r="G477" s="22">
        <f>IF($A477="","",IF(OR($D477="",$D477&lt;=0),"HATALI","TAM"))</f>
        <v/>
      </c>
    </row>
    <row r="478">
      <c r="G478" s="22">
        <f>IF($A478="","",IF(OR($D478="",$D478&lt;=0),"HATALI","TAM"))</f>
        <v/>
      </c>
    </row>
    <row r="479">
      <c r="G479" s="22">
        <f>IF($A479="","",IF(OR($D479="",$D479&lt;=0),"HATALI","TAM"))</f>
        <v/>
      </c>
    </row>
    <row r="480">
      <c r="G480" s="22">
        <f>IF($A480="","",IF(OR($D480="",$D480&lt;=0),"HATALI","TAM"))</f>
        <v/>
      </c>
    </row>
    <row r="481">
      <c r="G481" s="22">
        <f>IF($A481="","",IF(OR($D481="",$D481&lt;=0),"HATALI","TAM"))</f>
        <v/>
      </c>
    </row>
    <row r="482">
      <c r="G482" s="22">
        <f>IF($A482="","",IF(OR($D482="",$D482&lt;=0),"HATALI","TAM"))</f>
        <v/>
      </c>
    </row>
    <row r="483">
      <c r="G483" s="22">
        <f>IF($A483="","",IF(OR($D483="",$D483&lt;=0),"HATALI","TAM"))</f>
        <v/>
      </c>
    </row>
    <row r="484">
      <c r="G484" s="22">
        <f>IF($A484="","",IF(OR($D484="",$D484&lt;=0),"HATALI","TAM"))</f>
        <v/>
      </c>
    </row>
    <row r="485">
      <c r="G485" s="22">
        <f>IF($A485="","",IF(OR($D485="",$D485&lt;=0),"HATALI","TAM"))</f>
        <v/>
      </c>
    </row>
    <row r="486">
      <c r="G486" s="22">
        <f>IF($A486="","",IF(OR($D486="",$D486&lt;=0),"HATALI","TAM"))</f>
        <v/>
      </c>
    </row>
    <row r="487">
      <c r="G487" s="22">
        <f>IF($A487="","",IF(OR($D487="",$D487&lt;=0),"HATALI","TAM"))</f>
        <v/>
      </c>
    </row>
    <row r="488">
      <c r="G488" s="22">
        <f>IF($A488="","",IF(OR($D488="",$D488&lt;=0),"HATALI","TAM"))</f>
        <v/>
      </c>
    </row>
    <row r="489">
      <c r="G489" s="22">
        <f>IF($A489="","",IF(OR($D489="",$D489&lt;=0),"HATALI","TAM"))</f>
        <v/>
      </c>
    </row>
    <row r="490">
      <c r="G490" s="22">
        <f>IF($A490="","",IF(OR($D490="",$D490&lt;=0),"HATALI","TAM"))</f>
        <v/>
      </c>
    </row>
    <row r="491">
      <c r="G491" s="22">
        <f>IF($A491="","",IF(OR($D491="",$D491&lt;=0),"HATALI","TAM"))</f>
        <v/>
      </c>
    </row>
    <row r="492">
      <c r="G492" s="22">
        <f>IF($A492="","",IF(OR($D492="",$D492&lt;=0),"HATALI","TAM"))</f>
        <v/>
      </c>
    </row>
    <row r="493">
      <c r="G493" s="22">
        <f>IF($A493="","",IF(OR($D493="",$D493&lt;=0),"HATALI","TAM"))</f>
        <v/>
      </c>
    </row>
    <row r="494">
      <c r="G494" s="22">
        <f>IF($A494="","",IF(OR($D494="",$D494&lt;=0),"HATALI","TAM"))</f>
        <v/>
      </c>
    </row>
    <row r="495">
      <c r="G495" s="22">
        <f>IF($A495="","",IF(OR($D495="",$D495&lt;=0),"HATALI","TAM"))</f>
        <v/>
      </c>
    </row>
    <row r="496">
      <c r="G496" s="22">
        <f>IF($A496="","",IF(OR($D496="",$D496&lt;=0),"HATALI","TAM"))</f>
        <v/>
      </c>
    </row>
    <row r="497">
      <c r="G497" s="22">
        <f>IF($A497="","",IF(OR($D497="",$D497&lt;=0),"HATALI","TAM"))</f>
        <v/>
      </c>
    </row>
    <row r="498">
      <c r="G498" s="22">
        <f>IF($A498="","",IF(OR($D498="",$D498&lt;=0),"HATALI","TAM"))</f>
        <v/>
      </c>
    </row>
    <row r="499">
      <c r="G499" s="22">
        <f>IF($A499="","",IF(OR($D499="",$D499&lt;=0),"HATALI","TAM"))</f>
        <v/>
      </c>
    </row>
    <row r="500">
      <c r="G500" s="22">
        <f>IF($A500="","",IF(OR($D500="",$D500&lt;=0),"HATALI","TAM"))</f>
        <v/>
      </c>
    </row>
    <row r="501">
      <c r="G501" s="22">
        <f>IF($A501="","",IF(OR($D501="",$D501&lt;=0),"HATALI","TAM"))</f>
        <v/>
      </c>
    </row>
    <row r="502">
      <c r="G502" s="22">
        <f>IF($A502="","",IF(OR($D502="",$D502&lt;=0),"HATALI","TAM"))</f>
        <v/>
      </c>
    </row>
    <row r="503">
      <c r="G503" s="22">
        <f>IF($A503="","",IF(OR($D503="",$D503&lt;=0),"HATALI","TAM"))</f>
        <v/>
      </c>
    </row>
    <row r="504">
      <c r="G504" s="22">
        <f>IF($A504="","",IF(OR($D504="",$D504&lt;=0),"HATALI","TAM"))</f>
        <v/>
      </c>
    </row>
    <row r="505">
      <c r="G505" s="22">
        <f>IF($A505="","",IF(OR($D505="",$D505&lt;=0),"HATALI","TAM"))</f>
        <v/>
      </c>
    </row>
    <row r="506">
      <c r="G506" s="22">
        <f>IF($A506="","",IF(OR($D506="",$D506&lt;=0),"HATALI","TAM"))</f>
        <v/>
      </c>
    </row>
    <row r="507">
      <c r="G507" s="22">
        <f>IF($A507="","",IF(OR($D507="",$D507&lt;=0),"HATALI","TAM"))</f>
        <v/>
      </c>
    </row>
    <row r="508">
      <c r="G508" s="22">
        <f>IF($A508="","",IF(OR($D508="",$D508&lt;=0),"HATALI","TAM"))</f>
        <v/>
      </c>
    </row>
    <row r="509">
      <c r="G509" s="22">
        <f>IF($A509="","",IF(OR($D509="",$D509&lt;=0),"HATALI","TAM"))</f>
        <v/>
      </c>
    </row>
    <row r="510">
      <c r="G510" s="22">
        <f>IF($A510="","",IF(OR($D510="",$D510&lt;=0),"HATALI","TAM"))</f>
        <v/>
      </c>
    </row>
    <row r="511">
      <c r="G511" s="22">
        <f>IF($A511="","",IF(OR($D511="",$D511&lt;=0),"HATALI","TAM"))</f>
        <v/>
      </c>
    </row>
    <row r="512">
      <c r="G512" s="22">
        <f>IF($A512="","",IF(OR($D512="",$D512&lt;=0),"HATALI","TAM"))</f>
        <v/>
      </c>
    </row>
    <row r="513">
      <c r="G513" s="22">
        <f>IF($A513="","",IF(OR($D513="",$D513&lt;=0),"HATALI","TAM"))</f>
        <v/>
      </c>
    </row>
    <row r="514">
      <c r="G514" s="22">
        <f>IF($A514="","",IF(OR($D514="",$D514&lt;=0),"HATALI","TAM"))</f>
        <v/>
      </c>
    </row>
    <row r="515">
      <c r="G515" s="22">
        <f>IF($A515="","",IF(OR($D515="",$D515&lt;=0),"HATALI","TAM"))</f>
        <v/>
      </c>
    </row>
    <row r="516">
      <c r="G516" s="22">
        <f>IF($A516="","",IF(OR($D516="",$D516&lt;=0),"HATALI","TAM"))</f>
        <v/>
      </c>
    </row>
    <row r="517">
      <c r="G517" s="22">
        <f>IF($A517="","",IF(OR($D517="",$D517&lt;=0),"HATALI","TAM"))</f>
        <v/>
      </c>
    </row>
    <row r="518">
      <c r="G518" s="22">
        <f>IF($A518="","",IF(OR($D518="",$D518&lt;=0),"HATALI","TAM"))</f>
        <v/>
      </c>
    </row>
    <row r="519">
      <c r="G519" s="22">
        <f>IF($A519="","",IF(OR($D519="",$D519&lt;=0),"HATALI","TAM"))</f>
        <v/>
      </c>
    </row>
    <row r="520">
      <c r="G520" s="22">
        <f>IF($A520="","",IF(OR($D520="",$D520&lt;=0),"HATALI","TAM"))</f>
        <v/>
      </c>
    </row>
    <row r="521">
      <c r="G521" s="22">
        <f>IF($A521="","",IF(OR($D521="",$D521&lt;=0),"HATALI","TAM"))</f>
        <v/>
      </c>
    </row>
    <row r="522">
      <c r="G522" s="22">
        <f>IF($A522="","",IF(OR($D522="",$D522&lt;=0),"HATALI","TAM"))</f>
        <v/>
      </c>
    </row>
    <row r="523">
      <c r="G523" s="22">
        <f>IF($A523="","",IF(OR($D523="",$D523&lt;=0),"HATALI","TAM"))</f>
        <v/>
      </c>
    </row>
    <row r="524">
      <c r="G524" s="22">
        <f>IF($A524="","",IF(OR($D524="",$D524&lt;=0),"HATALI","TAM"))</f>
        <v/>
      </c>
    </row>
    <row r="525">
      <c r="G525" s="22">
        <f>IF($A525="","",IF(OR($D525="",$D525&lt;=0),"HATALI","TAM"))</f>
        <v/>
      </c>
    </row>
    <row r="526">
      <c r="G526" s="22">
        <f>IF($A526="","",IF(OR($D526="",$D526&lt;=0),"HATALI","TAM"))</f>
        <v/>
      </c>
    </row>
    <row r="527">
      <c r="G527" s="22">
        <f>IF($A527="","",IF(OR($D527="",$D527&lt;=0),"HATALI","TAM"))</f>
        <v/>
      </c>
    </row>
    <row r="528">
      <c r="G528" s="22">
        <f>IF($A528="","",IF(OR($D528="",$D528&lt;=0),"HATALI","TAM"))</f>
        <v/>
      </c>
    </row>
    <row r="529">
      <c r="G529" s="22">
        <f>IF($A529="","",IF(OR($D529="",$D529&lt;=0),"HATALI","TAM"))</f>
        <v/>
      </c>
    </row>
    <row r="530">
      <c r="G530" s="22">
        <f>IF($A530="","",IF(OR($D530="",$D530&lt;=0),"HATALI","TAM"))</f>
        <v/>
      </c>
    </row>
    <row r="531">
      <c r="G531" s="22">
        <f>IF($A531="","",IF(OR($D531="",$D531&lt;=0),"HATALI","TAM"))</f>
        <v/>
      </c>
    </row>
    <row r="532">
      <c r="G532" s="22">
        <f>IF($A532="","",IF(OR($D532="",$D532&lt;=0),"HATALI","TAM"))</f>
        <v/>
      </c>
    </row>
    <row r="533">
      <c r="G533" s="22">
        <f>IF($A533="","",IF(OR($D533="",$D533&lt;=0),"HATALI","TAM"))</f>
        <v/>
      </c>
    </row>
    <row r="534">
      <c r="G534" s="22">
        <f>IF($A534="","",IF(OR($D534="",$D534&lt;=0),"HATALI","TAM"))</f>
        <v/>
      </c>
    </row>
    <row r="535">
      <c r="G535" s="22">
        <f>IF($A535="","",IF(OR($D535="",$D535&lt;=0),"HATALI","TAM"))</f>
        <v/>
      </c>
    </row>
    <row r="536">
      <c r="G536" s="22">
        <f>IF($A536="","",IF(OR($D536="",$D536&lt;=0),"HATALI","TAM"))</f>
        <v/>
      </c>
    </row>
    <row r="537">
      <c r="G537" s="22">
        <f>IF($A537="","",IF(OR($D537="",$D537&lt;=0),"HATALI","TAM"))</f>
        <v/>
      </c>
    </row>
    <row r="538">
      <c r="G538" s="22">
        <f>IF($A538="","",IF(OR($D538="",$D538&lt;=0),"HATALI","TAM"))</f>
        <v/>
      </c>
    </row>
    <row r="539">
      <c r="G539" s="22">
        <f>IF($A539="","",IF(OR($D539="",$D539&lt;=0),"HATALI","TAM"))</f>
        <v/>
      </c>
    </row>
    <row r="540">
      <c r="G540" s="22">
        <f>IF($A540="","",IF(OR($D540="",$D540&lt;=0),"HATALI","TAM"))</f>
        <v/>
      </c>
    </row>
    <row r="541">
      <c r="G541" s="22">
        <f>IF($A541="","",IF(OR($D541="",$D541&lt;=0),"HATALI","TAM"))</f>
        <v/>
      </c>
    </row>
    <row r="542">
      <c r="G542" s="22">
        <f>IF($A542="","",IF(OR($D542="",$D542&lt;=0),"HATALI","TAM"))</f>
        <v/>
      </c>
    </row>
    <row r="543">
      <c r="G543" s="22">
        <f>IF($A543="","",IF(OR($D543="",$D543&lt;=0),"HATALI","TAM"))</f>
        <v/>
      </c>
    </row>
    <row r="544">
      <c r="G544" s="22">
        <f>IF($A544="","",IF(OR($D544="",$D544&lt;=0),"HATALI","TAM"))</f>
        <v/>
      </c>
    </row>
    <row r="545">
      <c r="G545" s="22">
        <f>IF($A545="","",IF(OR($D545="",$D545&lt;=0),"HATALI","TAM"))</f>
        <v/>
      </c>
    </row>
    <row r="546">
      <c r="G546" s="22">
        <f>IF($A546="","",IF(OR($D546="",$D546&lt;=0),"HATALI","TAM"))</f>
        <v/>
      </c>
    </row>
    <row r="547">
      <c r="G547" s="22">
        <f>IF($A547="","",IF(OR($D547="",$D547&lt;=0),"HATALI","TAM"))</f>
        <v/>
      </c>
    </row>
    <row r="548">
      <c r="G548" s="22">
        <f>IF($A548="","",IF(OR($D548="",$D548&lt;=0),"HATALI","TAM"))</f>
        <v/>
      </c>
    </row>
    <row r="549">
      <c r="G549" s="22">
        <f>IF($A549="","",IF(OR($D549="",$D549&lt;=0),"HATALI","TAM"))</f>
        <v/>
      </c>
    </row>
    <row r="550">
      <c r="G550" s="22">
        <f>IF($A550="","",IF(OR($D550="",$D550&lt;=0),"HATALI","TAM"))</f>
        <v/>
      </c>
    </row>
    <row r="551">
      <c r="G551" s="22">
        <f>IF($A551="","",IF(OR($D551="",$D551&lt;=0),"HATALI","TAM"))</f>
        <v/>
      </c>
    </row>
    <row r="552">
      <c r="G552" s="22">
        <f>IF($A552="","",IF(OR($D552="",$D552&lt;=0),"HATALI","TAM"))</f>
        <v/>
      </c>
    </row>
    <row r="553">
      <c r="G553" s="22">
        <f>IF($A553="","",IF(OR($D553="",$D553&lt;=0),"HATALI","TAM"))</f>
        <v/>
      </c>
    </row>
    <row r="554">
      <c r="G554" s="22">
        <f>IF($A554="","",IF(OR($D554="",$D554&lt;=0),"HATALI","TAM"))</f>
        <v/>
      </c>
    </row>
    <row r="555">
      <c r="G555" s="22">
        <f>IF($A555="","",IF(OR($D555="",$D555&lt;=0),"HATALI","TAM"))</f>
        <v/>
      </c>
    </row>
    <row r="556">
      <c r="G556" s="22">
        <f>IF($A556="","",IF(OR($D556="",$D556&lt;=0),"HATALI","TAM"))</f>
        <v/>
      </c>
    </row>
    <row r="557">
      <c r="G557" s="22">
        <f>IF($A557="","",IF(OR($D557="",$D557&lt;=0),"HATALI","TAM"))</f>
        <v/>
      </c>
    </row>
    <row r="558">
      <c r="G558" s="22">
        <f>IF($A558="","",IF(OR($D558="",$D558&lt;=0),"HATALI","TAM"))</f>
        <v/>
      </c>
    </row>
    <row r="559">
      <c r="G559" s="22">
        <f>IF($A559="","",IF(OR($D559="",$D559&lt;=0),"HATALI","TAM"))</f>
        <v/>
      </c>
    </row>
    <row r="560">
      <c r="G560" s="22">
        <f>IF($A560="","",IF(OR($D560="",$D560&lt;=0),"HATALI","TAM"))</f>
        <v/>
      </c>
    </row>
    <row r="561">
      <c r="G561" s="22">
        <f>IF($A561="","",IF(OR($D561="",$D561&lt;=0),"HATALI","TAM"))</f>
        <v/>
      </c>
    </row>
    <row r="562">
      <c r="G562" s="22">
        <f>IF($A562="","",IF(OR($D562="",$D562&lt;=0),"HATALI","TAM"))</f>
        <v/>
      </c>
    </row>
    <row r="563">
      <c r="G563" s="22">
        <f>IF($A563="","",IF(OR($D563="",$D563&lt;=0),"HATALI","TAM"))</f>
        <v/>
      </c>
    </row>
    <row r="564">
      <c r="G564" s="22">
        <f>IF($A564="","",IF(OR($D564="",$D564&lt;=0),"HATALI","TAM"))</f>
        <v/>
      </c>
    </row>
    <row r="565">
      <c r="G565" s="22">
        <f>IF($A565="","",IF(OR($D565="",$D565&lt;=0),"HATALI","TAM"))</f>
        <v/>
      </c>
    </row>
    <row r="566">
      <c r="G566" s="22">
        <f>IF($A566="","",IF(OR($D566="",$D566&lt;=0),"HATALI","TAM"))</f>
        <v/>
      </c>
    </row>
    <row r="567">
      <c r="G567" s="22">
        <f>IF($A567="","",IF(OR($D567="",$D567&lt;=0),"HATALI","TAM"))</f>
        <v/>
      </c>
    </row>
    <row r="568">
      <c r="G568" s="22">
        <f>IF($A568="","",IF(OR($D568="",$D568&lt;=0),"HATALI","TAM"))</f>
        <v/>
      </c>
    </row>
    <row r="569">
      <c r="G569" s="22">
        <f>IF($A569="","",IF(OR($D569="",$D569&lt;=0),"HATALI","TAM"))</f>
        <v/>
      </c>
    </row>
    <row r="570">
      <c r="G570" s="22">
        <f>IF($A570="","",IF(OR($D570="",$D570&lt;=0),"HATALI","TAM"))</f>
        <v/>
      </c>
    </row>
    <row r="571">
      <c r="G571" s="22">
        <f>IF($A571="","",IF(OR($D571="",$D571&lt;=0),"HATALI","TAM"))</f>
        <v/>
      </c>
    </row>
    <row r="572">
      <c r="G572" s="22">
        <f>IF($A572="","",IF(OR($D572="",$D572&lt;=0),"HATALI","TAM"))</f>
        <v/>
      </c>
    </row>
    <row r="573">
      <c r="G573" s="22">
        <f>IF($A573="","",IF(OR($D573="",$D573&lt;=0),"HATALI","TAM"))</f>
        <v/>
      </c>
    </row>
    <row r="574">
      <c r="G574" s="22">
        <f>IF($A574="","",IF(OR($D574="",$D574&lt;=0),"HATALI","TAM"))</f>
        <v/>
      </c>
    </row>
    <row r="575">
      <c r="G575" s="22">
        <f>IF($A575="","",IF(OR($D575="",$D575&lt;=0),"HATALI","TAM"))</f>
        <v/>
      </c>
    </row>
    <row r="576">
      <c r="G576" s="22">
        <f>IF($A576="","",IF(OR($D576="",$D576&lt;=0),"HATALI","TAM"))</f>
        <v/>
      </c>
    </row>
    <row r="577">
      <c r="G577" s="22">
        <f>IF($A577="","",IF(OR($D577="",$D577&lt;=0),"HATALI","TAM"))</f>
        <v/>
      </c>
    </row>
    <row r="578">
      <c r="G578" s="22">
        <f>IF($A578="","",IF(OR($D578="",$D578&lt;=0),"HATALI","TAM"))</f>
        <v/>
      </c>
    </row>
    <row r="579">
      <c r="G579" s="22">
        <f>IF($A579="","",IF(OR($D579="",$D579&lt;=0),"HATALI","TAM"))</f>
        <v/>
      </c>
    </row>
    <row r="580">
      <c r="G580" s="22">
        <f>IF($A580="","",IF(OR($D580="",$D580&lt;=0),"HATALI","TAM"))</f>
        <v/>
      </c>
    </row>
    <row r="581">
      <c r="G581" s="22">
        <f>IF($A581="","",IF(OR($D581="",$D581&lt;=0),"HATALI","TAM"))</f>
        <v/>
      </c>
    </row>
    <row r="582">
      <c r="G582" s="22">
        <f>IF($A582="","",IF(OR($D582="",$D582&lt;=0),"HATALI","TAM"))</f>
        <v/>
      </c>
    </row>
    <row r="583">
      <c r="G583" s="22">
        <f>IF($A583="","",IF(OR($D583="",$D583&lt;=0),"HATALI","TAM"))</f>
        <v/>
      </c>
    </row>
    <row r="584">
      <c r="G584" s="22">
        <f>IF($A584="","",IF(OR($D584="",$D584&lt;=0),"HATALI","TAM"))</f>
        <v/>
      </c>
    </row>
    <row r="585">
      <c r="G585" s="22">
        <f>IF($A585="","",IF(OR($D585="",$D585&lt;=0),"HATALI","TAM"))</f>
        <v/>
      </c>
    </row>
    <row r="586">
      <c r="G586" s="22">
        <f>IF($A586="","",IF(OR($D586="",$D586&lt;=0),"HATALI","TAM"))</f>
        <v/>
      </c>
    </row>
    <row r="587">
      <c r="G587" s="22">
        <f>IF($A587="","",IF(OR($D587="",$D587&lt;=0),"HATALI","TAM"))</f>
        <v/>
      </c>
    </row>
    <row r="588">
      <c r="G588" s="22">
        <f>IF($A588="","",IF(OR($D588="",$D588&lt;=0),"HATALI","TAM"))</f>
        <v/>
      </c>
    </row>
    <row r="589">
      <c r="G589" s="22">
        <f>IF($A589="","",IF(OR($D589="",$D589&lt;=0),"HATALI","TAM"))</f>
        <v/>
      </c>
    </row>
    <row r="590">
      <c r="G590" s="22">
        <f>IF($A590="","",IF(OR($D590="",$D590&lt;=0),"HATALI","TAM"))</f>
        <v/>
      </c>
    </row>
    <row r="591">
      <c r="G591" s="22">
        <f>IF($A591="","",IF(OR($D591="",$D591&lt;=0),"HATALI","TAM"))</f>
        <v/>
      </c>
    </row>
    <row r="592">
      <c r="G592" s="22">
        <f>IF($A592="","",IF(OR($D592="",$D592&lt;=0),"HATALI","TAM"))</f>
        <v/>
      </c>
    </row>
    <row r="593">
      <c r="G593" s="22">
        <f>IF($A593="","",IF(OR($D593="",$D593&lt;=0),"HATALI","TAM"))</f>
        <v/>
      </c>
    </row>
    <row r="594">
      <c r="G594" s="22">
        <f>IF($A594="","",IF(OR($D594="",$D594&lt;=0),"HATALI","TAM"))</f>
        <v/>
      </c>
    </row>
    <row r="595">
      <c r="G595" s="22">
        <f>IF($A595="","",IF(OR($D595="",$D595&lt;=0),"HATALI","TAM"))</f>
        <v/>
      </c>
    </row>
    <row r="596">
      <c r="G596" s="22">
        <f>IF($A596="","",IF(OR($D596="",$D596&lt;=0),"HATALI","TAM"))</f>
        <v/>
      </c>
    </row>
    <row r="597">
      <c r="G597" s="22">
        <f>IF($A597="","",IF(OR($D597="",$D597&lt;=0),"HATALI","TAM"))</f>
        <v/>
      </c>
    </row>
    <row r="598">
      <c r="G598" s="22">
        <f>IF($A598="","",IF(OR($D598="",$D598&lt;=0),"HATALI","TAM"))</f>
        <v/>
      </c>
    </row>
    <row r="599">
      <c r="G599" s="22">
        <f>IF($A599="","",IF(OR($D599="",$D599&lt;=0),"HATALI","TAM"))</f>
        <v/>
      </c>
    </row>
    <row r="600">
      <c r="G600" s="22">
        <f>IF($A600="","",IF(OR($D600="",$D600&lt;=0),"HATALI","TAM"))</f>
        <v/>
      </c>
    </row>
    <row r="601">
      <c r="G601" s="22">
        <f>IF($A601="","",IF(OR($D601="",$D601&lt;=0),"HATALI","TAM"))</f>
        <v/>
      </c>
    </row>
    <row r="602">
      <c r="G602" s="22">
        <f>IF($A602="","",IF(OR($D602="",$D602&lt;=0),"HATALI","TAM"))</f>
        <v/>
      </c>
    </row>
    <row r="603">
      <c r="G603" s="22">
        <f>IF($A603="","",IF(OR($D603="",$D603&lt;=0),"HATALI","TAM"))</f>
        <v/>
      </c>
    </row>
    <row r="604">
      <c r="G604" s="22">
        <f>IF($A604="","",IF(OR($D604="",$D604&lt;=0),"HATALI","TAM"))</f>
        <v/>
      </c>
    </row>
    <row r="605">
      <c r="G605" s="22">
        <f>IF($A605="","",IF(OR($D605="",$D605&lt;=0),"HATALI","TAM"))</f>
        <v/>
      </c>
    </row>
    <row r="606">
      <c r="G606" s="22">
        <f>IF($A606="","",IF(OR($D606="",$D606&lt;=0),"HATALI","TAM"))</f>
        <v/>
      </c>
    </row>
    <row r="607">
      <c r="G607" s="22">
        <f>IF($A607="","",IF(OR($D607="",$D607&lt;=0),"HATALI","TAM"))</f>
        <v/>
      </c>
    </row>
    <row r="608">
      <c r="G608" s="22">
        <f>IF($A608="","",IF(OR($D608="",$D608&lt;=0),"HATALI","TAM"))</f>
        <v/>
      </c>
    </row>
    <row r="609">
      <c r="G609" s="22">
        <f>IF($A609="","",IF(OR($D609="",$D609&lt;=0),"HATALI","TAM"))</f>
        <v/>
      </c>
    </row>
    <row r="610">
      <c r="G610" s="22">
        <f>IF($A610="","",IF(OR($D610="",$D610&lt;=0),"HATALI","TAM"))</f>
        <v/>
      </c>
    </row>
    <row r="611">
      <c r="G611" s="22">
        <f>IF($A611="","",IF(OR($D611="",$D611&lt;=0),"HATALI","TAM"))</f>
        <v/>
      </c>
    </row>
    <row r="612">
      <c r="G612" s="22">
        <f>IF($A612="","",IF(OR($D612="",$D612&lt;=0),"HATALI","TAM"))</f>
        <v/>
      </c>
    </row>
    <row r="613">
      <c r="G613" s="22">
        <f>IF($A613="","",IF(OR($D613="",$D613&lt;=0),"HATALI","TAM"))</f>
        <v/>
      </c>
    </row>
    <row r="614">
      <c r="G614" s="22">
        <f>IF($A614="","",IF(OR($D614="",$D614&lt;=0),"HATALI","TAM"))</f>
        <v/>
      </c>
    </row>
    <row r="615">
      <c r="G615" s="22">
        <f>IF($A615="","",IF(OR($D615="",$D615&lt;=0),"HATALI","TAM"))</f>
        <v/>
      </c>
    </row>
    <row r="616">
      <c r="G616" s="22">
        <f>IF($A616="","",IF(OR($D616="",$D616&lt;=0),"HATALI","TAM"))</f>
        <v/>
      </c>
    </row>
    <row r="617">
      <c r="G617" s="22">
        <f>IF($A617="","",IF(OR($D617="",$D617&lt;=0),"HATALI","TAM"))</f>
        <v/>
      </c>
    </row>
    <row r="618">
      <c r="G618" s="22">
        <f>IF($A618="","",IF(OR($D618="",$D618&lt;=0),"HATALI","TAM"))</f>
        <v/>
      </c>
    </row>
    <row r="619">
      <c r="G619" s="22">
        <f>IF($A619="","",IF(OR($D619="",$D619&lt;=0),"HATALI","TAM"))</f>
        <v/>
      </c>
    </row>
    <row r="620">
      <c r="G620" s="22">
        <f>IF($A620="","",IF(OR($D620="",$D620&lt;=0),"HATALI","TAM"))</f>
        <v/>
      </c>
    </row>
    <row r="621">
      <c r="G621" s="22">
        <f>IF($A621="","",IF(OR($D621="",$D621&lt;=0),"HATALI","TAM"))</f>
        <v/>
      </c>
    </row>
    <row r="622">
      <c r="G622" s="22">
        <f>IF($A622="","",IF(OR($D622="",$D622&lt;=0),"HATALI","TAM"))</f>
        <v/>
      </c>
    </row>
    <row r="623">
      <c r="G623" s="22">
        <f>IF($A623="","",IF(OR($D623="",$D623&lt;=0),"HATALI","TAM"))</f>
        <v/>
      </c>
    </row>
    <row r="624">
      <c r="G624" s="22">
        <f>IF($A624="","",IF(OR($D624="",$D624&lt;=0),"HATALI","TAM"))</f>
        <v/>
      </c>
    </row>
    <row r="625">
      <c r="G625" s="22">
        <f>IF($A625="","",IF(OR($D625="",$D625&lt;=0),"HATALI","TAM"))</f>
        <v/>
      </c>
    </row>
    <row r="626">
      <c r="G626" s="22">
        <f>IF($A626="","",IF(OR($D626="",$D626&lt;=0),"HATALI","TAM"))</f>
        <v/>
      </c>
    </row>
    <row r="627">
      <c r="G627" s="22">
        <f>IF($A627="","",IF(OR($D627="",$D627&lt;=0),"HATALI","TAM"))</f>
        <v/>
      </c>
    </row>
    <row r="628">
      <c r="G628" s="22">
        <f>IF($A628="","",IF(OR($D628="",$D628&lt;=0),"HATALI","TAM"))</f>
        <v/>
      </c>
    </row>
    <row r="629">
      <c r="G629" s="22">
        <f>IF($A629="","",IF(OR($D629="",$D629&lt;=0),"HATALI","TAM"))</f>
        <v/>
      </c>
    </row>
    <row r="630">
      <c r="G630" s="22">
        <f>IF($A630="","",IF(OR($D630="",$D630&lt;=0),"HATALI","TAM"))</f>
        <v/>
      </c>
    </row>
    <row r="631">
      <c r="G631" s="22">
        <f>IF($A631="","",IF(OR($D631="",$D631&lt;=0),"HATALI","TAM"))</f>
        <v/>
      </c>
    </row>
    <row r="632">
      <c r="G632" s="22">
        <f>IF($A632="","",IF(OR($D632="",$D632&lt;=0),"HATALI","TAM"))</f>
        <v/>
      </c>
    </row>
    <row r="633">
      <c r="G633" s="22">
        <f>IF($A633="","",IF(OR($D633="",$D633&lt;=0),"HATALI","TAM"))</f>
        <v/>
      </c>
    </row>
    <row r="634">
      <c r="G634" s="22">
        <f>IF($A634="","",IF(OR($D634="",$D634&lt;=0),"HATALI","TAM"))</f>
        <v/>
      </c>
    </row>
    <row r="635">
      <c r="G635" s="22">
        <f>IF($A635="","",IF(OR($D635="",$D635&lt;=0),"HATALI","TAM"))</f>
        <v/>
      </c>
    </row>
    <row r="636">
      <c r="G636" s="22">
        <f>IF($A636="","",IF(OR($D636="",$D636&lt;=0),"HATALI","TAM"))</f>
        <v/>
      </c>
    </row>
    <row r="637">
      <c r="G637" s="22">
        <f>IF($A637="","",IF(OR($D637="",$D637&lt;=0),"HATALI","TAM"))</f>
        <v/>
      </c>
    </row>
    <row r="638">
      <c r="G638" s="22">
        <f>IF($A638="","",IF(OR($D638="",$D638&lt;=0),"HATALI","TAM"))</f>
        <v/>
      </c>
    </row>
    <row r="639">
      <c r="G639" s="22">
        <f>IF($A639="","",IF(OR($D639="",$D639&lt;=0),"HATALI","TAM"))</f>
        <v/>
      </c>
    </row>
    <row r="640">
      <c r="G640" s="22">
        <f>IF($A640="","",IF(OR($D640="",$D640&lt;=0),"HATALI","TAM"))</f>
        <v/>
      </c>
    </row>
    <row r="641">
      <c r="G641" s="22">
        <f>IF($A641="","",IF(OR($D641="",$D641&lt;=0),"HATALI","TAM"))</f>
        <v/>
      </c>
    </row>
    <row r="642">
      <c r="G642" s="22">
        <f>IF($A642="","",IF(OR($D642="",$D642&lt;=0),"HATALI","TAM"))</f>
        <v/>
      </c>
    </row>
    <row r="643">
      <c r="G643" s="22">
        <f>IF($A643="","",IF(OR($D643="",$D643&lt;=0),"HATALI","TAM"))</f>
        <v/>
      </c>
    </row>
    <row r="644">
      <c r="G644" s="22">
        <f>IF($A644="","",IF(OR($D644="",$D644&lt;=0),"HATALI","TAM"))</f>
        <v/>
      </c>
    </row>
    <row r="645">
      <c r="G645" s="22">
        <f>IF($A645="","",IF(OR($D645="",$D645&lt;=0),"HATALI","TAM"))</f>
        <v/>
      </c>
    </row>
    <row r="646">
      <c r="G646" s="22">
        <f>IF($A646="","",IF(OR($D646="",$D646&lt;=0),"HATALI","TAM"))</f>
        <v/>
      </c>
    </row>
    <row r="647">
      <c r="G647" s="22">
        <f>IF($A647="","",IF(OR($D647="",$D647&lt;=0),"HATALI","TAM"))</f>
        <v/>
      </c>
    </row>
    <row r="648">
      <c r="G648" s="22">
        <f>IF($A648="","",IF(OR($D648="",$D648&lt;=0),"HATALI","TAM"))</f>
        <v/>
      </c>
    </row>
    <row r="649">
      <c r="G649" s="22">
        <f>IF($A649="","",IF(OR($D649="",$D649&lt;=0),"HATALI","TAM"))</f>
        <v/>
      </c>
    </row>
    <row r="650">
      <c r="G650" s="22">
        <f>IF($A650="","",IF(OR($D650="",$D650&lt;=0),"HATALI","TAM"))</f>
        <v/>
      </c>
    </row>
    <row r="651">
      <c r="G651" s="22">
        <f>IF($A651="","",IF(OR($D651="",$D651&lt;=0),"HATALI","TAM"))</f>
        <v/>
      </c>
    </row>
    <row r="652">
      <c r="G652" s="22">
        <f>IF($A652="","",IF(OR($D652="",$D652&lt;=0),"HATALI","TAM"))</f>
        <v/>
      </c>
    </row>
    <row r="653">
      <c r="G653" s="22">
        <f>IF($A653="","",IF(OR($D653="",$D653&lt;=0),"HATALI","TAM"))</f>
        <v/>
      </c>
    </row>
    <row r="654">
      <c r="G654" s="22">
        <f>IF($A654="","",IF(OR($D654="",$D654&lt;=0),"HATALI","TAM"))</f>
        <v/>
      </c>
    </row>
    <row r="655">
      <c r="G655" s="22">
        <f>IF($A655="","",IF(OR($D655="",$D655&lt;=0),"HATALI","TAM"))</f>
        <v/>
      </c>
    </row>
    <row r="656">
      <c r="G656" s="22">
        <f>IF($A656="","",IF(OR($D656="",$D656&lt;=0),"HATALI","TAM"))</f>
        <v/>
      </c>
    </row>
    <row r="657">
      <c r="G657" s="22">
        <f>IF($A657="","",IF(OR($D657="",$D657&lt;=0),"HATALI","TAM"))</f>
        <v/>
      </c>
    </row>
    <row r="658">
      <c r="G658" s="22">
        <f>IF($A658="","",IF(OR($D658="",$D658&lt;=0),"HATALI","TAM"))</f>
        <v/>
      </c>
    </row>
    <row r="659">
      <c r="G659" s="22">
        <f>IF($A659="","",IF(OR($D659="",$D659&lt;=0),"HATALI","TAM"))</f>
        <v/>
      </c>
    </row>
    <row r="660">
      <c r="G660" s="22">
        <f>IF($A660="","",IF(OR($D660="",$D660&lt;=0),"HATALI","TAM"))</f>
        <v/>
      </c>
    </row>
    <row r="661">
      <c r="G661" s="22">
        <f>IF($A661="","",IF(OR($D661="",$D661&lt;=0),"HATALI","TAM"))</f>
        <v/>
      </c>
    </row>
    <row r="662">
      <c r="G662" s="22">
        <f>IF($A662="","",IF(OR($D662="",$D662&lt;=0),"HATALI","TAM"))</f>
        <v/>
      </c>
    </row>
    <row r="663">
      <c r="G663" s="22">
        <f>IF($A663="","",IF(OR($D663="",$D663&lt;=0),"HATALI","TAM"))</f>
        <v/>
      </c>
    </row>
    <row r="664">
      <c r="G664" s="22">
        <f>IF($A664="","",IF(OR($D664="",$D664&lt;=0),"HATALI","TAM"))</f>
        <v/>
      </c>
    </row>
    <row r="665">
      <c r="G665" s="22">
        <f>IF($A665="","",IF(OR($D665="",$D665&lt;=0),"HATALI","TAM"))</f>
        <v/>
      </c>
    </row>
    <row r="666">
      <c r="G666" s="22">
        <f>IF($A666="","",IF(OR($D666="",$D666&lt;=0),"HATALI","TAM"))</f>
        <v/>
      </c>
    </row>
    <row r="667">
      <c r="G667" s="22">
        <f>IF($A667="","",IF(OR($D667="",$D667&lt;=0),"HATALI","TAM"))</f>
        <v/>
      </c>
    </row>
    <row r="668">
      <c r="G668" s="22">
        <f>IF($A668="","",IF(OR($D668="",$D668&lt;=0),"HATALI","TAM"))</f>
        <v/>
      </c>
    </row>
    <row r="669">
      <c r="G669" s="22">
        <f>IF($A669="","",IF(OR($D669="",$D669&lt;=0),"HATALI","TAM"))</f>
        <v/>
      </c>
    </row>
    <row r="670">
      <c r="G670" s="22">
        <f>IF($A670="","",IF(OR($D670="",$D670&lt;=0),"HATALI","TAM"))</f>
        <v/>
      </c>
    </row>
    <row r="671">
      <c r="G671" s="22">
        <f>IF($A671="","",IF(OR($D671="",$D671&lt;=0),"HATALI","TAM"))</f>
        <v/>
      </c>
    </row>
    <row r="672">
      <c r="G672" s="22">
        <f>IF($A672="","",IF(OR($D672="",$D672&lt;=0),"HATALI","TAM"))</f>
        <v/>
      </c>
    </row>
    <row r="673">
      <c r="G673" s="22">
        <f>IF($A673="","",IF(OR($D673="",$D673&lt;=0),"HATALI","TAM"))</f>
        <v/>
      </c>
    </row>
    <row r="674">
      <c r="G674" s="22">
        <f>IF($A674="","",IF(OR($D674="",$D674&lt;=0),"HATALI","TAM"))</f>
        <v/>
      </c>
    </row>
    <row r="675">
      <c r="G675" s="22">
        <f>IF($A675="","",IF(OR($D675="",$D675&lt;=0),"HATALI","TAM"))</f>
        <v/>
      </c>
    </row>
    <row r="676">
      <c r="G676" s="22">
        <f>IF($A676="","",IF(OR($D676="",$D676&lt;=0),"HATALI","TAM"))</f>
        <v/>
      </c>
    </row>
    <row r="677">
      <c r="G677" s="22">
        <f>IF($A677="","",IF(OR($D677="",$D677&lt;=0),"HATALI","TAM"))</f>
        <v/>
      </c>
    </row>
    <row r="678">
      <c r="G678" s="22">
        <f>IF($A678="","",IF(OR($D678="",$D678&lt;=0),"HATALI","TAM"))</f>
        <v/>
      </c>
    </row>
    <row r="679">
      <c r="G679" s="22">
        <f>IF($A679="","",IF(OR($D679="",$D679&lt;=0),"HATALI","TAM"))</f>
        <v/>
      </c>
    </row>
    <row r="680">
      <c r="G680" s="22">
        <f>IF($A680="","",IF(OR($D680="",$D680&lt;=0),"HATALI","TAM"))</f>
        <v/>
      </c>
    </row>
    <row r="681">
      <c r="G681" s="22">
        <f>IF($A681="","",IF(OR($D681="",$D681&lt;=0),"HATALI","TAM"))</f>
        <v/>
      </c>
    </row>
    <row r="682">
      <c r="G682" s="22">
        <f>IF($A682="","",IF(OR($D682="",$D682&lt;=0),"HATALI","TAM"))</f>
        <v/>
      </c>
    </row>
    <row r="683">
      <c r="G683" s="22">
        <f>IF($A683="","",IF(OR($D683="",$D683&lt;=0),"HATALI","TAM"))</f>
        <v/>
      </c>
    </row>
    <row r="684">
      <c r="G684" s="22">
        <f>IF($A684="","",IF(OR($D684="",$D684&lt;=0),"HATALI","TAM"))</f>
        <v/>
      </c>
    </row>
    <row r="685">
      <c r="G685" s="22">
        <f>IF($A685="","",IF(OR($D685="",$D685&lt;=0),"HATALI","TAM"))</f>
        <v/>
      </c>
    </row>
    <row r="686">
      <c r="G686" s="22">
        <f>IF($A686="","",IF(OR($D686="",$D686&lt;=0),"HATALI","TAM"))</f>
        <v/>
      </c>
    </row>
    <row r="687">
      <c r="G687" s="22">
        <f>IF($A687="","",IF(OR($D687="",$D687&lt;=0),"HATALI","TAM"))</f>
        <v/>
      </c>
    </row>
    <row r="688">
      <c r="G688" s="22">
        <f>IF($A688="","",IF(OR($D688="",$D688&lt;=0),"HATALI","TAM"))</f>
        <v/>
      </c>
    </row>
    <row r="689">
      <c r="G689" s="22">
        <f>IF($A689="","",IF(OR($D689="",$D689&lt;=0),"HATALI","TAM"))</f>
        <v/>
      </c>
    </row>
    <row r="690">
      <c r="G690" s="22">
        <f>IF($A690="","",IF(OR($D690="",$D690&lt;=0),"HATALI","TAM"))</f>
        <v/>
      </c>
    </row>
    <row r="691">
      <c r="G691" s="22">
        <f>IF($A691="","",IF(OR($D691="",$D691&lt;=0),"HATALI","TAM"))</f>
        <v/>
      </c>
    </row>
    <row r="692">
      <c r="G692" s="22">
        <f>IF($A692="","",IF(OR($D692="",$D692&lt;=0),"HATALI","TAM"))</f>
        <v/>
      </c>
    </row>
    <row r="693">
      <c r="G693" s="22">
        <f>IF($A693="","",IF(OR($D693="",$D693&lt;=0),"HATALI","TAM"))</f>
        <v/>
      </c>
    </row>
    <row r="694">
      <c r="G694" s="22">
        <f>IF($A694="","",IF(OR($D694="",$D694&lt;=0),"HATALI","TAM"))</f>
        <v/>
      </c>
    </row>
    <row r="695">
      <c r="G695" s="22">
        <f>IF($A695="","",IF(OR($D695="",$D695&lt;=0),"HATALI","TAM"))</f>
        <v/>
      </c>
    </row>
    <row r="696">
      <c r="G696" s="22">
        <f>IF($A696="","",IF(OR($D696="",$D696&lt;=0),"HATALI","TAM"))</f>
        <v/>
      </c>
    </row>
    <row r="697">
      <c r="G697" s="22">
        <f>IF($A697="","",IF(OR($D697="",$D697&lt;=0),"HATALI","TAM"))</f>
        <v/>
      </c>
    </row>
    <row r="698">
      <c r="G698" s="22">
        <f>IF($A698="","",IF(OR($D698="",$D698&lt;=0),"HATALI","TAM"))</f>
        <v/>
      </c>
    </row>
    <row r="699">
      <c r="G699" s="22">
        <f>IF($A699="","",IF(OR($D699="",$D699&lt;=0),"HATALI","TAM"))</f>
        <v/>
      </c>
    </row>
    <row r="700">
      <c r="G700" s="22">
        <f>IF($A700="","",IF(OR($D700="",$D700&lt;=0),"HATALI","TAM"))</f>
        <v/>
      </c>
    </row>
    <row r="701">
      <c r="G701" s="22">
        <f>IF($A701="","",IF(OR($D701="",$D701&lt;=0),"HATALI","TAM"))</f>
        <v/>
      </c>
    </row>
    <row r="702">
      <c r="G702" s="22">
        <f>IF($A702="","",IF(OR($D702="",$D702&lt;=0),"HATALI","TAM"))</f>
        <v/>
      </c>
    </row>
    <row r="703">
      <c r="G703" s="22">
        <f>IF($A703="","",IF(OR($D703="",$D703&lt;=0),"HATALI","TAM"))</f>
        <v/>
      </c>
    </row>
    <row r="704">
      <c r="G704" s="22">
        <f>IF($A704="","",IF(OR($D704="",$D704&lt;=0),"HATALI","TAM"))</f>
        <v/>
      </c>
    </row>
    <row r="705">
      <c r="G705" s="22">
        <f>IF($A705="","",IF(OR($D705="",$D705&lt;=0),"HATALI","TAM"))</f>
        <v/>
      </c>
    </row>
    <row r="706">
      <c r="G706" s="22">
        <f>IF($A706="","",IF(OR($D706="",$D706&lt;=0),"HATALI","TAM"))</f>
        <v/>
      </c>
    </row>
    <row r="707">
      <c r="G707" s="22">
        <f>IF($A707="","",IF(OR($D707="",$D707&lt;=0),"HATALI","TAM"))</f>
        <v/>
      </c>
    </row>
    <row r="708">
      <c r="G708" s="22">
        <f>IF($A708="","",IF(OR($D708="",$D708&lt;=0),"HATALI","TAM"))</f>
        <v/>
      </c>
    </row>
    <row r="709">
      <c r="G709" s="22">
        <f>IF($A709="","",IF(OR($D709="",$D709&lt;=0),"HATALI","TAM"))</f>
        <v/>
      </c>
    </row>
    <row r="710">
      <c r="G710" s="22">
        <f>IF($A710="","",IF(OR($D710="",$D710&lt;=0),"HATALI","TAM"))</f>
        <v/>
      </c>
    </row>
    <row r="711">
      <c r="G711" s="22">
        <f>IF($A711="","",IF(OR($D711="",$D711&lt;=0),"HATALI","TAM"))</f>
        <v/>
      </c>
    </row>
    <row r="712">
      <c r="G712" s="22">
        <f>IF($A712="","",IF(OR($D712="",$D712&lt;=0),"HATALI","TAM"))</f>
        <v/>
      </c>
    </row>
    <row r="713">
      <c r="G713" s="22">
        <f>IF($A713="","",IF(OR($D713="",$D713&lt;=0),"HATALI","TAM"))</f>
        <v/>
      </c>
    </row>
    <row r="714">
      <c r="G714" s="22">
        <f>IF($A714="","",IF(OR($D714="",$D714&lt;=0),"HATALI","TAM"))</f>
        <v/>
      </c>
    </row>
    <row r="715">
      <c r="G715" s="22">
        <f>IF($A715="","",IF(OR($D715="",$D715&lt;=0),"HATALI","TAM"))</f>
        <v/>
      </c>
    </row>
    <row r="716">
      <c r="G716" s="22">
        <f>IF($A716="","",IF(OR($D716="",$D716&lt;=0),"HATALI","TAM"))</f>
        <v/>
      </c>
    </row>
    <row r="717">
      <c r="G717" s="22">
        <f>IF($A717="","",IF(OR($D717="",$D717&lt;=0),"HATALI","TAM"))</f>
        <v/>
      </c>
    </row>
    <row r="718">
      <c r="G718" s="22">
        <f>IF($A718="","",IF(OR($D718="",$D718&lt;=0),"HATALI","TAM"))</f>
        <v/>
      </c>
    </row>
    <row r="719">
      <c r="G719" s="22">
        <f>IF($A719="","",IF(OR($D719="",$D719&lt;=0),"HATALI","TAM"))</f>
        <v/>
      </c>
    </row>
    <row r="720">
      <c r="G720" s="22">
        <f>IF($A720="","",IF(OR($D720="",$D720&lt;=0),"HATALI","TAM"))</f>
        <v/>
      </c>
    </row>
    <row r="721">
      <c r="G721" s="22">
        <f>IF($A721="","",IF(OR($D721="",$D721&lt;=0),"HATALI","TAM"))</f>
        <v/>
      </c>
    </row>
    <row r="722">
      <c r="G722" s="22">
        <f>IF($A722="","",IF(OR($D722="",$D722&lt;=0),"HATALI","TAM"))</f>
        <v/>
      </c>
    </row>
    <row r="723">
      <c r="G723" s="22">
        <f>IF($A723="","",IF(OR($D723="",$D723&lt;=0),"HATALI","TAM"))</f>
        <v/>
      </c>
    </row>
    <row r="724">
      <c r="G724" s="22">
        <f>IF($A724="","",IF(OR($D724="",$D724&lt;=0),"HATALI","TAM"))</f>
        <v/>
      </c>
    </row>
    <row r="725">
      <c r="G725" s="22">
        <f>IF($A725="","",IF(OR($D725="",$D725&lt;=0),"HATALI","TAM"))</f>
        <v/>
      </c>
    </row>
    <row r="726">
      <c r="G726" s="22">
        <f>IF($A726="","",IF(OR($D726="",$D726&lt;=0),"HATALI","TAM"))</f>
        <v/>
      </c>
    </row>
    <row r="727">
      <c r="G727" s="22">
        <f>IF($A727="","",IF(OR($D727="",$D727&lt;=0),"HATALI","TAM"))</f>
        <v/>
      </c>
    </row>
    <row r="728">
      <c r="G728" s="22">
        <f>IF($A728="","",IF(OR($D728="",$D728&lt;=0),"HATALI","TAM"))</f>
        <v/>
      </c>
    </row>
    <row r="729">
      <c r="G729" s="22">
        <f>IF($A729="","",IF(OR($D729="",$D729&lt;=0),"HATALI","TAM"))</f>
        <v/>
      </c>
    </row>
    <row r="730">
      <c r="G730" s="22">
        <f>IF($A730="","",IF(OR($D730="",$D730&lt;=0),"HATALI","TAM"))</f>
        <v/>
      </c>
    </row>
    <row r="731">
      <c r="G731" s="22">
        <f>IF($A731="","",IF(OR($D731="",$D731&lt;=0),"HATALI","TAM"))</f>
        <v/>
      </c>
    </row>
    <row r="732">
      <c r="G732" s="22">
        <f>IF($A732="","",IF(OR($D732="",$D732&lt;=0),"HATALI","TAM"))</f>
        <v/>
      </c>
    </row>
    <row r="733">
      <c r="G733" s="22">
        <f>IF($A733="","",IF(OR($D733="",$D733&lt;=0),"HATALI","TAM"))</f>
        <v/>
      </c>
    </row>
    <row r="734">
      <c r="G734" s="22">
        <f>IF($A734="","",IF(OR($D734="",$D734&lt;=0),"HATALI","TAM"))</f>
        <v/>
      </c>
    </row>
    <row r="735">
      <c r="G735" s="22">
        <f>IF($A735="","",IF(OR($D735="",$D735&lt;=0),"HATALI","TAM"))</f>
        <v/>
      </c>
    </row>
    <row r="736">
      <c r="G736" s="22">
        <f>IF($A736="","",IF(OR($D736="",$D736&lt;=0),"HATALI","TAM"))</f>
        <v/>
      </c>
    </row>
    <row r="737">
      <c r="G737" s="22">
        <f>IF($A737="","",IF(OR($D737="",$D737&lt;=0),"HATALI","TAM"))</f>
        <v/>
      </c>
    </row>
    <row r="738">
      <c r="G738" s="22">
        <f>IF($A738="","",IF(OR($D738="",$D738&lt;=0),"HATALI","TAM"))</f>
        <v/>
      </c>
    </row>
    <row r="739">
      <c r="G739" s="22">
        <f>IF($A739="","",IF(OR($D739="",$D739&lt;=0),"HATALI","TAM"))</f>
        <v/>
      </c>
    </row>
    <row r="740">
      <c r="G740" s="22">
        <f>IF($A740="","",IF(OR($D740="",$D740&lt;=0),"HATALI","TAM"))</f>
        <v/>
      </c>
    </row>
    <row r="741">
      <c r="G741" s="22">
        <f>IF($A741="","",IF(OR($D741="",$D741&lt;=0),"HATALI","TAM"))</f>
        <v/>
      </c>
    </row>
    <row r="742">
      <c r="G742" s="22">
        <f>IF($A742="","",IF(OR($D742="",$D742&lt;=0),"HATALI","TAM"))</f>
        <v/>
      </c>
    </row>
    <row r="743">
      <c r="G743" s="22">
        <f>IF($A743="","",IF(OR($D743="",$D743&lt;=0),"HATALI","TAM"))</f>
        <v/>
      </c>
    </row>
    <row r="744">
      <c r="G744" s="22">
        <f>IF($A744="","",IF(OR($D744="",$D744&lt;=0),"HATALI","TAM"))</f>
        <v/>
      </c>
    </row>
    <row r="745">
      <c r="G745" s="22">
        <f>IF($A745="","",IF(OR($D745="",$D745&lt;=0),"HATALI","TAM"))</f>
        <v/>
      </c>
    </row>
    <row r="746">
      <c r="G746" s="22">
        <f>IF($A746="","",IF(OR($D746="",$D746&lt;=0),"HATALI","TAM"))</f>
        <v/>
      </c>
    </row>
    <row r="747">
      <c r="G747" s="22">
        <f>IF($A747="","",IF(OR($D747="",$D747&lt;=0),"HATALI","TAM"))</f>
        <v/>
      </c>
    </row>
    <row r="748">
      <c r="G748" s="22">
        <f>IF($A748="","",IF(OR($D748="",$D748&lt;=0),"HATALI","TAM"))</f>
        <v/>
      </c>
    </row>
    <row r="749">
      <c r="G749" s="22">
        <f>IF($A749="","",IF(OR($D749="",$D749&lt;=0),"HATALI","TAM"))</f>
        <v/>
      </c>
    </row>
    <row r="750">
      <c r="G750" s="22">
        <f>IF($A750="","",IF(OR($D750="",$D750&lt;=0),"HATALI","TAM"))</f>
        <v/>
      </c>
    </row>
    <row r="751">
      <c r="G751" s="22">
        <f>IF($A751="","",IF(OR($D751="",$D751&lt;=0),"HATALI","TAM"))</f>
        <v/>
      </c>
    </row>
    <row r="752">
      <c r="G752" s="22">
        <f>IF($A752="","",IF(OR($D752="",$D752&lt;=0),"HATALI","TAM"))</f>
        <v/>
      </c>
    </row>
    <row r="753">
      <c r="G753" s="22">
        <f>IF($A753="","",IF(OR($D753="",$D753&lt;=0),"HATALI","TAM"))</f>
        <v/>
      </c>
    </row>
    <row r="754">
      <c r="G754" s="22">
        <f>IF($A754="","",IF(OR($D754="",$D754&lt;=0),"HATALI","TAM"))</f>
        <v/>
      </c>
    </row>
    <row r="755">
      <c r="G755" s="22">
        <f>IF($A755="","",IF(OR($D755="",$D755&lt;=0),"HATALI","TAM"))</f>
        <v/>
      </c>
    </row>
    <row r="756">
      <c r="G756" s="22">
        <f>IF($A756="","",IF(OR($D756="",$D756&lt;=0),"HATALI","TAM"))</f>
        <v/>
      </c>
    </row>
    <row r="757">
      <c r="G757" s="22">
        <f>IF($A757="","",IF(OR($D757="",$D757&lt;=0),"HATALI","TAM"))</f>
        <v/>
      </c>
    </row>
    <row r="758">
      <c r="G758" s="22">
        <f>IF($A758="","",IF(OR($D758="",$D758&lt;=0),"HATALI","TAM"))</f>
        <v/>
      </c>
    </row>
    <row r="759">
      <c r="G759" s="22">
        <f>IF($A759="","",IF(OR($D759="",$D759&lt;=0),"HATALI","TAM"))</f>
        <v/>
      </c>
    </row>
    <row r="760">
      <c r="G760" s="22">
        <f>IF($A760="","",IF(OR($D760="",$D760&lt;=0),"HATALI","TAM"))</f>
        <v/>
      </c>
    </row>
    <row r="761">
      <c r="G761" s="22">
        <f>IF($A761="","",IF(OR($D761="",$D761&lt;=0),"HATALI","TAM"))</f>
        <v/>
      </c>
    </row>
    <row r="762">
      <c r="G762" s="22">
        <f>IF($A762="","",IF(OR($D762="",$D762&lt;=0),"HATALI","TAM"))</f>
        <v/>
      </c>
    </row>
    <row r="763">
      <c r="G763" s="22">
        <f>IF($A763="","",IF(OR($D763="",$D763&lt;=0),"HATALI","TAM"))</f>
        <v/>
      </c>
    </row>
    <row r="764">
      <c r="G764" s="22">
        <f>IF($A764="","",IF(OR($D764="",$D764&lt;=0),"HATALI","TAM"))</f>
        <v/>
      </c>
    </row>
    <row r="765">
      <c r="G765" s="22">
        <f>IF($A765="","",IF(OR($D765="",$D765&lt;=0),"HATALI","TAM"))</f>
        <v/>
      </c>
    </row>
    <row r="766">
      <c r="G766" s="22">
        <f>IF($A766="","",IF(OR($D766="",$D766&lt;=0),"HATALI","TAM"))</f>
        <v/>
      </c>
    </row>
    <row r="767">
      <c r="G767" s="22">
        <f>IF($A767="","",IF(OR($D767="",$D767&lt;=0),"HATALI","TAM"))</f>
        <v/>
      </c>
    </row>
    <row r="768">
      <c r="G768" s="22">
        <f>IF($A768="","",IF(OR($D768="",$D768&lt;=0),"HATALI","TAM"))</f>
        <v/>
      </c>
    </row>
    <row r="769">
      <c r="G769" s="22">
        <f>IF($A769="","",IF(OR($D769="",$D769&lt;=0),"HATALI","TAM"))</f>
        <v/>
      </c>
    </row>
    <row r="770">
      <c r="G770" s="22">
        <f>IF($A770="","",IF(OR($D770="",$D770&lt;=0),"HATALI","TAM"))</f>
        <v/>
      </c>
    </row>
    <row r="771">
      <c r="G771" s="22">
        <f>IF($A771="","",IF(OR($D771="",$D771&lt;=0),"HATALI","TAM"))</f>
        <v/>
      </c>
    </row>
    <row r="772">
      <c r="G772" s="22">
        <f>IF($A772="","",IF(OR($D772="",$D772&lt;=0),"HATALI","TAM"))</f>
        <v/>
      </c>
    </row>
    <row r="773">
      <c r="G773" s="22">
        <f>IF($A773="","",IF(OR($D773="",$D773&lt;=0),"HATALI","TAM"))</f>
        <v/>
      </c>
    </row>
    <row r="774">
      <c r="G774" s="22">
        <f>IF($A774="","",IF(OR($D774="",$D774&lt;=0),"HATALI","TAM"))</f>
        <v/>
      </c>
    </row>
    <row r="775">
      <c r="G775" s="22">
        <f>IF($A775="","",IF(OR($D775="",$D775&lt;=0),"HATALI","TAM"))</f>
        <v/>
      </c>
    </row>
    <row r="776">
      <c r="G776" s="22">
        <f>IF($A776="","",IF(OR($D776="",$D776&lt;=0),"HATALI","TAM"))</f>
        <v/>
      </c>
    </row>
    <row r="777">
      <c r="G777" s="22">
        <f>IF($A777="","",IF(OR($D777="",$D777&lt;=0),"HATALI","TAM"))</f>
        <v/>
      </c>
    </row>
    <row r="778">
      <c r="G778" s="22">
        <f>IF($A778="","",IF(OR($D778="",$D778&lt;=0),"HATALI","TAM"))</f>
        <v/>
      </c>
    </row>
    <row r="779">
      <c r="G779" s="22">
        <f>IF($A779="","",IF(OR($D779="",$D779&lt;=0),"HATALI","TAM"))</f>
        <v/>
      </c>
    </row>
    <row r="780">
      <c r="G780" s="22">
        <f>IF($A780="","",IF(OR($D780="",$D780&lt;=0),"HATALI","TAM"))</f>
        <v/>
      </c>
    </row>
    <row r="781">
      <c r="G781" s="22">
        <f>IF($A781="","",IF(OR($D781="",$D781&lt;=0),"HATALI","TAM"))</f>
        <v/>
      </c>
    </row>
    <row r="782">
      <c r="G782" s="22">
        <f>IF($A782="","",IF(OR($D782="",$D782&lt;=0),"HATALI","TAM"))</f>
        <v/>
      </c>
    </row>
    <row r="783">
      <c r="G783" s="22">
        <f>IF($A783="","",IF(OR($D783="",$D783&lt;=0),"HATALI","TAM"))</f>
        <v/>
      </c>
    </row>
    <row r="784">
      <c r="G784" s="22">
        <f>IF($A784="","",IF(OR($D784="",$D784&lt;=0),"HATALI","TAM"))</f>
        <v/>
      </c>
    </row>
    <row r="785">
      <c r="G785" s="22">
        <f>IF($A785="","",IF(OR($D785="",$D785&lt;=0),"HATALI","TAM"))</f>
        <v/>
      </c>
    </row>
    <row r="786">
      <c r="G786" s="22">
        <f>IF($A786="","",IF(OR($D786="",$D786&lt;=0),"HATALI","TAM"))</f>
        <v/>
      </c>
    </row>
    <row r="787">
      <c r="G787" s="22">
        <f>IF($A787="","",IF(OR($D787="",$D787&lt;=0),"HATALI","TAM"))</f>
        <v/>
      </c>
    </row>
    <row r="788">
      <c r="G788" s="22">
        <f>IF($A788="","",IF(OR($D788="",$D788&lt;=0),"HATALI","TAM"))</f>
        <v/>
      </c>
    </row>
    <row r="789">
      <c r="G789" s="22">
        <f>IF($A789="","",IF(OR($D789="",$D789&lt;=0),"HATALI","TAM"))</f>
        <v/>
      </c>
    </row>
    <row r="790">
      <c r="G790" s="22">
        <f>IF($A790="","",IF(OR($D790="",$D790&lt;=0),"HATALI","TAM"))</f>
        <v/>
      </c>
    </row>
    <row r="791">
      <c r="G791" s="22">
        <f>IF($A791="","",IF(OR($D791="",$D791&lt;=0),"HATALI","TAM"))</f>
        <v/>
      </c>
    </row>
    <row r="792">
      <c r="G792" s="22">
        <f>IF($A792="","",IF(OR($D792="",$D792&lt;=0),"HATALI","TAM"))</f>
        <v/>
      </c>
    </row>
    <row r="793">
      <c r="G793" s="22">
        <f>IF($A793="","",IF(OR($D793="",$D793&lt;=0),"HATALI","TAM"))</f>
        <v/>
      </c>
    </row>
    <row r="794">
      <c r="G794" s="22">
        <f>IF($A794="","",IF(OR($D794="",$D794&lt;=0),"HATALI","TAM"))</f>
        <v/>
      </c>
    </row>
    <row r="795">
      <c r="G795" s="22">
        <f>IF($A795="","",IF(OR($D795="",$D795&lt;=0),"HATALI","TAM"))</f>
        <v/>
      </c>
    </row>
    <row r="796">
      <c r="G796" s="22">
        <f>IF($A796="","",IF(OR($D796="",$D796&lt;=0),"HATALI","TAM"))</f>
        <v/>
      </c>
    </row>
    <row r="797">
      <c r="G797" s="22">
        <f>IF($A797="","",IF(OR($D797="",$D797&lt;=0),"HATALI","TAM"))</f>
        <v/>
      </c>
    </row>
    <row r="798">
      <c r="G798" s="22">
        <f>IF($A798="","",IF(OR($D798="",$D798&lt;=0),"HATALI","TAM"))</f>
        <v/>
      </c>
    </row>
    <row r="799">
      <c r="G799" s="22">
        <f>IF($A799="","",IF(OR($D799="",$D799&lt;=0),"HATALI","TAM"))</f>
        <v/>
      </c>
    </row>
    <row r="800">
      <c r="G800" s="22">
        <f>IF($A800="","",IF(OR($D800="",$D800&lt;=0),"HATALI","TAM"))</f>
        <v/>
      </c>
    </row>
    <row r="801">
      <c r="G801" s="22">
        <f>IF($A801="","",IF(OR($D801="",$D801&lt;=0),"HATALI","TAM"))</f>
        <v/>
      </c>
    </row>
    <row r="802">
      <c r="G802" s="22">
        <f>IF($A802="","",IF(OR($D802="",$D802&lt;=0),"HATALI","TAM"))</f>
        <v/>
      </c>
    </row>
    <row r="803">
      <c r="G803" s="22">
        <f>IF($A803="","",IF(OR($D803="",$D803&lt;=0),"HATALI","TAM"))</f>
        <v/>
      </c>
    </row>
    <row r="804">
      <c r="G804" s="22">
        <f>IF($A804="","",IF(OR($D804="",$D804&lt;=0),"HATALI","TAM"))</f>
        <v/>
      </c>
    </row>
    <row r="805">
      <c r="G805" s="22">
        <f>IF($A805="","",IF(OR($D805="",$D805&lt;=0),"HATALI","TAM"))</f>
        <v/>
      </c>
    </row>
    <row r="806">
      <c r="G806" s="22">
        <f>IF($A806="","",IF(OR($D806="",$D806&lt;=0),"HATALI","TAM"))</f>
        <v/>
      </c>
    </row>
    <row r="807">
      <c r="G807" s="22">
        <f>IF($A807="","",IF(OR($D807="",$D807&lt;=0),"HATALI","TAM"))</f>
        <v/>
      </c>
    </row>
    <row r="808">
      <c r="G808" s="22">
        <f>IF($A808="","",IF(OR($D808="",$D808&lt;=0),"HATALI","TAM"))</f>
        <v/>
      </c>
    </row>
    <row r="809">
      <c r="G809" s="22">
        <f>IF($A809="","",IF(OR($D809="",$D809&lt;=0),"HATALI","TAM"))</f>
        <v/>
      </c>
    </row>
    <row r="810">
      <c r="G810" s="22">
        <f>IF($A810="","",IF(OR($D810="",$D810&lt;=0),"HATALI","TAM"))</f>
        <v/>
      </c>
    </row>
    <row r="811">
      <c r="G811" s="22">
        <f>IF($A811="","",IF(OR($D811="",$D811&lt;=0),"HATALI","TAM"))</f>
        <v/>
      </c>
    </row>
    <row r="812">
      <c r="G812" s="22">
        <f>IF($A812="","",IF(OR($D812="",$D812&lt;=0),"HATALI","TAM"))</f>
        <v/>
      </c>
    </row>
    <row r="813">
      <c r="G813" s="22">
        <f>IF($A813="","",IF(OR($D813="",$D813&lt;=0),"HATALI","TAM"))</f>
        <v/>
      </c>
    </row>
    <row r="814">
      <c r="G814" s="22">
        <f>IF($A814="","",IF(OR($D814="",$D814&lt;=0),"HATALI","TAM"))</f>
        <v/>
      </c>
    </row>
    <row r="815">
      <c r="G815" s="22">
        <f>IF($A815="","",IF(OR($D815="",$D815&lt;=0),"HATALI","TAM"))</f>
        <v/>
      </c>
    </row>
    <row r="816">
      <c r="G816" s="22">
        <f>IF($A816="","",IF(OR($D816="",$D816&lt;=0),"HATALI","TAM"))</f>
        <v/>
      </c>
    </row>
    <row r="817">
      <c r="G817" s="22">
        <f>IF($A817="","",IF(OR($D817="",$D817&lt;=0),"HATALI","TAM"))</f>
        <v/>
      </c>
    </row>
    <row r="818">
      <c r="G818" s="22">
        <f>IF($A818="","",IF(OR($D818="",$D818&lt;=0),"HATALI","TAM"))</f>
        <v/>
      </c>
    </row>
    <row r="819">
      <c r="G819" s="22">
        <f>IF($A819="","",IF(OR($D819="",$D819&lt;=0),"HATALI","TAM"))</f>
        <v/>
      </c>
    </row>
    <row r="820">
      <c r="G820" s="22">
        <f>IF($A820="","",IF(OR($D820="",$D820&lt;=0),"HATALI","TAM"))</f>
        <v/>
      </c>
    </row>
    <row r="821">
      <c r="G821" s="22">
        <f>IF($A821="","",IF(OR($D821="",$D821&lt;=0),"HATALI","TAM"))</f>
        <v/>
      </c>
    </row>
    <row r="822">
      <c r="G822" s="22">
        <f>IF($A822="","",IF(OR($D822="",$D822&lt;=0),"HATALI","TAM"))</f>
        <v/>
      </c>
    </row>
    <row r="823">
      <c r="G823" s="22">
        <f>IF($A823="","",IF(OR($D823="",$D823&lt;=0),"HATALI","TAM"))</f>
        <v/>
      </c>
    </row>
    <row r="824">
      <c r="G824" s="22">
        <f>IF($A824="","",IF(OR($D824="",$D824&lt;=0),"HATALI","TAM"))</f>
        <v/>
      </c>
    </row>
    <row r="825">
      <c r="G825" s="22">
        <f>IF($A825="","",IF(OR($D825="",$D825&lt;=0),"HATALI","TAM"))</f>
        <v/>
      </c>
    </row>
    <row r="826">
      <c r="G826" s="22">
        <f>IF($A826="","",IF(OR($D826="",$D826&lt;=0),"HATALI","TAM"))</f>
        <v/>
      </c>
    </row>
    <row r="827">
      <c r="G827" s="22">
        <f>IF($A827="","",IF(OR($D827="",$D827&lt;=0),"HATALI","TAM"))</f>
        <v/>
      </c>
    </row>
    <row r="828">
      <c r="G828" s="22">
        <f>IF($A828="","",IF(OR($D828="",$D828&lt;=0),"HATALI","TAM"))</f>
        <v/>
      </c>
    </row>
    <row r="829">
      <c r="G829" s="22">
        <f>IF($A829="","",IF(OR($D829="",$D829&lt;=0),"HATALI","TAM"))</f>
        <v/>
      </c>
    </row>
    <row r="830">
      <c r="G830" s="22">
        <f>IF($A830="","",IF(OR($D830="",$D830&lt;=0),"HATALI","TAM"))</f>
        <v/>
      </c>
    </row>
    <row r="831">
      <c r="G831" s="22">
        <f>IF($A831="","",IF(OR($D831="",$D831&lt;=0),"HATALI","TAM"))</f>
        <v/>
      </c>
    </row>
    <row r="832">
      <c r="G832" s="22">
        <f>IF($A832="","",IF(OR($D832="",$D832&lt;=0),"HATALI","TAM"))</f>
        <v/>
      </c>
    </row>
    <row r="833">
      <c r="G833" s="22">
        <f>IF($A833="","",IF(OR($D833="",$D833&lt;=0),"HATALI","TAM"))</f>
        <v/>
      </c>
    </row>
    <row r="834">
      <c r="G834" s="22">
        <f>IF($A834="","",IF(OR($D834="",$D834&lt;=0),"HATALI","TAM"))</f>
        <v/>
      </c>
    </row>
    <row r="835">
      <c r="G835" s="22">
        <f>IF($A835="","",IF(OR($D835="",$D835&lt;=0),"HATALI","TAM"))</f>
        <v/>
      </c>
    </row>
    <row r="836">
      <c r="G836" s="22">
        <f>IF($A836="","",IF(OR($D836="",$D836&lt;=0),"HATALI","TAM"))</f>
        <v/>
      </c>
    </row>
    <row r="837">
      <c r="G837" s="22">
        <f>IF($A837="","",IF(OR($D837="",$D837&lt;=0),"HATALI","TAM"))</f>
        <v/>
      </c>
    </row>
    <row r="838">
      <c r="G838" s="22">
        <f>IF($A838="","",IF(OR($D838="",$D838&lt;=0),"HATALI","TAM"))</f>
        <v/>
      </c>
    </row>
    <row r="839">
      <c r="G839" s="22">
        <f>IF($A839="","",IF(OR($D839="",$D839&lt;=0),"HATALI","TAM"))</f>
        <v/>
      </c>
    </row>
    <row r="840">
      <c r="G840" s="22">
        <f>IF($A840="","",IF(OR($D840="",$D840&lt;=0),"HATALI","TAM"))</f>
        <v/>
      </c>
    </row>
    <row r="841">
      <c r="G841" s="22">
        <f>IF($A841="","",IF(OR($D841="",$D841&lt;=0),"HATALI","TAM"))</f>
        <v/>
      </c>
    </row>
    <row r="842">
      <c r="G842" s="22">
        <f>IF($A842="","",IF(OR($D842="",$D842&lt;=0),"HATALI","TAM"))</f>
        <v/>
      </c>
    </row>
    <row r="843">
      <c r="G843" s="22">
        <f>IF($A843="","",IF(OR($D843="",$D843&lt;=0),"HATALI","TAM"))</f>
        <v/>
      </c>
    </row>
    <row r="844">
      <c r="G844" s="22">
        <f>IF($A844="","",IF(OR($D844="",$D844&lt;=0),"HATALI","TAM"))</f>
        <v/>
      </c>
    </row>
    <row r="845">
      <c r="G845" s="22">
        <f>IF($A845="","",IF(OR($D845="",$D845&lt;=0),"HATALI","TAM"))</f>
        <v/>
      </c>
    </row>
    <row r="846">
      <c r="G846" s="22">
        <f>IF($A846="","",IF(OR($D846="",$D846&lt;=0),"HATALI","TAM"))</f>
        <v/>
      </c>
    </row>
    <row r="847">
      <c r="G847" s="22">
        <f>IF($A847="","",IF(OR($D847="",$D847&lt;=0),"HATALI","TAM"))</f>
        <v/>
      </c>
    </row>
    <row r="848">
      <c r="G848" s="22">
        <f>IF($A848="","",IF(OR($D848="",$D848&lt;=0),"HATALI","TAM"))</f>
        <v/>
      </c>
    </row>
    <row r="849">
      <c r="G849" s="22">
        <f>IF($A849="","",IF(OR($D849="",$D849&lt;=0),"HATALI","TAM"))</f>
        <v/>
      </c>
    </row>
    <row r="850">
      <c r="G850" s="22">
        <f>IF($A850="","",IF(OR($D850="",$D850&lt;=0),"HATALI","TAM"))</f>
        <v/>
      </c>
    </row>
    <row r="851">
      <c r="G851" s="22">
        <f>IF($A851="","",IF(OR($D851="",$D851&lt;=0),"HATALI","TAM"))</f>
        <v/>
      </c>
    </row>
    <row r="852">
      <c r="G852" s="22">
        <f>IF($A852="","",IF(OR($D852="",$D852&lt;=0),"HATALI","TAM"))</f>
        <v/>
      </c>
    </row>
    <row r="853">
      <c r="G853" s="22">
        <f>IF($A853="","",IF(OR($D853="",$D853&lt;=0),"HATALI","TAM"))</f>
        <v/>
      </c>
    </row>
    <row r="854">
      <c r="G854" s="22">
        <f>IF($A854="","",IF(OR($D854="",$D854&lt;=0),"HATALI","TAM"))</f>
        <v/>
      </c>
    </row>
    <row r="855">
      <c r="G855" s="22">
        <f>IF($A855="","",IF(OR($D855="",$D855&lt;=0),"HATALI","TAM"))</f>
        <v/>
      </c>
    </row>
    <row r="856">
      <c r="G856" s="22">
        <f>IF($A856="","",IF(OR($D856="",$D856&lt;=0),"HATALI","TAM"))</f>
        <v/>
      </c>
    </row>
    <row r="857">
      <c r="G857" s="22">
        <f>IF($A857="","",IF(OR($D857="",$D857&lt;=0),"HATALI","TAM"))</f>
        <v/>
      </c>
    </row>
    <row r="858">
      <c r="G858" s="22">
        <f>IF($A858="","",IF(OR($D858="",$D858&lt;=0),"HATALI","TAM"))</f>
        <v/>
      </c>
    </row>
    <row r="859">
      <c r="G859" s="22">
        <f>IF($A859="","",IF(OR($D859="",$D859&lt;=0),"HATALI","TAM"))</f>
        <v/>
      </c>
    </row>
    <row r="860">
      <c r="G860" s="22">
        <f>IF($A860="","",IF(OR($D860="",$D860&lt;=0),"HATALI","TAM"))</f>
        <v/>
      </c>
    </row>
    <row r="861">
      <c r="G861" s="22">
        <f>IF($A861="","",IF(OR($D861="",$D861&lt;=0),"HATALI","TAM"))</f>
        <v/>
      </c>
    </row>
    <row r="862">
      <c r="G862" s="22">
        <f>IF($A862="","",IF(OR($D862="",$D862&lt;=0),"HATALI","TAM"))</f>
        <v/>
      </c>
    </row>
    <row r="863">
      <c r="G863" s="22">
        <f>IF($A863="","",IF(OR($D863="",$D863&lt;=0),"HATALI","TAM"))</f>
        <v/>
      </c>
    </row>
    <row r="864">
      <c r="G864" s="22">
        <f>IF($A864="","",IF(OR($D864="",$D864&lt;=0),"HATALI","TAM"))</f>
        <v/>
      </c>
    </row>
    <row r="865">
      <c r="G865" s="22">
        <f>IF($A865="","",IF(OR($D865="",$D865&lt;=0),"HATALI","TAM"))</f>
        <v/>
      </c>
    </row>
    <row r="866">
      <c r="G866" s="22">
        <f>IF($A866="","",IF(OR($D866="",$D866&lt;=0),"HATALI","TAM"))</f>
        <v/>
      </c>
    </row>
    <row r="867">
      <c r="G867" s="22">
        <f>IF($A867="","",IF(OR($D867="",$D867&lt;=0),"HATALI","TAM"))</f>
        <v/>
      </c>
    </row>
    <row r="868">
      <c r="G868" s="22">
        <f>IF($A868="","",IF(OR($D868="",$D868&lt;=0),"HATALI","TAM"))</f>
        <v/>
      </c>
    </row>
    <row r="869">
      <c r="G869" s="22">
        <f>IF($A869="","",IF(OR($D869="",$D869&lt;=0),"HATALI","TAM"))</f>
        <v/>
      </c>
    </row>
    <row r="870">
      <c r="G870" s="22">
        <f>IF($A870="","",IF(OR($D870="",$D870&lt;=0),"HATALI","TAM"))</f>
        <v/>
      </c>
    </row>
    <row r="871">
      <c r="G871" s="22">
        <f>IF($A871="","",IF(OR($D871="",$D871&lt;=0),"HATALI","TAM"))</f>
        <v/>
      </c>
    </row>
    <row r="872">
      <c r="G872" s="22">
        <f>IF($A872="","",IF(OR($D872="",$D872&lt;=0),"HATALI","TAM"))</f>
        <v/>
      </c>
    </row>
    <row r="873">
      <c r="G873" s="22">
        <f>IF($A873="","",IF(OR($D873="",$D873&lt;=0),"HATALI","TAM"))</f>
        <v/>
      </c>
    </row>
    <row r="874">
      <c r="G874" s="22">
        <f>IF($A874="","",IF(OR($D874="",$D874&lt;=0),"HATALI","TAM"))</f>
        <v/>
      </c>
    </row>
    <row r="875">
      <c r="G875" s="22">
        <f>IF($A875="","",IF(OR($D875="",$D875&lt;=0),"HATALI","TAM"))</f>
        <v/>
      </c>
    </row>
    <row r="876">
      <c r="G876" s="22">
        <f>IF($A876="","",IF(OR($D876="",$D876&lt;=0),"HATALI","TAM"))</f>
        <v/>
      </c>
    </row>
    <row r="877">
      <c r="G877" s="22">
        <f>IF($A877="","",IF(OR($D877="",$D877&lt;=0),"HATALI","TAM"))</f>
        <v/>
      </c>
    </row>
    <row r="878">
      <c r="G878" s="22">
        <f>IF($A878="","",IF(OR($D878="",$D878&lt;=0),"HATALI","TAM"))</f>
        <v/>
      </c>
    </row>
    <row r="879">
      <c r="G879" s="22">
        <f>IF($A879="","",IF(OR($D879="",$D879&lt;=0),"HATALI","TAM"))</f>
        <v/>
      </c>
    </row>
    <row r="880">
      <c r="G880" s="22">
        <f>IF($A880="","",IF(OR($D880="",$D880&lt;=0),"HATALI","TAM"))</f>
        <v/>
      </c>
    </row>
    <row r="881">
      <c r="G881" s="22">
        <f>IF($A881="","",IF(OR($D881="",$D881&lt;=0),"HATALI","TAM"))</f>
        <v/>
      </c>
    </row>
    <row r="882">
      <c r="G882" s="22">
        <f>IF($A882="","",IF(OR($D882="",$D882&lt;=0),"HATALI","TAM"))</f>
        <v/>
      </c>
    </row>
    <row r="883">
      <c r="G883" s="22">
        <f>IF($A883="","",IF(OR($D883="",$D883&lt;=0),"HATALI","TAM"))</f>
        <v/>
      </c>
    </row>
    <row r="884">
      <c r="G884" s="22">
        <f>IF($A884="","",IF(OR($D884="",$D884&lt;=0),"HATALI","TAM"))</f>
        <v/>
      </c>
    </row>
    <row r="885">
      <c r="G885" s="22">
        <f>IF($A885="","",IF(OR($D885="",$D885&lt;=0),"HATALI","TAM"))</f>
        <v/>
      </c>
    </row>
    <row r="886">
      <c r="G886" s="22">
        <f>IF($A886="","",IF(OR($D886="",$D886&lt;=0),"HATALI","TAM"))</f>
        <v/>
      </c>
    </row>
    <row r="887">
      <c r="G887" s="22">
        <f>IF($A887="","",IF(OR($D887="",$D887&lt;=0),"HATALI","TAM"))</f>
        <v/>
      </c>
    </row>
    <row r="888">
      <c r="G888" s="22">
        <f>IF($A888="","",IF(OR($D888="",$D888&lt;=0),"HATALI","TAM"))</f>
        <v/>
      </c>
    </row>
    <row r="889">
      <c r="G889" s="22">
        <f>IF($A889="","",IF(OR($D889="",$D889&lt;=0),"HATALI","TAM"))</f>
        <v/>
      </c>
    </row>
    <row r="890">
      <c r="G890" s="22">
        <f>IF($A890="","",IF(OR($D890="",$D890&lt;=0),"HATALI","TAM"))</f>
        <v/>
      </c>
    </row>
    <row r="891">
      <c r="G891" s="22">
        <f>IF($A891="","",IF(OR($D891="",$D891&lt;=0),"HATALI","TAM"))</f>
        <v/>
      </c>
    </row>
    <row r="892">
      <c r="G892" s="22">
        <f>IF($A892="","",IF(OR($D892="",$D892&lt;=0),"HATALI","TAM"))</f>
        <v/>
      </c>
    </row>
    <row r="893">
      <c r="G893" s="22">
        <f>IF($A893="","",IF(OR($D893="",$D893&lt;=0),"HATALI","TAM"))</f>
        <v/>
      </c>
    </row>
    <row r="894">
      <c r="G894" s="22">
        <f>IF($A894="","",IF(OR($D894="",$D894&lt;=0),"HATALI","TAM"))</f>
        <v/>
      </c>
    </row>
    <row r="895">
      <c r="G895" s="22">
        <f>IF($A895="","",IF(OR($D895="",$D895&lt;=0),"HATALI","TAM"))</f>
        <v/>
      </c>
    </row>
    <row r="896">
      <c r="G896" s="22">
        <f>IF($A896="","",IF(OR($D896="",$D896&lt;=0),"HATALI","TAM"))</f>
        <v/>
      </c>
    </row>
    <row r="897">
      <c r="G897" s="22">
        <f>IF($A897="","",IF(OR($D897="",$D897&lt;=0),"HATALI","TAM"))</f>
        <v/>
      </c>
    </row>
    <row r="898">
      <c r="G898" s="22">
        <f>IF($A898="","",IF(OR($D898="",$D898&lt;=0),"HATALI","TAM"))</f>
        <v/>
      </c>
    </row>
    <row r="899">
      <c r="G899" s="22">
        <f>IF($A899="","",IF(OR($D899="",$D899&lt;=0),"HATALI","TAM"))</f>
        <v/>
      </c>
    </row>
    <row r="900">
      <c r="G900" s="22">
        <f>IF($A900="","",IF(OR($D900="",$D900&lt;=0),"HATALI","TAM"))</f>
        <v/>
      </c>
    </row>
    <row r="901">
      <c r="G901" s="22">
        <f>IF($A901="","",IF(OR($D901="",$D901&lt;=0),"HATALI","TAM"))</f>
        <v/>
      </c>
    </row>
    <row r="902">
      <c r="G902" s="22">
        <f>IF($A902="","",IF(OR($D902="",$D902&lt;=0),"HATALI","TAM"))</f>
        <v/>
      </c>
    </row>
    <row r="903">
      <c r="G903" s="22">
        <f>IF($A903="","",IF(OR($D903="",$D903&lt;=0),"HATALI","TAM"))</f>
        <v/>
      </c>
    </row>
    <row r="904">
      <c r="G904" s="22">
        <f>IF($A904="","",IF(OR($D904="",$D904&lt;=0),"HATALI","TAM"))</f>
        <v/>
      </c>
    </row>
    <row r="905">
      <c r="G905" s="22">
        <f>IF($A905="","",IF(OR($D905="",$D905&lt;=0),"HATALI","TAM"))</f>
        <v/>
      </c>
    </row>
    <row r="906">
      <c r="G906" s="22">
        <f>IF($A906="","",IF(OR($D906="",$D906&lt;=0),"HATALI","TAM"))</f>
        <v/>
      </c>
    </row>
    <row r="907">
      <c r="G907" s="22">
        <f>IF($A907="","",IF(OR($D907="",$D907&lt;=0),"HATALI","TAM"))</f>
        <v/>
      </c>
    </row>
    <row r="908">
      <c r="G908" s="22">
        <f>IF($A908="","",IF(OR($D908="",$D908&lt;=0),"HATALI","TAM"))</f>
        <v/>
      </c>
    </row>
    <row r="909">
      <c r="G909" s="22">
        <f>IF($A909="","",IF(OR($D909="",$D909&lt;=0),"HATALI","TAM"))</f>
        <v/>
      </c>
    </row>
    <row r="910">
      <c r="G910" s="22">
        <f>IF($A910="","",IF(OR($D910="",$D910&lt;=0),"HATALI","TAM"))</f>
        <v/>
      </c>
    </row>
    <row r="911">
      <c r="G911" s="22">
        <f>IF($A911="","",IF(OR($D911="",$D911&lt;=0),"HATALI","TAM"))</f>
        <v/>
      </c>
    </row>
    <row r="912">
      <c r="G912" s="22">
        <f>IF($A912="","",IF(OR($D912="",$D912&lt;=0),"HATALI","TAM"))</f>
        <v/>
      </c>
    </row>
    <row r="913">
      <c r="G913" s="22">
        <f>IF($A913="","",IF(OR($D913="",$D913&lt;=0),"HATALI","TAM"))</f>
        <v/>
      </c>
    </row>
    <row r="914">
      <c r="G914" s="22">
        <f>IF($A914="","",IF(OR($D914="",$D914&lt;=0),"HATALI","TAM"))</f>
        <v/>
      </c>
    </row>
    <row r="915">
      <c r="G915" s="22">
        <f>IF($A915="","",IF(OR($D915="",$D915&lt;=0),"HATALI","TAM"))</f>
        <v/>
      </c>
    </row>
    <row r="916">
      <c r="G916" s="22">
        <f>IF($A916="","",IF(OR($D916="",$D916&lt;=0),"HATALI","TAM"))</f>
        <v/>
      </c>
    </row>
    <row r="917">
      <c r="G917" s="22">
        <f>IF($A917="","",IF(OR($D917="",$D917&lt;=0),"HATALI","TAM"))</f>
        <v/>
      </c>
    </row>
    <row r="918">
      <c r="G918" s="22">
        <f>IF($A918="","",IF(OR($D918="",$D918&lt;=0),"HATALI","TAM"))</f>
        <v/>
      </c>
    </row>
    <row r="919">
      <c r="G919" s="22">
        <f>IF($A919="","",IF(OR($D919="",$D919&lt;=0),"HATALI","TAM"))</f>
        <v/>
      </c>
    </row>
    <row r="920">
      <c r="G920" s="22">
        <f>IF($A920="","",IF(OR($D920="",$D920&lt;=0),"HATALI","TAM"))</f>
        <v/>
      </c>
    </row>
    <row r="921">
      <c r="G921" s="22">
        <f>IF($A921="","",IF(OR($D921="",$D921&lt;=0),"HATALI","TAM"))</f>
        <v/>
      </c>
    </row>
    <row r="922">
      <c r="G922" s="22">
        <f>IF($A922="","",IF(OR($D922="",$D922&lt;=0),"HATALI","TAM"))</f>
        <v/>
      </c>
    </row>
    <row r="923">
      <c r="G923" s="22">
        <f>IF($A923="","",IF(OR($D923="",$D923&lt;=0),"HATALI","TAM"))</f>
        <v/>
      </c>
    </row>
    <row r="924">
      <c r="G924" s="22">
        <f>IF($A924="","",IF(OR($D924="",$D924&lt;=0),"HATALI","TAM"))</f>
        <v/>
      </c>
    </row>
    <row r="925">
      <c r="G925" s="22">
        <f>IF($A925="","",IF(OR($D925="",$D925&lt;=0),"HATALI","TAM"))</f>
        <v/>
      </c>
    </row>
    <row r="926">
      <c r="G926" s="22">
        <f>IF($A926="","",IF(OR($D926="",$D926&lt;=0),"HATALI","TAM"))</f>
        <v/>
      </c>
    </row>
    <row r="927">
      <c r="G927" s="22">
        <f>IF($A927="","",IF(OR($D927="",$D927&lt;=0),"HATALI","TAM"))</f>
        <v/>
      </c>
    </row>
    <row r="928">
      <c r="G928" s="22">
        <f>IF($A928="","",IF(OR($D928="",$D928&lt;=0),"HATALI","TAM"))</f>
        <v/>
      </c>
    </row>
    <row r="929">
      <c r="G929" s="22">
        <f>IF($A929="","",IF(OR($D929="",$D929&lt;=0),"HATALI","TAM"))</f>
        <v/>
      </c>
    </row>
    <row r="930">
      <c r="G930" s="22">
        <f>IF($A930="","",IF(OR($D930="",$D930&lt;=0),"HATALI","TAM"))</f>
        <v/>
      </c>
    </row>
    <row r="931">
      <c r="G931" s="22">
        <f>IF($A931="","",IF(OR($D931="",$D931&lt;=0),"HATALI","TAM"))</f>
        <v/>
      </c>
    </row>
    <row r="932">
      <c r="G932" s="22">
        <f>IF($A932="","",IF(OR($D932="",$D932&lt;=0),"HATALI","TAM"))</f>
        <v/>
      </c>
    </row>
    <row r="933">
      <c r="G933" s="22">
        <f>IF($A933="","",IF(OR($D933="",$D933&lt;=0),"HATALI","TAM"))</f>
        <v/>
      </c>
    </row>
    <row r="934">
      <c r="G934" s="22">
        <f>IF($A934="","",IF(OR($D934="",$D934&lt;=0),"HATALI","TAM"))</f>
        <v/>
      </c>
    </row>
    <row r="935">
      <c r="G935" s="22">
        <f>IF($A935="","",IF(OR($D935="",$D935&lt;=0),"HATALI","TAM"))</f>
        <v/>
      </c>
    </row>
    <row r="936">
      <c r="G936" s="22">
        <f>IF($A936="","",IF(OR($D936="",$D936&lt;=0),"HATALI","TAM"))</f>
        <v/>
      </c>
    </row>
    <row r="937">
      <c r="G937" s="22">
        <f>IF($A937="","",IF(OR($D937="",$D937&lt;=0),"HATALI","TAM"))</f>
        <v/>
      </c>
    </row>
    <row r="938">
      <c r="G938" s="22">
        <f>IF($A938="","",IF(OR($D938="",$D938&lt;=0),"HATALI","TAM"))</f>
        <v/>
      </c>
    </row>
    <row r="939">
      <c r="G939" s="22">
        <f>IF($A939="","",IF(OR($D939="",$D939&lt;=0),"HATALI","TAM"))</f>
        <v/>
      </c>
    </row>
    <row r="940">
      <c r="G940" s="22">
        <f>IF($A940="","",IF(OR($D940="",$D940&lt;=0),"HATALI","TAM"))</f>
        <v/>
      </c>
    </row>
    <row r="941">
      <c r="G941" s="22">
        <f>IF($A941="","",IF(OR($D941="",$D941&lt;=0),"HATALI","TAM"))</f>
        <v/>
      </c>
    </row>
    <row r="942">
      <c r="G942" s="22">
        <f>IF($A942="","",IF(OR($D942="",$D942&lt;=0),"HATALI","TAM"))</f>
        <v/>
      </c>
    </row>
    <row r="943">
      <c r="G943" s="22">
        <f>IF($A943="","",IF(OR($D943="",$D943&lt;=0),"HATALI","TAM"))</f>
        <v/>
      </c>
    </row>
    <row r="944">
      <c r="G944" s="22">
        <f>IF($A944="","",IF(OR($D944="",$D944&lt;=0),"HATALI","TAM"))</f>
        <v/>
      </c>
    </row>
    <row r="945">
      <c r="G945" s="22">
        <f>IF($A945="","",IF(OR($D945="",$D945&lt;=0),"HATALI","TAM"))</f>
        <v/>
      </c>
    </row>
    <row r="946">
      <c r="G946" s="22">
        <f>IF($A946="","",IF(OR($D946="",$D946&lt;=0),"HATALI","TAM"))</f>
        <v/>
      </c>
    </row>
    <row r="947">
      <c r="G947" s="22">
        <f>IF($A947="","",IF(OR($D947="",$D947&lt;=0),"HATALI","TAM"))</f>
        <v/>
      </c>
    </row>
    <row r="948">
      <c r="G948" s="22">
        <f>IF($A948="","",IF(OR($D948="",$D948&lt;=0),"HATALI","TAM"))</f>
        <v/>
      </c>
    </row>
    <row r="949">
      <c r="G949" s="22">
        <f>IF($A949="","",IF(OR($D949="",$D949&lt;=0),"HATALI","TAM"))</f>
        <v/>
      </c>
    </row>
    <row r="950">
      <c r="G950" s="22">
        <f>IF($A950="","",IF(OR($D950="",$D950&lt;=0),"HATALI","TAM"))</f>
        <v/>
      </c>
    </row>
    <row r="951">
      <c r="G951" s="22">
        <f>IF($A951="","",IF(OR($D951="",$D951&lt;=0),"HATALI","TAM"))</f>
        <v/>
      </c>
    </row>
    <row r="952">
      <c r="G952" s="22">
        <f>IF($A952="","",IF(OR($D952="",$D952&lt;=0),"HATALI","TAM"))</f>
        <v/>
      </c>
    </row>
    <row r="953">
      <c r="G953" s="22">
        <f>IF($A953="","",IF(OR($D953="",$D953&lt;=0),"HATALI","TAM"))</f>
        <v/>
      </c>
    </row>
    <row r="954">
      <c r="G954" s="22">
        <f>IF($A954="","",IF(OR($D954="",$D954&lt;=0),"HATALI","TAM"))</f>
        <v/>
      </c>
    </row>
    <row r="955">
      <c r="G955" s="22">
        <f>IF($A955="","",IF(OR($D955="",$D955&lt;=0),"HATALI","TAM"))</f>
        <v/>
      </c>
    </row>
    <row r="956">
      <c r="G956" s="22">
        <f>IF($A956="","",IF(OR($D956="",$D956&lt;=0),"HATALI","TAM"))</f>
        <v/>
      </c>
    </row>
    <row r="957">
      <c r="G957" s="22">
        <f>IF($A957="","",IF(OR($D957="",$D957&lt;=0),"HATALI","TAM"))</f>
        <v/>
      </c>
    </row>
    <row r="958">
      <c r="G958" s="22">
        <f>IF($A958="","",IF(OR($D958="",$D958&lt;=0),"HATALI","TAM"))</f>
        <v/>
      </c>
    </row>
    <row r="959">
      <c r="G959" s="22">
        <f>IF($A959="","",IF(OR($D959="",$D959&lt;=0),"HATALI","TAM"))</f>
        <v/>
      </c>
    </row>
    <row r="960">
      <c r="G960" s="22">
        <f>IF($A960="","",IF(OR($D960="",$D960&lt;=0),"HATALI","TAM"))</f>
        <v/>
      </c>
    </row>
    <row r="961">
      <c r="G961" s="22">
        <f>IF($A961="","",IF(OR($D961="",$D961&lt;=0),"HATALI","TAM"))</f>
        <v/>
      </c>
    </row>
    <row r="962">
      <c r="G962" s="22">
        <f>IF($A962="","",IF(OR($D962="",$D962&lt;=0),"HATALI","TAM"))</f>
        <v/>
      </c>
    </row>
    <row r="963">
      <c r="G963" s="22">
        <f>IF($A963="","",IF(OR($D963="",$D963&lt;=0),"HATALI","TAM"))</f>
        <v/>
      </c>
    </row>
    <row r="964">
      <c r="G964" s="22">
        <f>IF($A964="","",IF(OR($D964="",$D964&lt;=0),"HATALI","TAM"))</f>
        <v/>
      </c>
    </row>
    <row r="965">
      <c r="G965" s="22">
        <f>IF($A965="","",IF(OR($D965="",$D965&lt;=0),"HATALI","TAM"))</f>
        <v/>
      </c>
    </row>
    <row r="966">
      <c r="G966" s="22">
        <f>IF($A966="","",IF(OR($D966="",$D966&lt;=0),"HATALI","TAM"))</f>
        <v/>
      </c>
    </row>
    <row r="967">
      <c r="G967" s="22">
        <f>IF($A967="","",IF(OR($D967="",$D967&lt;=0),"HATALI","TAM"))</f>
        <v/>
      </c>
    </row>
    <row r="968">
      <c r="G968" s="22">
        <f>IF($A968="","",IF(OR($D968="",$D968&lt;=0),"HATALI","TAM"))</f>
        <v/>
      </c>
    </row>
    <row r="969">
      <c r="G969" s="22">
        <f>IF($A969="","",IF(OR($D969="",$D969&lt;=0),"HATALI","TAM"))</f>
        <v/>
      </c>
    </row>
    <row r="970">
      <c r="G970" s="22">
        <f>IF($A970="","",IF(OR($D970="",$D970&lt;=0),"HATALI","TAM"))</f>
        <v/>
      </c>
    </row>
    <row r="971">
      <c r="G971" s="22">
        <f>IF($A971="","",IF(OR($D971="",$D971&lt;=0),"HATALI","TAM"))</f>
        <v/>
      </c>
    </row>
    <row r="972">
      <c r="G972" s="22">
        <f>IF($A972="","",IF(OR($D972="",$D972&lt;=0),"HATALI","TAM"))</f>
        <v/>
      </c>
    </row>
    <row r="973">
      <c r="G973" s="22">
        <f>IF($A973="","",IF(OR($D973="",$D973&lt;=0),"HATALI","TAM"))</f>
        <v/>
      </c>
    </row>
    <row r="974">
      <c r="G974" s="22">
        <f>IF($A974="","",IF(OR($D974="",$D974&lt;=0),"HATALI","TAM"))</f>
        <v/>
      </c>
    </row>
    <row r="975">
      <c r="G975" s="22">
        <f>IF($A975="","",IF(OR($D975="",$D975&lt;=0),"HATALI","TAM"))</f>
        <v/>
      </c>
    </row>
    <row r="976">
      <c r="G976" s="22">
        <f>IF($A976="","",IF(OR($D976="",$D976&lt;=0),"HATALI","TAM"))</f>
        <v/>
      </c>
    </row>
    <row r="977">
      <c r="G977" s="22">
        <f>IF($A977="","",IF(OR($D977="",$D977&lt;=0),"HATALI","TAM"))</f>
        <v/>
      </c>
    </row>
    <row r="978">
      <c r="G978" s="22">
        <f>IF($A978="","",IF(OR($D978="",$D978&lt;=0),"HATALI","TAM"))</f>
        <v/>
      </c>
    </row>
    <row r="979">
      <c r="G979" s="22">
        <f>IF($A979="","",IF(OR($D979="",$D979&lt;=0),"HATALI","TAM"))</f>
        <v/>
      </c>
    </row>
    <row r="980">
      <c r="G980" s="22">
        <f>IF($A980="","",IF(OR($D980="",$D980&lt;=0),"HATALI","TAM"))</f>
        <v/>
      </c>
    </row>
    <row r="981">
      <c r="G981" s="22">
        <f>IF($A981="","",IF(OR($D981="",$D981&lt;=0),"HATALI","TAM"))</f>
        <v/>
      </c>
    </row>
    <row r="982">
      <c r="G982" s="22">
        <f>IF($A982="","",IF(OR($D982="",$D982&lt;=0),"HATALI","TAM"))</f>
        <v/>
      </c>
    </row>
    <row r="983">
      <c r="G983" s="22">
        <f>IF($A983="","",IF(OR($D983="",$D983&lt;=0),"HATALI","TAM"))</f>
        <v/>
      </c>
    </row>
    <row r="984">
      <c r="G984" s="22">
        <f>IF($A984="","",IF(OR($D984="",$D984&lt;=0),"HATALI","TAM"))</f>
        <v/>
      </c>
    </row>
    <row r="985">
      <c r="G985" s="22">
        <f>IF($A985="","",IF(OR($D985="",$D985&lt;=0),"HATALI","TAM"))</f>
        <v/>
      </c>
    </row>
    <row r="986">
      <c r="G986" s="22">
        <f>IF($A986="","",IF(OR($D986="",$D986&lt;=0),"HATALI","TAM"))</f>
        <v/>
      </c>
    </row>
    <row r="987">
      <c r="G987" s="22">
        <f>IF($A987="","",IF(OR($D987="",$D987&lt;=0),"HATALI","TAM"))</f>
        <v/>
      </c>
    </row>
    <row r="988">
      <c r="G988" s="22">
        <f>IF($A988="","",IF(OR($D988="",$D988&lt;=0),"HATALI","TAM"))</f>
        <v/>
      </c>
    </row>
    <row r="989">
      <c r="G989" s="22">
        <f>IF($A989="","",IF(OR($D989="",$D989&lt;=0),"HATALI","TAM"))</f>
        <v/>
      </c>
    </row>
    <row r="990">
      <c r="G990" s="22">
        <f>IF($A990="","",IF(OR($D990="",$D990&lt;=0),"HATALI","TAM"))</f>
        <v/>
      </c>
    </row>
    <row r="991">
      <c r="G991" s="22">
        <f>IF($A991="","",IF(OR($D991="",$D991&lt;=0),"HATALI","TAM"))</f>
        <v/>
      </c>
    </row>
    <row r="992">
      <c r="G992" s="22">
        <f>IF($A992="","",IF(OR($D992="",$D992&lt;=0),"HATALI","TAM"))</f>
        <v/>
      </c>
    </row>
    <row r="993">
      <c r="G993" s="22">
        <f>IF($A993="","",IF(OR($D993="",$D993&lt;=0),"HATALI","TAM"))</f>
        <v/>
      </c>
    </row>
    <row r="994">
      <c r="G994" s="22">
        <f>IF($A994="","",IF(OR($D994="",$D994&lt;=0),"HATALI","TAM"))</f>
        <v/>
      </c>
    </row>
    <row r="995">
      <c r="G995" s="22">
        <f>IF($A995="","",IF(OR($D995="",$D995&lt;=0),"HATALI","TAM"))</f>
        <v/>
      </c>
    </row>
    <row r="996">
      <c r="G996" s="22">
        <f>IF($A996="","",IF(OR($D996="",$D996&lt;=0),"HATALI","TAM"))</f>
        <v/>
      </c>
    </row>
    <row r="997">
      <c r="G997" s="22">
        <f>IF($A997="","",IF(OR($D997="",$D997&lt;=0),"HATALI","TAM"))</f>
        <v/>
      </c>
    </row>
    <row r="998">
      <c r="G998" s="22">
        <f>IF($A998="","",IF(OR($D998="",$D998&lt;=0),"HATALI","TAM"))</f>
        <v/>
      </c>
    </row>
    <row r="999">
      <c r="G999" s="22">
        <f>IF($A999="","",IF(OR($D999="",$D999&lt;=0),"HATALI","TAM"))</f>
        <v/>
      </c>
    </row>
    <row r="1000">
      <c r="G1000" s="22">
        <f>IF($A1000="","",IF(OR($D1000="",$D1000&lt;=0),"HATALI","TAM"))</f>
        <v/>
      </c>
    </row>
    <row r="1001">
      <c r="G1001" s="22">
        <f>IF($A1001="","",IF(OR($D1001="",$D1001&lt;=0),"HATALI","TAM"))</f>
        <v/>
      </c>
    </row>
    <row r="1002">
      <c r="G1002" s="22">
        <f>IF($A1002="","",IF(OR($D1002="",$D1002&lt;=0),"HATALI","TAM"))</f>
        <v/>
      </c>
    </row>
    <row r="1003">
      <c r="G1003" s="22">
        <f>IF($A1003="","",IF(OR($D1003="",$D1003&lt;=0),"HATALI","TAM"))</f>
        <v/>
      </c>
    </row>
    <row r="1004">
      <c r="G1004" s="22">
        <f>IF($A1004="","",IF(OR($D1004="",$D1004&lt;=0),"HATALI","TAM"))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">
    <dataValidation sqref="B8:B36" showDropDown="0" showInputMessage="1" showErrorMessage="1" allowBlank="1" errorTitle="Geçersiz" error="Negatif olamaz." promptTitle="Parametre" prompt="Sayısal parametre." type="decimal" errorStyle="stop" operator="between">
      <formula1>0</formula1>
      <formula2>1000000000000</formula2>
    </dataValidation>
    <dataValidation sqref="D42:D45" showDropDown="0" showInputMessage="1" showErrorMessage="1" allowBlank="1" errorTitle="Geçersiz" error="Pozitif olmalı." promptTitle="Katsayı" prompt="Dönüşüm katsayısı &gt; 0." type="decimal" errorStyle="stop" operator="between">
      <formula1>0</formula1>
      <formula2>1000000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00548235"/>
    <outlinePr summaryBelow="1" summaryRight="1"/>
    <pageSetUpPr/>
  </sheetPr>
  <dimension ref="A1:AD16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9" t="inlineStr">
        <is>
          <t>KILAVUZ — Sevkiyat Fiyatlama &amp; Navlun Maliyet Motoru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</row>
    <row r="2"/>
    <row r="3" ht="22" customHeight="1">
      <c r="A3" s="228" t="inlineStr">
        <is>
          <t>Kullanım kılavuzu</t>
        </is>
      </c>
    </row>
    <row r="4"/>
    <row r="5">
      <c r="A5" s="6" t="inlineStr">
        <is>
          <t>1. GIRDI: sefer km, araç tipi, dönüş yükü, CAPEX ve finansman oranlarını girin.</t>
        </is>
      </c>
    </row>
    <row r="6">
      <c r="A6" s="6" t="inlineStr">
        <is>
          <t>2. HAMMADDE: yakıt, işçilik, ambalaj, genel gider birim fiyatlarını güncelleyin.</t>
        </is>
      </c>
    </row>
    <row r="7">
      <c r="A7" s="6" t="inlineStr">
        <is>
          <t>3. RECETE: bileşim oranları toplamı %100 olmalı; sapmada PANO kırmızı alarm üretir.</t>
        </is>
      </c>
    </row>
    <row r="8">
      <c r="A8" s="6" t="inlineStr">
        <is>
          <t>4. Fire kolonu boş km / bertaraf oranını taşır; fire'siz maliyet yasaktır.</t>
        </is>
      </c>
    </row>
    <row r="9">
      <c r="A9" s="6" t="inlineStr">
        <is>
          <t>5. Birim dönüşümleri yalnızca AYARLAR tblDonusum üzerinden yapılır.</t>
        </is>
      </c>
    </row>
    <row r="10">
      <c r="A10" s="6" t="inlineStr">
        <is>
          <t>6. MOTOR kırılımı (hammadde+işçilik+ambalaj+genel gider) birim maliyete eşitlenir.</t>
        </is>
      </c>
    </row>
    <row r="11">
      <c r="A11" s="6" t="inlineStr">
        <is>
          <t>7. FIYATLAMA önerilen teklifi üretir; VARYANS eski/yeni reçete köprüsünü gösterir.</t>
        </is>
      </c>
    </row>
    <row r="12">
      <c r="A12" s="6" t="inlineStr">
        <is>
          <t>8. FINANSMAN: OZ_KAYNAK ve KREDI senaryolarını karşılaştırın.</t>
        </is>
      </c>
    </row>
    <row r="13">
      <c r="A13" s="6" t="inlineStr">
        <is>
          <t>9. SENARYO: iyimser/baz/kötümser NPV-IRR aralığı ve tornado sıralaması.</t>
        </is>
      </c>
    </row>
    <row r="14">
      <c r="A14" s="6" t="inlineStr">
        <is>
          <t>10. KARAR: boş girişte VERİ YOK; kötümser NPV negatifse YATIRIM YAPMA.</t>
        </is>
      </c>
    </row>
    <row r="15">
      <c r="A15" s="6" t="inlineStr">
        <is>
          <t>11. Tüm dış veri kullanıcı girişi olmalıdır; dış bağlantı / API yoktur.</t>
        </is>
      </c>
    </row>
    <row r="16">
      <c r="A16" s="6" t="inlineStr">
        <is>
          <t>12. Formül alanları 1234 şifresi ile korunur; sarı hücreler açıktır.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16:L16"/>
    <mergeCell ref="A15:L15"/>
    <mergeCell ref="A10:L10"/>
    <mergeCell ref="A7:L7"/>
    <mergeCell ref="A11:L11"/>
    <mergeCell ref="A5:L5"/>
    <mergeCell ref="A13:L13"/>
    <mergeCell ref="A8:L8"/>
    <mergeCell ref="A14:L14"/>
    <mergeCell ref="A6:L6"/>
    <mergeCell ref="A1:I1"/>
    <mergeCell ref="A3:I3"/>
    <mergeCell ref="A9:L9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2026-08-11T13:59:36Z</dcterms:created>
  <dcterms:modified xmlns:dcterms="http://purl.org/dc/terms/" xmlns:xsi="http://www.w3.org/2001/XMLSchema-instance" xsi:type="dcterms:W3CDTF">2026-09-25T20:44:40Z</dcterms:modified>
</cp:coreProperties>
</file>