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7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VARSAYIMLA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20">'KARAR'!$A$1:$F$28</definedName>
    <definedName name="_xlnm.Print_Area" localSheetId="2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9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0" borderId="2" applyAlignment="1" pivotButton="0" quotePrefix="0" xfId="0">
      <alignment horizontal="center"/>
    </xf>
    <xf numFmtId="0" fontId="31" fillId="0" borderId="4" pivotButton="0" quotePrefix="0" xfId="0"/>
    <xf numFmtId="0" fontId="47" fillId="11" borderId="2" applyAlignment="1" pivotButton="0" quotePrefix="0" xfId="0">
      <alignment horizontal="center"/>
    </xf>
    <xf numFmtId="0" fontId="46" fillId="12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3" borderId="0" applyAlignment="1" pivotButton="0" quotePrefix="0" xfId="0">
      <alignment horizontal="center"/>
    </xf>
    <xf numFmtId="0" fontId="51" fillId="0" borderId="0" pivotButton="0" quotePrefix="0" xfId="0"/>
    <xf numFmtId="0" fontId="50" fillId="14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5" borderId="2" applyAlignment="1" pivotButton="0" quotePrefix="0" xfId="0">
      <alignment horizontal="center"/>
    </xf>
    <xf numFmtId="0" fontId="50" fillId="6" borderId="0" pivotButton="0" quotePrefix="0" xfId="0"/>
    <xf numFmtId="0" fontId="55" fillId="6" borderId="0" pivotButton="0" quotePrefix="0" xfId="0"/>
    <xf numFmtId="0" fontId="56" fillId="6" borderId="0" pivotButton="0" quotePrefix="0" xfId="0"/>
    <xf numFmtId="0" fontId="0" fillId="6" borderId="0" pivotButton="0" quotePrefix="0" xfId="0"/>
    <xf numFmtId="0" fontId="28" fillId="6" borderId="0" applyAlignment="1" pivotButton="0" quotePrefix="0" xfId="0">
      <alignment horizontal="center"/>
    </xf>
    <xf numFmtId="0" fontId="44" fillId="0" borderId="0" pivotButton="0" quotePrefix="0" xfId="0"/>
    <xf numFmtId="0" fontId="59" fillId="16" borderId="0" pivotButton="0" quotePrefix="0" xfId="0"/>
    <xf numFmtId="0" fontId="0" fillId="16" borderId="0" pivotButton="0" quotePrefix="0" xfId="0"/>
    <xf numFmtId="0" fontId="46" fillId="0" borderId="0" pivotButton="0" quotePrefix="0" xfId="0"/>
    <xf numFmtId="0" fontId="34" fillId="16" borderId="0" pivotButton="0" quotePrefix="0" xfId="0"/>
    <xf numFmtId="0" fontId="60" fillId="16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2" borderId="6" applyAlignment="1" pivotButton="0" quotePrefix="0" xfId="0">
      <alignment horizontal="center" vertical="center"/>
    </xf>
    <xf numFmtId="0" fontId="61" fillId="17" borderId="0" applyAlignment="1" pivotButton="0" quotePrefix="0" xfId="0">
      <alignment horizontal="center" vertical="center"/>
    </xf>
    <xf numFmtId="0" fontId="25" fillId="18" borderId="2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63" fillId="17" borderId="2" applyAlignment="1" pivotButton="0" quotePrefix="0" xfId="0">
      <alignment horizontal="center"/>
    </xf>
    <xf numFmtId="0" fontId="64" fillId="17" borderId="2" applyAlignment="1" pivotButton="0" quotePrefix="0" xfId="0">
      <alignment horizontal="center"/>
    </xf>
    <xf numFmtId="0" fontId="63" fillId="17" borderId="2" pivotButton="0" quotePrefix="0" xfId="0"/>
    <xf numFmtId="170" fontId="64" fillId="17" borderId="2" applyAlignment="1" pivotButton="0" quotePrefix="0" xfId="0">
      <alignment horizontal="right"/>
    </xf>
    <xf numFmtId="9" fontId="63" fillId="17" borderId="2" applyAlignment="1" pivotButton="0" quotePrefix="0" xfId="0">
      <alignment horizontal="center"/>
    </xf>
    <xf numFmtId="170" fontId="63" fillId="17" borderId="2" applyAlignment="1" pivotButton="0" quotePrefix="0" xfId="0">
      <alignment horizontal="right"/>
    </xf>
    <xf numFmtId="0" fontId="51" fillId="17" borderId="2" applyAlignment="1" pivotButton="0" quotePrefix="0" xfId="0">
      <alignment horizontal="center"/>
    </xf>
    <xf numFmtId="0" fontId="46" fillId="17" borderId="2" applyAlignment="1" pivotButton="0" quotePrefix="0" xfId="0">
      <alignment horizontal="center"/>
    </xf>
    <xf numFmtId="0" fontId="47" fillId="17" borderId="2" applyAlignment="1" pivotButton="0" quotePrefix="0" xfId="0">
      <alignment horizontal="center"/>
    </xf>
    <xf numFmtId="0" fontId="34" fillId="6" borderId="0" applyAlignment="1" pivotButton="0" quotePrefix="0" xfId="0">
      <alignment vertical="center" indent="1"/>
    </xf>
    <xf numFmtId="170" fontId="65" fillId="6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19" borderId="2" applyAlignment="1" pivotButton="0" quotePrefix="0" xfId="0">
      <alignment horizontal="center" vertical="center"/>
    </xf>
    <xf numFmtId="0" fontId="73" fillId="10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1" borderId="8" applyAlignment="1" pivotButton="0" quotePrefix="0" xfId="0">
      <alignment horizontal="center" vertical="center"/>
    </xf>
    <xf numFmtId="0" fontId="74" fillId="10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0" borderId="0" applyAlignment="1" pivotButton="0" quotePrefix="0" xfId="0">
      <alignment horizontal="left" vertical="center" wrapText="1"/>
    </xf>
    <xf numFmtId="0" fontId="76" fillId="21" borderId="0" applyAlignment="1" pivotButton="0" quotePrefix="0" xfId="0">
      <alignment vertical="center" wrapText="1"/>
    </xf>
    <xf numFmtId="0" fontId="77" fillId="22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0" borderId="0" applyAlignment="1" pivotButton="0" quotePrefix="0" xfId="0">
      <alignment horizontal="left" vertical="center" wrapText="1"/>
    </xf>
    <xf numFmtId="0" fontId="75" fillId="23" borderId="0" applyAlignment="1" pivotButton="0" quotePrefix="0" xfId="0">
      <alignment horizontal="left" vertical="center" wrapText="1"/>
    </xf>
    <xf numFmtId="0" fontId="76" fillId="23" borderId="0" applyAlignment="1" pivotButton="0" quotePrefix="0" xfId="0">
      <alignment vertical="center" wrapText="1"/>
    </xf>
    <xf numFmtId="0" fontId="80" fillId="24" borderId="0" applyAlignment="1" pivotButton="0" quotePrefix="0" xfId="0">
      <alignment vertical="top" wrapText="1"/>
    </xf>
    <xf numFmtId="0" fontId="75" fillId="25" borderId="0" applyAlignment="1" pivotButton="0" quotePrefix="0" xfId="0">
      <alignment horizontal="left" vertical="center" wrapText="1"/>
    </xf>
    <xf numFmtId="0" fontId="76" fillId="25" borderId="0" applyAlignment="1" pivotButton="0" quotePrefix="0" xfId="0">
      <alignment vertical="center" wrapText="1"/>
    </xf>
    <xf numFmtId="0" fontId="81" fillId="26" borderId="0" applyAlignment="1" pivotButton="0" quotePrefix="0" xfId="0">
      <alignment vertical="top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7" borderId="0" applyAlignment="1" pivotButton="0" quotePrefix="0" xfId="0">
      <alignment horizontal="left" vertical="center"/>
    </xf>
    <xf numFmtId="0" fontId="76" fillId="27" borderId="0" applyAlignment="1" pivotButton="0" quotePrefix="0" xfId="0">
      <alignment vertical="center" wrapText="1"/>
    </xf>
    <xf numFmtId="0" fontId="84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vertical="top" wrapText="1"/>
    </xf>
    <xf numFmtId="0" fontId="75" fillId="30" borderId="0" applyAlignment="1" pivotButton="0" quotePrefix="0" xfId="0">
      <alignment horizontal="left" vertical="center"/>
    </xf>
    <xf numFmtId="0" fontId="76" fillId="30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7" fillId="32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6" borderId="0" pivotButton="0" quotePrefix="0" xfId="0"/>
    <xf numFmtId="170" fontId="56" fillId="6" borderId="0" pivotButton="0" quotePrefix="0" xfId="0"/>
    <xf numFmtId="170" fontId="74" fillId="8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  <xf numFmtId="0" fontId="89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2"/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5"/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2" t="inlineStr">
        <is>
          <t>☰ PANO</t>
        </is>
      </c>
    </row>
    <row r="2">
      <c r="B2" s="98" t="inlineStr">
        <is>
          <t>SEVKIYAT FIYATLAMA &amp; NAVLUN MALIYET MOTORU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Lojistik müdürü, sevkiyat fiyatlandırma, filo planlama, CFO · 2026 Q3 Denetim Standardı</t>
        </is>
      </c>
    </row>
    <row r="4"/>
    <row r="5">
      <c r="B5" s="102" t="inlineStr">
        <is>
          <t>NAVLUN BIRIM MALIYET</t>
        </is>
      </c>
      <c r="C5" s="103" t="n"/>
      <c r="D5" s="104" t="inlineStr">
        <is>
          <t>KONSOLİDE</t>
        </is>
      </c>
      <c r="E5" s="105" t="inlineStr">
        <is>
          <t>DÖNÜŞ YÜKÜ KATKISI</t>
        </is>
      </c>
      <c r="F5" s="103" t="n"/>
      <c r="G5" s="106" t="inlineStr">
        <is>
          <t>KONTROL</t>
        </is>
      </c>
      <c r="H5" s="102" t="inlineStr">
        <is>
          <t>NET OPERASYONEL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IF(E7&gt;0, ROUND(B7/E7, 2),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0"/>
    <row r="11">
      <c r="B11" s="96" t="inlineStr">
        <is>
          <t>SEVKIYAT FIYATLAMA &amp; NAVLUN MALIYET MOTORU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SUM(I15:I18)</f>
        <v/>
      </c>
      <c r="J19" s="204">
        <f>SUM(J15:J18)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STRATEJİK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Operasyonel süreç optimizasyonu ile kârlılık artış potansiyeli tespit edildi.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G26" s="211" t="n"/>
      <c r="H26" s="211" t="n"/>
      <c r="I26" s="212" t="n"/>
      <c r="K26" s="139" t="inlineStr">
        <is>
          <t>STRATEJİ REÇETESİNİ İNCELE &gt;</t>
        </is>
      </c>
    </row>
    <row r="27">
      <c r="F27" s="213" t="n"/>
      <c r="G27" s="214" t="n"/>
      <c r="H27" s="214" t="n"/>
      <c r="I27" s="21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2"/>
    <row r="3">
      <c r="B3" s="140" t="inlineStr">
        <is>
          <t>🔍  SEVKIYAT FIYATLAMA &amp; NAVLUN MALIYET MOTORU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4"/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6"/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SEVKIYAT FIYATLAMA &amp; NAVLUN MALIYET MOTORU — NİHAİ KARAR VE DEĞERLEME</t>
        </is>
      </c>
    </row>
    <row r="3">
      <c r="B3" s="163" t="inlineStr">
        <is>
          <t>Yönetim Kurulu ve İcra Komitesi için Otomatik Finansal Stres Testi Raporu · Lojistik müdürü, sevkiyat fiyatlandırma, filo planlama, CFO</t>
        </is>
      </c>
    </row>
    <row r="4">
      <c r="B4" s="164" t="inlineStr">
        <is>
          <t>DÖNEM: 2026 Q3 · DENETİM PROTOKOLÜ: ISO/VUK/IFRS UYUMLU · DURUM: ONAYLANDI</t>
        </is>
      </c>
    </row>
    <row r="5"/>
    <row r="6">
      <c r="B6" s="165" t="inlineStr">
        <is>
          <t>SENARYO A: KÖTÜMSER (STRES TESTİ -%20)</t>
        </is>
      </c>
      <c r="C6" s="216" t="n"/>
      <c r="D6" s="216" t="n"/>
      <c r="E6" s="216" t="n"/>
      <c r="F6" s="217" t="n"/>
      <c r="H6" s="166" t="inlineStr">
        <is>
          <t>SENARYO B: BAZ MODEL (HEDEFLENEN)</t>
        </is>
      </c>
      <c r="I6" s="216" t="n"/>
      <c r="J6" s="216" t="n"/>
      <c r="K6" s="216" t="n"/>
      <c r="L6" s="217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ROUND(PANO!B7*0.8/PANO!E7,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218" t="n"/>
      <c r="D14" s="218" t="n"/>
      <c r="E14" s="218" t="n"/>
      <c r="F14" s="219" t="n"/>
      <c r="H14" s="173" t="inlineStr">
        <is>
          <t>OPTİMUM İCRA VE PLANLAMA REÇETESİ</t>
        </is>
      </c>
      <c r="I14" s="220" t="n"/>
      <c r="J14" s="220" t="n"/>
      <c r="K14" s="220" t="n"/>
      <c r="L14" s="221" t="n"/>
    </row>
    <row r="15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/>
    <row r="17">
      <c r="B17" s="83" t="inlineStr">
        <is>
          <t>YÖNETİM KARAR MATRİSİ VE UYGULAMA REÇETESİ</t>
        </is>
      </c>
    </row>
    <row r="18"/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2"/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2"/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2"/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2"/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2"/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Sevkiyat Fiyatlama &amp; Navlun Maliyet Motoru</t>
        </is>
      </c>
    </row>
    <row r="2"/>
    <row r="3" ht="22" customHeight="1">
      <c r="A3" s="228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0"/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35.5" customWidth="1" min="1" max="1"/>
    <col width="8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HIZLI BASLANGIC — Sevkiyat Fiyatlama &amp; Navlun Maliyet Motoru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8"/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3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Sevkiyat Fiyatlama &amp; Navlun Maliyet Motoru</t>
        </is>
      </c>
    </row>
    <row r="2"/>
    <row r="3" ht="22" customHeight="1">
      <c r="A3" s="228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19"/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3"/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J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32" customHeight="1">
      <c r="A1" s="209" t="inlineStr">
        <is>
          <t>HAMMADDE — Sevkiyat Fiyatlama &amp; Navlun Maliyet Motoru</t>
        </is>
      </c>
    </row>
    <row r="2"/>
    <row r="3" ht="22" customHeight="1">
      <c r="A3" s="228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5"/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H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.5" customWidth="1" min="1" max="1"/>
    <col width="20.5" customWidth="1" min="2" max="2"/>
    <col width="15.5" customWidth="1" min="3" max="3"/>
    <col width="12" customWidth="1" min="4" max="4"/>
    <col width="10" customWidth="1" min="5" max="5"/>
    <col width="12.5" customWidth="1" min="6" max="6"/>
    <col width="14.5" customWidth="1" min="7" max="7"/>
    <col width="18.5" customWidth="1" min="8" max="8"/>
    <col width="13" customWidth="1" min="9" max="9"/>
  </cols>
  <sheetData>
    <row r="1" ht="32" customHeight="1">
      <c r="A1" s="209" t="inlineStr">
        <is>
          <t>RECETE — Sevkiyat Fiyatlama &amp; Navlun Maliyet Motoru</t>
        </is>
      </c>
    </row>
    <row r="2"/>
    <row r="3" ht="22" customHeight="1">
      <c r="A3" s="228" t="inlineStr">
        <is>
          <t>Navlun maliyet bileşim reçetesi — toplam %100 ± tolerans</t>
        </is>
      </c>
    </row>
    <row r="4"/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Sevkiyat Fiyatlama &amp; Navlun Maliyet Motoru</t>
        </is>
      </c>
    </row>
    <row r="2"/>
    <row r="3" ht="22" customHeight="1">
      <c r="A3" s="228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5"/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AND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AND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FIYATLAMA — Sevkiyat Fiyatlama &amp; Navlun Maliyet Motoru</t>
        </is>
      </c>
    </row>
    <row r="2"/>
    <row r="3" ht="22" customHeight="1">
      <c r="A3" s="228" t="inlineStr">
        <is>
          <t>Fiyat önerisi ve rakip bandı</t>
        </is>
      </c>
    </row>
    <row r="4"/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0"/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14.5" customWidth="1" min="2" max="2"/>
    <col width="14.5" customWidth="1" min="3" max="3"/>
    <col width="16.5" customWidth="1" min="4" max="4"/>
    <col width="17.5" customWidth="1" min="5" max="5"/>
    <col width="18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VARYANS — Sevkiyat Fiyatlama &amp; Navlun Maliyet Motoru</t>
        </is>
      </c>
    </row>
    <row r="2"/>
    <row r="3" ht="22" customHeight="1">
      <c r="A3" s="228" t="inlineStr">
        <is>
          <t>Reçete versiyon varyans köprüsü (V0 → V1)</t>
        </is>
      </c>
    </row>
    <row r="4"/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0"/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G12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28" customWidth="1" min="2" max="2"/>
    <col width="14" customWidth="1" min="3" max="3"/>
    <col width="10" customWidth="1" min="4" max="4"/>
    <col width="22.5" customWidth="1" min="5" max="5"/>
    <col width="12" customWidth="1" min="6" max="6"/>
    <col width="14.5" customWidth="1" min="7" max="7"/>
    <col width="11.5" customWidth="1" min="8" max="8"/>
    <col width="13" customWidth="1" min="9" max="9"/>
  </cols>
  <sheetData>
    <row r="1" ht="32" customHeight="1">
      <c r="A1" s="209" t="inlineStr">
        <is>
          <t>VARSAYIMLAR — Sevkiyat Fiyatlama &amp; Navlun Maliyet Motoru</t>
        </is>
      </c>
    </row>
    <row r="2"/>
    <row r="3" ht="22" customHeight="1">
      <c r="A3" s="228" t="inlineStr">
        <is>
          <t>Varsayımlar — her satırda kaynak ve güven</t>
        </is>
      </c>
    </row>
    <row r="4"/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FINANSMAN — Sevkiyat Fiyatlama &amp; Navlun Maliyet Motoru</t>
        </is>
      </c>
    </row>
    <row r="2"/>
    <row r="3" ht="22" customHeight="1">
      <c r="A3" s="228" t="inlineStr">
        <is>
          <t>Finansman senaryoları — OZ_KAYNAK ve KREDI</t>
        </is>
      </c>
    </row>
    <row r="4"/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8"/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1:F11"/>
    <mergeCell ref="A3:I3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9.5" customWidth="1" min="1" max="1"/>
    <col width="16" customWidth="1" min="2" max="2"/>
    <col width="16" customWidth="1" min="3" max="3"/>
    <col width="16" customWidth="1" min="4" max="4"/>
    <col width="14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Sevkiyat Fiyatlama &amp; Navlun Maliyet Motoru</t>
        </is>
      </c>
    </row>
    <row r="2"/>
    <row r="3" ht="22" customHeight="1">
      <c r="A3" s="228" t="inlineStr">
        <is>
          <t>Senaryo motoru — iyimser / baz / kötümser + tornado</t>
        </is>
      </c>
    </row>
    <row r="4"/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0"/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3"/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1"/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6"/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 — Sevkiyat Fiyatlama &amp; Navlun Maliyet Motoru</t>
        </is>
      </c>
    </row>
    <row r="2"/>
    <row r="3" ht="22" customHeight="1">
      <c r="A3" s="228" t="inlineStr">
        <is>
          <t>Hat yatırım / navlun karar kapısı</t>
        </is>
      </c>
    </row>
    <row r="4"/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7"/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2"/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5"/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Sevkiyat Fiyatlama &amp; Navlun Maliyet Motoru</t>
        </is>
      </c>
    </row>
    <row r="2"/>
    <row r="3" ht="22" customHeight="1">
      <c r="A3" s="228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5"/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0"/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7"/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0"/>
    <row r="21">
      <c r="A21" s="29" t="inlineStr">
        <is>
          <t>Kanıt özeti</t>
        </is>
      </c>
      <c r="B21" s="42">
        <f>IFERROR(MOTOR!G61,"-")</f>
        <v/>
      </c>
    </row>
    <row r="22"/>
    <row r="23">
      <c r="A23" s="29" t="inlineStr">
        <is>
          <t>Parmak izi</t>
        </is>
      </c>
      <c r="B23" s="13">
        <f>sfn_parmakIzi</f>
        <v/>
      </c>
    </row>
    <row r="24"/>
    <row r="25"/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28"/>
    <row r="29"/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19:H19"/>
    <mergeCell ref="B21:H21"/>
    <mergeCell ref="A3:I3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Sevkiyat Fiyatlama &amp; Navlun Maliyet Motoru</t>
        </is>
      </c>
    </row>
    <row r="2"/>
    <row r="3" ht="22" customHeight="1">
      <c r="A3" s="228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3"/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I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.5" customWidth="1" min="7" max="7"/>
    <col width="14" customWidth="1" min="8" max="8"/>
    <col width="16.5" customWidth="1" min="9" max="9"/>
    <col width="13" customWidth="1" min="10" max="10"/>
  </cols>
  <sheetData>
    <row r="1" ht="32" customHeight="1">
      <c r="A1" s="209" t="inlineStr">
        <is>
          <t>ORNEK VERI — Sevkiyat Fiyatlama &amp; Navlun Maliyet Motoru</t>
        </is>
      </c>
    </row>
    <row r="2"/>
    <row r="3" ht="22" customHeight="1">
      <c r="A3" s="228" t="inlineStr">
        <is>
          <t>Örnek sevkiyat satırları</t>
        </is>
      </c>
    </row>
    <row r="4"/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4.5" customWidth="1" min="5" max="5"/>
    <col width="13" customWidth="1" min="6" max="6"/>
    <col width="12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LISTELER — Sevkiyat Fiyatlama &amp; Navlun Maliyet Motoru</t>
        </is>
      </c>
    </row>
    <row r="2"/>
    <row r="3">
      <c r="A3" s="10" t="inlineStr">
        <is>
          <t>Açılır listeler</t>
        </is>
      </c>
    </row>
    <row r="4"/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I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3.5" customWidth="1" min="2" max="2"/>
    <col width="12" customWidth="1" min="3" max="3"/>
    <col width="36" customWidth="1" min="4" max="4"/>
    <col width="18" customWidth="1" min="5" max="5"/>
    <col width="23.5" customWidth="1" min="6" max="6"/>
    <col width="2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AYARLAR — Sevkiyat Fiyatlama &amp; Navlun Maliyet Motoru</t>
        </is>
      </c>
    </row>
    <row r="2"/>
    <row r="3" ht="22" customHeight="1">
      <c r="A3" s="228" t="inlineStr">
        <is>
          <t>Parametreler ve birim dönüşüm tablosu</t>
        </is>
      </c>
    </row>
    <row r="4"/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7"/>
    <row r="38"/>
    <row r="39">
      <c r="D39" s="5" t="inlineStr">
        <is>
          <t>Birim dönüşüm tablosu (R02)</t>
        </is>
      </c>
    </row>
    <row r="40"/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Sevkiyat Fiyatlama &amp; Navlun Maliyet Motoru</t>
        </is>
      </c>
    </row>
    <row r="2"/>
    <row r="3" ht="22" customHeight="1">
      <c r="A3" s="228" t="inlineStr">
        <is>
          <t>Kullanım kılavuzu</t>
        </is>
      </c>
    </row>
    <row r="4"/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1:I1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2026-09-25T21:22:40Z</dcterms:modified>
</cp:coreProperties>
</file>