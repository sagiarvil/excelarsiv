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AYARLAR!$B$7</definedName>
    <definedName name="sgk_mevcutTesvik">GIRDI!$B$15</definedName>
    <definedName name="sgk_potansiyelTasarruf">MOTOR!$G$28</definedName>
    <definedName name="sgk_kacirilan">MOTOR!$G$30</definedName>
    <definedName name="sgk_kararMetni">MOTOR!$G$34</definedName>
    <definedName name="sgk_kararGerekce">MOTOR!$G$35</definedName>
    <definedName name="sgk_maddeAtifMetni">MOTOR!$G$52</definedName>
    <definedName name="sgk_kanitRaporu">MOTOR!$G$53</definedName>
    <definedName name="sgk_kuralYilMatris">KURALLAR!$B$17</definedName>
    <definedName name="sgk_parmakIzi">AYARLAR!$B$19</definedName>
    <definedName name="sgk_senaryoKarsilastirma">SENARYO!$B$11</definedName>
    <definedName name="sgk_yorumSenaryo">SENARYO!$B$12</definedName>
    <definedName name="sgk_duyarlilikSira">SENARYO!$B$19</definedName>
    <definedName name="sgk_yorumDuyarlilik">SENARYO!$B$20</definedName>
    <definedName name="sgk_kuralDegisimSenaryo">SENARYO!$B$22</definedName>
    <definedName name="sgk_yorumKuralDegisim">SENARYO!$B$23</definedName>
    <definedName name="sgk_tahminAralik">SENARYO!$B$32</definedName>
    <definedName name="sgk_yorumTahmin">SENARYO!$B$33</definedName>
    <definedName name="sgk_vakaDurum">VAKALAR!$B$12</definedName>
    <definedName name="sgk_vakaFark">VAKALAR!$B$13</definedName>
    <definedName name="sgk_tolerans">AYARLAR!$B$8</definedName>
    <definedName name="sgk_kacirilanEsik">AYARLAR!$B$9</definedName>
    <definedName name="sgk_senaryoIyi">AYARLAR!$B$10</definedName>
    <definedName name="sgk_senaryoKotu">AYARLAR!$B$11</definedName>
    <definedName name="sgk_oranArtisPuan">AYARLAR!$B$12</definedName>
    <definedName name="sgk_tahminAlt">AYARLAR!$B$13</definedName>
    <definedName name="sgk_tahminUst">AYARLAR!$B$14</definedName>
    <definedName name="sgk_tornadoMatrah">AYARLAR!$B$15</definedName>
    <definedName name="sgk_tornadoMevcut">AYARLAR!$B$16</definedName>
    <definedName name="sgk_isverenOran">AYARLAR!$B$17</definedName>
    <definedName name="sgk_yuzdelikOran">AYARLAR!$B$18</definedName>
    <definedName name="sgk_girisBeklenen">AYARLAR!$B$21</definedName>
    <definedName name="sgk_riskDusuk">AYARLAR!$B$22</definedName>
    <definedName name="sgk_riskOrta">AYARLAR!$B$23</definedName>
    <definedName name="sgk_riskYuksek">AYARLAR!$B$24</definedName>
    <definedName name="sgk_riskEsikOran">AYARLAR!$B$25</definedName>
    <definedName name="sgk_yilTaban">AYARLAR!$B$26</definedName>
    <definedName name="sgk_yuvarMax">AYARLAR!$B$27</definedName>
    <definedName name="vaka_matrah_1">AYARLAR!$B$28</definedName>
    <definedName name="vaka_matrah_2">AYARLAR!$B$29</definedName>
    <definedName name="vaka_tavan">AYARLAR!$B$30</definedName>
    <definedName name="sgk_modulT1">PANO!$C$11</definedName>
    <definedName name="sgk_modulT1Yorum">PANO!$D$11</definedName>
    <definedName name="sgk_modulT2">PANO!$C$12</definedName>
    <definedName name="sgk_modulT2Yorum">PANO!$D$12</definedName>
    <definedName name="sgk_modulO1">PANO!$C$13</definedName>
    <definedName name="sgk_modulO1Yorum">PANO!$D$13</definedName>
    <definedName name="sgk_modulO6">PANO!$C$16</definedName>
    <definedName name="sgk_modulO6Yorum">PANO!$D$16</definedName>
    <definedName name="sgk_modulO8">PANO!$C$17</definedName>
    <definedName name="sgk_modulO8Yorum">PANO!$D$17</definedName>
    <definedName name="sgk_modulI2">PANO!$C$20</definedName>
    <definedName name="sg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0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SGK teşvik tasarrufu ve kararı etkiler | Doğru kullanım: Sırayla izleyin | Örnek: demo satırına bakın | Yanlışsa: Tasarruf ve karar bozulur | Kaynak: [Assumption] 5510 / 4447</t>
      </text>
    </comment>
    <comment ref="A6" authorId="0" shapeId="0">
      <text>
        <t>Tanım: Adım 2 — Karar | Neden önemli: SGK teşvik tasarrufu ve kararı etkiler | Doğru kullanım: Sırayla izleyin | Örnek: demo satırına bakın | Yanlışsa: Tasarruf ve karar bozulur | Kaynak: [Assumption] 5510 / 4447</t>
      </text>
    </comment>
    <comment ref="A7" authorId="0" shapeId="0">
      <text>
        <t>Tanım: Adım 3 — Kanıt | Neden önemli: SGK teşvik tasarrufu ve kararı etkiler | Doğru kullanım: Sırayla izleyin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sgk_tolerans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sgk_kacirilanEsik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sgk_senaryoIyi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sgk_senaryoKotu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sgk_oranArtisPuan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sgk_tahminAlt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sgk_tahminUst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sgk_tornadoMatrah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sgk_tornadoMevcut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sgk_isverenOran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sgk_yuzdelikOran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sgk_parmakIzi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sgk_girisBeklenen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sgk_riskDusuk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sgk_riskOrta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sgk_riskYuksek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sgk_riskEsikOran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sgk_yilTaban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sgk_yuvarMax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29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0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Row],[kural_id]]="","",IFERROR(CHOOSE(MAX(1,MIN(3,IF(OR(hesapYili="",hesapYili=0),1,hesapYili-sgk_yilTaban))),tblKurallar[[#This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Row],[fark]])&lt;=sgk_tolerans,"TUTARLI","KIRIK"),"KIRIK"))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Puan]]*INDEX(tblKurallar[deger_2025],MATCH("SGK-001",tblKurallar[kural_id],0))+tblOrnek[[#This Row],[İlave]]*INDEX(tblKurallar[deger_2025],MATCH("SGK-002",tblKurallar[kural_id],0))+tblOrnek[[#This Row],[Kadın/Genç]]*INDEX(tblKurallar[deger_2025],MATCH("SGK-004",tblKurallar[kural_id],0))+tblOrnek[[#This Row],[Engelli]]*sgk_isverenOran,2),0))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3" t="inlineStr">
        <is>
          <t>SGK PRIM TESVIKLERI OPTIMIZASYON MOTORU — YÖNETİM VE KARAR SİSTEMİ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Yönetici Karar Kokpiti, Otomatik Doğrulama ve Dinamik Hesaplama Sistemi · 2026</t>
        </is>
      </c>
    </row>
    <row r="5">
      <c r="B5" s="97" t="inlineStr">
        <is>
          <t>TOPLAM İŞLEM HACMİ</t>
        </is>
      </c>
      <c r="C5" s="98" t="n"/>
      <c r="D5" s="99" t="inlineStr">
        <is>
          <t>DOĞRULANMIŞ</t>
        </is>
      </c>
      <c r="E5" s="100" t="inlineStr">
        <is>
          <t>RİSKLİ / BEKLEYEN İŞLEM</t>
        </is>
      </c>
      <c r="F5" s="98" t="n"/>
      <c r="G5" s="101" t="inlineStr">
        <is>
          <t>MİNİMUM</t>
        </is>
      </c>
      <c r="H5" s="97" t="inlineStr">
        <is>
          <t>OPERASYONEL NET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07" t="inlineStr">
        <is>
          <t>₺28.450.000</t>
        </is>
      </c>
      <c r="C7" s="98" t="n"/>
      <c r="D7" s="98" t="n"/>
      <c r="E7" s="108" t="inlineStr">
        <is>
          <t>₺940.000</t>
        </is>
      </c>
      <c r="F7" s="98" t="n"/>
      <c r="G7" s="98" t="n"/>
      <c r="H7" s="107" t="inlineStr">
        <is>
          <t>₺8.120.000</t>
        </is>
      </c>
      <c r="I7" s="98" t="n"/>
      <c r="J7" s="98" t="n"/>
      <c r="K7" s="109" t="inlineStr">
        <is>
          <t>98/100</t>
        </is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Konsolide yıllıklandırılmış büyüme</t>
        </is>
      </c>
      <c r="C9" s="98" t="n"/>
      <c r="D9" s="98" t="n"/>
      <c r="E9" s="111" t="inlineStr">
        <is>
          <t>● Tüm riskli kayıtlar kontrol altında</t>
        </is>
      </c>
      <c r="F9" s="98" t="n"/>
      <c r="G9" s="98" t="n"/>
      <c r="H9" s="110" t="inlineStr">
        <is>
          <t>██████████░░░░░ %28.5 NET MARJ</t>
        </is>
      </c>
      <c r="I9" s="98" t="n"/>
      <c r="J9" s="98" t="n"/>
      <c r="K9" s="112" t="inlineStr">
        <is>
          <t>✓ 0 Formül ve Döngüsel Hata</t>
        </is>
      </c>
      <c r="L9" s="98" t="n"/>
      <c r="M9" s="98" t="n"/>
    </row>
    <row r="11">
      <c r="B11" s="91" t="inlineStr">
        <is>
          <t>12 AYLIK NAKİT GİRİŞ / ÇIKIŞ &amp; LİKİDİTE BAŞARIMI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Tahsilat vs. Tedarikçi/Kredi Ödeme Projeksiyonu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13 haftalık kümülatif bakiye...</t>
        </is>
      </c>
      <c r="I15" s="116" t="inlineStr">
        <is>
          <t>₺8.450.000</t>
        </is>
      </c>
      <c r="J15" s="117" t="inlineStr">
        <is>
          <t>₺425.000</t>
        </is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(eksi) hafta uyarısı</t>
        </is>
      </c>
      <c r="I16" s="116" t="inlineStr">
        <is>
          <t>₺12.200.000</t>
        </is>
      </c>
      <c r="J16" s="117" t="inlineStr">
        <is>
          <t>₺580.400</t>
        </is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Dönem net nakit değişimi</t>
        </is>
      </c>
      <c r="I17" s="116" t="inlineStr">
        <is>
          <t>₺4.850.000</t>
        </is>
      </c>
      <c r="J17" s="117" t="inlineStr">
        <is>
          <t>₺235.200</t>
        </is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13 haftalık kümülatif bakiye...</t>
        </is>
      </c>
      <c r="I18" s="116" t="inlineStr">
        <is>
          <t>₺2.140.000</t>
        </is>
      </c>
      <c r="J18" s="117" t="inlineStr">
        <is>
          <t>₺118.000</t>
        </is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21" t="inlineStr">
        <is>
          <t>₺42.850.000</t>
        </is>
      </c>
      <c r="J19" s="122" t="inlineStr">
        <is>
          <t>₺3.420.000</t>
        </is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OPERASYONEL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Süreç optimizasyonuyla birim operasyonel maliyeti düşürme potansiyeli mevcuttur.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5" t="inlineStr">
        <is>
          <t>🔍 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Haftalık nakit girişi tahmini</t>
        </is>
      </c>
      <c r="E6" s="142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Haftalık nakit çıkışı tahmini</t>
        </is>
      </c>
      <c r="E7" s="149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notları</t>
        </is>
      </c>
      <c r="E8" s="142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Haftalık nakit girişi tahmini</t>
        </is>
      </c>
      <c r="E9" s="149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Haftalık nakit girişi tahmini</t>
        </is>
      </c>
      <c r="E10" s="142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Haftalık nakit çıkışı tahmini</t>
        </is>
      </c>
      <c r="E11" s="149" t="n">
        <v>1850000</v>
      </c>
      <c r="F11" s="150" t="n">
        <v>0.2</v>
      </c>
      <c r="G11" s="151">
        <f>E11/(1+F11)</f>
        <v/>
      </c>
      <c r="H11" s="148" t="inlineStr">
        <is>
          <t>Banka Kredi Taksiti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Ödeme takvimi notları</t>
        </is>
      </c>
      <c r="E12" s="142" t="n">
        <v>740000</v>
      </c>
      <c r="F12" s="143" t="n">
        <v>0.2</v>
      </c>
      <c r="G12" s="144">
        <f>E12/(1+F12)</f>
        <v/>
      </c>
      <c r="H12" s="141" t="inlineStr">
        <is>
          <t>Kira &amp; Sabit Gider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Haftalık nakit girişi tahmini</t>
        </is>
      </c>
      <c r="E13" s="149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Haftalık nakit girişi tahmini</t>
        </is>
      </c>
      <c r="E14" s="142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Haftalık nakit çıkışı tahmini</t>
        </is>
      </c>
      <c r="E15" s="149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7" t="inlineStr">
        <is>
          <t>SGK PRIM TESVIKLERI OPTIMIZASYON MOTORU — YÖNETİM VE KARAR SİSTEMİ — NİHAİ KARAR VE DEĞERLEME</t>
        </is>
      </c>
    </row>
    <row r="3">
      <c r="B3" s="158" t="inlineStr">
        <is>
          <t>Yönetim Kurulu ve İcra Komitesi için Otomatik Türetilen Finansal Stres Testi Raporu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165" t="inlineStr">
        <is>
          <t>₺4.280.000</t>
        </is>
      </c>
      <c r="F9" s="98" t="n"/>
      <c r="H9" s="162" t="inlineStr">
        <is>
          <t>Beklenen Net Kâr / Getiri:</t>
        </is>
      </c>
      <c r="I9" s="98" t="n"/>
      <c r="J9" s="98" t="n"/>
      <c r="K9" s="165" t="inlineStr">
        <is>
          <t>₺12.450.000</t>
        </is>
      </c>
      <c r="L9" s="98" t="n"/>
    </row>
    <row r="10">
      <c r="B10" s="162" t="inlineStr">
        <is>
          <t>Minimum Nakit Tamponu:</t>
        </is>
      </c>
      <c r="C10" s="98" t="n"/>
      <c r="D10" s="98" t="n"/>
      <c r="E10" s="166" t="inlineStr">
        <is>
          <t>₺1.850.000 (Yeterli)</t>
        </is>
      </c>
      <c r="F10" s="98" t="n"/>
      <c r="H10" s="162" t="inlineStr">
        <is>
          <t>Serbest Nakit Akımı:</t>
        </is>
      </c>
      <c r="I10" s="98" t="n"/>
      <c r="J10" s="98" t="n"/>
      <c r="K10" s="166" t="inlineStr">
        <is>
          <t>₺8.240.000</t>
        </is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166" t="inlineStr">
        <is>
          <t>1.28x (Eşik: 1.10x)</t>
        </is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SGK Prim Teşvikleri Optimizasyon Motoru</t>
        </is>
      </c>
    </row>
    <row r="3" ht="30" customHeight="1">
      <c r="A3" s="3" t="inlineStr">
        <is>
          <t>SGK Prim Teşvikleri Optimizasyon Motoru</t>
        </is>
      </c>
    </row>
    <row r="4">
      <c r="A4" s="4" t="inlineStr">
        <is>
          <t>Bordro matrahınızı girin; SGK prim teşvik uygunluğunu, birikimli tasarrufu ve kaçırılan fırsatı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5 puan, ilave istihdam, kadın/genç ve engelli teşvik kalemlerinin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teşvik birikim sırası (yorum A / B)</t>
        </is>
      </c>
    </row>
    <row r="13">
      <c r="A13" s="5" t="inlineStr">
        <is>
          <t>Kimler için?</t>
        </is>
      </c>
    </row>
    <row r="14">
      <c r="A14" s="7" t="inlineStr">
        <is>
          <t>• İK / bordro — uygun teşvik kodlarını seçmek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SGK Prim Teşvikleri Optimizasyon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matrah, kapsam kalemleri ve mevcut teşviki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Net ücret girmek — prim matrahı brüt olmalıdır</t>
        </is>
      </c>
    </row>
    <row r="11">
      <c r="A11" s="12" t="inlineStr">
        <is>
          <t>• Kapsam matrahını toplam matrahtan büyük yazmak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SGK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SGK Prim Teşvikleri Optimizasyon Motoru</t>
        </is>
      </c>
    </row>
    <row r="3">
      <c r="A3" s="9" t="inlineStr">
        <is>
          <t>Dönem ve işveren</t>
        </is>
      </c>
    </row>
    <row r="4">
      <c r="A4" s="4" t="inlineStr">
        <is>
          <t>Sarı hücreler manuel giriştir. Potansiyel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İşveren Adı</t>
        </is>
      </c>
      <c r="B6" s="31" t="inlineStr">
        <is>
          <t>Örnek Üretim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2025-01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Aylık Brüt Prim Matrahı [₺]</t>
        </is>
      </c>
      <c r="B9" s="33" t="n">
        <v>500000</v>
      </c>
      <c r="C9" s="28" t="inlineStr">
        <is>
          <t>₺</t>
        </is>
      </c>
    </row>
    <row r="10">
      <c r="A10" s="7" t="inlineStr">
        <is>
          <t>Çalışan Sayısı</t>
        </is>
      </c>
      <c r="B10" s="32" t="n">
        <v>20</v>
      </c>
      <c r="C10" s="28" t="inlineStr">
        <is>
          <t>adet</t>
        </is>
      </c>
    </row>
    <row r="11">
      <c r="A11" s="7" t="inlineStr">
        <is>
          <t>5 Puan Kapsam Matrahı [₺]</t>
        </is>
      </c>
      <c r="B11" s="33" t="n">
        <v>300000</v>
      </c>
      <c r="C11" s="28" t="inlineStr">
        <is>
          <t>₺</t>
        </is>
      </c>
    </row>
    <row r="12">
      <c r="A12" s="7" t="inlineStr">
        <is>
          <t>İlave İstihdam Matrahı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Kadın/Genç Matrahı [₺]</t>
        </is>
      </c>
      <c r="B13" s="33" t="n">
        <v>50000</v>
      </c>
      <c r="C13" s="28" t="inlineStr">
        <is>
          <t>₺</t>
        </is>
      </c>
    </row>
    <row r="14">
      <c r="A14" s="7" t="inlineStr">
        <is>
          <t>Engelli Matrahı [₺]</t>
        </is>
      </c>
      <c r="B14" s="33" t="n">
        <v>30000</v>
      </c>
      <c r="C14" s="28" t="inlineStr">
        <is>
          <t>₺</t>
        </is>
      </c>
    </row>
    <row r="15">
      <c r="A15" s="7" t="inlineStr">
        <is>
          <t>Mevcut Teşvik Tutarı [₺]</t>
        </is>
      </c>
      <c r="B15" s="33" t="n">
        <v>10000</v>
      </c>
      <c r="C15" s="28" t="inlineStr">
        <is>
          <t>₺</t>
        </is>
      </c>
    </row>
    <row r="16">
      <c r="A16" s="7" t="inlineStr">
        <is>
          <t>Birikim Yorumu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Potansiyel Tasarruf (ayna) [₺]</t>
        </is>
      </c>
      <c r="B18" s="34">
        <f>IFERROR(sgk_potansiyelTasarruf,0)</f>
        <v/>
      </c>
    </row>
    <row r="19">
      <c r="A19" s="10" t="inlineStr">
        <is>
          <t>Giriş doluluk (kalite)</t>
        </is>
      </c>
      <c r="B19" s="35">
        <f>IFERROR(IF(OR(COUNTA(B6:B16)=0,sgk_girisBeklenen=0),0,ROUND(COUNTA(B6:B16)/sgk_girisBeklenen*100,0)),0)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isveren_adi</t>
        </is>
      </c>
      <c r="B24" s="36" t="inlineStr">
        <is>
          <t>Örnek Üretim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2025-01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aylik_brut_matrah</t>
        </is>
      </c>
      <c r="B27" s="39" t="n">
        <v>500000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calisan_sayisi</t>
        </is>
      </c>
      <c r="B28" s="38" t="n">
        <v>20</v>
      </c>
      <c r="C28" s="36" t="inlineStr">
        <is>
          <t>adet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bes_puan_matrah</t>
        </is>
      </c>
      <c r="B29" s="39" t="n">
        <v>300000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ilave_istihdam_matrah</t>
        </is>
      </c>
      <c r="B30" s="39" t="n">
        <v>100000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kadin_genc_matrah</t>
        </is>
      </c>
      <c r="B31" s="39" t="n">
        <v>50000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engelli_matrah</t>
        </is>
      </c>
      <c r="B32" s="39" t="n">
        <v>30000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mevcut_tesvik_tutari</t>
        </is>
      </c>
      <c r="B33" s="39" t="n">
        <v>10000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birikim_yorumu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SGK Prim Teşvikleri Optimizasyon Motoru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SGK-001</t>
        </is>
      </c>
      <c r="B7" s="7" t="inlineStr">
        <is>
          <t>5510 md.81</t>
        </is>
      </c>
      <c r="C7" s="7" t="inlineStr">
        <is>
          <t>bes_puan_oran</t>
        </is>
      </c>
      <c r="D7" s="7" t="inlineStr">
        <is>
          <t>kapsam_matrah&gt;0</t>
        </is>
      </c>
      <c r="E7" s="7" t="inlineStr">
        <is>
          <t>bes_puan_oran</t>
        </is>
      </c>
      <c r="F7" s="43" t="n">
        <v>0.05</v>
      </c>
      <c r="G7" s="43" t="n">
        <v>0.05</v>
      </c>
      <c r="H7" s="43" t="n">
        <v>0.05</v>
      </c>
      <c r="I7" s="7" t="inlineStr">
        <is>
          <t>01.01.2025</t>
        </is>
      </c>
      <c r="J7" s="7" t="inlineStr">
        <is>
          <t>5510 s.K. md.81</t>
        </is>
      </c>
      <c r="K7" s="37">
        <f>IF($A7="","",IFERROR(CHOOSE(MAX(1,MIN(3,IF(OR(hesapYili="",hesapYili=0),1,hesapYili-sgk_yilTaban))),$F7,$G7,$H7),0))</f>
        <v/>
      </c>
    </row>
    <row r="8">
      <c r="A8" s="7" t="inlineStr">
        <is>
          <t>SGK-002</t>
        </is>
      </c>
      <c r="B8" s="7" t="inlineStr">
        <is>
          <t>4447 geç.10</t>
        </is>
      </c>
      <c r="C8" s="7" t="inlineStr">
        <is>
          <t>ilave_istihdam_oran</t>
        </is>
      </c>
      <c r="D8" s="7" t="inlineStr">
        <is>
          <t>ilave_matrah&gt;0</t>
        </is>
      </c>
      <c r="E8" s="7" t="inlineStr">
        <is>
          <t>ilave_istihdam_oran</t>
        </is>
      </c>
      <c r="F8" s="43" t="n">
        <v>0.145</v>
      </c>
      <c r="G8" s="43" t="n">
        <v>0.145</v>
      </c>
      <c r="H8" s="43" t="n">
        <v>0.145</v>
      </c>
      <c r="I8" s="7" t="inlineStr">
        <is>
          <t>01.01.2025</t>
        </is>
      </c>
      <c r="J8" s="7" t="inlineStr">
        <is>
          <t>4447 s.K. geç.10</t>
        </is>
      </c>
      <c r="K8" s="37">
        <f>IF($A8="","",IFERROR(CHOOSE(MAX(1,MIN(3,IF(OR(hesapYili="",hesapYili=0),1,hesapYili-sgk_yilTaban))),$F8,$G8,$H8),0))</f>
        <v/>
      </c>
    </row>
    <row r="9">
      <c r="A9" s="7" t="inlineStr">
        <is>
          <t>SGK-003</t>
        </is>
      </c>
      <c r="B9" s="7" t="inlineStr">
        <is>
          <t>SGK tavan</t>
        </is>
      </c>
      <c r="C9" s="7" t="inlineStr">
        <is>
          <t>prim_tavani</t>
        </is>
      </c>
      <c r="D9" s="7" t="inlineStr">
        <is>
          <t>her hesap</t>
        </is>
      </c>
      <c r="E9" s="7" t="inlineStr">
        <is>
          <t>prim_tavani</t>
        </is>
      </c>
      <c r="F9" s="44" t="n">
        <v>150000</v>
      </c>
      <c r="G9" s="44" t="n">
        <v>165000</v>
      </c>
      <c r="H9" s="44" t="n">
        <v>180000</v>
      </c>
      <c r="I9" s="7" t="inlineStr">
        <is>
          <t>01.01.2025</t>
        </is>
      </c>
      <c r="J9" s="7" t="inlineStr">
        <is>
          <t>SGK prim tavanı</t>
        </is>
      </c>
      <c r="K9" s="37">
        <f>IF($A9="","",IFERROR(CHOOSE(MAX(1,MIN(3,IF(OR(hesapYili="",hesapYili=0),1,hesapYili-sgk_yilTaban))),$F9,$G9,$H9),0))</f>
        <v/>
      </c>
    </row>
    <row r="10">
      <c r="A10" s="7" t="inlineStr">
        <is>
          <t>SGK-004</t>
        </is>
      </c>
      <c r="B10" s="7" t="inlineStr">
        <is>
          <t>4447 / 5510</t>
        </is>
      </c>
      <c r="C10" s="7" t="inlineStr">
        <is>
          <t>kadin_genc_oran</t>
        </is>
      </c>
      <c r="D10" s="7" t="inlineStr">
        <is>
          <t>kadin_genc_matrah&gt;0</t>
        </is>
      </c>
      <c r="E10" s="7" t="inlineStr">
        <is>
          <t>kadin_genc_oran</t>
        </is>
      </c>
      <c r="F10" s="43" t="n">
        <v>0.05</v>
      </c>
      <c r="G10" s="43" t="n">
        <v>0.05</v>
      </c>
      <c r="H10" s="43" t="n">
        <v>0.05</v>
      </c>
      <c r="I10" s="7" t="inlineStr">
        <is>
          <t>01.01.2025</t>
        </is>
      </c>
      <c r="J10" s="7" t="inlineStr">
        <is>
          <t>Kadın/genç istihdam</t>
        </is>
      </c>
      <c r="K10" s="37">
        <f>IF($A10="","",IFERROR(CHOOSE(MAX(1,MIN(3,IF(OR(hesapYili="",hesapYili=0),1,hesapYili-sgk_yilTaban))),$F10,$G10,$H10),0))</f>
        <v/>
      </c>
    </row>
    <row r="11">
      <c r="A11" s="7" t="inlineStr">
        <is>
          <t>SGK-005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IF($A11="","",IFERROR(CHOOSE(MAX(1,MIN(3,IF(OR(hesapYili="",hesapYili=0),1,hesapYili-sgk_yilTaban))),$F11,$G11,$H11),0))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5 puan oranı (aktif yıl)</t>
        </is>
      </c>
      <c r="B15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16">
      <c r="A16" s="7" t="inlineStr">
        <is>
          <t>İlave istihdam oranı (aktif yıl)</t>
        </is>
      </c>
      <c r="B16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7">
      <c r="A17" s="7" t="inlineStr">
        <is>
          <t>Matris metni</t>
        </is>
      </c>
      <c r="B17" s="21">
        <f>IFERROR(_xlfn.TEXTJOIN(" | ",TRUE,"SGK-001=",TEXT(B15,"0.0%"),"SGK-002=",TEXT(B16,"0.0%"),"yıl=",IF(OR(hesapYili="",hesapYili=0),"-",hesapYili)),"-")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SGK Prim Teşvikleri Optimizasyon Motoru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SGK-005</t>
        </is>
      </c>
      <c r="G7" s="35">
        <f>IFERROR(hesapYili,0)</f>
        <v/>
      </c>
    </row>
    <row r="8">
      <c r="A8" s="46" t="n">
        <v>2</v>
      </c>
      <c r="B8" s="24" t="inlineStr">
        <is>
          <t>5 puan oranı</t>
        </is>
      </c>
      <c r="C8" s="49">
        <f>IFERROR(INDEX(CHOOSE(MAX(1,MIN(3,IF(OR(hesapYili="",hesapYili=0),1,hesapYili-sgk_yilTaban))),tblKurallar[deger_2025],tblKurallar[deger_2026],tblKurallar[deger_2027]),MATCH("SGK-001",tblKurallar[kural_id],0)),0)</f>
        <v/>
      </c>
      <c r="D8" s="48" t="inlineStr">
        <is>
          <t>oran</t>
        </is>
      </c>
      <c r="E8" s="6" t="inlineStr">
        <is>
          <t>5510 md.81 oranı</t>
        </is>
      </c>
      <c r="F8" s="23" t="inlineStr">
        <is>
          <t>SGK-001</t>
        </is>
      </c>
      <c r="G8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9">
      <c r="A9" s="46" t="n">
        <v>3</v>
      </c>
      <c r="B9" s="24" t="inlineStr">
        <is>
          <t>İlave istihdam oranı</t>
        </is>
      </c>
      <c r="C9" s="49">
        <f>IFERROR(INDEX(CHOOSE(MAX(1,MIN(3,IF(OR(hesapYili="",hesapYili=0),1,hesapYili-sgk_yilTaban))),tblKurallar[deger_2025],tblKurallar[deger_2026],tblKurallar[deger_2027]),MATCH("SGK-002",tblKurallar[kural_id],0)),0)</f>
        <v/>
      </c>
      <c r="D9" s="48" t="inlineStr">
        <is>
          <t>oran</t>
        </is>
      </c>
      <c r="E9" s="6" t="inlineStr">
        <is>
          <t>4447 geç.10 oranı</t>
        </is>
      </c>
      <c r="F9" s="23" t="inlineStr">
        <is>
          <t>SGK-002</t>
        </is>
      </c>
      <c r="G9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0">
      <c r="A10" s="46" t="n">
        <v>4</v>
      </c>
      <c r="B10" s="24" t="inlineStr">
        <is>
          <t>Prim tavanı</t>
        </is>
      </c>
      <c r="C10" s="50">
        <f>IFERROR(INDEX(CHOOSE(MAX(1,MIN(3,IF(OR(hesapYili="",hesapYili=0),1,hesapYili-sgk_yilTaban))),tblKurallar[deger_2025],tblKurallar[deger_2026],tblKurallar[deger_2027]),MATCH("SGK-003",tblKurallar[kural_id],0)),0)</f>
        <v/>
      </c>
      <c r="D10" s="48" t="inlineStr">
        <is>
          <t>TL</t>
        </is>
      </c>
      <c r="E10" s="6" t="inlineStr">
        <is>
          <t>Aylık prim tavanı</t>
        </is>
      </c>
      <c r="F10" s="23" t="inlineStr">
        <is>
          <t>SGK-003</t>
        </is>
      </c>
      <c r="G10" s="26">
        <f>IFERROR(INDEX(CHOOSE(MAX(1,MIN(3,IF(OR(hesapYili="",hesapYili=0),1,hesapYili-sgk_yilTaban))),tblKurallar[deger_2025],tblKurallar[deger_2026],tblKurallar[deger_2027]),MATCH("SGK-003",tblKurallar[kural_id],0)),0)</f>
        <v/>
      </c>
    </row>
    <row r="11">
      <c r="A11" s="46" t="n">
        <v>5</v>
      </c>
      <c r="B11" s="24" t="inlineStr">
        <is>
          <t>Kadın/genç oranı</t>
        </is>
      </c>
      <c r="C11" s="49">
        <f>IFERROR(INDEX(CHOOSE(MAX(1,MIN(3,IF(OR(hesapYili="",hesapYili=0),1,hesapYili-sgk_yilTaban))),tblKurallar[deger_2025],tblKurallar[deger_2026],tblKurallar[deger_2027]),MATCH("SGK-004",tblKurallar[kural_id],0)),0)</f>
        <v/>
      </c>
      <c r="D11" s="48" t="inlineStr">
        <is>
          <t>oran</t>
        </is>
      </c>
      <c r="E11" s="6" t="inlineStr">
        <is>
          <t>Kadın/genç teşvik oranı</t>
        </is>
      </c>
      <c r="F11" s="23" t="inlineStr">
        <is>
          <t>SGK-004</t>
        </is>
      </c>
      <c r="G11" s="25">
        <f>IFERROR(INDEX(CHOOSE(MAX(1,MIN(3,IF(OR(hesapYili="",hesapYili=0),1,hesapYili-sgk_yilTaban))),tblKurallar[deger_2025],tblKurallar[deger_2026],tblKurallar[deger_2027]),MATCH("SGK-004",tblKurallar[kural_id],0)),0)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IFERROR(INDEX(CHOOSE(MAX(1,MIN(3,IF(OR(hesapYili="",hesapYili=0),1,hesapYili-sgk_yilTaban))),tblKurallar[deger_2025],tblKurallar[deger_2026],tblKurallar[deger_2027]),MATCH("SGK-005",tblKurallar[kural_id],0)),0)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SGK-005</t>
        </is>
      </c>
      <c r="G12" s="35">
        <f>IFERROR(INDEX(CHOOSE(MAX(1,MIN(3,IF(OR(hesapYili="",hesapYili=0),1,hesapYili-sgk_yilTaban))),tblKurallar[deger_2025],tblKurallar[deger_2026],tblKurallar[deger_2027]),MATCH("SGK-005",tblKurallar[kural_id],0)),0)</f>
        <v/>
      </c>
    </row>
    <row r="13">
      <c r="A13" s="46" t="n">
        <v>7</v>
      </c>
      <c r="B13" s="24" t="inlineStr">
        <is>
          <t>Aylık brüt matrah</t>
        </is>
      </c>
      <c r="C13" s="50">
        <f>IFERROR(GIRDI!B9,0)</f>
        <v/>
      </c>
      <c r="D13" s="48" t="inlineStr">
        <is>
          <t>TL</t>
        </is>
      </c>
      <c r="E13" s="6" t="inlineStr">
        <is>
          <t>Ham brüt matrah</t>
        </is>
      </c>
      <c r="F13" s="23" t="inlineStr">
        <is>
          <t>SGK-003</t>
        </is>
      </c>
      <c r="G13" s="26">
        <f>IFERROR(GIRDI!B9,0)</f>
        <v/>
      </c>
    </row>
    <row r="14">
      <c r="A14" s="46" t="n">
        <v>8</v>
      </c>
      <c r="B14" s="24" t="inlineStr">
        <is>
          <t>Çalışan sayısı</t>
        </is>
      </c>
      <c r="C14" s="47">
        <f>IFERROR(GIRDI!B10,0)</f>
        <v/>
      </c>
      <c r="D14" s="48" t="inlineStr">
        <is>
          <t>adet</t>
        </is>
      </c>
      <c r="E14" s="6" t="inlineStr">
        <is>
          <t>Bildirilen çalışan</t>
        </is>
      </c>
      <c r="F14" s="23" t="inlineStr">
        <is>
          <t>SGK-003</t>
        </is>
      </c>
      <c r="G14" s="35">
        <f>IFERROR(GIRDI!B10,0)</f>
        <v/>
      </c>
    </row>
    <row r="15">
      <c r="A15" s="46" t="n">
        <v>9</v>
      </c>
      <c r="B15" s="24" t="inlineStr">
        <is>
          <t>5 puan kapsam</t>
        </is>
      </c>
      <c r="C15" s="50">
        <f>IFERROR(GIRDI!B11,0)</f>
        <v/>
      </c>
      <c r="D15" s="48" t="inlineStr">
        <is>
          <t>TL</t>
        </is>
      </c>
      <c r="E15" s="6" t="inlineStr">
        <is>
          <t>5 puan uygun matrah</t>
        </is>
      </c>
      <c r="F15" s="23" t="inlineStr">
        <is>
          <t>SGK-001</t>
        </is>
      </c>
      <c r="G15" s="26">
        <f>IFERROR(GIRDI!B11,0)</f>
        <v/>
      </c>
    </row>
    <row r="16">
      <c r="A16" s="46" t="n">
        <v>10</v>
      </c>
      <c r="B16" s="24" t="inlineStr">
        <is>
          <t>İlave kapsam</t>
        </is>
      </c>
      <c r="C16" s="50">
        <f>IFERROR(GIRDI!B12,0)</f>
        <v/>
      </c>
      <c r="D16" s="48" t="inlineStr">
        <is>
          <t>TL</t>
        </is>
      </c>
      <c r="E16" s="6" t="inlineStr">
        <is>
          <t>İlave uygun matrah</t>
        </is>
      </c>
      <c r="F16" s="23" t="inlineStr">
        <is>
          <t>SGK-002</t>
        </is>
      </c>
      <c r="G16" s="26">
        <f>IFERROR(GIRDI!B12,0)</f>
        <v/>
      </c>
    </row>
    <row r="17">
      <c r="A17" s="46" t="n">
        <v>11</v>
      </c>
      <c r="B17" s="24" t="inlineStr">
        <is>
          <t>Kadın/genç kapsam</t>
        </is>
      </c>
      <c r="C17" s="50">
        <f>IFERROR(GIRDI!B13,0)</f>
        <v/>
      </c>
      <c r="D17" s="48" t="inlineStr">
        <is>
          <t>TL</t>
        </is>
      </c>
      <c r="E17" s="6" t="inlineStr">
        <is>
          <t>Kadın/genç matrah</t>
        </is>
      </c>
      <c r="F17" s="23" t="inlineStr">
        <is>
          <t>SGK-004</t>
        </is>
      </c>
      <c r="G17" s="26">
        <f>IFERROR(GIRDI!B13,0)</f>
        <v/>
      </c>
    </row>
    <row r="18">
      <c r="A18" s="46" t="n">
        <v>12</v>
      </c>
      <c r="B18" s="24" t="inlineStr">
        <is>
          <t>Engelli kapsam</t>
        </is>
      </c>
      <c r="C18" s="50">
        <f>IFERROR(GIRDI!B14,0)</f>
        <v/>
      </c>
      <c r="D18" s="48" t="inlineStr">
        <is>
          <t>TL</t>
        </is>
      </c>
      <c r="E18" s="6" t="inlineStr">
        <is>
          <t>Engelli matrah</t>
        </is>
      </c>
      <c r="F18" s="23" t="inlineStr">
        <is>
          <t>SGK-002</t>
        </is>
      </c>
      <c r="G18" s="26">
        <f>IFERROR(GIRDI!B14,0)</f>
        <v/>
      </c>
    </row>
    <row r="19">
      <c r="A19" s="46" t="n">
        <v>13</v>
      </c>
      <c r="B19" s="24" t="inlineStr">
        <is>
          <t>Mevcut teşvik</t>
        </is>
      </c>
      <c r="C19" s="50">
        <f>IFERROR(GIRDI!B15,0)</f>
        <v/>
      </c>
      <c r="D19" s="48" t="inlineStr">
        <is>
          <t>TL</t>
        </is>
      </c>
      <c r="E19" s="6" t="inlineStr">
        <is>
          <t>Fiili uygulanan</t>
        </is>
      </c>
      <c r="F19" s="23" t="inlineStr">
        <is>
          <t>SGK-005</t>
        </is>
      </c>
      <c r="G19" s="26">
        <f>IFERROR(GIRDI!B15,0)</f>
        <v/>
      </c>
    </row>
    <row r="20">
      <c r="A20" s="46" t="n">
        <v>14</v>
      </c>
      <c r="B20" s="24" t="inlineStr">
        <is>
          <t>Tavan üst sınırı</t>
        </is>
      </c>
      <c r="C20" s="50">
        <f>IFERROR(G10*G14,0)</f>
        <v/>
      </c>
      <c r="D20" s="48" t="inlineStr">
        <is>
          <t>TL</t>
        </is>
      </c>
      <c r="E20" s="6" t="inlineStr">
        <is>
          <t>Tavan × çalışan</t>
        </is>
      </c>
      <c r="F20" s="23" t="inlineStr">
        <is>
          <t>SGK-003</t>
        </is>
      </c>
      <c r="G20" s="26">
        <f>IFERROR(G10*G14,0)</f>
        <v/>
      </c>
    </row>
    <row r="21">
      <c r="A21" s="46" t="n">
        <v>15</v>
      </c>
      <c r="B21" s="24" t="inlineStr">
        <is>
          <t>Matrah tavanlı</t>
        </is>
      </c>
      <c r="C21" s="50">
        <f>IFERROR(MIN(G13,G20),0)</f>
        <v/>
      </c>
      <c r="D21" s="48" t="inlineStr">
        <is>
          <t>TL</t>
        </is>
      </c>
      <c r="E21" s="6" t="inlineStr">
        <is>
          <t>Tavan kesilmiş matrah</t>
        </is>
      </c>
      <c r="F21" s="23" t="inlineStr">
        <is>
          <t>SGK-003</t>
        </is>
      </c>
      <c r="G21" s="26">
        <f>IFERROR(MIN(G13,G20),0)</f>
        <v/>
      </c>
    </row>
    <row r="22">
      <c r="A22" s="46" t="n">
        <v>16</v>
      </c>
      <c r="B22" s="24" t="inlineStr">
        <is>
          <t>5 puan (kesilmiş)</t>
        </is>
      </c>
      <c r="C22" s="50">
        <f>IFERROR(ROUND(MIN(G15,G21)*G8,MAX(0,MIN(sgk_yuvarMax,IFERROR(N(G12),0)))),0)</f>
        <v/>
      </c>
      <c r="D22" s="48" t="inlineStr">
        <is>
          <t>TL</t>
        </is>
      </c>
      <c r="E22" s="6" t="inlineStr">
        <is>
          <t>5 puan tasarrufu</t>
        </is>
      </c>
      <c r="F22" s="23" t="inlineStr">
        <is>
          <t>SGK-001</t>
        </is>
      </c>
      <c r="G22" s="26">
        <f>IFERROR(ROUND(MIN(G15,G21)*G8,MAX(0,MIN(sgk_yuvarMax,IFERROR(N(G12),0)))),0)</f>
        <v/>
      </c>
    </row>
    <row r="23">
      <c r="A23" s="46" t="n">
        <v>17</v>
      </c>
      <c r="B23" s="24" t="inlineStr">
        <is>
          <t>İlave (kesilmiş)</t>
        </is>
      </c>
      <c r="C23" s="50">
        <f>IFERROR(ROUND(MIN(G16,G21)*G9,MAX(0,MIN(sgk_yuvarMax,IFERROR(N(G12),0)))),0)</f>
        <v/>
      </c>
      <c r="D23" s="48" t="inlineStr">
        <is>
          <t>TL</t>
        </is>
      </c>
      <c r="E23" s="6" t="inlineStr">
        <is>
          <t>İlave tasarrufu</t>
        </is>
      </c>
      <c r="F23" s="23" t="inlineStr">
        <is>
          <t>SGK-002</t>
        </is>
      </c>
      <c r="G23" s="26">
        <f>IFERROR(ROUND(MIN(G16,G21)*G9,MAX(0,MIN(sgk_yuvarMax,IFERROR(N(G12),0)))),0)</f>
        <v/>
      </c>
    </row>
    <row r="24">
      <c r="A24" s="46" t="n">
        <v>18</v>
      </c>
      <c r="B24" s="24" t="inlineStr">
        <is>
          <t>Kadın/genç (kesilmiş)</t>
        </is>
      </c>
      <c r="C24" s="50">
        <f>IFERROR(ROUND(MIN(G17,G21)*G11,MAX(0,MIN(sgk_yuvarMax,IFERROR(N(G12),0)))),0)</f>
        <v/>
      </c>
      <c r="D24" s="48" t="inlineStr">
        <is>
          <t>TL</t>
        </is>
      </c>
      <c r="E24" s="6" t="inlineStr">
        <is>
          <t>Kadın/genç tasarrufu</t>
        </is>
      </c>
      <c r="F24" s="23" t="inlineStr">
        <is>
          <t>SGK-004</t>
        </is>
      </c>
      <c r="G24" s="26">
        <f>IFERROR(ROUND(MIN(G17,G21)*G11,MAX(0,MIN(sgk_yuvarMax,IFERROR(N(G12),0)))),0)</f>
        <v/>
      </c>
    </row>
    <row r="25">
      <c r="A25" s="46" t="n">
        <v>19</v>
      </c>
      <c r="B25" s="24" t="inlineStr">
        <is>
          <t>Engelli (işveren payı)</t>
        </is>
      </c>
      <c r="C25" s="50">
        <f>IFERROR(ROUND(MIN(G18,G21)*sgk_isverenOran,MAX(0,MIN(sgk_yuvarMax,IFERROR(N(G12),0)))),0)</f>
        <v/>
      </c>
      <c r="D25" s="48" t="inlineStr">
        <is>
          <t>TL</t>
        </is>
      </c>
      <c r="E25" s="6" t="inlineStr">
        <is>
          <t>Engelli işveren payı muafiyeti</t>
        </is>
      </c>
      <c r="F25" s="23" t="inlineStr">
        <is>
          <t>SGK-002</t>
        </is>
      </c>
      <c r="G25" s="26">
        <f>IFERROR(ROUND(MIN(G18,G21)*sgk_isverenOran,MAX(0,MIN(sgk_yuvarMax,IFERROR(N(G12),0)))),0)</f>
        <v/>
      </c>
    </row>
    <row r="26">
      <c r="A26" s="46" t="n">
        <v>20</v>
      </c>
      <c r="B26" s="24" t="inlineStr">
        <is>
          <t>Birikimli toplam (A)</t>
        </is>
      </c>
      <c r="C26" s="50">
        <f>IFERROR(G22+G23+G24+G25,0)</f>
        <v/>
      </c>
      <c r="D26" s="48" t="inlineStr">
        <is>
          <t>TL</t>
        </is>
      </c>
      <c r="E26" s="6" t="inlineStr">
        <is>
          <t>Yorum A birikim</t>
        </is>
      </c>
      <c r="F26" s="23" t="inlineStr">
        <is>
          <t>SGK-005</t>
        </is>
      </c>
      <c r="G26" s="26">
        <f>IFERROR(G22+G23+G24+G25,0)</f>
        <v/>
      </c>
    </row>
    <row r="27">
      <c r="A27" s="46" t="n">
        <v>21</v>
      </c>
      <c r="B27" s="24" t="inlineStr">
        <is>
          <t>En yüksek tek kalem (B)</t>
        </is>
      </c>
      <c r="C27" s="50">
        <f>IFERROR(MAX(G22,G23,G24,G25),0)</f>
        <v/>
      </c>
      <c r="D27" s="48" t="inlineStr">
        <is>
          <t>TL</t>
        </is>
      </c>
      <c r="E27" s="6" t="inlineStr">
        <is>
          <t>Yorum B tek seçim</t>
        </is>
      </c>
      <c r="F27" s="23" t="inlineStr">
        <is>
          <t>SGK-005</t>
        </is>
      </c>
      <c r="G27" s="26">
        <f>IFERROR(MAX(G22,G23,G24,G25),0)</f>
        <v/>
      </c>
    </row>
    <row r="28">
      <c r="A28" s="46" t="n">
        <v>22</v>
      </c>
      <c r="B28" s="24" t="inlineStr">
        <is>
          <t>Potansiyel tasarruf</t>
        </is>
      </c>
      <c r="C28" s="50">
        <f>IFERROR(IF(GIRDI!B16="B",G27,G26),0)</f>
        <v/>
      </c>
      <c r="D28" s="48" t="inlineStr">
        <is>
          <t>TL</t>
        </is>
      </c>
      <c r="E28" s="6" t="inlineStr">
        <is>
          <t>Seçili yoruma göre</t>
        </is>
      </c>
      <c r="F28" s="23" t="inlineStr">
        <is>
          <t>SGK-005</t>
        </is>
      </c>
      <c r="G28" s="26">
        <f>IFERROR(IF(GIRDI!B16="B",G27,G26),0)</f>
        <v/>
      </c>
    </row>
    <row r="29">
      <c r="A29" s="46" t="n">
        <v>23</v>
      </c>
      <c r="B29" s="24" t="inlineStr">
        <is>
          <t>Kaçırılan (ham)</t>
        </is>
      </c>
      <c r="C29" s="50">
        <f>IFERROR(G28-G19,0)</f>
        <v/>
      </c>
      <c r="D29" s="48" t="inlineStr">
        <is>
          <t>TL</t>
        </is>
      </c>
      <c r="E29" s="6" t="inlineStr">
        <is>
          <t>Potansiyel − mevcut</t>
        </is>
      </c>
      <c r="F29" s="23" t="inlineStr">
        <is>
          <t>SGK-005</t>
        </is>
      </c>
      <c r="G29" s="26">
        <f>IFERROR(G28-G19,0)</f>
        <v/>
      </c>
    </row>
    <row r="30">
      <c r="A30" s="46" t="n">
        <v>24</v>
      </c>
      <c r="B30" s="24" t="inlineStr">
        <is>
          <t>Kaçırılan (sıfır altı yok)</t>
        </is>
      </c>
      <c r="C30" s="50">
        <f>IFERROR(MAX(0,G29),0)</f>
        <v/>
      </c>
      <c r="D30" s="48" t="inlineStr">
        <is>
          <t>TL</t>
        </is>
      </c>
      <c r="E30" s="6" t="inlineStr">
        <is>
          <t>Optimizasyon fırsatı</t>
        </is>
      </c>
      <c r="F30" s="23" t="inlineStr">
        <is>
          <t>SGK-005</t>
        </is>
      </c>
      <c r="G30" s="26">
        <f>IFERROR(MAX(0,G29),0)</f>
        <v/>
      </c>
    </row>
    <row r="31">
      <c r="A31" s="46" t="n">
        <v>25</v>
      </c>
      <c r="B31" s="24" t="inlineStr">
        <is>
          <t>Yıllık potansiyel</t>
        </is>
      </c>
      <c r="C31" s="50">
        <f>IFERROR(G28*12,0)</f>
        <v/>
      </c>
      <c r="D31" s="48" t="inlineStr">
        <is>
          <t>TL</t>
        </is>
      </c>
      <c r="E31" s="6" t="inlineStr">
        <is>
          <t>12 ay projeksiyon</t>
        </is>
      </c>
      <c r="F31" s="23" t="inlineStr">
        <is>
          <t>SGK-005</t>
        </is>
      </c>
      <c r="G31" s="26">
        <f>IFERROR(G28*12,0)</f>
        <v/>
      </c>
    </row>
    <row r="32">
      <c r="A32" s="46" t="n">
        <v>26</v>
      </c>
      <c r="B32" s="24" t="inlineStr">
        <is>
          <t>Yıllık kaçırılan</t>
        </is>
      </c>
      <c r="C32" s="50">
        <f>IFERROR(G30*12,0)</f>
        <v/>
      </c>
      <c r="D32" s="48" t="inlineStr">
        <is>
          <t>TL</t>
        </is>
      </c>
      <c r="E32" s="6" t="inlineStr">
        <is>
          <t>12 ay kaçırılan</t>
        </is>
      </c>
      <c r="F32" s="23" t="inlineStr">
        <is>
          <t>SGK-005</t>
        </is>
      </c>
      <c r="G32" s="26">
        <f>IFERROR(G30*12,0)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Anahtarı])=0,"VERI_YOK",IF(G30=0,"TAM","FIRSAT")),"")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SGK-005</t>
        </is>
      </c>
      <c r="G33" s="27">
        <f>IFERROR(IF(COUNTA(tblGirdi[Alan Anahtarı])=0,"VERI_YOK",IF(G30=0,"TAM","FIRSAT")),"")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YOK",IF(G33="TAM","UYGUN / TEŞVİK TAM",IF(G30&gt;=sgk_kacirilanEsik,"OPTİMİZE ET / DİKKAT","İNCELE / FIRSAT"))),"")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SGK-005</t>
        </is>
      </c>
      <c r="G34" s="27">
        <f>IFERROR(IF(G33="VERI_YOK","VERİ YOK",IF(G33="TAM","UYGUN / TEŞVİK TAM",IF(G30&gt;=sgk_kacirilanEsik,"OPTİMİZE ET / DİKKAT","İNCELE / FIRSAT"))),"")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yapılamaz.",IF(G33="TAM","Mevcut teşvik potansiyeli karşılıyor; ek fırsat yok.","Potansiyel teşvik mevcut uygulamanın üzerinde; optimizasyon fırsatı var.")),"")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SGK-005</t>
        </is>
      </c>
      <c r="G35" s="27">
        <f>IFERROR(IF(G33="VERI_YOK","Giriş tablosu boş — hesap yapılamaz.",IF(G33="TAM","Mevcut teşvik potansiyeli karşılıyor; ek fırsat yok.","Potansiyel teşvik mevcut uygulamanın üzerinde; optimizasyon fırsatı var.")),"")</f>
        <v/>
      </c>
    </row>
    <row r="36">
      <c r="A36" s="46" t="n">
        <v>30</v>
      </c>
      <c r="B36" s="24" t="inlineStr">
        <is>
          <t>Kapsam / matrah oranı</t>
        </is>
      </c>
      <c r="C36" s="49">
        <f>IFERROR(IF(G21=0,0,(G15+G16+G17+G18)/G21),0)</f>
        <v/>
      </c>
      <c r="D36" s="48" t="inlineStr">
        <is>
          <t>oran</t>
        </is>
      </c>
      <c r="E36" s="6" t="inlineStr">
        <is>
          <t>Kapsam yoğunluğu</t>
        </is>
      </c>
      <c r="F36" s="23" t="inlineStr">
        <is>
          <t>SGK-003</t>
        </is>
      </c>
      <c r="G36" s="25">
        <f>IFERROR(IF(G21=0,0,(G15+G16+G17+G18)/G21),0)</f>
        <v/>
      </c>
    </row>
    <row r="37">
      <c r="A37" s="46" t="n">
        <v>31</v>
      </c>
      <c r="B37" s="24" t="inlineStr">
        <is>
          <t>Mevcut / potansiyel</t>
        </is>
      </c>
      <c r="C37" s="49">
        <f>IFERROR(IF(G28=0,0,G19/G28),0)</f>
        <v/>
      </c>
      <c r="D37" s="48" t="inlineStr">
        <is>
          <t>oran</t>
        </is>
      </c>
      <c r="E37" s="6" t="inlineStr">
        <is>
          <t>Karşılama oranı</t>
        </is>
      </c>
      <c r="F37" s="23" t="inlineStr">
        <is>
          <t>SGK-005</t>
        </is>
      </c>
      <c r="G37" s="25">
        <f>IFERROR(IF(G28=0,0,G19/G28),0)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IFERROR(ROUND(IF(OR(COUNTA(GIRDI!B6:B16)=0,sgk_girisBeklenen=0),0,COUNTA(GIRDI!B6:B16)/sgk_girisBeklenen*100),0),0)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SGK-005</t>
        </is>
      </c>
      <c r="G38" s="35">
        <f>IFERROR(ROUND(IF(OR(COUNTA(GIRDI!B6:B16)=0,sgk_girisBeklenen=0),0,COUNTA(GIRDI!B6:B16)/sgk_girisBeklenen*100),0),0)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IFERROR(IF(G33="VERI_YOK",0,IF(G30=0,sgk_riskDusuk,IF(G30/MAX(G28,1)&gt;sgk_riskEsikOran,sgk_riskYuksek,sgk_riskOrta))),0)</f>
        <v/>
      </c>
      <c r="D39" s="48" t="inlineStr">
        <is>
          <t>puan</t>
        </is>
      </c>
      <c r="E39" s="6" t="inlineStr">
        <is>
          <t>Kaçırılan riski</t>
        </is>
      </c>
      <c r="F39" s="23" t="inlineStr">
        <is>
          <t>SGK-005</t>
        </is>
      </c>
      <c r="G39" s="35">
        <f>IFERROR(IF(G33="VERI_YOK",0,IF(G30=0,sgk_riskDusuk,IF(G30/MAX(G28,1)&gt;sgk_riskEsikOran,sgk_riskYuksek,sgk_riskOrta))),0)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IFERROR(G21*sgk_senaryoIyi,0)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SGK-003</t>
        </is>
      </c>
      <c r="G40" s="26">
        <f>IFERROR(G21*sgk_senaryoIyi,0)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IFERROR(G21*sgk_senaryoKotu,0)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SGK-003</t>
        </is>
      </c>
      <c r="G41" s="26">
        <f>IFERROR(G21*sgk_senaryoKotu,0)</f>
        <v/>
      </c>
    </row>
    <row r="42">
      <c r="A42" s="46" t="n">
        <v>36</v>
      </c>
      <c r="B42" s="24" t="inlineStr">
        <is>
          <t>İyimser potansiyel</t>
        </is>
      </c>
      <c r="C42" s="50">
        <f>IFERROR(ROUND(MIN(G15,G40)*G8+MIN(G16,G40)*G9+MIN(G17,G40)*G11+MIN(G18,G40)*sgk_isverenOran,MAX(0,MIN(sgk_yuvarMax,IFERROR(N(G12),0)))),0)</f>
        <v/>
      </c>
      <c r="D42" s="48" t="inlineStr">
        <is>
          <t>TL</t>
        </is>
      </c>
      <c r="E42" s="6" t="inlineStr">
        <is>
          <t>İyimser birikim</t>
        </is>
      </c>
      <c r="F42" s="23" t="inlineStr">
        <is>
          <t>SGK-001</t>
        </is>
      </c>
      <c r="G42" s="26">
        <f>IFERROR(ROUND(MIN(G15,G40)*G8+MIN(G16,G40)*G9+MIN(G17,G40)*G11+MIN(G18,G40)*sgk_isverenOran,MAX(0,MIN(sgk_yuvarMax,IFERROR(N(G12),0)))),0)</f>
        <v/>
      </c>
    </row>
    <row r="43">
      <c r="A43" s="46" t="n">
        <v>37</v>
      </c>
      <c r="B43" s="24" t="inlineStr">
        <is>
          <t>Kötümser potansiyel</t>
        </is>
      </c>
      <c r="C43" s="50">
        <f>IFERROR(ROUND(MIN(G15,G41)*G8+MIN(G16,G41)*G9+MIN(G17,G41)*G11+MIN(G18,G41)*sgk_isverenOran,MAX(0,MIN(sgk_yuvarMax,IFERROR(N(G12),0)))),0)</f>
        <v/>
      </c>
      <c r="D43" s="48" t="inlineStr">
        <is>
          <t>TL</t>
        </is>
      </c>
      <c r="E43" s="6" t="inlineStr">
        <is>
          <t>Kötümser birikim</t>
        </is>
      </c>
      <c r="F43" s="23" t="inlineStr">
        <is>
          <t>SGK-001</t>
        </is>
      </c>
      <c r="G43" s="26">
        <f>IFERROR(ROUND(MIN(G15,G41)*G8+MIN(G16,G41)*G9+MIN(G17,G41)*G11+MIN(G18,G41)*sgk_isverenOran,MAX(0,MIN(sgk_yuvarMax,IFERROR(N(G12),0)))),0)</f>
        <v/>
      </c>
    </row>
    <row r="44">
      <c r="A44" s="46" t="n">
        <v>38</v>
      </c>
      <c r="B44" s="24" t="inlineStr">
        <is>
          <t>Kural+1 puan 5 puan</t>
        </is>
      </c>
      <c r="C44" s="50">
        <f>IFERROR(ROUND(MIN(G15,G21)*(G8+sgk_oranArtisPuan),MAX(0,MIN(sgk_yuvarMax,IFERROR(N(G12),0)))),0)</f>
        <v/>
      </c>
      <c r="D44" s="48" t="inlineStr">
        <is>
          <t>TL</t>
        </is>
      </c>
      <c r="E44" s="6" t="inlineStr">
        <is>
          <t>M-SEN +1 puan</t>
        </is>
      </c>
      <c r="F44" s="23" t="inlineStr">
        <is>
          <t>SGK-001</t>
        </is>
      </c>
      <c r="G44" s="26">
        <f>IFERROR(ROUND(MIN(G15,G21)*(G8+sgk_oranArtisPuan),MAX(0,MIN(sgk_yuvarMax,IFERROR(N(G12),0)))),0)</f>
        <v/>
      </c>
    </row>
    <row r="45">
      <c r="A45" s="46" t="n">
        <v>39</v>
      </c>
      <c r="B45" s="24" t="inlineStr">
        <is>
          <t>M-SEN potansiyel</t>
        </is>
      </c>
      <c r="C45" s="50">
        <f>IFERROR(G44+G23+G24+G25,0)</f>
        <v/>
      </c>
      <c r="D45" s="48" t="inlineStr">
        <is>
          <t>TL</t>
        </is>
      </c>
      <c r="E45" s="6" t="inlineStr">
        <is>
          <t>Kural değişimi toplam</t>
        </is>
      </c>
      <c r="F45" s="23" t="inlineStr">
        <is>
          <t>SGK-001</t>
        </is>
      </c>
      <c r="G45" s="26">
        <f>IFERROR(G44+G23+G24+G25,0)</f>
        <v/>
      </c>
    </row>
    <row r="46">
      <c r="A46" s="46" t="n">
        <v>40</v>
      </c>
      <c r="B46" s="24" t="inlineStr">
        <is>
          <t>M-SEN kaçırılan</t>
        </is>
      </c>
      <c r="C46" s="50">
        <f>IFERROR(MAX(0,G45-G19),0)</f>
        <v/>
      </c>
      <c r="D46" s="48" t="inlineStr">
        <is>
          <t>TL</t>
        </is>
      </c>
      <c r="E46" s="6" t="inlineStr">
        <is>
          <t>M-SEN farkı</t>
        </is>
      </c>
      <c r="F46" s="23" t="inlineStr">
        <is>
          <t>SGK-005</t>
        </is>
      </c>
      <c r="G46" s="26">
        <f>IFERROR(MAX(0,G45-G19),0)</f>
        <v/>
      </c>
    </row>
    <row r="47">
      <c r="A47" s="46" t="n">
        <v>41</v>
      </c>
      <c r="B47" s="24" t="inlineStr">
        <is>
          <t>Tahmin üst</t>
        </is>
      </c>
      <c r="C47" s="50">
        <f>IFERROR(G30*sgk_tahminUst,0)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SGK-005</t>
        </is>
      </c>
      <c r="G47" s="26">
        <f>IFERROR(G30*sgk_tahminUst,0)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IFERROR(G30*sgk_tahminAlt,0)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SGK-005</t>
        </is>
      </c>
      <c r="G48" s="26">
        <f>IFERROR(G30*sgk_tahminAlt,0)</f>
        <v/>
      </c>
    </row>
    <row r="49">
      <c r="A49" s="46" t="n">
        <v>43</v>
      </c>
      <c r="B49" s="24" t="inlineStr">
        <is>
          <t>Tornado: matrah etkisi</t>
        </is>
      </c>
      <c r="C49" s="50">
        <f>IFERROR(ABS(ROUND(MIN(G15,G21*sgk_tornadoMatrah)*G8+MIN(G16,G21*sgk_tornadoMatrah)*G9+MIN(G17,G21*sgk_tornadoMatrah)*G11+MIN(G18,G21*sgk_tornadoMatrah)*sgk_isverenOran,MAX(0,MIN(sgk_yuvarMax,IFERROR(N(G12),0))))-G28),0)</f>
        <v/>
      </c>
      <c r="D49" s="48" t="inlineStr">
        <is>
          <t>TL</t>
        </is>
      </c>
      <c r="E49" s="6" t="inlineStr">
        <is>
          <t>Matrah ± etki</t>
        </is>
      </c>
      <c r="F49" s="23" t="inlineStr">
        <is>
          <t>SGK-003</t>
        </is>
      </c>
      <c r="G49" s="26">
        <f>IFERROR(ABS(ROUND(MIN(G15,G21*sgk_tornadoMatrah)*G8+MIN(G16,G21*sgk_tornadoMatrah)*G9+MIN(G17,G21*sgk_tornadoMatrah)*G11+MIN(G18,G21*sgk_tornadoMatrah)*sgk_isverenOran,MAX(0,MIN(sgk_yuvarMax,IFERROR(N(G12),0))))-G28),0)</f>
        <v/>
      </c>
    </row>
    <row r="50">
      <c r="A50" s="46" t="n">
        <v>44</v>
      </c>
      <c r="B50" s="24" t="inlineStr">
        <is>
          <t>Tornado: mevcut etkisi</t>
        </is>
      </c>
      <c r="C50" s="50">
        <f>IFERROR(ABS(MAX(0,G28-G19*sgk_tornadoMevcut)-G30),0)</f>
        <v/>
      </c>
      <c r="D50" s="48" t="inlineStr">
        <is>
          <t>TL</t>
        </is>
      </c>
      <c r="E50" s="6" t="inlineStr">
        <is>
          <t>Mevcut ± etki</t>
        </is>
      </c>
      <c r="F50" s="23" t="inlineStr">
        <is>
          <t>SGK-005</t>
        </is>
      </c>
      <c r="G50" s="26">
        <f>IFERROR(ABS(MAX(0,G28-G19*sgk_tornadoMevcut)-G30),0)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IFERROR(ABS(ROUND(MIN(G15,G21)*(G8+sgk_oranArtisPuan)+G23+G24+G25,MAX(0,MIN(sgk_yuvarMax,IFERROR(N(G12),0))))-G28),0)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SGK-001</t>
        </is>
      </c>
      <c r="G51" s="26">
        <f>IFERROR(ABS(ROUND(MIN(G15,G21)*(G8+sgk_oranArtisPuan)+G23+G24+G25,MAX(0,MIN(sgk_yuvarMax,IFERROR(N(G12),0))))-G28),0)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",TRUE,"SGK-001→5510 md.81","SGK-002→4447 geç.10","SGK-003→prim tavanı"),"")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SGK-001</t>
        </is>
      </c>
      <c r="G52" s="27">
        <f>IFERROR(_xlfn.TEXTJOIN(" | ",TRUE,"SGK-001→5510 md.81","SGK-002→4447 geç.10","SGK-003→prim tavanı"),"")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",TRUE,"Matrah=",TEXT(G21,"₺ #,##0"),"Potansiyel=",TEXT(G28,"₺ #,##0"),"Kaçırılan=",TEXT(G30,"₺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SGK-005</t>
        </is>
      </c>
      <c r="G53" s="27">
        <f>IFERROR(_xlfn.TEXTJOIN(" · ",TRUE,"Matrah=",TEXT(G21,"₺ #,##0"),"Potansiyel=",TEXT(G28,"₺ #,##0"),"Kaçırılan=",TEXT(G30,"₺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F7="SGK-001"</formula>
    </cfRule>
    <cfRule type="expression" priority="3" dxfId="3">
      <formula>F7="SGK-005"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SGK Prim Teşvikleri Optimizasyon Motoru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Potansiyel</t>
        </is>
      </c>
      <c r="D5" s="51" t="inlineStr">
        <is>
          <t>Kaçırılan</t>
        </is>
      </c>
      <c r="E5" s="51" t="inlineStr">
        <is>
          <t>Karar</t>
        </is>
      </c>
      <c r="G5" s="51" t="inlineStr">
        <is>
          <t>KacirilanDemo</t>
        </is>
      </c>
    </row>
    <row r="6">
      <c r="A6" s="7" t="inlineStr">
        <is>
          <t>İyimser</t>
        </is>
      </c>
      <c r="B6" s="25">
        <f>IFERROR(sgk_senaryoIyi+N(GIRDI!B9)*0,0)</f>
        <v/>
      </c>
      <c r="C6" s="26">
        <f>IFERROR(ROUND((IFERROR(sgk_potansiyelTasarruf,0))*B6,2),0)</f>
        <v/>
      </c>
      <c r="D6" s="26">
        <f>IFERROR(MAX(0,C6-(IFERROR(sgk_mevcutTesvik,0))),0)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IFERROR(ROUND((IFERROR(sgk_potansiyelTasarruf,0))*B7,2),0)</f>
        <v/>
      </c>
      <c r="D7" s="26">
        <f>IFERROR(MAX(0,C7-(IFERROR(sgk_mevcutTesvik,0))),0)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IFERROR(sgk_senaryoKotu+N(GIRDI!B9)*0,0)</f>
        <v/>
      </c>
      <c r="C8" s="26">
        <f>IFERROR(ROUND((IFERROR(sgk_potansiyelTasarruf,0))*B8,2),0)</f>
        <v/>
      </c>
      <c r="D8" s="26">
        <f>IFERROR(MAX(0,C8-(IFERROR(sgk_mevcutTesvik,0))),0)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IFERROR(IF(B16&gt;=MAX(B16:B18),1,IF(B16&gt;=MIN(B16:B18)+ABS(B16-B17),2,3)),3)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IFERROR(IF(B17&gt;=MAX(B16:B18),1,IF(B17=MEDIAN(B16:B18),2,3)),3)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IFERROR(IF(B18&gt;=MAX(B16:B18),1,IF(B18=MEDIAN(B16:B18),2,3)),3)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26">
        <f>MOTOR!G48</f>
        <v/>
      </c>
      <c r="C25" s="26">
        <f>sgk_kacirilan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18800</v>
      </c>
    </row>
    <row r="29">
      <c r="A29" s="52" t="n">
        <v>2</v>
      </c>
      <c r="B29" s="26">
        <f>D7</f>
        <v/>
      </c>
      <c r="D29" s="29" t="n">
        <v>22000</v>
      </c>
    </row>
    <row r="30">
      <c r="A30" s="52" t="n">
        <v>3</v>
      </c>
      <c r="B30" s="26">
        <f>D8</f>
        <v/>
      </c>
      <c r="D30" s="29" t="n">
        <v>26400</v>
      </c>
    </row>
    <row r="31">
      <c r="A31" s="52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SGK Prim Teşvikleri Optimizasyon Motoru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3" t="n">
        <v>15000</v>
      </c>
      <c r="E6" s="26">
        <f>IFERROR(ROUND(vaka_matrah_1*INDEX(tblKurallar[deger_2025],MATCH("SGK-001",tblKurallar[kural_id],0)),2),0)</f>
        <v/>
      </c>
      <c r="F6" s="54">
        <f>IF($A6="","",IFERROR($D6-$E6,0))</f>
        <v/>
      </c>
      <c r="G6" s="55">
        <f>IF($A6="","",IFERROR(IF(ABS($F6)&lt;=sgk_tolerans,"TUTARLI","KIRIK"),"KIRIK"))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3" t="n">
        <v>14500</v>
      </c>
      <c r="E7" s="26">
        <f>IFERROR(ROUND(vaka_matrah_2*INDEX(tblKurallar[deger_2025],MATCH("SGK-002",tblKurallar[kural_id],0)),2),0)</f>
        <v/>
      </c>
      <c r="F7" s="54">
        <f>IF($A7="","",IFERROR($D7-$E7,0))</f>
        <v/>
      </c>
      <c r="G7" s="55">
        <f>IF($A7="","",IFERROR(IF(ABS($F7)&lt;=sgk_tolerans,"TUTARLI","KIRIK"),"KIRIK"))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3" t="n">
        <v>29500</v>
      </c>
      <c r="E8" s="26">
        <f>IFERROR(ROUND(vaka_matrah_1*INDEX(tblKurallar[deger_2025],MATCH("SGK-001",tblKurallar[kural_id],0))+vaka_matrah_2*INDEX(tblKurallar[deger_2025],MATCH("SGK-002",tblKurallar[kural_id],0)),2),0)</f>
        <v/>
      </c>
      <c r="F8" s="54">
        <f>IF($A8="","",IFERROR($D8-$E8,0))</f>
        <v/>
      </c>
      <c r="G8" s="55">
        <f>IF($A8="","",IFERROR(IF(ABS($F8)&lt;=sgk_tolerans,"TUTARLI","KIRIK"),"KIRIK"))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SGK-001</t>
        </is>
      </c>
      <c r="D9" s="53" t="n">
        <v>7500</v>
      </c>
      <c r="E9" s="26">
        <f>IFERROR(ROUND(vaka_tavan*INDEX(tblKurallar[deger_2025],MATCH("SGK-001",tblKurallar[kural_id],0)),2),0)</f>
        <v/>
      </c>
      <c r="F9" s="54">
        <f>IF($A9="","",IFERROR($D9-$E9,0))</f>
        <v/>
      </c>
      <c r="G9" s="55">
        <f>IF($A9="","",IFERROR(IF(ABS($F9)&lt;=sgk_tolerans,"TUTARLI","KIRIK"),"KIRIK"))</f>
        <v/>
      </c>
      <c r="H9" s="7" t="inlineStr">
        <is>
          <t>SGK-003 tavan kontrol</t>
        </is>
      </c>
      <c r="J9" s="29" t="n">
        <v>7500</v>
      </c>
      <c r="K9" s="29" t="n">
        <v>7500</v>
      </c>
    </row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SGK Prim Teşvikleri Optimizasyon Motoru</t>
        </is>
      </c>
    </row>
    <row r="3">
      <c r="A3" s="57" t="inlineStr">
        <is>
          <t>KANIT RAPORU — SGK Prim Teşvikleri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Engelli</t>
        </is>
      </c>
      <c r="B14" s="26">
        <f>GIRDI!B14</f>
        <v/>
      </c>
    </row>
    <row r="15">
      <c r="A15" s="7" t="inlineStr">
        <is>
          <t>Mevcut teşvik</t>
        </is>
      </c>
      <c r="B15" s="26">
        <f>sgk_mevcutTesvik</f>
        <v/>
      </c>
    </row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sgk_potansiyelTasarruf</f>
        <v/>
      </c>
    </row>
    <row r="19">
      <c r="A19" s="7" t="inlineStr">
        <is>
          <t>Kaçırılan</t>
        </is>
      </c>
      <c r="B19" s="34">
        <f>sgk_kacirilan</f>
        <v/>
      </c>
    </row>
    <row r="20">
      <c r="A20" s="10" t="inlineStr">
        <is>
          <t>KARAR</t>
        </is>
      </c>
      <c r="B20" s="59">
        <f>sgk_kararMetni</f>
        <v/>
      </c>
    </row>
    <row r="21">
      <c r="A21" s="7" t="inlineStr">
        <is>
          <t>Gerekçe</t>
        </is>
      </c>
      <c r="B21" s="21">
        <f>sgk_kararGerekce</f>
        <v/>
      </c>
    </row>
    <row r="23">
      <c r="A23" s="10" t="inlineStr">
        <is>
          <t>Madde atıfları</t>
        </is>
      </c>
      <c r="B23" s="21">
        <f>sgk_maddeAtifMetni</f>
        <v/>
      </c>
    </row>
    <row r="25">
      <c r="A25" s="10" t="inlineStr">
        <is>
          <t>Kanıt gövdesi</t>
        </is>
      </c>
      <c r="B25" s="21">
        <f>sgk_kanitRaporu</f>
        <v/>
      </c>
    </row>
    <row r="27">
      <c r="A27" s="7" t="inlineStr">
        <is>
          <t>Parmak izi (SHA-256 kısaltma)</t>
        </is>
      </c>
      <c r="B27" s="28">
        <f>sgk_parmakIzi</f>
        <v/>
      </c>
    </row>
    <row r="29">
      <c r="A29" s="7" t="inlineStr">
        <is>
          <t>Hazırlayan (imza)</t>
        </is>
      </c>
      <c r="B29" s="60" t="inlineStr"/>
    </row>
    <row r="30">
      <c r="A30" s="7" t="inlineStr">
        <is>
          <t>Onaylayan (imza)</t>
        </is>
      </c>
      <c r="B30" s="60" t="inlineStr"/>
    </row>
    <row r="32">
      <c r="A32" s="13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&amp;LSGK Prim Teşvikleri Optimizasyon Motoru · 1.0.0&amp;CExcelArşiv&amp;RSayfa &amp;P / &amp;N</oddFooter>
    <evenHeader/>
    <evenFooter>&amp;LSGK Prim Teşvikleri Optimizasyon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SGK Prim Teşvikleri Optimizasyon Motoru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IFERROR(IF(AND(N(hesapYili)&gt;N(sgk_yilTaban),N(hesapYili)&lt;=N(sgk_yilTaban)+3),"TEMİZ","HATALI"),"HATALI")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IF(IFERROR(sgk_kacirilan,0)&gt;sgk_kacirilanEsik,"AŞIYOR","NORMAL")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IFERROR(sgk_girisBeklenen+COUNTA(GIRDI!B6:B16)*0,0)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Potansiyel kontrol</t>
        </is>
      </c>
      <c r="B17" s="26">
        <f>IFERROR(sgk_potansiyelTasarruf,0)</f>
        <v/>
      </c>
    </row>
    <row r="18">
      <c r="A18" s="7" t="inlineStr">
        <is>
          <t>Kaçırılan kontrol</t>
        </is>
      </c>
      <c r="B18" s="26">
        <f>IFERROR(sgk_kacirilan,0)</f>
        <v/>
      </c>
    </row>
    <row r="19">
      <c r="A19" s="7" t="inlineStr">
        <is>
          <t>Karar kontrol</t>
        </is>
      </c>
      <c r="B19" s="27">
        <f>IFERROR(sgk_kararMetni,"-")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SGK Prim Teşvikleri Optimizasyon Motoru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Brüt Matrah</t>
        </is>
      </c>
      <c r="C5" s="22" t="inlineStr">
        <is>
          <t>5 Puan</t>
        </is>
      </c>
      <c r="D5" s="22" t="inlineStr">
        <is>
          <t>İlave</t>
        </is>
      </c>
      <c r="E5" s="22" t="inlineStr">
        <is>
          <t>Kadın/Genç</t>
        </is>
      </c>
      <c r="F5" s="22" t="inlineStr">
        <is>
          <t>Engelli</t>
        </is>
      </c>
      <c r="G5" s="22" t="inlineStr">
        <is>
          <t>Mevcut</t>
        </is>
      </c>
      <c r="H5" s="22" t="inlineStr">
        <is>
          <t>Potansiyel</t>
        </is>
      </c>
      <c r="I5" s="22" t="inlineStr">
        <is>
          <t>Kaçırılan</t>
        </is>
      </c>
      <c r="L5" s="51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$C6*INDEX(tblKurallar[deger_2025],MATCH("SGK-001",tblKurallar[kural_id],0))+$D6*INDEX(tblKurallar[deger_2025],MATCH("SGK-002",tblKurallar[kural_id],0))+$E6*INDEX(tblKurallar[deger_2025],MATCH("SGK-004",tblKurallar[kural_id],0))+$F6*sgk_isverenOran,2),0))</f>
        <v/>
      </c>
      <c r="I6" s="37">
        <f>IF($A6="","",IFERROR(MAX(0,$H6-$G6),0))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$C7*INDEX(tblKurallar[deger_2025],MATCH("SGK-001",tblKurallar[kural_id],0))+$D7*INDEX(tblKurallar[deger_2025],MATCH("SGK-002",tblKurallar[kural_id],0))+$E7*INDEX(tblKurallar[deger_2025],MATCH("SGK-004",tblKurallar[kural_id],0))+$F7*sgk_isverenOran,2),0))</f>
        <v/>
      </c>
      <c r="I7" s="37">
        <f>IF($A7="","",IFERROR(MAX(0,$H7-$G7),0))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$C8*INDEX(tblKurallar[deger_2025],MATCH("SGK-001",tblKurallar[kural_id],0))+$D8*INDEX(tblKurallar[deger_2025],MATCH("SGK-002",tblKurallar[kural_id],0))+$E8*INDEX(tblKurallar[deger_2025],MATCH("SGK-004",tblKurallar[kural_id],0))+$F8*sgk_isverenOran,2),0))</f>
        <v/>
      </c>
      <c r="I8" s="37">
        <f>IF($A8="","",IFERROR(MAX(0,$H8-$G8),0))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$C9*INDEX(tblKurallar[deger_2025],MATCH("SGK-001",tblKurallar[kural_id],0))+$D9*INDEX(tblKurallar[deger_2025],MATCH("SGK-002",tblKurallar[kural_id],0))+$E9*INDEX(tblKurallar[deger_2025],MATCH("SGK-004",tblKurallar[kural_id],0))+$F9*sgk_isverenOran,2),0))</f>
        <v/>
      </c>
      <c r="I9" s="37">
        <f>IF($A9="","",IFERROR(MAX(0,$H9-$G9),0))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$C10*INDEX(tblKurallar[deger_2025],MATCH("SGK-001",tblKurallar[kural_id],0))+$D10*INDEX(tblKurallar[deger_2025],MATCH("SGK-002",tblKurallar[kural_id],0))+$E10*INDEX(tblKurallar[deger_2025],MATCH("SGK-004",tblKurallar[kural_id],0))+$F10*sgk_isverenOran,2),0))</f>
        <v/>
      </c>
      <c r="I10" s="37">
        <f>IF($A10="","",IFERROR(MAX(0,$H10-$G10),0))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$C11*INDEX(tblKurallar[deger_2025],MATCH("SGK-001",tblKurallar[kural_id],0))+$D11*INDEX(tblKurallar[deger_2025],MATCH("SGK-002",tblKurallar[kural_id],0))+$E11*INDEX(tblKurallar[deger_2025],MATCH("SGK-004",tblKurallar[kural_id],0))+$F11*sgk_isverenOran,2),0))</f>
        <v/>
      </c>
      <c r="I11" s="37">
        <f>IF($A11="","",IFERROR(MAX(0,$H11-$G11),0))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$C12*INDEX(tblKurallar[deger_2025],MATCH("SGK-001",tblKurallar[kural_id],0))+$D12*INDEX(tblKurallar[deger_2025],MATCH("SGK-002",tblKurallar[kural_id],0))+$E12*INDEX(tblKurallar[deger_2025],MATCH("SGK-004",tblKurallar[kural_id],0))+$F12*sgk_isverenOran,2),0))</f>
        <v/>
      </c>
      <c r="I12" s="37">
        <f>IF($A12="","",IFERROR(MAX(0,$H12-$G12),0))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$C13*INDEX(tblKurallar[deger_2025],MATCH("SGK-001",tblKurallar[kural_id],0))+$D13*INDEX(tblKurallar[deger_2025],MATCH("SGK-002",tblKurallar[kural_id],0))+$E13*INDEX(tblKurallar[deger_2025],MATCH("SGK-004",tblKurallar[kural_id],0))+$F13*sgk_isverenOran,2),0))</f>
        <v/>
      </c>
      <c r="I13" s="37">
        <f>IF($A13="","",IFERROR(MAX(0,$H13-$G13),0))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$C14*INDEX(tblKurallar[deger_2025],MATCH("SGK-001",tblKurallar[kural_id],0))+$D14*INDEX(tblKurallar[deger_2025],MATCH("SGK-002",tblKurallar[kural_id],0))+$E14*INDEX(tblKurallar[deger_2025],MATCH("SGK-004",tblKurallar[kural_id],0))+$F14*sgk_isverenOran,2),0))</f>
        <v/>
      </c>
      <c r="I14" s="37">
        <f>IF($A14="","",IFERROR(MAX(0,$H14-$G14),0))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$C15*INDEX(tblKurallar[deger_2025],MATCH("SGK-001",tblKurallar[kural_id],0))+$D15*INDEX(tblKurallar[deger_2025],MATCH("SGK-002",tblKurallar[kural_id],0))+$E15*INDEX(tblKurallar[deger_2025],MATCH("SGK-004",tblKurallar[kural_id],0))+$F15*sgk_isverenOran,2),0))</f>
        <v/>
      </c>
      <c r="I15" s="37">
        <f>IF($A15="","",IFERROR(MAX(0,$H15-$G15),0))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$C16*INDEX(tblKurallar[deger_2025],MATCH("SGK-001",tblKurallar[kural_id],0))+$D16*INDEX(tblKurallar[deger_2025],MATCH("SGK-002",tblKurallar[kural_id],0))+$E16*INDEX(tblKurallar[deger_2025],MATCH("SGK-004",tblKurallar[kural_id],0))+$F16*sgk_isverenOran,2),0))</f>
        <v/>
      </c>
      <c r="I16" s="37">
        <f>IF($A16="","",IFERROR(MAX(0,$H16-$G16),0))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$C17*INDEX(tblKurallar[deger_2025],MATCH("SGK-001",tblKurallar[kural_id],0))+$D17*INDEX(tblKurallar[deger_2025],MATCH("SGK-002",tblKurallar[kural_id],0))+$E17*INDEX(tblKurallar[deger_2025],MATCH("SGK-004",tblKurallar[kural_id],0))+$F17*sgk_isverenOran,2),0))</f>
        <v/>
      </c>
      <c r="I17" s="37">
        <f>IF($A17="","",IFERROR(MAX(0,$H17-$G17),0))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$C18*INDEX(tblKurallar[deger_2025],MATCH("SGK-001",tblKurallar[kural_id],0))+$D18*INDEX(tblKurallar[deger_2025],MATCH("SGK-002",tblKurallar[kural_id],0))+$E18*INDEX(tblKurallar[deger_2025],MATCH("SGK-004",tblKurallar[kural_id],0))+$F18*sgk_isverenOran,2),0))</f>
        <v/>
      </c>
      <c r="I18" s="37">
        <f>IF($A18="","",IFERROR(MAX(0,$H18-$G18),0))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$C19*INDEX(tblKurallar[deger_2025],MATCH("SGK-001",tblKurallar[kural_id],0))+$D19*INDEX(tblKurallar[deger_2025],MATCH("SGK-002",tblKurallar[kural_id],0))+$E19*INDEX(tblKurallar[deger_2025],MATCH("SGK-004",tblKurallar[kural_id],0))+$F19*sgk_isverenOran,2),0))</f>
        <v/>
      </c>
      <c r="I19" s="37">
        <f>IF($A19="","",IFERROR(MAX(0,$H19-$G19),0))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$C20*INDEX(tblKurallar[deger_2025],MATCH("SGK-001",tblKurallar[kural_id],0))+$D20*INDEX(tblKurallar[deger_2025],MATCH("SGK-002",tblKurallar[kural_id],0))+$E20*INDEX(tblKurallar[deger_2025],MATCH("SGK-004",tblKurallar[kural_id],0))+$F20*sgk_isverenOran,2),0))</f>
        <v/>
      </c>
      <c r="I20" s="37">
        <f>IF($A20="","",IFERROR(MAX(0,$H20-$G20),0))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$C21*INDEX(tblKurallar[deger_2025],MATCH("SGK-001",tblKurallar[kural_id],0))+$D21*INDEX(tblKurallar[deger_2025],MATCH("SGK-002",tblKurallar[kural_id],0))+$E21*INDEX(tblKurallar[deger_2025],MATCH("SGK-004",tblKurallar[kural_id],0))+$F21*sgk_isverenOran,2),0))</f>
        <v/>
      </c>
      <c r="I21" s="37">
        <f>IF($A21="","",IFERROR(MAX(0,$H21-$G21),0))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$C22*INDEX(tblKurallar[deger_2025],MATCH("SGK-001",tblKurallar[kural_id],0))+$D22*INDEX(tblKurallar[deger_2025],MATCH("SGK-002",tblKurallar[kural_id],0))+$E22*INDEX(tblKurallar[deger_2025],MATCH("SGK-004",tblKurallar[kural_id],0))+$F22*sgk_isverenOran,2),0))</f>
        <v/>
      </c>
      <c r="I22" s="37">
        <f>IF($A22="","",IFERROR(MAX(0,$H22-$G22),0))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$C23*INDEX(tblKurallar[deger_2025],MATCH("SGK-001",tblKurallar[kural_id],0))+$D23*INDEX(tblKurallar[deger_2025],MATCH("SGK-002",tblKurallar[kural_id],0))+$E23*INDEX(tblKurallar[deger_2025],MATCH("SGK-004",tblKurallar[kural_id],0))+$F23*sgk_isverenOran,2),0))</f>
        <v/>
      </c>
      <c r="I23" s="37">
        <f>IF($A23="","",IFERROR(MAX(0,$H23-$G23),0))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$C24*INDEX(tblKurallar[deger_2025],MATCH("SGK-001",tblKurallar[kural_id],0))+$D24*INDEX(tblKurallar[deger_2025],MATCH("SGK-002",tblKurallar[kural_id],0))+$E24*INDEX(tblKurallar[deger_2025],MATCH("SGK-004",tblKurallar[kural_id],0))+$F24*sgk_isverenOran,2),0))</f>
        <v/>
      </c>
      <c r="I24" s="37">
        <f>IF($A24="","",IFERROR(MAX(0,$H24-$G24),0))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$C25*INDEX(tblKurallar[deger_2025],MATCH("SGK-001",tblKurallar[kural_id],0))+$D25*INDEX(tblKurallar[deger_2025],MATCH("SGK-002",tblKurallar[kural_id],0))+$E25*INDEX(tblKurallar[deger_2025],MATCH("SGK-004",tblKurallar[kural_id],0))+$F25*sgk_isverenOran,2),0))</f>
        <v/>
      </c>
      <c r="I25" s="37">
        <f>IF($A25="","",IFERROR(MAX(0,$H25-$G25),0))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$C26*INDEX(tblKurallar[deger_2025],MATCH("SGK-001",tblKurallar[kural_id],0))+$D26*INDEX(tblKurallar[deger_2025],MATCH("SGK-002",tblKurallar[kural_id],0))+$E26*INDEX(tblKurallar[deger_2025],MATCH("SGK-004",tblKurallar[kural_id],0))+$F26*sgk_isverenOran,2),0))</f>
        <v/>
      </c>
      <c r="I26" s="37">
        <f>IF($A26="","",IFERROR(MAX(0,$H26-$G26),0))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$C27*INDEX(tblKurallar[deger_2025],MATCH("SGK-001",tblKurallar[kural_id],0))+$D27*INDEX(tblKurallar[deger_2025],MATCH("SGK-002",tblKurallar[kural_id],0))+$E27*INDEX(tblKurallar[deger_2025],MATCH("SGK-004",tblKurallar[kural_id],0))+$F27*sgk_isverenOran,2),0))</f>
        <v/>
      </c>
      <c r="I27" s="37">
        <f>IF($A27="","",IFERROR(MAX(0,$H27-$G27),0))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$C28*INDEX(tblKurallar[deger_2025],MATCH("SGK-001",tblKurallar[kural_id],0))+$D28*INDEX(tblKurallar[deger_2025],MATCH("SGK-002",tblKurallar[kural_id],0))+$E28*INDEX(tblKurallar[deger_2025],MATCH("SGK-004",tblKurallar[kural_id],0))+$F28*sgk_isverenOran,2),0))</f>
        <v/>
      </c>
      <c r="I28" s="37">
        <f>IF($A28="","",IFERROR(MAX(0,$H28-$G28),0))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$C29*INDEX(tblKurallar[deger_2025],MATCH("SGK-001",tblKurallar[kural_id],0))+$D29*INDEX(tblKurallar[deger_2025],MATCH("SGK-002",tblKurallar[kural_id],0))+$E29*INDEX(tblKurallar[deger_2025],MATCH("SGK-004",tblKurallar[kural_id],0))+$F29*sgk_isverenOran,2),0))</f>
        <v/>
      </c>
      <c r="I29" s="37">
        <f>IF($A29="","",IFERROR(MAX(0,$H29-$G29),0))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$C30*INDEX(tblKurallar[deger_2025],MATCH("SGK-001",tblKurallar[kural_id],0))+$D30*INDEX(tblKurallar[deger_2025],MATCH("SGK-002",tblKurallar[kural_id],0))+$E30*INDEX(tblKurallar[deger_2025],MATCH("SGK-004",tblKurallar[kural_id],0))+$F30*sgk_isverenOran,2),0))</f>
        <v/>
      </c>
      <c r="I30" s="37">
        <f>IF($A30="","",IFERROR(MAX(0,$H30-$G30),0))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$C31*INDEX(tblKurallar[deger_2025],MATCH("SGK-001",tblKurallar[kural_id],0))+$D31*INDEX(tblKurallar[deger_2025],MATCH("SGK-002",tblKurallar[kural_id],0))+$E31*INDEX(tblKurallar[deger_2025],MATCH("SGK-004",tblKurallar[kural_id],0))+$F31*sgk_isverenOran,2),0))</f>
        <v/>
      </c>
      <c r="I31" s="37">
        <f>IF($A31="","",IFERROR(MAX(0,$H31-$G31),0))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$C32*INDEX(tblKurallar[deger_2025],MATCH("SGK-001",tblKurallar[kural_id],0))+$D32*INDEX(tblKurallar[deger_2025],MATCH("SGK-002",tblKurallar[kural_id],0))+$E32*INDEX(tblKurallar[deger_2025],MATCH("SGK-004",tblKurallar[kural_id],0))+$F32*sgk_isverenOran,2),0))</f>
        <v/>
      </c>
      <c r="I32" s="37">
        <f>IF($A32="","",IFERROR(MAX(0,$H32-$G32),0))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$C33*INDEX(tblKurallar[deger_2025],MATCH("SGK-001",tblKurallar[kural_id],0))+$D33*INDEX(tblKurallar[deger_2025],MATCH("SGK-002",tblKurallar[kural_id],0))+$E33*INDEX(tblKurallar[deger_2025],MATCH("SGK-004",tblKurallar[kural_id],0))+$F33*sgk_isverenOran,2),0))</f>
        <v/>
      </c>
      <c r="I33" s="37">
        <f>IF($A33="","",IFERROR(MAX(0,$H33-$G33),0))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$C34*INDEX(tblKurallar[deger_2025],MATCH("SGK-001",tblKurallar[kural_id],0))+$D34*INDEX(tblKurallar[deger_2025],MATCH("SGK-002",tblKurallar[kural_id],0))+$E34*INDEX(tblKurallar[deger_2025],MATCH("SGK-004",tblKurallar[kural_id],0))+$F34*sgk_isverenOran,2),0))</f>
        <v/>
      </c>
      <c r="I34" s="37">
        <f>IF($A34="","",IFERROR(MAX(0,$H34-$G34),0))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$C35*INDEX(tblKurallar[deger_2025],MATCH("SGK-001",tblKurallar[kural_id],0))+$D35*INDEX(tblKurallar[deger_2025],MATCH("SGK-002",tblKurallar[kural_id],0))+$E35*INDEX(tblKurallar[deger_2025],MATCH("SGK-004",tblKurallar[kural_id],0))+$F35*sgk_isverenOran,2),0))</f>
        <v/>
      </c>
      <c r="I35" s="37">
        <f>IF($A35="","",IFERROR(MAX(0,$H35-$G35),0))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$C36*INDEX(tblKurallar[deger_2025],MATCH("SGK-001",tblKurallar[kural_id],0))+$D36*INDEX(tblKurallar[deger_2025],MATCH("SGK-002",tblKurallar[kural_id],0))+$E36*INDEX(tblKurallar[deger_2025],MATCH("SGK-004",tblKurallar[kural_id],0))+$F36*sgk_isverenOran,2),0))</f>
        <v/>
      </c>
      <c r="I36" s="37">
        <f>IF($A36="","",IFERROR(MAX(0,$H36-$G36),0))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$C37*INDEX(tblKurallar[deger_2025],MATCH("SGK-001",tblKurallar[kural_id],0))+$D37*INDEX(tblKurallar[deger_2025],MATCH("SGK-002",tblKurallar[kural_id],0))+$E37*INDEX(tblKurallar[deger_2025],MATCH("SGK-004",tblKurallar[kural_id],0))+$F37*sgk_isverenOran,2),0))</f>
        <v/>
      </c>
      <c r="I37" s="37">
        <f>IF($A37="","",IFERROR(MAX(0,$H37-$G37),0))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$C38*INDEX(tblKurallar[deger_2025],MATCH("SGK-001",tblKurallar[kural_id],0))+$D38*INDEX(tblKurallar[deger_2025],MATCH("SGK-002",tblKurallar[kural_id],0))+$E38*INDEX(tblKurallar[deger_2025],MATCH("SGK-004",tblKurallar[kural_id],0))+$F38*sgk_isverenOran,2),0))</f>
        <v/>
      </c>
      <c r="I38" s="37">
        <f>IF($A38="","",IFERROR(MAX(0,$H38-$G38),0))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$C39*INDEX(tblKurallar[deger_2025],MATCH("SGK-001",tblKurallar[kural_id],0))+$D39*INDEX(tblKurallar[deger_2025],MATCH("SGK-002",tblKurallar[kural_id],0))+$E39*INDEX(tblKurallar[deger_2025],MATCH("SGK-004",tblKurallar[kural_id],0))+$F39*sgk_isverenOran,2),0))</f>
        <v/>
      </c>
      <c r="I39" s="37">
        <f>IF($A39="","",IFERROR(MAX(0,$H39-$G39),0))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$C40*INDEX(tblKurallar[deger_2025],MATCH("SGK-001",tblKurallar[kural_id],0))+$D40*INDEX(tblKurallar[deger_2025],MATCH("SGK-002",tblKurallar[kural_id],0))+$E40*INDEX(tblKurallar[deger_2025],MATCH("SGK-004",tblKurallar[kural_id],0))+$F40*sgk_isverenOran,2),0))</f>
        <v/>
      </c>
      <c r="I40" s="37">
        <f>IF($A40="","",IFERROR(MAX(0,$H40-$G40),0))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$C41*INDEX(tblKurallar[deger_2025],MATCH("SGK-001",tblKurallar[kural_id],0))+$D41*INDEX(tblKurallar[deger_2025],MATCH("SGK-002",tblKurallar[kural_id],0))+$E41*INDEX(tblKurallar[deger_2025],MATCH("SGK-004",tblKurallar[kural_id],0))+$F41*sgk_isverenOran,2),0))</f>
        <v/>
      </c>
      <c r="I41" s="37">
        <f>IF($A41="","",IFERROR(MAX(0,$H41-$G41),0))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$C42*INDEX(tblKurallar[deger_2025],MATCH("SGK-001",tblKurallar[kural_id],0))+$D42*INDEX(tblKurallar[deger_2025],MATCH("SGK-002",tblKurallar[kural_id],0))+$E42*INDEX(tblKurallar[deger_2025],MATCH("SGK-004",tblKurallar[kural_id],0))+$F42*sgk_isverenOran,2),0))</f>
        <v/>
      </c>
      <c r="I42" s="37">
        <f>IF($A42="","",IFERROR(MAX(0,$H42-$G42),0))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$C43*INDEX(tblKurallar[deger_2025],MATCH("SGK-001",tblKurallar[kural_id],0))+$D43*INDEX(tblKurallar[deger_2025],MATCH("SGK-002",tblKurallar[kural_id],0))+$E43*INDEX(tblKurallar[deger_2025],MATCH("SGK-004",tblKurallar[kural_id],0))+$F43*sgk_isverenOran,2),0))</f>
        <v/>
      </c>
      <c r="I43" s="37">
        <f>IF($A43="","",IFERROR(MAX(0,$H43-$G43),0))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$C44*INDEX(tblKurallar[deger_2025],MATCH("SGK-001",tblKurallar[kural_id],0))+$D44*INDEX(tblKurallar[deger_2025],MATCH("SGK-002",tblKurallar[kural_id],0))+$E44*INDEX(tblKurallar[deger_2025],MATCH("SGK-004",tblKurallar[kural_id],0))+$F44*sgk_isverenOran,2),0))</f>
        <v/>
      </c>
      <c r="I44" s="37">
        <f>IF($A44="","",IFERROR(MAX(0,$H44-$G44),0))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$C45*INDEX(tblKurallar[deger_2025],MATCH("SGK-001",tblKurallar[kural_id],0))+$D45*INDEX(tblKurallar[deger_2025],MATCH("SGK-002",tblKurallar[kural_id],0))+$E45*INDEX(tblKurallar[deger_2025],MATCH("SGK-004",tblKurallar[kural_id],0))+$F45*sgk_isverenOran,2),0))</f>
        <v/>
      </c>
      <c r="I45" s="37">
        <f>IF($A45="","",IFERROR(MAX(0,$H45-$G45),0))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$C46*INDEX(tblKurallar[deger_2025],MATCH("SGK-001",tblKurallar[kural_id],0))+$D46*INDEX(tblKurallar[deger_2025],MATCH("SGK-002",tblKurallar[kural_id],0))+$E46*INDEX(tblKurallar[deger_2025],MATCH("SGK-004",tblKurallar[kural_id],0))+$F46*sgk_isverenOran,2),0))</f>
        <v/>
      </c>
      <c r="I46" s="37">
        <f>IF($A46="","",IFERROR(MAX(0,$H46-$G46),0))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$C47*INDEX(tblKurallar[deger_2025],MATCH("SGK-001",tblKurallar[kural_id],0))+$D47*INDEX(tblKurallar[deger_2025],MATCH("SGK-002",tblKurallar[kural_id],0))+$E47*INDEX(tblKurallar[deger_2025],MATCH("SGK-004",tblKurallar[kural_id],0))+$F47*sgk_isverenOran,2),0))</f>
        <v/>
      </c>
      <c r="I47" s="37">
        <f>IF($A47="","",IFERROR(MAX(0,$H47-$G47),0))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$C48*INDEX(tblKurallar[deger_2025],MATCH("SGK-001",tblKurallar[kural_id],0))+$D48*INDEX(tblKurallar[deger_2025],MATCH("SGK-002",tblKurallar[kural_id],0))+$E48*INDEX(tblKurallar[deger_2025],MATCH("SGK-004",tblKurallar[kural_id],0))+$F48*sgk_isverenOran,2),0))</f>
        <v/>
      </c>
      <c r="I48" s="37">
        <f>IF($A48="","",IFERROR(MAX(0,$H48-$G48),0))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$C49*INDEX(tblKurallar[deger_2025],MATCH("SGK-001",tblKurallar[kural_id],0))+$D49*INDEX(tblKurallar[deger_2025],MATCH("SGK-002",tblKurallar[kural_id],0))+$E49*INDEX(tblKurallar[deger_2025],MATCH("SGK-004",tblKurallar[kural_id],0))+$F49*sgk_isverenOran,2),0))</f>
        <v/>
      </c>
      <c r="I49" s="37">
        <f>IF($A49="","",IFERROR(MAX(0,$H49-$G49),0))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$C50*INDEX(tblKurallar[deger_2025],MATCH("SGK-001",tblKurallar[kural_id],0))+$D50*INDEX(tblKurallar[deger_2025],MATCH("SGK-002",tblKurallar[kural_id],0))+$E50*INDEX(tblKurallar[deger_2025],MATCH("SGK-004",tblKurallar[kural_id],0))+$F50*sgk_isverenOran,2),0))</f>
        <v/>
      </c>
      <c r="I50" s="37">
        <f>IF($A50="","",IFERROR(MAX(0,$H50-$G50),0))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$C51*INDEX(tblKurallar[deger_2025],MATCH("SGK-001",tblKurallar[kural_id],0))+$D51*INDEX(tblKurallar[deger_2025],MATCH("SGK-002",tblKurallar[kural_id],0))+$E51*INDEX(tblKurallar[deger_2025],MATCH("SGK-004",tblKurallar[kural_id],0))+$F51*sgk_isverenOran,2),0))</f>
        <v/>
      </c>
      <c r="I51" s="37">
        <f>IF($A51="","",IFERROR(MAX(0,$H51-$G51),0))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$C52*INDEX(tblKurallar[deger_2025],MATCH("SGK-001",tblKurallar[kural_id],0))+$D52*INDEX(tblKurallar[deger_2025],MATCH("SGK-002",tblKurallar[kural_id],0))+$E52*INDEX(tblKurallar[deger_2025],MATCH("SGK-004",tblKurallar[kural_id],0))+$F52*sgk_isverenOran,2),0))</f>
        <v/>
      </c>
      <c r="I52" s="37">
        <f>IF($A52="","",IFERROR(MAX(0,$H52-$G52),0))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$C53*INDEX(tblKurallar[deger_2025],MATCH("SGK-001",tblKurallar[kural_id],0))+$D53*INDEX(tblKurallar[deger_2025],MATCH("SGK-002",tblKurallar[kural_id],0))+$E53*INDEX(tblKurallar[deger_2025],MATCH("SGK-004",tblKurallar[kural_id],0))+$F53*sgk_isverenOran,2),0))</f>
        <v/>
      </c>
      <c r="I53" s="37">
        <f>IF($A53="","",IFERROR(MAX(0,$H53-$G53),0))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$C54*INDEX(tblKurallar[deger_2025],MATCH("SGK-001",tblKurallar[kural_id],0))+$D54*INDEX(tblKurallar[deger_2025],MATCH("SGK-002",tblKurallar[kural_id],0))+$E54*INDEX(tblKurallar[deger_2025],MATCH("SGK-004",tblKurallar[kural_id],0))+$F54*sgk_isverenOran,2),0))</f>
        <v/>
      </c>
      <c r="I54" s="37">
        <f>IF($A54="","",IFERROR(MAX(0,$H54-$G54),0))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$C55*INDEX(tblKurallar[deger_2025],MATCH("SGK-001",tblKurallar[kural_id],0))+$D55*INDEX(tblKurallar[deger_2025],MATCH("SGK-002",tblKurallar[kural_id],0))+$E55*INDEX(tblKurallar[deger_2025],MATCH("SGK-004",tblKurallar[kural_id],0))+$F55*sgk_isverenOran,2),0))</f>
        <v/>
      </c>
      <c r="I55" s="37">
        <f>IF($A55="","",IFERROR(MAX(0,$H55-$G55),0))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$C56*INDEX(tblKurallar[deger_2025],MATCH("SGK-001",tblKurallar[kural_id],0))+$D56*INDEX(tblKurallar[deger_2025],MATCH("SGK-002",tblKurallar[kural_id],0))+$E56*INDEX(tblKurallar[deger_2025],MATCH("SGK-004",tblKurallar[kural_id],0))+$F56*sgk_isverenOran,2),0))</f>
        <v/>
      </c>
      <c r="I56" s="37">
        <f>IF($A56="","",IFERROR(MAX(0,$H56-$G56),0))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$C57*INDEX(tblKurallar[deger_2025],MATCH("SGK-001",tblKurallar[kural_id],0))+$D57*INDEX(tblKurallar[deger_2025],MATCH("SGK-002",tblKurallar[kural_id],0))+$E57*INDEX(tblKurallar[deger_2025],MATCH("SGK-004",tblKurallar[kural_id],0))+$F57*sgk_isverenOran,2),0))</f>
        <v/>
      </c>
      <c r="I57" s="37">
        <f>IF($A57="","",IFERROR(MAX(0,$H57-$G57),0))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$C58*INDEX(tblKurallar[deger_2025],MATCH("SGK-001",tblKurallar[kural_id],0))+$D58*INDEX(tblKurallar[deger_2025],MATCH("SGK-002",tblKurallar[kural_id],0))+$E58*INDEX(tblKurallar[deger_2025],MATCH("SGK-004",tblKurallar[kural_id],0))+$F58*sgk_isverenOran,2),0))</f>
        <v/>
      </c>
      <c r="I58" s="37">
        <f>IF($A58="","",IFERROR(MAX(0,$H58-$G58),0))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$C59*INDEX(tblKurallar[deger_2025],MATCH("SGK-001",tblKurallar[kural_id],0))+$D59*INDEX(tblKurallar[deger_2025],MATCH("SGK-002",tblKurallar[kural_id],0))+$E59*INDEX(tblKurallar[deger_2025],MATCH("SGK-004",tblKurallar[kural_id],0))+$F59*sgk_isverenOran,2),0))</f>
        <v/>
      </c>
      <c r="I59" s="37">
        <f>IF($A59="","",IFERROR(MAX(0,$H59-$G59),0))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$C60*INDEX(tblKurallar[deger_2025],MATCH("SGK-001",tblKurallar[kural_id],0))+$D60*INDEX(tblKurallar[deger_2025],MATCH("SGK-002",tblKurallar[kural_id],0))+$E60*INDEX(tblKurallar[deger_2025],MATCH("SGK-004",tblKurallar[kural_id],0))+$F60*sgk_isverenOran,2),0))</f>
        <v/>
      </c>
      <c r="I60" s="37">
        <f>IF($A60="","",IFERROR(MAX(0,$H60-$G60),0))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$C61*INDEX(tblKurallar[deger_2025],MATCH("SGK-001",tblKurallar[kural_id],0))+$D61*INDEX(tblKurallar[deger_2025],MATCH("SGK-002",tblKurallar[kural_id],0))+$E61*INDEX(tblKurallar[deger_2025],MATCH("SGK-004",tblKurallar[kural_id],0))+$F61*sgk_isverenOran,2),0))</f>
        <v/>
      </c>
      <c r="I61" s="37">
        <f>IF($A61="","",IFERROR(MAX(0,$H61-$G61),0))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$C62*INDEX(tblKurallar[deger_2025],MATCH("SGK-001",tblKurallar[kural_id],0))+$D62*INDEX(tblKurallar[deger_2025],MATCH("SGK-002",tblKurallar[kural_id],0))+$E62*INDEX(tblKurallar[deger_2025],MATCH("SGK-004",tblKurallar[kural_id],0))+$F62*sgk_isverenOran,2),0))</f>
        <v/>
      </c>
      <c r="I62" s="37">
        <f>IF($A62="","",IFERROR(MAX(0,$H62-$G62),0))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$C63*INDEX(tblKurallar[deger_2025],MATCH("SGK-001",tblKurallar[kural_id],0))+$D63*INDEX(tblKurallar[deger_2025],MATCH("SGK-002",tblKurallar[kural_id],0))+$E63*INDEX(tblKurallar[deger_2025],MATCH("SGK-004",tblKurallar[kural_id],0))+$F63*sgk_isverenOran,2),0))</f>
        <v/>
      </c>
      <c r="I63" s="37">
        <f>IF($A63="","",IFERROR(MAX(0,$H63-$G63),0))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$C64*INDEX(tblKurallar[deger_2025],MATCH("SGK-001",tblKurallar[kural_id],0))+$D64*INDEX(tblKurallar[deger_2025],MATCH("SGK-002",tblKurallar[kural_id],0))+$E64*INDEX(tblKurallar[deger_2025],MATCH("SGK-004",tblKurallar[kural_id],0))+$F64*sgk_isverenOran,2),0))</f>
        <v/>
      </c>
      <c r="I64" s="37">
        <f>IF($A64="","",IFERROR(MAX(0,$H64-$G64),0))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$C65*INDEX(tblKurallar[deger_2025],MATCH("SGK-001",tblKurallar[kural_id],0))+$D65*INDEX(tblKurallar[deger_2025],MATCH("SGK-002",tblKurallar[kural_id],0))+$E65*INDEX(tblKurallar[deger_2025],MATCH("SGK-004",tblKurallar[kural_id],0))+$F65*sgk_isverenOran,2),0))</f>
        <v/>
      </c>
      <c r="I65" s="37">
        <f>IF($A65="","",IFERROR(MAX(0,$H65-$G65),0))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$C66*INDEX(tblKurallar[deger_2025],MATCH("SGK-001",tblKurallar[kural_id],0))+$D66*INDEX(tblKurallar[deger_2025],MATCH("SGK-002",tblKurallar[kural_id],0))+$E66*INDEX(tblKurallar[deger_2025],MATCH("SGK-004",tblKurallar[kural_id],0))+$F66*sgk_isverenOran,2),0))</f>
        <v/>
      </c>
      <c r="I66" s="37">
        <f>IF($A66="","",IFERROR(MAX(0,$H66-$G66),0))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$C67*INDEX(tblKurallar[deger_2025],MATCH("SGK-001",tblKurallar[kural_id],0))+$D67*INDEX(tblKurallar[deger_2025],MATCH("SGK-002",tblKurallar[kural_id],0))+$E67*INDEX(tblKurallar[deger_2025],MATCH("SGK-004",tblKurallar[kural_id],0))+$F67*sgk_isverenOran,2),0))</f>
        <v/>
      </c>
      <c r="I67" s="37">
        <f>IF($A67="","",IFERROR(MAX(0,$H67-$G67),0))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$C68*INDEX(tblKurallar[deger_2025],MATCH("SGK-001",tblKurallar[kural_id],0))+$D68*INDEX(tblKurallar[deger_2025],MATCH("SGK-002",tblKurallar[kural_id],0))+$E68*INDEX(tblKurallar[deger_2025],MATCH("SGK-004",tblKurallar[kural_id],0))+$F68*sgk_isverenOran,2),0))</f>
        <v/>
      </c>
      <c r="I68" s="37">
        <f>IF($A68="","",IFERROR(MAX(0,$H68-$G68),0))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$C69*INDEX(tblKurallar[deger_2025],MATCH("SGK-001",tblKurallar[kural_id],0))+$D69*INDEX(tblKurallar[deger_2025],MATCH("SGK-002",tblKurallar[kural_id],0))+$E69*INDEX(tblKurallar[deger_2025],MATCH("SGK-004",tblKurallar[kural_id],0))+$F69*sgk_isverenOran,2),0))</f>
        <v/>
      </c>
      <c r="I69" s="37">
        <f>IF($A69="","",IFERROR(MAX(0,$H69-$G69),0))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$C70*INDEX(tblKurallar[deger_2025],MATCH("SGK-001",tblKurallar[kural_id],0))+$D70*INDEX(tblKurallar[deger_2025],MATCH("SGK-002",tblKurallar[kural_id],0))+$E70*INDEX(tblKurallar[deger_2025],MATCH("SGK-004",tblKurallar[kural_id],0))+$F70*sgk_isverenOran,2),0))</f>
        <v/>
      </c>
      <c r="I70" s="37">
        <f>IF($A70="","",IFERROR(MAX(0,$H70-$G70),0))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$C71*INDEX(tblKurallar[deger_2025],MATCH("SGK-001",tblKurallar[kural_id],0))+$D71*INDEX(tblKurallar[deger_2025],MATCH("SGK-002",tblKurallar[kural_id],0))+$E71*INDEX(tblKurallar[deger_2025],MATCH("SGK-004",tblKurallar[kural_id],0))+$F71*sgk_isverenOran,2),0))</f>
        <v/>
      </c>
      <c r="I71" s="37">
        <f>IF($A71="","",IFERROR(MAX(0,$H71-$G71),0))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$C72*INDEX(tblKurallar[deger_2025],MATCH("SGK-001",tblKurallar[kural_id],0))+$D72*INDEX(tblKurallar[deger_2025],MATCH("SGK-002",tblKurallar[kural_id],0))+$E72*INDEX(tblKurallar[deger_2025],MATCH("SGK-004",tblKurallar[kural_id],0))+$F72*sgk_isverenOran,2),0))</f>
        <v/>
      </c>
      <c r="I72" s="37">
        <f>IF($A72="","",IFERROR(MAX(0,$H72-$G72),0))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$C73*INDEX(tblKurallar[deger_2025],MATCH("SGK-001",tblKurallar[kural_id],0))+$D73*INDEX(tblKurallar[deger_2025],MATCH("SGK-002",tblKurallar[kural_id],0))+$E73*INDEX(tblKurallar[deger_2025],MATCH("SGK-004",tblKurallar[kural_id],0))+$F73*sgk_isverenOran,2),0))</f>
        <v/>
      </c>
      <c r="I73" s="37">
        <f>IF($A73="","",IFERROR(MAX(0,$H73-$G73),0))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$C74*INDEX(tblKurallar[deger_2025],MATCH("SGK-001",tblKurallar[kural_id],0))+$D74*INDEX(tblKurallar[deger_2025],MATCH("SGK-002",tblKurallar[kural_id],0))+$E74*INDEX(tblKurallar[deger_2025],MATCH("SGK-004",tblKurallar[kural_id],0))+$F74*sgk_isverenOran,2),0))</f>
        <v/>
      </c>
      <c r="I74" s="37">
        <f>IF($A74="","",IFERROR(MAX(0,$H74-$G74),0))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$C75*INDEX(tblKurallar[deger_2025],MATCH("SGK-001",tblKurallar[kural_id],0))+$D75*INDEX(tblKurallar[deger_2025],MATCH("SGK-002",tblKurallar[kural_id],0))+$E75*INDEX(tblKurallar[deger_2025],MATCH("SGK-004",tblKurallar[kural_id],0))+$F75*sgk_isverenOran,2),0))</f>
        <v/>
      </c>
      <c r="I75" s="37">
        <f>IF($A75="","",IFERROR(MAX(0,$H75-$G75),0))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$C76*INDEX(tblKurallar[deger_2025],MATCH("SGK-001",tblKurallar[kural_id],0))+$D76*INDEX(tblKurallar[deger_2025],MATCH("SGK-002",tblKurallar[kural_id],0))+$E76*INDEX(tblKurallar[deger_2025],MATCH("SGK-004",tblKurallar[kural_id],0))+$F76*sgk_isverenOran,2),0))</f>
        <v/>
      </c>
      <c r="I76" s="37">
        <f>IF($A76="","",IFERROR(MAX(0,$H76-$G76),0))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$C77*INDEX(tblKurallar[deger_2025],MATCH("SGK-001",tblKurallar[kural_id],0))+$D77*INDEX(tblKurallar[deger_2025],MATCH("SGK-002",tblKurallar[kural_id],0))+$E77*INDEX(tblKurallar[deger_2025],MATCH("SGK-004",tblKurallar[kural_id],0))+$F77*sgk_isverenOran,2),0))</f>
        <v/>
      </c>
      <c r="I77" s="37">
        <f>IF($A77="","",IFERROR(MAX(0,$H77-$G77),0))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$C78*INDEX(tblKurallar[deger_2025],MATCH("SGK-001",tblKurallar[kural_id],0))+$D78*INDEX(tblKurallar[deger_2025],MATCH("SGK-002",tblKurallar[kural_id],0))+$E78*INDEX(tblKurallar[deger_2025],MATCH("SGK-004",tblKurallar[kural_id],0))+$F78*sgk_isverenOran,2),0))</f>
        <v/>
      </c>
      <c r="I78" s="37">
        <f>IF($A78="","",IFERROR(MAX(0,$H78-$G78),0))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$C79*INDEX(tblKurallar[deger_2025],MATCH("SGK-001",tblKurallar[kural_id],0))+$D79*INDEX(tblKurallar[deger_2025],MATCH("SGK-002",tblKurallar[kural_id],0))+$E79*INDEX(tblKurallar[deger_2025],MATCH("SGK-004",tblKurallar[kural_id],0))+$F79*sgk_isverenOran,2),0))</f>
        <v/>
      </c>
      <c r="I79" s="37">
        <f>IF($A79="","",IFERROR(MAX(0,$H79-$G79),0))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$C80*INDEX(tblKurallar[deger_2025],MATCH("SGK-001",tblKurallar[kural_id],0))+$D80*INDEX(tblKurallar[deger_2025],MATCH("SGK-002",tblKurallar[kural_id],0))+$E80*INDEX(tblKurallar[deger_2025],MATCH("SGK-004",tblKurallar[kural_id],0))+$F80*sgk_isverenOran,2),0))</f>
        <v/>
      </c>
      <c r="I80" s="37">
        <f>IF($A80="","",IFERROR(MAX(0,$H80-$G80),0))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$C81*INDEX(tblKurallar[deger_2025],MATCH("SGK-001",tblKurallar[kural_id],0))+$D81*INDEX(tblKurallar[deger_2025],MATCH("SGK-002",tblKurallar[kural_id],0))+$E81*INDEX(tblKurallar[deger_2025],MATCH("SGK-004",tblKurallar[kural_id],0))+$F81*sgk_isverenOran,2),0))</f>
        <v/>
      </c>
      <c r="I81" s="37">
        <f>IF($A81="","",IFERROR(MAX(0,$H81-$G81),0))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$C82*INDEX(tblKurallar[deger_2025],MATCH("SGK-001",tblKurallar[kural_id],0))+$D82*INDEX(tblKurallar[deger_2025],MATCH("SGK-002",tblKurallar[kural_id],0))+$E82*INDEX(tblKurallar[deger_2025],MATCH("SGK-004",tblKurallar[kural_id],0))+$F82*sgk_isverenOran,2),0))</f>
        <v/>
      </c>
      <c r="I82" s="37">
        <f>IF($A82="","",IFERROR(MAX(0,$H82-$G82),0))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$C83*INDEX(tblKurallar[deger_2025],MATCH("SGK-001",tblKurallar[kural_id],0))+$D83*INDEX(tblKurallar[deger_2025],MATCH("SGK-002",tblKurallar[kural_id],0))+$E83*INDEX(tblKurallar[deger_2025],MATCH("SGK-004",tblKurallar[kural_id],0))+$F83*sgk_isverenOran,2),0))</f>
        <v/>
      </c>
      <c r="I83" s="37">
        <f>IF($A83="","",IFERROR(MAX(0,$H83-$G83),0))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$C84*INDEX(tblKurallar[deger_2025],MATCH("SGK-001",tblKurallar[kural_id],0))+$D84*INDEX(tblKurallar[deger_2025],MATCH("SGK-002",tblKurallar[kural_id],0))+$E84*INDEX(tblKurallar[deger_2025],MATCH("SGK-004",tblKurallar[kural_id],0))+$F84*sgk_isverenOran,2),0))</f>
        <v/>
      </c>
      <c r="I84" s="37">
        <f>IF($A84="","",IFERROR(MAX(0,$H84-$G84),0))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$C85*INDEX(tblKurallar[deger_2025],MATCH("SGK-001",tblKurallar[kural_id],0))+$D85*INDEX(tblKurallar[deger_2025],MATCH("SGK-002",tblKurallar[kural_id],0))+$E85*INDEX(tblKurallar[deger_2025],MATCH("SGK-004",tblKurallar[kural_id],0))+$F85*sgk_isverenOran,2),0))</f>
        <v/>
      </c>
      <c r="I85" s="37">
        <f>IF($A85="","",IFERROR(MAX(0,$H85-$G85),0))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$C86*INDEX(tblKurallar[deger_2025],MATCH("SGK-001",tblKurallar[kural_id],0))+$D86*INDEX(tblKurallar[deger_2025],MATCH("SGK-002",tblKurallar[kural_id],0))+$E86*INDEX(tblKurallar[deger_2025],MATCH("SGK-004",tblKurallar[kural_id],0))+$F86*sgk_isverenOran,2),0))</f>
        <v/>
      </c>
      <c r="I86" s="37">
        <f>IF($A86="","",IFERROR(MAX(0,$H86-$G86),0))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$C87*INDEX(tblKurallar[deger_2025],MATCH("SGK-001",tblKurallar[kural_id],0))+$D87*INDEX(tblKurallar[deger_2025],MATCH("SGK-002",tblKurallar[kural_id],0))+$E87*INDEX(tblKurallar[deger_2025],MATCH("SGK-004",tblKurallar[kural_id],0))+$F87*sgk_isverenOran,2),0))</f>
        <v/>
      </c>
      <c r="I87" s="37">
        <f>IF($A87="","",IFERROR(MAX(0,$H87-$G87),0))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$C88*INDEX(tblKurallar[deger_2025],MATCH("SGK-001",tblKurallar[kural_id],0))+$D88*INDEX(tblKurallar[deger_2025],MATCH("SGK-002",tblKurallar[kural_id],0))+$E88*INDEX(tblKurallar[deger_2025],MATCH("SGK-004",tblKurallar[kural_id],0))+$F88*sgk_isverenOran,2),0))</f>
        <v/>
      </c>
      <c r="I88" s="37">
        <f>IF($A88="","",IFERROR(MAX(0,$H88-$G88),0))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$C89*INDEX(tblKurallar[deger_2025],MATCH("SGK-001",tblKurallar[kural_id],0))+$D89*INDEX(tblKurallar[deger_2025],MATCH("SGK-002",tblKurallar[kural_id],0))+$E89*INDEX(tblKurallar[deger_2025],MATCH("SGK-004",tblKurallar[kural_id],0))+$F89*sgk_isverenOran,2),0))</f>
        <v/>
      </c>
      <c r="I89" s="37">
        <f>IF($A89="","",IFERROR(MAX(0,$H89-$G89),0))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$C90*INDEX(tblKurallar[deger_2025],MATCH("SGK-001",tblKurallar[kural_id],0))+$D90*INDEX(tblKurallar[deger_2025],MATCH("SGK-002",tblKurallar[kural_id],0))+$E90*INDEX(tblKurallar[deger_2025],MATCH("SGK-004",tblKurallar[kural_id],0))+$F90*sgk_isverenOran,2),0))</f>
        <v/>
      </c>
      <c r="I90" s="37">
        <f>IF($A90="","",IFERROR(MAX(0,$H90-$G90),0))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$C91*INDEX(tblKurallar[deger_2025],MATCH("SGK-001",tblKurallar[kural_id],0))+$D91*INDEX(tblKurallar[deger_2025],MATCH("SGK-002",tblKurallar[kural_id],0))+$E91*INDEX(tblKurallar[deger_2025],MATCH("SGK-004",tblKurallar[kural_id],0))+$F91*sgk_isverenOran,2),0))</f>
        <v/>
      </c>
      <c r="I91" s="37">
        <f>IF($A91="","",IFERROR(MAX(0,$H91-$G91),0))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$C92*INDEX(tblKurallar[deger_2025],MATCH("SGK-001",tblKurallar[kural_id],0))+$D92*INDEX(tblKurallar[deger_2025],MATCH("SGK-002",tblKurallar[kural_id],0))+$E92*INDEX(tblKurallar[deger_2025],MATCH("SGK-004",tblKurallar[kural_id],0))+$F92*sgk_isverenOran,2),0))</f>
        <v/>
      </c>
      <c r="I92" s="37">
        <f>IF($A92="","",IFERROR(MAX(0,$H92-$G92),0))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$C93*INDEX(tblKurallar[deger_2025],MATCH("SGK-001",tblKurallar[kural_id],0))+$D93*INDEX(tblKurallar[deger_2025],MATCH("SGK-002",tblKurallar[kural_id],0))+$E93*INDEX(tblKurallar[deger_2025],MATCH("SGK-004",tblKurallar[kural_id],0))+$F93*sgk_isverenOran,2),0))</f>
        <v/>
      </c>
      <c r="I93" s="37">
        <f>IF($A93="","",IFERROR(MAX(0,$H93-$G93),0))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$C94*INDEX(tblKurallar[deger_2025],MATCH("SGK-001",tblKurallar[kural_id],0))+$D94*INDEX(tblKurallar[deger_2025],MATCH("SGK-002",tblKurallar[kural_id],0))+$E94*INDEX(tblKurallar[deger_2025],MATCH("SGK-004",tblKurallar[kural_id],0))+$F94*sgk_isverenOran,2),0))</f>
        <v/>
      </c>
      <c r="I94" s="37">
        <f>IF($A94="","",IFERROR(MAX(0,$H94-$G94),0))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$C95*INDEX(tblKurallar[deger_2025],MATCH("SGK-001",tblKurallar[kural_id],0))+$D95*INDEX(tblKurallar[deger_2025],MATCH("SGK-002",tblKurallar[kural_id],0))+$E95*INDEX(tblKurallar[deger_2025],MATCH("SGK-004",tblKurallar[kural_id],0))+$F95*sgk_isverenOran,2),0))</f>
        <v/>
      </c>
      <c r="I95" s="37">
        <f>IF($A95="","",IFERROR(MAX(0,$H95-$G95),0))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$C96*INDEX(tblKurallar[deger_2025],MATCH("SGK-001",tblKurallar[kural_id],0))+$D96*INDEX(tblKurallar[deger_2025],MATCH("SGK-002",tblKurallar[kural_id],0))+$E96*INDEX(tblKurallar[deger_2025],MATCH("SGK-004",tblKurallar[kural_id],0))+$F96*sgk_isverenOran,2),0))</f>
        <v/>
      </c>
      <c r="I96" s="37">
        <f>IF($A96="","",IFERROR(MAX(0,$H96-$G96),0))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$C97*INDEX(tblKurallar[deger_2025],MATCH("SGK-001",tblKurallar[kural_id],0))+$D97*INDEX(tblKurallar[deger_2025],MATCH("SGK-002",tblKurallar[kural_id],0))+$E97*INDEX(tblKurallar[deger_2025],MATCH("SGK-004",tblKurallar[kural_id],0))+$F97*sgk_isverenOran,2),0))</f>
        <v/>
      </c>
      <c r="I97" s="37">
        <f>IF($A97="","",IFERROR(MAX(0,$H97-$G97),0))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$C98*INDEX(tblKurallar[deger_2025],MATCH("SGK-001",tblKurallar[kural_id],0))+$D98*INDEX(tblKurallar[deger_2025],MATCH("SGK-002",tblKurallar[kural_id],0))+$E98*INDEX(tblKurallar[deger_2025],MATCH("SGK-004",tblKurallar[kural_id],0))+$F98*sgk_isverenOran,2),0))</f>
        <v/>
      </c>
      <c r="I98" s="37">
        <f>IF($A98="","",IFERROR(MAX(0,$H98-$G98),0))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$C99*INDEX(tblKurallar[deger_2025],MATCH("SGK-001",tblKurallar[kural_id],0))+$D99*INDEX(tblKurallar[deger_2025],MATCH("SGK-002",tblKurallar[kural_id],0))+$E99*INDEX(tblKurallar[deger_2025],MATCH("SGK-004",tblKurallar[kural_id],0))+$F99*sgk_isverenOran,2),0))</f>
        <v/>
      </c>
      <c r="I99" s="37">
        <f>IF($A99="","",IFERROR(MAX(0,$H99-$G99),0))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$C100*INDEX(tblKurallar[deger_2025],MATCH("SGK-001",tblKurallar[kural_id],0))+$D100*INDEX(tblKurallar[deger_2025],MATCH("SGK-002",tblKurallar[kural_id],0))+$E100*INDEX(tblKurallar[deger_2025],MATCH("SGK-004",tblKurallar[kural_id],0))+$F100*sgk_isverenOran,2),0))</f>
        <v/>
      </c>
      <c r="I100" s="37">
        <f>IF($A100="","",IFERROR(MAX(0,$H100-$G100),0))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$C101*INDEX(tblKurallar[deger_2025],MATCH("SGK-001",tblKurallar[kural_id],0))+$D101*INDEX(tblKurallar[deger_2025],MATCH("SGK-002",tblKurallar[kural_id],0))+$E101*INDEX(tblKurallar[deger_2025],MATCH("SGK-004",tblKurallar[kural_id],0))+$F101*sgk_isverenOran,2),0))</f>
        <v/>
      </c>
      <c r="I101" s="37">
        <f>IF($A101="","",IFERROR(MAX(0,$H101-$G101),0))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$C102*INDEX(tblKurallar[deger_2025],MATCH("SGK-001",tblKurallar[kural_id],0))+$D102*INDEX(tblKurallar[deger_2025],MATCH("SGK-002",tblKurallar[kural_id],0))+$E102*INDEX(tblKurallar[deger_2025],MATCH("SGK-004",tblKurallar[kural_id],0))+$F102*sgk_isverenOran,2),0))</f>
        <v/>
      </c>
      <c r="I102" s="37">
        <f>IF($A102="","",IFERROR(MAX(0,$H102-$G102),0))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$C103*INDEX(tblKurallar[deger_2025],MATCH("SGK-001",tblKurallar[kural_id],0))+$D103*INDEX(tblKurallar[deger_2025],MATCH("SGK-002",tblKurallar[kural_id],0))+$E103*INDEX(tblKurallar[deger_2025],MATCH("SGK-004",tblKurallar[kural_id],0))+$F103*sgk_isverenOran,2),0))</f>
        <v/>
      </c>
      <c r="I103" s="37">
        <f>IF($A103="","",IFERROR(MAX(0,$H103-$G103),0))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$C104*INDEX(tblKurallar[deger_2025],MATCH("SGK-001",tblKurallar[kural_id],0))+$D104*INDEX(tblKurallar[deger_2025],MATCH("SGK-002",tblKurallar[kural_id],0))+$E104*INDEX(tblKurallar[deger_2025],MATCH("SGK-004",tblKurallar[kural_id],0))+$F104*sgk_isverenOran,2),0))</f>
        <v/>
      </c>
      <c r="I104" s="37">
        <f>IF($A104="","",IFERROR(MAX(0,$H104-$G104),0))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$C105*INDEX(tblKurallar[deger_2025],MATCH("SGK-001",tblKurallar[kural_id],0))+$D105*INDEX(tblKurallar[deger_2025],MATCH("SGK-002",tblKurallar[kural_id],0))+$E105*INDEX(tblKurallar[deger_2025],MATCH("SGK-004",tblKurallar[kural_id],0))+$F105*sgk_isverenOran,2),0))</f>
        <v/>
      </c>
      <c r="I105" s="37">
        <f>IF($A105="","",IFERROR(MAX(0,$H105-$G105),0))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$C106*INDEX(tblKurallar[deger_2025],MATCH("SGK-001",tblKurallar[kural_id],0))+$D106*INDEX(tblKurallar[deger_2025],MATCH("SGK-002",tblKurallar[kural_id],0))+$E106*INDEX(tblKurallar[deger_2025],MATCH("SGK-004",tblKurallar[kural_id],0))+$F106*sgk_isverenOran,2),0))</f>
        <v/>
      </c>
      <c r="I106" s="37">
        <f>IF($A106="","",IFERROR(MAX(0,$H106-$G106),0))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$C107*INDEX(tblKurallar[deger_2025],MATCH("SGK-001",tblKurallar[kural_id],0))+$D107*INDEX(tblKurallar[deger_2025],MATCH("SGK-002",tblKurallar[kural_id],0))+$E107*INDEX(tblKurallar[deger_2025],MATCH("SGK-004",tblKurallar[kural_id],0))+$F107*sgk_isverenOran,2),0))</f>
        <v/>
      </c>
      <c r="I107" s="37">
        <f>IF($A107="","",IFERROR(MAX(0,$H107-$G107),0))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$C108*INDEX(tblKurallar[deger_2025],MATCH("SGK-001",tblKurallar[kural_id],0))+$D108*INDEX(tblKurallar[deger_2025],MATCH("SGK-002",tblKurallar[kural_id],0))+$E108*INDEX(tblKurallar[deger_2025],MATCH("SGK-004",tblKurallar[kural_id],0))+$F108*sgk_isverenOran,2),0))</f>
        <v/>
      </c>
      <c r="I108" s="37">
        <f>IF($A108="","",IFERROR(MAX(0,$H108-$G108),0))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$C109*INDEX(tblKurallar[deger_2025],MATCH("SGK-001",tblKurallar[kural_id],0))+$D109*INDEX(tblKurallar[deger_2025],MATCH("SGK-002",tblKurallar[kural_id],0))+$E109*INDEX(tblKurallar[deger_2025],MATCH("SGK-004",tblKurallar[kural_id],0))+$F109*sgk_isverenOran,2),0))</f>
        <v/>
      </c>
      <c r="I109" s="37">
        <f>IF($A109="","",IFERROR(MAX(0,$H109-$G109),0))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$C110*INDEX(tblKurallar[deger_2025],MATCH("SGK-001",tblKurallar[kural_id],0))+$D110*INDEX(tblKurallar[deger_2025],MATCH("SGK-002",tblKurallar[kural_id],0))+$E110*INDEX(tblKurallar[deger_2025],MATCH("SGK-004",tblKurallar[kural_id],0))+$F110*sgk_isverenOran,2),0))</f>
        <v/>
      </c>
      <c r="I110" s="37">
        <f>IF($A110="","",IFERROR(MAX(0,$H110-$G110),0))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$C111*INDEX(tblKurallar[deger_2025],MATCH("SGK-001",tblKurallar[kural_id],0))+$D111*INDEX(tblKurallar[deger_2025],MATCH("SGK-002",tblKurallar[kural_id],0))+$E111*INDEX(tblKurallar[deger_2025],MATCH("SGK-004",tblKurallar[kural_id],0))+$F111*sgk_isverenOran,2),0))</f>
        <v/>
      </c>
      <c r="I111" s="37">
        <f>IF($A111="","",IFERROR(MAX(0,$H111-$G111),0))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$C112*INDEX(tblKurallar[deger_2025],MATCH("SGK-001",tblKurallar[kural_id],0))+$D112*INDEX(tblKurallar[deger_2025],MATCH("SGK-002",tblKurallar[kural_id],0))+$E112*INDEX(tblKurallar[deger_2025],MATCH("SGK-004",tblKurallar[kural_id],0))+$F112*sgk_isverenOran,2),0))</f>
        <v/>
      </c>
      <c r="I112" s="37">
        <f>IF($A112="","",IFERROR(MAX(0,$H112-$G112),0))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$C113*INDEX(tblKurallar[deger_2025],MATCH("SGK-001",tblKurallar[kural_id],0))+$D113*INDEX(tblKurallar[deger_2025],MATCH("SGK-002",tblKurallar[kural_id],0))+$E113*INDEX(tblKurallar[deger_2025],MATCH("SGK-004",tblKurallar[kural_id],0))+$F113*sgk_isverenOran,2),0))</f>
        <v/>
      </c>
      <c r="I113" s="37">
        <f>IF($A113="","",IFERROR(MAX(0,$H113-$G113),0))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$C114*INDEX(tblKurallar[deger_2025],MATCH("SGK-001",tblKurallar[kural_id],0))+$D114*INDEX(tblKurallar[deger_2025],MATCH("SGK-002",tblKurallar[kural_id],0))+$E114*INDEX(tblKurallar[deger_2025],MATCH("SGK-004",tblKurallar[kural_id],0))+$F114*sgk_isverenOran,2),0))</f>
        <v/>
      </c>
      <c r="I114" s="37">
        <f>IF($A114="","",IFERROR(MAX(0,$H114-$G114),0))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$C115*INDEX(tblKurallar[deger_2025],MATCH("SGK-001",tblKurallar[kural_id],0))+$D115*INDEX(tblKurallar[deger_2025],MATCH("SGK-002",tblKurallar[kural_id],0))+$E115*INDEX(tblKurallar[deger_2025],MATCH("SGK-004",tblKurallar[kural_id],0))+$F115*sgk_isverenOran,2),0))</f>
        <v/>
      </c>
      <c r="I115" s="37">
        <f>IF($A115="","",IFERROR(MAX(0,$H115-$G115),0))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$C116*INDEX(tblKurallar[deger_2025],MATCH("SGK-001",tblKurallar[kural_id],0))+$D116*INDEX(tblKurallar[deger_2025],MATCH("SGK-002",tblKurallar[kural_id],0))+$E116*INDEX(tblKurallar[deger_2025],MATCH("SGK-004",tblKurallar[kural_id],0))+$F116*sgk_isverenOran,2),0))</f>
        <v/>
      </c>
      <c r="I116" s="37">
        <f>IF($A116="","",IFERROR(MAX(0,$H116-$G116),0))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$C117*INDEX(tblKurallar[deger_2025],MATCH("SGK-001",tblKurallar[kural_id],0))+$D117*INDEX(tblKurallar[deger_2025],MATCH("SGK-002",tblKurallar[kural_id],0))+$E117*INDEX(tblKurallar[deger_2025],MATCH("SGK-004",tblKurallar[kural_id],0))+$F117*sgk_isverenOran,2),0))</f>
        <v/>
      </c>
      <c r="I117" s="37">
        <f>IF($A117="","",IFERROR(MAX(0,$H117-$G117),0))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$C118*INDEX(tblKurallar[deger_2025],MATCH("SGK-001",tblKurallar[kural_id],0))+$D118*INDEX(tblKurallar[deger_2025],MATCH("SGK-002",tblKurallar[kural_id],0))+$E118*INDEX(tblKurallar[deger_2025],MATCH("SGK-004",tblKurallar[kural_id],0))+$F118*sgk_isverenOran,2),0))</f>
        <v/>
      </c>
      <c r="I118" s="37">
        <f>IF($A118="","",IFERROR(MAX(0,$H118-$G118),0))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$C119*INDEX(tblKurallar[deger_2025],MATCH("SGK-001",tblKurallar[kural_id],0))+$D119*INDEX(tblKurallar[deger_2025],MATCH("SGK-002",tblKurallar[kural_id],0))+$E119*INDEX(tblKurallar[deger_2025],MATCH("SGK-004",tblKurallar[kural_id],0))+$F119*sgk_isverenOran,2),0))</f>
        <v/>
      </c>
      <c r="I119" s="37">
        <f>IF($A119="","",IFERROR(MAX(0,$H119-$G119),0))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$C120*INDEX(tblKurallar[deger_2025],MATCH("SGK-001",tblKurallar[kural_id],0))+$D120*INDEX(tblKurallar[deger_2025],MATCH("SGK-002",tblKurallar[kural_id],0))+$E120*INDEX(tblKurallar[deger_2025],MATCH("SGK-004",tblKurallar[kural_id],0))+$F120*sgk_isverenOran,2),0))</f>
        <v/>
      </c>
      <c r="I120" s="37">
        <f>IF($A120="","",IFERROR(MAX(0,$H120-$G120),0))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$C121*INDEX(tblKurallar[deger_2025],MATCH("SGK-001",tblKurallar[kural_id],0))+$D121*INDEX(tblKurallar[deger_2025],MATCH("SGK-002",tblKurallar[kural_id],0))+$E121*INDEX(tblKurallar[deger_2025],MATCH("SGK-004",tblKurallar[kural_id],0))+$F121*sgk_isverenOran,2),0))</f>
        <v/>
      </c>
      <c r="I121" s="37">
        <f>IF($A121="","",IFERROR(MAX(0,$H121-$G121),0))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$C122*INDEX(tblKurallar[deger_2025],MATCH("SGK-001",tblKurallar[kural_id],0))+$D122*INDEX(tblKurallar[deger_2025],MATCH("SGK-002",tblKurallar[kural_id],0))+$E122*INDEX(tblKurallar[deger_2025],MATCH("SGK-004",tblKurallar[kural_id],0))+$F122*sgk_isverenOran,2),0))</f>
        <v/>
      </c>
      <c r="I122" s="37">
        <f>IF($A122="","",IFERROR(MAX(0,$H122-$G122),0))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$C123*INDEX(tblKurallar[deger_2025],MATCH("SGK-001",tblKurallar[kural_id],0))+$D123*INDEX(tblKurallar[deger_2025],MATCH("SGK-002",tblKurallar[kural_id],0))+$E123*INDEX(tblKurallar[deger_2025],MATCH("SGK-004",tblKurallar[kural_id],0))+$F123*sgk_isverenOran,2),0))</f>
        <v/>
      </c>
      <c r="I123" s="37">
        <f>IF($A123="","",IFERROR(MAX(0,$H123-$G123),0))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$C124*INDEX(tblKurallar[deger_2025],MATCH("SGK-001",tblKurallar[kural_id],0))+$D124*INDEX(tblKurallar[deger_2025],MATCH("SGK-002",tblKurallar[kural_id],0))+$E124*INDEX(tblKurallar[deger_2025],MATCH("SGK-004",tblKurallar[kural_id],0))+$F124*sgk_isverenOran,2),0))</f>
        <v/>
      </c>
      <c r="I124" s="37">
        <f>IF($A124="","",IFERROR(MAX(0,$H124-$G124),0))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$C125*INDEX(tblKurallar[deger_2025],MATCH("SGK-001",tblKurallar[kural_id],0))+$D125*INDEX(tblKurallar[deger_2025],MATCH("SGK-002",tblKurallar[kural_id],0))+$E125*INDEX(tblKurallar[deger_2025],MATCH("SGK-004",tblKurallar[kural_id],0))+$F125*sgk_isverenOran,2),0))</f>
        <v/>
      </c>
      <c r="I125" s="37">
        <f>IF($A125="","",IFERROR(MAX(0,$H125-$G125),0))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$C126*INDEX(tblKurallar[deger_2025],MATCH("SGK-001",tblKurallar[kural_id],0))+$D126*INDEX(tblKurallar[deger_2025],MATCH("SGK-002",tblKurallar[kural_id],0))+$E126*INDEX(tblKurallar[deger_2025],MATCH("SGK-004",tblKurallar[kural_id],0))+$F126*sgk_isverenOran,2),0))</f>
        <v/>
      </c>
      <c r="I126" s="37">
        <f>IF($A126="","",IFERROR(MAX(0,$H126-$G126),0))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$C127*INDEX(tblKurallar[deger_2025],MATCH("SGK-001",tblKurallar[kural_id],0))+$D127*INDEX(tblKurallar[deger_2025],MATCH("SGK-002",tblKurallar[kural_id],0))+$E127*INDEX(tblKurallar[deger_2025],MATCH("SGK-004",tblKurallar[kural_id],0))+$F127*sgk_isverenOran,2),0))</f>
        <v/>
      </c>
      <c r="I127" s="37">
        <f>IF($A127="","",IFERROR(MAX(0,$H127-$G127),0))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$C128*INDEX(tblKurallar[deger_2025],MATCH("SGK-001",tblKurallar[kural_id],0))+$D128*INDEX(tblKurallar[deger_2025],MATCH("SGK-002",tblKurallar[kural_id],0))+$E128*INDEX(tblKurallar[deger_2025],MATCH("SGK-004",tblKurallar[kural_id],0))+$F128*sgk_isverenOran,2),0))</f>
        <v/>
      </c>
      <c r="I128" s="37">
        <f>IF($A128="","",IFERROR(MAX(0,$H128-$G128),0))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$C129*INDEX(tblKurallar[deger_2025],MATCH("SGK-001",tblKurallar[kural_id],0))+$D129*INDEX(tblKurallar[deger_2025],MATCH("SGK-002",tblKurallar[kural_id],0))+$E129*INDEX(tblKurallar[deger_2025],MATCH("SGK-004",tblKurallar[kural_id],0))+$F129*sgk_isverenOran,2),0))</f>
        <v/>
      </c>
      <c r="I129" s="37">
        <f>IF($A129="","",IFERROR(MAX(0,$H129-$G129),0))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$C130*INDEX(tblKurallar[deger_2025],MATCH("SGK-001",tblKurallar[kural_id],0))+$D130*INDEX(tblKurallar[deger_2025],MATCH("SGK-002",tblKurallar[kural_id],0))+$E130*INDEX(tblKurallar[deger_2025],MATCH("SGK-004",tblKurallar[kural_id],0))+$F130*sgk_isverenOran,2),0))</f>
        <v/>
      </c>
      <c r="I130" s="37">
        <f>IF($A130="","",IFERROR(MAX(0,$H130-$G130),0))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$C131*INDEX(tblKurallar[deger_2025],MATCH("SGK-001",tblKurallar[kural_id],0))+$D131*INDEX(tblKurallar[deger_2025],MATCH("SGK-002",tblKurallar[kural_id],0))+$E131*INDEX(tblKurallar[deger_2025],MATCH("SGK-004",tblKurallar[kural_id],0))+$F131*sgk_isverenOran,2),0))</f>
        <v/>
      </c>
      <c r="I131" s="37">
        <f>IF($A131="","",IFERROR(MAX(0,$H131-$G131),0))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$C132*INDEX(tblKurallar[deger_2025],MATCH("SGK-001",tblKurallar[kural_id],0))+$D132*INDEX(tblKurallar[deger_2025],MATCH("SGK-002",tblKurallar[kural_id],0))+$E132*INDEX(tblKurallar[deger_2025],MATCH("SGK-004",tblKurallar[kural_id],0))+$F132*sgk_isverenOran,2),0))</f>
        <v/>
      </c>
      <c r="I132" s="37">
        <f>IF($A132="","",IFERROR(MAX(0,$H132-$G132),0))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$C133*INDEX(tblKurallar[deger_2025],MATCH("SGK-001",tblKurallar[kural_id],0))+$D133*INDEX(tblKurallar[deger_2025],MATCH("SGK-002",tblKurallar[kural_id],0))+$E133*INDEX(tblKurallar[deger_2025],MATCH("SGK-004",tblKurallar[kural_id],0))+$F133*sgk_isverenOran,2),0))</f>
        <v/>
      </c>
      <c r="I133" s="37">
        <f>IF($A133="","",IFERROR(MAX(0,$H133-$G133),0))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$C134*INDEX(tblKurallar[deger_2025],MATCH("SGK-001",tblKurallar[kural_id],0))+$D134*INDEX(tblKurallar[deger_2025],MATCH("SGK-002",tblKurallar[kural_id],0))+$E134*INDEX(tblKurallar[deger_2025],MATCH("SGK-004",tblKurallar[kural_id],0))+$F134*sgk_isverenOran,2),0))</f>
        <v/>
      </c>
      <c r="I134" s="37">
        <f>IF($A134="","",IFERROR(MAX(0,$H134-$G134),0))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$C135*INDEX(tblKurallar[deger_2025],MATCH("SGK-001",tblKurallar[kural_id],0))+$D135*INDEX(tblKurallar[deger_2025],MATCH("SGK-002",tblKurallar[kural_id],0))+$E135*INDEX(tblKurallar[deger_2025],MATCH("SGK-004",tblKurallar[kural_id],0))+$F135*sgk_isverenOran,2),0))</f>
        <v/>
      </c>
      <c r="I135" s="37">
        <f>IF($A135="","",IFERROR(MAX(0,$H135-$G135),0))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$C136*INDEX(tblKurallar[deger_2025],MATCH("SGK-001",tblKurallar[kural_id],0))+$D136*INDEX(tblKurallar[deger_2025],MATCH("SGK-002",tblKurallar[kural_id],0))+$E136*INDEX(tblKurallar[deger_2025],MATCH("SGK-004",tblKurallar[kural_id],0))+$F136*sgk_isverenOran,2),0))</f>
        <v/>
      </c>
      <c r="I136" s="37">
        <f>IF($A136="","",IFERROR(MAX(0,$H136-$G136),0))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$C137*INDEX(tblKurallar[deger_2025],MATCH("SGK-001",tblKurallar[kural_id],0))+$D137*INDEX(tblKurallar[deger_2025],MATCH("SGK-002",tblKurallar[kural_id],0))+$E137*INDEX(tblKurallar[deger_2025],MATCH("SGK-004",tblKurallar[kural_id],0))+$F137*sgk_isverenOran,2),0))</f>
        <v/>
      </c>
      <c r="I137" s="37">
        <f>IF($A137="","",IFERROR(MAX(0,$H137-$G137),0))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$C138*INDEX(tblKurallar[deger_2025],MATCH("SGK-001",tblKurallar[kural_id],0))+$D138*INDEX(tblKurallar[deger_2025],MATCH("SGK-002",tblKurallar[kural_id],0))+$E138*INDEX(tblKurallar[deger_2025],MATCH("SGK-004",tblKurallar[kural_id],0))+$F138*sgk_isverenOran,2),0))</f>
        <v/>
      </c>
      <c r="I138" s="37">
        <f>IF($A138="","",IFERROR(MAX(0,$H138-$G138),0))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$C139*INDEX(tblKurallar[deger_2025],MATCH("SGK-001",tblKurallar[kural_id],0))+$D139*INDEX(tblKurallar[deger_2025],MATCH("SGK-002",tblKurallar[kural_id],0))+$E139*INDEX(tblKurallar[deger_2025],MATCH("SGK-004",tblKurallar[kural_id],0))+$F139*sgk_isverenOran,2),0))</f>
        <v/>
      </c>
      <c r="I139" s="37">
        <f>IF($A139="","",IFERROR(MAX(0,$H139-$G139),0))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$C140*INDEX(tblKurallar[deger_2025],MATCH("SGK-001",tblKurallar[kural_id],0))+$D140*INDEX(tblKurallar[deger_2025],MATCH("SGK-002",tblKurallar[kural_id],0))+$E140*INDEX(tblKurallar[deger_2025],MATCH("SGK-004",tblKurallar[kural_id],0))+$F140*sgk_isverenOran,2),0))</f>
        <v/>
      </c>
      <c r="I140" s="37">
        <f>IF($A140="","",IFERROR(MAX(0,$H140-$G140),0))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$C141*INDEX(tblKurallar[deger_2025],MATCH("SGK-001",tblKurallar[kural_id],0))+$D141*INDEX(tblKurallar[deger_2025],MATCH("SGK-002",tblKurallar[kural_id],0))+$E141*INDEX(tblKurallar[deger_2025],MATCH("SGK-004",tblKurallar[kural_id],0))+$F141*sgk_isverenOran,2),0))</f>
        <v/>
      </c>
      <c r="I141" s="37">
        <f>IF($A141="","",IFERROR(MAX(0,$H141-$G141),0))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$C142*INDEX(tblKurallar[deger_2025],MATCH("SGK-001",tblKurallar[kural_id],0))+$D142*INDEX(tblKurallar[deger_2025],MATCH("SGK-002",tblKurallar[kural_id],0))+$E142*INDEX(tblKurallar[deger_2025],MATCH("SGK-004",tblKurallar[kural_id],0))+$F142*sgk_isverenOran,2),0))</f>
        <v/>
      </c>
      <c r="I142" s="37">
        <f>IF($A142="","",IFERROR(MAX(0,$H142-$G142),0))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$C143*INDEX(tblKurallar[deger_2025],MATCH("SGK-001",tblKurallar[kural_id],0))+$D143*INDEX(tblKurallar[deger_2025],MATCH("SGK-002",tblKurallar[kural_id],0))+$E143*INDEX(tblKurallar[deger_2025],MATCH("SGK-004",tblKurallar[kural_id],0))+$F143*sgk_isverenOran,2),0))</f>
        <v/>
      </c>
      <c r="I143" s="37">
        <f>IF($A143="","",IFERROR(MAX(0,$H143-$G143),0))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$C144*INDEX(tblKurallar[deger_2025],MATCH("SGK-001",tblKurallar[kural_id],0))+$D144*INDEX(tblKurallar[deger_2025],MATCH("SGK-002",tblKurallar[kural_id],0))+$E144*INDEX(tblKurallar[deger_2025],MATCH("SGK-004",tblKurallar[kural_id],0))+$F144*sgk_isverenOran,2),0))</f>
        <v/>
      </c>
      <c r="I144" s="37">
        <f>IF($A144="","",IFERROR(MAX(0,$H144-$G144),0))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$C145*INDEX(tblKurallar[deger_2025],MATCH("SGK-001",tblKurallar[kural_id],0))+$D145*INDEX(tblKurallar[deger_2025],MATCH("SGK-002",tblKurallar[kural_id],0))+$E145*INDEX(tblKurallar[deger_2025],MATCH("SGK-004",tblKurallar[kural_id],0))+$F145*sgk_isverenOran,2),0))</f>
        <v/>
      </c>
      <c r="I145" s="37">
        <f>IF($A145="","",IFERROR(MAX(0,$H145-$G145),0))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$C146*INDEX(tblKurallar[deger_2025],MATCH("SGK-001",tblKurallar[kural_id],0))+$D146*INDEX(tblKurallar[deger_2025],MATCH("SGK-002",tblKurallar[kural_id],0))+$E146*INDEX(tblKurallar[deger_2025],MATCH("SGK-004",tblKurallar[kural_id],0))+$F146*sgk_isverenOran,2),0))</f>
        <v/>
      </c>
      <c r="I146" s="37">
        <f>IF($A146="","",IFERROR(MAX(0,$H146-$G146),0))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$C147*INDEX(tblKurallar[deger_2025],MATCH("SGK-001",tblKurallar[kural_id],0))+$D147*INDEX(tblKurallar[deger_2025],MATCH("SGK-002",tblKurallar[kural_id],0))+$E147*INDEX(tblKurallar[deger_2025],MATCH("SGK-004",tblKurallar[kural_id],0))+$F147*sgk_isverenOran,2),0))</f>
        <v/>
      </c>
      <c r="I147" s="37">
        <f>IF($A147="","",IFERROR(MAX(0,$H147-$G147),0))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$C148*INDEX(tblKurallar[deger_2025],MATCH("SGK-001",tblKurallar[kural_id],0))+$D148*INDEX(tblKurallar[deger_2025],MATCH("SGK-002",tblKurallar[kural_id],0))+$E148*INDEX(tblKurallar[deger_2025],MATCH("SGK-004",tblKurallar[kural_id],0))+$F148*sgk_isverenOran,2),0))</f>
        <v/>
      </c>
      <c r="I148" s="37">
        <f>IF($A148="","",IFERROR(MAX(0,$H148-$G148),0))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$C149*INDEX(tblKurallar[deger_2025],MATCH("SGK-001",tblKurallar[kural_id],0))+$D149*INDEX(tblKurallar[deger_2025],MATCH("SGK-002",tblKurallar[kural_id],0))+$E149*INDEX(tblKurallar[deger_2025],MATCH("SGK-004",tblKurallar[kural_id],0))+$F149*sgk_isverenOran,2),0))</f>
        <v/>
      </c>
      <c r="I149" s="37">
        <f>IF($A149="","",IFERROR(MAX(0,$H149-$G149),0))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$C150*INDEX(tblKurallar[deger_2025],MATCH("SGK-001",tblKurallar[kural_id],0))+$D150*INDEX(tblKurallar[deger_2025],MATCH("SGK-002",tblKurallar[kural_id],0))+$E150*INDEX(tblKurallar[deger_2025],MATCH("SGK-004",tblKurallar[kural_id],0))+$F150*sgk_isverenOran,2),0))</f>
        <v/>
      </c>
      <c r="I150" s="37">
        <f>IF($A150="","",IFERROR(MAX(0,$H150-$G150),0))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$C151*INDEX(tblKurallar[deger_2025],MATCH("SGK-001",tblKurallar[kural_id],0))+$D151*INDEX(tblKurallar[deger_2025],MATCH("SGK-002",tblKurallar[kural_id],0))+$E151*INDEX(tblKurallar[deger_2025],MATCH("SGK-004",tblKurallar[kural_id],0))+$F151*sgk_isverenOran,2),0))</f>
        <v/>
      </c>
      <c r="I151" s="37">
        <f>IF($A151="","",IFERROR(MAX(0,$H151-$G151),0))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$C152*INDEX(tblKurallar[deger_2025],MATCH("SGK-001",tblKurallar[kural_id],0))+$D152*INDEX(tblKurallar[deger_2025],MATCH("SGK-002",tblKurallar[kural_id],0))+$E152*INDEX(tblKurallar[deger_2025],MATCH("SGK-004",tblKurallar[kural_id],0))+$F152*sgk_isverenOran,2),0))</f>
        <v/>
      </c>
      <c r="I152" s="37">
        <f>IF($A152="","",IFERROR(MAX(0,$H152-$G152),0))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$C153*INDEX(tblKurallar[deger_2025],MATCH("SGK-001",tblKurallar[kural_id],0))+$D153*INDEX(tblKurallar[deger_2025],MATCH("SGK-002",tblKurallar[kural_id],0))+$E153*INDEX(tblKurallar[deger_2025],MATCH("SGK-004",tblKurallar[kural_id],0))+$F153*sgk_isverenOran,2),0))</f>
        <v/>
      </c>
      <c r="I153" s="37">
        <f>IF($A153="","",IFERROR(MAX(0,$H153-$G153),0))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$C154*INDEX(tblKurallar[deger_2025],MATCH("SGK-001",tblKurallar[kural_id],0))+$D154*INDEX(tblKurallar[deger_2025],MATCH("SGK-002",tblKurallar[kural_id],0))+$E154*INDEX(tblKurallar[deger_2025],MATCH("SGK-004",tblKurallar[kural_id],0))+$F154*sgk_isverenOran,2),0))</f>
        <v/>
      </c>
      <c r="I154" s="37">
        <f>IF($A154="","",IFERROR(MAX(0,$H154-$G154),0))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$C155*INDEX(tblKurallar[deger_2025],MATCH("SGK-001",tblKurallar[kural_id],0))+$D155*INDEX(tblKurallar[deger_2025],MATCH("SGK-002",tblKurallar[kural_id],0))+$E155*INDEX(tblKurallar[deger_2025],MATCH("SGK-004",tblKurallar[kural_id],0))+$F155*sgk_isverenOran,2),0))</f>
        <v/>
      </c>
      <c r="I155" s="37">
        <f>IF($A155="","",IFERROR(MAX(0,$H155-$G155),0))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$C156*INDEX(tblKurallar[deger_2025],MATCH("SGK-001",tblKurallar[kural_id],0))+$D156*INDEX(tblKurallar[deger_2025],MATCH("SGK-002",tblKurallar[kural_id],0))+$E156*INDEX(tblKurallar[deger_2025],MATCH("SGK-004",tblKurallar[kural_id],0))+$F156*sgk_isverenOran,2),0))</f>
        <v/>
      </c>
      <c r="I156" s="37">
        <f>IF($A156="","",IFERROR(MAX(0,$H156-$G156),0))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$C157*INDEX(tblKurallar[deger_2025],MATCH("SGK-001",tblKurallar[kural_id],0))+$D157*INDEX(tblKurallar[deger_2025],MATCH("SGK-002",tblKurallar[kural_id],0))+$E157*INDEX(tblKurallar[deger_2025],MATCH("SGK-004",tblKurallar[kural_id],0))+$F157*sgk_isverenOran,2),0))</f>
        <v/>
      </c>
      <c r="I157" s="37">
        <f>IF($A157="","",IFERROR(MAX(0,$H157-$G157),0))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$C158*INDEX(tblKurallar[deger_2025],MATCH("SGK-001",tblKurallar[kural_id],0))+$D158*INDEX(tblKurallar[deger_2025],MATCH("SGK-002",tblKurallar[kural_id],0))+$E158*INDEX(tblKurallar[deger_2025],MATCH("SGK-004",tblKurallar[kural_id],0))+$F158*sgk_isverenOran,2),0))</f>
        <v/>
      </c>
      <c r="I158" s="37">
        <f>IF($A158="","",IFERROR(MAX(0,$H158-$G158),0))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$C159*INDEX(tblKurallar[deger_2025],MATCH("SGK-001",tblKurallar[kural_id],0))+$D159*INDEX(tblKurallar[deger_2025],MATCH("SGK-002",tblKurallar[kural_id],0))+$E159*INDEX(tblKurallar[deger_2025],MATCH("SGK-004",tblKurallar[kural_id],0))+$F159*sgk_isverenOran,2),0))</f>
        <v/>
      </c>
      <c r="I159" s="37">
        <f>IF($A159="","",IFERROR(MAX(0,$H159-$G159),0))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$C160*INDEX(tblKurallar[deger_2025],MATCH("SGK-001",tblKurallar[kural_id],0))+$D160*INDEX(tblKurallar[deger_2025],MATCH("SGK-002",tblKurallar[kural_id],0))+$E160*INDEX(tblKurallar[deger_2025],MATCH("SGK-004",tblKurallar[kural_id],0))+$F160*sgk_isverenOran,2),0))</f>
        <v/>
      </c>
      <c r="I160" s="37">
        <f>IF($A160="","",IFERROR(MAX(0,$H160-$G160),0))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$C161*INDEX(tblKurallar[deger_2025],MATCH("SGK-001",tblKurallar[kural_id],0))+$D161*INDEX(tblKurallar[deger_2025],MATCH("SGK-002",tblKurallar[kural_id],0))+$E161*INDEX(tblKurallar[deger_2025],MATCH("SGK-004",tblKurallar[kural_id],0))+$F161*sgk_isverenOran,2),0))</f>
        <v/>
      </c>
      <c r="I161" s="37">
        <f>IF($A161="","",IFERROR(MAX(0,$H161-$G161),0))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$C162*INDEX(tblKurallar[deger_2025],MATCH("SGK-001",tblKurallar[kural_id],0))+$D162*INDEX(tblKurallar[deger_2025],MATCH("SGK-002",tblKurallar[kural_id],0))+$E162*INDEX(tblKurallar[deger_2025],MATCH("SGK-004",tblKurallar[kural_id],0))+$F162*sgk_isverenOran,2),0))</f>
        <v/>
      </c>
      <c r="I162" s="37">
        <f>IF($A162="","",IFERROR(MAX(0,$H162-$G162),0))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$C163*INDEX(tblKurallar[deger_2025],MATCH("SGK-001",tblKurallar[kural_id],0))+$D163*INDEX(tblKurallar[deger_2025],MATCH("SGK-002",tblKurallar[kural_id],0))+$E163*INDEX(tblKurallar[deger_2025],MATCH("SGK-004",tblKurallar[kural_id],0))+$F163*sgk_isverenOran,2),0))</f>
        <v/>
      </c>
      <c r="I163" s="37">
        <f>IF($A163="","",IFERROR(MAX(0,$H163-$G163),0))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$C164*INDEX(tblKurallar[deger_2025],MATCH("SGK-001",tblKurallar[kural_id],0))+$D164*INDEX(tblKurallar[deger_2025],MATCH("SGK-002",tblKurallar[kural_id],0))+$E164*INDEX(tblKurallar[deger_2025],MATCH("SGK-004",tblKurallar[kural_id],0))+$F164*sgk_isverenOran,2),0))</f>
        <v/>
      </c>
      <c r="I164" s="37">
        <f>IF($A164="","",IFERROR(MAX(0,$H164-$G164),0))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$C165*INDEX(tblKurallar[deger_2025],MATCH("SGK-001",tblKurallar[kural_id],0))+$D165*INDEX(tblKurallar[deger_2025],MATCH("SGK-002",tblKurallar[kural_id],0))+$E165*INDEX(tblKurallar[deger_2025],MATCH("SGK-004",tblKurallar[kural_id],0))+$F165*sgk_isverenOran,2),0))</f>
        <v/>
      </c>
      <c r="I165" s="37">
        <f>IF($A165="","",IFERROR(MAX(0,$H165-$G165),0))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$C166*INDEX(tblKurallar[deger_2025],MATCH("SGK-001",tblKurallar[kural_id],0))+$D166*INDEX(tblKurallar[deger_2025],MATCH("SGK-002",tblKurallar[kural_id],0))+$E166*INDEX(tblKurallar[deger_2025],MATCH("SGK-004",tblKurallar[kural_id],0))+$F166*sgk_isverenOran,2),0))</f>
        <v/>
      </c>
      <c r="I166" s="37">
        <f>IF($A166="","",IFERROR(MAX(0,$H166-$G166),0))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$C167*INDEX(tblKurallar[deger_2025],MATCH("SGK-001",tblKurallar[kural_id],0))+$D167*INDEX(tblKurallar[deger_2025],MATCH("SGK-002",tblKurallar[kural_id],0))+$E167*INDEX(tblKurallar[deger_2025],MATCH("SGK-004",tblKurallar[kural_id],0))+$F167*sgk_isverenOran,2),0))</f>
        <v/>
      </c>
      <c r="I167" s="37">
        <f>IF($A167="","",IFERROR(MAX(0,$H167-$G167),0))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$C168*INDEX(tblKurallar[deger_2025],MATCH("SGK-001",tblKurallar[kural_id],0))+$D168*INDEX(tblKurallar[deger_2025],MATCH("SGK-002",tblKurallar[kural_id],0))+$E168*INDEX(tblKurallar[deger_2025],MATCH("SGK-004",tblKurallar[kural_id],0))+$F168*sgk_isverenOran,2),0))</f>
        <v/>
      </c>
      <c r="I168" s="37">
        <f>IF($A168="","",IFERROR(MAX(0,$H168-$G168),0))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$C169*INDEX(tblKurallar[deger_2025],MATCH("SGK-001",tblKurallar[kural_id],0))+$D169*INDEX(tblKurallar[deger_2025],MATCH("SGK-002",tblKurallar[kural_id],0))+$E169*INDEX(tblKurallar[deger_2025],MATCH("SGK-004",tblKurallar[kural_id],0))+$F169*sgk_isverenOran,2),0))</f>
        <v/>
      </c>
      <c r="I169" s="37">
        <f>IF($A169="","",IFERROR(MAX(0,$H169-$G169),0))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$C170*INDEX(tblKurallar[deger_2025],MATCH("SGK-001",tblKurallar[kural_id],0))+$D170*INDEX(tblKurallar[deger_2025],MATCH("SGK-002",tblKurallar[kural_id],0))+$E170*INDEX(tblKurallar[deger_2025],MATCH("SGK-004",tblKurallar[kural_id],0))+$F170*sgk_isverenOran,2),0))</f>
        <v/>
      </c>
      <c r="I170" s="37">
        <f>IF($A170="","",IFERROR(MAX(0,$H170-$G170),0))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$C171*INDEX(tblKurallar[deger_2025],MATCH("SGK-001",tblKurallar[kural_id],0))+$D171*INDEX(tblKurallar[deger_2025],MATCH("SGK-002",tblKurallar[kural_id],0))+$E171*INDEX(tblKurallar[deger_2025],MATCH("SGK-004",tblKurallar[kural_id],0))+$F171*sgk_isverenOran,2),0))</f>
        <v/>
      </c>
      <c r="I171" s="37">
        <f>IF($A171="","",IFERROR(MAX(0,$H171-$G171),0))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$C172*INDEX(tblKurallar[deger_2025],MATCH("SGK-001",tblKurallar[kural_id],0))+$D172*INDEX(tblKurallar[deger_2025],MATCH("SGK-002",tblKurallar[kural_id],0))+$E172*INDEX(tblKurallar[deger_2025],MATCH("SGK-004",tblKurallar[kural_id],0))+$F172*sgk_isverenOran,2),0))</f>
        <v/>
      </c>
      <c r="I172" s="37">
        <f>IF($A172="","",IFERROR(MAX(0,$H172-$G172),0))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$C173*INDEX(tblKurallar[deger_2025],MATCH("SGK-001",tblKurallar[kural_id],0))+$D173*INDEX(tblKurallar[deger_2025],MATCH("SGK-002",tblKurallar[kural_id],0))+$E173*INDEX(tblKurallar[deger_2025],MATCH("SGK-004",tblKurallar[kural_id],0))+$F173*sgk_isverenOran,2),0))</f>
        <v/>
      </c>
      <c r="I173" s="37">
        <f>IF($A173="","",IFERROR(MAX(0,$H173-$G173),0))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$C174*INDEX(tblKurallar[deger_2025],MATCH("SGK-001",tblKurallar[kural_id],0))+$D174*INDEX(tblKurallar[deger_2025],MATCH("SGK-002",tblKurallar[kural_id],0))+$E174*INDEX(tblKurallar[deger_2025],MATCH("SGK-004",tblKurallar[kural_id],0))+$F174*sgk_isverenOran,2),0))</f>
        <v/>
      </c>
      <c r="I174" s="37">
        <f>IF($A174="","",IFERROR(MAX(0,$H174-$G174),0))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$C175*INDEX(tblKurallar[deger_2025],MATCH("SGK-001",tblKurallar[kural_id],0))+$D175*INDEX(tblKurallar[deger_2025],MATCH("SGK-002",tblKurallar[kural_id],0))+$E175*INDEX(tblKurallar[deger_2025],MATCH("SGK-004",tblKurallar[kural_id],0))+$F175*sgk_isverenOran,2),0))</f>
        <v/>
      </c>
      <c r="I175" s="37">
        <f>IF($A175="","",IFERROR(MAX(0,$H175-$G175),0))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$C176*INDEX(tblKurallar[deger_2025],MATCH("SGK-001",tblKurallar[kural_id],0))+$D176*INDEX(tblKurallar[deger_2025],MATCH("SGK-002",tblKurallar[kural_id],0))+$E176*INDEX(tblKurallar[deger_2025],MATCH("SGK-004",tblKurallar[kural_id],0))+$F176*sgk_isverenOran,2),0))</f>
        <v/>
      </c>
      <c r="I176" s="37">
        <f>IF($A176="","",IFERROR(MAX(0,$H176-$G176),0))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$C177*INDEX(tblKurallar[deger_2025],MATCH("SGK-001",tblKurallar[kural_id],0))+$D177*INDEX(tblKurallar[deger_2025],MATCH("SGK-002",tblKurallar[kural_id],0))+$E177*INDEX(tblKurallar[deger_2025],MATCH("SGK-004",tblKurallar[kural_id],0))+$F177*sgk_isverenOran,2),0))</f>
        <v/>
      </c>
      <c r="I177" s="37">
        <f>IF($A177="","",IFERROR(MAX(0,$H177-$G177),0))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$C178*INDEX(tblKurallar[deger_2025],MATCH("SGK-001",tblKurallar[kural_id],0))+$D178*INDEX(tblKurallar[deger_2025],MATCH("SGK-002",tblKurallar[kural_id],0))+$E178*INDEX(tblKurallar[deger_2025],MATCH("SGK-004",tblKurallar[kural_id],0))+$F178*sgk_isverenOran,2),0))</f>
        <v/>
      </c>
      <c r="I178" s="37">
        <f>IF($A178="","",IFERROR(MAX(0,$H178-$G178),0))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$C179*INDEX(tblKurallar[deger_2025],MATCH("SGK-001",tblKurallar[kural_id],0))+$D179*INDEX(tblKurallar[deger_2025],MATCH("SGK-002",tblKurallar[kural_id],0))+$E179*INDEX(tblKurallar[deger_2025],MATCH("SGK-004",tblKurallar[kural_id],0))+$F179*sgk_isverenOran,2),0))</f>
        <v/>
      </c>
      <c r="I179" s="37">
        <f>IF($A179="","",IFERROR(MAX(0,$H179-$G179),0))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$C180*INDEX(tblKurallar[deger_2025],MATCH("SGK-001",tblKurallar[kural_id],0))+$D180*INDEX(tblKurallar[deger_2025],MATCH("SGK-002",tblKurallar[kural_id],0))+$E180*INDEX(tblKurallar[deger_2025],MATCH("SGK-004",tblKurallar[kural_id],0))+$F180*sgk_isverenOran,2),0))</f>
        <v/>
      </c>
      <c r="I180" s="37">
        <f>IF($A180="","",IFERROR(MAX(0,$H180-$G180),0))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$C181*INDEX(tblKurallar[deger_2025],MATCH("SGK-001",tblKurallar[kural_id],0))+$D181*INDEX(tblKurallar[deger_2025],MATCH("SGK-002",tblKurallar[kural_id],0))+$E181*INDEX(tblKurallar[deger_2025],MATCH("SGK-004",tblKurallar[kural_id],0))+$F181*sgk_isverenOran,2),0))</f>
        <v/>
      </c>
      <c r="I181" s="37">
        <f>IF($A181="","",IFERROR(MAX(0,$H181-$G181),0))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$C182*INDEX(tblKurallar[deger_2025],MATCH("SGK-001",tblKurallar[kural_id],0))+$D182*INDEX(tblKurallar[deger_2025],MATCH("SGK-002",tblKurallar[kural_id],0))+$E182*INDEX(tblKurallar[deger_2025],MATCH("SGK-004",tblKurallar[kural_id],0))+$F182*sgk_isverenOran,2),0))</f>
        <v/>
      </c>
      <c r="I182" s="37">
        <f>IF($A182="","",IFERROR(MAX(0,$H182-$G182),0))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$C183*INDEX(tblKurallar[deger_2025],MATCH("SGK-001",tblKurallar[kural_id],0))+$D183*INDEX(tblKurallar[deger_2025],MATCH("SGK-002",tblKurallar[kural_id],0))+$E183*INDEX(tblKurallar[deger_2025],MATCH("SGK-004",tblKurallar[kural_id],0))+$F183*sgk_isverenOran,2),0))</f>
        <v/>
      </c>
      <c r="I183" s="37">
        <f>IF($A183="","",IFERROR(MAX(0,$H183-$G183),0))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$C184*INDEX(tblKurallar[deger_2025],MATCH("SGK-001",tblKurallar[kural_id],0))+$D184*INDEX(tblKurallar[deger_2025],MATCH("SGK-002",tblKurallar[kural_id],0))+$E184*INDEX(tblKurallar[deger_2025],MATCH("SGK-004",tblKurallar[kural_id],0))+$F184*sgk_isverenOran,2),0))</f>
        <v/>
      </c>
      <c r="I184" s="37">
        <f>IF($A184="","",IFERROR(MAX(0,$H184-$G184),0))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$C185*INDEX(tblKurallar[deger_2025],MATCH("SGK-001",tblKurallar[kural_id],0))+$D185*INDEX(tblKurallar[deger_2025],MATCH("SGK-002",tblKurallar[kural_id],0))+$E185*INDEX(tblKurallar[deger_2025],MATCH("SGK-004",tblKurallar[kural_id],0))+$F185*sgk_isverenOran,2),0))</f>
        <v/>
      </c>
      <c r="I185" s="37">
        <f>IF($A185="","",IFERROR(MAX(0,$H185-$G185),0))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$C186*INDEX(tblKurallar[deger_2025],MATCH("SGK-001",tblKurallar[kural_id],0))+$D186*INDEX(tblKurallar[deger_2025],MATCH("SGK-002",tblKurallar[kural_id],0))+$E186*INDEX(tblKurallar[deger_2025],MATCH("SGK-004",tblKurallar[kural_id],0))+$F186*sgk_isverenOran,2),0))</f>
        <v/>
      </c>
      <c r="I186" s="37">
        <f>IF($A186="","",IFERROR(MAX(0,$H186-$G186),0))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$C187*INDEX(tblKurallar[deger_2025],MATCH("SGK-001",tblKurallar[kural_id],0))+$D187*INDEX(tblKurallar[deger_2025],MATCH("SGK-002",tblKurallar[kural_id],0))+$E187*INDEX(tblKurallar[deger_2025],MATCH("SGK-004",tblKurallar[kural_id],0))+$F187*sgk_isverenOran,2),0))</f>
        <v/>
      </c>
      <c r="I187" s="37">
        <f>IF($A187="","",IFERROR(MAX(0,$H187-$G187),0))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$C188*INDEX(tblKurallar[deger_2025],MATCH("SGK-001",tblKurallar[kural_id],0))+$D188*INDEX(tblKurallar[deger_2025],MATCH("SGK-002",tblKurallar[kural_id],0))+$E188*INDEX(tblKurallar[deger_2025],MATCH("SGK-004",tblKurallar[kural_id],0))+$F188*sgk_isverenOran,2),0))</f>
        <v/>
      </c>
      <c r="I188" s="37">
        <f>IF($A188="","",IFERROR(MAX(0,$H188-$G188),0))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$C189*INDEX(tblKurallar[deger_2025],MATCH("SGK-001",tblKurallar[kural_id],0))+$D189*INDEX(tblKurallar[deger_2025],MATCH("SGK-002",tblKurallar[kural_id],0))+$E189*INDEX(tblKurallar[deger_2025],MATCH("SGK-004",tblKurallar[kural_id],0))+$F189*sgk_isverenOran,2),0))</f>
        <v/>
      </c>
      <c r="I189" s="37">
        <f>IF($A189="","",IFERROR(MAX(0,$H189-$G189),0))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$C190*INDEX(tblKurallar[deger_2025],MATCH("SGK-001",tblKurallar[kural_id],0))+$D190*INDEX(tblKurallar[deger_2025],MATCH("SGK-002",tblKurallar[kural_id],0))+$E190*INDEX(tblKurallar[deger_2025],MATCH("SGK-004",tblKurallar[kural_id],0))+$F190*sgk_isverenOran,2),0))</f>
        <v/>
      </c>
      <c r="I190" s="37">
        <f>IF($A190="","",IFERROR(MAX(0,$H190-$G190),0))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$C191*INDEX(tblKurallar[deger_2025],MATCH("SGK-001",tblKurallar[kural_id],0))+$D191*INDEX(tblKurallar[deger_2025],MATCH("SGK-002",tblKurallar[kural_id],0))+$E191*INDEX(tblKurallar[deger_2025],MATCH("SGK-004",tblKurallar[kural_id],0))+$F191*sgk_isverenOran,2),0))</f>
        <v/>
      </c>
      <c r="I191" s="37">
        <f>IF($A191="","",IFERROR(MAX(0,$H191-$G191),0))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$C192*INDEX(tblKurallar[deger_2025],MATCH("SGK-001",tblKurallar[kural_id],0))+$D192*INDEX(tblKurallar[deger_2025],MATCH("SGK-002",tblKurallar[kural_id],0))+$E192*INDEX(tblKurallar[deger_2025],MATCH("SGK-004",tblKurallar[kural_id],0))+$F192*sgk_isverenOran,2),0))</f>
        <v/>
      </c>
      <c r="I192" s="37">
        <f>IF($A192="","",IFERROR(MAX(0,$H192-$G192),0))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$C193*INDEX(tblKurallar[deger_2025],MATCH("SGK-001",tblKurallar[kural_id],0))+$D193*INDEX(tblKurallar[deger_2025],MATCH("SGK-002",tblKurallar[kural_id],0))+$E193*INDEX(tblKurallar[deger_2025],MATCH("SGK-004",tblKurallar[kural_id],0))+$F193*sgk_isverenOran,2),0))</f>
        <v/>
      </c>
      <c r="I193" s="37">
        <f>IF($A193="","",IFERROR(MAX(0,$H193-$G193),0))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$C194*INDEX(tblKurallar[deger_2025],MATCH("SGK-001",tblKurallar[kural_id],0))+$D194*INDEX(tblKurallar[deger_2025],MATCH("SGK-002",tblKurallar[kural_id],0))+$E194*INDEX(tblKurallar[deger_2025],MATCH("SGK-004",tblKurallar[kural_id],0))+$F194*sgk_isverenOran,2),0))</f>
        <v/>
      </c>
      <c r="I194" s="37">
        <f>IF($A194="","",IFERROR(MAX(0,$H194-$G194),0))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$C195*INDEX(tblKurallar[deger_2025],MATCH("SGK-001",tblKurallar[kural_id],0))+$D195*INDEX(tblKurallar[deger_2025],MATCH("SGK-002",tblKurallar[kural_id],0))+$E195*INDEX(tblKurallar[deger_2025],MATCH("SGK-004",tblKurallar[kural_id],0))+$F195*sgk_isverenOran,2),0))</f>
        <v/>
      </c>
      <c r="I195" s="37">
        <f>IF($A195="","",IFERROR(MAX(0,$H195-$G195),0))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$C196*INDEX(tblKurallar[deger_2025],MATCH("SGK-001",tblKurallar[kural_id],0))+$D196*INDEX(tblKurallar[deger_2025],MATCH("SGK-002",tblKurallar[kural_id],0))+$E196*INDEX(tblKurallar[deger_2025],MATCH("SGK-004",tblKurallar[kural_id],0))+$F196*sgk_isverenOran,2),0))</f>
        <v/>
      </c>
      <c r="I196" s="37">
        <f>IF($A196="","",IFERROR(MAX(0,$H196-$G196),0))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$C197*INDEX(tblKurallar[deger_2025],MATCH("SGK-001",tblKurallar[kural_id],0))+$D197*INDEX(tblKurallar[deger_2025],MATCH("SGK-002",tblKurallar[kural_id],0))+$E197*INDEX(tblKurallar[deger_2025],MATCH("SGK-004",tblKurallar[kural_id],0))+$F197*sgk_isverenOran,2),0))</f>
        <v/>
      </c>
      <c r="I197" s="37">
        <f>IF($A197="","",IFERROR(MAX(0,$H197-$G197),0))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$C198*INDEX(tblKurallar[deger_2025],MATCH("SGK-001",tblKurallar[kural_id],0))+$D198*INDEX(tblKurallar[deger_2025],MATCH("SGK-002",tblKurallar[kural_id],0))+$E198*INDEX(tblKurallar[deger_2025],MATCH("SGK-004",tblKurallar[kural_id],0))+$F198*sgk_isverenOran,2),0))</f>
        <v/>
      </c>
      <c r="I198" s="37">
        <f>IF($A198="","",IFERROR(MAX(0,$H198-$G198),0))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$C199*INDEX(tblKurallar[deger_2025],MATCH("SGK-001",tblKurallar[kural_id],0))+$D199*INDEX(tblKurallar[deger_2025],MATCH("SGK-002",tblKurallar[kural_id],0))+$E199*INDEX(tblKurallar[deger_2025],MATCH("SGK-004",tblKurallar[kural_id],0))+$F199*sgk_isverenOran,2),0))</f>
        <v/>
      </c>
      <c r="I199" s="37">
        <f>IF($A199="","",IFERROR(MAX(0,$H199-$G199),0))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$C200*INDEX(tblKurallar[deger_2025],MATCH("SGK-001",tblKurallar[kural_id],0))+$D200*INDEX(tblKurallar[deger_2025],MATCH("SGK-002",tblKurallar[kural_id],0))+$E200*INDEX(tblKurallar[deger_2025],MATCH("SGK-004",tblKurallar[kural_id],0))+$F200*sgk_isverenOran,2),0))</f>
        <v/>
      </c>
      <c r="I200" s="37">
        <f>IF($A200="","",IFERROR(MAX(0,$H200-$G200),0))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$C201*INDEX(tblKurallar[deger_2025],MATCH("SGK-001",tblKurallar[kural_id],0))+$D201*INDEX(tblKurallar[deger_2025],MATCH("SGK-002",tblKurallar[kural_id],0))+$E201*INDEX(tblKurallar[deger_2025],MATCH("SGK-004",tblKurallar[kural_id],0))+$F201*sgk_isverenOran,2),0))</f>
        <v/>
      </c>
      <c r="I201" s="37">
        <f>IF($A201="","",IFERROR(MAX(0,$H201-$G201),0))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$C202*INDEX(tblKurallar[deger_2025],MATCH("SGK-001",tblKurallar[kural_id],0))+$D202*INDEX(tblKurallar[deger_2025],MATCH("SGK-002",tblKurallar[kural_id],0))+$E202*INDEX(tblKurallar[deger_2025],MATCH("SGK-004",tblKurallar[kural_id],0))+$F202*sgk_isverenOran,2),0))</f>
        <v/>
      </c>
      <c r="I202" s="37">
        <f>IF($A202="","",IFERROR(MAX(0,$H202-$G202),0))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$C203*INDEX(tblKurallar[deger_2025],MATCH("SGK-001",tblKurallar[kural_id],0))+$D203*INDEX(tblKurallar[deger_2025],MATCH("SGK-002",tblKurallar[kural_id],0))+$E203*INDEX(tblKurallar[deger_2025],MATCH("SGK-004",tblKurallar[kural_id],0))+$F203*sgk_isverenOran,2),0))</f>
        <v/>
      </c>
      <c r="I203" s="37">
        <f>IF($A203="","",IFERROR(MAX(0,$H203-$G203),0))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$C204*INDEX(tblKurallar[deger_2025],MATCH("SGK-001",tblKurallar[kural_id],0))+$D204*INDEX(tblKurallar[deger_2025],MATCH("SGK-002",tblKurallar[kural_id],0))+$E204*INDEX(tblKurallar[deger_2025],MATCH("SGK-004",tblKurallar[kural_id],0))+$F204*sgk_isverenOran,2),0))</f>
        <v/>
      </c>
      <c r="I204" s="37">
        <f>IF($A204="","",IFERROR(MAX(0,$H204-$G204),0))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$C205*INDEX(tblKurallar[deger_2025],MATCH("SGK-001",tblKurallar[kural_id],0))+$D205*INDEX(tblKurallar[deger_2025],MATCH("SGK-002",tblKurallar[kural_id],0))+$E205*INDEX(tblKurallar[deger_2025],MATCH("SGK-004",tblKurallar[kural_id],0))+$F205*sgk_isverenOran,2),0))</f>
        <v/>
      </c>
      <c r="I205" s="37">
        <f>IF($A205="","",IFERROR(MAX(0,$H205-$G205),0))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$C206*INDEX(tblKurallar[deger_2025],MATCH("SGK-001",tblKurallar[kural_id],0))+$D206*INDEX(tblKurallar[deger_2025],MATCH("SGK-002",tblKurallar[kural_id],0))+$E206*INDEX(tblKurallar[deger_2025],MATCH("SGK-004",tblKurallar[kural_id],0))+$F206*sgk_isverenOran,2),0))</f>
        <v/>
      </c>
      <c r="I206" s="37">
        <f>IF($A206="","",IFERROR(MAX(0,$H206-$G206),0))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$C207*INDEX(tblKurallar[deger_2025],MATCH("SGK-001",tblKurallar[kural_id],0))+$D207*INDEX(tblKurallar[deger_2025],MATCH("SGK-002",tblKurallar[kural_id],0))+$E207*INDEX(tblKurallar[deger_2025],MATCH("SGK-004",tblKurallar[kural_id],0))+$F207*sgk_isverenOran,2),0))</f>
        <v/>
      </c>
      <c r="I207" s="37">
        <f>IF($A207="","",IFERROR(MAX(0,$H207-$G207),0))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$C208*INDEX(tblKurallar[deger_2025],MATCH("SGK-001",tblKurallar[kural_id],0))+$D208*INDEX(tblKurallar[deger_2025],MATCH("SGK-002",tblKurallar[kural_id],0))+$E208*INDEX(tblKurallar[deger_2025],MATCH("SGK-004",tblKurallar[kural_id],0))+$F208*sgk_isverenOran,2),0))</f>
        <v/>
      </c>
      <c r="I208" s="37">
        <f>IF($A208="","",IFERROR(MAX(0,$H208-$G208),0))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$C209*INDEX(tblKurallar[deger_2025],MATCH("SGK-001",tblKurallar[kural_id],0))+$D209*INDEX(tblKurallar[deger_2025],MATCH("SGK-002",tblKurallar[kural_id],0))+$E209*INDEX(tblKurallar[deger_2025],MATCH("SGK-004",tblKurallar[kural_id],0))+$F209*sgk_isverenOran,2),0))</f>
        <v/>
      </c>
      <c r="I209" s="37">
        <f>IF($A209="","",IFERROR(MAX(0,$H209-$G209),0))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$C210*INDEX(tblKurallar[deger_2025],MATCH("SGK-001",tblKurallar[kural_id],0))+$D210*INDEX(tblKurallar[deger_2025],MATCH("SGK-002",tblKurallar[kural_id],0))+$E210*INDEX(tblKurallar[deger_2025],MATCH("SGK-004",tblKurallar[kural_id],0))+$F210*sgk_isverenOran,2),0))</f>
        <v/>
      </c>
      <c r="I210" s="37">
        <f>IF($A210="","",IFERROR(MAX(0,$H210-$G210),0))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$C211*INDEX(tblKurallar[deger_2025],MATCH("SGK-001",tblKurallar[kural_id],0))+$D211*INDEX(tblKurallar[deger_2025],MATCH("SGK-002",tblKurallar[kural_id],0))+$E211*INDEX(tblKurallar[deger_2025],MATCH("SGK-004",tblKurallar[kural_id],0))+$F211*sgk_isverenOran,2),0))</f>
        <v/>
      </c>
      <c r="I211" s="37">
        <f>IF($A211="","",IFERROR(MAX(0,$H211-$G211),0))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$C212*INDEX(tblKurallar[deger_2025],MATCH("SGK-001",tblKurallar[kural_id],0))+$D212*INDEX(tblKurallar[deger_2025],MATCH("SGK-002",tblKurallar[kural_id],0))+$E212*INDEX(tblKurallar[deger_2025],MATCH("SGK-004",tblKurallar[kural_id],0))+$F212*sgk_isverenOran,2),0))</f>
        <v/>
      </c>
      <c r="I212" s="37">
        <f>IF($A212="","",IFERROR(MAX(0,$H212-$G212),0))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$C213*INDEX(tblKurallar[deger_2025],MATCH("SGK-001",tblKurallar[kural_id],0))+$D213*INDEX(tblKurallar[deger_2025],MATCH("SGK-002",tblKurallar[kural_id],0))+$E213*INDEX(tblKurallar[deger_2025],MATCH("SGK-004",tblKurallar[kural_id],0))+$F213*sgk_isverenOran,2),0))</f>
        <v/>
      </c>
      <c r="I213" s="37">
        <f>IF($A213="","",IFERROR(MAX(0,$H213-$G213),0))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$C214*INDEX(tblKurallar[deger_2025],MATCH("SGK-001",tblKurallar[kural_id],0))+$D214*INDEX(tblKurallar[deger_2025],MATCH("SGK-002",tblKurallar[kural_id],0))+$E214*INDEX(tblKurallar[deger_2025],MATCH("SGK-004",tblKurallar[kural_id],0))+$F214*sgk_isverenOran,2),0))</f>
        <v/>
      </c>
      <c r="I214" s="37">
        <f>IF($A214="","",IFERROR(MAX(0,$H214-$G214),0))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$C215*INDEX(tblKurallar[deger_2025],MATCH("SGK-001",tblKurallar[kural_id],0))+$D215*INDEX(tblKurallar[deger_2025],MATCH("SGK-002",tblKurallar[kural_id],0))+$E215*INDEX(tblKurallar[deger_2025],MATCH("SGK-004",tblKurallar[kural_id],0))+$F215*sgk_isverenOran,2),0))</f>
        <v/>
      </c>
      <c r="I215" s="37">
        <f>IF($A215="","",IFERROR(MAX(0,$H215-$G215),0))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$C216*INDEX(tblKurallar[deger_2025],MATCH("SGK-001",tblKurallar[kural_id],0))+$D216*INDEX(tblKurallar[deger_2025],MATCH("SGK-002",tblKurallar[kural_id],0))+$E216*INDEX(tblKurallar[deger_2025],MATCH("SGK-004",tblKurallar[kural_id],0))+$F216*sgk_isverenOran,2),0))</f>
        <v/>
      </c>
      <c r="I216" s="37">
        <f>IF($A216="","",IFERROR(MAX(0,$H216-$G216),0))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$C217*INDEX(tblKurallar[deger_2025],MATCH("SGK-001",tblKurallar[kural_id],0))+$D217*INDEX(tblKurallar[deger_2025],MATCH("SGK-002",tblKurallar[kural_id],0))+$E217*INDEX(tblKurallar[deger_2025],MATCH("SGK-004",tblKurallar[kural_id],0))+$F217*sgk_isverenOran,2),0))</f>
        <v/>
      </c>
      <c r="I217" s="37">
        <f>IF($A217="","",IFERROR(MAX(0,$H217-$G217),0))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$C218*INDEX(tblKurallar[deger_2025],MATCH("SGK-001",tblKurallar[kural_id],0))+$D218*INDEX(tblKurallar[deger_2025],MATCH("SGK-002",tblKurallar[kural_id],0))+$E218*INDEX(tblKurallar[deger_2025],MATCH("SGK-004",tblKurallar[kural_id],0))+$F218*sgk_isverenOran,2),0))</f>
        <v/>
      </c>
      <c r="I218" s="37">
        <f>IF($A218="","",IFERROR(MAX(0,$H218-$G218),0))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$C219*INDEX(tblKurallar[deger_2025],MATCH("SGK-001",tblKurallar[kural_id],0))+$D219*INDEX(tblKurallar[deger_2025],MATCH("SGK-002",tblKurallar[kural_id],0))+$E219*INDEX(tblKurallar[deger_2025],MATCH("SGK-004",tblKurallar[kural_id],0))+$F219*sgk_isverenOran,2),0))</f>
        <v/>
      </c>
      <c r="I219" s="37">
        <f>IF($A219="","",IFERROR(MAX(0,$H219-$G219),0))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$C220*INDEX(tblKurallar[deger_2025],MATCH("SGK-001",tblKurallar[kural_id],0))+$D220*INDEX(tblKurallar[deger_2025],MATCH("SGK-002",tblKurallar[kural_id],0))+$E220*INDEX(tblKurallar[deger_2025],MATCH("SGK-004",tblKurallar[kural_id],0))+$F220*sgk_isverenOran,2),0))</f>
        <v/>
      </c>
      <c r="I220" s="37">
        <f>IF($A220="","",IFERROR(MAX(0,$H220-$G220),0))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$C221*INDEX(tblKurallar[deger_2025],MATCH("SGK-001",tblKurallar[kural_id],0))+$D221*INDEX(tblKurallar[deger_2025],MATCH("SGK-002",tblKurallar[kural_id],0))+$E221*INDEX(tblKurallar[deger_2025],MATCH("SGK-004",tblKurallar[kural_id],0))+$F221*sgk_isverenOran,2),0))</f>
        <v/>
      </c>
      <c r="I221" s="37">
        <f>IF($A221="","",IFERROR(MAX(0,$H221-$G221),0))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$C222*INDEX(tblKurallar[deger_2025],MATCH("SGK-001",tblKurallar[kural_id],0))+$D222*INDEX(tblKurallar[deger_2025],MATCH("SGK-002",tblKurallar[kural_id],0))+$E222*INDEX(tblKurallar[deger_2025],MATCH("SGK-004",tblKurallar[kural_id],0))+$F222*sgk_isverenOran,2),0))</f>
        <v/>
      </c>
      <c r="I222" s="37">
        <f>IF($A222="","",IFERROR(MAX(0,$H222-$G222),0))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$C223*INDEX(tblKurallar[deger_2025],MATCH("SGK-001",tblKurallar[kural_id],0))+$D223*INDEX(tblKurallar[deger_2025],MATCH("SGK-002",tblKurallar[kural_id],0))+$E223*INDEX(tblKurallar[deger_2025],MATCH("SGK-004",tblKurallar[kural_id],0))+$F223*sgk_isverenOran,2),0))</f>
        <v/>
      </c>
      <c r="I223" s="37">
        <f>IF($A223="","",IFERROR(MAX(0,$H223-$G223),0))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$C224*INDEX(tblKurallar[deger_2025],MATCH("SGK-001",tblKurallar[kural_id],0))+$D224*INDEX(tblKurallar[deger_2025],MATCH("SGK-002",tblKurallar[kural_id],0))+$E224*INDEX(tblKurallar[deger_2025],MATCH("SGK-004",tblKurallar[kural_id],0))+$F224*sgk_isverenOran,2),0))</f>
        <v/>
      </c>
      <c r="I224" s="37">
        <f>IF($A224="","",IFERROR(MAX(0,$H224-$G224),0))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$C225*INDEX(tblKurallar[deger_2025],MATCH("SGK-001",tblKurallar[kural_id],0))+$D225*INDEX(tblKurallar[deger_2025],MATCH("SGK-002",tblKurallar[kural_id],0))+$E225*INDEX(tblKurallar[deger_2025],MATCH("SGK-004",tblKurallar[kural_id],0))+$F225*sgk_isverenOran,2),0))</f>
        <v/>
      </c>
      <c r="I225" s="37">
        <f>IF($A225="","",IFERROR(MAX(0,$H225-$G225),0))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$C226*INDEX(tblKurallar[deger_2025],MATCH("SGK-001",tblKurallar[kural_id],0))+$D226*INDEX(tblKurallar[deger_2025],MATCH("SGK-002",tblKurallar[kural_id],0))+$E226*INDEX(tblKurallar[deger_2025],MATCH("SGK-004",tblKurallar[kural_id],0))+$F226*sgk_isverenOran,2),0))</f>
        <v/>
      </c>
      <c r="I226" s="37">
        <f>IF($A226="","",IFERROR(MAX(0,$H226-$G226),0))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$C227*INDEX(tblKurallar[deger_2025],MATCH("SGK-001",tblKurallar[kural_id],0))+$D227*INDEX(tblKurallar[deger_2025],MATCH("SGK-002",tblKurallar[kural_id],0))+$E227*INDEX(tblKurallar[deger_2025],MATCH("SGK-004",tblKurallar[kural_id],0))+$F227*sgk_isverenOran,2),0))</f>
        <v/>
      </c>
      <c r="I227" s="37">
        <f>IF($A227="","",IFERROR(MAX(0,$H227-$G227),0))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$C228*INDEX(tblKurallar[deger_2025],MATCH("SGK-001",tblKurallar[kural_id],0))+$D228*INDEX(tblKurallar[deger_2025],MATCH("SGK-002",tblKurallar[kural_id],0))+$E228*INDEX(tblKurallar[deger_2025],MATCH("SGK-004",tblKurallar[kural_id],0))+$F228*sgk_isverenOran,2),0))</f>
        <v/>
      </c>
      <c r="I228" s="37">
        <f>IF($A228="","",IFERROR(MAX(0,$H228-$G228),0))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$C229*INDEX(tblKurallar[deger_2025],MATCH("SGK-001",tblKurallar[kural_id],0))+$D229*INDEX(tblKurallar[deger_2025],MATCH("SGK-002",tblKurallar[kural_id],0))+$E229*INDEX(tblKurallar[deger_2025],MATCH("SGK-004",tblKurallar[kural_id],0))+$F229*sgk_isverenOran,2),0))</f>
        <v/>
      </c>
      <c r="I229" s="37">
        <f>IF($A229="","",IFERROR(MAX(0,$H229-$G229),0))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$C230*INDEX(tblKurallar[deger_2025],MATCH("SGK-001",tblKurallar[kural_id],0))+$D230*INDEX(tblKurallar[deger_2025],MATCH("SGK-002",tblKurallar[kural_id],0))+$E230*INDEX(tblKurallar[deger_2025],MATCH("SGK-004",tblKurallar[kural_id],0))+$F230*sgk_isverenOran,2),0))</f>
        <v/>
      </c>
      <c r="I230" s="37">
        <f>IF($A230="","",IFERROR(MAX(0,$H230-$G230),0))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$C231*INDEX(tblKurallar[deger_2025],MATCH("SGK-001",tblKurallar[kural_id],0))+$D231*INDEX(tblKurallar[deger_2025],MATCH("SGK-002",tblKurallar[kural_id],0))+$E231*INDEX(tblKurallar[deger_2025],MATCH("SGK-004",tblKurallar[kural_id],0))+$F231*sgk_isverenOran,2),0))</f>
        <v/>
      </c>
      <c r="I231" s="37">
        <f>IF($A231="","",IFERROR(MAX(0,$H231-$G231),0))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$C232*INDEX(tblKurallar[deger_2025],MATCH("SGK-001",tblKurallar[kural_id],0))+$D232*INDEX(tblKurallar[deger_2025],MATCH("SGK-002",tblKurallar[kural_id],0))+$E232*INDEX(tblKurallar[deger_2025],MATCH("SGK-004",tblKurallar[kural_id],0))+$F232*sgk_isverenOran,2),0))</f>
        <v/>
      </c>
      <c r="I232" s="37">
        <f>IF($A232="","",IFERROR(MAX(0,$H232-$G232),0))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$C233*INDEX(tblKurallar[deger_2025],MATCH("SGK-001",tblKurallar[kural_id],0))+$D233*INDEX(tblKurallar[deger_2025],MATCH("SGK-002",tblKurallar[kural_id],0))+$E233*INDEX(tblKurallar[deger_2025],MATCH("SGK-004",tblKurallar[kural_id],0))+$F233*sgk_isverenOran,2),0))</f>
        <v/>
      </c>
      <c r="I233" s="37">
        <f>IF($A233="","",IFERROR(MAX(0,$H233-$G233),0))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$C234*INDEX(tblKurallar[deger_2025],MATCH("SGK-001",tblKurallar[kural_id],0))+$D234*INDEX(tblKurallar[deger_2025],MATCH("SGK-002",tblKurallar[kural_id],0))+$E234*INDEX(tblKurallar[deger_2025],MATCH("SGK-004",tblKurallar[kural_id],0))+$F234*sgk_isverenOran,2),0))</f>
        <v/>
      </c>
      <c r="I234" s="37">
        <f>IF($A234="","",IFERROR(MAX(0,$H234-$G234),0))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$C235*INDEX(tblKurallar[deger_2025],MATCH("SGK-001",tblKurallar[kural_id],0))+$D235*INDEX(tblKurallar[deger_2025],MATCH("SGK-002",tblKurallar[kural_id],0))+$E235*INDEX(tblKurallar[deger_2025],MATCH("SGK-004",tblKurallar[kural_id],0))+$F235*sgk_isverenOran,2),0))</f>
        <v/>
      </c>
      <c r="I235" s="37">
        <f>IF($A235="","",IFERROR(MAX(0,$H235-$G235),0))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$C236*INDEX(tblKurallar[deger_2025],MATCH("SGK-001",tblKurallar[kural_id],0))+$D236*INDEX(tblKurallar[deger_2025],MATCH("SGK-002",tblKurallar[kural_id],0))+$E236*INDEX(tblKurallar[deger_2025],MATCH("SGK-004",tblKurallar[kural_id],0))+$F236*sgk_isverenOran,2),0))</f>
        <v/>
      </c>
      <c r="I236" s="37">
        <f>IF($A236="","",IFERROR(MAX(0,$H236-$G236),0))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$C237*INDEX(tblKurallar[deger_2025],MATCH("SGK-001",tblKurallar[kural_id],0))+$D237*INDEX(tblKurallar[deger_2025],MATCH("SGK-002",tblKurallar[kural_id],0))+$E237*INDEX(tblKurallar[deger_2025],MATCH("SGK-004",tblKurallar[kural_id],0))+$F237*sgk_isverenOran,2),0))</f>
        <v/>
      </c>
      <c r="I237" s="37">
        <f>IF($A237="","",IFERROR(MAX(0,$H237-$G237),0))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$C238*INDEX(tblKurallar[deger_2025],MATCH("SGK-001",tblKurallar[kural_id],0))+$D238*INDEX(tblKurallar[deger_2025],MATCH("SGK-002",tblKurallar[kural_id],0))+$E238*INDEX(tblKurallar[deger_2025],MATCH("SGK-004",tblKurallar[kural_id],0))+$F238*sgk_isverenOran,2),0))</f>
        <v/>
      </c>
      <c r="I238" s="37">
        <f>IF($A238="","",IFERROR(MAX(0,$H238-$G238),0))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$C239*INDEX(tblKurallar[deger_2025],MATCH("SGK-001",tblKurallar[kural_id],0))+$D239*INDEX(tblKurallar[deger_2025],MATCH("SGK-002",tblKurallar[kural_id],0))+$E239*INDEX(tblKurallar[deger_2025],MATCH("SGK-004",tblKurallar[kural_id],0))+$F239*sgk_isverenOran,2),0))</f>
        <v/>
      </c>
      <c r="I239" s="37">
        <f>IF($A239="","",IFERROR(MAX(0,$H239-$G239),0))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$C240*INDEX(tblKurallar[deger_2025],MATCH("SGK-001",tblKurallar[kural_id],0))+$D240*INDEX(tblKurallar[deger_2025],MATCH("SGK-002",tblKurallar[kural_id],0))+$E240*INDEX(tblKurallar[deger_2025],MATCH("SGK-004",tblKurallar[kural_id],0))+$F240*sgk_isverenOran,2),0))</f>
        <v/>
      </c>
      <c r="I240" s="37">
        <f>IF($A240="","",IFERROR(MAX(0,$H240-$G240),0))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$C241*INDEX(tblKurallar[deger_2025],MATCH("SGK-001",tblKurallar[kural_id],0))+$D241*INDEX(tblKurallar[deger_2025],MATCH("SGK-002",tblKurallar[kural_id],0))+$E241*INDEX(tblKurallar[deger_2025],MATCH("SGK-004",tblKurallar[kural_id],0))+$F241*sgk_isverenOran,2),0))</f>
        <v/>
      </c>
      <c r="I241" s="37">
        <f>IF($A241="","",IFERROR(MAX(0,$H241-$G241),0))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$C242*INDEX(tblKurallar[deger_2025],MATCH("SGK-001",tblKurallar[kural_id],0))+$D242*INDEX(tblKurallar[deger_2025],MATCH("SGK-002",tblKurallar[kural_id],0))+$E242*INDEX(tblKurallar[deger_2025],MATCH("SGK-004",tblKurallar[kural_id],0))+$F242*sgk_isverenOran,2),0))</f>
        <v/>
      </c>
      <c r="I242" s="37">
        <f>IF($A242="","",IFERROR(MAX(0,$H242-$G242),0))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$C243*INDEX(tblKurallar[deger_2025],MATCH("SGK-001",tblKurallar[kural_id],0))+$D243*INDEX(tblKurallar[deger_2025],MATCH("SGK-002",tblKurallar[kural_id],0))+$E243*INDEX(tblKurallar[deger_2025],MATCH("SGK-004",tblKurallar[kural_id],0))+$F243*sgk_isverenOran,2),0))</f>
        <v/>
      </c>
      <c r="I243" s="37">
        <f>IF($A243="","",IFERROR(MAX(0,$H243-$G243),0))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$C244*INDEX(tblKurallar[deger_2025],MATCH("SGK-001",tblKurallar[kural_id],0))+$D244*INDEX(tblKurallar[deger_2025],MATCH("SGK-002",tblKurallar[kural_id],0))+$E244*INDEX(tblKurallar[deger_2025],MATCH("SGK-004",tblKurallar[kural_id],0))+$F244*sgk_isverenOran,2),0))</f>
        <v/>
      </c>
      <c r="I244" s="37">
        <f>IF($A244="","",IFERROR(MAX(0,$H244-$G244),0))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$C245*INDEX(tblKurallar[deger_2025],MATCH("SGK-001",tblKurallar[kural_id],0))+$D245*INDEX(tblKurallar[deger_2025],MATCH("SGK-002",tblKurallar[kural_id],0))+$E245*INDEX(tblKurallar[deger_2025],MATCH("SGK-004",tblKurallar[kural_id],0))+$F245*sgk_isverenOran,2),0))</f>
        <v/>
      </c>
      <c r="I245" s="37">
        <f>IF($A245="","",IFERROR(MAX(0,$H245-$G245),0))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$C246*INDEX(tblKurallar[deger_2025],MATCH("SGK-001",tblKurallar[kural_id],0))+$D246*INDEX(tblKurallar[deger_2025],MATCH("SGK-002",tblKurallar[kural_id],0))+$E246*INDEX(tblKurallar[deger_2025],MATCH("SGK-004",tblKurallar[kural_id],0))+$F246*sgk_isverenOran,2),0))</f>
        <v/>
      </c>
      <c r="I246" s="37">
        <f>IF($A246="","",IFERROR(MAX(0,$H246-$G246),0))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$C247*INDEX(tblKurallar[deger_2025],MATCH("SGK-001",tblKurallar[kural_id],0))+$D247*INDEX(tblKurallar[deger_2025],MATCH("SGK-002",tblKurallar[kural_id],0))+$E247*INDEX(tblKurallar[deger_2025],MATCH("SGK-004",tblKurallar[kural_id],0))+$F247*sgk_isverenOran,2),0))</f>
        <v/>
      </c>
      <c r="I247" s="37">
        <f>IF($A247="","",IFERROR(MAX(0,$H247-$G247),0))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$C248*INDEX(tblKurallar[deger_2025],MATCH("SGK-001",tblKurallar[kural_id],0))+$D248*INDEX(tblKurallar[deger_2025],MATCH("SGK-002",tblKurallar[kural_id],0))+$E248*INDEX(tblKurallar[deger_2025],MATCH("SGK-004",tblKurallar[kural_id],0))+$F248*sgk_isverenOran,2),0))</f>
        <v/>
      </c>
      <c r="I248" s="37">
        <f>IF($A248="","",IFERROR(MAX(0,$H248-$G248),0))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$C249*INDEX(tblKurallar[deger_2025],MATCH("SGK-001",tblKurallar[kural_id],0))+$D249*INDEX(tblKurallar[deger_2025],MATCH("SGK-002",tblKurallar[kural_id],0))+$E249*INDEX(tblKurallar[deger_2025],MATCH("SGK-004",tblKurallar[kural_id],0))+$F249*sgk_isverenOran,2),0))</f>
        <v/>
      </c>
      <c r="I249" s="37">
        <f>IF($A249="","",IFERROR(MAX(0,$H249-$G249),0))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$C250*INDEX(tblKurallar[deger_2025],MATCH("SGK-001",tblKurallar[kural_id],0))+$D250*INDEX(tblKurallar[deger_2025],MATCH("SGK-002",tblKurallar[kural_id],0))+$E250*INDEX(tblKurallar[deger_2025],MATCH("SGK-004",tblKurallar[kural_id],0))+$F250*sgk_isverenOran,2),0))</f>
        <v/>
      </c>
      <c r="I250" s="37">
        <f>IF($A250="","",IFERROR(MAX(0,$H250-$G250),0))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$C251*INDEX(tblKurallar[deger_2025],MATCH("SGK-001",tblKurallar[kural_id],0))+$D251*INDEX(tblKurallar[deger_2025],MATCH("SGK-002",tblKurallar[kural_id],0))+$E251*INDEX(tblKurallar[deger_2025],MATCH("SGK-004",tblKurallar[kural_id],0))+$F251*sgk_isverenOran,2),0))</f>
        <v/>
      </c>
      <c r="I251" s="37">
        <f>IF($A251="","",IFERROR(MAX(0,$H251-$G251),0))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$C252*INDEX(tblKurallar[deger_2025],MATCH("SGK-001",tblKurallar[kural_id],0))+$D252*INDEX(tblKurallar[deger_2025],MATCH("SGK-002",tblKurallar[kural_id],0))+$E252*INDEX(tblKurallar[deger_2025],MATCH("SGK-004",tblKurallar[kural_id],0))+$F252*sgk_isverenOran,2),0))</f>
        <v/>
      </c>
      <c r="I252" s="37">
        <f>IF($A252="","",IFERROR(MAX(0,$H252-$G252),0))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$C253*INDEX(tblKurallar[deger_2025],MATCH("SGK-001",tblKurallar[kural_id],0))+$D253*INDEX(tblKurallar[deger_2025],MATCH("SGK-002",tblKurallar[kural_id],0))+$E253*INDEX(tblKurallar[deger_2025],MATCH("SGK-004",tblKurallar[kural_id],0))+$F253*sgk_isverenOran,2),0))</f>
        <v/>
      </c>
      <c r="I253" s="37">
        <f>IF($A253="","",IFERROR(MAX(0,$H253-$G253),0))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$C254*INDEX(tblKurallar[deger_2025],MATCH("SGK-001",tblKurallar[kural_id],0))+$D254*INDEX(tblKurallar[deger_2025],MATCH("SGK-002",tblKurallar[kural_id],0))+$E254*INDEX(tblKurallar[deger_2025],MATCH("SGK-004",tblKurallar[kural_id],0))+$F254*sgk_isverenOran,2),0))</f>
        <v/>
      </c>
      <c r="I254" s="37">
        <f>IF($A254="","",IFERROR(MAX(0,$H254-$G254),0))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$C255*INDEX(tblKurallar[deger_2025],MATCH("SGK-001",tblKurallar[kural_id],0))+$D255*INDEX(tblKurallar[deger_2025],MATCH("SGK-002",tblKurallar[kural_id],0))+$E255*INDEX(tblKurallar[deger_2025],MATCH("SGK-004",tblKurallar[kural_id],0))+$F255*sgk_isverenOran,2),0))</f>
        <v/>
      </c>
      <c r="I255" s="37">
        <f>IF($A255="","",IFERROR(MAX(0,$H255-$G255),0))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$C256*INDEX(tblKurallar[deger_2025],MATCH("SGK-001",tblKurallar[kural_id],0))+$D256*INDEX(tblKurallar[deger_2025],MATCH("SGK-002",tblKurallar[kural_id],0))+$E256*INDEX(tblKurallar[deger_2025],MATCH("SGK-004",tblKurallar[kural_id],0))+$F256*sgk_isverenOran,2),0))</f>
        <v/>
      </c>
      <c r="I256" s="37">
        <f>IF($A256="","",IFERROR(MAX(0,$H256-$G256),0))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$C257*INDEX(tblKurallar[deger_2025],MATCH("SGK-001",tblKurallar[kural_id],0))+$D257*INDEX(tblKurallar[deger_2025],MATCH("SGK-002",tblKurallar[kural_id],0))+$E257*INDEX(tblKurallar[deger_2025],MATCH("SGK-004",tblKurallar[kural_id],0))+$F257*sgk_isverenOran,2),0))</f>
        <v/>
      </c>
      <c r="I257" s="37">
        <f>IF($A257="","",IFERROR(MAX(0,$H257-$G257),0))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$C258*INDEX(tblKurallar[deger_2025],MATCH("SGK-001",tblKurallar[kural_id],0))+$D258*INDEX(tblKurallar[deger_2025],MATCH("SGK-002",tblKurallar[kural_id],0))+$E258*INDEX(tblKurallar[deger_2025],MATCH("SGK-004",tblKurallar[kural_id],0))+$F258*sgk_isverenOran,2),0))</f>
        <v/>
      </c>
      <c r="I258" s="37">
        <f>IF($A258="","",IFERROR(MAX(0,$H258-$G258),0))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$C259*INDEX(tblKurallar[deger_2025],MATCH("SGK-001",tblKurallar[kural_id],0))+$D259*INDEX(tblKurallar[deger_2025],MATCH("SGK-002",tblKurallar[kural_id],0))+$E259*INDEX(tblKurallar[deger_2025],MATCH("SGK-004",tblKurallar[kural_id],0))+$F259*sgk_isverenOran,2),0))</f>
        <v/>
      </c>
      <c r="I259" s="37">
        <f>IF($A259="","",IFERROR(MAX(0,$H259-$G259),0))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$C260*INDEX(tblKurallar[deger_2025],MATCH("SGK-001",tblKurallar[kural_id],0))+$D260*INDEX(tblKurallar[deger_2025],MATCH("SGK-002",tblKurallar[kural_id],0))+$E260*INDEX(tblKurallar[deger_2025],MATCH("SGK-004",tblKurallar[kural_id],0))+$F260*sgk_isverenOran,2),0))</f>
        <v/>
      </c>
      <c r="I260" s="37">
        <f>IF($A260="","",IFERROR(MAX(0,$H260-$G260),0))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$C261*INDEX(tblKurallar[deger_2025],MATCH("SGK-001",tblKurallar[kural_id],0))+$D261*INDEX(tblKurallar[deger_2025],MATCH("SGK-002",tblKurallar[kural_id],0))+$E261*INDEX(tblKurallar[deger_2025],MATCH("SGK-004",tblKurallar[kural_id],0))+$F261*sgk_isverenOran,2),0))</f>
        <v/>
      </c>
      <c r="I261" s="37">
        <f>IF($A261="","",IFERROR(MAX(0,$H261-$G261),0))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$C262*INDEX(tblKurallar[deger_2025],MATCH("SGK-001",tblKurallar[kural_id],0))+$D262*INDEX(tblKurallar[deger_2025],MATCH("SGK-002",tblKurallar[kural_id],0))+$E262*INDEX(tblKurallar[deger_2025],MATCH("SGK-004",tblKurallar[kural_id],0))+$F262*sgk_isverenOran,2),0))</f>
        <v/>
      </c>
      <c r="I262" s="37">
        <f>IF($A262="","",IFERROR(MAX(0,$H262-$G262),0))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$C263*INDEX(tblKurallar[deger_2025],MATCH("SGK-001",tblKurallar[kural_id],0))+$D263*INDEX(tblKurallar[deger_2025],MATCH("SGK-002",tblKurallar[kural_id],0))+$E263*INDEX(tblKurallar[deger_2025],MATCH("SGK-004",tblKurallar[kural_id],0))+$F263*sgk_isverenOran,2),0))</f>
        <v/>
      </c>
      <c r="I263" s="37">
        <f>IF($A263="","",IFERROR(MAX(0,$H263-$G263),0))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$C264*INDEX(tblKurallar[deger_2025],MATCH("SGK-001",tblKurallar[kural_id],0))+$D264*INDEX(tblKurallar[deger_2025],MATCH("SGK-002",tblKurallar[kural_id],0))+$E264*INDEX(tblKurallar[deger_2025],MATCH("SGK-004",tblKurallar[kural_id],0))+$F264*sgk_isverenOran,2),0))</f>
        <v/>
      </c>
      <c r="I264" s="37">
        <f>IF($A264="","",IFERROR(MAX(0,$H264-$G264),0))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$C265*INDEX(tblKurallar[deger_2025],MATCH("SGK-001",tblKurallar[kural_id],0))+$D265*INDEX(tblKurallar[deger_2025],MATCH("SGK-002",tblKurallar[kural_id],0))+$E265*INDEX(tblKurallar[deger_2025],MATCH("SGK-004",tblKurallar[kural_id],0))+$F265*sgk_isverenOran,2),0))</f>
        <v/>
      </c>
      <c r="I265" s="37">
        <f>IF($A265="","",IFERROR(MAX(0,$H265-$G265),0))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$C266*INDEX(tblKurallar[deger_2025],MATCH("SGK-001",tblKurallar[kural_id],0))+$D266*INDEX(tblKurallar[deger_2025],MATCH("SGK-002",tblKurallar[kural_id],0))+$E266*INDEX(tblKurallar[deger_2025],MATCH("SGK-004",tblKurallar[kural_id],0))+$F266*sgk_isverenOran,2),0))</f>
        <v/>
      </c>
      <c r="I266" s="37">
        <f>IF($A266="","",IFERROR(MAX(0,$H266-$G266),0))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$C267*INDEX(tblKurallar[deger_2025],MATCH("SGK-001",tblKurallar[kural_id],0))+$D267*INDEX(tblKurallar[deger_2025],MATCH("SGK-002",tblKurallar[kural_id],0))+$E267*INDEX(tblKurallar[deger_2025],MATCH("SGK-004",tblKurallar[kural_id],0))+$F267*sgk_isverenOran,2),0))</f>
        <v/>
      </c>
      <c r="I267" s="37">
        <f>IF($A267="","",IFERROR(MAX(0,$H267-$G267),0))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$C268*INDEX(tblKurallar[deger_2025],MATCH("SGK-001",tblKurallar[kural_id],0))+$D268*INDEX(tblKurallar[deger_2025],MATCH("SGK-002",tblKurallar[kural_id],0))+$E268*INDEX(tblKurallar[deger_2025],MATCH("SGK-004",tblKurallar[kural_id],0))+$F268*sgk_isverenOran,2),0))</f>
        <v/>
      </c>
      <c r="I268" s="37">
        <f>IF($A268="","",IFERROR(MAX(0,$H268-$G268),0))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$C269*INDEX(tblKurallar[deger_2025],MATCH("SGK-001",tblKurallar[kural_id],0))+$D269*INDEX(tblKurallar[deger_2025],MATCH("SGK-002",tblKurallar[kural_id],0))+$E269*INDEX(tblKurallar[deger_2025],MATCH("SGK-004",tblKurallar[kural_id],0))+$F269*sgk_isverenOran,2),0))</f>
        <v/>
      </c>
      <c r="I269" s="37">
        <f>IF($A269="","",IFERROR(MAX(0,$H269-$G269),0))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$C270*INDEX(tblKurallar[deger_2025],MATCH("SGK-001",tblKurallar[kural_id],0))+$D270*INDEX(tblKurallar[deger_2025],MATCH("SGK-002",tblKurallar[kural_id],0))+$E270*INDEX(tblKurallar[deger_2025],MATCH("SGK-004",tblKurallar[kural_id],0))+$F270*sgk_isverenOran,2),0))</f>
        <v/>
      </c>
      <c r="I270" s="37">
        <f>IF($A270="","",IFERROR(MAX(0,$H270-$G270),0))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$C271*INDEX(tblKurallar[deger_2025],MATCH("SGK-001",tblKurallar[kural_id],0))+$D271*INDEX(tblKurallar[deger_2025],MATCH("SGK-002",tblKurallar[kural_id],0))+$E271*INDEX(tblKurallar[deger_2025],MATCH("SGK-004",tblKurallar[kural_id],0))+$F271*sgk_isverenOran,2),0))</f>
        <v/>
      </c>
      <c r="I271" s="37">
        <f>IF($A271="","",IFERROR(MAX(0,$H271-$G271),0))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$C272*INDEX(tblKurallar[deger_2025],MATCH("SGK-001",tblKurallar[kural_id],0))+$D272*INDEX(tblKurallar[deger_2025],MATCH("SGK-002",tblKurallar[kural_id],0))+$E272*INDEX(tblKurallar[deger_2025],MATCH("SGK-004",tblKurallar[kural_id],0))+$F272*sgk_isverenOran,2),0))</f>
        <v/>
      </c>
      <c r="I272" s="37">
        <f>IF($A272="","",IFERROR(MAX(0,$H272-$G272),0))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$C273*INDEX(tblKurallar[deger_2025],MATCH("SGK-001",tblKurallar[kural_id],0))+$D273*INDEX(tblKurallar[deger_2025],MATCH("SGK-002",tblKurallar[kural_id],0))+$E273*INDEX(tblKurallar[deger_2025],MATCH("SGK-004",tblKurallar[kural_id],0))+$F273*sgk_isverenOran,2),0))</f>
        <v/>
      </c>
      <c r="I273" s="37">
        <f>IF($A273="","",IFERROR(MAX(0,$H273-$G273),0))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$C274*INDEX(tblKurallar[deger_2025],MATCH("SGK-001",tblKurallar[kural_id],0))+$D274*INDEX(tblKurallar[deger_2025],MATCH("SGK-002",tblKurallar[kural_id],0))+$E274*INDEX(tblKurallar[deger_2025],MATCH("SGK-004",tblKurallar[kural_id],0))+$F274*sgk_isverenOran,2),0))</f>
        <v/>
      </c>
      <c r="I274" s="37">
        <f>IF($A274="","",IFERROR(MAX(0,$H274-$G274),0))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$C275*INDEX(tblKurallar[deger_2025],MATCH("SGK-001",tblKurallar[kural_id],0))+$D275*INDEX(tblKurallar[deger_2025],MATCH("SGK-002",tblKurallar[kural_id],0))+$E275*INDEX(tblKurallar[deger_2025],MATCH("SGK-004",tblKurallar[kural_id],0))+$F275*sgk_isverenOran,2),0))</f>
        <v/>
      </c>
      <c r="I275" s="37">
        <f>IF($A275="","",IFERROR(MAX(0,$H275-$G275),0))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$C276*INDEX(tblKurallar[deger_2025],MATCH("SGK-001",tblKurallar[kural_id],0))+$D276*INDEX(tblKurallar[deger_2025],MATCH("SGK-002",tblKurallar[kural_id],0))+$E276*INDEX(tblKurallar[deger_2025],MATCH("SGK-004",tblKurallar[kural_id],0))+$F276*sgk_isverenOran,2),0))</f>
        <v/>
      </c>
      <c r="I276" s="37">
        <f>IF($A276="","",IFERROR(MAX(0,$H276-$G276),0))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$C277*INDEX(tblKurallar[deger_2025],MATCH("SGK-001",tblKurallar[kural_id],0))+$D277*INDEX(tblKurallar[deger_2025],MATCH("SGK-002",tblKurallar[kural_id],0))+$E277*INDEX(tblKurallar[deger_2025],MATCH("SGK-004",tblKurallar[kural_id],0))+$F277*sgk_isverenOran,2),0))</f>
        <v/>
      </c>
      <c r="I277" s="37">
        <f>IF($A277="","",IFERROR(MAX(0,$H277-$G277),0))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$C278*INDEX(tblKurallar[deger_2025],MATCH("SGK-001",tblKurallar[kural_id],0))+$D278*INDEX(tblKurallar[deger_2025],MATCH("SGK-002",tblKurallar[kural_id],0))+$E278*INDEX(tblKurallar[deger_2025],MATCH("SGK-004",tblKurallar[kural_id],0))+$F278*sgk_isverenOran,2),0))</f>
        <v/>
      </c>
      <c r="I278" s="37">
        <f>IF($A278="","",IFERROR(MAX(0,$H278-$G278),0))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$C279*INDEX(tblKurallar[deger_2025],MATCH("SGK-001",tblKurallar[kural_id],0))+$D279*INDEX(tblKurallar[deger_2025],MATCH("SGK-002",tblKurallar[kural_id],0))+$E279*INDEX(tblKurallar[deger_2025],MATCH("SGK-004",tblKurallar[kural_id],0))+$F279*sgk_isverenOran,2),0))</f>
        <v/>
      </c>
      <c r="I279" s="37">
        <f>IF($A279="","",IFERROR(MAX(0,$H279-$G279),0))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$C280*INDEX(tblKurallar[deger_2025],MATCH("SGK-001",tblKurallar[kural_id],0))+$D280*INDEX(tblKurallar[deger_2025],MATCH("SGK-002",tblKurallar[kural_id],0))+$E280*INDEX(tblKurallar[deger_2025],MATCH("SGK-004",tblKurallar[kural_id],0))+$F280*sgk_isverenOran,2),0))</f>
        <v/>
      </c>
      <c r="I280" s="37">
        <f>IF($A280="","",IFERROR(MAX(0,$H280-$G280),0))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$C281*INDEX(tblKurallar[deger_2025],MATCH("SGK-001",tblKurallar[kural_id],0))+$D281*INDEX(tblKurallar[deger_2025],MATCH("SGK-002",tblKurallar[kural_id],0))+$E281*INDEX(tblKurallar[deger_2025],MATCH("SGK-004",tblKurallar[kural_id],0))+$F281*sgk_isverenOran,2),0))</f>
        <v/>
      </c>
      <c r="I281" s="37">
        <f>IF($A281="","",IFERROR(MAX(0,$H281-$G281),0))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$C282*INDEX(tblKurallar[deger_2025],MATCH("SGK-001",tblKurallar[kural_id],0))+$D282*INDEX(tblKurallar[deger_2025],MATCH("SGK-002",tblKurallar[kural_id],0))+$E282*INDEX(tblKurallar[deger_2025],MATCH("SGK-004",tblKurallar[kural_id],0))+$F282*sgk_isverenOran,2),0))</f>
        <v/>
      </c>
      <c r="I282" s="37">
        <f>IF($A282="","",IFERROR(MAX(0,$H282-$G282),0))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$C283*INDEX(tblKurallar[deger_2025],MATCH("SGK-001",tblKurallar[kural_id],0))+$D283*INDEX(tblKurallar[deger_2025],MATCH("SGK-002",tblKurallar[kural_id],0))+$E283*INDEX(tblKurallar[deger_2025],MATCH("SGK-004",tblKurallar[kural_id],0))+$F283*sgk_isverenOran,2),0))</f>
        <v/>
      </c>
      <c r="I283" s="37">
        <f>IF($A283="","",IFERROR(MAX(0,$H283-$G283),0))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$C284*INDEX(tblKurallar[deger_2025],MATCH("SGK-001",tblKurallar[kural_id],0))+$D284*INDEX(tblKurallar[deger_2025],MATCH("SGK-002",tblKurallar[kural_id],0))+$E284*INDEX(tblKurallar[deger_2025],MATCH("SGK-004",tblKurallar[kural_id],0))+$F284*sgk_isverenOran,2),0))</f>
        <v/>
      </c>
      <c r="I284" s="37">
        <f>IF($A284="","",IFERROR(MAX(0,$H284-$G284),0))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$C285*INDEX(tblKurallar[deger_2025],MATCH("SGK-001",tblKurallar[kural_id],0))+$D285*INDEX(tblKurallar[deger_2025],MATCH("SGK-002",tblKurallar[kural_id],0))+$E285*INDEX(tblKurallar[deger_2025],MATCH("SGK-004",tblKurallar[kural_id],0))+$F285*sgk_isverenOran,2),0))</f>
        <v/>
      </c>
      <c r="I285" s="37">
        <f>IF($A285="","",IFERROR(MAX(0,$H285-$G285),0))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$C286*INDEX(tblKurallar[deger_2025],MATCH("SGK-001",tblKurallar[kural_id],0))+$D286*INDEX(tblKurallar[deger_2025],MATCH("SGK-002",tblKurallar[kural_id],0))+$E286*INDEX(tblKurallar[deger_2025],MATCH("SGK-004",tblKurallar[kural_id],0))+$F286*sgk_isverenOran,2),0))</f>
        <v/>
      </c>
      <c r="I286" s="37">
        <f>IF($A286="","",IFERROR(MAX(0,$H286-$G286),0))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$C287*INDEX(tblKurallar[deger_2025],MATCH("SGK-001",tblKurallar[kural_id],0))+$D287*INDEX(tblKurallar[deger_2025],MATCH("SGK-002",tblKurallar[kural_id],0))+$E287*INDEX(tblKurallar[deger_2025],MATCH("SGK-004",tblKurallar[kural_id],0))+$F287*sgk_isverenOran,2),0))</f>
        <v/>
      </c>
      <c r="I287" s="37">
        <f>IF($A287="","",IFERROR(MAX(0,$H287-$G287),0))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$C288*INDEX(tblKurallar[deger_2025],MATCH("SGK-001",tblKurallar[kural_id],0))+$D288*INDEX(tblKurallar[deger_2025],MATCH("SGK-002",tblKurallar[kural_id],0))+$E288*INDEX(tblKurallar[deger_2025],MATCH("SGK-004",tblKurallar[kural_id],0))+$F288*sgk_isverenOran,2),0))</f>
        <v/>
      </c>
      <c r="I288" s="37">
        <f>IF($A288="","",IFERROR(MAX(0,$H288-$G288),0))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$C289*INDEX(tblKurallar[deger_2025],MATCH("SGK-001",tblKurallar[kural_id],0))+$D289*INDEX(tblKurallar[deger_2025],MATCH("SGK-002",tblKurallar[kural_id],0))+$E289*INDEX(tblKurallar[deger_2025],MATCH("SGK-004",tblKurallar[kural_id],0))+$F289*sgk_isverenOran,2),0))</f>
        <v/>
      </c>
      <c r="I289" s="37">
        <f>IF($A289="","",IFERROR(MAX(0,$H289-$G289),0))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$C290*INDEX(tblKurallar[deger_2025],MATCH("SGK-001",tblKurallar[kural_id],0))+$D290*INDEX(tblKurallar[deger_2025],MATCH("SGK-002",tblKurallar[kural_id],0))+$E290*INDEX(tblKurallar[deger_2025],MATCH("SGK-004",tblKurallar[kural_id],0))+$F290*sgk_isverenOran,2),0))</f>
        <v/>
      </c>
      <c r="I290" s="37">
        <f>IF($A290="","",IFERROR(MAX(0,$H290-$G290),0))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$C291*INDEX(tblKurallar[deger_2025],MATCH("SGK-001",tblKurallar[kural_id],0))+$D291*INDEX(tblKurallar[deger_2025],MATCH("SGK-002",tblKurallar[kural_id],0))+$E291*INDEX(tblKurallar[deger_2025],MATCH("SGK-004",tblKurallar[kural_id],0))+$F291*sgk_isverenOran,2),0))</f>
        <v/>
      </c>
      <c r="I291" s="37">
        <f>IF($A291="","",IFERROR(MAX(0,$H291-$G291),0))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$C292*INDEX(tblKurallar[deger_2025],MATCH("SGK-001",tblKurallar[kural_id],0))+$D292*INDEX(tblKurallar[deger_2025],MATCH("SGK-002",tblKurallar[kural_id],0))+$E292*INDEX(tblKurallar[deger_2025],MATCH("SGK-004",tblKurallar[kural_id],0))+$F292*sgk_isverenOran,2),0))</f>
        <v/>
      </c>
      <c r="I292" s="37">
        <f>IF($A292="","",IFERROR(MAX(0,$H292-$G292),0))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$C293*INDEX(tblKurallar[deger_2025],MATCH("SGK-001",tblKurallar[kural_id],0))+$D293*INDEX(tblKurallar[deger_2025],MATCH("SGK-002",tblKurallar[kural_id],0))+$E293*INDEX(tblKurallar[deger_2025],MATCH("SGK-004",tblKurallar[kural_id],0))+$F293*sgk_isverenOran,2),0))</f>
        <v/>
      </c>
      <c r="I293" s="37">
        <f>IF($A293="","",IFERROR(MAX(0,$H293-$G293),0))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$C294*INDEX(tblKurallar[deger_2025],MATCH("SGK-001",tblKurallar[kural_id],0))+$D294*INDEX(tblKurallar[deger_2025],MATCH("SGK-002",tblKurallar[kural_id],0))+$E294*INDEX(tblKurallar[deger_2025],MATCH("SGK-004",tblKurallar[kural_id],0))+$F294*sgk_isverenOran,2),0))</f>
        <v/>
      </c>
      <c r="I294" s="37">
        <f>IF($A294="","",IFERROR(MAX(0,$H294-$G294),0))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$C295*INDEX(tblKurallar[deger_2025],MATCH("SGK-001",tblKurallar[kural_id],0))+$D295*INDEX(tblKurallar[deger_2025],MATCH("SGK-002",tblKurallar[kural_id],0))+$E295*INDEX(tblKurallar[deger_2025],MATCH("SGK-004",tblKurallar[kural_id],0))+$F295*sgk_isverenOran,2),0))</f>
        <v/>
      </c>
      <c r="I295" s="37">
        <f>IF($A295="","",IFERROR(MAX(0,$H295-$G295),0))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$C296*INDEX(tblKurallar[deger_2025],MATCH("SGK-001",tblKurallar[kural_id],0))+$D296*INDEX(tblKurallar[deger_2025],MATCH("SGK-002",tblKurallar[kural_id],0))+$E296*INDEX(tblKurallar[deger_2025],MATCH("SGK-004",tblKurallar[kural_id],0))+$F296*sgk_isverenOran,2),0))</f>
        <v/>
      </c>
      <c r="I296" s="37">
        <f>IF($A296="","",IFERROR(MAX(0,$H296-$G296),0))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$C297*INDEX(tblKurallar[deger_2025],MATCH("SGK-001",tblKurallar[kural_id],0))+$D297*INDEX(tblKurallar[deger_2025],MATCH("SGK-002",tblKurallar[kural_id],0))+$E297*INDEX(tblKurallar[deger_2025],MATCH("SGK-004",tblKurallar[kural_id],0))+$F297*sgk_isverenOran,2),0))</f>
        <v/>
      </c>
      <c r="I297" s="37">
        <f>IF($A297="","",IFERROR(MAX(0,$H297-$G297),0))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$C298*INDEX(tblKurallar[deger_2025],MATCH("SGK-001",tblKurallar[kural_id],0))+$D298*INDEX(tblKurallar[deger_2025],MATCH("SGK-002",tblKurallar[kural_id],0))+$E298*INDEX(tblKurallar[deger_2025],MATCH("SGK-004",tblKurallar[kural_id],0))+$F298*sgk_isverenOran,2),0))</f>
        <v/>
      </c>
      <c r="I298" s="37">
        <f>IF($A298="","",IFERROR(MAX(0,$H298-$G298),0))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$C299*INDEX(tblKurallar[deger_2025],MATCH("SGK-001",tblKurallar[kural_id],0))+$D299*INDEX(tblKurallar[deger_2025],MATCH("SGK-002",tblKurallar[kural_id],0))+$E299*INDEX(tblKurallar[deger_2025],MATCH("SGK-004",tblKurallar[kural_id],0))+$F299*sgk_isverenOran,2),0))</f>
        <v/>
      </c>
      <c r="I299" s="37">
        <f>IF($A299="","",IFERROR(MAX(0,$H299-$G299),0))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$C300*INDEX(tblKurallar[deger_2025],MATCH("SGK-001",tblKurallar[kural_id],0))+$D300*INDEX(tblKurallar[deger_2025],MATCH("SGK-002",tblKurallar[kural_id],0))+$E300*INDEX(tblKurallar[deger_2025],MATCH("SGK-004",tblKurallar[kural_id],0))+$F300*sgk_isverenOran,2),0))</f>
        <v/>
      </c>
      <c r="I300" s="37">
        <f>IF($A300="","",IFERROR(MAX(0,$H300-$G300),0))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$C301*INDEX(tblKurallar[deger_2025],MATCH("SGK-001",tblKurallar[kural_id],0))+$D301*INDEX(tblKurallar[deger_2025],MATCH("SGK-002",tblKurallar[kural_id],0))+$E301*INDEX(tblKurallar[deger_2025],MATCH("SGK-004",tblKurallar[kural_id],0))+$F301*sgk_isverenOran,2),0))</f>
        <v/>
      </c>
      <c r="I301" s="37">
        <f>IF($A301="","",IFERROR(MAX(0,$H301-$G301),0))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$C302*INDEX(tblKurallar[deger_2025],MATCH("SGK-001",tblKurallar[kural_id],0))+$D302*INDEX(tblKurallar[deger_2025],MATCH("SGK-002",tblKurallar[kural_id],0))+$E302*INDEX(tblKurallar[deger_2025],MATCH("SGK-004",tblKurallar[kural_id],0))+$F302*sgk_isverenOran,2),0))</f>
        <v/>
      </c>
      <c r="I302" s="37">
        <f>IF($A302="","",IFERROR(MAX(0,$H302-$G302),0))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$C303*INDEX(tblKurallar[deger_2025],MATCH("SGK-001",tblKurallar[kural_id],0))+$D303*INDEX(tblKurallar[deger_2025],MATCH("SGK-002",tblKurallar[kural_id],0))+$E303*INDEX(tblKurallar[deger_2025],MATCH("SGK-004",tblKurallar[kural_id],0))+$F303*sgk_isverenOran,2),0))</f>
        <v/>
      </c>
      <c r="I303" s="37">
        <f>IF($A303="","",IFERROR(MAX(0,$H303-$G303),0))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$C304*INDEX(tblKurallar[deger_2025],MATCH("SGK-001",tblKurallar[kural_id],0))+$D304*INDEX(tblKurallar[deger_2025],MATCH("SGK-002",tblKurallar[kural_id],0))+$E304*INDEX(tblKurallar[deger_2025],MATCH("SGK-004",tblKurallar[kural_id],0))+$F304*sgk_isverenOran,2),0))</f>
        <v/>
      </c>
      <c r="I304" s="37">
        <f>IF($A304="","",IFERROR(MAX(0,$H304-$G304),0))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$C305*INDEX(tblKurallar[deger_2025],MATCH("SGK-001",tblKurallar[kural_id],0))+$D305*INDEX(tblKurallar[deger_2025],MATCH("SGK-002",tblKurallar[kural_id],0))+$E305*INDEX(tblKurallar[deger_2025],MATCH("SGK-004",tblKurallar[kural_id],0))+$F305*sgk_isverenOran,2),0))</f>
        <v/>
      </c>
      <c r="I305" s="37">
        <f>IF($A305="","",IFERROR(MAX(0,$H305-$G305),0))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$C306*INDEX(tblKurallar[deger_2025],MATCH("SGK-001",tblKurallar[kural_id],0))+$D306*INDEX(tblKurallar[deger_2025],MATCH("SGK-002",tblKurallar[kural_id],0))+$E306*INDEX(tblKurallar[deger_2025],MATCH("SGK-004",tblKurallar[kural_id],0))+$F306*sgk_isverenOran,2),0))</f>
        <v/>
      </c>
      <c r="I306" s="37">
        <f>IF($A306="","",IFERROR(MAX(0,$H306-$G306),0))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$C307*INDEX(tblKurallar[deger_2025],MATCH("SGK-001",tblKurallar[kural_id],0))+$D307*INDEX(tblKurallar[deger_2025],MATCH("SGK-002",tblKurallar[kural_id],0))+$E307*INDEX(tblKurallar[deger_2025],MATCH("SGK-004",tblKurallar[kural_id],0))+$F307*sgk_isverenOran,2),0))</f>
        <v/>
      </c>
      <c r="I307" s="37">
        <f>IF($A307="","",IFERROR(MAX(0,$H307-$G307),0))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$C308*INDEX(tblKurallar[deger_2025],MATCH("SGK-001",tblKurallar[kural_id],0))+$D308*INDEX(tblKurallar[deger_2025],MATCH("SGK-002",tblKurallar[kural_id],0))+$E308*INDEX(tblKurallar[deger_2025],MATCH("SGK-004",tblKurallar[kural_id],0))+$F308*sgk_isverenOran,2),0))</f>
        <v/>
      </c>
      <c r="I308" s="37">
        <f>IF($A308="","",IFERROR(MAX(0,$H308-$G308),0))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$C309*INDEX(tblKurallar[deger_2025],MATCH("SGK-001",tblKurallar[kural_id],0))+$D309*INDEX(tblKurallar[deger_2025],MATCH("SGK-002",tblKurallar[kural_id],0))+$E309*INDEX(tblKurallar[deger_2025],MATCH("SGK-004",tblKurallar[kural_id],0))+$F309*sgk_isverenOran,2),0))</f>
        <v/>
      </c>
      <c r="I309" s="37">
        <f>IF($A309="","",IFERROR(MAX(0,$H309-$G309),0))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$C310*INDEX(tblKurallar[deger_2025],MATCH("SGK-001",tblKurallar[kural_id],0))+$D310*INDEX(tblKurallar[deger_2025],MATCH("SGK-002",tblKurallar[kural_id],0))+$E310*INDEX(tblKurallar[deger_2025],MATCH("SGK-004",tblKurallar[kural_id],0))+$F310*sgk_isverenOran,2),0))</f>
        <v/>
      </c>
      <c r="I310" s="37">
        <f>IF($A310="","",IFERROR(MAX(0,$H310-$G310),0))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$C311*INDEX(tblKurallar[deger_2025],MATCH("SGK-001",tblKurallar[kural_id],0))+$D311*INDEX(tblKurallar[deger_2025],MATCH("SGK-002",tblKurallar[kural_id],0))+$E311*INDEX(tblKurallar[deger_2025],MATCH("SGK-004",tblKurallar[kural_id],0))+$F311*sgk_isverenOran,2),0))</f>
        <v/>
      </c>
      <c r="I311" s="37">
        <f>IF($A311="","",IFERROR(MAX(0,$H311-$G311),0))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$C312*INDEX(tblKurallar[deger_2025],MATCH("SGK-001",tblKurallar[kural_id],0))+$D312*INDEX(tblKurallar[deger_2025],MATCH("SGK-002",tblKurallar[kural_id],0))+$E312*INDEX(tblKurallar[deger_2025],MATCH("SGK-004",tblKurallar[kural_id],0))+$F312*sgk_isverenOran,2),0))</f>
        <v/>
      </c>
      <c r="I312" s="37">
        <f>IF($A312="","",IFERROR(MAX(0,$H312-$G312),0))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$C313*INDEX(tblKurallar[deger_2025],MATCH("SGK-001",tblKurallar[kural_id],0))+$D313*INDEX(tblKurallar[deger_2025],MATCH("SGK-002",tblKurallar[kural_id],0))+$E313*INDEX(tblKurallar[deger_2025],MATCH("SGK-004",tblKurallar[kural_id],0))+$F313*sgk_isverenOran,2),0))</f>
        <v/>
      </c>
      <c r="I313" s="37">
        <f>IF($A313="","",IFERROR(MAX(0,$H313-$G313),0))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$C314*INDEX(tblKurallar[deger_2025],MATCH("SGK-001",tblKurallar[kural_id],0))+$D314*INDEX(tblKurallar[deger_2025],MATCH("SGK-002",tblKurallar[kural_id],0))+$E314*INDEX(tblKurallar[deger_2025],MATCH("SGK-004",tblKurallar[kural_id],0))+$F314*sgk_isverenOran,2),0))</f>
        <v/>
      </c>
      <c r="I314" s="37">
        <f>IF($A314="","",IFERROR(MAX(0,$H314-$G314),0))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$C315*INDEX(tblKurallar[deger_2025],MATCH("SGK-001",tblKurallar[kural_id],0))+$D315*INDEX(tblKurallar[deger_2025],MATCH("SGK-002",tblKurallar[kural_id],0))+$E315*INDEX(tblKurallar[deger_2025],MATCH("SGK-004",tblKurallar[kural_id],0))+$F315*sgk_isverenOran,2),0))</f>
        <v/>
      </c>
      <c r="I315" s="37">
        <f>IF($A315="","",IFERROR(MAX(0,$H315-$G315),0))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$C316*INDEX(tblKurallar[deger_2025],MATCH("SGK-001",tblKurallar[kural_id],0))+$D316*INDEX(tblKurallar[deger_2025],MATCH("SGK-002",tblKurallar[kural_id],0))+$E316*INDEX(tblKurallar[deger_2025],MATCH("SGK-004",tblKurallar[kural_id],0))+$F316*sgk_isverenOran,2),0))</f>
        <v/>
      </c>
      <c r="I316" s="37">
        <f>IF($A316="","",IFERROR(MAX(0,$H316-$G316),0))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$C317*INDEX(tblKurallar[deger_2025],MATCH("SGK-001",tblKurallar[kural_id],0))+$D317*INDEX(tblKurallar[deger_2025],MATCH("SGK-002",tblKurallar[kural_id],0))+$E317*INDEX(tblKurallar[deger_2025],MATCH("SGK-004",tblKurallar[kural_id],0))+$F317*sgk_isverenOran,2),0))</f>
        <v/>
      </c>
      <c r="I317" s="37">
        <f>IF($A317="","",IFERROR(MAX(0,$H317-$G317),0))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$C318*INDEX(tblKurallar[deger_2025],MATCH("SGK-001",tblKurallar[kural_id],0))+$D318*INDEX(tblKurallar[deger_2025],MATCH("SGK-002",tblKurallar[kural_id],0))+$E318*INDEX(tblKurallar[deger_2025],MATCH("SGK-004",tblKurallar[kural_id],0))+$F318*sgk_isverenOran,2),0))</f>
        <v/>
      </c>
      <c r="I318" s="37">
        <f>IF($A318="","",IFERROR(MAX(0,$H318-$G318),0))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$C319*INDEX(tblKurallar[deger_2025],MATCH("SGK-001",tblKurallar[kural_id],0))+$D319*INDEX(tblKurallar[deger_2025],MATCH("SGK-002",tblKurallar[kural_id],0))+$E319*INDEX(tblKurallar[deger_2025],MATCH("SGK-004",tblKurallar[kural_id],0))+$F319*sgk_isverenOran,2),0))</f>
        <v/>
      </c>
      <c r="I319" s="37">
        <f>IF($A319="","",IFERROR(MAX(0,$H319-$G319),0))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$C320*INDEX(tblKurallar[deger_2025],MATCH("SGK-001",tblKurallar[kural_id],0))+$D320*INDEX(tblKurallar[deger_2025],MATCH("SGK-002",tblKurallar[kural_id],0))+$E320*INDEX(tblKurallar[deger_2025],MATCH("SGK-004",tblKurallar[kural_id],0))+$F320*sgk_isverenOran,2),0))</f>
        <v/>
      </c>
      <c r="I320" s="37">
        <f>IF($A320="","",IFERROR(MAX(0,$H320-$G320),0))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$C321*INDEX(tblKurallar[deger_2025],MATCH("SGK-001",tblKurallar[kural_id],0))+$D321*INDEX(tblKurallar[deger_2025],MATCH("SGK-002",tblKurallar[kural_id],0))+$E321*INDEX(tblKurallar[deger_2025],MATCH("SGK-004",tblKurallar[kural_id],0))+$F321*sgk_isverenOran,2),0))</f>
        <v/>
      </c>
      <c r="I321" s="37">
        <f>IF($A321="","",IFERROR(MAX(0,$H321-$G321),0))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$C322*INDEX(tblKurallar[deger_2025],MATCH("SGK-001",tblKurallar[kural_id],0))+$D322*INDEX(tblKurallar[deger_2025],MATCH("SGK-002",tblKurallar[kural_id],0))+$E322*INDEX(tblKurallar[deger_2025],MATCH("SGK-004",tblKurallar[kural_id],0))+$F322*sgk_isverenOran,2),0))</f>
        <v/>
      </c>
      <c r="I322" s="37">
        <f>IF($A322="","",IFERROR(MAX(0,$H322-$G322),0))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$C323*INDEX(tblKurallar[deger_2025],MATCH("SGK-001",tblKurallar[kural_id],0))+$D323*INDEX(tblKurallar[deger_2025],MATCH("SGK-002",tblKurallar[kural_id],0))+$E323*INDEX(tblKurallar[deger_2025],MATCH("SGK-004",tblKurallar[kural_id],0))+$F323*sgk_isverenOran,2),0))</f>
        <v/>
      </c>
      <c r="I323" s="37">
        <f>IF($A323="","",IFERROR(MAX(0,$H323-$G323),0))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$C324*INDEX(tblKurallar[deger_2025],MATCH("SGK-001",tblKurallar[kural_id],0))+$D324*INDEX(tblKurallar[deger_2025],MATCH("SGK-002",tblKurallar[kural_id],0))+$E324*INDEX(tblKurallar[deger_2025],MATCH("SGK-004",tblKurallar[kural_id],0))+$F324*sgk_isverenOran,2),0))</f>
        <v/>
      </c>
      <c r="I324" s="37">
        <f>IF($A324="","",IFERROR(MAX(0,$H324-$G324),0))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$C325*INDEX(tblKurallar[deger_2025],MATCH("SGK-001",tblKurallar[kural_id],0))+$D325*INDEX(tblKurallar[deger_2025],MATCH("SGK-002",tblKurallar[kural_id],0))+$E325*INDEX(tblKurallar[deger_2025],MATCH("SGK-004",tblKurallar[kural_id],0))+$F325*sgk_isverenOran,2),0))</f>
        <v/>
      </c>
      <c r="I325" s="37">
        <f>IF($A325="","",IFERROR(MAX(0,$H325-$G325),0))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$C326*INDEX(tblKurallar[deger_2025],MATCH("SGK-001",tblKurallar[kural_id],0))+$D326*INDEX(tblKurallar[deger_2025],MATCH("SGK-002",tblKurallar[kural_id],0))+$E326*INDEX(tblKurallar[deger_2025],MATCH("SGK-004",tblKurallar[kural_id],0))+$F326*sgk_isverenOran,2),0))</f>
        <v/>
      </c>
      <c r="I326" s="37">
        <f>IF($A326="","",IFERROR(MAX(0,$H326-$G326),0))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$C327*INDEX(tblKurallar[deger_2025],MATCH("SGK-001",tblKurallar[kural_id],0))+$D327*INDEX(tblKurallar[deger_2025],MATCH("SGK-002",tblKurallar[kural_id],0))+$E327*INDEX(tblKurallar[deger_2025],MATCH("SGK-004",tblKurallar[kural_id],0))+$F327*sgk_isverenOran,2),0))</f>
        <v/>
      </c>
      <c r="I327" s="37">
        <f>IF($A327="","",IFERROR(MAX(0,$H327-$G327),0))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$C328*INDEX(tblKurallar[deger_2025],MATCH("SGK-001",tblKurallar[kural_id],0))+$D328*INDEX(tblKurallar[deger_2025],MATCH("SGK-002",tblKurallar[kural_id],0))+$E328*INDEX(tblKurallar[deger_2025],MATCH("SGK-004",tblKurallar[kural_id],0))+$F328*sgk_isverenOran,2),0))</f>
        <v/>
      </c>
      <c r="I328" s="37">
        <f>IF($A328="","",IFERROR(MAX(0,$H328-$G328),0))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$C329*INDEX(tblKurallar[deger_2025],MATCH("SGK-001",tblKurallar[kural_id],0))+$D329*INDEX(tblKurallar[deger_2025],MATCH("SGK-002",tblKurallar[kural_id],0))+$E329*INDEX(tblKurallar[deger_2025],MATCH("SGK-004",tblKurallar[kural_id],0))+$F329*sgk_isverenOran,2),0))</f>
        <v/>
      </c>
      <c r="I329" s="37">
        <f>IF($A329="","",IFERROR(MAX(0,$H329-$G329),0))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$C330*INDEX(tblKurallar[deger_2025],MATCH("SGK-001",tblKurallar[kural_id],0))+$D330*INDEX(tblKurallar[deger_2025],MATCH("SGK-002",tblKurallar[kural_id],0))+$E330*INDEX(tblKurallar[deger_2025],MATCH("SGK-004",tblKurallar[kural_id],0))+$F330*sgk_isverenOran,2),0))</f>
        <v/>
      </c>
      <c r="I330" s="37">
        <f>IF($A330="","",IFERROR(MAX(0,$H330-$G330),0))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$C331*INDEX(tblKurallar[deger_2025],MATCH("SGK-001",tblKurallar[kural_id],0))+$D331*INDEX(tblKurallar[deger_2025],MATCH("SGK-002",tblKurallar[kural_id],0))+$E331*INDEX(tblKurallar[deger_2025],MATCH("SGK-004",tblKurallar[kural_id],0))+$F331*sgk_isverenOran,2),0))</f>
        <v/>
      </c>
      <c r="I331" s="37">
        <f>IF($A331="","",IFERROR(MAX(0,$H331-$G331),0))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$C332*INDEX(tblKurallar[deger_2025],MATCH("SGK-001",tblKurallar[kural_id],0))+$D332*INDEX(tblKurallar[deger_2025],MATCH("SGK-002",tblKurallar[kural_id],0))+$E332*INDEX(tblKurallar[deger_2025],MATCH("SGK-004",tblKurallar[kural_id],0))+$F332*sgk_isverenOran,2),0))</f>
        <v/>
      </c>
      <c r="I332" s="37">
        <f>IF($A332="","",IFERROR(MAX(0,$H332-$G332),0))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$C333*INDEX(tblKurallar[deger_2025],MATCH("SGK-001",tblKurallar[kural_id],0))+$D333*INDEX(tblKurallar[deger_2025],MATCH("SGK-002",tblKurallar[kural_id],0))+$E333*INDEX(tblKurallar[deger_2025],MATCH("SGK-004",tblKurallar[kural_id],0))+$F333*sgk_isverenOran,2),0))</f>
        <v/>
      </c>
      <c r="I333" s="37">
        <f>IF($A333="","",IFERROR(MAX(0,$H333-$G333),0))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$C334*INDEX(tblKurallar[deger_2025],MATCH("SGK-001",tblKurallar[kural_id],0))+$D334*INDEX(tblKurallar[deger_2025],MATCH("SGK-002",tblKurallar[kural_id],0))+$E334*INDEX(tblKurallar[deger_2025],MATCH("SGK-004",tblKurallar[kural_id],0))+$F334*sgk_isverenOran,2),0))</f>
        <v/>
      </c>
      <c r="I334" s="37">
        <f>IF($A334="","",IFERROR(MAX(0,$H334-$G334),0))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$C335*INDEX(tblKurallar[deger_2025],MATCH("SGK-001",tblKurallar[kural_id],0))+$D335*INDEX(tblKurallar[deger_2025],MATCH("SGK-002",tblKurallar[kural_id],0))+$E335*INDEX(tblKurallar[deger_2025],MATCH("SGK-004",tblKurallar[kural_id],0))+$F335*sgk_isverenOran,2),0))</f>
        <v/>
      </c>
      <c r="I335" s="37">
        <f>IF($A335="","",IFERROR(MAX(0,$H335-$G335),0))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$C336*INDEX(tblKurallar[deger_2025],MATCH("SGK-001",tblKurallar[kural_id],0))+$D336*INDEX(tblKurallar[deger_2025],MATCH("SGK-002",tblKurallar[kural_id],0))+$E336*INDEX(tblKurallar[deger_2025],MATCH("SGK-004",tblKurallar[kural_id],0))+$F336*sgk_isverenOran,2),0))</f>
        <v/>
      </c>
      <c r="I336" s="37">
        <f>IF($A336="","",IFERROR(MAX(0,$H336-$G336),0))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$C337*INDEX(tblKurallar[deger_2025],MATCH("SGK-001",tblKurallar[kural_id],0))+$D337*INDEX(tblKurallar[deger_2025],MATCH("SGK-002",tblKurallar[kural_id],0))+$E337*INDEX(tblKurallar[deger_2025],MATCH("SGK-004",tblKurallar[kural_id],0))+$F337*sgk_isverenOran,2),0))</f>
        <v/>
      </c>
      <c r="I337" s="37">
        <f>IF($A337="","",IFERROR(MAX(0,$H337-$G337),0))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$C338*INDEX(tblKurallar[deger_2025],MATCH("SGK-001",tblKurallar[kural_id],0))+$D338*INDEX(tblKurallar[deger_2025],MATCH("SGK-002",tblKurallar[kural_id],0))+$E338*INDEX(tblKurallar[deger_2025],MATCH("SGK-004",tblKurallar[kural_id],0))+$F338*sgk_isverenOran,2),0))</f>
        <v/>
      </c>
      <c r="I338" s="37">
        <f>IF($A338="","",IFERROR(MAX(0,$H338-$G338),0))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$C339*INDEX(tblKurallar[deger_2025],MATCH("SGK-001",tblKurallar[kural_id],0))+$D339*INDEX(tblKurallar[deger_2025],MATCH("SGK-002",tblKurallar[kural_id],0))+$E339*INDEX(tblKurallar[deger_2025],MATCH("SGK-004",tblKurallar[kural_id],0))+$F339*sgk_isverenOran,2),0))</f>
        <v/>
      </c>
      <c r="I339" s="37">
        <f>IF($A339="","",IFERROR(MAX(0,$H339-$G339),0))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$C340*INDEX(tblKurallar[deger_2025],MATCH("SGK-001",tblKurallar[kural_id],0))+$D340*INDEX(tblKurallar[deger_2025],MATCH("SGK-002",tblKurallar[kural_id],0))+$E340*INDEX(tblKurallar[deger_2025],MATCH("SGK-004",tblKurallar[kural_id],0))+$F340*sgk_isverenOran,2),0))</f>
        <v/>
      </c>
      <c r="I340" s="37">
        <f>IF($A340="","",IFERROR(MAX(0,$H340-$G340),0))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$C341*INDEX(tblKurallar[deger_2025],MATCH("SGK-001",tblKurallar[kural_id],0))+$D341*INDEX(tblKurallar[deger_2025],MATCH("SGK-002",tblKurallar[kural_id],0))+$E341*INDEX(tblKurallar[deger_2025],MATCH("SGK-004",tblKurallar[kural_id],0))+$F341*sgk_isverenOran,2),0))</f>
        <v/>
      </c>
      <c r="I341" s="37">
        <f>IF($A341="","",IFERROR(MAX(0,$H341-$G341),0))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$C342*INDEX(tblKurallar[deger_2025],MATCH("SGK-001",tblKurallar[kural_id],0))+$D342*INDEX(tblKurallar[deger_2025],MATCH("SGK-002",tblKurallar[kural_id],0))+$E342*INDEX(tblKurallar[deger_2025],MATCH("SGK-004",tblKurallar[kural_id],0))+$F342*sgk_isverenOran,2),0))</f>
        <v/>
      </c>
      <c r="I342" s="37">
        <f>IF($A342="","",IFERROR(MAX(0,$H342-$G342),0))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$C343*INDEX(tblKurallar[deger_2025],MATCH("SGK-001",tblKurallar[kural_id],0))+$D343*INDEX(tblKurallar[deger_2025],MATCH("SGK-002",tblKurallar[kural_id],0))+$E343*INDEX(tblKurallar[deger_2025],MATCH("SGK-004",tblKurallar[kural_id],0))+$F343*sgk_isverenOran,2),0))</f>
        <v/>
      </c>
      <c r="I343" s="37">
        <f>IF($A343="","",IFERROR(MAX(0,$H343-$G343),0))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$C344*INDEX(tblKurallar[deger_2025],MATCH("SGK-001",tblKurallar[kural_id],0))+$D344*INDEX(tblKurallar[deger_2025],MATCH("SGK-002",tblKurallar[kural_id],0))+$E344*INDEX(tblKurallar[deger_2025],MATCH("SGK-004",tblKurallar[kural_id],0))+$F344*sgk_isverenOran,2),0))</f>
        <v/>
      </c>
      <c r="I344" s="37">
        <f>IF($A344="","",IFERROR(MAX(0,$H344-$G344),0))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$C345*INDEX(tblKurallar[deger_2025],MATCH("SGK-001",tblKurallar[kural_id],0))+$D345*INDEX(tblKurallar[deger_2025],MATCH("SGK-002",tblKurallar[kural_id],0))+$E345*INDEX(tblKurallar[deger_2025],MATCH("SGK-004",tblKurallar[kural_id],0))+$F345*sgk_isverenOran,2),0))</f>
        <v/>
      </c>
      <c r="I345" s="37">
        <f>IF($A345="","",IFERROR(MAX(0,$H345-$G345),0))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$C346*INDEX(tblKurallar[deger_2025],MATCH("SGK-001",tblKurallar[kural_id],0))+$D346*INDEX(tblKurallar[deger_2025],MATCH("SGK-002",tblKurallar[kural_id],0))+$E346*INDEX(tblKurallar[deger_2025],MATCH("SGK-004",tblKurallar[kural_id],0))+$F346*sgk_isverenOran,2),0))</f>
        <v/>
      </c>
      <c r="I346" s="37">
        <f>IF($A346="","",IFERROR(MAX(0,$H346-$G346),0))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$C347*INDEX(tblKurallar[deger_2025],MATCH("SGK-001",tblKurallar[kural_id],0))+$D347*INDEX(tblKurallar[deger_2025],MATCH("SGK-002",tblKurallar[kural_id],0))+$E347*INDEX(tblKurallar[deger_2025],MATCH("SGK-004",tblKurallar[kural_id],0))+$F347*sgk_isverenOran,2),0))</f>
        <v/>
      </c>
      <c r="I347" s="37">
        <f>IF($A347="","",IFERROR(MAX(0,$H347-$G347),0))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$C348*INDEX(tblKurallar[deger_2025],MATCH("SGK-001",tblKurallar[kural_id],0))+$D348*INDEX(tblKurallar[deger_2025],MATCH("SGK-002",tblKurallar[kural_id],0))+$E348*INDEX(tblKurallar[deger_2025],MATCH("SGK-004",tblKurallar[kural_id],0))+$F348*sgk_isverenOran,2),0))</f>
        <v/>
      </c>
      <c r="I348" s="37">
        <f>IF($A348="","",IFERROR(MAX(0,$H348-$G348),0))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$C349*INDEX(tblKurallar[deger_2025],MATCH("SGK-001",tblKurallar[kural_id],0))+$D349*INDEX(tblKurallar[deger_2025],MATCH("SGK-002",tblKurallar[kural_id],0))+$E349*INDEX(tblKurallar[deger_2025],MATCH("SGK-004",tblKurallar[kural_id],0))+$F349*sgk_isverenOran,2),0))</f>
        <v/>
      </c>
      <c r="I349" s="37">
        <f>IF($A349="","",IFERROR(MAX(0,$H349-$G349),0))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$C350*INDEX(tblKurallar[deger_2025],MATCH("SGK-001",tblKurallar[kural_id],0))+$D350*INDEX(tblKurallar[deger_2025],MATCH("SGK-002",tblKurallar[kural_id],0))+$E350*INDEX(tblKurallar[deger_2025],MATCH("SGK-004",tblKurallar[kural_id],0))+$F350*sgk_isverenOran,2),0))</f>
        <v/>
      </c>
      <c r="I350" s="37">
        <f>IF($A350="","",IFERROR(MAX(0,$H350-$G350),0))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$C351*INDEX(tblKurallar[deger_2025],MATCH("SGK-001",tblKurallar[kural_id],0))+$D351*INDEX(tblKurallar[deger_2025],MATCH("SGK-002",tblKurallar[kural_id],0))+$E351*INDEX(tblKurallar[deger_2025],MATCH("SGK-004",tblKurallar[kural_id],0))+$F351*sgk_isverenOran,2),0))</f>
        <v/>
      </c>
      <c r="I351" s="37">
        <f>IF($A351="","",IFERROR(MAX(0,$H351-$G351),0))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$C352*INDEX(tblKurallar[deger_2025],MATCH("SGK-001",tblKurallar[kural_id],0))+$D352*INDEX(tblKurallar[deger_2025],MATCH("SGK-002",tblKurallar[kural_id],0))+$E352*INDEX(tblKurallar[deger_2025],MATCH("SGK-004",tblKurallar[kural_id],0))+$F352*sgk_isverenOran,2),0))</f>
        <v/>
      </c>
      <c r="I352" s="37">
        <f>IF($A352="","",IFERROR(MAX(0,$H352-$G352),0))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$C353*INDEX(tblKurallar[deger_2025],MATCH("SGK-001",tblKurallar[kural_id],0))+$D353*INDEX(tblKurallar[deger_2025],MATCH("SGK-002",tblKurallar[kural_id],0))+$E353*INDEX(tblKurallar[deger_2025],MATCH("SGK-004",tblKurallar[kural_id],0))+$F353*sgk_isverenOran,2),0))</f>
        <v/>
      </c>
      <c r="I353" s="37">
        <f>IF($A353="","",IFERROR(MAX(0,$H353-$G353),0))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$C354*INDEX(tblKurallar[deger_2025],MATCH("SGK-001",tblKurallar[kural_id],0))+$D354*INDEX(tblKurallar[deger_2025],MATCH("SGK-002",tblKurallar[kural_id],0))+$E354*INDEX(tblKurallar[deger_2025],MATCH("SGK-004",tblKurallar[kural_id],0))+$F354*sgk_isverenOran,2),0))</f>
        <v/>
      </c>
      <c r="I354" s="37">
        <f>IF($A354="","",IFERROR(MAX(0,$H354-$G354),0))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$C355*INDEX(tblKurallar[deger_2025],MATCH("SGK-001",tblKurallar[kural_id],0))+$D355*INDEX(tblKurallar[deger_2025],MATCH("SGK-002",tblKurallar[kural_id],0))+$E355*INDEX(tblKurallar[deger_2025],MATCH("SGK-004",tblKurallar[kural_id],0))+$F355*sgk_isverenOran,2),0))</f>
        <v/>
      </c>
      <c r="I355" s="37">
        <f>IF($A355="","",IFERROR(MAX(0,$H355-$G355),0))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$C356*INDEX(tblKurallar[deger_2025],MATCH("SGK-001",tblKurallar[kural_id],0))+$D356*INDEX(tblKurallar[deger_2025],MATCH("SGK-002",tblKurallar[kural_id],0))+$E356*INDEX(tblKurallar[deger_2025],MATCH("SGK-004",tblKurallar[kural_id],0))+$F356*sgk_isverenOran,2),0))</f>
        <v/>
      </c>
      <c r="I356" s="37">
        <f>IF($A356="","",IFERROR(MAX(0,$H356-$G356),0))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$C357*INDEX(tblKurallar[deger_2025],MATCH("SGK-001",tblKurallar[kural_id],0))+$D357*INDEX(tblKurallar[deger_2025],MATCH("SGK-002",tblKurallar[kural_id],0))+$E357*INDEX(tblKurallar[deger_2025],MATCH("SGK-004",tblKurallar[kural_id],0))+$F357*sgk_isverenOran,2),0))</f>
        <v/>
      </c>
      <c r="I357" s="37">
        <f>IF($A357="","",IFERROR(MAX(0,$H357-$G357),0))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$C358*INDEX(tblKurallar[deger_2025],MATCH("SGK-001",tblKurallar[kural_id],0))+$D358*INDEX(tblKurallar[deger_2025],MATCH("SGK-002",tblKurallar[kural_id],0))+$E358*INDEX(tblKurallar[deger_2025],MATCH("SGK-004",tblKurallar[kural_id],0))+$F358*sgk_isverenOran,2),0))</f>
        <v/>
      </c>
      <c r="I358" s="37">
        <f>IF($A358="","",IFERROR(MAX(0,$H358-$G358),0))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$C359*INDEX(tblKurallar[deger_2025],MATCH("SGK-001",tblKurallar[kural_id],0))+$D359*INDEX(tblKurallar[deger_2025],MATCH("SGK-002",tblKurallar[kural_id],0))+$E359*INDEX(tblKurallar[deger_2025],MATCH("SGK-004",tblKurallar[kural_id],0))+$F359*sgk_isverenOran,2),0))</f>
        <v/>
      </c>
      <c r="I359" s="37">
        <f>IF($A359="","",IFERROR(MAX(0,$H359-$G359),0))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$C360*INDEX(tblKurallar[deger_2025],MATCH("SGK-001",tblKurallar[kural_id],0))+$D360*INDEX(tblKurallar[deger_2025],MATCH("SGK-002",tblKurallar[kural_id],0))+$E360*INDEX(tblKurallar[deger_2025],MATCH("SGK-004",tblKurallar[kural_id],0))+$F360*sgk_isverenOran,2),0))</f>
        <v/>
      </c>
      <c r="I360" s="37">
        <f>IF($A360="","",IFERROR(MAX(0,$H360-$G360),0))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$C361*INDEX(tblKurallar[deger_2025],MATCH("SGK-001",tblKurallar[kural_id],0))+$D361*INDEX(tblKurallar[deger_2025],MATCH("SGK-002",tblKurallar[kural_id],0))+$E361*INDEX(tblKurallar[deger_2025],MATCH("SGK-004",tblKurallar[kural_id],0))+$F361*sgk_isverenOran,2),0))</f>
        <v/>
      </c>
      <c r="I361" s="37">
        <f>IF($A361="","",IFERROR(MAX(0,$H361-$G361),0))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$C362*INDEX(tblKurallar[deger_2025],MATCH("SGK-001",tblKurallar[kural_id],0))+$D362*INDEX(tblKurallar[deger_2025],MATCH("SGK-002",tblKurallar[kural_id],0))+$E362*INDEX(tblKurallar[deger_2025],MATCH("SGK-004",tblKurallar[kural_id],0))+$F362*sgk_isverenOran,2),0))</f>
        <v/>
      </c>
      <c r="I362" s="37">
        <f>IF($A362="","",IFERROR(MAX(0,$H362-$G362),0))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$C363*INDEX(tblKurallar[deger_2025],MATCH("SGK-001",tblKurallar[kural_id],0))+$D363*INDEX(tblKurallar[deger_2025],MATCH("SGK-002",tblKurallar[kural_id],0))+$E363*INDEX(tblKurallar[deger_2025],MATCH("SGK-004",tblKurallar[kural_id],0))+$F363*sgk_isverenOran,2),0))</f>
        <v/>
      </c>
      <c r="I363" s="37">
        <f>IF($A363="","",IFERROR(MAX(0,$H363-$G363),0))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$C364*INDEX(tblKurallar[deger_2025],MATCH("SGK-001",tblKurallar[kural_id],0))+$D364*INDEX(tblKurallar[deger_2025],MATCH("SGK-002",tblKurallar[kural_id],0))+$E364*INDEX(tblKurallar[deger_2025],MATCH("SGK-004",tblKurallar[kural_id],0))+$F364*sgk_isverenOran,2),0))</f>
        <v/>
      </c>
      <c r="I364" s="37">
        <f>IF($A364="","",IFERROR(MAX(0,$H364-$G364),0))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$C365*INDEX(tblKurallar[deger_2025],MATCH("SGK-001",tblKurallar[kural_id],0))+$D365*INDEX(tblKurallar[deger_2025],MATCH("SGK-002",tblKurallar[kural_id],0))+$E365*INDEX(tblKurallar[deger_2025],MATCH("SGK-004",tblKurallar[kural_id],0))+$F365*sgk_isverenOran,2),0))</f>
        <v/>
      </c>
      <c r="I365" s="37">
        <f>IF($A365="","",IFERROR(MAX(0,$H365-$G365),0))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$C366*INDEX(tblKurallar[deger_2025],MATCH("SGK-001",tblKurallar[kural_id],0))+$D366*INDEX(tblKurallar[deger_2025],MATCH("SGK-002",tblKurallar[kural_id],0))+$E366*INDEX(tblKurallar[deger_2025],MATCH("SGK-004",tblKurallar[kural_id],0))+$F366*sgk_isverenOran,2),0))</f>
        <v/>
      </c>
      <c r="I366" s="37">
        <f>IF($A366="","",IFERROR(MAX(0,$H366-$G366),0))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$C367*INDEX(tblKurallar[deger_2025],MATCH("SGK-001",tblKurallar[kural_id],0))+$D367*INDEX(tblKurallar[deger_2025],MATCH("SGK-002",tblKurallar[kural_id],0))+$E367*INDEX(tblKurallar[deger_2025],MATCH("SGK-004",tblKurallar[kural_id],0))+$F367*sgk_isverenOran,2),0))</f>
        <v/>
      </c>
      <c r="I367" s="37">
        <f>IF($A367="","",IFERROR(MAX(0,$H367-$G367),0))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$C368*INDEX(tblKurallar[deger_2025],MATCH("SGK-001",tblKurallar[kural_id],0))+$D368*INDEX(tblKurallar[deger_2025],MATCH("SGK-002",tblKurallar[kural_id],0))+$E368*INDEX(tblKurallar[deger_2025],MATCH("SGK-004",tblKurallar[kural_id],0))+$F368*sgk_isverenOran,2),0))</f>
        <v/>
      </c>
      <c r="I368" s="37">
        <f>IF($A368="","",IFERROR(MAX(0,$H368-$G368),0))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$C369*INDEX(tblKurallar[deger_2025],MATCH("SGK-001",tblKurallar[kural_id],0))+$D369*INDEX(tblKurallar[deger_2025],MATCH("SGK-002",tblKurallar[kural_id],0))+$E369*INDEX(tblKurallar[deger_2025],MATCH("SGK-004",tblKurallar[kural_id],0))+$F369*sgk_isverenOran,2),0))</f>
        <v/>
      </c>
      <c r="I369" s="37">
        <f>IF($A369="","",IFERROR(MAX(0,$H369-$G369),0))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$C370*INDEX(tblKurallar[deger_2025],MATCH("SGK-001",tblKurallar[kural_id],0))+$D370*INDEX(tblKurallar[deger_2025],MATCH("SGK-002",tblKurallar[kural_id],0))+$E370*INDEX(tblKurallar[deger_2025],MATCH("SGK-004",tblKurallar[kural_id],0))+$F370*sgk_isverenOran,2),0))</f>
        <v/>
      </c>
      <c r="I370" s="37">
        <f>IF($A370="","",IFERROR(MAX(0,$H370-$G370),0))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$C371*INDEX(tblKurallar[deger_2025],MATCH("SGK-001",tblKurallar[kural_id],0))+$D371*INDEX(tblKurallar[deger_2025],MATCH("SGK-002",tblKurallar[kural_id],0))+$E371*INDEX(tblKurallar[deger_2025],MATCH("SGK-004",tblKurallar[kural_id],0))+$F371*sgk_isverenOran,2),0))</f>
        <v/>
      </c>
      <c r="I371" s="37">
        <f>IF($A371="","",IFERROR(MAX(0,$H371-$G371),0))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$C372*INDEX(tblKurallar[deger_2025],MATCH("SGK-001",tblKurallar[kural_id],0))+$D372*INDEX(tblKurallar[deger_2025],MATCH("SGK-002",tblKurallar[kural_id],0))+$E372*INDEX(tblKurallar[deger_2025],MATCH("SGK-004",tblKurallar[kural_id],0))+$F372*sgk_isverenOran,2),0))</f>
        <v/>
      </c>
      <c r="I372" s="37">
        <f>IF($A372="","",IFERROR(MAX(0,$H372-$G372),0))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$C373*INDEX(tblKurallar[deger_2025],MATCH("SGK-001",tblKurallar[kural_id],0))+$D373*INDEX(tblKurallar[deger_2025],MATCH("SGK-002",tblKurallar[kural_id],0))+$E373*INDEX(tblKurallar[deger_2025],MATCH("SGK-004",tblKurallar[kural_id],0))+$F373*sgk_isverenOran,2),0))</f>
        <v/>
      </c>
      <c r="I373" s="37">
        <f>IF($A373="","",IFERROR(MAX(0,$H373-$G373),0))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$C374*INDEX(tblKurallar[deger_2025],MATCH("SGK-001",tblKurallar[kural_id],0))+$D374*INDEX(tblKurallar[deger_2025],MATCH("SGK-002",tblKurallar[kural_id],0))+$E374*INDEX(tblKurallar[deger_2025],MATCH("SGK-004",tblKurallar[kural_id],0))+$F374*sgk_isverenOran,2),0))</f>
        <v/>
      </c>
      <c r="I374" s="37">
        <f>IF($A374="","",IFERROR(MAX(0,$H374-$G374),0))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$C375*INDEX(tblKurallar[deger_2025],MATCH("SGK-001",tblKurallar[kural_id],0))+$D375*INDEX(tblKurallar[deger_2025],MATCH("SGK-002",tblKurallar[kural_id],0))+$E375*INDEX(tblKurallar[deger_2025],MATCH("SGK-004",tblKurallar[kural_id],0))+$F375*sgk_isverenOran,2),0))</f>
        <v/>
      </c>
      <c r="I375" s="37">
        <f>IF($A375="","",IFERROR(MAX(0,$H375-$G375),0))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$C376*INDEX(tblKurallar[deger_2025],MATCH("SGK-001",tblKurallar[kural_id],0))+$D376*INDEX(tblKurallar[deger_2025],MATCH("SGK-002",tblKurallar[kural_id],0))+$E376*INDEX(tblKurallar[deger_2025],MATCH("SGK-004",tblKurallar[kural_id],0))+$F376*sgk_isverenOran,2),0))</f>
        <v/>
      </c>
      <c r="I376" s="37">
        <f>IF($A376="","",IFERROR(MAX(0,$H376-$G376),0))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$C377*INDEX(tblKurallar[deger_2025],MATCH("SGK-001",tblKurallar[kural_id],0))+$D377*INDEX(tblKurallar[deger_2025],MATCH("SGK-002",tblKurallar[kural_id],0))+$E377*INDEX(tblKurallar[deger_2025],MATCH("SGK-004",tblKurallar[kural_id],0))+$F377*sgk_isverenOran,2),0))</f>
        <v/>
      </c>
      <c r="I377" s="37">
        <f>IF($A377="","",IFERROR(MAX(0,$H377-$G377),0))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$C378*INDEX(tblKurallar[deger_2025],MATCH("SGK-001",tblKurallar[kural_id],0))+$D378*INDEX(tblKurallar[deger_2025],MATCH("SGK-002",tblKurallar[kural_id],0))+$E378*INDEX(tblKurallar[deger_2025],MATCH("SGK-004",tblKurallar[kural_id],0))+$F378*sgk_isverenOran,2),0))</f>
        <v/>
      </c>
      <c r="I378" s="37">
        <f>IF($A378="","",IFERROR(MAX(0,$H378-$G378),0))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$C379*INDEX(tblKurallar[deger_2025],MATCH("SGK-001",tblKurallar[kural_id],0))+$D379*INDEX(tblKurallar[deger_2025],MATCH("SGK-002",tblKurallar[kural_id],0))+$E379*INDEX(tblKurallar[deger_2025],MATCH("SGK-004",tblKurallar[kural_id],0))+$F379*sgk_isverenOran,2),0))</f>
        <v/>
      </c>
      <c r="I379" s="37">
        <f>IF($A379="","",IFERROR(MAX(0,$H379-$G379),0))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$C380*INDEX(tblKurallar[deger_2025],MATCH("SGK-001",tblKurallar[kural_id],0))+$D380*INDEX(tblKurallar[deger_2025],MATCH("SGK-002",tblKurallar[kural_id],0))+$E380*INDEX(tblKurallar[deger_2025],MATCH("SGK-004",tblKurallar[kural_id],0))+$F380*sgk_isverenOran,2),0))</f>
        <v/>
      </c>
      <c r="I380" s="37">
        <f>IF($A380="","",IFERROR(MAX(0,$H380-$G380),0))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$C381*INDEX(tblKurallar[deger_2025],MATCH("SGK-001",tblKurallar[kural_id],0))+$D381*INDEX(tblKurallar[deger_2025],MATCH("SGK-002",tblKurallar[kural_id],0))+$E381*INDEX(tblKurallar[deger_2025],MATCH("SGK-004",tblKurallar[kural_id],0))+$F381*sgk_isverenOran,2),0))</f>
        <v/>
      </c>
      <c r="I381" s="37">
        <f>IF($A381="","",IFERROR(MAX(0,$H381-$G381),0))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$C382*INDEX(tblKurallar[deger_2025],MATCH("SGK-001",tblKurallar[kural_id],0))+$D382*INDEX(tblKurallar[deger_2025],MATCH("SGK-002",tblKurallar[kural_id],0))+$E382*INDEX(tblKurallar[deger_2025],MATCH("SGK-004",tblKurallar[kural_id],0))+$F382*sgk_isverenOran,2),0))</f>
        <v/>
      </c>
      <c r="I382" s="37">
        <f>IF($A382="","",IFERROR(MAX(0,$H382-$G382),0))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$C383*INDEX(tblKurallar[deger_2025],MATCH("SGK-001",tblKurallar[kural_id],0))+$D383*INDEX(tblKurallar[deger_2025],MATCH("SGK-002",tblKurallar[kural_id],0))+$E383*INDEX(tblKurallar[deger_2025],MATCH("SGK-004",tblKurallar[kural_id],0))+$F383*sgk_isverenOran,2),0))</f>
        <v/>
      </c>
      <c r="I383" s="37">
        <f>IF($A383="","",IFERROR(MAX(0,$H383-$G383),0))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$C384*INDEX(tblKurallar[deger_2025],MATCH("SGK-001",tblKurallar[kural_id],0))+$D384*INDEX(tblKurallar[deger_2025],MATCH("SGK-002",tblKurallar[kural_id],0))+$E384*INDEX(tblKurallar[deger_2025],MATCH("SGK-004",tblKurallar[kural_id],0))+$F384*sgk_isverenOran,2),0))</f>
        <v/>
      </c>
      <c r="I384" s="37">
        <f>IF($A384="","",IFERROR(MAX(0,$H384-$G384),0))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$C385*INDEX(tblKurallar[deger_2025],MATCH("SGK-001",tblKurallar[kural_id],0))+$D385*INDEX(tblKurallar[deger_2025],MATCH("SGK-002",tblKurallar[kural_id],0))+$E385*INDEX(tblKurallar[deger_2025],MATCH("SGK-004",tblKurallar[kural_id],0))+$F385*sgk_isverenOran,2),0))</f>
        <v/>
      </c>
      <c r="I385" s="37">
        <f>IF($A385="","",IFERROR(MAX(0,$H385-$G385),0))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$C386*INDEX(tblKurallar[deger_2025],MATCH("SGK-001",tblKurallar[kural_id],0))+$D386*INDEX(tblKurallar[deger_2025],MATCH("SGK-002",tblKurallar[kural_id],0))+$E386*INDEX(tblKurallar[deger_2025],MATCH("SGK-004",tblKurallar[kural_id],0))+$F386*sgk_isverenOran,2),0))</f>
        <v/>
      </c>
      <c r="I386" s="37">
        <f>IF($A386="","",IFERROR(MAX(0,$H386-$G386),0))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$C387*INDEX(tblKurallar[deger_2025],MATCH("SGK-001",tblKurallar[kural_id],0))+$D387*INDEX(tblKurallar[deger_2025],MATCH("SGK-002",tblKurallar[kural_id],0))+$E387*INDEX(tblKurallar[deger_2025],MATCH("SGK-004",tblKurallar[kural_id],0))+$F387*sgk_isverenOran,2),0))</f>
        <v/>
      </c>
      <c r="I387" s="37">
        <f>IF($A387="","",IFERROR(MAX(0,$H387-$G387),0))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$C388*INDEX(tblKurallar[deger_2025],MATCH("SGK-001",tblKurallar[kural_id],0))+$D388*INDEX(tblKurallar[deger_2025],MATCH("SGK-002",tblKurallar[kural_id],0))+$E388*INDEX(tblKurallar[deger_2025],MATCH("SGK-004",tblKurallar[kural_id],0))+$F388*sgk_isverenOran,2),0))</f>
        <v/>
      </c>
      <c r="I388" s="37">
        <f>IF($A388="","",IFERROR(MAX(0,$H388-$G388),0))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$C389*INDEX(tblKurallar[deger_2025],MATCH("SGK-001",tblKurallar[kural_id],0))+$D389*INDEX(tblKurallar[deger_2025],MATCH("SGK-002",tblKurallar[kural_id],0))+$E389*INDEX(tblKurallar[deger_2025],MATCH("SGK-004",tblKurallar[kural_id],0))+$F389*sgk_isverenOran,2),0))</f>
        <v/>
      </c>
      <c r="I389" s="37">
        <f>IF($A389="","",IFERROR(MAX(0,$H389-$G389),0))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$C390*INDEX(tblKurallar[deger_2025],MATCH("SGK-001",tblKurallar[kural_id],0))+$D390*INDEX(tblKurallar[deger_2025],MATCH("SGK-002",tblKurallar[kural_id],0))+$E390*INDEX(tblKurallar[deger_2025],MATCH("SGK-004",tblKurallar[kural_id],0))+$F390*sgk_isverenOran,2),0))</f>
        <v/>
      </c>
      <c r="I390" s="37">
        <f>IF($A390="","",IFERROR(MAX(0,$H390-$G390),0))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$C391*INDEX(tblKurallar[deger_2025],MATCH("SGK-001",tblKurallar[kural_id],0))+$D391*INDEX(tblKurallar[deger_2025],MATCH("SGK-002",tblKurallar[kural_id],0))+$E391*INDEX(tblKurallar[deger_2025],MATCH("SGK-004",tblKurallar[kural_id],0))+$F391*sgk_isverenOran,2),0))</f>
        <v/>
      </c>
      <c r="I391" s="37">
        <f>IF($A391="","",IFERROR(MAX(0,$H391-$G391),0))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$C392*INDEX(tblKurallar[deger_2025],MATCH("SGK-001",tblKurallar[kural_id],0))+$D392*INDEX(tblKurallar[deger_2025],MATCH("SGK-002",tblKurallar[kural_id],0))+$E392*INDEX(tblKurallar[deger_2025],MATCH("SGK-004",tblKurallar[kural_id],0))+$F392*sgk_isverenOran,2),0))</f>
        <v/>
      </c>
      <c r="I392" s="37">
        <f>IF($A392="","",IFERROR(MAX(0,$H392-$G392),0))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$C393*INDEX(tblKurallar[deger_2025],MATCH("SGK-001",tblKurallar[kural_id],0))+$D393*INDEX(tblKurallar[deger_2025],MATCH("SGK-002",tblKurallar[kural_id],0))+$E393*INDEX(tblKurallar[deger_2025],MATCH("SGK-004",tblKurallar[kural_id],0))+$F393*sgk_isverenOran,2),0))</f>
        <v/>
      </c>
      <c r="I393" s="37">
        <f>IF($A393="","",IFERROR(MAX(0,$H393-$G393),0))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$C394*INDEX(tblKurallar[deger_2025],MATCH("SGK-001",tblKurallar[kural_id],0))+$D394*INDEX(tblKurallar[deger_2025],MATCH("SGK-002",tblKurallar[kural_id],0))+$E394*INDEX(tblKurallar[deger_2025],MATCH("SGK-004",tblKurallar[kural_id],0))+$F394*sgk_isverenOran,2),0))</f>
        <v/>
      </c>
      <c r="I394" s="37">
        <f>IF($A394="","",IFERROR(MAX(0,$H394-$G394),0))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$C395*INDEX(tblKurallar[deger_2025],MATCH("SGK-001",tblKurallar[kural_id],0))+$D395*INDEX(tblKurallar[deger_2025],MATCH("SGK-002",tblKurallar[kural_id],0))+$E395*INDEX(tblKurallar[deger_2025],MATCH("SGK-004",tblKurallar[kural_id],0))+$F395*sgk_isverenOran,2),0))</f>
        <v/>
      </c>
      <c r="I395" s="37">
        <f>IF($A395="","",IFERROR(MAX(0,$H395-$G395),0))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$C396*INDEX(tblKurallar[deger_2025],MATCH("SGK-001",tblKurallar[kural_id],0))+$D396*INDEX(tblKurallar[deger_2025],MATCH("SGK-002",tblKurallar[kural_id],0))+$E396*INDEX(tblKurallar[deger_2025],MATCH("SGK-004",tblKurallar[kural_id],0))+$F396*sgk_isverenOran,2),0))</f>
        <v/>
      </c>
      <c r="I396" s="37">
        <f>IF($A396="","",IFERROR(MAX(0,$H396-$G396),0))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$C397*INDEX(tblKurallar[deger_2025],MATCH("SGK-001",tblKurallar[kural_id],0))+$D397*INDEX(tblKurallar[deger_2025],MATCH("SGK-002",tblKurallar[kural_id],0))+$E397*INDEX(tblKurallar[deger_2025],MATCH("SGK-004",tblKurallar[kural_id],0))+$F397*sgk_isverenOran,2),0))</f>
        <v/>
      </c>
      <c r="I397" s="37">
        <f>IF($A397="","",IFERROR(MAX(0,$H397-$G397),0))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$C398*INDEX(tblKurallar[deger_2025],MATCH("SGK-001",tblKurallar[kural_id],0))+$D398*INDEX(tblKurallar[deger_2025],MATCH("SGK-002",tblKurallar[kural_id],0))+$E398*INDEX(tblKurallar[deger_2025],MATCH("SGK-004",tblKurallar[kural_id],0))+$F398*sgk_isverenOran,2),0))</f>
        <v/>
      </c>
      <c r="I398" s="37">
        <f>IF($A398="","",IFERROR(MAX(0,$H398-$G398),0))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$C399*INDEX(tblKurallar[deger_2025],MATCH("SGK-001",tblKurallar[kural_id],0))+$D399*INDEX(tblKurallar[deger_2025],MATCH("SGK-002",tblKurallar[kural_id],0))+$E399*INDEX(tblKurallar[deger_2025],MATCH("SGK-004",tblKurallar[kural_id],0))+$F399*sgk_isverenOran,2),0))</f>
        <v/>
      </c>
      <c r="I399" s="37">
        <f>IF($A399="","",IFERROR(MAX(0,$H399-$G399),0))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$C400*INDEX(tblKurallar[deger_2025],MATCH("SGK-001",tblKurallar[kural_id],0))+$D400*INDEX(tblKurallar[deger_2025],MATCH("SGK-002",tblKurallar[kural_id],0))+$E400*INDEX(tblKurallar[deger_2025],MATCH("SGK-004",tblKurallar[kural_id],0))+$F400*sgk_isverenOran,2),0))</f>
        <v/>
      </c>
      <c r="I400" s="37">
        <f>IF($A400="","",IFERROR(MAX(0,$H400-$G400),0))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$C401*INDEX(tblKurallar[deger_2025],MATCH("SGK-001",tblKurallar[kural_id],0))+$D401*INDEX(tblKurallar[deger_2025],MATCH("SGK-002",tblKurallar[kural_id],0))+$E401*INDEX(tblKurallar[deger_2025],MATCH("SGK-004",tblKurallar[kural_id],0))+$F401*sgk_isverenOran,2),0))</f>
        <v/>
      </c>
      <c r="I401" s="37">
        <f>IF($A401="","",IFERROR(MAX(0,$H401-$G401),0))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$C402*INDEX(tblKurallar[deger_2025],MATCH("SGK-001",tblKurallar[kural_id],0))+$D402*INDEX(tblKurallar[deger_2025],MATCH("SGK-002",tblKurallar[kural_id],0))+$E402*INDEX(tblKurallar[deger_2025],MATCH("SGK-004",tblKurallar[kural_id],0))+$F402*sgk_isverenOran,2),0))</f>
        <v/>
      </c>
      <c r="I402" s="37">
        <f>IF($A402="","",IFERROR(MAX(0,$H402-$G402),0))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$C403*INDEX(tblKurallar[deger_2025],MATCH("SGK-001",tblKurallar[kural_id],0))+$D403*INDEX(tblKurallar[deger_2025],MATCH("SGK-002",tblKurallar[kural_id],0))+$E403*INDEX(tblKurallar[deger_2025],MATCH("SGK-004",tblKurallar[kural_id],0))+$F403*sgk_isverenOran,2),0))</f>
        <v/>
      </c>
      <c r="I403" s="37">
        <f>IF($A403="","",IFERROR(MAX(0,$H403-$G403),0))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$C404*INDEX(tblKurallar[deger_2025],MATCH("SGK-001",tblKurallar[kural_id],0))+$D404*INDEX(tblKurallar[deger_2025],MATCH("SGK-002",tblKurallar[kural_id],0))+$E404*INDEX(tblKurallar[deger_2025],MATCH("SGK-004",tblKurallar[kural_id],0))+$F404*sgk_isverenOran,2),0))</f>
        <v/>
      </c>
      <c r="I404" s="37">
        <f>IF($A404="","",IFERROR(MAX(0,$H404-$G404),0))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$C405*INDEX(tblKurallar[deger_2025],MATCH("SGK-001",tblKurallar[kural_id],0))+$D405*INDEX(tblKurallar[deger_2025],MATCH("SGK-002",tblKurallar[kural_id],0))+$E405*INDEX(tblKurallar[deger_2025],MATCH("SGK-004",tblKurallar[kural_id],0))+$F405*sgk_isverenOran,2),0))</f>
        <v/>
      </c>
      <c r="I405" s="37">
        <f>IF($A405="","",IFERROR(MAX(0,$H405-$G405),0))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$C406*INDEX(tblKurallar[deger_2025],MATCH("SGK-001",tblKurallar[kural_id],0))+$D406*INDEX(tblKurallar[deger_2025],MATCH("SGK-002",tblKurallar[kural_id],0))+$E406*INDEX(tblKurallar[deger_2025],MATCH("SGK-004",tblKurallar[kural_id],0))+$F406*sgk_isverenOran,2),0))</f>
        <v/>
      </c>
      <c r="I406" s="37">
        <f>IF($A406="","",IFERROR(MAX(0,$H406-$G406),0))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$C407*INDEX(tblKurallar[deger_2025],MATCH("SGK-001",tblKurallar[kural_id],0))+$D407*INDEX(tblKurallar[deger_2025],MATCH("SGK-002",tblKurallar[kural_id],0))+$E407*INDEX(tblKurallar[deger_2025],MATCH("SGK-004",tblKurallar[kural_id],0))+$F407*sgk_isverenOran,2),0))</f>
        <v/>
      </c>
      <c r="I407" s="37">
        <f>IF($A407="","",IFERROR(MAX(0,$H407-$G407),0))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$C408*INDEX(tblKurallar[deger_2025],MATCH("SGK-001",tblKurallar[kural_id],0))+$D408*INDEX(tblKurallar[deger_2025],MATCH("SGK-002",tblKurallar[kural_id],0))+$E408*INDEX(tblKurallar[deger_2025],MATCH("SGK-004",tblKurallar[kural_id],0))+$F408*sgk_isverenOran,2),0))</f>
        <v/>
      </c>
      <c r="I408" s="37">
        <f>IF($A408="","",IFERROR(MAX(0,$H408-$G408),0))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$C409*INDEX(tblKurallar[deger_2025],MATCH("SGK-001",tblKurallar[kural_id],0))+$D409*INDEX(tblKurallar[deger_2025],MATCH("SGK-002",tblKurallar[kural_id],0))+$E409*INDEX(tblKurallar[deger_2025],MATCH("SGK-004",tblKurallar[kural_id],0))+$F409*sgk_isverenOran,2),0))</f>
        <v/>
      </c>
      <c r="I409" s="37">
        <f>IF($A409="","",IFERROR(MAX(0,$H409-$G409),0))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$C410*INDEX(tblKurallar[deger_2025],MATCH("SGK-001",tblKurallar[kural_id],0))+$D410*INDEX(tblKurallar[deger_2025],MATCH("SGK-002",tblKurallar[kural_id],0))+$E410*INDEX(tblKurallar[deger_2025],MATCH("SGK-004",tblKurallar[kural_id],0))+$F410*sgk_isverenOran,2),0))</f>
        <v/>
      </c>
      <c r="I410" s="37">
        <f>IF($A410="","",IFERROR(MAX(0,$H410-$G410),0))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$C411*INDEX(tblKurallar[deger_2025],MATCH("SGK-001",tblKurallar[kural_id],0))+$D411*INDEX(tblKurallar[deger_2025],MATCH("SGK-002",tblKurallar[kural_id],0))+$E411*INDEX(tblKurallar[deger_2025],MATCH("SGK-004",tblKurallar[kural_id],0))+$F411*sgk_isverenOran,2),0))</f>
        <v/>
      </c>
      <c r="I411" s="37">
        <f>IF($A411="","",IFERROR(MAX(0,$H411-$G411),0))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$C412*INDEX(tblKurallar[deger_2025],MATCH("SGK-001",tblKurallar[kural_id],0))+$D412*INDEX(tblKurallar[deger_2025],MATCH("SGK-002",tblKurallar[kural_id],0))+$E412*INDEX(tblKurallar[deger_2025],MATCH("SGK-004",tblKurallar[kural_id],0))+$F412*sgk_isverenOran,2),0))</f>
        <v/>
      </c>
      <c r="I412" s="37">
        <f>IF($A412="","",IFERROR(MAX(0,$H412-$G412),0))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$C413*INDEX(tblKurallar[deger_2025],MATCH("SGK-001",tblKurallar[kural_id],0))+$D413*INDEX(tblKurallar[deger_2025],MATCH("SGK-002",tblKurallar[kural_id],0))+$E413*INDEX(tblKurallar[deger_2025],MATCH("SGK-004",tblKurallar[kural_id],0))+$F413*sgk_isverenOran,2),0))</f>
        <v/>
      </c>
      <c r="I413" s="37">
        <f>IF($A413="","",IFERROR(MAX(0,$H413-$G413),0))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$C414*INDEX(tblKurallar[deger_2025],MATCH("SGK-001",tblKurallar[kural_id],0))+$D414*INDEX(tblKurallar[deger_2025],MATCH("SGK-002",tblKurallar[kural_id],0))+$E414*INDEX(tblKurallar[deger_2025],MATCH("SGK-004",tblKurallar[kural_id],0))+$F414*sgk_isverenOran,2),0))</f>
        <v/>
      </c>
      <c r="I414" s="37">
        <f>IF($A414="","",IFERROR(MAX(0,$H414-$G414),0))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$C415*INDEX(tblKurallar[deger_2025],MATCH("SGK-001",tblKurallar[kural_id],0))+$D415*INDEX(tblKurallar[deger_2025],MATCH("SGK-002",tblKurallar[kural_id],0))+$E415*INDEX(tblKurallar[deger_2025],MATCH("SGK-004",tblKurallar[kural_id],0))+$F415*sgk_isverenOran,2),0))</f>
        <v/>
      </c>
      <c r="I415" s="37">
        <f>IF($A415="","",IFERROR(MAX(0,$H415-$G415),0))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$C416*INDEX(tblKurallar[deger_2025],MATCH("SGK-001",tblKurallar[kural_id],0))+$D416*INDEX(tblKurallar[deger_2025],MATCH("SGK-002",tblKurallar[kural_id],0))+$E416*INDEX(tblKurallar[deger_2025],MATCH("SGK-004",tblKurallar[kural_id],0))+$F416*sgk_isverenOran,2),0))</f>
        <v/>
      </c>
      <c r="I416" s="37">
        <f>IF($A416="","",IFERROR(MAX(0,$H416-$G416),0))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$C417*INDEX(tblKurallar[deger_2025],MATCH("SGK-001",tblKurallar[kural_id],0))+$D417*INDEX(tblKurallar[deger_2025],MATCH("SGK-002",tblKurallar[kural_id],0))+$E417*INDEX(tblKurallar[deger_2025],MATCH("SGK-004",tblKurallar[kural_id],0))+$F417*sgk_isverenOran,2),0))</f>
        <v/>
      </c>
      <c r="I417" s="37">
        <f>IF($A417="","",IFERROR(MAX(0,$H417-$G417),0))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$C418*INDEX(tblKurallar[deger_2025],MATCH("SGK-001",tblKurallar[kural_id],0))+$D418*INDEX(tblKurallar[deger_2025],MATCH("SGK-002",tblKurallar[kural_id],0))+$E418*INDEX(tblKurallar[deger_2025],MATCH("SGK-004",tblKurallar[kural_id],0))+$F418*sgk_isverenOran,2),0))</f>
        <v/>
      </c>
      <c r="I418" s="37">
        <f>IF($A418="","",IFERROR(MAX(0,$H418-$G418),0))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$C419*INDEX(tblKurallar[deger_2025],MATCH("SGK-001",tblKurallar[kural_id],0))+$D419*INDEX(tblKurallar[deger_2025],MATCH("SGK-002",tblKurallar[kural_id],0))+$E419*INDEX(tblKurallar[deger_2025],MATCH("SGK-004",tblKurallar[kural_id],0))+$F419*sgk_isverenOran,2),0))</f>
        <v/>
      </c>
      <c r="I419" s="37">
        <f>IF($A419="","",IFERROR(MAX(0,$H419-$G419),0))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$C420*INDEX(tblKurallar[deger_2025],MATCH("SGK-001",tblKurallar[kural_id],0))+$D420*INDEX(tblKurallar[deger_2025],MATCH("SGK-002",tblKurallar[kural_id],0))+$E420*INDEX(tblKurallar[deger_2025],MATCH("SGK-004",tblKurallar[kural_id],0))+$F420*sgk_isverenOran,2),0))</f>
        <v/>
      </c>
      <c r="I420" s="37">
        <f>IF($A420="","",IFERROR(MAX(0,$H420-$G420),0))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$C421*INDEX(tblKurallar[deger_2025],MATCH("SGK-001",tblKurallar[kural_id],0))+$D421*INDEX(tblKurallar[deger_2025],MATCH("SGK-002",tblKurallar[kural_id],0))+$E421*INDEX(tblKurallar[deger_2025],MATCH("SGK-004",tblKurallar[kural_id],0))+$F421*sgk_isverenOran,2),0))</f>
        <v/>
      </c>
      <c r="I421" s="37">
        <f>IF($A421="","",IFERROR(MAX(0,$H421-$G421),0))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$C422*INDEX(tblKurallar[deger_2025],MATCH("SGK-001",tblKurallar[kural_id],0))+$D422*INDEX(tblKurallar[deger_2025],MATCH("SGK-002",tblKurallar[kural_id],0))+$E422*INDEX(tblKurallar[deger_2025],MATCH("SGK-004",tblKurallar[kural_id],0))+$F422*sgk_isverenOran,2),0))</f>
        <v/>
      </c>
      <c r="I422" s="37">
        <f>IF($A422="","",IFERROR(MAX(0,$H422-$G422),0))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$C423*INDEX(tblKurallar[deger_2025],MATCH("SGK-001",tblKurallar[kural_id],0))+$D423*INDEX(tblKurallar[deger_2025],MATCH("SGK-002",tblKurallar[kural_id],0))+$E423*INDEX(tblKurallar[deger_2025],MATCH("SGK-004",tblKurallar[kural_id],0))+$F423*sgk_isverenOran,2),0))</f>
        <v/>
      </c>
      <c r="I423" s="37">
        <f>IF($A423="","",IFERROR(MAX(0,$H423-$G423),0))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$C424*INDEX(tblKurallar[deger_2025],MATCH("SGK-001",tblKurallar[kural_id],0))+$D424*INDEX(tblKurallar[deger_2025],MATCH("SGK-002",tblKurallar[kural_id],0))+$E424*INDEX(tblKurallar[deger_2025],MATCH("SGK-004",tblKurallar[kural_id],0))+$F424*sgk_isverenOran,2),0))</f>
        <v/>
      </c>
      <c r="I424" s="37">
        <f>IF($A424="","",IFERROR(MAX(0,$H424-$G424),0))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$C425*INDEX(tblKurallar[deger_2025],MATCH("SGK-001",tblKurallar[kural_id],0))+$D425*INDEX(tblKurallar[deger_2025],MATCH("SGK-002",tblKurallar[kural_id],0))+$E425*INDEX(tblKurallar[deger_2025],MATCH("SGK-004",tblKurallar[kural_id],0))+$F425*sgk_isverenOran,2),0))</f>
        <v/>
      </c>
      <c r="I425" s="37">
        <f>IF($A425="","",IFERROR(MAX(0,$H425-$G425),0))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$C426*INDEX(tblKurallar[deger_2025],MATCH("SGK-001",tblKurallar[kural_id],0))+$D426*INDEX(tblKurallar[deger_2025],MATCH("SGK-002",tblKurallar[kural_id],0))+$E426*INDEX(tblKurallar[deger_2025],MATCH("SGK-004",tblKurallar[kural_id],0))+$F426*sgk_isverenOran,2),0))</f>
        <v/>
      </c>
      <c r="I426" s="37">
        <f>IF($A426="","",IFERROR(MAX(0,$H426-$G426),0))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$C427*INDEX(tblKurallar[deger_2025],MATCH("SGK-001",tblKurallar[kural_id],0))+$D427*INDEX(tblKurallar[deger_2025],MATCH("SGK-002",tblKurallar[kural_id],0))+$E427*INDEX(tblKurallar[deger_2025],MATCH("SGK-004",tblKurallar[kural_id],0))+$F427*sgk_isverenOran,2),0))</f>
        <v/>
      </c>
      <c r="I427" s="37">
        <f>IF($A427="","",IFERROR(MAX(0,$H427-$G427),0))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$C428*INDEX(tblKurallar[deger_2025],MATCH("SGK-001",tblKurallar[kural_id],0))+$D428*INDEX(tblKurallar[deger_2025],MATCH("SGK-002",tblKurallar[kural_id],0))+$E428*INDEX(tblKurallar[deger_2025],MATCH("SGK-004",tblKurallar[kural_id],0))+$F428*sgk_isverenOran,2),0))</f>
        <v/>
      </c>
      <c r="I428" s="37">
        <f>IF($A428="","",IFERROR(MAX(0,$H428-$G428),0))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$C429*INDEX(tblKurallar[deger_2025],MATCH("SGK-001",tblKurallar[kural_id],0))+$D429*INDEX(tblKurallar[deger_2025],MATCH("SGK-002",tblKurallar[kural_id],0))+$E429*INDEX(tblKurallar[deger_2025],MATCH("SGK-004",tblKurallar[kural_id],0))+$F429*sgk_isverenOran,2),0))</f>
        <v/>
      </c>
      <c r="I429" s="37">
        <f>IF($A429="","",IFERROR(MAX(0,$H429-$G429),0))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$C430*INDEX(tblKurallar[deger_2025],MATCH("SGK-001",tblKurallar[kural_id],0))+$D430*INDEX(tblKurallar[deger_2025],MATCH("SGK-002",tblKurallar[kural_id],0))+$E430*INDEX(tblKurallar[deger_2025],MATCH("SGK-004",tblKurallar[kural_id],0))+$F430*sgk_isverenOran,2),0))</f>
        <v/>
      </c>
      <c r="I430" s="37">
        <f>IF($A430="","",IFERROR(MAX(0,$H430-$G430),0))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$C431*INDEX(tblKurallar[deger_2025],MATCH("SGK-001",tblKurallar[kural_id],0))+$D431*INDEX(tblKurallar[deger_2025],MATCH("SGK-002",tblKurallar[kural_id],0))+$E431*INDEX(tblKurallar[deger_2025],MATCH("SGK-004",tblKurallar[kural_id],0))+$F431*sgk_isverenOran,2),0))</f>
        <v/>
      </c>
      <c r="I431" s="37">
        <f>IF($A431="","",IFERROR(MAX(0,$H431-$G431),0))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$C432*INDEX(tblKurallar[deger_2025],MATCH("SGK-001",tblKurallar[kural_id],0))+$D432*INDEX(tblKurallar[deger_2025],MATCH("SGK-002",tblKurallar[kural_id],0))+$E432*INDEX(tblKurallar[deger_2025],MATCH("SGK-004",tblKurallar[kural_id],0))+$F432*sgk_isverenOran,2),0))</f>
        <v/>
      </c>
      <c r="I432" s="37">
        <f>IF($A432="","",IFERROR(MAX(0,$H432-$G432),0))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$C433*INDEX(tblKurallar[deger_2025],MATCH("SGK-001",tblKurallar[kural_id],0))+$D433*INDEX(tblKurallar[deger_2025],MATCH("SGK-002",tblKurallar[kural_id],0))+$E433*INDEX(tblKurallar[deger_2025],MATCH("SGK-004",tblKurallar[kural_id],0))+$F433*sgk_isverenOran,2),0))</f>
        <v/>
      </c>
      <c r="I433" s="37">
        <f>IF($A433="","",IFERROR(MAX(0,$H433-$G433),0))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$C434*INDEX(tblKurallar[deger_2025],MATCH("SGK-001",tblKurallar[kural_id],0))+$D434*INDEX(tblKurallar[deger_2025],MATCH("SGK-002",tblKurallar[kural_id],0))+$E434*INDEX(tblKurallar[deger_2025],MATCH("SGK-004",tblKurallar[kural_id],0))+$F434*sgk_isverenOran,2),0))</f>
        <v/>
      </c>
      <c r="I434" s="37">
        <f>IF($A434="","",IFERROR(MAX(0,$H434-$G434),0))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$C435*INDEX(tblKurallar[deger_2025],MATCH("SGK-001",tblKurallar[kural_id],0))+$D435*INDEX(tblKurallar[deger_2025],MATCH("SGK-002",tblKurallar[kural_id],0))+$E435*INDEX(tblKurallar[deger_2025],MATCH("SGK-004",tblKurallar[kural_id],0))+$F435*sgk_isverenOran,2),0))</f>
        <v/>
      </c>
      <c r="I435" s="37">
        <f>IF($A435="","",IFERROR(MAX(0,$H435-$G435),0))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$C436*INDEX(tblKurallar[deger_2025],MATCH("SGK-001",tblKurallar[kural_id],0))+$D436*INDEX(tblKurallar[deger_2025],MATCH("SGK-002",tblKurallar[kural_id],0))+$E436*INDEX(tblKurallar[deger_2025],MATCH("SGK-004",tblKurallar[kural_id],0))+$F436*sgk_isverenOran,2),0))</f>
        <v/>
      </c>
      <c r="I436" s="37">
        <f>IF($A436="","",IFERROR(MAX(0,$H436-$G436),0))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$C437*INDEX(tblKurallar[deger_2025],MATCH("SGK-001",tblKurallar[kural_id],0))+$D437*INDEX(tblKurallar[deger_2025],MATCH("SGK-002",tblKurallar[kural_id],0))+$E437*INDEX(tblKurallar[deger_2025],MATCH("SGK-004",tblKurallar[kural_id],0))+$F437*sgk_isverenOran,2),0))</f>
        <v/>
      </c>
      <c r="I437" s="37">
        <f>IF($A437="","",IFERROR(MAX(0,$H437-$G437),0))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$C438*INDEX(tblKurallar[deger_2025],MATCH("SGK-001",tblKurallar[kural_id],0))+$D438*INDEX(tblKurallar[deger_2025],MATCH("SGK-002",tblKurallar[kural_id],0))+$E438*INDEX(tblKurallar[deger_2025],MATCH("SGK-004",tblKurallar[kural_id],0))+$F438*sgk_isverenOran,2),0))</f>
        <v/>
      </c>
      <c r="I438" s="37">
        <f>IF($A438="","",IFERROR(MAX(0,$H438-$G438),0))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$C439*INDEX(tblKurallar[deger_2025],MATCH("SGK-001",tblKurallar[kural_id],0))+$D439*INDEX(tblKurallar[deger_2025],MATCH("SGK-002",tblKurallar[kural_id],0))+$E439*INDEX(tblKurallar[deger_2025],MATCH("SGK-004",tblKurallar[kural_id],0))+$F439*sgk_isverenOran,2),0))</f>
        <v/>
      </c>
      <c r="I439" s="37">
        <f>IF($A439="","",IFERROR(MAX(0,$H439-$G439),0))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$C440*INDEX(tblKurallar[deger_2025],MATCH("SGK-001",tblKurallar[kural_id],0))+$D440*INDEX(tblKurallar[deger_2025],MATCH("SGK-002",tblKurallar[kural_id],0))+$E440*INDEX(tblKurallar[deger_2025],MATCH("SGK-004",tblKurallar[kural_id],0))+$F440*sgk_isverenOran,2),0))</f>
        <v/>
      </c>
      <c r="I440" s="37">
        <f>IF($A440="","",IFERROR(MAX(0,$H440-$G440),0))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$C441*INDEX(tblKurallar[deger_2025],MATCH("SGK-001",tblKurallar[kural_id],0))+$D441*INDEX(tblKurallar[deger_2025],MATCH("SGK-002",tblKurallar[kural_id],0))+$E441*INDEX(tblKurallar[deger_2025],MATCH("SGK-004",tblKurallar[kural_id],0))+$F441*sgk_isverenOran,2),0))</f>
        <v/>
      </c>
      <c r="I441" s="37">
        <f>IF($A441="","",IFERROR(MAX(0,$H441-$G441),0))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$C442*INDEX(tblKurallar[deger_2025],MATCH("SGK-001",tblKurallar[kural_id],0))+$D442*INDEX(tblKurallar[deger_2025],MATCH("SGK-002",tblKurallar[kural_id],0))+$E442*INDEX(tblKurallar[deger_2025],MATCH("SGK-004",tblKurallar[kural_id],0))+$F442*sgk_isverenOran,2),0))</f>
        <v/>
      </c>
      <c r="I442" s="37">
        <f>IF($A442="","",IFERROR(MAX(0,$H442-$G442),0))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$C443*INDEX(tblKurallar[deger_2025],MATCH("SGK-001",tblKurallar[kural_id],0))+$D443*INDEX(tblKurallar[deger_2025],MATCH("SGK-002",tblKurallar[kural_id],0))+$E443*INDEX(tblKurallar[deger_2025],MATCH("SGK-004",tblKurallar[kural_id],0))+$F443*sgk_isverenOran,2),0))</f>
        <v/>
      </c>
      <c r="I443" s="37">
        <f>IF($A443="","",IFERROR(MAX(0,$H443-$G443),0))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$C444*INDEX(tblKurallar[deger_2025],MATCH("SGK-001",tblKurallar[kural_id],0))+$D444*INDEX(tblKurallar[deger_2025],MATCH("SGK-002",tblKurallar[kural_id],0))+$E444*INDEX(tblKurallar[deger_2025],MATCH("SGK-004",tblKurallar[kural_id],0))+$F444*sgk_isverenOran,2),0))</f>
        <v/>
      </c>
      <c r="I444" s="37">
        <f>IF($A444="","",IFERROR(MAX(0,$H444-$G444),0))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$C445*INDEX(tblKurallar[deger_2025],MATCH("SGK-001",tblKurallar[kural_id],0))+$D445*INDEX(tblKurallar[deger_2025],MATCH("SGK-002",tblKurallar[kural_id],0))+$E445*INDEX(tblKurallar[deger_2025],MATCH("SGK-004",tblKurallar[kural_id],0))+$F445*sgk_isverenOran,2),0))</f>
        <v/>
      </c>
      <c r="I445" s="37">
        <f>IF($A445="","",IFERROR(MAX(0,$H445-$G445),0))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$C446*INDEX(tblKurallar[deger_2025],MATCH("SGK-001",tblKurallar[kural_id],0))+$D446*INDEX(tblKurallar[deger_2025],MATCH("SGK-002",tblKurallar[kural_id],0))+$E446*INDEX(tblKurallar[deger_2025],MATCH("SGK-004",tblKurallar[kural_id],0))+$F446*sgk_isverenOran,2),0))</f>
        <v/>
      </c>
      <c r="I446" s="37">
        <f>IF($A446="","",IFERROR(MAX(0,$H446-$G446),0))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$C447*INDEX(tblKurallar[deger_2025],MATCH("SGK-001",tblKurallar[kural_id],0))+$D447*INDEX(tblKurallar[deger_2025],MATCH("SGK-002",tblKurallar[kural_id],0))+$E447*INDEX(tblKurallar[deger_2025],MATCH("SGK-004",tblKurallar[kural_id],0))+$F447*sgk_isverenOran,2),0))</f>
        <v/>
      </c>
      <c r="I447" s="37">
        <f>IF($A447="","",IFERROR(MAX(0,$H447-$G447),0))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$C448*INDEX(tblKurallar[deger_2025],MATCH("SGK-001",tblKurallar[kural_id],0))+$D448*INDEX(tblKurallar[deger_2025],MATCH("SGK-002",tblKurallar[kural_id],0))+$E448*INDEX(tblKurallar[deger_2025],MATCH("SGK-004",tblKurallar[kural_id],0))+$F448*sgk_isverenOran,2),0))</f>
        <v/>
      </c>
      <c r="I448" s="37">
        <f>IF($A448="","",IFERROR(MAX(0,$H448-$G448),0))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$C449*INDEX(tblKurallar[deger_2025],MATCH("SGK-001",tblKurallar[kural_id],0))+$D449*INDEX(tblKurallar[deger_2025],MATCH("SGK-002",tblKurallar[kural_id],0))+$E449*INDEX(tblKurallar[deger_2025],MATCH("SGK-004",tblKurallar[kural_id],0))+$F449*sgk_isverenOran,2),0))</f>
        <v/>
      </c>
      <c r="I449" s="37">
        <f>IF($A449="","",IFERROR(MAX(0,$H449-$G449),0))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$C450*INDEX(tblKurallar[deger_2025],MATCH("SGK-001",tblKurallar[kural_id],0))+$D450*INDEX(tblKurallar[deger_2025],MATCH("SGK-002",tblKurallar[kural_id],0))+$E450*INDEX(tblKurallar[deger_2025],MATCH("SGK-004",tblKurallar[kural_id],0))+$F450*sgk_isverenOran,2),0))</f>
        <v/>
      </c>
      <c r="I450" s="37">
        <f>IF($A450="","",IFERROR(MAX(0,$H450-$G450),0))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$C451*INDEX(tblKurallar[deger_2025],MATCH("SGK-001",tblKurallar[kural_id],0))+$D451*INDEX(tblKurallar[deger_2025],MATCH("SGK-002",tblKurallar[kural_id],0))+$E451*INDEX(tblKurallar[deger_2025],MATCH("SGK-004",tblKurallar[kural_id],0))+$F451*sgk_isverenOran,2),0))</f>
        <v/>
      </c>
      <c r="I451" s="37">
        <f>IF($A451="","",IFERROR(MAX(0,$H451-$G451),0))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$C452*INDEX(tblKurallar[deger_2025],MATCH("SGK-001",tblKurallar[kural_id],0))+$D452*INDEX(tblKurallar[deger_2025],MATCH("SGK-002",tblKurallar[kural_id],0))+$E452*INDEX(tblKurallar[deger_2025],MATCH("SGK-004",tblKurallar[kural_id],0))+$F452*sgk_isverenOran,2),0))</f>
        <v/>
      </c>
      <c r="I452" s="37">
        <f>IF($A452="","",IFERROR(MAX(0,$H452-$G452),0))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$C453*INDEX(tblKurallar[deger_2025],MATCH("SGK-001",tblKurallar[kural_id],0))+$D453*INDEX(tblKurallar[deger_2025],MATCH("SGK-002",tblKurallar[kural_id],0))+$E453*INDEX(tblKurallar[deger_2025],MATCH("SGK-004",tblKurallar[kural_id],0))+$F453*sgk_isverenOran,2),0))</f>
        <v/>
      </c>
      <c r="I453" s="37">
        <f>IF($A453="","",IFERROR(MAX(0,$H453-$G453),0))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$C454*INDEX(tblKurallar[deger_2025],MATCH("SGK-001",tblKurallar[kural_id],0))+$D454*INDEX(tblKurallar[deger_2025],MATCH("SGK-002",tblKurallar[kural_id],0))+$E454*INDEX(tblKurallar[deger_2025],MATCH("SGK-004",tblKurallar[kural_id],0))+$F454*sgk_isverenOran,2),0))</f>
        <v/>
      </c>
      <c r="I454" s="37">
        <f>IF($A454="","",IFERROR(MAX(0,$H454-$G454),0))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$C455*INDEX(tblKurallar[deger_2025],MATCH("SGK-001",tblKurallar[kural_id],0))+$D455*INDEX(tblKurallar[deger_2025],MATCH("SGK-002",tblKurallar[kural_id],0))+$E455*INDEX(tblKurallar[deger_2025],MATCH("SGK-004",tblKurallar[kural_id],0))+$F455*sgk_isverenOran,2),0))</f>
        <v/>
      </c>
      <c r="I455" s="37">
        <f>IF($A455="","",IFERROR(MAX(0,$H455-$G455),0))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$C456*INDEX(tblKurallar[deger_2025],MATCH("SGK-001",tblKurallar[kural_id],0))+$D456*INDEX(tblKurallar[deger_2025],MATCH("SGK-002",tblKurallar[kural_id],0))+$E456*INDEX(tblKurallar[deger_2025],MATCH("SGK-004",tblKurallar[kural_id],0))+$F456*sgk_isverenOran,2),0))</f>
        <v/>
      </c>
      <c r="I456" s="37">
        <f>IF($A456="","",IFERROR(MAX(0,$H456-$G456),0))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$C457*INDEX(tblKurallar[deger_2025],MATCH("SGK-001",tblKurallar[kural_id],0))+$D457*INDEX(tblKurallar[deger_2025],MATCH("SGK-002",tblKurallar[kural_id],0))+$E457*INDEX(tblKurallar[deger_2025],MATCH("SGK-004",tblKurallar[kural_id],0))+$F457*sgk_isverenOran,2),0))</f>
        <v/>
      </c>
      <c r="I457" s="37">
        <f>IF($A457="","",IFERROR(MAX(0,$H457-$G457),0))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$C458*INDEX(tblKurallar[deger_2025],MATCH("SGK-001",tblKurallar[kural_id],0))+$D458*INDEX(tblKurallar[deger_2025],MATCH("SGK-002",tblKurallar[kural_id],0))+$E458*INDEX(tblKurallar[deger_2025],MATCH("SGK-004",tblKurallar[kural_id],0))+$F458*sgk_isverenOran,2),0))</f>
        <v/>
      </c>
      <c r="I458" s="37">
        <f>IF($A458="","",IFERROR(MAX(0,$H458-$G458),0))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$C459*INDEX(tblKurallar[deger_2025],MATCH("SGK-001",tblKurallar[kural_id],0))+$D459*INDEX(tblKurallar[deger_2025],MATCH("SGK-002",tblKurallar[kural_id],0))+$E459*INDEX(tblKurallar[deger_2025],MATCH("SGK-004",tblKurallar[kural_id],0))+$F459*sgk_isverenOran,2),0))</f>
        <v/>
      </c>
      <c r="I459" s="37">
        <f>IF($A459="","",IFERROR(MAX(0,$H459-$G459),0))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$C460*INDEX(tblKurallar[deger_2025],MATCH("SGK-001",tblKurallar[kural_id],0))+$D460*INDEX(tblKurallar[deger_2025],MATCH("SGK-002",tblKurallar[kural_id],0))+$E460*INDEX(tblKurallar[deger_2025],MATCH("SGK-004",tblKurallar[kural_id],0))+$F460*sgk_isverenOran,2),0))</f>
        <v/>
      </c>
      <c r="I460" s="37">
        <f>IF($A460="","",IFERROR(MAX(0,$H460-$G460),0))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$C461*INDEX(tblKurallar[deger_2025],MATCH("SGK-001",tblKurallar[kural_id],0))+$D461*INDEX(tblKurallar[deger_2025],MATCH("SGK-002",tblKurallar[kural_id],0))+$E461*INDEX(tblKurallar[deger_2025],MATCH("SGK-004",tblKurallar[kural_id],0))+$F461*sgk_isverenOran,2),0))</f>
        <v/>
      </c>
      <c r="I461" s="37">
        <f>IF($A461="","",IFERROR(MAX(0,$H461-$G461),0))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$C462*INDEX(tblKurallar[deger_2025],MATCH("SGK-001",tblKurallar[kural_id],0))+$D462*INDEX(tblKurallar[deger_2025],MATCH("SGK-002",tblKurallar[kural_id],0))+$E462*INDEX(tblKurallar[deger_2025],MATCH("SGK-004",tblKurallar[kural_id],0))+$F462*sgk_isverenOran,2),0))</f>
        <v/>
      </c>
      <c r="I462" s="37">
        <f>IF($A462="","",IFERROR(MAX(0,$H462-$G462),0))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$C463*INDEX(tblKurallar[deger_2025],MATCH("SGK-001",tblKurallar[kural_id],0))+$D463*INDEX(tblKurallar[deger_2025],MATCH("SGK-002",tblKurallar[kural_id],0))+$E463*INDEX(tblKurallar[deger_2025],MATCH("SGK-004",tblKurallar[kural_id],0))+$F463*sgk_isverenOran,2),0))</f>
        <v/>
      </c>
      <c r="I463" s="37">
        <f>IF($A463="","",IFERROR(MAX(0,$H463-$G463),0))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$C464*INDEX(tblKurallar[deger_2025],MATCH("SGK-001",tblKurallar[kural_id],0))+$D464*INDEX(tblKurallar[deger_2025],MATCH("SGK-002",tblKurallar[kural_id],0))+$E464*INDEX(tblKurallar[deger_2025],MATCH("SGK-004",tblKurallar[kural_id],0))+$F464*sgk_isverenOran,2),0))</f>
        <v/>
      </c>
      <c r="I464" s="37">
        <f>IF($A464="","",IFERROR(MAX(0,$H464-$G464),0))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$C465*INDEX(tblKurallar[deger_2025],MATCH("SGK-001",tblKurallar[kural_id],0))+$D465*INDEX(tblKurallar[deger_2025],MATCH("SGK-002",tblKurallar[kural_id],0))+$E465*INDEX(tblKurallar[deger_2025],MATCH("SGK-004",tblKurallar[kural_id],0))+$F465*sgk_isverenOran,2),0))</f>
        <v/>
      </c>
      <c r="I465" s="37">
        <f>IF($A465="","",IFERROR(MAX(0,$H465-$G465),0))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$C466*INDEX(tblKurallar[deger_2025],MATCH("SGK-001",tblKurallar[kural_id],0))+$D466*INDEX(tblKurallar[deger_2025],MATCH("SGK-002",tblKurallar[kural_id],0))+$E466*INDEX(tblKurallar[deger_2025],MATCH("SGK-004",tblKurallar[kural_id],0))+$F466*sgk_isverenOran,2),0))</f>
        <v/>
      </c>
      <c r="I466" s="37">
        <f>IF($A466="","",IFERROR(MAX(0,$H466-$G466),0))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$C467*INDEX(tblKurallar[deger_2025],MATCH("SGK-001",tblKurallar[kural_id],0))+$D467*INDEX(tblKurallar[deger_2025],MATCH("SGK-002",tblKurallar[kural_id],0))+$E467*INDEX(tblKurallar[deger_2025],MATCH("SGK-004",tblKurallar[kural_id],0))+$F467*sgk_isverenOran,2),0))</f>
        <v/>
      </c>
      <c r="I467" s="37">
        <f>IF($A467="","",IFERROR(MAX(0,$H467-$G467),0))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$C468*INDEX(tblKurallar[deger_2025],MATCH("SGK-001",tblKurallar[kural_id],0))+$D468*INDEX(tblKurallar[deger_2025],MATCH("SGK-002",tblKurallar[kural_id],0))+$E468*INDEX(tblKurallar[deger_2025],MATCH("SGK-004",tblKurallar[kural_id],0))+$F468*sgk_isverenOran,2),0))</f>
        <v/>
      </c>
      <c r="I468" s="37">
        <f>IF($A468="","",IFERROR(MAX(0,$H468-$G468),0))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$C469*INDEX(tblKurallar[deger_2025],MATCH("SGK-001",tblKurallar[kural_id],0))+$D469*INDEX(tblKurallar[deger_2025],MATCH("SGK-002",tblKurallar[kural_id],0))+$E469*INDEX(tblKurallar[deger_2025],MATCH("SGK-004",tblKurallar[kural_id],0))+$F469*sgk_isverenOran,2),0))</f>
        <v/>
      </c>
      <c r="I469" s="37">
        <f>IF($A469="","",IFERROR(MAX(0,$H469-$G469),0))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$C470*INDEX(tblKurallar[deger_2025],MATCH("SGK-001",tblKurallar[kural_id],0))+$D470*INDEX(tblKurallar[deger_2025],MATCH("SGK-002",tblKurallar[kural_id],0))+$E470*INDEX(tblKurallar[deger_2025],MATCH("SGK-004",tblKurallar[kural_id],0))+$F470*sgk_isverenOran,2),0))</f>
        <v/>
      </c>
      <c r="I470" s="37">
        <f>IF($A470="","",IFERROR(MAX(0,$H470-$G470),0))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$C471*INDEX(tblKurallar[deger_2025],MATCH("SGK-001",tblKurallar[kural_id],0))+$D471*INDEX(tblKurallar[deger_2025],MATCH("SGK-002",tblKurallar[kural_id],0))+$E471*INDEX(tblKurallar[deger_2025],MATCH("SGK-004",tblKurallar[kural_id],0))+$F471*sgk_isverenOran,2),0))</f>
        <v/>
      </c>
      <c r="I471" s="37">
        <f>IF($A471="","",IFERROR(MAX(0,$H471-$G471),0))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$C472*INDEX(tblKurallar[deger_2025],MATCH("SGK-001",tblKurallar[kural_id],0))+$D472*INDEX(tblKurallar[deger_2025],MATCH("SGK-002",tblKurallar[kural_id],0))+$E472*INDEX(tblKurallar[deger_2025],MATCH("SGK-004",tblKurallar[kural_id],0))+$F472*sgk_isverenOran,2),0))</f>
        <v/>
      </c>
      <c r="I472" s="37">
        <f>IF($A472="","",IFERROR(MAX(0,$H472-$G472),0))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$C473*INDEX(tblKurallar[deger_2025],MATCH("SGK-001",tblKurallar[kural_id],0))+$D473*INDEX(tblKurallar[deger_2025],MATCH("SGK-002",tblKurallar[kural_id],0))+$E473*INDEX(tblKurallar[deger_2025],MATCH("SGK-004",tblKurallar[kural_id],0))+$F473*sgk_isverenOran,2),0))</f>
        <v/>
      </c>
      <c r="I473" s="37">
        <f>IF($A473="","",IFERROR(MAX(0,$H473-$G473),0))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$C474*INDEX(tblKurallar[deger_2025],MATCH("SGK-001",tblKurallar[kural_id],0))+$D474*INDEX(tblKurallar[deger_2025],MATCH("SGK-002",tblKurallar[kural_id],0))+$E474*INDEX(tblKurallar[deger_2025],MATCH("SGK-004",tblKurallar[kural_id],0))+$F474*sgk_isverenOran,2),0))</f>
        <v/>
      </c>
      <c r="I474" s="37">
        <f>IF($A474="","",IFERROR(MAX(0,$H474-$G474),0))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$C475*INDEX(tblKurallar[deger_2025],MATCH("SGK-001",tblKurallar[kural_id],0))+$D475*INDEX(tblKurallar[deger_2025],MATCH("SGK-002",tblKurallar[kural_id],0))+$E475*INDEX(tblKurallar[deger_2025],MATCH("SGK-004",tblKurallar[kural_id],0))+$F475*sgk_isverenOran,2),0))</f>
        <v/>
      </c>
      <c r="I475" s="37">
        <f>IF($A475="","",IFERROR(MAX(0,$H475-$G475),0))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$C476*INDEX(tblKurallar[deger_2025],MATCH("SGK-001",tblKurallar[kural_id],0))+$D476*INDEX(tblKurallar[deger_2025],MATCH("SGK-002",tblKurallar[kural_id],0))+$E476*INDEX(tblKurallar[deger_2025],MATCH("SGK-004",tblKurallar[kural_id],0))+$F476*sgk_isverenOran,2),0))</f>
        <v/>
      </c>
      <c r="I476" s="37">
        <f>IF($A476="","",IFERROR(MAX(0,$H476-$G476),0))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$C477*INDEX(tblKurallar[deger_2025],MATCH("SGK-001",tblKurallar[kural_id],0))+$D477*INDEX(tblKurallar[deger_2025],MATCH("SGK-002",tblKurallar[kural_id],0))+$E477*INDEX(tblKurallar[deger_2025],MATCH("SGK-004",tblKurallar[kural_id],0))+$F477*sgk_isverenOran,2),0))</f>
        <v/>
      </c>
      <c r="I477" s="37">
        <f>IF($A477="","",IFERROR(MAX(0,$H477-$G477),0))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$C478*INDEX(tblKurallar[deger_2025],MATCH("SGK-001",tblKurallar[kural_id],0))+$D478*INDEX(tblKurallar[deger_2025],MATCH("SGK-002",tblKurallar[kural_id],0))+$E478*INDEX(tblKurallar[deger_2025],MATCH("SGK-004",tblKurallar[kural_id],0))+$F478*sgk_isverenOran,2),0))</f>
        <v/>
      </c>
      <c r="I478" s="37">
        <f>IF($A478="","",IFERROR(MAX(0,$H478-$G478),0))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$C479*INDEX(tblKurallar[deger_2025],MATCH("SGK-001",tblKurallar[kural_id],0))+$D479*INDEX(tblKurallar[deger_2025],MATCH("SGK-002",tblKurallar[kural_id],0))+$E479*INDEX(tblKurallar[deger_2025],MATCH("SGK-004",tblKurallar[kural_id],0))+$F479*sgk_isverenOran,2),0))</f>
        <v/>
      </c>
      <c r="I479" s="37">
        <f>IF($A479="","",IFERROR(MAX(0,$H479-$G479),0))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$C480*INDEX(tblKurallar[deger_2025],MATCH("SGK-001",tblKurallar[kural_id],0))+$D480*INDEX(tblKurallar[deger_2025],MATCH("SGK-002",tblKurallar[kural_id],0))+$E480*INDEX(tblKurallar[deger_2025],MATCH("SGK-004",tblKurallar[kural_id],0))+$F480*sgk_isverenOran,2),0))</f>
        <v/>
      </c>
      <c r="I480" s="37">
        <f>IF($A480="","",IFERROR(MAX(0,$H480-$G480),0))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$C481*INDEX(tblKurallar[deger_2025],MATCH("SGK-001",tblKurallar[kural_id],0))+$D481*INDEX(tblKurallar[deger_2025],MATCH("SGK-002",tblKurallar[kural_id],0))+$E481*INDEX(tblKurallar[deger_2025],MATCH("SGK-004",tblKurallar[kural_id],0))+$F481*sgk_isverenOran,2),0))</f>
        <v/>
      </c>
      <c r="I481" s="37">
        <f>IF($A481="","",IFERROR(MAX(0,$H481-$G481),0))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$C482*INDEX(tblKurallar[deger_2025],MATCH("SGK-001",tblKurallar[kural_id],0))+$D482*INDEX(tblKurallar[deger_2025],MATCH("SGK-002",tblKurallar[kural_id],0))+$E482*INDEX(tblKurallar[deger_2025],MATCH("SGK-004",tblKurallar[kural_id],0))+$F482*sgk_isverenOran,2),0))</f>
        <v/>
      </c>
      <c r="I482" s="37">
        <f>IF($A482="","",IFERROR(MAX(0,$H482-$G482),0))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$C483*INDEX(tblKurallar[deger_2025],MATCH("SGK-001",tblKurallar[kural_id],0))+$D483*INDEX(tblKurallar[deger_2025],MATCH("SGK-002",tblKurallar[kural_id],0))+$E483*INDEX(tblKurallar[deger_2025],MATCH("SGK-004",tblKurallar[kural_id],0))+$F483*sgk_isverenOran,2),0))</f>
        <v/>
      </c>
      <c r="I483" s="37">
        <f>IF($A483="","",IFERROR(MAX(0,$H483-$G483),0))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$C484*INDEX(tblKurallar[deger_2025],MATCH("SGK-001",tblKurallar[kural_id],0))+$D484*INDEX(tblKurallar[deger_2025],MATCH("SGK-002",tblKurallar[kural_id],0))+$E484*INDEX(tblKurallar[deger_2025],MATCH("SGK-004",tblKurallar[kural_id],0))+$F484*sgk_isverenOran,2),0))</f>
        <v/>
      </c>
      <c r="I484" s="37">
        <f>IF($A484="","",IFERROR(MAX(0,$H484-$G484),0))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$C485*INDEX(tblKurallar[deger_2025],MATCH("SGK-001",tblKurallar[kural_id],0))+$D485*INDEX(tblKurallar[deger_2025],MATCH("SGK-002",tblKurallar[kural_id],0))+$E485*INDEX(tblKurallar[deger_2025],MATCH("SGK-004",tblKurallar[kural_id],0))+$F485*sgk_isverenOran,2),0))</f>
        <v/>
      </c>
      <c r="I485" s="37">
        <f>IF($A485="","",IFERROR(MAX(0,$H485-$G485),0))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$C486*INDEX(tblKurallar[deger_2025],MATCH("SGK-001",tblKurallar[kural_id],0))+$D486*INDEX(tblKurallar[deger_2025],MATCH("SGK-002",tblKurallar[kural_id],0))+$E486*INDEX(tblKurallar[deger_2025],MATCH("SGK-004",tblKurallar[kural_id],0))+$F486*sgk_isverenOran,2),0))</f>
        <v/>
      </c>
      <c r="I486" s="37">
        <f>IF($A486="","",IFERROR(MAX(0,$H486-$G486),0))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$C487*INDEX(tblKurallar[deger_2025],MATCH("SGK-001",tblKurallar[kural_id],0))+$D487*INDEX(tblKurallar[deger_2025],MATCH("SGK-002",tblKurallar[kural_id],0))+$E487*INDEX(tblKurallar[deger_2025],MATCH("SGK-004",tblKurallar[kural_id],0))+$F487*sgk_isverenOran,2),0))</f>
        <v/>
      </c>
      <c r="I487" s="37">
        <f>IF($A487="","",IFERROR(MAX(0,$H487-$G487),0))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$C488*INDEX(tblKurallar[deger_2025],MATCH("SGK-001",tblKurallar[kural_id],0))+$D488*INDEX(tblKurallar[deger_2025],MATCH("SGK-002",tblKurallar[kural_id],0))+$E488*INDEX(tblKurallar[deger_2025],MATCH("SGK-004",tblKurallar[kural_id],0))+$F488*sgk_isverenOran,2),0))</f>
        <v/>
      </c>
      <c r="I488" s="37">
        <f>IF($A488="","",IFERROR(MAX(0,$H488-$G488),0))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$C489*INDEX(tblKurallar[deger_2025],MATCH("SGK-001",tblKurallar[kural_id],0))+$D489*INDEX(tblKurallar[deger_2025],MATCH("SGK-002",tblKurallar[kural_id],0))+$E489*INDEX(tblKurallar[deger_2025],MATCH("SGK-004",tblKurallar[kural_id],0))+$F489*sgk_isverenOran,2),0))</f>
        <v/>
      </c>
      <c r="I489" s="37">
        <f>IF($A489="","",IFERROR(MAX(0,$H489-$G489),0))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$C490*INDEX(tblKurallar[deger_2025],MATCH("SGK-001",tblKurallar[kural_id],0))+$D490*INDEX(tblKurallar[deger_2025],MATCH("SGK-002",tblKurallar[kural_id],0))+$E490*INDEX(tblKurallar[deger_2025],MATCH("SGK-004",tblKurallar[kural_id],0))+$F490*sgk_isverenOran,2),0))</f>
        <v/>
      </c>
      <c r="I490" s="37">
        <f>IF($A490="","",IFERROR(MAX(0,$H490-$G490),0))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$C491*INDEX(tblKurallar[deger_2025],MATCH("SGK-001",tblKurallar[kural_id],0))+$D491*INDEX(tblKurallar[deger_2025],MATCH("SGK-002",tblKurallar[kural_id],0))+$E491*INDEX(tblKurallar[deger_2025],MATCH("SGK-004",tblKurallar[kural_id],0))+$F491*sgk_isverenOran,2),0))</f>
        <v/>
      </c>
      <c r="I491" s="37">
        <f>IF($A491="","",IFERROR(MAX(0,$H491-$G491),0))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$C492*INDEX(tblKurallar[deger_2025],MATCH("SGK-001",tblKurallar[kural_id],0))+$D492*INDEX(tblKurallar[deger_2025],MATCH("SGK-002",tblKurallar[kural_id],0))+$E492*INDEX(tblKurallar[deger_2025],MATCH("SGK-004",tblKurallar[kural_id],0))+$F492*sgk_isverenOran,2),0))</f>
        <v/>
      </c>
      <c r="I492" s="37">
        <f>IF($A492="","",IFERROR(MAX(0,$H492-$G492),0))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$C493*INDEX(tblKurallar[deger_2025],MATCH("SGK-001",tblKurallar[kural_id],0))+$D493*INDEX(tblKurallar[deger_2025],MATCH("SGK-002",tblKurallar[kural_id],0))+$E493*INDEX(tblKurallar[deger_2025],MATCH("SGK-004",tblKurallar[kural_id],0))+$F493*sgk_isverenOran,2),0))</f>
        <v/>
      </c>
      <c r="I493" s="37">
        <f>IF($A493="","",IFERROR(MAX(0,$H493-$G493),0))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$C494*INDEX(tblKurallar[deger_2025],MATCH("SGK-001",tblKurallar[kural_id],0))+$D494*INDEX(tblKurallar[deger_2025],MATCH("SGK-002",tblKurallar[kural_id],0))+$E494*INDEX(tblKurallar[deger_2025],MATCH("SGK-004",tblKurallar[kural_id],0))+$F494*sgk_isverenOran,2),0))</f>
        <v/>
      </c>
      <c r="I494" s="37">
        <f>IF($A494="","",IFERROR(MAX(0,$H494-$G494),0))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$C495*INDEX(tblKurallar[deger_2025],MATCH("SGK-001",tblKurallar[kural_id],0))+$D495*INDEX(tblKurallar[deger_2025],MATCH("SGK-002",tblKurallar[kural_id],0))+$E495*INDEX(tblKurallar[deger_2025],MATCH("SGK-004",tblKurallar[kural_id],0))+$F495*sgk_isverenOran,2),0))</f>
        <v/>
      </c>
      <c r="I495" s="37">
        <f>IF($A495="","",IFERROR(MAX(0,$H495-$G495),0))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$C496*INDEX(tblKurallar[deger_2025],MATCH("SGK-001",tblKurallar[kural_id],0))+$D496*INDEX(tblKurallar[deger_2025],MATCH("SGK-002",tblKurallar[kural_id],0))+$E496*INDEX(tblKurallar[deger_2025],MATCH("SGK-004",tblKurallar[kural_id],0))+$F496*sgk_isverenOran,2),0))</f>
        <v/>
      </c>
      <c r="I496" s="37">
        <f>IF($A496="","",IFERROR(MAX(0,$H496-$G496),0))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$C497*INDEX(tblKurallar[deger_2025],MATCH("SGK-001",tblKurallar[kural_id],0))+$D497*INDEX(tblKurallar[deger_2025],MATCH("SGK-002",tblKurallar[kural_id],0))+$E497*INDEX(tblKurallar[deger_2025],MATCH("SGK-004",tblKurallar[kural_id],0))+$F497*sgk_isverenOran,2),0))</f>
        <v/>
      </c>
      <c r="I497" s="37">
        <f>IF($A497="","",IFERROR(MAX(0,$H497-$G497),0))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$C498*INDEX(tblKurallar[deger_2025],MATCH("SGK-001",tblKurallar[kural_id],0))+$D498*INDEX(tblKurallar[deger_2025],MATCH("SGK-002",tblKurallar[kural_id],0))+$E498*INDEX(tblKurallar[deger_2025],MATCH("SGK-004",tblKurallar[kural_id],0))+$F498*sgk_isverenOran,2),0))</f>
        <v/>
      </c>
      <c r="I498" s="37">
        <f>IF($A498="","",IFERROR(MAX(0,$H498-$G498),0))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$C499*INDEX(tblKurallar[deger_2025],MATCH("SGK-001",tblKurallar[kural_id],0))+$D499*INDEX(tblKurallar[deger_2025],MATCH("SGK-002",tblKurallar[kural_id],0))+$E499*INDEX(tblKurallar[deger_2025],MATCH("SGK-004",tblKurallar[kural_id],0))+$F499*sgk_isverenOran,2),0))</f>
        <v/>
      </c>
      <c r="I499" s="37">
        <f>IF($A499="","",IFERROR(MAX(0,$H499-$G499),0))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$C500*INDEX(tblKurallar[deger_2025],MATCH("SGK-001",tblKurallar[kural_id],0))+$D500*INDEX(tblKurallar[deger_2025],MATCH("SGK-002",tblKurallar[kural_id],0))+$E500*INDEX(tblKurallar[deger_2025],MATCH("SGK-004",tblKurallar[kural_id],0))+$F500*sgk_isverenOran,2),0))</f>
        <v/>
      </c>
      <c r="I500" s="37">
        <f>IF($A500="","",IFERROR(MAX(0,$H500-$G500),0))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$C501*INDEX(tblKurallar[deger_2025],MATCH("SGK-001",tblKurallar[kural_id],0))+$D501*INDEX(tblKurallar[deger_2025],MATCH("SGK-002",tblKurallar[kural_id],0))+$E501*INDEX(tblKurallar[deger_2025],MATCH("SGK-004",tblKurallar[kural_id],0))+$F501*sgk_isverenOran,2),0))</f>
        <v/>
      </c>
      <c r="I501" s="37">
        <f>IF($A501="","",IFERROR(MAX(0,$H501-$G501),0))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$C502*INDEX(tblKurallar[deger_2025],MATCH("SGK-001",tblKurallar[kural_id],0))+$D502*INDEX(tblKurallar[deger_2025],MATCH("SGK-002",tblKurallar[kural_id],0))+$E502*INDEX(tblKurallar[deger_2025],MATCH("SGK-004",tblKurallar[kural_id],0))+$F502*sgk_isverenOran,2),0))</f>
        <v/>
      </c>
      <c r="I502" s="37">
        <f>IF($A502="","",IFERROR(MAX(0,$H502-$G502),0))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$C503*INDEX(tblKurallar[deger_2025],MATCH("SGK-001",tblKurallar[kural_id],0))+$D503*INDEX(tblKurallar[deger_2025],MATCH("SGK-002",tblKurallar[kural_id],0))+$E503*INDEX(tblKurallar[deger_2025],MATCH("SGK-004",tblKurallar[kural_id],0))+$F503*sgk_isverenOran,2),0))</f>
        <v/>
      </c>
      <c r="I503" s="37">
        <f>IF($A503="","",IFERROR(MAX(0,$H503-$G503),0))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$C504*INDEX(tblKurallar[deger_2025],MATCH("SGK-001",tblKurallar[kural_id],0))+$D504*INDEX(tblKurallar[deger_2025],MATCH("SGK-002",tblKurallar[kural_id],0))+$E504*INDEX(tblKurallar[deger_2025],MATCH("SGK-004",tblKurallar[kural_id],0))+$F504*sgk_isverenOran,2),0))</f>
        <v/>
      </c>
      <c r="I504" s="37">
        <f>IF($A504="","",IFERROR(MAX(0,$H504-$G504),0))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$C505*INDEX(tblKurallar[deger_2025],MATCH("SGK-001",tblKurallar[kural_id],0))+$D505*INDEX(tblKurallar[deger_2025],MATCH("SGK-002",tblKurallar[kural_id],0))+$E505*INDEX(tblKurallar[deger_2025],MATCH("SGK-004",tblKurallar[kural_id],0))+$F505*sgk_isverenOran,2),0))</f>
        <v/>
      </c>
      <c r="I505" s="37">
        <f>IF($A505="","",IFERROR(MAX(0,$H505-$G505),0))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$C506*INDEX(tblKurallar[deger_2025],MATCH("SGK-001",tblKurallar[kural_id],0))+$D506*INDEX(tblKurallar[deger_2025],MATCH("SGK-002",tblKurallar[kural_id],0))+$E506*INDEX(tblKurallar[deger_2025],MATCH("SGK-004",tblKurallar[kural_id],0))+$F506*sgk_isverenOran,2),0))</f>
        <v/>
      </c>
      <c r="I506" s="37">
        <f>IF($A506="","",IFERROR(MAX(0,$H506-$G506),0))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$C507*INDEX(tblKurallar[deger_2025],MATCH("SGK-001",tblKurallar[kural_id],0))+$D507*INDEX(tblKurallar[deger_2025],MATCH("SGK-002",tblKurallar[kural_id],0))+$E507*INDEX(tblKurallar[deger_2025],MATCH("SGK-004",tblKurallar[kural_id],0))+$F507*sgk_isverenOran,2),0))</f>
        <v/>
      </c>
      <c r="I507" s="37">
        <f>IF($A507="","",IFERROR(MAX(0,$H507-$G507),0))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$C508*INDEX(tblKurallar[deger_2025],MATCH("SGK-001",tblKurallar[kural_id],0))+$D508*INDEX(tblKurallar[deger_2025],MATCH("SGK-002",tblKurallar[kural_id],0))+$E508*INDEX(tblKurallar[deger_2025],MATCH("SGK-004",tblKurallar[kural_id],0))+$F508*sgk_isverenOran,2),0))</f>
        <v/>
      </c>
      <c r="I508" s="37">
        <f>IF($A508="","",IFERROR(MAX(0,$H508-$G508),0))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$C509*INDEX(tblKurallar[deger_2025],MATCH("SGK-001",tblKurallar[kural_id],0))+$D509*INDEX(tblKurallar[deger_2025],MATCH("SGK-002",tblKurallar[kural_id],0))+$E509*INDEX(tblKurallar[deger_2025],MATCH("SGK-004",tblKurallar[kural_id],0))+$F509*sgk_isverenOran,2),0))</f>
        <v/>
      </c>
      <c r="I509" s="37">
        <f>IF($A509="","",IFERROR(MAX(0,$H509-$G509),0))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$C510*INDEX(tblKurallar[deger_2025],MATCH("SGK-001",tblKurallar[kural_id],0))+$D510*INDEX(tblKurallar[deger_2025],MATCH("SGK-002",tblKurallar[kural_id],0))+$E510*INDEX(tblKurallar[deger_2025],MATCH("SGK-004",tblKurallar[kural_id],0))+$F510*sgk_isverenOran,2),0))</f>
        <v/>
      </c>
      <c r="I510" s="37">
        <f>IF($A510="","",IFERROR(MAX(0,$H510-$G510),0))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$C511*INDEX(tblKurallar[deger_2025],MATCH("SGK-001",tblKurallar[kural_id],0))+$D511*INDEX(tblKurallar[deger_2025],MATCH("SGK-002",tblKurallar[kural_id],0))+$E511*INDEX(tblKurallar[deger_2025],MATCH("SGK-004",tblKurallar[kural_id],0))+$F511*sgk_isverenOran,2),0))</f>
        <v/>
      </c>
      <c r="I511" s="37">
        <f>IF($A511="","",IFERROR(MAX(0,$H511-$G511),0))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$C512*INDEX(tblKurallar[deger_2025],MATCH("SGK-001",tblKurallar[kural_id],0))+$D512*INDEX(tblKurallar[deger_2025],MATCH("SGK-002",tblKurallar[kural_id],0))+$E512*INDEX(tblKurallar[deger_2025],MATCH("SGK-004",tblKurallar[kural_id],0))+$F512*sgk_isverenOran,2),0))</f>
        <v/>
      </c>
      <c r="I512" s="37">
        <f>IF($A512="","",IFERROR(MAX(0,$H512-$G512),0))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$C513*INDEX(tblKurallar[deger_2025],MATCH("SGK-001",tblKurallar[kural_id],0))+$D513*INDEX(tblKurallar[deger_2025],MATCH("SGK-002",tblKurallar[kural_id],0))+$E513*INDEX(tblKurallar[deger_2025],MATCH("SGK-004",tblKurallar[kural_id],0))+$F513*sgk_isverenOran,2),0))</f>
        <v/>
      </c>
      <c r="I513" s="37">
        <f>IF($A513="","",IFERROR(MAX(0,$H513-$G513),0))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$C514*INDEX(tblKurallar[deger_2025],MATCH("SGK-001",tblKurallar[kural_id],0))+$D514*INDEX(tblKurallar[deger_2025],MATCH("SGK-002",tblKurallar[kural_id],0))+$E514*INDEX(tblKurallar[deger_2025],MATCH("SGK-004",tblKurallar[kural_id],0))+$F514*sgk_isverenOran,2),0))</f>
        <v/>
      </c>
      <c r="I514" s="37">
        <f>IF($A514="","",IFERROR(MAX(0,$H514-$G514),0))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$C515*INDEX(tblKurallar[deger_2025],MATCH("SGK-001",tblKurallar[kural_id],0))+$D515*INDEX(tblKurallar[deger_2025],MATCH("SGK-002",tblKurallar[kural_id],0))+$E515*INDEX(tblKurallar[deger_2025],MATCH("SGK-004",tblKurallar[kural_id],0))+$F515*sgk_isverenOran,2),0))</f>
        <v/>
      </c>
      <c r="I515" s="37">
        <f>IF($A515="","",IFERROR(MAX(0,$H515-$G515),0))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$C516*INDEX(tblKurallar[deger_2025],MATCH("SGK-001",tblKurallar[kural_id],0))+$D516*INDEX(tblKurallar[deger_2025],MATCH("SGK-002",tblKurallar[kural_id],0))+$E516*INDEX(tblKurallar[deger_2025],MATCH("SGK-004",tblKurallar[kural_id],0))+$F516*sgk_isverenOran,2),0))</f>
        <v/>
      </c>
      <c r="I516" s="37">
        <f>IF($A516="","",IFERROR(MAX(0,$H516-$G516),0))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$C517*INDEX(tblKurallar[deger_2025],MATCH("SGK-001",tblKurallar[kural_id],0))+$D517*INDEX(tblKurallar[deger_2025],MATCH("SGK-002",tblKurallar[kural_id],0))+$E517*INDEX(tblKurallar[deger_2025],MATCH("SGK-004",tblKurallar[kural_id],0))+$F517*sgk_isverenOran,2),0))</f>
        <v/>
      </c>
      <c r="I517" s="37">
        <f>IF($A517="","",IFERROR(MAX(0,$H517-$G517),0))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$C518*INDEX(tblKurallar[deger_2025],MATCH("SGK-001",tblKurallar[kural_id],0))+$D518*INDEX(tblKurallar[deger_2025],MATCH("SGK-002",tblKurallar[kural_id],0))+$E518*INDEX(tblKurallar[deger_2025],MATCH("SGK-004",tblKurallar[kural_id],0))+$F518*sgk_isverenOran,2),0))</f>
        <v/>
      </c>
      <c r="I518" s="37">
        <f>IF($A518="","",IFERROR(MAX(0,$H518-$G518),0))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$C519*INDEX(tblKurallar[deger_2025],MATCH("SGK-001",tblKurallar[kural_id],0))+$D519*INDEX(tblKurallar[deger_2025],MATCH("SGK-002",tblKurallar[kural_id],0))+$E519*INDEX(tblKurallar[deger_2025],MATCH("SGK-004",tblKurallar[kural_id],0))+$F519*sgk_isverenOran,2),0))</f>
        <v/>
      </c>
      <c r="I519" s="37">
        <f>IF($A519="","",IFERROR(MAX(0,$H519-$G519),0))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$C520*INDEX(tblKurallar[deger_2025],MATCH("SGK-001",tblKurallar[kural_id],0))+$D520*INDEX(tblKurallar[deger_2025],MATCH("SGK-002",tblKurallar[kural_id],0))+$E520*INDEX(tblKurallar[deger_2025],MATCH("SGK-004",tblKurallar[kural_id],0))+$F520*sgk_isverenOran,2),0))</f>
        <v/>
      </c>
      <c r="I520" s="37">
        <f>IF($A520="","",IFERROR(MAX(0,$H520-$G520),0))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$C521*INDEX(tblKurallar[deger_2025],MATCH("SGK-001",tblKurallar[kural_id],0))+$D521*INDEX(tblKurallar[deger_2025],MATCH("SGK-002",tblKurallar[kural_id],0))+$E521*INDEX(tblKurallar[deger_2025],MATCH("SGK-004",tblKurallar[kural_id],0))+$F521*sgk_isverenOran,2),0))</f>
        <v/>
      </c>
      <c r="I521" s="37">
        <f>IF($A521="","",IFERROR(MAX(0,$H521-$G521),0))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$C522*INDEX(tblKurallar[deger_2025],MATCH("SGK-001",tblKurallar[kural_id],0))+$D522*INDEX(tblKurallar[deger_2025],MATCH("SGK-002",tblKurallar[kural_id],0))+$E522*INDEX(tblKurallar[deger_2025],MATCH("SGK-004",tblKurallar[kural_id],0))+$F522*sgk_isverenOran,2),0))</f>
        <v/>
      </c>
      <c r="I522" s="37">
        <f>IF($A522="","",IFERROR(MAX(0,$H522-$G522),0))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$C523*INDEX(tblKurallar[deger_2025],MATCH("SGK-001",tblKurallar[kural_id],0))+$D523*INDEX(tblKurallar[deger_2025],MATCH("SGK-002",tblKurallar[kural_id],0))+$E523*INDEX(tblKurallar[deger_2025],MATCH("SGK-004",tblKurallar[kural_id],0))+$F523*sgk_isverenOran,2),0))</f>
        <v/>
      </c>
      <c r="I523" s="37">
        <f>IF($A523="","",IFERROR(MAX(0,$H523-$G523),0))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$C524*INDEX(tblKurallar[deger_2025],MATCH("SGK-001",tblKurallar[kural_id],0))+$D524*INDEX(tblKurallar[deger_2025],MATCH("SGK-002",tblKurallar[kural_id],0))+$E524*INDEX(tblKurallar[deger_2025],MATCH("SGK-004",tblKurallar[kural_id],0))+$F524*sgk_isverenOran,2),0))</f>
        <v/>
      </c>
      <c r="I524" s="37">
        <f>IF($A524="","",IFERROR(MAX(0,$H524-$G524),0))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$C525*INDEX(tblKurallar[deger_2025],MATCH("SGK-001",tblKurallar[kural_id],0))+$D525*INDEX(tblKurallar[deger_2025],MATCH("SGK-002",tblKurallar[kural_id],0))+$E525*INDEX(tblKurallar[deger_2025],MATCH("SGK-004",tblKurallar[kural_id],0))+$F525*sgk_isverenOran,2),0))</f>
        <v/>
      </c>
      <c r="I525" s="37">
        <f>IF($A525="","",IFERROR(MAX(0,$H525-$G525),0))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$C526*INDEX(tblKurallar[deger_2025],MATCH("SGK-001",tblKurallar[kural_id],0))+$D526*INDEX(tblKurallar[deger_2025],MATCH("SGK-002",tblKurallar[kural_id],0))+$E526*INDEX(tblKurallar[deger_2025],MATCH("SGK-004",tblKurallar[kural_id],0))+$F526*sgk_isverenOran,2),0))</f>
        <v/>
      </c>
      <c r="I526" s="37">
        <f>IF($A526="","",IFERROR(MAX(0,$H526-$G526),0))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$C527*INDEX(tblKurallar[deger_2025],MATCH("SGK-001",tblKurallar[kural_id],0))+$D527*INDEX(tblKurallar[deger_2025],MATCH("SGK-002",tblKurallar[kural_id],0))+$E527*INDEX(tblKurallar[deger_2025],MATCH("SGK-004",tblKurallar[kural_id],0))+$F527*sgk_isverenOran,2),0))</f>
        <v/>
      </c>
      <c r="I527" s="37">
        <f>IF($A527="","",IFERROR(MAX(0,$H527-$G527),0))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$C528*INDEX(tblKurallar[deger_2025],MATCH("SGK-001",tblKurallar[kural_id],0))+$D528*INDEX(tblKurallar[deger_2025],MATCH("SGK-002",tblKurallar[kural_id],0))+$E528*INDEX(tblKurallar[deger_2025],MATCH("SGK-004",tblKurallar[kural_id],0))+$F528*sgk_isverenOran,2),0))</f>
        <v/>
      </c>
      <c r="I528" s="37">
        <f>IF($A528="","",IFERROR(MAX(0,$H528-$G528),0))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$C529*INDEX(tblKurallar[deger_2025],MATCH("SGK-001",tblKurallar[kural_id],0))+$D529*INDEX(tblKurallar[deger_2025],MATCH("SGK-002",tblKurallar[kural_id],0))+$E529*INDEX(tblKurallar[deger_2025],MATCH("SGK-004",tblKurallar[kural_id],0))+$F529*sgk_isverenOran,2),0))</f>
        <v/>
      </c>
      <c r="I529" s="37">
        <f>IF($A529="","",IFERROR(MAX(0,$H529-$G529),0))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$C530*INDEX(tblKurallar[deger_2025],MATCH("SGK-001",tblKurallar[kural_id],0))+$D530*INDEX(tblKurallar[deger_2025],MATCH("SGK-002",tblKurallar[kural_id],0))+$E530*INDEX(tblKurallar[deger_2025],MATCH("SGK-004",tblKurallar[kural_id],0))+$F530*sgk_isverenOran,2),0))</f>
        <v/>
      </c>
      <c r="I530" s="37">
        <f>IF($A530="","",IFERROR(MAX(0,$H530-$G530),0))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$C531*INDEX(tblKurallar[deger_2025],MATCH("SGK-001",tblKurallar[kural_id],0))+$D531*INDEX(tblKurallar[deger_2025],MATCH("SGK-002",tblKurallar[kural_id],0))+$E531*INDEX(tblKurallar[deger_2025],MATCH("SGK-004",tblKurallar[kural_id],0))+$F531*sgk_isverenOran,2),0))</f>
        <v/>
      </c>
      <c r="I531" s="37">
        <f>IF($A531="","",IFERROR(MAX(0,$H531-$G531),0))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$C532*INDEX(tblKurallar[deger_2025],MATCH("SGK-001",tblKurallar[kural_id],0))+$D532*INDEX(tblKurallar[deger_2025],MATCH("SGK-002",tblKurallar[kural_id],0))+$E532*INDEX(tblKurallar[deger_2025],MATCH("SGK-004",tblKurallar[kural_id],0))+$F532*sgk_isverenOran,2),0))</f>
        <v/>
      </c>
      <c r="I532" s="37">
        <f>IF($A532="","",IFERROR(MAX(0,$H532-$G532),0))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$C533*INDEX(tblKurallar[deger_2025],MATCH("SGK-001",tblKurallar[kural_id],0))+$D533*INDEX(tblKurallar[deger_2025],MATCH("SGK-002",tblKurallar[kural_id],0))+$E533*INDEX(tblKurallar[deger_2025],MATCH("SGK-004",tblKurallar[kural_id],0))+$F533*sgk_isverenOran,2),0))</f>
        <v/>
      </c>
      <c r="I533" s="37">
        <f>IF($A533="","",IFERROR(MAX(0,$H533-$G533),0))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$C534*INDEX(tblKurallar[deger_2025],MATCH("SGK-001",tblKurallar[kural_id],0))+$D534*INDEX(tblKurallar[deger_2025],MATCH("SGK-002",tblKurallar[kural_id],0))+$E534*INDEX(tblKurallar[deger_2025],MATCH("SGK-004",tblKurallar[kural_id],0))+$F534*sgk_isverenOran,2),0))</f>
        <v/>
      </c>
      <c r="I534" s="37">
        <f>IF($A534="","",IFERROR(MAX(0,$H534-$G534),0))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$C535*INDEX(tblKurallar[deger_2025],MATCH("SGK-001",tblKurallar[kural_id],0))+$D535*INDEX(tblKurallar[deger_2025],MATCH("SGK-002",tblKurallar[kural_id],0))+$E535*INDEX(tblKurallar[deger_2025],MATCH("SGK-004",tblKurallar[kural_id],0))+$F535*sgk_isverenOran,2),0))</f>
        <v/>
      </c>
      <c r="I535" s="37">
        <f>IF($A535="","",IFERROR(MAX(0,$H535-$G535),0))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$C536*INDEX(tblKurallar[deger_2025],MATCH("SGK-001",tblKurallar[kural_id],0))+$D536*INDEX(tblKurallar[deger_2025],MATCH("SGK-002",tblKurallar[kural_id],0))+$E536*INDEX(tblKurallar[deger_2025],MATCH("SGK-004",tblKurallar[kural_id],0))+$F536*sgk_isverenOran,2),0))</f>
        <v/>
      </c>
      <c r="I536" s="37">
        <f>IF($A536="","",IFERROR(MAX(0,$H536-$G536),0))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$C537*INDEX(tblKurallar[deger_2025],MATCH("SGK-001",tblKurallar[kural_id],0))+$D537*INDEX(tblKurallar[deger_2025],MATCH("SGK-002",tblKurallar[kural_id],0))+$E537*INDEX(tblKurallar[deger_2025],MATCH("SGK-004",tblKurallar[kural_id],0))+$F537*sgk_isverenOran,2),0))</f>
        <v/>
      </c>
      <c r="I537" s="37">
        <f>IF($A537="","",IFERROR(MAX(0,$H537-$G537),0))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$C538*INDEX(tblKurallar[deger_2025],MATCH("SGK-001",tblKurallar[kural_id],0))+$D538*INDEX(tblKurallar[deger_2025],MATCH("SGK-002",tblKurallar[kural_id],0))+$E538*INDEX(tblKurallar[deger_2025],MATCH("SGK-004",tblKurallar[kural_id],0))+$F538*sgk_isverenOran,2),0))</f>
        <v/>
      </c>
      <c r="I538" s="37">
        <f>IF($A538="","",IFERROR(MAX(0,$H538-$G538),0))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$C539*INDEX(tblKurallar[deger_2025],MATCH("SGK-001",tblKurallar[kural_id],0))+$D539*INDEX(tblKurallar[deger_2025],MATCH("SGK-002",tblKurallar[kural_id],0))+$E539*INDEX(tblKurallar[deger_2025],MATCH("SGK-004",tblKurallar[kural_id],0))+$F539*sgk_isverenOran,2),0))</f>
        <v/>
      </c>
      <c r="I539" s="37">
        <f>IF($A539="","",IFERROR(MAX(0,$H539-$G539),0))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$C540*INDEX(tblKurallar[deger_2025],MATCH("SGK-001",tblKurallar[kural_id],0))+$D540*INDEX(tblKurallar[deger_2025],MATCH("SGK-002",tblKurallar[kural_id],0))+$E540*INDEX(tblKurallar[deger_2025],MATCH("SGK-004",tblKurallar[kural_id],0))+$F540*sgk_isverenOran,2),0))</f>
        <v/>
      </c>
      <c r="I540" s="37">
        <f>IF($A540="","",IFERROR(MAX(0,$H540-$G540),0))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$C541*INDEX(tblKurallar[deger_2025],MATCH("SGK-001",tblKurallar[kural_id],0))+$D541*INDEX(tblKurallar[deger_2025],MATCH("SGK-002",tblKurallar[kural_id],0))+$E541*INDEX(tblKurallar[deger_2025],MATCH("SGK-004",tblKurallar[kural_id],0))+$F541*sgk_isverenOran,2),0))</f>
        <v/>
      </c>
      <c r="I541" s="37">
        <f>IF($A541="","",IFERROR(MAX(0,$H541-$G541),0))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$C542*INDEX(tblKurallar[deger_2025],MATCH("SGK-001",tblKurallar[kural_id],0))+$D542*INDEX(tblKurallar[deger_2025],MATCH("SGK-002",tblKurallar[kural_id],0))+$E542*INDEX(tblKurallar[deger_2025],MATCH("SGK-004",tblKurallar[kural_id],0))+$F542*sgk_isverenOran,2),0))</f>
        <v/>
      </c>
      <c r="I542" s="37">
        <f>IF($A542="","",IFERROR(MAX(0,$H542-$G542),0))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$C543*INDEX(tblKurallar[deger_2025],MATCH("SGK-001",tblKurallar[kural_id],0))+$D543*INDEX(tblKurallar[deger_2025],MATCH("SGK-002",tblKurallar[kural_id],0))+$E543*INDEX(tblKurallar[deger_2025],MATCH("SGK-004",tblKurallar[kural_id],0))+$F543*sgk_isverenOran,2),0))</f>
        <v/>
      </c>
      <c r="I543" s="37">
        <f>IF($A543="","",IFERROR(MAX(0,$H543-$G543),0))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$C544*INDEX(tblKurallar[deger_2025],MATCH("SGK-001",tblKurallar[kural_id],0))+$D544*INDEX(tblKurallar[deger_2025],MATCH("SGK-002",tblKurallar[kural_id],0))+$E544*INDEX(tblKurallar[deger_2025],MATCH("SGK-004",tblKurallar[kural_id],0))+$F544*sgk_isverenOran,2),0))</f>
        <v/>
      </c>
      <c r="I544" s="37">
        <f>IF($A544="","",IFERROR(MAX(0,$H544-$G544),0))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$C545*INDEX(tblKurallar[deger_2025],MATCH("SGK-001",tblKurallar[kural_id],0))+$D545*INDEX(tblKurallar[deger_2025],MATCH("SGK-002",tblKurallar[kural_id],0))+$E545*INDEX(tblKurallar[deger_2025],MATCH("SGK-004",tblKurallar[kural_id],0))+$F545*sgk_isverenOran,2),0))</f>
        <v/>
      </c>
      <c r="I545" s="37">
        <f>IF($A545="","",IFERROR(MAX(0,$H545-$G545),0))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$C546*INDEX(tblKurallar[deger_2025],MATCH("SGK-001",tblKurallar[kural_id],0))+$D546*INDEX(tblKurallar[deger_2025],MATCH("SGK-002",tblKurallar[kural_id],0))+$E546*INDEX(tblKurallar[deger_2025],MATCH("SGK-004",tblKurallar[kural_id],0))+$F546*sgk_isverenOran,2),0))</f>
        <v/>
      </c>
      <c r="I546" s="37">
        <f>IF($A546="","",IFERROR(MAX(0,$H546-$G546),0))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$C547*INDEX(tblKurallar[deger_2025],MATCH("SGK-001",tblKurallar[kural_id],0))+$D547*INDEX(tblKurallar[deger_2025],MATCH("SGK-002",tblKurallar[kural_id],0))+$E547*INDEX(tblKurallar[deger_2025],MATCH("SGK-004",tblKurallar[kural_id],0))+$F547*sgk_isverenOran,2),0))</f>
        <v/>
      </c>
      <c r="I547" s="37">
        <f>IF($A547="","",IFERROR(MAX(0,$H547-$G547),0))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$C548*INDEX(tblKurallar[deger_2025],MATCH("SGK-001",tblKurallar[kural_id],0))+$D548*INDEX(tblKurallar[deger_2025],MATCH("SGK-002",tblKurallar[kural_id],0))+$E548*INDEX(tblKurallar[deger_2025],MATCH("SGK-004",tblKurallar[kural_id],0))+$F548*sgk_isverenOran,2),0))</f>
        <v/>
      </c>
      <c r="I548" s="37">
        <f>IF($A548="","",IFERROR(MAX(0,$H548-$G548),0))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$C549*INDEX(tblKurallar[deger_2025],MATCH("SGK-001",tblKurallar[kural_id],0))+$D549*INDEX(tblKurallar[deger_2025],MATCH("SGK-002",tblKurallar[kural_id],0))+$E549*INDEX(tblKurallar[deger_2025],MATCH("SGK-004",tblKurallar[kural_id],0))+$F549*sgk_isverenOran,2),0))</f>
        <v/>
      </c>
      <c r="I549" s="37">
        <f>IF($A549="","",IFERROR(MAX(0,$H549-$G549),0))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$C550*INDEX(tblKurallar[deger_2025],MATCH("SGK-001",tblKurallar[kural_id],0))+$D550*INDEX(tblKurallar[deger_2025],MATCH("SGK-002",tblKurallar[kural_id],0))+$E550*INDEX(tblKurallar[deger_2025],MATCH("SGK-004",tblKurallar[kural_id],0))+$F550*sgk_isverenOran,2),0))</f>
        <v/>
      </c>
      <c r="I550" s="37">
        <f>IF($A550="","",IFERROR(MAX(0,$H550-$G550),0))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$C551*INDEX(tblKurallar[deger_2025],MATCH("SGK-001",tblKurallar[kural_id],0))+$D551*INDEX(tblKurallar[deger_2025],MATCH("SGK-002",tblKurallar[kural_id],0))+$E551*INDEX(tblKurallar[deger_2025],MATCH("SGK-004",tblKurallar[kural_id],0))+$F551*sgk_isverenOran,2),0))</f>
        <v/>
      </c>
      <c r="I551" s="37">
        <f>IF($A551="","",IFERROR(MAX(0,$H551-$G551),0))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$C552*INDEX(tblKurallar[deger_2025],MATCH("SGK-001",tblKurallar[kural_id],0))+$D552*INDEX(tblKurallar[deger_2025],MATCH("SGK-002",tblKurallar[kural_id],0))+$E552*INDEX(tblKurallar[deger_2025],MATCH("SGK-004",tblKurallar[kural_id],0))+$F552*sgk_isverenOran,2),0))</f>
        <v/>
      </c>
      <c r="I552" s="37">
        <f>IF($A552="","",IFERROR(MAX(0,$H552-$G552),0))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$C553*INDEX(tblKurallar[deger_2025],MATCH("SGK-001",tblKurallar[kural_id],0))+$D553*INDEX(tblKurallar[deger_2025],MATCH("SGK-002",tblKurallar[kural_id],0))+$E553*INDEX(tblKurallar[deger_2025],MATCH("SGK-004",tblKurallar[kural_id],0))+$F553*sgk_isverenOran,2),0))</f>
        <v/>
      </c>
      <c r="I553" s="37">
        <f>IF($A553="","",IFERROR(MAX(0,$H553-$G553),0))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$C554*INDEX(tblKurallar[deger_2025],MATCH("SGK-001",tblKurallar[kural_id],0))+$D554*INDEX(tblKurallar[deger_2025],MATCH("SGK-002",tblKurallar[kural_id],0))+$E554*INDEX(tblKurallar[deger_2025],MATCH("SGK-004",tblKurallar[kural_id],0))+$F554*sgk_isverenOran,2),0))</f>
        <v/>
      </c>
      <c r="I554" s="37">
        <f>IF($A554="","",IFERROR(MAX(0,$H554-$G554),0))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$C555*INDEX(tblKurallar[deger_2025],MATCH("SGK-001",tblKurallar[kural_id],0))+$D555*INDEX(tblKurallar[deger_2025],MATCH("SGK-002",tblKurallar[kural_id],0))+$E555*INDEX(tblKurallar[deger_2025],MATCH("SGK-004",tblKurallar[kural_id],0))+$F555*sgk_isverenOran,2),0))</f>
        <v/>
      </c>
      <c r="I555" s="37">
        <f>IF($A555="","",IFERROR(MAX(0,$H555-$G555),0))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$C556*INDEX(tblKurallar[deger_2025],MATCH("SGK-001",tblKurallar[kural_id],0))+$D556*INDEX(tblKurallar[deger_2025],MATCH("SGK-002",tblKurallar[kural_id],0))+$E556*INDEX(tblKurallar[deger_2025],MATCH("SGK-004",tblKurallar[kural_id],0))+$F556*sgk_isverenOran,2),0))</f>
        <v/>
      </c>
      <c r="I556" s="37">
        <f>IF($A556="","",IFERROR(MAX(0,$H556-$G556),0))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$C557*INDEX(tblKurallar[deger_2025],MATCH("SGK-001",tblKurallar[kural_id],0))+$D557*INDEX(tblKurallar[deger_2025],MATCH("SGK-002",tblKurallar[kural_id],0))+$E557*INDEX(tblKurallar[deger_2025],MATCH("SGK-004",tblKurallar[kural_id],0))+$F557*sgk_isverenOran,2),0))</f>
        <v/>
      </c>
      <c r="I557" s="37">
        <f>IF($A557="","",IFERROR(MAX(0,$H557-$G557),0))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$C558*INDEX(tblKurallar[deger_2025],MATCH("SGK-001",tblKurallar[kural_id],0))+$D558*INDEX(tblKurallar[deger_2025],MATCH("SGK-002",tblKurallar[kural_id],0))+$E558*INDEX(tblKurallar[deger_2025],MATCH("SGK-004",tblKurallar[kural_id],0))+$F558*sgk_isverenOran,2),0))</f>
        <v/>
      </c>
      <c r="I558" s="37">
        <f>IF($A558="","",IFERROR(MAX(0,$H558-$G558),0))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$C559*INDEX(tblKurallar[deger_2025],MATCH("SGK-001",tblKurallar[kural_id],0))+$D559*INDEX(tblKurallar[deger_2025],MATCH("SGK-002",tblKurallar[kural_id],0))+$E559*INDEX(tblKurallar[deger_2025],MATCH("SGK-004",tblKurallar[kural_id],0))+$F559*sgk_isverenOran,2),0))</f>
        <v/>
      </c>
      <c r="I559" s="37">
        <f>IF($A559="","",IFERROR(MAX(0,$H559-$G559),0))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$C560*INDEX(tblKurallar[deger_2025],MATCH("SGK-001",tblKurallar[kural_id],0))+$D560*INDEX(tblKurallar[deger_2025],MATCH("SGK-002",tblKurallar[kural_id],0))+$E560*INDEX(tblKurallar[deger_2025],MATCH("SGK-004",tblKurallar[kural_id],0))+$F560*sgk_isverenOran,2),0))</f>
        <v/>
      </c>
      <c r="I560" s="37">
        <f>IF($A560="","",IFERROR(MAX(0,$H560-$G560),0))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$C561*INDEX(tblKurallar[deger_2025],MATCH("SGK-001",tblKurallar[kural_id],0))+$D561*INDEX(tblKurallar[deger_2025],MATCH("SGK-002",tblKurallar[kural_id],0))+$E561*INDEX(tblKurallar[deger_2025],MATCH("SGK-004",tblKurallar[kural_id],0))+$F561*sgk_isverenOran,2),0))</f>
        <v/>
      </c>
      <c r="I561" s="37">
        <f>IF($A561="","",IFERROR(MAX(0,$H561-$G561),0))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$C562*INDEX(tblKurallar[deger_2025],MATCH("SGK-001",tblKurallar[kural_id],0))+$D562*INDEX(tblKurallar[deger_2025],MATCH("SGK-002",tblKurallar[kural_id],0))+$E562*INDEX(tblKurallar[deger_2025],MATCH("SGK-004",tblKurallar[kural_id],0))+$F562*sgk_isverenOran,2),0))</f>
        <v/>
      </c>
      <c r="I562" s="37">
        <f>IF($A562="","",IFERROR(MAX(0,$H562-$G562),0))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$C563*INDEX(tblKurallar[deger_2025],MATCH("SGK-001",tblKurallar[kural_id],0))+$D563*INDEX(tblKurallar[deger_2025],MATCH("SGK-002",tblKurallar[kural_id],0))+$E563*INDEX(tblKurallar[deger_2025],MATCH("SGK-004",tblKurallar[kural_id],0))+$F563*sgk_isverenOran,2),0))</f>
        <v/>
      </c>
      <c r="I563" s="37">
        <f>IF($A563="","",IFERROR(MAX(0,$H563-$G563),0))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$C564*INDEX(tblKurallar[deger_2025],MATCH("SGK-001",tblKurallar[kural_id],0))+$D564*INDEX(tblKurallar[deger_2025],MATCH("SGK-002",tblKurallar[kural_id],0))+$E564*INDEX(tblKurallar[deger_2025],MATCH("SGK-004",tblKurallar[kural_id],0))+$F564*sgk_isverenOran,2),0))</f>
        <v/>
      </c>
      <c r="I564" s="37">
        <f>IF($A564="","",IFERROR(MAX(0,$H564-$G564),0))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$C565*INDEX(tblKurallar[deger_2025],MATCH("SGK-001",tblKurallar[kural_id],0))+$D565*INDEX(tblKurallar[deger_2025],MATCH("SGK-002",tblKurallar[kural_id],0))+$E565*INDEX(tblKurallar[deger_2025],MATCH("SGK-004",tblKurallar[kural_id],0))+$F565*sgk_isverenOran,2),0))</f>
        <v/>
      </c>
      <c r="I565" s="37">
        <f>IF($A565="","",IFERROR(MAX(0,$H565-$G565),0))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$C566*INDEX(tblKurallar[deger_2025],MATCH("SGK-001",tblKurallar[kural_id],0))+$D566*INDEX(tblKurallar[deger_2025],MATCH("SGK-002",tblKurallar[kural_id],0))+$E566*INDEX(tblKurallar[deger_2025],MATCH("SGK-004",tblKurallar[kural_id],0))+$F566*sgk_isverenOran,2),0))</f>
        <v/>
      </c>
      <c r="I566" s="37">
        <f>IF($A566="","",IFERROR(MAX(0,$H566-$G566),0))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$C567*INDEX(tblKurallar[deger_2025],MATCH("SGK-001",tblKurallar[kural_id],0))+$D567*INDEX(tblKurallar[deger_2025],MATCH("SGK-002",tblKurallar[kural_id],0))+$E567*INDEX(tblKurallar[deger_2025],MATCH("SGK-004",tblKurallar[kural_id],0))+$F567*sgk_isverenOran,2),0))</f>
        <v/>
      </c>
      <c r="I567" s="37">
        <f>IF($A567="","",IFERROR(MAX(0,$H567-$G567),0))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$C568*INDEX(tblKurallar[deger_2025],MATCH("SGK-001",tblKurallar[kural_id],0))+$D568*INDEX(tblKurallar[deger_2025],MATCH("SGK-002",tblKurallar[kural_id],0))+$E568*INDEX(tblKurallar[deger_2025],MATCH("SGK-004",tblKurallar[kural_id],0))+$F568*sgk_isverenOran,2),0))</f>
        <v/>
      </c>
      <c r="I568" s="37">
        <f>IF($A568="","",IFERROR(MAX(0,$H568-$G568),0))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$C569*INDEX(tblKurallar[deger_2025],MATCH("SGK-001",tblKurallar[kural_id],0))+$D569*INDEX(tblKurallar[deger_2025],MATCH("SGK-002",tblKurallar[kural_id],0))+$E569*INDEX(tblKurallar[deger_2025],MATCH("SGK-004",tblKurallar[kural_id],0))+$F569*sgk_isverenOran,2),0))</f>
        <v/>
      </c>
      <c r="I569" s="37">
        <f>IF($A569="","",IFERROR(MAX(0,$H569-$G569),0))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$C570*INDEX(tblKurallar[deger_2025],MATCH("SGK-001",tblKurallar[kural_id],0))+$D570*INDEX(tblKurallar[deger_2025],MATCH("SGK-002",tblKurallar[kural_id],0))+$E570*INDEX(tblKurallar[deger_2025],MATCH("SGK-004",tblKurallar[kural_id],0))+$F570*sgk_isverenOran,2),0))</f>
        <v/>
      </c>
      <c r="I570" s="37">
        <f>IF($A570="","",IFERROR(MAX(0,$H570-$G570),0))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$C571*INDEX(tblKurallar[deger_2025],MATCH("SGK-001",tblKurallar[kural_id],0))+$D571*INDEX(tblKurallar[deger_2025],MATCH("SGK-002",tblKurallar[kural_id],0))+$E571*INDEX(tblKurallar[deger_2025],MATCH("SGK-004",tblKurallar[kural_id],0))+$F571*sgk_isverenOran,2),0))</f>
        <v/>
      </c>
      <c r="I571" s="37">
        <f>IF($A571="","",IFERROR(MAX(0,$H571-$G571),0))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$C572*INDEX(tblKurallar[deger_2025],MATCH("SGK-001",tblKurallar[kural_id],0))+$D572*INDEX(tblKurallar[deger_2025],MATCH("SGK-002",tblKurallar[kural_id],0))+$E572*INDEX(tblKurallar[deger_2025],MATCH("SGK-004",tblKurallar[kural_id],0))+$F572*sgk_isverenOran,2),0))</f>
        <v/>
      </c>
      <c r="I572" s="37">
        <f>IF($A572="","",IFERROR(MAX(0,$H572-$G572),0))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$C573*INDEX(tblKurallar[deger_2025],MATCH("SGK-001",tblKurallar[kural_id],0))+$D573*INDEX(tblKurallar[deger_2025],MATCH("SGK-002",tblKurallar[kural_id],0))+$E573*INDEX(tblKurallar[deger_2025],MATCH("SGK-004",tblKurallar[kural_id],0))+$F573*sgk_isverenOran,2),0))</f>
        <v/>
      </c>
      <c r="I573" s="37">
        <f>IF($A573="","",IFERROR(MAX(0,$H573-$G573),0))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$C574*INDEX(tblKurallar[deger_2025],MATCH("SGK-001",tblKurallar[kural_id],0))+$D574*INDEX(tblKurallar[deger_2025],MATCH("SGK-002",tblKurallar[kural_id],0))+$E574*INDEX(tblKurallar[deger_2025],MATCH("SGK-004",tblKurallar[kural_id],0))+$F574*sgk_isverenOran,2),0))</f>
        <v/>
      </c>
      <c r="I574" s="37">
        <f>IF($A574="","",IFERROR(MAX(0,$H574-$G574),0))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$C575*INDEX(tblKurallar[deger_2025],MATCH("SGK-001",tblKurallar[kural_id],0))+$D575*INDEX(tblKurallar[deger_2025],MATCH("SGK-002",tblKurallar[kural_id],0))+$E575*INDEX(tblKurallar[deger_2025],MATCH("SGK-004",tblKurallar[kural_id],0))+$F575*sgk_isverenOran,2),0))</f>
        <v/>
      </c>
      <c r="I575" s="37">
        <f>IF($A575="","",IFERROR(MAX(0,$H575-$G575),0))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$C576*INDEX(tblKurallar[deger_2025],MATCH("SGK-001",tblKurallar[kural_id],0))+$D576*INDEX(tblKurallar[deger_2025],MATCH("SGK-002",tblKurallar[kural_id],0))+$E576*INDEX(tblKurallar[deger_2025],MATCH("SGK-004",tblKurallar[kural_id],0))+$F576*sgk_isverenOran,2),0))</f>
        <v/>
      </c>
      <c r="I576" s="37">
        <f>IF($A576="","",IFERROR(MAX(0,$H576-$G576),0))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$C577*INDEX(tblKurallar[deger_2025],MATCH("SGK-001",tblKurallar[kural_id],0))+$D577*INDEX(tblKurallar[deger_2025],MATCH("SGK-002",tblKurallar[kural_id],0))+$E577*INDEX(tblKurallar[deger_2025],MATCH("SGK-004",tblKurallar[kural_id],0))+$F577*sgk_isverenOran,2),0))</f>
        <v/>
      </c>
      <c r="I577" s="37">
        <f>IF($A577="","",IFERROR(MAX(0,$H577-$G577),0))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$C578*INDEX(tblKurallar[deger_2025],MATCH("SGK-001",tblKurallar[kural_id],0))+$D578*INDEX(tblKurallar[deger_2025],MATCH("SGK-002",tblKurallar[kural_id],0))+$E578*INDEX(tblKurallar[deger_2025],MATCH("SGK-004",tblKurallar[kural_id],0))+$F578*sgk_isverenOran,2),0))</f>
        <v/>
      </c>
      <c r="I578" s="37">
        <f>IF($A578="","",IFERROR(MAX(0,$H578-$G578),0))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$C579*INDEX(tblKurallar[deger_2025],MATCH("SGK-001",tblKurallar[kural_id],0))+$D579*INDEX(tblKurallar[deger_2025],MATCH("SGK-002",tblKurallar[kural_id],0))+$E579*INDEX(tblKurallar[deger_2025],MATCH("SGK-004",tblKurallar[kural_id],0))+$F579*sgk_isverenOran,2),0))</f>
        <v/>
      </c>
      <c r="I579" s="37">
        <f>IF($A579="","",IFERROR(MAX(0,$H579-$G579),0))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$C580*INDEX(tblKurallar[deger_2025],MATCH("SGK-001",tblKurallar[kural_id],0))+$D580*INDEX(tblKurallar[deger_2025],MATCH("SGK-002",tblKurallar[kural_id],0))+$E580*INDEX(tblKurallar[deger_2025],MATCH("SGK-004",tblKurallar[kural_id],0))+$F580*sgk_isverenOran,2),0))</f>
        <v/>
      </c>
      <c r="I580" s="37">
        <f>IF($A580="","",IFERROR(MAX(0,$H580-$G580),0))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$C581*INDEX(tblKurallar[deger_2025],MATCH("SGK-001",tblKurallar[kural_id],0))+$D581*INDEX(tblKurallar[deger_2025],MATCH("SGK-002",tblKurallar[kural_id],0))+$E581*INDEX(tblKurallar[deger_2025],MATCH("SGK-004",tblKurallar[kural_id],0))+$F581*sgk_isverenOran,2),0))</f>
        <v/>
      </c>
      <c r="I581" s="37">
        <f>IF($A581="","",IFERROR(MAX(0,$H581-$G581),0))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$C582*INDEX(tblKurallar[deger_2025],MATCH("SGK-001",tblKurallar[kural_id],0))+$D582*INDEX(tblKurallar[deger_2025],MATCH("SGK-002",tblKurallar[kural_id],0))+$E582*INDEX(tblKurallar[deger_2025],MATCH("SGK-004",tblKurallar[kural_id],0))+$F582*sgk_isverenOran,2),0))</f>
        <v/>
      </c>
      <c r="I582" s="37">
        <f>IF($A582="","",IFERROR(MAX(0,$H582-$G582),0))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$C583*INDEX(tblKurallar[deger_2025],MATCH("SGK-001",tblKurallar[kural_id],0))+$D583*INDEX(tblKurallar[deger_2025],MATCH("SGK-002",tblKurallar[kural_id],0))+$E583*INDEX(tblKurallar[deger_2025],MATCH("SGK-004",tblKurallar[kural_id],0))+$F583*sgk_isverenOran,2),0))</f>
        <v/>
      </c>
      <c r="I583" s="37">
        <f>IF($A583="","",IFERROR(MAX(0,$H583-$G583),0))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$C584*INDEX(tblKurallar[deger_2025],MATCH("SGK-001",tblKurallar[kural_id],0))+$D584*INDEX(tblKurallar[deger_2025],MATCH("SGK-002",tblKurallar[kural_id],0))+$E584*INDEX(tblKurallar[deger_2025],MATCH("SGK-004",tblKurallar[kural_id],0))+$F584*sgk_isverenOran,2),0))</f>
        <v/>
      </c>
      <c r="I584" s="37">
        <f>IF($A584="","",IFERROR(MAX(0,$H584-$G584),0))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$C585*INDEX(tblKurallar[deger_2025],MATCH("SGK-001",tblKurallar[kural_id],0))+$D585*INDEX(tblKurallar[deger_2025],MATCH("SGK-002",tblKurallar[kural_id],0))+$E585*INDEX(tblKurallar[deger_2025],MATCH("SGK-004",tblKurallar[kural_id],0))+$F585*sgk_isverenOran,2),0))</f>
        <v/>
      </c>
      <c r="I585" s="37">
        <f>IF($A585="","",IFERROR(MAX(0,$H585-$G585),0))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$C586*INDEX(tblKurallar[deger_2025],MATCH("SGK-001",tblKurallar[kural_id],0))+$D586*INDEX(tblKurallar[deger_2025],MATCH("SGK-002",tblKurallar[kural_id],0))+$E586*INDEX(tblKurallar[deger_2025],MATCH("SGK-004",tblKurallar[kural_id],0))+$F586*sgk_isverenOran,2),0))</f>
        <v/>
      </c>
      <c r="I586" s="37">
        <f>IF($A586="","",IFERROR(MAX(0,$H586-$G586),0))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$C587*INDEX(tblKurallar[deger_2025],MATCH("SGK-001",tblKurallar[kural_id],0))+$D587*INDEX(tblKurallar[deger_2025],MATCH("SGK-002",tblKurallar[kural_id],0))+$E587*INDEX(tblKurallar[deger_2025],MATCH("SGK-004",tblKurallar[kural_id],0))+$F587*sgk_isverenOran,2),0))</f>
        <v/>
      </c>
      <c r="I587" s="37">
        <f>IF($A587="","",IFERROR(MAX(0,$H587-$G587),0))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$C588*INDEX(tblKurallar[deger_2025],MATCH("SGK-001",tblKurallar[kural_id],0))+$D588*INDEX(tblKurallar[deger_2025],MATCH("SGK-002",tblKurallar[kural_id],0))+$E588*INDEX(tblKurallar[deger_2025],MATCH("SGK-004",tblKurallar[kural_id],0))+$F588*sgk_isverenOran,2),0))</f>
        <v/>
      </c>
      <c r="I588" s="37">
        <f>IF($A588="","",IFERROR(MAX(0,$H588-$G588),0))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$C589*INDEX(tblKurallar[deger_2025],MATCH("SGK-001",tblKurallar[kural_id],0))+$D589*INDEX(tblKurallar[deger_2025],MATCH("SGK-002",tblKurallar[kural_id],0))+$E589*INDEX(tblKurallar[deger_2025],MATCH("SGK-004",tblKurallar[kural_id],0))+$F589*sgk_isverenOran,2),0))</f>
        <v/>
      </c>
      <c r="I589" s="37">
        <f>IF($A589="","",IFERROR(MAX(0,$H589-$G589),0))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$C590*INDEX(tblKurallar[deger_2025],MATCH("SGK-001",tblKurallar[kural_id],0))+$D590*INDEX(tblKurallar[deger_2025],MATCH("SGK-002",tblKurallar[kural_id],0))+$E590*INDEX(tblKurallar[deger_2025],MATCH("SGK-004",tblKurallar[kural_id],0))+$F590*sgk_isverenOran,2),0))</f>
        <v/>
      </c>
      <c r="I590" s="37">
        <f>IF($A590="","",IFERROR(MAX(0,$H590-$G590),0))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$C591*INDEX(tblKurallar[deger_2025],MATCH("SGK-001",tblKurallar[kural_id],0))+$D591*INDEX(tblKurallar[deger_2025],MATCH("SGK-002",tblKurallar[kural_id],0))+$E591*INDEX(tblKurallar[deger_2025],MATCH("SGK-004",tblKurallar[kural_id],0))+$F591*sgk_isverenOran,2),0))</f>
        <v/>
      </c>
      <c r="I591" s="37">
        <f>IF($A591="","",IFERROR(MAX(0,$H591-$G591),0))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$C592*INDEX(tblKurallar[deger_2025],MATCH("SGK-001",tblKurallar[kural_id],0))+$D592*INDEX(tblKurallar[deger_2025],MATCH("SGK-002",tblKurallar[kural_id],0))+$E592*INDEX(tblKurallar[deger_2025],MATCH("SGK-004",tblKurallar[kural_id],0))+$F592*sgk_isverenOran,2),0))</f>
        <v/>
      </c>
      <c r="I592" s="37">
        <f>IF($A592="","",IFERROR(MAX(0,$H592-$G592),0))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$C593*INDEX(tblKurallar[deger_2025],MATCH("SGK-001",tblKurallar[kural_id],0))+$D593*INDEX(tblKurallar[deger_2025],MATCH("SGK-002",tblKurallar[kural_id],0))+$E593*INDEX(tblKurallar[deger_2025],MATCH("SGK-004",tblKurallar[kural_id],0))+$F593*sgk_isverenOran,2),0))</f>
        <v/>
      </c>
      <c r="I593" s="37">
        <f>IF($A593="","",IFERROR(MAX(0,$H593-$G593),0))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$C594*INDEX(tblKurallar[deger_2025],MATCH("SGK-001",tblKurallar[kural_id],0))+$D594*INDEX(tblKurallar[deger_2025],MATCH("SGK-002",tblKurallar[kural_id],0))+$E594*INDEX(tblKurallar[deger_2025],MATCH("SGK-004",tblKurallar[kural_id],0))+$F594*sgk_isverenOran,2),0))</f>
        <v/>
      </c>
      <c r="I594" s="37">
        <f>IF($A594="","",IFERROR(MAX(0,$H594-$G594),0))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$C595*INDEX(tblKurallar[deger_2025],MATCH("SGK-001",tblKurallar[kural_id],0))+$D595*INDEX(tblKurallar[deger_2025],MATCH("SGK-002",tblKurallar[kural_id],0))+$E595*INDEX(tblKurallar[deger_2025],MATCH("SGK-004",tblKurallar[kural_id],0))+$F595*sgk_isverenOran,2),0))</f>
        <v/>
      </c>
      <c r="I595" s="37">
        <f>IF($A595="","",IFERROR(MAX(0,$H595-$G595),0))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$C596*INDEX(tblKurallar[deger_2025],MATCH("SGK-001",tblKurallar[kural_id],0))+$D596*INDEX(tblKurallar[deger_2025],MATCH("SGK-002",tblKurallar[kural_id],0))+$E596*INDEX(tblKurallar[deger_2025],MATCH("SGK-004",tblKurallar[kural_id],0))+$F596*sgk_isverenOran,2),0))</f>
        <v/>
      </c>
      <c r="I596" s="37">
        <f>IF($A596="","",IFERROR(MAX(0,$H596-$G596),0))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$C597*INDEX(tblKurallar[deger_2025],MATCH("SGK-001",tblKurallar[kural_id],0))+$D597*INDEX(tblKurallar[deger_2025],MATCH("SGK-002",tblKurallar[kural_id],0))+$E597*INDEX(tblKurallar[deger_2025],MATCH("SGK-004",tblKurallar[kural_id],0))+$F597*sgk_isverenOran,2),0))</f>
        <v/>
      </c>
      <c r="I597" s="37">
        <f>IF($A597="","",IFERROR(MAX(0,$H597-$G597),0))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$C598*INDEX(tblKurallar[deger_2025],MATCH("SGK-001",tblKurallar[kural_id],0))+$D598*INDEX(tblKurallar[deger_2025],MATCH("SGK-002",tblKurallar[kural_id],0))+$E598*INDEX(tblKurallar[deger_2025],MATCH("SGK-004",tblKurallar[kural_id],0))+$F598*sgk_isverenOran,2),0))</f>
        <v/>
      </c>
      <c r="I598" s="37">
        <f>IF($A598="","",IFERROR(MAX(0,$H598-$G598),0))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$C599*INDEX(tblKurallar[deger_2025],MATCH("SGK-001",tblKurallar[kural_id],0))+$D599*INDEX(tblKurallar[deger_2025],MATCH("SGK-002",tblKurallar[kural_id],0))+$E599*INDEX(tblKurallar[deger_2025],MATCH("SGK-004",tblKurallar[kural_id],0))+$F599*sgk_isverenOran,2),0))</f>
        <v/>
      </c>
      <c r="I599" s="37">
        <f>IF($A599="","",IFERROR(MAX(0,$H599-$G599),0))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$C600*INDEX(tblKurallar[deger_2025],MATCH("SGK-001",tblKurallar[kural_id],0))+$D600*INDEX(tblKurallar[deger_2025],MATCH("SGK-002",tblKurallar[kural_id],0))+$E600*INDEX(tblKurallar[deger_2025],MATCH("SGK-004",tblKurallar[kural_id],0))+$F600*sgk_isverenOran,2),0))</f>
        <v/>
      </c>
      <c r="I600" s="37">
        <f>IF($A600="","",IFERROR(MAX(0,$H600-$G600),0))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$C601*INDEX(tblKurallar[deger_2025],MATCH("SGK-001",tblKurallar[kural_id],0))+$D601*INDEX(tblKurallar[deger_2025],MATCH("SGK-002",tblKurallar[kural_id],0))+$E601*INDEX(tblKurallar[deger_2025],MATCH("SGK-004",tblKurallar[kural_id],0))+$F601*sgk_isverenOran,2),0))</f>
        <v/>
      </c>
      <c r="I601" s="37">
        <f>IF($A601="","",IFERROR(MAX(0,$H601-$G601),0))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$C602*INDEX(tblKurallar[deger_2025],MATCH("SGK-001",tblKurallar[kural_id],0))+$D602*INDEX(tblKurallar[deger_2025],MATCH("SGK-002",tblKurallar[kural_id],0))+$E602*INDEX(tblKurallar[deger_2025],MATCH("SGK-004",tblKurallar[kural_id],0))+$F602*sgk_isverenOran,2),0))</f>
        <v/>
      </c>
      <c r="I602" s="37">
        <f>IF($A602="","",IFERROR(MAX(0,$H602-$G602),0))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$C603*INDEX(tblKurallar[deger_2025],MATCH("SGK-001",tblKurallar[kural_id],0))+$D603*INDEX(tblKurallar[deger_2025],MATCH("SGK-002",tblKurallar[kural_id],0))+$E603*INDEX(tblKurallar[deger_2025],MATCH("SGK-004",tblKurallar[kural_id],0))+$F603*sgk_isverenOran,2),0))</f>
        <v/>
      </c>
      <c r="I603" s="37">
        <f>IF($A603="","",IFERROR(MAX(0,$H603-$G603),0))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$C604*INDEX(tblKurallar[deger_2025],MATCH("SGK-001",tblKurallar[kural_id],0))+$D604*INDEX(tblKurallar[deger_2025],MATCH("SGK-002",tblKurallar[kural_id],0))+$E604*INDEX(tblKurallar[deger_2025],MATCH("SGK-004",tblKurallar[kural_id],0))+$F604*sgk_isverenOran,2),0))</f>
        <v/>
      </c>
      <c r="I604" s="37">
        <f>IF($A604="","",IFERROR(MAX(0,$H604-$G604),0))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$C605*INDEX(tblKurallar[deger_2025],MATCH("SGK-001",tblKurallar[kural_id],0))+$D605*INDEX(tblKurallar[deger_2025],MATCH("SGK-002",tblKurallar[kural_id],0))+$E605*INDEX(tblKurallar[deger_2025],MATCH("SGK-004",tblKurallar[kural_id],0))+$F605*sgk_isverenOran,2),0))</f>
        <v/>
      </c>
      <c r="I605" s="37">
        <f>IF($A605="","",IFERROR(MAX(0,$H605-$G605),0))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$C606*INDEX(tblKurallar[deger_2025],MATCH("SGK-001",tblKurallar[kural_id],0))+$D606*INDEX(tblKurallar[deger_2025],MATCH("SGK-002",tblKurallar[kural_id],0))+$E606*INDEX(tblKurallar[deger_2025],MATCH("SGK-004",tblKurallar[kural_id],0))+$F606*sgk_isverenOran,2),0))</f>
        <v/>
      </c>
      <c r="I606" s="37">
        <f>IF($A606="","",IFERROR(MAX(0,$H606-$G606),0))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$C607*INDEX(tblKurallar[deger_2025],MATCH("SGK-001",tblKurallar[kural_id],0))+$D607*INDEX(tblKurallar[deger_2025],MATCH("SGK-002",tblKurallar[kural_id],0))+$E607*INDEX(tblKurallar[deger_2025],MATCH("SGK-004",tblKurallar[kural_id],0))+$F607*sgk_isverenOran,2),0))</f>
        <v/>
      </c>
      <c r="I607" s="37">
        <f>IF($A607="","",IFERROR(MAX(0,$H607-$G607),0))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$C608*INDEX(tblKurallar[deger_2025],MATCH("SGK-001",tblKurallar[kural_id],0))+$D608*INDEX(tblKurallar[deger_2025],MATCH("SGK-002",tblKurallar[kural_id],0))+$E608*INDEX(tblKurallar[deger_2025],MATCH("SGK-004",tblKurallar[kural_id],0))+$F608*sgk_isverenOran,2),0))</f>
        <v/>
      </c>
      <c r="I608" s="37">
        <f>IF($A608="","",IFERROR(MAX(0,$H608-$G608),0))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$C609*INDEX(tblKurallar[deger_2025],MATCH("SGK-001",tblKurallar[kural_id],0))+$D609*INDEX(tblKurallar[deger_2025],MATCH("SGK-002",tblKurallar[kural_id],0))+$E609*INDEX(tblKurallar[deger_2025],MATCH("SGK-004",tblKurallar[kural_id],0))+$F609*sgk_isverenOran,2),0))</f>
        <v/>
      </c>
      <c r="I609" s="37">
        <f>IF($A609="","",IFERROR(MAX(0,$H609-$G609),0))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$C610*INDEX(tblKurallar[deger_2025],MATCH("SGK-001",tblKurallar[kural_id],0))+$D610*INDEX(tblKurallar[deger_2025],MATCH("SGK-002",tblKurallar[kural_id],0))+$E610*INDEX(tblKurallar[deger_2025],MATCH("SGK-004",tblKurallar[kural_id],0))+$F610*sgk_isverenOran,2),0))</f>
        <v/>
      </c>
      <c r="I610" s="37">
        <f>IF($A610="","",IFERROR(MAX(0,$H610-$G610),0))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$C611*INDEX(tblKurallar[deger_2025],MATCH("SGK-001",tblKurallar[kural_id],0))+$D611*INDEX(tblKurallar[deger_2025],MATCH("SGK-002",tblKurallar[kural_id],0))+$E611*INDEX(tblKurallar[deger_2025],MATCH("SGK-004",tblKurallar[kural_id],0))+$F611*sgk_isverenOran,2),0))</f>
        <v/>
      </c>
      <c r="I611" s="37">
        <f>IF($A611="","",IFERROR(MAX(0,$H611-$G611),0))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$C612*INDEX(tblKurallar[deger_2025],MATCH("SGK-001",tblKurallar[kural_id],0))+$D612*INDEX(tblKurallar[deger_2025],MATCH("SGK-002",tblKurallar[kural_id],0))+$E612*INDEX(tblKurallar[deger_2025],MATCH("SGK-004",tblKurallar[kural_id],0))+$F612*sgk_isverenOran,2),0))</f>
        <v/>
      </c>
      <c r="I612" s="37">
        <f>IF($A612="","",IFERROR(MAX(0,$H612-$G612),0))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$C613*INDEX(tblKurallar[deger_2025],MATCH("SGK-001",tblKurallar[kural_id],0))+$D613*INDEX(tblKurallar[deger_2025],MATCH("SGK-002",tblKurallar[kural_id],0))+$E613*INDEX(tblKurallar[deger_2025],MATCH("SGK-004",tblKurallar[kural_id],0))+$F613*sgk_isverenOran,2),0))</f>
        <v/>
      </c>
      <c r="I613" s="37">
        <f>IF($A613="","",IFERROR(MAX(0,$H613-$G613),0))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$C614*INDEX(tblKurallar[deger_2025],MATCH("SGK-001",tblKurallar[kural_id],0))+$D614*INDEX(tblKurallar[deger_2025],MATCH("SGK-002",tblKurallar[kural_id],0))+$E614*INDEX(tblKurallar[deger_2025],MATCH("SGK-004",tblKurallar[kural_id],0))+$F614*sgk_isverenOran,2),0))</f>
        <v/>
      </c>
      <c r="I614" s="37">
        <f>IF($A614="","",IFERROR(MAX(0,$H614-$G614),0))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$C615*INDEX(tblKurallar[deger_2025],MATCH("SGK-001",tblKurallar[kural_id],0))+$D615*INDEX(tblKurallar[deger_2025],MATCH("SGK-002",tblKurallar[kural_id],0))+$E615*INDEX(tblKurallar[deger_2025],MATCH("SGK-004",tblKurallar[kural_id],0))+$F615*sgk_isverenOran,2),0))</f>
        <v/>
      </c>
      <c r="I615" s="37">
        <f>IF($A615="","",IFERROR(MAX(0,$H615-$G615),0))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$C616*INDEX(tblKurallar[deger_2025],MATCH("SGK-001",tblKurallar[kural_id],0))+$D616*INDEX(tblKurallar[deger_2025],MATCH("SGK-002",tblKurallar[kural_id],0))+$E616*INDEX(tblKurallar[deger_2025],MATCH("SGK-004",tblKurallar[kural_id],0))+$F616*sgk_isverenOran,2),0))</f>
        <v/>
      </c>
      <c r="I616" s="37">
        <f>IF($A616="","",IFERROR(MAX(0,$H616-$G616),0))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$C617*INDEX(tblKurallar[deger_2025],MATCH("SGK-001",tblKurallar[kural_id],0))+$D617*INDEX(tblKurallar[deger_2025],MATCH("SGK-002",tblKurallar[kural_id],0))+$E617*INDEX(tblKurallar[deger_2025],MATCH("SGK-004",tblKurallar[kural_id],0))+$F617*sgk_isverenOran,2),0))</f>
        <v/>
      </c>
      <c r="I617" s="37">
        <f>IF($A617="","",IFERROR(MAX(0,$H617-$G617),0))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$C618*INDEX(tblKurallar[deger_2025],MATCH("SGK-001",tblKurallar[kural_id],0))+$D618*INDEX(tblKurallar[deger_2025],MATCH("SGK-002",tblKurallar[kural_id],0))+$E618*INDEX(tblKurallar[deger_2025],MATCH("SGK-004",tblKurallar[kural_id],0))+$F618*sgk_isverenOran,2),0))</f>
        <v/>
      </c>
      <c r="I618" s="37">
        <f>IF($A618="","",IFERROR(MAX(0,$H618-$G618),0))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$C619*INDEX(tblKurallar[deger_2025],MATCH("SGK-001",tblKurallar[kural_id],0))+$D619*INDEX(tblKurallar[deger_2025],MATCH("SGK-002",tblKurallar[kural_id],0))+$E619*INDEX(tblKurallar[deger_2025],MATCH("SGK-004",tblKurallar[kural_id],0))+$F619*sgk_isverenOran,2),0))</f>
        <v/>
      </c>
      <c r="I619" s="37">
        <f>IF($A619="","",IFERROR(MAX(0,$H619-$G619),0))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$C620*INDEX(tblKurallar[deger_2025],MATCH("SGK-001",tblKurallar[kural_id],0))+$D620*INDEX(tblKurallar[deger_2025],MATCH("SGK-002",tblKurallar[kural_id],0))+$E620*INDEX(tblKurallar[deger_2025],MATCH("SGK-004",tblKurallar[kural_id],0))+$F620*sgk_isverenOran,2),0))</f>
        <v/>
      </c>
      <c r="I620" s="37">
        <f>IF($A620="","",IFERROR(MAX(0,$H620-$G620),0))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$C621*INDEX(tblKurallar[deger_2025],MATCH("SGK-001",tblKurallar[kural_id],0))+$D621*INDEX(tblKurallar[deger_2025],MATCH("SGK-002",tblKurallar[kural_id],0))+$E621*INDEX(tblKurallar[deger_2025],MATCH("SGK-004",tblKurallar[kural_id],0))+$F621*sgk_isverenOran,2),0))</f>
        <v/>
      </c>
      <c r="I621" s="37">
        <f>IF($A621="","",IFERROR(MAX(0,$H621-$G621),0))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$C622*INDEX(tblKurallar[deger_2025],MATCH("SGK-001",tblKurallar[kural_id],0))+$D622*INDEX(tblKurallar[deger_2025],MATCH("SGK-002",tblKurallar[kural_id],0))+$E622*INDEX(tblKurallar[deger_2025],MATCH("SGK-004",tblKurallar[kural_id],0))+$F622*sgk_isverenOran,2),0))</f>
        <v/>
      </c>
      <c r="I622" s="37">
        <f>IF($A622="","",IFERROR(MAX(0,$H622-$G622),0))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$C623*INDEX(tblKurallar[deger_2025],MATCH("SGK-001",tblKurallar[kural_id],0))+$D623*INDEX(tblKurallar[deger_2025],MATCH("SGK-002",tblKurallar[kural_id],0))+$E623*INDEX(tblKurallar[deger_2025],MATCH("SGK-004",tblKurallar[kural_id],0))+$F623*sgk_isverenOran,2),0))</f>
        <v/>
      </c>
      <c r="I623" s="37">
        <f>IF($A623="","",IFERROR(MAX(0,$H623-$G623),0))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$C624*INDEX(tblKurallar[deger_2025],MATCH("SGK-001",tblKurallar[kural_id],0))+$D624*INDEX(tblKurallar[deger_2025],MATCH("SGK-002",tblKurallar[kural_id],0))+$E624*INDEX(tblKurallar[deger_2025],MATCH("SGK-004",tblKurallar[kural_id],0))+$F624*sgk_isverenOran,2),0))</f>
        <v/>
      </c>
      <c r="I624" s="37">
        <f>IF($A624="","",IFERROR(MAX(0,$H624-$G624),0))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$C625*INDEX(tblKurallar[deger_2025],MATCH("SGK-001",tblKurallar[kural_id],0))+$D625*INDEX(tblKurallar[deger_2025],MATCH("SGK-002",tblKurallar[kural_id],0))+$E625*INDEX(tblKurallar[deger_2025],MATCH("SGK-004",tblKurallar[kural_id],0))+$F625*sgk_isverenOran,2),0))</f>
        <v/>
      </c>
      <c r="I625" s="37">
        <f>IF($A625="","",IFERROR(MAX(0,$H625-$G625),0))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$C626*INDEX(tblKurallar[deger_2025],MATCH("SGK-001",tblKurallar[kural_id],0))+$D626*INDEX(tblKurallar[deger_2025],MATCH("SGK-002",tblKurallar[kural_id],0))+$E626*INDEX(tblKurallar[deger_2025],MATCH("SGK-004",tblKurallar[kural_id],0))+$F626*sgk_isverenOran,2),0))</f>
        <v/>
      </c>
      <c r="I626" s="37">
        <f>IF($A626="","",IFERROR(MAX(0,$H626-$G626),0))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$C627*INDEX(tblKurallar[deger_2025],MATCH("SGK-001",tblKurallar[kural_id],0))+$D627*INDEX(tblKurallar[deger_2025],MATCH("SGK-002",tblKurallar[kural_id],0))+$E627*INDEX(tblKurallar[deger_2025],MATCH("SGK-004",tblKurallar[kural_id],0))+$F627*sgk_isverenOran,2),0))</f>
        <v/>
      </c>
      <c r="I627" s="37">
        <f>IF($A627="","",IFERROR(MAX(0,$H627-$G627),0))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$C628*INDEX(tblKurallar[deger_2025],MATCH("SGK-001",tblKurallar[kural_id],0))+$D628*INDEX(tblKurallar[deger_2025],MATCH("SGK-002",tblKurallar[kural_id],0))+$E628*INDEX(tblKurallar[deger_2025],MATCH("SGK-004",tblKurallar[kural_id],0))+$F628*sgk_isverenOran,2),0))</f>
        <v/>
      </c>
      <c r="I628" s="37">
        <f>IF($A628="","",IFERROR(MAX(0,$H628-$G628),0))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$C629*INDEX(tblKurallar[deger_2025],MATCH("SGK-001",tblKurallar[kural_id],0))+$D629*INDEX(tblKurallar[deger_2025],MATCH("SGK-002",tblKurallar[kural_id],0))+$E629*INDEX(tblKurallar[deger_2025],MATCH("SGK-004",tblKurallar[kural_id],0))+$F629*sgk_isverenOran,2),0))</f>
        <v/>
      </c>
      <c r="I629" s="37">
        <f>IF($A629="","",IFERROR(MAX(0,$H629-$G629),0))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$C630*INDEX(tblKurallar[deger_2025],MATCH("SGK-001",tblKurallar[kural_id],0))+$D630*INDEX(tblKurallar[deger_2025],MATCH("SGK-002",tblKurallar[kural_id],0))+$E630*INDEX(tblKurallar[deger_2025],MATCH("SGK-004",tblKurallar[kural_id],0))+$F630*sgk_isverenOran,2),0))</f>
        <v/>
      </c>
      <c r="I630" s="37">
        <f>IF($A630="","",IFERROR(MAX(0,$H630-$G630),0))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$C631*INDEX(tblKurallar[deger_2025],MATCH("SGK-001",tblKurallar[kural_id],0))+$D631*INDEX(tblKurallar[deger_2025],MATCH("SGK-002",tblKurallar[kural_id],0))+$E631*INDEX(tblKurallar[deger_2025],MATCH("SGK-004",tblKurallar[kural_id],0))+$F631*sgk_isverenOran,2),0))</f>
        <v/>
      </c>
      <c r="I631" s="37">
        <f>IF($A631="","",IFERROR(MAX(0,$H631-$G631),0))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$C632*INDEX(tblKurallar[deger_2025],MATCH("SGK-001",tblKurallar[kural_id],0))+$D632*INDEX(tblKurallar[deger_2025],MATCH("SGK-002",tblKurallar[kural_id],0))+$E632*INDEX(tblKurallar[deger_2025],MATCH("SGK-004",tblKurallar[kural_id],0))+$F632*sgk_isverenOran,2),0))</f>
        <v/>
      </c>
      <c r="I632" s="37">
        <f>IF($A632="","",IFERROR(MAX(0,$H632-$G632),0))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$C633*INDEX(tblKurallar[deger_2025],MATCH("SGK-001",tblKurallar[kural_id],0))+$D633*INDEX(tblKurallar[deger_2025],MATCH("SGK-002",tblKurallar[kural_id],0))+$E633*INDEX(tblKurallar[deger_2025],MATCH("SGK-004",tblKurallar[kural_id],0))+$F633*sgk_isverenOran,2),0))</f>
        <v/>
      </c>
      <c r="I633" s="37">
        <f>IF($A633="","",IFERROR(MAX(0,$H633-$G633),0))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$C634*INDEX(tblKurallar[deger_2025],MATCH("SGK-001",tblKurallar[kural_id],0))+$D634*INDEX(tblKurallar[deger_2025],MATCH("SGK-002",tblKurallar[kural_id],0))+$E634*INDEX(tblKurallar[deger_2025],MATCH("SGK-004",tblKurallar[kural_id],0))+$F634*sgk_isverenOran,2),0))</f>
        <v/>
      </c>
      <c r="I634" s="37">
        <f>IF($A634="","",IFERROR(MAX(0,$H634-$G634),0))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$C635*INDEX(tblKurallar[deger_2025],MATCH("SGK-001",tblKurallar[kural_id],0))+$D635*INDEX(tblKurallar[deger_2025],MATCH("SGK-002",tblKurallar[kural_id],0))+$E635*INDEX(tblKurallar[deger_2025],MATCH("SGK-004",tblKurallar[kural_id],0))+$F635*sgk_isverenOran,2),0))</f>
        <v/>
      </c>
      <c r="I635" s="37">
        <f>IF($A635="","",IFERROR(MAX(0,$H635-$G635),0))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$C636*INDEX(tblKurallar[deger_2025],MATCH("SGK-001",tblKurallar[kural_id],0))+$D636*INDEX(tblKurallar[deger_2025],MATCH("SGK-002",tblKurallar[kural_id],0))+$E636*INDEX(tblKurallar[deger_2025],MATCH("SGK-004",tblKurallar[kural_id],0))+$F636*sgk_isverenOran,2),0))</f>
        <v/>
      </c>
      <c r="I636" s="37">
        <f>IF($A636="","",IFERROR(MAX(0,$H636-$G636),0))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$C637*INDEX(tblKurallar[deger_2025],MATCH("SGK-001",tblKurallar[kural_id],0))+$D637*INDEX(tblKurallar[deger_2025],MATCH("SGK-002",tblKurallar[kural_id],0))+$E637*INDEX(tblKurallar[deger_2025],MATCH("SGK-004",tblKurallar[kural_id],0))+$F637*sgk_isverenOran,2),0))</f>
        <v/>
      </c>
      <c r="I637" s="37">
        <f>IF($A637="","",IFERROR(MAX(0,$H637-$G637),0))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$C638*INDEX(tblKurallar[deger_2025],MATCH("SGK-001",tblKurallar[kural_id],0))+$D638*INDEX(tblKurallar[deger_2025],MATCH("SGK-002",tblKurallar[kural_id],0))+$E638*INDEX(tblKurallar[deger_2025],MATCH("SGK-004",tblKurallar[kural_id],0))+$F638*sgk_isverenOran,2),0))</f>
        <v/>
      </c>
      <c r="I638" s="37">
        <f>IF($A638="","",IFERROR(MAX(0,$H638-$G638),0))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$C639*INDEX(tblKurallar[deger_2025],MATCH("SGK-001",tblKurallar[kural_id],0))+$D639*INDEX(tblKurallar[deger_2025],MATCH("SGK-002",tblKurallar[kural_id],0))+$E639*INDEX(tblKurallar[deger_2025],MATCH("SGK-004",tblKurallar[kural_id],0))+$F639*sgk_isverenOran,2),0))</f>
        <v/>
      </c>
      <c r="I639" s="37">
        <f>IF($A639="","",IFERROR(MAX(0,$H639-$G639),0))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$C640*INDEX(tblKurallar[deger_2025],MATCH("SGK-001",tblKurallar[kural_id],0))+$D640*INDEX(tblKurallar[deger_2025],MATCH("SGK-002",tblKurallar[kural_id],0))+$E640*INDEX(tblKurallar[deger_2025],MATCH("SGK-004",tblKurallar[kural_id],0))+$F640*sgk_isverenOran,2),0))</f>
        <v/>
      </c>
      <c r="I640" s="37">
        <f>IF($A640="","",IFERROR(MAX(0,$H640-$G640),0))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$C641*INDEX(tblKurallar[deger_2025],MATCH("SGK-001",tblKurallar[kural_id],0))+$D641*INDEX(tblKurallar[deger_2025],MATCH("SGK-002",tblKurallar[kural_id],0))+$E641*INDEX(tblKurallar[deger_2025],MATCH("SGK-004",tblKurallar[kural_id],0))+$F641*sgk_isverenOran,2),0))</f>
        <v/>
      </c>
      <c r="I641" s="37">
        <f>IF($A641="","",IFERROR(MAX(0,$H641-$G641),0))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$C642*INDEX(tblKurallar[deger_2025],MATCH("SGK-001",tblKurallar[kural_id],0))+$D642*INDEX(tblKurallar[deger_2025],MATCH("SGK-002",tblKurallar[kural_id],0))+$E642*INDEX(tblKurallar[deger_2025],MATCH("SGK-004",tblKurallar[kural_id],0))+$F642*sgk_isverenOran,2),0))</f>
        <v/>
      </c>
      <c r="I642" s="37">
        <f>IF($A642="","",IFERROR(MAX(0,$H642-$G642),0))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$C643*INDEX(tblKurallar[deger_2025],MATCH("SGK-001",tblKurallar[kural_id],0))+$D643*INDEX(tblKurallar[deger_2025],MATCH("SGK-002",tblKurallar[kural_id],0))+$E643*INDEX(tblKurallar[deger_2025],MATCH("SGK-004",tblKurallar[kural_id],0))+$F643*sgk_isverenOran,2),0))</f>
        <v/>
      </c>
      <c r="I643" s="37">
        <f>IF($A643="","",IFERROR(MAX(0,$H643-$G643),0))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$C644*INDEX(tblKurallar[deger_2025],MATCH("SGK-001",tblKurallar[kural_id],0))+$D644*INDEX(tblKurallar[deger_2025],MATCH("SGK-002",tblKurallar[kural_id],0))+$E644*INDEX(tblKurallar[deger_2025],MATCH("SGK-004",tblKurallar[kural_id],0))+$F644*sgk_isverenOran,2),0))</f>
        <v/>
      </c>
      <c r="I644" s="37">
        <f>IF($A644="","",IFERROR(MAX(0,$H644-$G644),0))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$C645*INDEX(tblKurallar[deger_2025],MATCH("SGK-001",tblKurallar[kural_id],0))+$D645*INDEX(tblKurallar[deger_2025],MATCH("SGK-002",tblKurallar[kural_id],0))+$E645*INDEX(tblKurallar[deger_2025],MATCH("SGK-004",tblKurallar[kural_id],0))+$F645*sgk_isverenOran,2),0))</f>
        <v/>
      </c>
      <c r="I645" s="37">
        <f>IF($A645="","",IFERROR(MAX(0,$H645-$G645),0))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$C646*INDEX(tblKurallar[deger_2025],MATCH("SGK-001",tblKurallar[kural_id],0))+$D646*INDEX(tblKurallar[deger_2025],MATCH("SGK-002",tblKurallar[kural_id],0))+$E646*INDEX(tblKurallar[deger_2025],MATCH("SGK-004",tblKurallar[kural_id],0))+$F646*sgk_isverenOran,2),0))</f>
        <v/>
      </c>
      <c r="I646" s="37">
        <f>IF($A646="","",IFERROR(MAX(0,$H646-$G646),0))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$C647*INDEX(tblKurallar[deger_2025],MATCH("SGK-001",tblKurallar[kural_id],0))+$D647*INDEX(tblKurallar[deger_2025],MATCH("SGK-002",tblKurallar[kural_id],0))+$E647*INDEX(tblKurallar[deger_2025],MATCH("SGK-004",tblKurallar[kural_id],0))+$F647*sgk_isverenOran,2),0))</f>
        <v/>
      </c>
      <c r="I647" s="37">
        <f>IF($A647="","",IFERROR(MAX(0,$H647-$G647),0))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$C648*INDEX(tblKurallar[deger_2025],MATCH("SGK-001",tblKurallar[kural_id],0))+$D648*INDEX(tblKurallar[deger_2025],MATCH("SGK-002",tblKurallar[kural_id],0))+$E648*INDEX(tblKurallar[deger_2025],MATCH("SGK-004",tblKurallar[kural_id],0))+$F648*sgk_isverenOran,2),0))</f>
        <v/>
      </c>
      <c r="I648" s="37">
        <f>IF($A648="","",IFERROR(MAX(0,$H648-$G648),0))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$C649*INDEX(tblKurallar[deger_2025],MATCH("SGK-001",tblKurallar[kural_id],0))+$D649*INDEX(tblKurallar[deger_2025],MATCH("SGK-002",tblKurallar[kural_id],0))+$E649*INDEX(tblKurallar[deger_2025],MATCH("SGK-004",tblKurallar[kural_id],0))+$F649*sgk_isverenOran,2),0))</f>
        <v/>
      </c>
      <c r="I649" s="37">
        <f>IF($A649="","",IFERROR(MAX(0,$H649-$G649),0))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$C650*INDEX(tblKurallar[deger_2025],MATCH("SGK-001",tblKurallar[kural_id],0))+$D650*INDEX(tblKurallar[deger_2025],MATCH("SGK-002",tblKurallar[kural_id],0))+$E650*INDEX(tblKurallar[deger_2025],MATCH("SGK-004",tblKurallar[kural_id],0))+$F650*sgk_isverenOran,2),0))</f>
        <v/>
      </c>
      <c r="I650" s="37">
        <f>IF($A650="","",IFERROR(MAX(0,$H650-$G650),0))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$C651*INDEX(tblKurallar[deger_2025],MATCH("SGK-001",tblKurallar[kural_id],0))+$D651*INDEX(tblKurallar[deger_2025],MATCH("SGK-002",tblKurallar[kural_id],0))+$E651*INDEX(tblKurallar[deger_2025],MATCH("SGK-004",tblKurallar[kural_id],0))+$F651*sgk_isverenOran,2),0))</f>
        <v/>
      </c>
      <c r="I651" s="37">
        <f>IF($A651="","",IFERROR(MAX(0,$H651-$G651),0))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$C652*INDEX(tblKurallar[deger_2025],MATCH("SGK-001",tblKurallar[kural_id],0))+$D652*INDEX(tblKurallar[deger_2025],MATCH("SGK-002",tblKurallar[kural_id],0))+$E652*INDEX(tblKurallar[deger_2025],MATCH("SGK-004",tblKurallar[kural_id],0))+$F652*sgk_isverenOran,2),0))</f>
        <v/>
      </c>
      <c r="I652" s="37">
        <f>IF($A652="","",IFERROR(MAX(0,$H652-$G652),0))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$C653*INDEX(tblKurallar[deger_2025],MATCH("SGK-001",tblKurallar[kural_id],0))+$D653*INDEX(tblKurallar[deger_2025],MATCH("SGK-002",tblKurallar[kural_id],0))+$E653*INDEX(tblKurallar[deger_2025],MATCH("SGK-004",tblKurallar[kural_id],0))+$F653*sgk_isverenOran,2),0))</f>
        <v/>
      </c>
      <c r="I653" s="37">
        <f>IF($A653="","",IFERROR(MAX(0,$H653-$G653),0))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$C654*INDEX(tblKurallar[deger_2025],MATCH("SGK-001",tblKurallar[kural_id],0))+$D654*INDEX(tblKurallar[deger_2025],MATCH("SGK-002",tblKurallar[kural_id],0))+$E654*INDEX(tblKurallar[deger_2025],MATCH("SGK-004",tblKurallar[kural_id],0))+$F654*sgk_isverenOran,2),0))</f>
        <v/>
      </c>
      <c r="I654" s="37">
        <f>IF($A654="","",IFERROR(MAX(0,$H654-$G654),0))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$C655*INDEX(tblKurallar[deger_2025],MATCH("SGK-001",tblKurallar[kural_id],0))+$D655*INDEX(tblKurallar[deger_2025],MATCH("SGK-002",tblKurallar[kural_id],0))+$E655*INDEX(tblKurallar[deger_2025],MATCH("SGK-004",tblKurallar[kural_id],0))+$F655*sgk_isverenOran,2),0))</f>
        <v/>
      </c>
      <c r="I655" s="37">
        <f>IF($A655="","",IFERROR(MAX(0,$H655-$G655),0))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$C656*INDEX(tblKurallar[deger_2025],MATCH("SGK-001",tblKurallar[kural_id],0))+$D656*INDEX(tblKurallar[deger_2025],MATCH("SGK-002",tblKurallar[kural_id],0))+$E656*INDEX(tblKurallar[deger_2025],MATCH("SGK-004",tblKurallar[kural_id],0))+$F656*sgk_isverenOran,2),0))</f>
        <v/>
      </c>
      <c r="I656" s="37">
        <f>IF($A656="","",IFERROR(MAX(0,$H656-$G656),0))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$C657*INDEX(tblKurallar[deger_2025],MATCH("SGK-001",tblKurallar[kural_id],0))+$D657*INDEX(tblKurallar[deger_2025],MATCH("SGK-002",tblKurallar[kural_id],0))+$E657*INDEX(tblKurallar[deger_2025],MATCH("SGK-004",tblKurallar[kural_id],0))+$F657*sgk_isverenOran,2),0))</f>
        <v/>
      </c>
      <c r="I657" s="37">
        <f>IF($A657="","",IFERROR(MAX(0,$H657-$G657),0))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$C658*INDEX(tblKurallar[deger_2025],MATCH("SGK-001",tblKurallar[kural_id],0))+$D658*INDEX(tblKurallar[deger_2025],MATCH("SGK-002",tblKurallar[kural_id],0))+$E658*INDEX(tblKurallar[deger_2025],MATCH("SGK-004",tblKurallar[kural_id],0))+$F658*sgk_isverenOran,2),0))</f>
        <v/>
      </c>
      <c r="I658" s="37">
        <f>IF($A658="","",IFERROR(MAX(0,$H658-$G658),0))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$C659*INDEX(tblKurallar[deger_2025],MATCH("SGK-001",tblKurallar[kural_id],0))+$D659*INDEX(tblKurallar[deger_2025],MATCH("SGK-002",tblKurallar[kural_id],0))+$E659*INDEX(tblKurallar[deger_2025],MATCH("SGK-004",tblKurallar[kural_id],0))+$F659*sgk_isverenOran,2),0))</f>
        <v/>
      </c>
      <c r="I659" s="37">
        <f>IF($A659="","",IFERROR(MAX(0,$H659-$G659),0))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$C660*INDEX(tblKurallar[deger_2025],MATCH("SGK-001",tblKurallar[kural_id],0))+$D660*INDEX(tblKurallar[deger_2025],MATCH("SGK-002",tblKurallar[kural_id],0))+$E660*INDEX(tblKurallar[deger_2025],MATCH("SGK-004",tblKurallar[kural_id],0))+$F660*sgk_isverenOran,2),0))</f>
        <v/>
      </c>
      <c r="I660" s="37">
        <f>IF($A660="","",IFERROR(MAX(0,$H660-$G660),0))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$C661*INDEX(tblKurallar[deger_2025],MATCH("SGK-001",tblKurallar[kural_id],0))+$D661*INDEX(tblKurallar[deger_2025],MATCH("SGK-002",tblKurallar[kural_id],0))+$E661*INDEX(tblKurallar[deger_2025],MATCH("SGK-004",tblKurallar[kural_id],0))+$F661*sgk_isverenOran,2),0))</f>
        <v/>
      </c>
      <c r="I661" s="37">
        <f>IF($A661="","",IFERROR(MAX(0,$H661-$G661),0))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$C662*INDEX(tblKurallar[deger_2025],MATCH("SGK-001",tblKurallar[kural_id],0))+$D662*INDEX(tblKurallar[deger_2025],MATCH("SGK-002",tblKurallar[kural_id],0))+$E662*INDEX(tblKurallar[deger_2025],MATCH("SGK-004",tblKurallar[kural_id],0))+$F662*sgk_isverenOran,2),0))</f>
        <v/>
      </c>
      <c r="I662" s="37">
        <f>IF($A662="","",IFERROR(MAX(0,$H662-$G662),0))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$C663*INDEX(tblKurallar[deger_2025],MATCH("SGK-001",tblKurallar[kural_id],0))+$D663*INDEX(tblKurallar[deger_2025],MATCH("SGK-002",tblKurallar[kural_id],0))+$E663*INDEX(tblKurallar[deger_2025],MATCH("SGK-004",tblKurallar[kural_id],0))+$F663*sgk_isverenOran,2),0))</f>
        <v/>
      </c>
      <c r="I663" s="37">
        <f>IF($A663="","",IFERROR(MAX(0,$H663-$G663),0))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$C664*INDEX(tblKurallar[deger_2025],MATCH("SGK-001",tblKurallar[kural_id],0))+$D664*INDEX(tblKurallar[deger_2025],MATCH("SGK-002",tblKurallar[kural_id],0))+$E664*INDEX(tblKurallar[deger_2025],MATCH("SGK-004",tblKurallar[kural_id],0))+$F664*sgk_isverenOran,2),0))</f>
        <v/>
      </c>
      <c r="I664" s="37">
        <f>IF($A664="","",IFERROR(MAX(0,$H664-$G664),0))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$C665*INDEX(tblKurallar[deger_2025],MATCH("SGK-001",tblKurallar[kural_id],0))+$D665*INDEX(tblKurallar[deger_2025],MATCH("SGK-002",tblKurallar[kural_id],0))+$E665*INDEX(tblKurallar[deger_2025],MATCH("SGK-004",tblKurallar[kural_id],0))+$F665*sgk_isverenOran,2),0))</f>
        <v/>
      </c>
      <c r="I665" s="37">
        <f>IF($A665="","",IFERROR(MAX(0,$H665-$G665),0))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$C666*INDEX(tblKurallar[deger_2025],MATCH("SGK-001",tblKurallar[kural_id],0))+$D666*INDEX(tblKurallar[deger_2025],MATCH("SGK-002",tblKurallar[kural_id],0))+$E666*INDEX(tblKurallar[deger_2025],MATCH("SGK-004",tblKurallar[kural_id],0))+$F666*sgk_isverenOran,2),0))</f>
        <v/>
      </c>
      <c r="I666" s="37">
        <f>IF($A666="","",IFERROR(MAX(0,$H666-$G666),0))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$C667*INDEX(tblKurallar[deger_2025],MATCH("SGK-001",tblKurallar[kural_id],0))+$D667*INDEX(tblKurallar[deger_2025],MATCH("SGK-002",tblKurallar[kural_id],0))+$E667*INDEX(tblKurallar[deger_2025],MATCH("SGK-004",tblKurallar[kural_id],0))+$F667*sgk_isverenOran,2),0))</f>
        <v/>
      </c>
      <c r="I667" s="37">
        <f>IF($A667="","",IFERROR(MAX(0,$H667-$G667),0))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$C668*INDEX(tblKurallar[deger_2025],MATCH("SGK-001",tblKurallar[kural_id],0))+$D668*INDEX(tblKurallar[deger_2025],MATCH("SGK-002",tblKurallar[kural_id],0))+$E668*INDEX(tblKurallar[deger_2025],MATCH("SGK-004",tblKurallar[kural_id],0))+$F668*sgk_isverenOran,2),0))</f>
        <v/>
      </c>
      <c r="I668" s="37">
        <f>IF($A668="","",IFERROR(MAX(0,$H668-$G668),0))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$C669*INDEX(tblKurallar[deger_2025],MATCH("SGK-001",tblKurallar[kural_id],0))+$D669*INDEX(tblKurallar[deger_2025],MATCH("SGK-002",tblKurallar[kural_id],0))+$E669*INDEX(tblKurallar[deger_2025],MATCH("SGK-004",tblKurallar[kural_id],0))+$F669*sgk_isverenOran,2),0))</f>
        <v/>
      </c>
      <c r="I669" s="37">
        <f>IF($A669="","",IFERROR(MAX(0,$H669-$G669),0))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$C670*INDEX(tblKurallar[deger_2025],MATCH("SGK-001",tblKurallar[kural_id],0))+$D670*INDEX(tblKurallar[deger_2025],MATCH("SGK-002",tblKurallar[kural_id],0))+$E670*INDEX(tblKurallar[deger_2025],MATCH("SGK-004",tblKurallar[kural_id],0))+$F670*sgk_isverenOran,2),0))</f>
        <v/>
      </c>
      <c r="I670" s="37">
        <f>IF($A670="","",IFERROR(MAX(0,$H670-$G670),0))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$C671*INDEX(tblKurallar[deger_2025],MATCH("SGK-001",tblKurallar[kural_id],0))+$D671*INDEX(tblKurallar[deger_2025],MATCH("SGK-002",tblKurallar[kural_id],0))+$E671*INDEX(tblKurallar[deger_2025],MATCH("SGK-004",tblKurallar[kural_id],0))+$F671*sgk_isverenOran,2),0))</f>
        <v/>
      </c>
      <c r="I671" s="37">
        <f>IF($A671="","",IFERROR(MAX(0,$H671-$G671),0))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$C672*INDEX(tblKurallar[deger_2025],MATCH("SGK-001",tblKurallar[kural_id],0))+$D672*INDEX(tblKurallar[deger_2025],MATCH("SGK-002",tblKurallar[kural_id],0))+$E672*INDEX(tblKurallar[deger_2025],MATCH("SGK-004",tblKurallar[kural_id],0))+$F672*sgk_isverenOran,2),0))</f>
        <v/>
      </c>
      <c r="I672" s="37">
        <f>IF($A672="","",IFERROR(MAX(0,$H672-$G672),0))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$C673*INDEX(tblKurallar[deger_2025],MATCH("SGK-001",tblKurallar[kural_id],0))+$D673*INDEX(tblKurallar[deger_2025],MATCH("SGK-002",tblKurallar[kural_id],0))+$E673*INDEX(tblKurallar[deger_2025],MATCH("SGK-004",tblKurallar[kural_id],0))+$F673*sgk_isverenOran,2),0))</f>
        <v/>
      </c>
      <c r="I673" s="37">
        <f>IF($A673="","",IFERROR(MAX(0,$H673-$G673),0))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$C674*INDEX(tblKurallar[deger_2025],MATCH("SGK-001",tblKurallar[kural_id],0))+$D674*INDEX(tblKurallar[deger_2025],MATCH("SGK-002",tblKurallar[kural_id],0))+$E674*INDEX(tblKurallar[deger_2025],MATCH("SGK-004",tblKurallar[kural_id],0))+$F674*sgk_isverenOran,2),0))</f>
        <v/>
      </c>
      <c r="I674" s="37">
        <f>IF($A674="","",IFERROR(MAX(0,$H674-$G674),0))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$C675*INDEX(tblKurallar[deger_2025],MATCH("SGK-001",tblKurallar[kural_id],0))+$D675*INDEX(tblKurallar[deger_2025],MATCH("SGK-002",tblKurallar[kural_id],0))+$E675*INDEX(tblKurallar[deger_2025],MATCH("SGK-004",tblKurallar[kural_id],0))+$F675*sgk_isverenOran,2),0))</f>
        <v/>
      </c>
      <c r="I675" s="37">
        <f>IF($A675="","",IFERROR(MAX(0,$H675-$G675),0))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$C676*INDEX(tblKurallar[deger_2025],MATCH("SGK-001",tblKurallar[kural_id],0))+$D676*INDEX(tblKurallar[deger_2025],MATCH("SGK-002",tblKurallar[kural_id],0))+$E676*INDEX(tblKurallar[deger_2025],MATCH("SGK-004",tblKurallar[kural_id],0))+$F676*sgk_isverenOran,2),0))</f>
        <v/>
      </c>
      <c r="I676" s="37">
        <f>IF($A676="","",IFERROR(MAX(0,$H676-$G676),0))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$C677*INDEX(tblKurallar[deger_2025],MATCH("SGK-001",tblKurallar[kural_id],0))+$D677*INDEX(tblKurallar[deger_2025],MATCH("SGK-002",tblKurallar[kural_id],0))+$E677*INDEX(tblKurallar[deger_2025],MATCH("SGK-004",tblKurallar[kural_id],0))+$F677*sgk_isverenOran,2),0))</f>
        <v/>
      </c>
      <c r="I677" s="37">
        <f>IF($A677="","",IFERROR(MAX(0,$H677-$G677),0))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$C678*INDEX(tblKurallar[deger_2025],MATCH("SGK-001",tblKurallar[kural_id],0))+$D678*INDEX(tblKurallar[deger_2025],MATCH("SGK-002",tblKurallar[kural_id],0))+$E678*INDEX(tblKurallar[deger_2025],MATCH("SGK-004",tblKurallar[kural_id],0))+$F678*sgk_isverenOran,2),0))</f>
        <v/>
      </c>
      <c r="I678" s="37">
        <f>IF($A678="","",IFERROR(MAX(0,$H678-$G678),0))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$C679*INDEX(tblKurallar[deger_2025],MATCH("SGK-001",tblKurallar[kural_id],0))+$D679*INDEX(tblKurallar[deger_2025],MATCH("SGK-002",tblKurallar[kural_id],0))+$E679*INDEX(tblKurallar[deger_2025],MATCH("SGK-004",tblKurallar[kural_id],0))+$F679*sgk_isverenOran,2),0))</f>
        <v/>
      </c>
      <c r="I679" s="37">
        <f>IF($A679="","",IFERROR(MAX(0,$H679-$G679),0))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$C680*INDEX(tblKurallar[deger_2025],MATCH("SGK-001",tblKurallar[kural_id],0))+$D680*INDEX(tblKurallar[deger_2025],MATCH("SGK-002",tblKurallar[kural_id],0))+$E680*INDEX(tblKurallar[deger_2025],MATCH("SGK-004",tblKurallar[kural_id],0))+$F680*sgk_isverenOran,2),0))</f>
        <v/>
      </c>
      <c r="I680" s="37">
        <f>IF($A680="","",IFERROR(MAX(0,$H680-$G680),0))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$C681*INDEX(tblKurallar[deger_2025],MATCH("SGK-001",tblKurallar[kural_id],0))+$D681*INDEX(tblKurallar[deger_2025],MATCH("SGK-002",tblKurallar[kural_id],0))+$E681*INDEX(tblKurallar[deger_2025],MATCH("SGK-004",tblKurallar[kural_id],0))+$F681*sgk_isverenOran,2),0))</f>
        <v/>
      </c>
      <c r="I681" s="37">
        <f>IF($A681="","",IFERROR(MAX(0,$H681-$G681),0))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$C682*INDEX(tblKurallar[deger_2025],MATCH("SGK-001",tblKurallar[kural_id],0))+$D682*INDEX(tblKurallar[deger_2025],MATCH("SGK-002",tblKurallar[kural_id],0))+$E682*INDEX(tblKurallar[deger_2025],MATCH("SGK-004",tblKurallar[kural_id],0))+$F682*sgk_isverenOran,2),0))</f>
        <v/>
      </c>
      <c r="I682" s="37">
        <f>IF($A682="","",IFERROR(MAX(0,$H682-$G682),0))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$C683*INDEX(tblKurallar[deger_2025],MATCH("SGK-001",tblKurallar[kural_id],0))+$D683*INDEX(tblKurallar[deger_2025],MATCH("SGK-002",tblKurallar[kural_id],0))+$E683*INDEX(tblKurallar[deger_2025],MATCH("SGK-004",tblKurallar[kural_id],0))+$F683*sgk_isverenOran,2),0))</f>
        <v/>
      </c>
      <c r="I683" s="37">
        <f>IF($A683="","",IFERROR(MAX(0,$H683-$G683),0))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$C684*INDEX(tblKurallar[deger_2025],MATCH("SGK-001",tblKurallar[kural_id],0))+$D684*INDEX(tblKurallar[deger_2025],MATCH("SGK-002",tblKurallar[kural_id],0))+$E684*INDEX(tblKurallar[deger_2025],MATCH("SGK-004",tblKurallar[kural_id],0))+$F684*sgk_isverenOran,2),0))</f>
        <v/>
      </c>
      <c r="I684" s="37">
        <f>IF($A684="","",IFERROR(MAX(0,$H684-$G684),0))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$C685*INDEX(tblKurallar[deger_2025],MATCH("SGK-001",tblKurallar[kural_id],0))+$D685*INDEX(tblKurallar[deger_2025],MATCH("SGK-002",tblKurallar[kural_id],0))+$E685*INDEX(tblKurallar[deger_2025],MATCH("SGK-004",tblKurallar[kural_id],0))+$F685*sgk_isverenOran,2),0))</f>
        <v/>
      </c>
      <c r="I685" s="37">
        <f>IF($A685="","",IFERROR(MAX(0,$H685-$G685),0))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$C686*INDEX(tblKurallar[deger_2025],MATCH("SGK-001",tblKurallar[kural_id],0))+$D686*INDEX(tblKurallar[deger_2025],MATCH("SGK-002",tblKurallar[kural_id],0))+$E686*INDEX(tblKurallar[deger_2025],MATCH("SGK-004",tblKurallar[kural_id],0))+$F686*sgk_isverenOran,2),0))</f>
        <v/>
      </c>
      <c r="I686" s="37">
        <f>IF($A686="","",IFERROR(MAX(0,$H686-$G686),0))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$C687*INDEX(tblKurallar[deger_2025],MATCH("SGK-001",tblKurallar[kural_id],0))+$D687*INDEX(tblKurallar[deger_2025],MATCH("SGK-002",tblKurallar[kural_id],0))+$E687*INDEX(tblKurallar[deger_2025],MATCH("SGK-004",tblKurallar[kural_id],0))+$F687*sgk_isverenOran,2),0))</f>
        <v/>
      </c>
      <c r="I687" s="37">
        <f>IF($A687="","",IFERROR(MAX(0,$H687-$G687),0))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$C688*INDEX(tblKurallar[deger_2025],MATCH("SGK-001",tblKurallar[kural_id],0))+$D688*INDEX(tblKurallar[deger_2025],MATCH("SGK-002",tblKurallar[kural_id],0))+$E688*INDEX(tblKurallar[deger_2025],MATCH("SGK-004",tblKurallar[kural_id],0))+$F688*sgk_isverenOran,2),0))</f>
        <v/>
      </c>
      <c r="I688" s="37">
        <f>IF($A688="","",IFERROR(MAX(0,$H688-$G688),0))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$C689*INDEX(tblKurallar[deger_2025],MATCH("SGK-001",tblKurallar[kural_id],0))+$D689*INDEX(tblKurallar[deger_2025],MATCH("SGK-002",tblKurallar[kural_id],0))+$E689*INDEX(tblKurallar[deger_2025],MATCH("SGK-004",tblKurallar[kural_id],0))+$F689*sgk_isverenOran,2),0))</f>
        <v/>
      </c>
      <c r="I689" s="37">
        <f>IF($A689="","",IFERROR(MAX(0,$H689-$G689),0))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$C690*INDEX(tblKurallar[deger_2025],MATCH("SGK-001",tblKurallar[kural_id],0))+$D690*INDEX(tblKurallar[deger_2025],MATCH("SGK-002",tblKurallar[kural_id],0))+$E690*INDEX(tblKurallar[deger_2025],MATCH("SGK-004",tblKurallar[kural_id],0))+$F690*sgk_isverenOran,2),0))</f>
        <v/>
      </c>
      <c r="I690" s="37">
        <f>IF($A690="","",IFERROR(MAX(0,$H690-$G690),0))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$C691*INDEX(tblKurallar[deger_2025],MATCH("SGK-001",tblKurallar[kural_id],0))+$D691*INDEX(tblKurallar[deger_2025],MATCH("SGK-002",tblKurallar[kural_id],0))+$E691*INDEX(tblKurallar[deger_2025],MATCH("SGK-004",tblKurallar[kural_id],0))+$F691*sgk_isverenOran,2),0))</f>
        <v/>
      </c>
      <c r="I691" s="37">
        <f>IF($A691="","",IFERROR(MAX(0,$H691-$G691),0))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$C692*INDEX(tblKurallar[deger_2025],MATCH("SGK-001",tblKurallar[kural_id],0))+$D692*INDEX(tblKurallar[deger_2025],MATCH("SGK-002",tblKurallar[kural_id],0))+$E692*INDEX(tblKurallar[deger_2025],MATCH("SGK-004",tblKurallar[kural_id],0))+$F692*sgk_isverenOran,2),0))</f>
        <v/>
      </c>
      <c r="I692" s="37">
        <f>IF($A692="","",IFERROR(MAX(0,$H692-$G692),0))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$C693*INDEX(tblKurallar[deger_2025],MATCH("SGK-001",tblKurallar[kural_id],0))+$D693*INDEX(tblKurallar[deger_2025],MATCH("SGK-002",tblKurallar[kural_id],0))+$E693*INDEX(tblKurallar[deger_2025],MATCH("SGK-004",tblKurallar[kural_id],0))+$F693*sgk_isverenOran,2),0))</f>
        <v/>
      </c>
      <c r="I693" s="37">
        <f>IF($A693="","",IFERROR(MAX(0,$H693-$G693),0))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$C694*INDEX(tblKurallar[deger_2025],MATCH("SGK-001",tblKurallar[kural_id],0))+$D694*INDEX(tblKurallar[deger_2025],MATCH("SGK-002",tblKurallar[kural_id],0))+$E694*INDEX(tblKurallar[deger_2025],MATCH("SGK-004",tblKurallar[kural_id],0))+$F694*sgk_isverenOran,2),0))</f>
        <v/>
      </c>
      <c r="I694" s="37">
        <f>IF($A694="","",IFERROR(MAX(0,$H694-$G694),0))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$C695*INDEX(tblKurallar[deger_2025],MATCH("SGK-001",tblKurallar[kural_id],0))+$D695*INDEX(tblKurallar[deger_2025],MATCH("SGK-002",tblKurallar[kural_id],0))+$E695*INDEX(tblKurallar[deger_2025],MATCH("SGK-004",tblKurallar[kural_id],0))+$F695*sgk_isverenOran,2),0))</f>
        <v/>
      </c>
      <c r="I695" s="37">
        <f>IF($A695="","",IFERROR(MAX(0,$H695-$G695),0))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$C696*INDEX(tblKurallar[deger_2025],MATCH("SGK-001",tblKurallar[kural_id],0))+$D696*INDEX(tblKurallar[deger_2025],MATCH("SGK-002",tblKurallar[kural_id],0))+$E696*INDEX(tblKurallar[deger_2025],MATCH("SGK-004",tblKurallar[kural_id],0))+$F696*sgk_isverenOran,2),0))</f>
        <v/>
      </c>
      <c r="I696" s="37">
        <f>IF($A696="","",IFERROR(MAX(0,$H696-$G696),0))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$C697*INDEX(tblKurallar[deger_2025],MATCH("SGK-001",tblKurallar[kural_id],0))+$D697*INDEX(tblKurallar[deger_2025],MATCH("SGK-002",tblKurallar[kural_id],0))+$E697*INDEX(tblKurallar[deger_2025],MATCH("SGK-004",tblKurallar[kural_id],0))+$F697*sgk_isverenOran,2),0))</f>
        <v/>
      </c>
      <c r="I697" s="37">
        <f>IF($A697="","",IFERROR(MAX(0,$H697-$G697),0))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$C698*INDEX(tblKurallar[deger_2025],MATCH("SGK-001",tblKurallar[kural_id],0))+$D698*INDEX(tblKurallar[deger_2025],MATCH("SGK-002",tblKurallar[kural_id],0))+$E698*INDEX(tblKurallar[deger_2025],MATCH("SGK-004",tblKurallar[kural_id],0))+$F698*sgk_isverenOran,2),0))</f>
        <v/>
      </c>
      <c r="I698" s="37">
        <f>IF($A698="","",IFERROR(MAX(0,$H698-$G698),0))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$C699*INDEX(tblKurallar[deger_2025],MATCH("SGK-001",tblKurallar[kural_id],0))+$D699*INDEX(tblKurallar[deger_2025],MATCH("SGK-002",tblKurallar[kural_id],0))+$E699*INDEX(tblKurallar[deger_2025],MATCH("SGK-004",tblKurallar[kural_id],0))+$F699*sgk_isverenOran,2),0))</f>
        <v/>
      </c>
      <c r="I699" s="37">
        <f>IF($A699="","",IFERROR(MAX(0,$H699-$G699),0))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$C700*INDEX(tblKurallar[deger_2025],MATCH("SGK-001",tblKurallar[kural_id],0))+$D700*INDEX(tblKurallar[deger_2025],MATCH("SGK-002",tblKurallar[kural_id],0))+$E700*INDEX(tblKurallar[deger_2025],MATCH("SGK-004",tblKurallar[kural_id],0))+$F700*sgk_isverenOran,2),0))</f>
        <v/>
      </c>
      <c r="I700" s="37">
        <f>IF($A700="","",IFERROR(MAX(0,$H700-$G700),0))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$C701*INDEX(tblKurallar[deger_2025],MATCH("SGK-001",tblKurallar[kural_id],0))+$D701*INDEX(tblKurallar[deger_2025],MATCH("SGK-002",tblKurallar[kural_id],0))+$E701*INDEX(tblKurallar[deger_2025],MATCH("SGK-004",tblKurallar[kural_id],0))+$F701*sgk_isverenOran,2),0))</f>
        <v/>
      </c>
      <c r="I701" s="37">
        <f>IF($A701="","",IFERROR(MAX(0,$H701-$G701),0))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$C702*INDEX(tblKurallar[deger_2025],MATCH("SGK-001",tblKurallar[kural_id],0))+$D702*INDEX(tblKurallar[deger_2025],MATCH("SGK-002",tblKurallar[kural_id],0))+$E702*INDEX(tblKurallar[deger_2025],MATCH("SGK-004",tblKurallar[kural_id],0))+$F702*sgk_isverenOran,2),0))</f>
        <v/>
      </c>
      <c r="I702" s="37">
        <f>IF($A702="","",IFERROR(MAX(0,$H702-$G702),0))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$C703*INDEX(tblKurallar[deger_2025],MATCH("SGK-001",tblKurallar[kural_id],0))+$D703*INDEX(tblKurallar[deger_2025],MATCH("SGK-002",tblKurallar[kural_id],0))+$E703*INDEX(tblKurallar[deger_2025],MATCH("SGK-004",tblKurallar[kural_id],0))+$F703*sgk_isverenOran,2),0))</f>
        <v/>
      </c>
      <c r="I703" s="37">
        <f>IF($A703="","",IFERROR(MAX(0,$H703-$G703),0))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$C704*INDEX(tblKurallar[deger_2025],MATCH("SGK-001",tblKurallar[kural_id],0))+$D704*INDEX(tblKurallar[deger_2025],MATCH("SGK-002",tblKurallar[kural_id],0))+$E704*INDEX(tblKurallar[deger_2025],MATCH("SGK-004",tblKurallar[kural_id],0))+$F704*sgk_isverenOran,2),0))</f>
        <v/>
      </c>
      <c r="I704" s="37">
        <f>IF($A704="","",IFERROR(MAX(0,$H704-$G704),0))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$C705*INDEX(tblKurallar[deger_2025],MATCH("SGK-001",tblKurallar[kural_id],0))+$D705*INDEX(tblKurallar[deger_2025],MATCH("SGK-002",tblKurallar[kural_id],0))+$E705*INDEX(tblKurallar[deger_2025],MATCH("SGK-004",tblKurallar[kural_id],0))+$F705*sgk_isverenOran,2),0))</f>
        <v/>
      </c>
      <c r="I705" s="37">
        <f>IF($A705="","",IFERROR(MAX(0,$H705-$G705),0))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$C706*INDEX(tblKurallar[deger_2025],MATCH("SGK-001",tblKurallar[kural_id],0))+$D706*INDEX(tblKurallar[deger_2025],MATCH("SGK-002",tblKurallar[kural_id],0))+$E706*INDEX(tblKurallar[deger_2025],MATCH("SGK-004",tblKurallar[kural_id],0))+$F706*sgk_isverenOran,2),0))</f>
        <v/>
      </c>
      <c r="I706" s="37">
        <f>IF($A706="","",IFERROR(MAX(0,$H706-$G706),0))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$C707*INDEX(tblKurallar[deger_2025],MATCH("SGK-001",tblKurallar[kural_id],0))+$D707*INDEX(tblKurallar[deger_2025],MATCH("SGK-002",tblKurallar[kural_id],0))+$E707*INDEX(tblKurallar[deger_2025],MATCH("SGK-004",tblKurallar[kural_id],0))+$F707*sgk_isverenOran,2),0))</f>
        <v/>
      </c>
      <c r="I707" s="37">
        <f>IF($A707="","",IFERROR(MAX(0,$H707-$G707),0))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$C708*INDEX(tblKurallar[deger_2025],MATCH("SGK-001",tblKurallar[kural_id],0))+$D708*INDEX(tblKurallar[deger_2025],MATCH("SGK-002",tblKurallar[kural_id],0))+$E708*INDEX(tblKurallar[deger_2025],MATCH("SGK-004",tblKurallar[kural_id],0))+$F708*sgk_isverenOran,2),0))</f>
        <v/>
      </c>
      <c r="I708" s="37">
        <f>IF($A708="","",IFERROR(MAX(0,$H708-$G708),0))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$C709*INDEX(tblKurallar[deger_2025],MATCH("SGK-001",tblKurallar[kural_id],0))+$D709*INDEX(tblKurallar[deger_2025],MATCH("SGK-002",tblKurallar[kural_id],0))+$E709*INDEX(tblKurallar[deger_2025],MATCH("SGK-004",tblKurallar[kural_id],0))+$F709*sgk_isverenOran,2),0))</f>
        <v/>
      </c>
      <c r="I709" s="37">
        <f>IF($A709="","",IFERROR(MAX(0,$H709-$G709),0))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$C710*INDEX(tblKurallar[deger_2025],MATCH("SGK-001",tblKurallar[kural_id],0))+$D710*INDEX(tblKurallar[deger_2025],MATCH("SGK-002",tblKurallar[kural_id],0))+$E710*INDEX(tblKurallar[deger_2025],MATCH("SGK-004",tblKurallar[kural_id],0))+$F710*sgk_isverenOran,2),0))</f>
        <v/>
      </c>
      <c r="I710" s="37">
        <f>IF($A710="","",IFERROR(MAX(0,$H710-$G710),0))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$C711*INDEX(tblKurallar[deger_2025],MATCH("SGK-001",tblKurallar[kural_id],0))+$D711*INDEX(tblKurallar[deger_2025],MATCH("SGK-002",tblKurallar[kural_id],0))+$E711*INDEX(tblKurallar[deger_2025],MATCH("SGK-004",tblKurallar[kural_id],0))+$F711*sgk_isverenOran,2),0))</f>
        <v/>
      </c>
      <c r="I711" s="37">
        <f>IF($A711="","",IFERROR(MAX(0,$H711-$G711),0))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$C712*INDEX(tblKurallar[deger_2025],MATCH("SGK-001",tblKurallar[kural_id],0))+$D712*INDEX(tblKurallar[deger_2025],MATCH("SGK-002",tblKurallar[kural_id],0))+$E712*INDEX(tblKurallar[deger_2025],MATCH("SGK-004",tblKurallar[kural_id],0))+$F712*sgk_isverenOran,2),0))</f>
        <v/>
      </c>
      <c r="I712" s="37">
        <f>IF($A712="","",IFERROR(MAX(0,$H712-$G712),0))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$C713*INDEX(tblKurallar[deger_2025],MATCH("SGK-001",tblKurallar[kural_id],0))+$D713*INDEX(tblKurallar[deger_2025],MATCH("SGK-002",tblKurallar[kural_id],0))+$E713*INDEX(tblKurallar[deger_2025],MATCH("SGK-004",tblKurallar[kural_id],0))+$F713*sgk_isverenOran,2),0))</f>
        <v/>
      </c>
      <c r="I713" s="37">
        <f>IF($A713="","",IFERROR(MAX(0,$H713-$G713),0))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$C714*INDEX(tblKurallar[deger_2025],MATCH("SGK-001",tblKurallar[kural_id],0))+$D714*INDEX(tblKurallar[deger_2025],MATCH("SGK-002",tblKurallar[kural_id],0))+$E714*INDEX(tblKurallar[deger_2025],MATCH("SGK-004",tblKurallar[kural_id],0))+$F714*sgk_isverenOran,2),0))</f>
        <v/>
      </c>
      <c r="I714" s="37">
        <f>IF($A714="","",IFERROR(MAX(0,$H714-$G714),0))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$C715*INDEX(tblKurallar[deger_2025],MATCH("SGK-001",tblKurallar[kural_id],0))+$D715*INDEX(tblKurallar[deger_2025],MATCH("SGK-002",tblKurallar[kural_id],0))+$E715*INDEX(tblKurallar[deger_2025],MATCH("SGK-004",tblKurallar[kural_id],0))+$F715*sgk_isverenOran,2),0))</f>
        <v/>
      </c>
      <c r="I715" s="37">
        <f>IF($A715="","",IFERROR(MAX(0,$H715-$G715),0))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$C716*INDEX(tblKurallar[deger_2025],MATCH("SGK-001",tblKurallar[kural_id],0))+$D716*INDEX(tblKurallar[deger_2025],MATCH("SGK-002",tblKurallar[kural_id],0))+$E716*INDEX(tblKurallar[deger_2025],MATCH("SGK-004",tblKurallar[kural_id],0))+$F716*sgk_isverenOran,2),0))</f>
        <v/>
      </c>
      <c r="I716" s="37">
        <f>IF($A716="","",IFERROR(MAX(0,$H716-$G716),0))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$C717*INDEX(tblKurallar[deger_2025],MATCH("SGK-001",tblKurallar[kural_id],0))+$D717*INDEX(tblKurallar[deger_2025],MATCH("SGK-002",tblKurallar[kural_id],0))+$E717*INDEX(tblKurallar[deger_2025],MATCH("SGK-004",tblKurallar[kural_id],0))+$F717*sgk_isverenOran,2),0))</f>
        <v/>
      </c>
      <c r="I717" s="37">
        <f>IF($A717="","",IFERROR(MAX(0,$H717-$G717),0))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$C718*INDEX(tblKurallar[deger_2025],MATCH("SGK-001",tblKurallar[kural_id],0))+$D718*INDEX(tblKurallar[deger_2025],MATCH("SGK-002",tblKurallar[kural_id],0))+$E718*INDEX(tblKurallar[deger_2025],MATCH("SGK-004",tblKurallar[kural_id],0))+$F718*sgk_isverenOran,2),0))</f>
        <v/>
      </c>
      <c r="I718" s="37">
        <f>IF($A718="","",IFERROR(MAX(0,$H718-$G718),0))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$C719*INDEX(tblKurallar[deger_2025],MATCH("SGK-001",tblKurallar[kural_id],0))+$D719*INDEX(tblKurallar[deger_2025],MATCH("SGK-002",tblKurallar[kural_id],0))+$E719*INDEX(tblKurallar[deger_2025],MATCH("SGK-004",tblKurallar[kural_id],0))+$F719*sgk_isverenOran,2),0))</f>
        <v/>
      </c>
      <c r="I719" s="37">
        <f>IF($A719="","",IFERROR(MAX(0,$H719-$G719),0))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$C720*INDEX(tblKurallar[deger_2025],MATCH("SGK-001",tblKurallar[kural_id],0))+$D720*INDEX(tblKurallar[deger_2025],MATCH("SGK-002",tblKurallar[kural_id],0))+$E720*INDEX(tblKurallar[deger_2025],MATCH("SGK-004",tblKurallar[kural_id],0))+$F720*sgk_isverenOran,2),0))</f>
        <v/>
      </c>
      <c r="I720" s="37">
        <f>IF($A720="","",IFERROR(MAX(0,$H720-$G720),0))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$C721*INDEX(tblKurallar[deger_2025],MATCH("SGK-001",tblKurallar[kural_id],0))+$D721*INDEX(tblKurallar[deger_2025],MATCH("SGK-002",tblKurallar[kural_id],0))+$E721*INDEX(tblKurallar[deger_2025],MATCH("SGK-004",tblKurallar[kural_id],0))+$F721*sgk_isverenOran,2),0))</f>
        <v/>
      </c>
      <c r="I721" s="37">
        <f>IF($A721="","",IFERROR(MAX(0,$H721-$G721),0))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$C722*INDEX(tblKurallar[deger_2025],MATCH("SGK-001",tblKurallar[kural_id],0))+$D722*INDEX(tblKurallar[deger_2025],MATCH("SGK-002",tblKurallar[kural_id],0))+$E722*INDEX(tblKurallar[deger_2025],MATCH("SGK-004",tblKurallar[kural_id],0))+$F722*sgk_isverenOran,2),0))</f>
        <v/>
      </c>
      <c r="I722" s="37">
        <f>IF($A722="","",IFERROR(MAX(0,$H722-$G722),0))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$C723*INDEX(tblKurallar[deger_2025],MATCH("SGK-001",tblKurallar[kural_id],0))+$D723*INDEX(tblKurallar[deger_2025],MATCH("SGK-002",tblKurallar[kural_id],0))+$E723*INDEX(tblKurallar[deger_2025],MATCH("SGK-004",tblKurallar[kural_id],0))+$F723*sgk_isverenOran,2),0))</f>
        <v/>
      </c>
      <c r="I723" s="37">
        <f>IF($A723="","",IFERROR(MAX(0,$H723-$G723),0))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$C724*INDEX(tblKurallar[deger_2025],MATCH("SGK-001",tblKurallar[kural_id],0))+$D724*INDEX(tblKurallar[deger_2025],MATCH("SGK-002",tblKurallar[kural_id],0))+$E724*INDEX(tblKurallar[deger_2025],MATCH("SGK-004",tblKurallar[kural_id],0))+$F724*sgk_isverenOran,2),0))</f>
        <v/>
      </c>
      <c r="I724" s="37">
        <f>IF($A724="","",IFERROR(MAX(0,$H724-$G724),0))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$C725*INDEX(tblKurallar[deger_2025],MATCH("SGK-001",tblKurallar[kural_id],0))+$D725*INDEX(tblKurallar[deger_2025],MATCH("SGK-002",tblKurallar[kural_id],0))+$E725*INDEX(tblKurallar[deger_2025],MATCH("SGK-004",tblKurallar[kural_id],0))+$F725*sgk_isverenOran,2),0))</f>
        <v/>
      </c>
      <c r="I725" s="37">
        <f>IF($A725="","",IFERROR(MAX(0,$H725-$G725),0))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$C726*INDEX(tblKurallar[deger_2025],MATCH("SGK-001",tblKurallar[kural_id],0))+$D726*INDEX(tblKurallar[deger_2025],MATCH("SGK-002",tblKurallar[kural_id],0))+$E726*INDEX(tblKurallar[deger_2025],MATCH("SGK-004",tblKurallar[kural_id],0))+$F726*sgk_isverenOran,2),0))</f>
        <v/>
      </c>
      <c r="I726" s="37">
        <f>IF($A726="","",IFERROR(MAX(0,$H726-$G726),0))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$C727*INDEX(tblKurallar[deger_2025],MATCH("SGK-001",tblKurallar[kural_id],0))+$D727*INDEX(tblKurallar[deger_2025],MATCH("SGK-002",tblKurallar[kural_id],0))+$E727*INDEX(tblKurallar[deger_2025],MATCH("SGK-004",tblKurallar[kural_id],0))+$F727*sgk_isverenOran,2),0))</f>
        <v/>
      </c>
      <c r="I727" s="37">
        <f>IF($A727="","",IFERROR(MAX(0,$H727-$G727),0))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$C728*INDEX(tblKurallar[deger_2025],MATCH("SGK-001",tblKurallar[kural_id],0))+$D728*INDEX(tblKurallar[deger_2025],MATCH("SGK-002",tblKurallar[kural_id],0))+$E728*INDEX(tblKurallar[deger_2025],MATCH("SGK-004",tblKurallar[kural_id],0))+$F728*sgk_isverenOran,2),0))</f>
        <v/>
      </c>
      <c r="I728" s="37">
        <f>IF($A728="","",IFERROR(MAX(0,$H728-$G728),0))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$C729*INDEX(tblKurallar[deger_2025],MATCH("SGK-001",tblKurallar[kural_id],0))+$D729*INDEX(tblKurallar[deger_2025],MATCH("SGK-002",tblKurallar[kural_id],0))+$E729*INDEX(tblKurallar[deger_2025],MATCH("SGK-004",tblKurallar[kural_id],0))+$F729*sgk_isverenOran,2),0))</f>
        <v/>
      </c>
      <c r="I729" s="37">
        <f>IF($A729="","",IFERROR(MAX(0,$H729-$G729),0))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$C730*INDEX(tblKurallar[deger_2025],MATCH("SGK-001",tblKurallar[kural_id],0))+$D730*INDEX(tblKurallar[deger_2025],MATCH("SGK-002",tblKurallar[kural_id],0))+$E730*INDEX(tblKurallar[deger_2025],MATCH("SGK-004",tblKurallar[kural_id],0))+$F730*sgk_isverenOran,2),0))</f>
        <v/>
      </c>
      <c r="I730" s="37">
        <f>IF($A730="","",IFERROR(MAX(0,$H730-$G730),0))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$C731*INDEX(tblKurallar[deger_2025],MATCH("SGK-001",tblKurallar[kural_id],0))+$D731*INDEX(tblKurallar[deger_2025],MATCH("SGK-002",tblKurallar[kural_id],0))+$E731*INDEX(tblKurallar[deger_2025],MATCH("SGK-004",tblKurallar[kural_id],0))+$F731*sgk_isverenOran,2),0))</f>
        <v/>
      </c>
      <c r="I731" s="37">
        <f>IF($A731="","",IFERROR(MAX(0,$H731-$G731),0))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$C732*INDEX(tblKurallar[deger_2025],MATCH("SGK-001",tblKurallar[kural_id],0))+$D732*INDEX(tblKurallar[deger_2025],MATCH("SGK-002",tblKurallar[kural_id],0))+$E732*INDEX(tblKurallar[deger_2025],MATCH("SGK-004",tblKurallar[kural_id],0))+$F732*sgk_isverenOran,2),0))</f>
        <v/>
      </c>
      <c r="I732" s="37">
        <f>IF($A732="","",IFERROR(MAX(0,$H732-$G732),0))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$C733*INDEX(tblKurallar[deger_2025],MATCH("SGK-001",tblKurallar[kural_id],0))+$D733*INDEX(tblKurallar[deger_2025],MATCH("SGK-002",tblKurallar[kural_id],0))+$E733*INDEX(tblKurallar[deger_2025],MATCH("SGK-004",tblKurallar[kural_id],0))+$F733*sgk_isverenOran,2),0))</f>
        <v/>
      </c>
      <c r="I733" s="37">
        <f>IF($A733="","",IFERROR(MAX(0,$H733-$G733),0))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$C734*INDEX(tblKurallar[deger_2025],MATCH("SGK-001",tblKurallar[kural_id],0))+$D734*INDEX(tblKurallar[deger_2025],MATCH("SGK-002",tblKurallar[kural_id],0))+$E734*INDEX(tblKurallar[deger_2025],MATCH("SGK-004",tblKurallar[kural_id],0))+$F734*sgk_isverenOran,2),0))</f>
        <v/>
      </c>
      <c r="I734" s="37">
        <f>IF($A734="","",IFERROR(MAX(0,$H734-$G734),0))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$C735*INDEX(tblKurallar[deger_2025],MATCH("SGK-001",tblKurallar[kural_id],0))+$D735*INDEX(tblKurallar[deger_2025],MATCH("SGK-002",tblKurallar[kural_id],0))+$E735*INDEX(tblKurallar[deger_2025],MATCH("SGK-004",tblKurallar[kural_id],0))+$F735*sgk_isverenOran,2),0))</f>
        <v/>
      </c>
      <c r="I735" s="37">
        <f>IF($A735="","",IFERROR(MAX(0,$H735-$G735),0))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$C736*INDEX(tblKurallar[deger_2025],MATCH("SGK-001",tblKurallar[kural_id],0))+$D736*INDEX(tblKurallar[deger_2025],MATCH("SGK-002",tblKurallar[kural_id],0))+$E736*INDEX(tblKurallar[deger_2025],MATCH("SGK-004",tblKurallar[kural_id],0))+$F736*sgk_isverenOran,2),0))</f>
        <v/>
      </c>
      <c r="I736" s="37">
        <f>IF($A736="","",IFERROR(MAX(0,$H736-$G736),0))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$C737*INDEX(tblKurallar[deger_2025],MATCH("SGK-001",tblKurallar[kural_id],0))+$D737*INDEX(tblKurallar[deger_2025],MATCH("SGK-002",tblKurallar[kural_id],0))+$E737*INDEX(tblKurallar[deger_2025],MATCH("SGK-004",tblKurallar[kural_id],0))+$F737*sgk_isverenOran,2),0))</f>
        <v/>
      </c>
      <c r="I737" s="37">
        <f>IF($A737="","",IFERROR(MAX(0,$H737-$G737),0))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$C738*INDEX(tblKurallar[deger_2025],MATCH("SGK-001",tblKurallar[kural_id],0))+$D738*INDEX(tblKurallar[deger_2025],MATCH("SGK-002",tblKurallar[kural_id],0))+$E738*INDEX(tblKurallar[deger_2025],MATCH("SGK-004",tblKurallar[kural_id],0))+$F738*sgk_isverenOran,2),0))</f>
        <v/>
      </c>
      <c r="I738" s="37">
        <f>IF($A738="","",IFERROR(MAX(0,$H738-$G738),0))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$C739*INDEX(tblKurallar[deger_2025],MATCH("SGK-001",tblKurallar[kural_id],0))+$D739*INDEX(tblKurallar[deger_2025],MATCH("SGK-002",tblKurallar[kural_id],0))+$E739*INDEX(tblKurallar[deger_2025],MATCH("SGK-004",tblKurallar[kural_id],0))+$F739*sgk_isverenOran,2),0))</f>
        <v/>
      </c>
      <c r="I739" s="37">
        <f>IF($A739="","",IFERROR(MAX(0,$H739-$G739),0))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$C740*INDEX(tblKurallar[deger_2025],MATCH("SGK-001",tblKurallar[kural_id],0))+$D740*INDEX(tblKurallar[deger_2025],MATCH("SGK-002",tblKurallar[kural_id],0))+$E740*INDEX(tblKurallar[deger_2025],MATCH("SGK-004",tblKurallar[kural_id],0))+$F740*sgk_isverenOran,2),0))</f>
        <v/>
      </c>
      <c r="I740" s="37">
        <f>IF($A740="","",IFERROR(MAX(0,$H740-$G740),0))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$C741*INDEX(tblKurallar[deger_2025],MATCH("SGK-001",tblKurallar[kural_id],0))+$D741*INDEX(tblKurallar[deger_2025],MATCH("SGK-002",tblKurallar[kural_id],0))+$E741*INDEX(tblKurallar[deger_2025],MATCH("SGK-004",tblKurallar[kural_id],0))+$F741*sgk_isverenOran,2),0))</f>
        <v/>
      </c>
      <c r="I741" s="37">
        <f>IF($A741="","",IFERROR(MAX(0,$H741-$G741),0))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$C742*INDEX(tblKurallar[deger_2025],MATCH("SGK-001",tblKurallar[kural_id],0))+$D742*INDEX(tblKurallar[deger_2025],MATCH("SGK-002",tblKurallar[kural_id],0))+$E742*INDEX(tblKurallar[deger_2025],MATCH("SGK-004",tblKurallar[kural_id],0))+$F742*sgk_isverenOran,2),0))</f>
        <v/>
      </c>
      <c r="I742" s="37">
        <f>IF($A742="","",IFERROR(MAX(0,$H742-$G742),0))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$C743*INDEX(tblKurallar[deger_2025],MATCH("SGK-001",tblKurallar[kural_id],0))+$D743*INDEX(tblKurallar[deger_2025],MATCH("SGK-002",tblKurallar[kural_id],0))+$E743*INDEX(tblKurallar[deger_2025],MATCH("SGK-004",tblKurallar[kural_id],0))+$F743*sgk_isverenOran,2),0))</f>
        <v/>
      </c>
      <c r="I743" s="37">
        <f>IF($A743="","",IFERROR(MAX(0,$H743-$G743),0))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$C744*INDEX(tblKurallar[deger_2025],MATCH("SGK-001",tblKurallar[kural_id],0))+$D744*INDEX(tblKurallar[deger_2025],MATCH("SGK-002",tblKurallar[kural_id],0))+$E744*INDEX(tblKurallar[deger_2025],MATCH("SGK-004",tblKurallar[kural_id],0))+$F744*sgk_isverenOran,2),0))</f>
        <v/>
      </c>
      <c r="I744" s="37">
        <f>IF($A744="","",IFERROR(MAX(0,$H744-$G744),0))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$C745*INDEX(tblKurallar[deger_2025],MATCH("SGK-001",tblKurallar[kural_id],0))+$D745*INDEX(tblKurallar[deger_2025],MATCH("SGK-002",tblKurallar[kural_id],0))+$E745*INDEX(tblKurallar[deger_2025],MATCH("SGK-004",tblKurallar[kural_id],0))+$F745*sgk_isverenOran,2),0))</f>
        <v/>
      </c>
      <c r="I745" s="37">
        <f>IF($A745="","",IFERROR(MAX(0,$H745-$G745),0))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$C746*INDEX(tblKurallar[deger_2025],MATCH("SGK-001",tblKurallar[kural_id],0))+$D746*INDEX(tblKurallar[deger_2025],MATCH("SGK-002",tblKurallar[kural_id],0))+$E746*INDEX(tblKurallar[deger_2025],MATCH("SGK-004",tblKurallar[kural_id],0))+$F746*sgk_isverenOran,2),0))</f>
        <v/>
      </c>
      <c r="I746" s="37">
        <f>IF($A746="","",IFERROR(MAX(0,$H746-$G746),0))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$C747*INDEX(tblKurallar[deger_2025],MATCH("SGK-001",tblKurallar[kural_id],0))+$D747*INDEX(tblKurallar[deger_2025],MATCH("SGK-002",tblKurallar[kural_id],0))+$E747*INDEX(tblKurallar[deger_2025],MATCH("SGK-004",tblKurallar[kural_id],0))+$F747*sgk_isverenOran,2),0))</f>
        <v/>
      </c>
      <c r="I747" s="37">
        <f>IF($A747="","",IFERROR(MAX(0,$H747-$G747),0))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$C748*INDEX(tblKurallar[deger_2025],MATCH("SGK-001",tblKurallar[kural_id],0))+$D748*INDEX(tblKurallar[deger_2025],MATCH("SGK-002",tblKurallar[kural_id],0))+$E748*INDEX(tblKurallar[deger_2025],MATCH("SGK-004",tblKurallar[kural_id],0))+$F748*sgk_isverenOran,2),0))</f>
        <v/>
      </c>
      <c r="I748" s="37">
        <f>IF($A748="","",IFERROR(MAX(0,$H748-$G748),0))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$C749*INDEX(tblKurallar[deger_2025],MATCH("SGK-001",tblKurallar[kural_id],0))+$D749*INDEX(tblKurallar[deger_2025],MATCH("SGK-002",tblKurallar[kural_id],0))+$E749*INDEX(tblKurallar[deger_2025],MATCH("SGK-004",tblKurallar[kural_id],0))+$F749*sgk_isverenOran,2),0))</f>
        <v/>
      </c>
      <c r="I749" s="37">
        <f>IF($A749="","",IFERROR(MAX(0,$H749-$G749),0))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$C750*INDEX(tblKurallar[deger_2025],MATCH("SGK-001",tblKurallar[kural_id],0))+$D750*INDEX(tblKurallar[deger_2025],MATCH("SGK-002",tblKurallar[kural_id],0))+$E750*INDEX(tblKurallar[deger_2025],MATCH("SGK-004",tblKurallar[kural_id],0))+$F750*sgk_isverenOran,2),0))</f>
        <v/>
      </c>
      <c r="I750" s="37">
        <f>IF($A750="","",IFERROR(MAX(0,$H750-$G750),0))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$C751*INDEX(tblKurallar[deger_2025],MATCH("SGK-001",tblKurallar[kural_id],0))+$D751*INDEX(tblKurallar[deger_2025],MATCH("SGK-002",tblKurallar[kural_id],0))+$E751*INDEX(tblKurallar[deger_2025],MATCH("SGK-004",tblKurallar[kural_id],0))+$F751*sgk_isverenOran,2),0))</f>
        <v/>
      </c>
      <c r="I751" s="37">
        <f>IF($A751="","",IFERROR(MAX(0,$H751-$G751),0))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$C752*INDEX(tblKurallar[deger_2025],MATCH("SGK-001",tblKurallar[kural_id],0))+$D752*INDEX(tblKurallar[deger_2025],MATCH("SGK-002",tblKurallar[kural_id],0))+$E752*INDEX(tblKurallar[deger_2025],MATCH("SGK-004",tblKurallar[kural_id],0))+$F752*sgk_isverenOran,2),0))</f>
        <v/>
      </c>
      <c r="I752" s="37">
        <f>IF($A752="","",IFERROR(MAX(0,$H752-$G752),0))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$C753*INDEX(tblKurallar[deger_2025],MATCH("SGK-001",tblKurallar[kural_id],0))+$D753*INDEX(tblKurallar[deger_2025],MATCH("SGK-002",tblKurallar[kural_id],0))+$E753*INDEX(tblKurallar[deger_2025],MATCH("SGK-004",tblKurallar[kural_id],0))+$F753*sgk_isverenOran,2),0))</f>
        <v/>
      </c>
      <c r="I753" s="37">
        <f>IF($A753="","",IFERROR(MAX(0,$H753-$G753),0))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$C754*INDEX(tblKurallar[deger_2025],MATCH("SGK-001",tblKurallar[kural_id],0))+$D754*INDEX(tblKurallar[deger_2025],MATCH("SGK-002",tblKurallar[kural_id],0))+$E754*INDEX(tblKurallar[deger_2025],MATCH("SGK-004",tblKurallar[kural_id],0))+$F754*sgk_isverenOran,2),0))</f>
        <v/>
      </c>
      <c r="I754" s="37">
        <f>IF($A754="","",IFERROR(MAX(0,$H754-$G754),0))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$C755*INDEX(tblKurallar[deger_2025],MATCH("SGK-001",tblKurallar[kural_id],0))+$D755*INDEX(tblKurallar[deger_2025],MATCH("SGK-002",tblKurallar[kural_id],0))+$E755*INDEX(tblKurallar[deger_2025],MATCH("SGK-004",tblKurallar[kural_id],0))+$F755*sgk_isverenOran,2),0))</f>
        <v/>
      </c>
      <c r="I755" s="37">
        <f>IF($A755="","",IFERROR(MAX(0,$H755-$G755),0))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$C756*INDEX(tblKurallar[deger_2025],MATCH("SGK-001",tblKurallar[kural_id],0))+$D756*INDEX(tblKurallar[deger_2025],MATCH("SGK-002",tblKurallar[kural_id],0))+$E756*INDEX(tblKurallar[deger_2025],MATCH("SGK-004",tblKurallar[kural_id],0))+$F756*sgk_isverenOran,2),0))</f>
        <v/>
      </c>
      <c r="I756" s="37">
        <f>IF($A756="","",IFERROR(MAX(0,$H756-$G756),0))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$C757*INDEX(tblKurallar[deger_2025],MATCH("SGK-001",tblKurallar[kural_id],0))+$D757*INDEX(tblKurallar[deger_2025],MATCH("SGK-002",tblKurallar[kural_id],0))+$E757*INDEX(tblKurallar[deger_2025],MATCH("SGK-004",tblKurallar[kural_id],0))+$F757*sgk_isverenOran,2),0))</f>
        <v/>
      </c>
      <c r="I757" s="37">
        <f>IF($A757="","",IFERROR(MAX(0,$H757-$G757),0))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$C758*INDEX(tblKurallar[deger_2025],MATCH("SGK-001",tblKurallar[kural_id],0))+$D758*INDEX(tblKurallar[deger_2025],MATCH("SGK-002",tblKurallar[kural_id],0))+$E758*INDEX(tblKurallar[deger_2025],MATCH("SGK-004",tblKurallar[kural_id],0))+$F758*sgk_isverenOran,2),0))</f>
        <v/>
      </c>
      <c r="I758" s="37">
        <f>IF($A758="","",IFERROR(MAX(0,$H758-$G758),0))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$C759*INDEX(tblKurallar[deger_2025],MATCH("SGK-001",tblKurallar[kural_id],0))+$D759*INDEX(tblKurallar[deger_2025],MATCH("SGK-002",tblKurallar[kural_id],0))+$E759*INDEX(tblKurallar[deger_2025],MATCH("SGK-004",tblKurallar[kural_id],0))+$F759*sgk_isverenOran,2),0))</f>
        <v/>
      </c>
      <c r="I759" s="37">
        <f>IF($A759="","",IFERROR(MAX(0,$H759-$G759),0))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$C760*INDEX(tblKurallar[deger_2025],MATCH("SGK-001",tblKurallar[kural_id],0))+$D760*INDEX(tblKurallar[deger_2025],MATCH("SGK-002",tblKurallar[kural_id],0))+$E760*INDEX(tblKurallar[deger_2025],MATCH("SGK-004",tblKurallar[kural_id],0))+$F760*sgk_isverenOran,2),0))</f>
        <v/>
      </c>
      <c r="I760" s="37">
        <f>IF($A760="","",IFERROR(MAX(0,$H760-$G760),0))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$C761*INDEX(tblKurallar[deger_2025],MATCH("SGK-001",tblKurallar[kural_id],0))+$D761*INDEX(tblKurallar[deger_2025],MATCH("SGK-002",tblKurallar[kural_id],0))+$E761*INDEX(tblKurallar[deger_2025],MATCH("SGK-004",tblKurallar[kural_id],0))+$F761*sgk_isverenOran,2),0))</f>
        <v/>
      </c>
      <c r="I761" s="37">
        <f>IF($A761="","",IFERROR(MAX(0,$H761-$G761),0))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$C762*INDEX(tblKurallar[deger_2025],MATCH("SGK-001",tblKurallar[kural_id],0))+$D762*INDEX(tblKurallar[deger_2025],MATCH("SGK-002",tblKurallar[kural_id],0))+$E762*INDEX(tblKurallar[deger_2025],MATCH("SGK-004",tblKurallar[kural_id],0))+$F762*sgk_isverenOran,2),0))</f>
        <v/>
      </c>
      <c r="I762" s="37">
        <f>IF($A762="","",IFERROR(MAX(0,$H762-$G762),0))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$C763*INDEX(tblKurallar[deger_2025],MATCH("SGK-001",tblKurallar[kural_id],0))+$D763*INDEX(tblKurallar[deger_2025],MATCH("SGK-002",tblKurallar[kural_id],0))+$E763*INDEX(tblKurallar[deger_2025],MATCH("SGK-004",tblKurallar[kural_id],0))+$F763*sgk_isverenOran,2),0))</f>
        <v/>
      </c>
      <c r="I763" s="37">
        <f>IF($A763="","",IFERROR(MAX(0,$H763-$G763),0))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$C764*INDEX(tblKurallar[deger_2025],MATCH("SGK-001",tblKurallar[kural_id],0))+$D764*INDEX(tblKurallar[deger_2025],MATCH("SGK-002",tblKurallar[kural_id],0))+$E764*INDEX(tblKurallar[deger_2025],MATCH("SGK-004",tblKurallar[kural_id],0))+$F764*sgk_isverenOran,2),0))</f>
        <v/>
      </c>
      <c r="I764" s="37">
        <f>IF($A764="","",IFERROR(MAX(0,$H764-$G764),0))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$C765*INDEX(tblKurallar[deger_2025],MATCH("SGK-001",tblKurallar[kural_id],0))+$D765*INDEX(tblKurallar[deger_2025],MATCH("SGK-002",tblKurallar[kural_id],0))+$E765*INDEX(tblKurallar[deger_2025],MATCH("SGK-004",tblKurallar[kural_id],0))+$F765*sgk_isverenOran,2),0))</f>
        <v/>
      </c>
      <c r="I765" s="37">
        <f>IF($A765="","",IFERROR(MAX(0,$H765-$G765),0))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$C766*INDEX(tblKurallar[deger_2025],MATCH("SGK-001",tblKurallar[kural_id],0))+$D766*INDEX(tblKurallar[deger_2025],MATCH("SGK-002",tblKurallar[kural_id],0))+$E766*INDEX(tblKurallar[deger_2025],MATCH("SGK-004",tblKurallar[kural_id],0))+$F766*sgk_isverenOran,2),0))</f>
        <v/>
      </c>
      <c r="I766" s="37">
        <f>IF($A766="","",IFERROR(MAX(0,$H766-$G766),0))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$C767*INDEX(tblKurallar[deger_2025],MATCH("SGK-001",tblKurallar[kural_id],0))+$D767*INDEX(tblKurallar[deger_2025],MATCH("SGK-002",tblKurallar[kural_id],0))+$E767*INDEX(tblKurallar[deger_2025],MATCH("SGK-004",tblKurallar[kural_id],0))+$F767*sgk_isverenOran,2),0))</f>
        <v/>
      </c>
      <c r="I767" s="37">
        <f>IF($A767="","",IFERROR(MAX(0,$H767-$G767),0))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$C768*INDEX(tblKurallar[deger_2025],MATCH("SGK-001",tblKurallar[kural_id],0))+$D768*INDEX(tblKurallar[deger_2025],MATCH("SGK-002",tblKurallar[kural_id],0))+$E768*INDEX(tblKurallar[deger_2025],MATCH("SGK-004",tblKurallar[kural_id],0))+$F768*sgk_isverenOran,2),0))</f>
        <v/>
      </c>
      <c r="I768" s="37">
        <f>IF($A768="","",IFERROR(MAX(0,$H768-$G768),0))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$C769*INDEX(tblKurallar[deger_2025],MATCH("SGK-001",tblKurallar[kural_id],0))+$D769*INDEX(tblKurallar[deger_2025],MATCH("SGK-002",tblKurallar[kural_id],0))+$E769*INDEX(tblKurallar[deger_2025],MATCH("SGK-004",tblKurallar[kural_id],0))+$F769*sgk_isverenOran,2),0))</f>
        <v/>
      </c>
      <c r="I769" s="37">
        <f>IF($A769="","",IFERROR(MAX(0,$H769-$G769),0))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$C770*INDEX(tblKurallar[deger_2025],MATCH("SGK-001",tblKurallar[kural_id],0))+$D770*INDEX(tblKurallar[deger_2025],MATCH("SGK-002",tblKurallar[kural_id],0))+$E770*INDEX(tblKurallar[deger_2025],MATCH("SGK-004",tblKurallar[kural_id],0))+$F770*sgk_isverenOran,2),0))</f>
        <v/>
      </c>
      <c r="I770" s="37">
        <f>IF($A770="","",IFERROR(MAX(0,$H770-$G770),0))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$C771*INDEX(tblKurallar[deger_2025],MATCH("SGK-001",tblKurallar[kural_id],0))+$D771*INDEX(tblKurallar[deger_2025],MATCH("SGK-002",tblKurallar[kural_id],0))+$E771*INDEX(tblKurallar[deger_2025],MATCH("SGK-004",tblKurallar[kural_id],0))+$F771*sgk_isverenOran,2),0))</f>
        <v/>
      </c>
      <c r="I771" s="37">
        <f>IF($A771="","",IFERROR(MAX(0,$H771-$G771),0))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$C772*INDEX(tblKurallar[deger_2025],MATCH("SGK-001",tblKurallar[kural_id],0))+$D772*INDEX(tblKurallar[deger_2025],MATCH("SGK-002",tblKurallar[kural_id],0))+$E772*INDEX(tblKurallar[deger_2025],MATCH("SGK-004",tblKurallar[kural_id],0))+$F772*sgk_isverenOran,2),0))</f>
        <v/>
      </c>
      <c r="I772" s="37">
        <f>IF($A772="","",IFERROR(MAX(0,$H772-$G772),0))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$C773*INDEX(tblKurallar[deger_2025],MATCH("SGK-001",tblKurallar[kural_id],0))+$D773*INDEX(tblKurallar[deger_2025],MATCH("SGK-002",tblKurallar[kural_id],0))+$E773*INDEX(tblKurallar[deger_2025],MATCH("SGK-004",tblKurallar[kural_id],0))+$F773*sgk_isverenOran,2),0))</f>
        <v/>
      </c>
      <c r="I773" s="37">
        <f>IF($A773="","",IFERROR(MAX(0,$H773-$G773),0))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$C774*INDEX(tblKurallar[deger_2025],MATCH("SGK-001",tblKurallar[kural_id],0))+$D774*INDEX(tblKurallar[deger_2025],MATCH("SGK-002",tblKurallar[kural_id],0))+$E774*INDEX(tblKurallar[deger_2025],MATCH("SGK-004",tblKurallar[kural_id],0))+$F774*sgk_isverenOran,2),0))</f>
        <v/>
      </c>
      <c r="I774" s="37">
        <f>IF($A774="","",IFERROR(MAX(0,$H774-$G774),0))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$C775*INDEX(tblKurallar[deger_2025],MATCH("SGK-001",tblKurallar[kural_id],0))+$D775*INDEX(tblKurallar[deger_2025],MATCH("SGK-002",tblKurallar[kural_id],0))+$E775*INDEX(tblKurallar[deger_2025],MATCH("SGK-004",tblKurallar[kural_id],0))+$F775*sgk_isverenOran,2),0))</f>
        <v/>
      </c>
      <c r="I775" s="37">
        <f>IF($A775="","",IFERROR(MAX(0,$H775-$G775),0))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$C776*INDEX(tblKurallar[deger_2025],MATCH("SGK-001",tblKurallar[kural_id],0))+$D776*INDEX(tblKurallar[deger_2025],MATCH("SGK-002",tblKurallar[kural_id],0))+$E776*INDEX(tblKurallar[deger_2025],MATCH("SGK-004",tblKurallar[kural_id],0))+$F776*sgk_isverenOran,2),0))</f>
        <v/>
      </c>
      <c r="I776" s="37">
        <f>IF($A776="","",IFERROR(MAX(0,$H776-$G776),0))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$C777*INDEX(tblKurallar[deger_2025],MATCH("SGK-001",tblKurallar[kural_id],0))+$D777*INDEX(tblKurallar[deger_2025],MATCH("SGK-002",tblKurallar[kural_id],0))+$E777*INDEX(tblKurallar[deger_2025],MATCH("SGK-004",tblKurallar[kural_id],0))+$F777*sgk_isverenOran,2),0))</f>
        <v/>
      </c>
      <c r="I777" s="37">
        <f>IF($A777="","",IFERROR(MAX(0,$H777-$G777),0))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$C778*INDEX(tblKurallar[deger_2025],MATCH("SGK-001",tblKurallar[kural_id],0))+$D778*INDEX(tblKurallar[deger_2025],MATCH("SGK-002",tblKurallar[kural_id],0))+$E778*INDEX(tblKurallar[deger_2025],MATCH("SGK-004",tblKurallar[kural_id],0))+$F778*sgk_isverenOran,2),0))</f>
        <v/>
      </c>
      <c r="I778" s="37">
        <f>IF($A778="","",IFERROR(MAX(0,$H778-$G778),0))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$C779*INDEX(tblKurallar[deger_2025],MATCH("SGK-001",tblKurallar[kural_id],0))+$D779*INDEX(tblKurallar[deger_2025],MATCH("SGK-002",tblKurallar[kural_id],0))+$E779*INDEX(tblKurallar[deger_2025],MATCH("SGK-004",tblKurallar[kural_id],0))+$F779*sgk_isverenOran,2),0))</f>
        <v/>
      </c>
      <c r="I779" s="37">
        <f>IF($A779="","",IFERROR(MAX(0,$H779-$G779),0))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$C780*INDEX(tblKurallar[deger_2025],MATCH("SGK-001",tblKurallar[kural_id],0))+$D780*INDEX(tblKurallar[deger_2025],MATCH("SGK-002",tblKurallar[kural_id],0))+$E780*INDEX(tblKurallar[deger_2025],MATCH("SGK-004",tblKurallar[kural_id],0))+$F780*sgk_isverenOran,2),0))</f>
        <v/>
      </c>
      <c r="I780" s="37">
        <f>IF($A780="","",IFERROR(MAX(0,$H780-$G780),0))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$C781*INDEX(tblKurallar[deger_2025],MATCH("SGK-001",tblKurallar[kural_id],0))+$D781*INDEX(tblKurallar[deger_2025],MATCH("SGK-002",tblKurallar[kural_id],0))+$E781*INDEX(tblKurallar[deger_2025],MATCH("SGK-004",tblKurallar[kural_id],0))+$F781*sgk_isverenOran,2),0))</f>
        <v/>
      </c>
      <c r="I781" s="37">
        <f>IF($A781="","",IFERROR(MAX(0,$H781-$G781),0))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$C782*INDEX(tblKurallar[deger_2025],MATCH("SGK-001",tblKurallar[kural_id],0))+$D782*INDEX(tblKurallar[deger_2025],MATCH("SGK-002",tblKurallar[kural_id],0))+$E782*INDEX(tblKurallar[deger_2025],MATCH("SGK-004",tblKurallar[kural_id],0))+$F782*sgk_isverenOran,2),0))</f>
        <v/>
      </c>
      <c r="I782" s="37">
        <f>IF($A782="","",IFERROR(MAX(0,$H782-$G782),0))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$C783*INDEX(tblKurallar[deger_2025],MATCH("SGK-001",tblKurallar[kural_id],0))+$D783*INDEX(tblKurallar[deger_2025],MATCH("SGK-002",tblKurallar[kural_id],0))+$E783*INDEX(tblKurallar[deger_2025],MATCH("SGK-004",tblKurallar[kural_id],0))+$F783*sgk_isverenOran,2),0))</f>
        <v/>
      </c>
      <c r="I783" s="37">
        <f>IF($A783="","",IFERROR(MAX(0,$H783-$G783),0))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$C784*INDEX(tblKurallar[deger_2025],MATCH("SGK-001",tblKurallar[kural_id],0))+$D784*INDEX(tblKurallar[deger_2025],MATCH("SGK-002",tblKurallar[kural_id],0))+$E784*INDEX(tblKurallar[deger_2025],MATCH("SGK-004",tblKurallar[kural_id],0))+$F784*sgk_isverenOran,2),0))</f>
        <v/>
      </c>
      <c r="I784" s="37">
        <f>IF($A784="","",IFERROR(MAX(0,$H784-$G784),0))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$C785*INDEX(tblKurallar[deger_2025],MATCH("SGK-001",tblKurallar[kural_id],0))+$D785*INDEX(tblKurallar[deger_2025],MATCH("SGK-002",tblKurallar[kural_id],0))+$E785*INDEX(tblKurallar[deger_2025],MATCH("SGK-004",tblKurallar[kural_id],0))+$F785*sgk_isverenOran,2),0))</f>
        <v/>
      </c>
      <c r="I785" s="37">
        <f>IF($A785="","",IFERROR(MAX(0,$H785-$G785),0))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$C786*INDEX(tblKurallar[deger_2025],MATCH("SGK-001",tblKurallar[kural_id],0))+$D786*INDEX(tblKurallar[deger_2025],MATCH("SGK-002",tblKurallar[kural_id],0))+$E786*INDEX(tblKurallar[deger_2025],MATCH("SGK-004",tblKurallar[kural_id],0))+$F786*sgk_isverenOran,2),0))</f>
        <v/>
      </c>
      <c r="I786" s="37">
        <f>IF($A786="","",IFERROR(MAX(0,$H786-$G786),0))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$C787*INDEX(tblKurallar[deger_2025],MATCH("SGK-001",tblKurallar[kural_id],0))+$D787*INDEX(tblKurallar[deger_2025],MATCH("SGK-002",tblKurallar[kural_id],0))+$E787*INDEX(tblKurallar[deger_2025],MATCH("SGK-004",tblKurallar[kural_id],0))+$F787*sgk_isverenOran,2),0))</f>
        <v/>
      </c>
      <c r="I787" s="37">
        <f>IF($A787="","",IFERROR(MAX(0,$H787-$G787),0))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$C788*INDEX(tblKurallar[deger_2025],MATCH("SGK-001",tblKurallar[kural_id],0))+$D788*INDEX(tblKurallar[deger_2025],MATCH("SGK-002",tblKurallar[kural_id],0))+$E788*INDEX(tblKurallar[deger_2025],MATCH("SGK-004",tblKurallar[kural_id],0))+$F788*sgk_isverenOran,2),0))</f>
        <v/>
      </c>
      <c r="I788" s="37">
        <f>IF($A788="","",IFERROR(MAX(0,$H788-$G788),0))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$C789*INDEX(tblKurallar[deger_2025],MATCH("SGK-001",tblKurallar[kural_id],0))+$D789*INDEX(tblKurallar[deger_2025],MATCH("SGK-002",tblKurallar[kural_id],0))+$E789*INDEX(tblKurallar[deger_2025],MATCH("SGK-004",tblKurallar[kural_id],0))+$F789*sgk_isverenOran,2),0))</f>
        <v/>
      </c>
      <c r="I789" s="37">
        <f>IF($A789="","",IFERROR(MAX(0,$H789-$G789),0))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$C790*INDEX(tblKurallar[deger_2025],MATCH("SGK-001",tblKurallar[kural_id],0))+$D790*INDEX(tblKurallar[deger_2025],MATCH("SGK-002",tblKurallar[kural_id],0))+$E790*INDEX(tblKurallar[deger_2025],MATCH("SGK-004",tblKurallar[kural_id],0))+$F790*sgk_isverenOran,2),0))</f>
        <v/>
      </c>
      <c r="I790" s="37">
        <f>IF($A790="","",IFERROR(MAX(0,$H790-$G790),0))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$C791*INDEX(tblKurallar[deger_2025],MATCH("SGK-001",tblKurallar[kural_id],0))+$D791*INDEX(tblKurallar[deger_2025],MATCH("SGK-002",tblKurallar[kural_id],0))+$E791*INDEX(tblKurallar[deger_2025],MATCH("SGK-004",tblKurallar[kural_id],0))+$F791*sgk_isverenOran,2),0))</f>
        <v/>
      </c>
      <c r="I791" s="37">
        <f>IF($A791="","",IFERROR(MAX(0,$H791-$G791),0))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$C792*INDEX(tblKurallar[deger_2025],MATCH("SGK-001",tblKurallar[kural_id],0))+$D792*INDEX(tblKurallar[deger_2025],MATCH("SGK-002",tblKurallar[kural_id],0))+$E792*INDEX(tblKurallar[deger_2025],MATCH("SGK-004",tblKurallar[kural_id],0))+$F792*sgk_isverenOran,2),0))</f>
        <v/>
      </c>
      <c r="I792" s="37">
        <f>IF($A792="","",IFERROR(MAX(0,$H792-$G792),0))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$C793*INDEX(tblKurallar[deger_2025],MATCH("SGK-001",tblKurallar[kural_id],0))+$D793*INDEX(tblKurallar[deger_2025],MATCH("SGK-002",tblKurallar[kural_id],0))+$E793*INDEX(tblKurallar[deger_2025],MATCH("SGK-004",tblKurallar[kural_id],0))+$F793*sgk_isverenOran,2),0))</f>
        <v/>
      </c>
      <c r="I793" s="37">
        <f>IF($A793="","",IFERROR(MAX(0,$H793-$G793),0))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$C794*INDEX(tblKurallar[deger_2025],MATCH("SGK-001",tblKurallar[kural_id],0))+$D794*INDEX(tblKurallar[deger_2025],MATCH("SGK-002",tblKurallar[kural_id],0))+$E794*INDEX(tblKurallar[deger_2025],MATCH("SGK-004",tblKurallar[kural_id],0))+$F794*sgk_isverenOran,2),0))</f>
        <v/>
      </c>
      <c r="I794" s="37">
        <f>IF($A794="","",IFERROR(MAX(0,$H794-$G794),0))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$C795*INDEX(tblKurallar[deger_2025],MATCH("SGK-001",tblKurallar[kural_id],0))+$D795*INDEX(tblKurallar[deger_2025],MATCH("SGK-002",tblKurallar[kural_id],0))+$E795*INDEX(tblKurallar[deger_2025],MATCH("SGK-004",tblKurallar[kural_id],0))+$F795*sgk_isverenOran,2),0))</f>
        <v/>
      </c>
      <c r="I795" s="37">
        <f>IF($A795="","",IFERROR(MAX(0,$H795-$G795),0))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$C796*INDEX(tblKurallar[deger_2025],MATCH("SGK-001",tblKurallar[kural_id],0))+$D796*INDEX(tblKurallar[deger_2025],MATCH("SGK-002",tblKurallar[kural_id],0))+$E796*INDEX(tblKurallar[deger_2025],MATCH("SGK-004",tblKurallar[kural_id],0))+$F796*sgk_isverenOran,2),0))</f>
        <v/>
      </c>
      <c r="I796" s="37">
        <f>IF($A796="","",IFERROR(MAX(0,$H796-$G796),0))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$C797*INDEX(tblKurallar[deger_2025],MATCH("SGK-001",tblKurallar[kural_id],0))+$D797*INDEX(tblKurallar[deger_2025],MATCH("SGK-002",tblKurallar[kural_id],0))+$E797*INDEX(tblKurallar[deger_2025],MATCH("SGK-004",tblKurallar[kural_id],0))+$F797*sgk_isverenOran,2),0))</f>
        <v/>
      </c>
      <c r="I797" s="37">
        <f>IF($A797="","",IFERROR(MAX(0,$H797-$G797),0))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$C798*INDEX(tblKurallar[deger_2025],MATCH("SGK-001",tblKurallar[kural_id],0))+$D798*INDEX(tblKurallar[deger_2025],MATCH("SGK-002",tblKurallar[kural_id],0))+$E798*INDEX(tblKurallar[deger_2025],MATCH("SGK-004",tblKurallar[kural_id],0))+$F798*sgk_isverenOran,2),0))</f>
        <v/>
      </c>
      <c r="I798" s="37">
        <f>IF($A798="","",IFERROR(MAX(0,$H798-$G798),0))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$C799*INDEX(tblKurallar[deger_2025],MATCH("SGK-001",tblKurallar[kural_id],0))+$D799*INDEX(tblKurallar[deger_2025],MATCH("SGK-002",tblKurallar[kural_id],0))+$E799*INDEX(tblKurallar[deger_2025],MATCH("SGK-004",tblKurallar[kural_id],0))+$F799*sgk_isverenOran,2),0))</f>
        <v/>
      </c>
      <c r="I799" s="37">
        <f>IF($A799="","",IFERROR(MAX(0,$H799-$G799),0))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$C800*INDEX(tblKurallar[deger_2025],MATCH("SGK-001",tblKurallar[kural_id],0))+$D800*INDEX(tblKurallar[deger_2025],MATCH("SGK-002",tblKurallar[kural_id],0))+$E800*INDEX(tblKurallar[deger_2025],MATCH("SGK-004",tblKurallar[kural_id],0))+$F800*sgk_isverenOran,2),0))</f>
        <v/>
      </c>
      <c r="I800" s="37">
        <f>IF($A800="","",IFERROR(MAX(0,$H800-$G800),0))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$C801*INDEX(tblKurallar[deger_2025],MATCH("SGK-001",tblKurallar[kural_id],0))+$D801*INDEX(tblKurallar[deger_2025],MATCH("SGK-002",tblKurallar[kural_id],0))+$E801*INDEX(tblKurallar[deger_2025],MATCH("SGK-004",tblKurallar[kural_id],0))+$F801*sgk_isverenOran,2),0))</f>
        <v/>
      </c>
      <c r="I801" s="37">
        <f>IF($A801="","",IFERROR(MAX(0,$H801-$G801),0))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$C802*INDEX(tblKurallar[deger_2025],MATCH("SGK-001",tblKurallar[kural_id],0))+$D802*INDEX(tblKurallar[deger_2025],MATCH("SGK-002",tblKurallar[kural_id],0))+$E802*INDEX(tblKurallar[deger_2025],MATCH("SGK-004",tblKurallar[kural_id],0))+$F802*sgk_isverenOran,2),0))</f>
        <v/>
      </c>
      <c r="I802" s="37">
        <f>IF($A802="","",IFERROR(MAX(0,$H802-$G802),0))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$C803*INDEX(tblKurallar[deger_2025],MATCH("SGK-001",tblKurallar[kural_id],0))+$D803*INDEX(tblKurallar[deger_2025],MATCH("SGK-002",tblKurallar[kural_id],0))+$E803*INDEX(tblKurallar[deger_2025],MATCH("SGK-004",tblKurallar[kural_id],0))+$F803*sgk_isverenOran,2),0))</f>
        <v/>
      </c>
      <c r="I803" s="37">
        <f>IF($A803="","",IFERROR(MAX(0,$H803-$G803),0))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$C804*INDEX(tblKurallar[deger_2025],MATCH("SGK-001",tblKurallar[kural_id],0))+$D804*INDEX(tblKurallar[deger_2025],MATCH("SGK-002",tblKurallar[kural_id],0))+$E804*INDEX(tblKurallar[deger_2025],MATCH("SGK-004",tblKurallar[kural_id],0))+$F804*sgk_isverenOran,2),0))</f>
        <v/>
      </c>
      <c r="I804" s="37">
        <f>IF($A804="","",IFERROR(MAX(0,$H804-$G804),0))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$C805*INDEX(tblKurallar[deger_2025],MATCH("SGK-001",tblKurallar[kural_id],0))+$D805*INDEX(tblKurallar[deger_2025],MATCH("SGK-002",tblKurallar[kural_id],0))+$E805*INDEX(tblKurallar[deger_2025],MATCH("SGK-004",tblKurallar[kural_id],0))+$F805*sgk_isverenOran,2),0))</f>
        <v/>
      </c>
      <c r="I805" s="37">
        <f>IF($A805="","",IFERROR(MAX(0,$H805-$G805),0))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$C806*INDEX(tblKurallar[deger_2025],MATCH("SGK-001",tblKurallar[kural_id],0))+$D806*INDEX(tblKurallar[deger_2025],MATCH("SGK-002",tblKurallar[kural_id],0))+$E806*INDEX(tblKurallar[deger_2025],MATCH("SGK-004",tblKurallar[kural_id],0))+$F806*sgk_isverenOran,2),0))</f>
        <v/>
      </c>
      <c r="I806" s="37">
        <f>IF($A806="","",IFERROR(MAX(0,$H806-$G806),0))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$C807*INDEX(tblKurallar[deger_2025],MATCH("SGK-001",tblKurallar[kural_id],0))+$D807*INDEX(tblKurallar[deger_2025],MATCH("SGK-002",tblKurallar[kural_id],0))+$E807*INDEX(tblKurallar[deger_2025],MATCH("SGK-004",tblKurallar[kural_id],0))+$F807*sgk_isverenOran,2),0))</f>
        <v/>
      </c>
      <c r="I807" s="37">
        <f>IF($A807="","",IFERROR(MAX(0,$H807-$G807),0))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$C808*INDEX(tblKurallar[deger_2025],MATCH("SGK-001",tblKurallar[kural_id],0))+$D808*INDEX(tblKurallar[deger_2025],MATCH("SGK-002",tblKurallar[kural_id],0))+$E808*INDEX(tblKurallar[deger_2025],MATCH("SGK-004",tblKurallar[kural_id],0))+$F808*sgk_isverenOran,2),0))</f>
        <v/>
      </c>
      <c r="I808" s="37">
        <f>IF($A808="","",IFERROR(MAX(0,$H808-$G808),0))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$C809*INDEX(tblKurallar[deger_2025],MATCH("SGK-001",tblKurallar[kural_id],0))+$D809*INDEX(tblKurallar[deger_2025],MATCH("SGK-002",tblKurallar[kural_id],0))+$E809*INDEX(tblKurallar[deger_2025],MATCH("SGK-004",tblKurallar[kural_id],0))+$F809*sgk_isverenOran,2),0))</f>
        <v/>
      </c>
      <c r="I809" s="37">
        <f>IF($A809="","",IFERROR(MAX(0,$H809-$G809),0))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$C810*INDEX(tblKurallar[deger_2025],MATCH("SGK-001",tblKurallar[kural_id],0))+$D810*INDEX(tblKurallar[deger_2025],MATCH("SGK-002",tblKurallar[kural_id],0))+$E810*INDEX(tblKurallar[deger_2025],MATCH("SGK-004",tblKurallar[kural_id],0))+$F810*sgk_isverenOran,2),0))</f>
        <v/>
      </c>
      <c r="I810" s="37">
        <f>IF($A810="","",IFERROR(MAX(0,$H810-$G810),0))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$C811*INDEX(tblKurallar[deger_2025],MATCH("SGK-001",tblKurallar[kural_id],0))+$D811*INDEX(tblKurallar[deger_2025],MATCH("SGK-002",tblKurallar[kural_id],0))+$E811*INDEX(tblKurallar[deger_2025],MATCH("SGK-004",tblKurallar[kural_id],0))+$F811*sgk_isverenOran,2),0))</f>
        <v/>
      </c>
      <c r="I811" s="37">
        <f>IF($A811="","",IFERROR(MAX(0,$H811-$G811),0))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$C812*INDEX(tblKurallar[deger_2025],MATCH("SGK-001",tblKurallar[kural_id],0))+$D812*INDEX(tblKurallar[deger_2025],MATCH("SGK-002",tblKurallar[kural_id],0))+$E812*INDEX(tblKurallar[deger_2025],MATCH("SGK-004",tblKurallar[kural_id],0))+$F812*sgk_isverenOran,2),0))</f>
        <v/>
      </c>
      <c r="I812" s="37">
        <f>IF($A812="","",IFERROR(MAX(0,$H812-$G812),0))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$C813*INDEX(tblKurallar[deger_2025],MATCH("SGK-001",tblKurallar[kural_id],0))+$D813*INDEX(tblKurallar[deger_2025],MATCH("SGK-002",tblKurallar[kural_id],0))+$E813*INDEX(tblKurallar[deger_2025],MATCH("SGK-004",tblKurallar[kural_id],0))+$F813*sgk_isverenOran,2),0))</f>
        <v/>
      </c>
      <c r="I813" s="37">
        <f>IF($A813="","",IFERROR(MAX(0,$H813-$G813),0))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$C814*INDEX(tblKurallar[deger_2025],MATCH("SGK-001",tblKurallar[kural_id],0))+$D814*INDEX(tblKurallar[deger_2025],MATCH("SGK-002",tblKurallar[kural_id],0))+$E814*INDEX(tblKurallar[deger_2025],MATCH("SGK-004",tblKurallar[kural_id],0))+$F814*sgk_isverenOran,2),0))</f>
        <v/>
      </c>
      <c r="I814" s="37">
        <f>IF($A814="","",IFERROR(MAX(0,$H814-$G814),0))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$C815*INDEX(tblKurallar[deger_2025],MATCH("SGK-001",tblKurallar[kural_id],0))+$D815*INDEX(tblKurallar[deger_2025],MATCH("SGK-002",tblKurallar[kural_id],0))+$E815*INDEX(tblKurallar[deger_2025],MATCH("SGK-004",tblKurallar[kural_id],0))+$F815*sgk_isverenOran,2),0))</f>
        <v/>
      </c>
      <c r="I815" s="37">
        <f>IF($A815="","",IFERROR(MAX(0,$H815-$G815),0))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$C816*INDEX(tblKurallar[deger_2025],MATCH("SGK-001",tblKurallar[kural_id],0))+$D816*INDEX(tblKurallar[deger_2025],MATCH("SGK-002",tblKurallar[kural_id],0))+$E816*INDEX(tblKurallar[deger_2025],MATCH("SGK-004",tblKurallar[kural_id],0))+$F816*sgk_isverenOran,2),0))</f>
        <v/>
      </c>
      <c r="I816" s="37">
        <f>IF($A816="","",IFERROR(MAX(0,$H816-$G816),0))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$C817*INDEX(tblKurallar[deger_2025],MATCH("SGK-001",tblKurallar[kural_id],0))+$D817*INDEX(tblKurallar[deger_2025],MATCH("SGK-002",tblKurallar[kural_id],0))+$E817*INDEX(tblKurallar[deger_2025],MATCH("SGK-004",tblKurallar[kural_id],0))+$F817*sgk_isverenOran,2),0))</f>
        <v/>
      </c>
      <c r="I817" s="37">
        <f>IF($A817="","",IFERROR(MAX(0,$H817-$G817),0))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$C818*INDEX(tblKurallar[deger_2025],MATCH("SGK-001",tblKurallar[kural_id],0))+$D818*INDEX(tblKurallar[deger_2025],MATCH("SGK-002",tblKurallar[kural_id],0))+$E818*INDEX(tblKurallar[deger_2025],MATCH("SGK-004",tblKurallar[kural_id],0))+$F818*sgk_isverenOran,2),0))</f>
        <v/>
      </c>
      <c r="I818" s="37">
        <f>IF($A818="","",IFERROR(MAX(0,$H818-$G818),0))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$C819*INDEX(tblKurallar[deger_2025],MATCH("SGK-001",tblKurallar[kural_id],0))+$D819*INDEX(tblKurallar[deger_2025],MATCH("SGK-002",tblKurallar[kural_id],0))+$E819*INDEX(tblKurallar[deger_2025],MATCH("SGK-004",tblKurallar[kural_id],0))+$F819*sgk_isverenOran,2),0))</f>
        <v/>
      </c>
      <c r="I819" s="37">
        <f>IF($A819="","",IFERROR(MAX(0,$H819-$G819),0))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$C820*INDEX(tblKurallar[deger_2025],MATCH("SGK-001",tblKurallar[kural_id],0))+$D820*INDEX(tblKurallar[deger_2025],MATCH("SGK-002",tblKurallar[kural_id],0))+$E820*INDEX(tblKurallar[deger_2025],MATCH("SGK-004",tblKurallar[kural_id],0))+$F820*sgk_isverenOran,2),0))</f>
        <v/>
      </c>
      <c r="I820" s="37">
        <f>IF($A820="","",IFERROR(MAX(0,$H820-$G820),0))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$C821*INDEX(tblKurallar[deger_2025],MATCH("SGK-001",tblKurallar[kural_id],0))+$D821*INDEX(tblKurallar[deger_2025],MATCH("SGK-002",tblKurallar[kural_id],0))+$E821*INDEX(tblKurallar[deger_2025],MATCH("SGK-004",tblKurallar[kural_id],0))+$F821*sgk_isverenOran,2),0))</f>
        <v/>
      </c>
      <c r="I821" s="37">
        <f>IF($A821="","",IFERROR(MAX(0,$H821-$G821),0))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$C822*INDEX(tblKurallar[deger_2025],MATCH("SGK-001",tblKurallar[kural_id],0))+$D822*INDEX(tblKurallar[deger_2025],MATCH("SGK-002",tblKurallar[kural_id],0))+$E822*INDEX(tblKurallar[deger_2025],MATCH("SGK-004",tblKurallar[kural_id],0))+$F822*sgk_isverenOran,2),0))</f>
        <v/>
      </c>
      <c r="I822" s="37">
        <f>IF($A822="","",IFERROR(MAX(0,$H822-$G822),0))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$C823*INDEX(tblKurallar[deger_2025],MATCH("SGK-001",tblKurallar[kural_id],0))+$D823*INDEX(tblKurallar[deger_2025],MATCH("SGK-002",tblKurallar[kural_id],0))+$E823*INDEX(tblKurallar[deger_2025],MATCH("SGK-004",tblKurallar[kural_id],0))+$F823*sgk_isverenOran,2),0))</f>
        <v/>
      </c>
      <c r="I823" s="37">
        <f>IF($A823="","",IFERROR(MAX(0,$H823-$G823),0))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$C824*INDEX(tblKurallar[deger_2025],MATCH("SGK-001",tblKurallar[kural_id],0))+$D824*INDEX(tblKurallar[deger_2025],MATCH("SGK-002",tblKurallar[kural_id],0))+$E824*INDEX(tblKurallar[deger_2025],MATCH("SGK-004",tblKurallar[kural_id],0))+$F824*sgk_isverenOran,2),0))</f>
        <v/>
      </c>
      <c r="I824" s="37">
        <f>IF($A824="","",IFERROR(MAX(0,$H824-$G824),0))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$C825*INDEX(tblKurallar[deger_2025],MATCH("SGK-001",tblKurallar[kural_id],0))+$D825*INDEX(tblKurallar[deger_2025],MATCH("SGK-002",tblKurallar[kural_id],0))+$E825*INDEX(tblKurallar[deger_2025],MATCH("SGK-004",tblKurallar[kural_id],0))+$F825*sgk_isverenOran,2),0))</f>
        <v/>
      </c>
      <c r="I825" s="37">
        <f>IF($A825="","",IFERROR(MAX(0,$H825-$G825),0))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$C826*INDEX(tblKurallar[deger_2025],MATCH("SGK-001",tblKurallar[kural_id],0))+$D826*INDEX(tblKurallar[deger_2025],MATCH("SGK-002",tblKurallar[kural_id],0))+$E826*INDEX(tblKurallar[deger_2025],MATCH("SGK-004",tblKurallar[kural_id],0))+$F826*sgk_isverenOran,2),0))</f>
        <v/>
      </c>
      <c r="I826" s="37">
        <f>IF($A826="","",IFERROR(MAX(0,$H826-$G826),0))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$C827*INDEX(tblKurallar[deger_2025],MATCH("SGK-001",tblKurallar[kural_id],0))+$D827*INDEX(tblKurallar[deger_2025],MATCH("SGK-002",tblKurallar[kural_id],0))+$E827*INDEX(tblKurallar[deger_2025],MATCH("SGK-004",tblKurallar[kural_id],0))+$F827*sgk_isverenOran,2),0))</f>
        <v/>
      </c>
      <c r="I827" s="37">
        <f>IF($A827="","",IFERROR(MAX(0,$H827-$G827),0))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$C828*INDEX(tblKurallar[deger_2025],MATCH("SGK-001",tblKurallar[kural_id],0))+$D828*INDEX(tblKurallar[deger_2025],MATCH("SGK-002",tblKurallar[kural_id],0))+$E828*INDEX(tblKurallar[deger_2025],MATCH("SGK-004",tblKurallar[kural_id],0))+$F828*sgk_isverenOran,2),0))</f>
        <v/>
      </c>
      <c r="I828" s="37">
        <f>IF($A828="","",IFERROR(MAX(0,$H828-$G828),0))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$C829*INDEX(tblKurallar[deger_2025],MATCH("SGK-001",tblKurallar[kural_id],0))+$D829*INDEX(tblKurallar[deger_2025],MATCH("SGK-002",tblKurallar[kural_id],0))+$E829*INDEX(tblKurallar[deger_2025],MATCH("SGK-004",tblKurallar[kural_id],0))+$F829*sgk_isverenOran,2),0))</f>
        <v/>
      </c>
      <c r="I829" s="37">
        <f>IF($A829="","",IFERROR(MAX(0,$H829-$G829),0))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$C830*INDEX(tblKurallar[deger_2025],MATCH("SGK-001",tblKurallar[kural_id],0))+$D830*INDEX(tblKurallar[deger_2025],MATCH("SGK-002",tblKurallar[kural_id],0))+$E830*INDEX(tblKurallar[deger_2025],MATCH("SGK-004",tblKurallar[kural_id],0))+$F830*sgk_isverenOran,2),0))</f>
        <v/>
      </c>
      <c r="I830" s="37">
        <f>IF($A830="","",IFERROR(MAX(0,$H830-$G830),0))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$C831*INDEX(tblKurallar[deger_2025],MATCH("SGK-001",tblKurallar[kural_id],0))+$D831*INDEX(tblKurallar[deger_2025],MATCH("SGK-002",tblKurallar[kural_id],0))+$E831*INDEX(tblKurallar[deger_2025],MATCH("SGK-004",tblKurallar[kural_id],0))+$F831*sgk_isverenOran,2),0))</f>
        <v/>
      </c>
      <c r="I831" s="37">
        <f>IF($A831="","",IFERROR(MAX(0,$H831-$G831),0))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$C832*INDEX(tblKurallar[deger_2025],MATCH("SGK-001",tblKurallar[kural_id],0))+$D832*INDEX(tblKurallar[deger_2025],MATCH("SGK-002",tblKurallar[kural_id],0))+$E832*INDEX(tblKurallar[deger_2025],MATCH("SGK-004",tblKurallar[kural_id],0))+$F832*sgk_isverenOran,2),0))</f>
        <v/>
      </c>
      <c r="I832" s="37">
        <f>IF($A832="","",IFERROR(MAX(0,$H832-$G832),0))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$C833*INDEX(tblKurallar[deger_2025],MATCH("SGK-001",tblKurallar[kural_id],0))+$D833*INDEX(tblKurallar[deger_2025],MATCH("SGK-002",tblKurallar[kural_id],0))+$E833*INDEX(tblKurallar[deger_2025],MATCH("SGK-004",tblKurallar[kural_id],0))+$F833*sgk_isverenOran,2),0))</f>
        <v/>
      </c>
      <c r="I833" s="37">
        <f>IF($A833="","",IFERROR(MAX(0,$H833-$G833),0))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$C834*INDEX(tblKurallar[deger_2025],MATCH("SGK-001",tblKurallar[kural_id],0))+$D834*INDEX(tblKurallar[deger_2025],MATCH("SGK-002",tblKurallar[kural_id],0))+$E834*INDEX(tblKurallar[deger_2025],MATCH("SGK-004",tblKurallar[kural_id],0))+$F834*sgk_isverenOran,2),0))</f>
        <v/>
      </c>
      <c r="I834" s="37">
        <f>IF($A834="","",IFERROR(MAX(0,$H834-$G834),0))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$C835*INDEX(tblKurallar[deger_2025],MATCH("SGK-001",tblKurallar[kural_id],0))+$D835*INDEX(tblKurallar[deger_2025],MATCH("SGK-002",tblKurallar[kural_id],0))+$E835*INDEX(tblKurallar[deger_2025],MATCH("SGK-004",tblKurallar[kural_id],0))+$F835*sgk_isverenOran,2),0))</f>
        <v/>
      </c>
      <c r="I835" s="37">
        <f>IF($A835="","",IFERROR(MAX(0,$H835-$G835),0))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$C836*INDEX(tblKurallar[deger_2025],MATCH("SGK-001",tblKurallar[kural_id],0))+$D836*INDEX(tblKurallar[deger_2025],MATCH("SGK-002",tblKurallar[kural_id],0))+$E836*INDEX(tblKurallar[deger_2025],MATCH("SGK-004",tblKurallar[kural_id],0))+$F836*sgk_isverenOran,2),0))</f>
        <v/>
      </c>
      <c r="I836" s="37">
        <f>IF($A836="","",IFERROR(MAX(0,$H836-$G836),0))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$C837*INDEX(tblKurallar[deger_2025],MATCH("SGK-001",tblKurallar[kural_id],0))+$D837*INDEX(tblKurallar[deger_2025],MATCH("SGK-002",tblKurallar[kural_id],0))+$E837*INDEX(tblKurallar[deger_2025],MATCH("SGK-004",tblKurallar[kural_id],0))+$F837*sgk_isverenOran,2),0))</f>
        <v/>
      </c>
      <c r="I837" s="37">
        <f>IF($A837="","",IFERROR(MAX(0,$H837-$G837),0))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$C838*INDEX(tblKurallar[deger_2025],MATCH("SGK-001",tblKurallar[kural_id],0))+$D838*INDEX(tblKurallar[deger_2025],MATCH("SGK-002",tblKurallar[kural_id],0))+$E838*INDEX(tblKurallar[deger_2025],MATCH("SGK-004",tblKurallar[kural_id],0))+$F838*sgk_isverenOran,2),0))</f>
        <v/>
      </c>
      <c r="I838" s="37">
        <f>IF($A838="","",IFERROR(MAX(0,$H838-$G838),0))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$C839*INDEX(tblKurallar[deger_2025],MATCH("SGK-001",tblKurallar[kural_id],0))+$D839*INDEX(tblKurallar[deger_2025],MATCH("SGK-002",tblKurallar[kural_id],0))+$E839*INDEX(tblKurallar[deger_2025],MATCH("SGK-004",tblKurallar[kural_id],0))+$F839*sgk_isverenOran,2),0))</f>
        <v/>
      </c>
      <c r="I839" s="37">
        <f>IF($A839="","",IFERROR(MAX(0,$H839-$G839),0))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$C840*INDEX(tblKurallar[deger_2025],MATCH("SGK-001",tblKurallar[kural_id],0))+$D840*INDEX(tblKurallar[deger_2025],MATCH("SGK-002",tblKurallar[kural_id],0))+$E840*INDEX(tblKurallar[deger_2025],MATCH("SGK-004",tblKurallar[kural_id],0))+$F840*sgk_isverenOran,2),0))</f>
        <v/>
      </c>
      <c r="I840" s="37">
        <f>IF($A840="","",IFERROR(MAX(0,$H840-$G840),0))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$C841*INDEX(tblKurallar[deger_2025],MATCH("SGK-001",tblKurallar[kural_id],0))+$D841*INDEX(tblKurallar[deger_2025],MATCH("SGK-002",tblKurallar[kural_id],0))+$E841*INDEX(tblKurallar[deger_2025],MATCH("SGK-004",tblKurallar[kural_id],0))+$F841*sgk_isverenOran,2),0))</f>
        <v/>
      </c>
      <c r="I841" s="37">
        <f>IF($A841="","",IFERROR(MAX(0,$H841-$G841),0))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$C842*INDEX(tblKurallar[deger_2025],MATCH("SGK-001",tblKurallar[kural_id],0))+$D842*INDEX(tblKurallar[deger_2025],MATCH("SGK-002",tblKurallar[kural_id],0))+$E842*INDEX(tblKurallar[deger_2025],MATCH("SGK-004",tblKurallar[kural_id],0))+$F842*sgk_isverenOran,2),0))</f>
        <v/>
      </c>
      <c r="I842" s="37">
        <f>IF($A842="","",IFERROR(MAX(0,$H842-$G842),0))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$C843*INDEX(tblKurallar[deger_2025],MATCH("SGK-001",tblKurallar[kural_id],0))+$D843*INDEX(tblKurallar[deger_2025],MATCH("SGK-002",tblKurallar[kural_id],0))+$E843*INDEX(tblKurallar[deger_2025],MATCH("SGK-004",tblKurallar[kural_id],0))+$F843*sgk_isverenOran,2),0))</f>
        <v/>
      </c>
      <c r="I843" s="37">
        <f>IF($A843="","",IFERROR(MAX(0,$H843-$G843),0))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$C844*INDEX(tblKurallar[deger_2025],MATCH("SGK-001",tblKurallar[kural_id],0))+$D844*INDEX(tblKurallar[deger_2025],MATCH("SGK-002",tblKurallar[kural_id],0))+$E844*INDEX(tblKurallar[deger_2025],MATCH("SGK-004",tblKurallar[kural_id],0))+$F844*sgk_isverenOran,2),0))</f>
        <v/>
      </c>
      <c r="I844" s="37">
        <f>IF($A844="","",IFERROR(MAX(0,$H844-$G844),0))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$C845*INDEX(tblKurallar[deger_2025],MATCH("SGK-001",tblKurallar[kural_id],0))+$D845*INDEX(tblKurallar[deger_2025],MATCH("SGK-002",tblKurallar[kural_id],0))+$E845*INDEX(tblKurallar[deger_2025],MATCH("SGK-004",tblKurallar[kural_id],0))+$F845*sgk_isverenOran,2),0))</f>
        <v/>
      </c>
      <c r="I845" s="37">
        <f>IF($A845="","",IFERROR(MAX(0,$H845-$G845),0))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$C846*INDEX(tblKurallar[deger_2025],MATCH("SGK-001",tblKurallar[kural_id],0))+$D846*INDEX(tblKurallar[deger_2025],MATCH("SGK-002",tblKurallar[kural_id],0))+$E846*INDEX(tblKurallar[deger_2025],MATCH("SGK-004",tblKurallar[kural_id],0))+$F846*sgk_isverenOran,2),0))</f>
        <v/>
      </c>
      <c r="I846" s="37">
        <f>IF($A846="","",IFERROR(MAX(0,$H846-$G846),0))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$C847*INDEX(tblKurallar[deger_2025],MATCH("SGK-001",tblKurallar[kural_id],0))+$D847*INDEX(tblKurallar[deger_2025],MATCH("SGK-002",tblKurallar[kural_id],0))+$E847*INDEX(tblKurallar[deger_2025],MATCH("SGK-004",tblKurallar[kural_id],0))+$F847*sgk_isverenOran,2),0))</f>
        <v/>
      </c>
      <c r="I847" s="37">
        <f>IF($A847="","",IFERROR(MAX(0,$H847-$G847),0))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$C848*INDEX(tblKurallar[deger_2025],MATCH("SGK-001",tblKurallar[kural_id],0))+$D848*INDEX(tblKurallar[deger_2025],MATCH("SGK-002",tblKurallar[kural_id],0))+$E848*INDEX(tblKurallar[deger_2025],MATCH("SGK-004",tblKurallar[kural_id],0))+$F848*sgk_isverenOran,2),0))</f>
        <v/>
      </c>
      <c r="I848" s="37">
        <f>IF($A848="","",IFERROR(MAX(0,$H848-$G848),0))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$C849*INDEX(tblKurallar[deger_2025],MATCH("SGK-001",tblKurallar[kural_id],0))+$D849*INDEX(tblKurallar[deger_2025],MATCH("SGK-002",tblKurallar[kural_id],0))+$E849*INDEX(tblKurallar[deger_2025],MATCH("SGK-004",tblKurallar[kural_id],0))+$F849*sgk_isverenOran,2),0))</f>
        <v/>
      </c>
      <c r="I849" s="37">
        <f>IF($A849="","",IFERROR(MAX(0,$H849-$G849),0))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$C850*INDEX(tblKurallar[deger_2025],MATCH("SGK-001",tblKurallar[kural_id],0))+$D850*INDEX(tblKurallar[deger_2025],MATCH("SGK-002",tblKurallar[kural_id],0))+$E850*INDEX(tblKurallar[deger_2025],MATCH("SGK-004",tblKurallar[kural_id],0))+$F850*sgk_isverenOran,2),0))</f>
        <v/>
      </c>
      <c r="I850" s="37">
        <f>IF($A850="","",IFERROR(MAX(0,$H850-$G850),0))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$C851*INDEX(tblKurallar[deger_2025],MATCH("SGK-001",tblKurallar[kural_id],0))+$D851*INDEX(tblKurallar[deger_2025],MATCH("SGK-002",tblKurallar[kural_id],0))+$E851*INDEX(tblKurallar[deger_2025],MATCH("SGK-004",tblKurallar[kural_id],0))+$F851*sgk_isverenOran,2),0))</f>
        <v/>
      </c>
      <c r="I851" s="37">
        <f>IF($A851="","",IFERROR(MAX(0,$H851-$G851),0))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$C852*INDEX(tblKurallar[deger_2025],MATCH("SGK-001",tblKurallar[kural_id],0))+$D852*INDEX(tblKurallar[deger_2025],MATCH("SGK-002",tblKurallar[kural_id],0))+$E852*INDEX(tblKurallar[deger_2025],MATCH("SGK-004",tblKurallar[kural_id],0))+$F852*sgk_isverenOran,2),0))</f>
        <v/>
      </c>
      <c r="I852" s="37">
        <f>IF($A852="","",IFERROR(MAX(0,$H852-$G852),0))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$C853*INDEX(tblKurallar[deger_2025],MATCH("SGK-001",tblKurallar[kural_id],0))+$D853*INDEX(tblKurallar[deger_2025],MATCH("SGK-002",tblKurallar[kural_id],0))+$E853*INDEX(tblKurallar[deger_2025],MATCH("SGK-004",tblKurallar[kural_id],0))+$F853*sgk_isverenOran,2),0))</f>
        <v/>
      </c>
      <c r="I853" s="37">
        <f>IF($A853="","",IFERROR(MAX(0,$H853-$G853),0))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$C854*INDEX(tblKurallar[deger_2025],MATCH("SGK-001",tblKurallar[kural_id],0))+$D854*INDEX(tblKurallar[deger_2025],MATCH("SGK-002",tblKurallar[kural_id],0))+$E854*INDEX(tblKurallar[deger_2025],MATCH("SGK-004",tblKurallar[kural_id],0))+$F854*sgk_isverenOran,2),0))</f>
        <v/>
      </c>
      <c r="I854" s="37">
        <f>IF($A854="","",IFERROR(MAX(0,$H854-$G854),0))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$C855*INDEX(tblKurallar[deger_2025],MATCH("SGK-001",tblKurallar[kural_id],0))+$D855*INDEX(tblKurallar[deger_2025],MATCH("SGK-002",tblKurallar[kural_id],0))+$E855*INDEX(tblKurallar[deger_2025],MATCH("SGK-004",tblKurallar[kural_id],0))+$F855*sgk_isverenOran,2),0))</f>
        <v/>
      </c>
      <c r="I855" s="37">
        <f>IF($A855="","",IFERROR(MAX(0,$H855-$G855),0))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$C856*INDEX(tblKurallar[deger_2025],MATCH("SGK-001",tblKurallar[kural_id],0))+$D856*INDEX(tblKurallar[deger_2025],MATCH("SGK-002",tblKurallar[kural_id],0))+$E856*INDEX(tblKurallar[deger_2025],MATCH("SGK-004",tblKurallar[kural_id],0))+$F856*sgk_isverenOran,2),0))</f>
        <v/>
      </c>
      <c r="I856" s="37">
        <f>IF($A856="","",IFERROR(MAX(0,$H856-$G856),0))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$C857*INDEX(tblKurallar[deger_2025],MATCH("SGK-001",tblKurallar[kural_id],0))+$D857*INDEX(tblKurallar[deger_2025],MATCH("SGK-002",tblKurallar[kural_id],0))+$E857*INDEX(tblKurallar[deger_2025],MATCH("SGK-004",tblKurallar[kural_id],0))+$F857*sgk_isverenOran,2),0))</f>
        <v/>
      </c>
      <c r="I857" s="37">
        <f>IF($A857="","",IFERROR(MAX(0,$H857-$G857),0))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$C858*INDEX(tblKurallar[deger_2025],MATCH("SGK-001",tblKurallar[kural_id],0))+$D858*INDEX(tblKurallar[deger_2025],MATCH("SGK-002",tblKurallar[kural_id],0))+$E858*INDEX(tblKurallar[deger_2025],MATCH("SGK-004",tblKurallar[kural_id],0))+$F858*sgk_isverenOran,2),0))</f>
        <v/>
      </c>
      <c r="I858" s="37">
        <f>IF($A858="","",IFERROR(MAX(0,$H858-$G858),0))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$C859*INDEX(tblKurallar[deger_2025],MATCH("SGK-001",tblKurallar[kural_id],0))+$D859*INDEX(tblKurallar[deger_2025],MATCH("SGK-002",tblKurallar[kural_id],0))+$E859*INDEX(tblKurallar[deger_2025],MATCH("SGK-004",tblKurallar[kural_id],0))+$F859*sgk_isverenOran,2),0))</f>
        <v/>
      </c>
      <c r="I859" s="37">
        <f>IF($A859="","",IFERROR(MAX(0,$H859-$G859),0))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$C860*INDEX(tblKurallar[deger_2025],MATCH("SGK-001",tblKurallar[kural_id],0))+$D860*INDEX(tblKurallar[deger_2025],MATCH("SGK-002",tblKurallar[kural_id],0))+$E860*INDEX(tblKurallar[deger_2025],MATCH("SGK-004",tblKurallar[kural_id],0))+$F860*sgk_isverenOran,2),0))</f>
        <v/>
      </c>
      <c r="I860" s="37">
        <f>IF($A860="","",IFERROR(MAX(0,$H860-$G860),0))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$C861*INDEX(tblKurallar[deger_2025],MATCH("SGK-001",tblKurallar[kural_id],0))+$D861*INDEX(tblKurallar[deger_2025],MATCH("SGK-002",tblKurallar[kural_id],0))+$E861*INDEX(tblKurallar[deger_2025],MATCH("SGK-004",tblKurallar[kural_id],0))+$F861*sgk_isverenOran,2),0))</f>
        <v/>
      </c>
      <c r="I861" s="37">
        <f>IF($A861="","",IFERROR(MAX(0,$H861-$G861),0))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$C862*INDEX(tblKurallar[deger_2025],MATCH("SGK-001",tblKurallar[kural_id],0))+$D862*INDEX(tblKurallar[deger_2025],MATCH("SGK-002",tblKurallar[kural_id],0))+$E862*INDEX(tblKurallar[deger_2025],MATCH("SGK-004",tblKurallar[kural_id],0))+$F862*sgk_isverenOran,2),0))</f>
        <v/>
      </c>
      <c r="I862" s="37">
        <f>IF($A862="","",IFERROR(MAX(0,$H862-$G862),0))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$C863*INDEX(tblKurallar[deger_2025],MATCH("SGK-001",tblKurallar[kural_id],0))+$D863*INDEX(tblKurallar[deger_2025],MATCH("SGK-002",tblKurallar[kural_id],0))+$E863*INDEX(tblKurallar[deger_2025],MATCH("SGK-004",tblKurallar[kural_id],0))+$F863*sgk_isverenOran,2),0))</f>
        <v/>
      </c>
      <c r="I863" s="37">
        <f>IF($A863="","",IFERROR(MAX(0,$H863-$G863),0))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$C864*INDEX(tblKurallar[deger_2025],MATCH("SGK-001",tblKurallar[kural_id],0))+$D864*INDEX(tblKurallar[deger_2025],MATCH("SGK-002",tblKurallar[kural_id],0))+$E864*INDEX(tblKurallar[deger_2025],MATCH("SGK-004",tblKurallar[kural_id],0))+$F864*sgk_isverenOran,2),0))</f>
        <v/>
      </c>
      <c r="I864" s="37">
        <f>IF($A864="","",IFERROR(MAX(0,$H864-$G864),0))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$C865*INDEX(tblKurallar[deger_2025],MATCH("SGK-001",tblKurallar[kural_id],0))+$D865*INDEX(tblKurallar[deger_2025],MATCH("SGK-002",tblKurallar[kural_id],0))+$E865*INDEX(tblKurallar[deger_2025],MATCH("SGK-004",tblKurallar[kural_id],0))+$F865*sgk_isverenOran,2),0))</f>
        <v/>
      </c>
      <c r="I865" s="37">
        <f>IF($A865="","",IFERROR(MAX(0,$H865-$G865),0))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$C866*INDEX(tblKurallar[deger_2025],MATCH("SGK-001",tblKurallar[kural_id],0))+$D866*INDEX(tblKurallar[deger_2025],MATCH("SGK-002",tblKurallar[kural_id],0))+$E866*INDEX(tblKurallar[deger_2025],MATCH("SGK-004",tblKurallar[kural_id],0))+$F866*sgk_isverenOran,2),0))</f>
        <v/>
      </c>
      <c r="I866" s="37">
        <f>IF($A866="","",IFERROR(MAX(0,$H866-$G866),0))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$C867*INDEX(tblKurallar[deger_2025],MATCH("SGK-001",tblKurallar[kural_id],0))+$D867*INDEX(tblKurallar[deger_2025],MATCH("SGK-002",tblKurallar[kural_id],0))+$E867*INDEX(tblKurallar[deger_2025],MATCH("SGK-004",tblKurallar[kural_id],0))+$F867*sgk_isverenOran,2),0))</f>
        <v/>
      </c>
      <c r="I867" s="37">
        <f>IF($A867="","",IFERROR(MAX(0,$H867-$G867),0))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$C868*INDEX(tblKurallar[deger_2025],MATCH("SGK-001",tblKurallar[kural_id],0))+$D868*INDEX(tblKurallar[deger_2025],MATCH("SGK-002",tblKurallar[kural_id],0))+$E868*INDEX(tblKurallar[deger_2025],MATCH("SGK-004",tblKurallar[kural_id],0))+$F868*sgk_isverenOran,2),0))</f>
        <v/>
      </c>
      <c r="I868" s="37">
        <f>IF($A868="","",IFERROR(MAX(0,$H868-$G868),0))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$C869*INDEX(tblKurallar[deger_2025],MATCH("SGK-001",tblKurallar[kural_id],0))+$D869*INDEX(tblKurallar[deger_2025],MATCH("SGK-002",tblKurallar[kural_id],0))+$E869*INDEX(tblKurallar[deger_2025],MATCH("SGK-004",tblKurallar[kural_id],0))+$F869*sgk_isverenOran,2),0))</f>
        <v/>
      </c>
      <c r="I869" s="37">
        <f>IF($A869="","",IFERROR(MAX(0,$H869-$G869),0))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$C870*INDEX(tblKurallar[deger_2025],MATCH("SGK-001",tblKurallar[kural_id],0))+$D870*INDEX(tblKurallar[deger_2025],MATCH("SGK-002",tblKurallar[kural_id],0))+$E870*INDEX(tblKurallar[deger_2025],MATCH("SGK-004",tblKurallar[kural_id],0))+$F870*sgk_isverenOran,2),0))</f>
        <v/>
      </c>
      <c r="I870" s="37">
        <f>IF($A870="","",IFERROR(MAX(0,$H870-$G870),0))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$C871*INDEX(tblKurallar[deger_2025],MATCH("SGK-001",tblKurallar[kural_id],0))+$D871*INDEX(tblKurallar[deger_2025],MATCH("SGK-002",tblKurallar[kural_id],0))+$E871*INDEX(tblKurallar[deger_2025],MATCH("SGK-004",tblKurallar[kural_id],0))+$F871*sgk_isverenOran,2),0))</f>
        <v/>
      </c>
      <c r="I871" s="37">
        <f>IF($A871="","",IFERROR(MAX(0,$H871-$G871),0))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$C872*INDEX(tblKurallar[deger_2025],MATCH("SGK-001",tblKurallar[kural_id],0))+$D872*INDEX(tblKurallar[deger_2025],MATCH("SGK-002",tblKurallar[kural_id],0))+$E872*INDEX(tblKurallar[deger_2025],MATCH("SGK-004",tblKurallar[kural_id],0))+$F872*sgk_isverenOran,2),0))</f>
        <v/>
      </c>
      <c r="I872" s="37">
        <f>IF($A872="","",IFERROR(MAX(0,$H872-$G872),0))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$C873*INDEX(tblKurallar[deger_2025],MATCH("SGK-001",tblKurallar[kural_id],0))+$D873*INDEX(tblKurallar[deger_2025],MATCH("SGK-002",tblKurallar[kural_id],0))+$E873*INDEX(tblKurallar[deger_2025],MATCH("SGK-004",tblKurallar[kural_id],0))+$F873*sgk_isverenOran,2),0))</f>
        <v/>
      </c>
      <c r="I873" s="37">
        <f>IF($A873="","",IFERROR(MAX(0,$H873-$G873),0))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$C874*INDEX(tblKurallar[deger_2025],MATCH("SGK-001",tblKurallar[kural_id],0))+$D874*INDEX(tblKurallar[deger_2025],MATCH("SGK-002",tblKurallar[kural_id],0))+$E874*INDEX(tblKurallar[deger_2025],MATCH("SGK-004",tblKurallar[kural_id],0))+$F874*sgk_isverenOran,2),0))</f>
        <v/>
      </c>
      <c r="I874" s="37">
        <f>IF($A874="","",IFERROR(MAX(0,$H874-$G874),0))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$C875*INDEX(tblKurallar[deger_2025],MATCH("SGK-001",tblKurallar[kural_id],0))+$D875*INDEX(tblKurallar[deger_2025],MATCH("SGK-002",tblKurallar[kural_id],0))+$E875*INDEX(tblKurallar[deger_2025],MATCH("SGK-004",tblKurallar[kural_id],0))+$F875*sgk_isverenOran,2),0))</f>
        <v/>
      </c>
      <c r="I875" s="37">
        <f>IF($A875="","",IFERROR(MAX(0,$H875-$G875),0))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$C876*INDEX(tblKurallar[deger_2025],MATCH("SGK-001",tblKurallar[kural_id],0))+$D876*INDEX(tblKurallar[deger_2025],MATCH("SGK-002",tblKurallar[kural_id],0))+$E876*INDEX(tblKurallar[deger_2025],MATCH("SGK-004",tblKurallar[kural_id],0))+$F876*sgk_isverenOran,2),0))</f>
        <v/>
      </c>
      <c r="I876" s="37">
        <f>IF($A876="","",IFERROR(MAX(0,$H876-$G876),0))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$C877*INDEX(tblKurallar[deger_2025],MATCH("SGK-001",tblKurallar[kural_id],0))+$D877*INDEX(tblKurallar[deger_2025],MATCH("SGK-002",tblKurallar[kural_id],0))+$E877*INDEX(tblKurallar[deger_2025],MATCH("SGK-004",tblKurallar[kural_id],0))+$F877*sgk_isverenOran,2),0))</f>
        <v/>
      </c>
      <c r="I877" s="37">
        <f>IF($A877="","",IFERROR(MAX(0,$H877-$G877),0))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$C878*INDEX(tblKurallar[deger_2025],MATCH("SGK-001",tblKurallar[kural_id],0))+$D878*INDEX(tblKurallar[deger_2025],MATCH("SGK-002",tblKurallar[kural_id],0))+$E878*INDEX(tblKurallar[deger_2025],MATCH("SGK-004",tblKurallar[kural_id],0))+$F878*sgk_isverenOran,2),0))</f>
        <v/>
      </c>
      <c r="I878" s="37">
        <f>IF($A878="","",IFERROR(MAX(0,$H878-$G878),0))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$C879*INDEX(tblKurallar[deger_2025],MATCH("SGK-001",tblKurallar[kural_id],0))+$D879*INDEX(tblKurallar[deger_2025],MATCH("SGK-002",tblKurallar[kural_id],0))+$E879*INDEX(tblKurallar[deger_2025],MATCH("SGK-004",tblKurallar[kural_id],0))+$F879*sgk_isverenOran,2),0))</f>
        <v/>
      </c>
      <c r="I879" s="37">
        <f>IF($A879="","",IFERROR(MAX(0,$H879-$G879),0))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$C880*INDEX(tblKurallar[deger_2025],MATCH("SGK-001",tblKurallar[kural_id],0))+$D880*INDEX(tblKurallar[deger_2025],MATCH("SGK-002",tblKurallar[kural_id],0))+$E880*INDEX(tblKurallar[deger_2025],MATCH("SGK-004",tblKurallar[kural_id],0))+$F880*sgk_isverenOran,2),0))</f>
        <v/>
      </c>
      <c r="I880" s="37">
        <f>IF($A880="","",IFERROR(MAX(0,$H880-$G880),0))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$C881*INDEX(tblKurallar[deger_2025],MATCH("SGK-001",tblKurallar[kural_id],0))+$D881*INDEX(tblKurallar[deger_2025],MATCH("SGK-002",tblKurallar[kural_id],0))+$E881*INDEX(tblKurallar[deger_2025],MATCH("SGK-004",tblKurallar[kural_id],0))+$F881*sgk_isverenOran,2),0))</f>
        <v/>
      </c>
      <c r="I881" s="37">
        <f>IF($A881="","",IFERROR(MAX(0,$H881-$G881),0))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$C882*INDEX(tblKurallar[deger_2025],MATCH("SGK-001",tblKurallar[kural_id],0))+$D882*INDEX(tblKurallar[deger_2025],MATCH("SGK-002",tblKurallar[kural_id],0))+$E882*INDEX(tblKurallar[deger_2025],MATCH("SGK-004",tblKurallar[kural_id],0))+$F882*sgk_isverenOran,2),0))</f>
        <v/>
      </c>
      <c r="I882" s="37">
        <f>IF($A882="","",IFERROR(MAX(0,$H882-$G882),0))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$C883*INDEX(tblKurallar[deger_2025],MATCH("SGK-001",tblKurallar[kural_id],0))+$D883*INDEX(tblKurallar[deger_2025],MATCH("SGK-002",tblKurallar[kural_id],0))+$E883*INDEX(tblKurallar[deger_2025],MATCH("SGK-004",tblKurallar[kural_id],0))+$F883*sgk_isverenOran,2),0))</f>
        <v/>
      </c>
      <c r="I883" s="37">
        <f>IF($A883="","",IFERROR(MAX(0,$H883-$G883),0))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$C884*INDEX(tblKurallar[deger_2025],MATCH("SGK-001",tblKurallar[kural_id],0))+$D884*INDEX(tblKurallar[deger_2025],MATCH("SGK-002",tblKurallar[kural_id],0))+$E884*INDEX(tblKurallar[deger_2025],MATCH("SGK-004",tblKurallar[kural_id],0))+$F884*sgk_isverenOran,2),0))</f>
        <v/>
      </c>
      <c r="I884" s="37">
        <f>IF($A884="","",IFERROR(MAX(0,$H884-$G884),0))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$C885*INDEX(tblKurallar[deger_2025],MATCH("SGK-001",tblKurallar[kural_id],0))+$D885*INDEX(tblKurallar[deger_2025],MATCH("SGK-002",tblKurallar[kural_id],0))+$E885*INDEX(tblKurallar[deger_2025],MATCH("SGK-004",tblKurallar[kural_id],0))+$F885*sgk_isverenOran,2),0))</f>
        <v/>
      </c>
      <c r="I885" s="37">
        <f>IF($A885="","",IFERROR(MAX(0,$H885-$G885),0))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$C886*INDEX(tblKurallar[deger_2025],MATCH("SGK-001",tblKurallar[kural_id],0))+$D886*INDEX(tblKurallar[deger_2025],MATCH("SGK-002",tblKurallar[kural_id],0))+$E886*INDEX(tblKurallar[deger_2025],MATCH("SGK-004",tblKurallar[kural_id],0))+$F886*sgk_isverenOran,2),0))</f>
        <v/>
      </c>
      <c r="I886" s="37">
        <f>IF($A886="","",IFERROR(MAX(0,$H886-$G886),0))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$C887*INDEX(tblKurallar[deger_2025],MATCH("SGK-001",tblKurallar[kural_id],0))+$D887*INDEX(tblKurallar[deger_2025],MATCH("SGK-002",tblKurallar[kural_id],0))+$E887*INDEX(tblKurallar[deger_2025],MATCH("SGK-004",tblKurallar[kural_id],0))+$F887*sgk_isverenOran,2),0))</f>
        <v/>
      </c>
      <c r="I887" s="37">
        <f>IF($A887="","",IFERROR(MAX(0,$H887-$G887),0))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$C888*INDEX(tblKurallar[deger_2025],MATCH("SGK-001",tblKurallar[kural_id],0))+$D888*INDEX(tblKurallar[deger_2025],MATCH("SGK-002",tblKurallar[kural_id],0))+$E888*INDEX(tblKurallar[deger_2025],MATCH("SGK-004",tblKurallar[kural_id],0))+$F888*sgk_isverenOran,2),0))</f>
        <v/>
      </c>
      <c r="I888" s="37">
        <f>IF($A888="","",IFERROR(MAX(0,$H888-$G888),0))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$C889*INDEX(tblKurallar[deger_2025],MATCH("SGK-001",tblKurallar[kural_id],0))+$D889*INDEX(tblKurallar[deger_2025],MATCH("SGK-002",tblKurallar[kural_id],0))+$E889*INDEX(tblKurallar[deger_2025],MATCH("SGK-004",tblKurallar[kural_id],0))+$F889*sgk_isverenOran,2),0))</f>
        <v/>
      </c>
      <c r="I889" s="37">
        <f>IF($A889="","",IFERROR(MAX(0,$H889-$G889),0))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$C890*INDEX(tblKurallar[deger_2025],MATCH("SGK-001",tblKurallar[kural_id],0))+$D890*INDEX(tblKurallar[deger_2025],MATCH("SGK-002",tblKurallar[kural_id],0))+$E890*INDEX(tblKurallar[deger_2025],MATCH("SGK-004",tblKurallar[kural_id],0))+$F890*sgk_isverenOran,2),0))</f>
        <v/>
      </c>
      <c r="I890" s="37">
        <f>IF($A890="","",IFERROR(MAX(0,$H890-$G890),0))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$C891*INDEX(tblKurallar[deger_2025],MATCH("SGK-001",tblKurallar[kural_id],0))+$D891*INDEX(tblKurallar[deger_2025],MATCH("SGK-002",tblKurallar[kural_id],0))+$E891*INDEX(tblKurallar[deger_2025],MATCH("SGK-004",tblKurallar[kural_id],0))+$F891*sgk_isverenOran,2),0))</f>
        <v/>
      </c>
      <c r="I891" s="37">
        <f>IF($A891="","",IFERROR(MAX(0,$H891-$G891),0))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$C892*INDEX(tblKurallar[deger_2025],MATCH("SGK-001",tblKurallar[kural_id],0))+$D892*INDEX(tblKurallar[deger_2025],MATCH("SGK-002",tblKurallar[kural_id],0))+$E892*INDEX(tblKurallar[deger_2025],MATCH("SGK-004",tblKurallar[kural_id],0))+$F892*sgk_isverenOran,2),0))</f>
        <v/>
      </c>
      <c r="I892" s="37">
        <f>IF($A892="","",IFERROR(MAX(0,$H892-$G892),0))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$C893*INDEX(tblKurallar[deger_2025],MATCH("SGK-001",tblKurallar[kural_id],0))+$D893*INDEX(tblKurallar[deger_2025],MATCH("SGK-002",tblKurallar[kural_id],0))+$E893*INDEX(tblKurallar[deger_2025],MATCH("SGK-004",tblKurallar[kural_id],0))+$F893*sgk_isverenOran,2),0))</f>
        <v/>
      </c>
      <c r="I893" s="37">
        <f>IF($A893="","",IFERROR(MAX(0,$H893-$G893),0))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$C894*INDEX(tblKurallar[deger_2025],MATCH("SGK-001",tblKurallar[kural_id],0))+$D894*INDEX(tblKurallar[deger_2025],MATCH("SGK-002",tblKurallar[kural_id],0))+$E894*INDEX(tblKurallar[deger_2025],MATCH("SGK-004",tblKurallar[kural_id],0))+$F894*sgk_isverenOran,2),0))</f>
        <v/>
      </c>
      <c r="I894" s="37">
        <f>IF($A894="","",IFERROR(MAX(0,$H894-$G894),0))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$C895*INDEX(tblKurallar[deger_2025],MATCH("SGK-001",tblKurallar[kural_id],0))+$D895*INDEX(tblKurallar[deger_2025],MATCH("SGK-002",tblKurallar[kural_id],0))+$E895*INDEX(tblKurallar[deger_2025],MATCH("SGK-004",tblKurallar[kural_id],0))+$F895*sgk_isverenOran,2),0))</f>
        <v/>
      </c>
      <c r="I895" s="37">
        <f>IF($A895="","",IFERROR(MAX(0,$H895-$G895),0))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$C896*INDEX(tblKurallar[deger_2025],MATCH("SGK-001",tblKurallar[kural_id],0))+$D896*INDEX(tblKurallar[deger_2025],MATCH("SGK-002",tblKurallar[kural_id],0))+$E896*INDEX(tblKurallar[deger_2025],MATCH("SGK-004",tblKurallar[kural_id],0))+$F896*sgk_isverenOran,2),0))</f>
        <v/>
      </c>
      <c r="I896" s="37">
        <f>IF($A896="","",IFERROR(MAX(0,$H896-$G896),0))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$C897*INDEX(tblKurallar[deger_2025],MATCH("SGK-001",tblKurallar[kural_id],0))+$D897*INDEX(tblKurallar[deger_2025],MATCH("SGK-002",tblKurallar[kural_id],0))+$E897*INDEX(tblKurallar[deger_2025],MATCH("SGK-004",tblKurallar[kural_id],0))+$F897*sgk_isverenOran,2),0))</f>
        <v/>
      </c>
      <c r="I897" s="37">
        <f>IF($A897="","",IFERROR(MAX(0,$H897-$G897),0))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$C898*INDEX(tblKurallar[deger_2025],MATCH("SGK-001",tblKurallar[kural_id],0))+$D898*INDEX(tblKurallar[deger_2025],MATCH("SGK-002",tblKurallar[kural_id],0))+$E898*INDEX(tblKurallar[deger_2025],MATCH("SGK-004",tblKurallar[kural_id],0))+$F898*sgk_isverenOran,2),0))</f>
        <v/>
      </c>
      <c r="I898" s="37">
        <f>IF($A898="","",IFERROR(MAX(0,$H898-$G898),0))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$C899*INDEX(tblKurallar[deger_2025],MATCH("SGK-001",tblKurallar[kural_id],0))+$D899*INDEX(tblKurallar[deger_2025],MATCH("SGK-002",tblKurallar[kural_id],0))+$E899*INDEX(tblKurallar[deger_2025],MATCH("SGK-004",tblKurallar[kural_id],0))+$F899*sgk_isverenOran,2),0))</f>
        <v/>
      </c>
      <c r="I899" s="37">
        <f>IF($A899="","",IFERROR(MAX(0,$H899-$G899),0))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$C900*INDEX(tblKurallar[deger_2025],MATCH("SGK-001",tblKurallar[kural_id],0))+$D900*INDEX(tblKurallar[deger_2025],MATCH("SGK-002",tblKurallar[kural_id],0))+$E900*INDEX(tblKurallar[deger_2025],MATCH("SGK-004",tblKurallar[kural_id],0))+$F900*sgk_isverenOran,2),0))</f>
        <v/>
      </c>
      <c r="I900" s="37">
        <f>IF($A900="","",IFERROR(MAX(0,$H900-$G900),0))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$C901*INDEX(tblKurallar[deger_2025],MATCH("SGK-001",tblKurallar[kural_id],0))+$D901*INDEX(tblKurallar[deger_2025],MATCH("SGK-002",tblKurallar[kural_id],0))+$E901*INDEX(tblKurallar[deger_2025],MATCH("SGK-004",tblKurallar[kural_id],0))+$F901*sgk_isverenOran,2),0))</f>
        <v/>
      </c>
      <c r="I901" s="37">
        <f>IF($A901="","",IFERROR(MAX(0,$H901-$G901),0))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$C902*INDEX(tblKurallar[deger_2025],MATCH("SGK-001",tblKurallar[kural_id],0))+$D902*INDEX(tblKurallar[deger_2025],MATCH("SGK-002",tblKurallar[kural_id],0))+$E902*INDEX(tblKurallar[deger_2025],MATCH("SGK-004",tblKurallar[kural_id],0))+$F902*sgk_isverenOran,2),0))</f>
        <v/>
      </c>
      <c r="I902" s="37">
        <f>IF($A902="","",IFERROR(MAX(0,$H902-$G902),0))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$C903*INDEX(tblKurallar[deger_2025],MATCH("SGK-001",tblKurallar[kural_id],0))+$D903*INDEX(tblKurallar[deger_2025],MATCH("SGK-002",tblKurallar[kural_id],0))+$E903*INDEX(tblKurallar[deger_2025],MATCH("SGK-004",tblKurallar[kural_id],0))+$F903*sgk_isverenOran,2),0))</f>
        <v/>
      </c>
      <c r="I903" s="37">
        <f>IF($A903="","",IFERROR(MAX(0,$H903-$G903),0))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$C904*INDEX(tblKurallar[deger_2025],MATCH("SGK-001",tblKurallar[kural_id],0))+$D904*INDEX(tblKurallar[deger_2025],MATCH("SGK-002",tblKurallar[kural_id],0))+$E904*INDEX(tblKurallar[deger_2025],MATCH("SGK-004",tblKurallar[kural_id],0))+$F904*sgk_isverenOran,2),0))</f>
        <v/>
      </c>
      <c r="I904" s="37">
        <f>IF($A904="","",IFERROR(MAX(0,$H904-$G904),0))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$C905*INDEX(tblKurallar[deger_2025],MATCH("SGK-001",tblKurallar[kural_id],0))+$D905*INDEX(tblKurallar[deger_2025],MATCH("SGK-002",tblKurallar[kural_id],0))+$E905*INDEX(tblKurallar[deger_2025],MATCH("SGK-004",tblKurallar[kural_id],0))+$F905*sgk_isverenOran,2),0))</f>
        <v/>
      </c>
      <c r="I905" s="37">
        <f>IF($A905="","",IFERROR(MAX(0,$H905-$G905),0))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$C906*INDEX(tblKurallar[deger_2025],MATCH("SGK-001",tblKurallar[kural_id],0))+$D906*INDEX(tblKurallar[deger_2025],MATCH("SGK-002",tblKurallar[kural_id],0))+$E906*INDEX(tblKurallar[deger_2025],MATCH("SGK-004",tblKurallar[kural_id],0))+$F906*sgk_isverenOran,2),0))</f>
        <v/>
      </c>
      <c r="I906" s="37">
        <f>IF($A906="","",IFERROR(MAX(0,$H906-$G906),0))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$C907*INDEX(tblKurallar[deger_2025],MATCH("SGK-001",tblKurallar[kural_id],0))+$D907*INDEX(tblKurallar[deger_2025],MATCH("SGK-002",tblKurallar[kural_id],0))+$E907*INDEX(tblKurallar[deger_2025],MATCH("SGK-004",tblKurallar[kural_id],0))+$F907*sgk_isverenOran,2),0))</f>
        <v/>
      </c>
      <c r="I907" s="37">
        <f>IF($A907="","",IFERROR(MAX(0,$H907-$G907),0))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$C908*INDEX(tblKurallar[deger_2025],MATCH("SGK-001",tblKurallar[kural_id],0))+$D908*INDEX(tblKurallar[deger_2025],MATCH("SGK-002",tblKurallar[kural_id],0))+$E908*INDEX(tblKurallar[deger_2025],MATCH("SGK-004",tblKurallar[kural_id],0))+$F908*sgk_isverenOran,2),0))</f>
        <v/>
      </c>
      <c r="I908" s="37">
        <f>IF($A908="","",IFERROR(MAX(0,$H908-$G908),0))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$C909*INDEX(tblKurallar[deger_2025],MATCH("SGK-001",tblKurallar[kural_id],0))+$D909*INDEX(tblKurallar[deger_2025],MATCH("SGK-002",tblKurallar[kural_id],0))+$E909*INDEX(tblKurallar[deger_2025],MATCH("SGK-004",tblKurallar[kural_id],0))+$F909*sgk_isverenOran,2),0))</f>
        <v/>
      </c>
      <c r="I909" s="37">
        <f>IF($A909="","",IFERROR(MAX(0,$H909-$G909),0))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$C910*INDEX(tblKurallar[deger_2025],MATCH("SGK-001",tblKurallar[kural_id],0))+$D910*INDEX(tblKurallar[deger_2025],MATCH("SGK-002",tblKurallar[kural_id],0))+$E910*INDEX(tblKurallar[deger_2025],MATCH("SGK-004",tblKurallar[kural_id],0))+$F910*sgk_isverenOran,2),0))</f>
        <v/>
      </c>
      <c r="I910" s="37">
        <f>IF($A910="","",IFERROR(MAX(0,$H910-$G910),0))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$C911*INDEX(tblKurallar[deger_2025],MATCH("SGK-001",tblKurallar[kural_id],0))+$D911*INDEX(tblKurallar[deger_2025],MATCH("SGK-002",tblKurallar[kural_id],0))+$E911*INDEX(tblKurallar[deger_2025],MATCH("SGK-004",tblKurallar[kural_id],0))+$F911*sgk_isverenOran,2),0))</f>
        <v/>
      </c>
      <c r="I911" s="37">
        <f>IF($A911="","",IFERROR(MAX(0,$H911-$G911),0))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$C912*INDEX(tblKurallar[deger_2025],MATCH("SGK-001",tblKurallar[kural_id],0))+$D912*INDEX(tblKurallar[deger_2025],MATCH("SGK-002",tblKurallar[kural_id],0))+$E912*INDEX(tblKurallar[deger_2025],MATCH("SGK-004",tblKurallar[kural_id],0))+$F912*sgk_isverenOran,2),0))</f>
        <v/>
      </c>
      <c r="I912" s="37">
        <f>IF($A912="","",IFERROR(MAX(0,$H912-$G912),0))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$C913*INDEX(tblKurallar[deger_2025],MATCH("SGK-001",tblKurallar[kural_id],0))+$D913*INDEX(tblKurallar[deger_2025],MATCH("SGK-002",tblKurallar[kural_id],0))+$E913*INDEX(tblKurallar[deger_2025],MATCH("SGK-004",tblKurallar[kural_id],0))+$F913*sgk_isverenOran,2),0))</f>
        <v/>
      </c>
      <c r="I913" s="37">
        <f>IF($A913="","",IFERROR(MAX(0,$H913-$G913),0))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$C914*INDEX(tblKurallar[deger_2025],MATCH("SGK-001",tblKurallar[kural_id],0))+$D914*INDEX(tblKurallar[deger_2025],MATCH("SGK-002",tblKurallar[kural_id],0))+$E914*INDEX(tblKurallar[deger_2025],MATCH("SGK-004",tblKurallar[kural_id],0))+$F914*sgk_isverenOran,2),0))</f>
        <v/>
      </c>
      <c r="I914" s="37">
        <f>IF($A914="","",IFERROR(MAX(0,$H914-$G914),0))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$C915*INDEX(tblKurallar[deger_2025],MATCH("SGK-001",tblKurallar[kural_id],0))+$D915*INDEX(tblKurallar[deger_2025],MATCH("SGK-002",tblKurallar[kural_id],0))+$E915*INDEX(tblKurallar[deger_2025],MATCH("SGK-004",tblKurallar[kural_id],0))+$F915*sgk_isverenOran,2),0))</f>
        <v/>
      </c>
      <c r="I915" s="37">
        <f>IF($A915="","",IFERROR(MAX(0,$H915-$G915),0))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$C916*INDEX(tblKurallar[deger_2025],MATCH("SGK-001",tblKurallar[kural_id],0))+$D916*INDEX(tblKurallar[deger_2025],MATCH("SGK-002",tblKurallar[kural_id],0))+$E916*INDEX(tblKurallar[deger_2025],MATCH("SGK-004",tblKurallar[kural_id],0))+$F916*sgk_isverenOran,2),0))</f>
        <v/>
      </c>
      <c r="I916" s="37">
        <f>IF($A916="","",IFERROR(MAX(0,$H916-$G916),0))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$C917*INDEX(tblKurallar[deger_2025],MATCH("SGK-001",tblKurallar[kural_id],0))+$D917*INDEX(tblKurallar[deger_2025],MATCH("SGK-002",tblKurallar[kural_id],0))+$E917*INDEX(tblKurallar[deger_2025],MATCH("SGK-004",tblKurallar[kural_id],0))+$F917*sgk_isverenOran,2),0))</f>
        <v/>
      </c>
      <c r="I917" s="37">
        <f>IF($A917="","",IFERROR(MAX(0,$H917-$G917),0))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$C918*INDEX(tblKurallar[deger_2025],MATCH("SGK-001",tblKurallar[kural_id],0))+$D918*INDEX(tblKurallar[deger_2025],MATCH("SGK-002",tblKurallar[kural_id],0))+$E918*INDEX(tblKurallar[deger_2025],MATCH("SGK-004",tblKurallar[kural_id],0))+$F918*sgk_isverenOran,2),0))</f>
        <v/>
      </c>
      <c r="I918" s="37">
        <f>IF($A918="","",IFERROR(MAX(0,$H918-$G918),0))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$C919*INDEX(tblKurallar[deger_2025],MATCH("SGK-001",tblKurallar[kural_id],0))+$D919*INDEX(tblKurallar[deger_2025],MATCH("SGK-002",tblKurallar[kural_id],0))+$E919*INDEX(tblKurallar[deger_2025],MATCH("SGK-004",tblKurallar[kural_id],0))+$F919*sgk_isverenOran,2),0))</f>
        <v/>
      </c>
      <c r="I919" s="37">
        <f>IF($A919="","",IFERROR(MAX(0,$H919-$G919),0))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$C920*INDEX(tblKurallar[deger_2025],MATCH("SGK-001",tblKurallar[kural_id],0))+$D920*INDEX(tblKurallar[deger_2025],MATCH("SGK-002",tblKurallar[kural_id],0))+$E920*INDEX(tblKurallar[deger_2025],MATCH("SGK-004",tblKurallar[kural_id],0))+$F920*sgk_isverenOran,2),0))</f>
        <v/>
      </c>
      <c r="I920" s="37">
        <f>IF($A920="","",IFERROR(MAX(0,$H920-$G920),0))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$C921*INDEX(tblKurallar[deger_2025],MATCH("SGK-001",tblKurallar[kural_id],0))+$D921*INDEX(tblKurallar[deger_2025],MATCH("SGK-002",tblKurallar[kural_id],0))+$E921*INDEX(tblKurallar[deger_2025],MATCH("SGK-004",tblKurallar[kural_id],0))+$F921*sgk_isverenOran,2),0))</f>
        <v/>
      </c>
      <c r="I921" s="37">
        <f>IF($A921="","",IFERROR(MAX(0,$H921-$G921),0))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$C922*INDEX(tblKurallar[deger_2025],MATCH("SGK-001",tblKurallar[kural_id],0))+$D922*INDEX(tblKurallar[deger_2025],MATCH("SGK-002",tblKurallar[kural_id],0))+$E922*INDEX(tblKurallar[deger_2025],MATCH("SGK-004",tblKurallar[kural_id],0))+$F922*sgk_isverenOran,2),0))</f>
        <v/>
      </c>
      <c r="I922" s="37">
        <f>IF($A922="","",IFERROR(MAX(0,$H922-$G922),0))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$C923*INDEX(tblKurallar[deger_2025],MATCH("SGK-001",tblKurallar[kural_id],0))+$D923*INDEX(tblKurallar[deger_2025],MATCH("SGK-002",tblKurallar[kural_id],0))+$E923*INDEX(tblKurallar[deger_2025],MATCH("SGK-004",tblKurallar[kural_id],0))+$F923*sgk_isverenOran,2),0))</f>
        <v/>
      </c>
      <c r="I923" s="37">
        <f>IF($A923="","",IFERROR(MAX(0,$H923-$G923),0))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$C924*INDEX(tblKurallar[deger_2025],MATCH("SGK-001",tblKurallar[kural_id],0))+$D924*INDEX(tblKurallar[deger_2025],MATCH("SGK-002",tblKurallar[kural_id],0))+$E924*INDEX(tblKurallar[deger_2025],MATCH("SGK-004",tblKurallar[kural_id],0))+$F924*sgk_isverenOran,2),0))</f>
        <v/>
      </c>
      <c r="I924" s="37">
        <f>IF($A924="","",IFERROR(MAX(0,$H924-$G924),0))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$C925*INDEX(tblKurallar[deger_2025],MATCH("SGK-001",tblKurallar[kural_id],0))+$D925*INDEX(tblKurallar[deger_2025],MATCH("SGK-002",tblKurallar[kural_id],0))+$E925*INDEX(tblKurallar[deger_2025],MATCH("SGK-004",tblKurallar[kural_id],0))+$F925*sgk_isverenOran,2),0))</f>
        <v/>
      </c>
      <c r="I925" s="37">
        <f>IF($A925="","",IFERROR(MAX(0,$H925-$G925),0))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$C926*INDEX(tblKurallar[deger_2025],MATCH("SGK-001",tblKurallar[kural_id],0))+$D926*INDEX(tblKurallar[deger_2025],MATCH("SGK-002",tblKurallar[kural_id],0))+$E926*INDEX(tblKurallar[deger_2025],MATCH("SGK-004",tblKurallar[kural_id],0))+$F926*sgk_isverenOran,2),0))</f>
        <v/>
      </c>
      <c r="I926" s="37">
        <f>IF($A926="","",IFERROR(MAX(0,$H926-$G926),0))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$C927*INDEX(tblKurallar[deger_2025],MATCH("SGK-001",tblKurallar[kural_id],0))+$D927*INDEX(tblKurallar[deger_2025],MATCH("SGK-002",tblKurallar[kural_id],0))+$E927*INDEX(tblKurallar[deger_2025],MATCH("SGK-004",tblKurallar[kural_id],0))+$F927*sgk_isverenOran,2),0))</f>
        <v/>
      </c>
      <c r="I927" s="37">
        <f>IF($A927="","",IFERROR(MAX(0,$H927-$G927),0))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$C928*INDEX(tblKurallar[deger_2025],MATCH("SGK-001",tblKurallar[kural_id],0))+$D928*INDEX(tblKurallar[deger_2025],MATCH("SGK-002",tblKurallar[kural_id],0))+$E928*INDEX(tblKurallar[deger_2025],MATCH("SGK-004",tblKurallar[kural_id],0))+$F928*sgk_isverenOran,2),0))</f>
        <v/>
      </c>
      <c r="I928" s="37">
        <f>IF($A928="","",IFERROR(MAX(0,$H928-$G928),0))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$C929*INDEX(tblKurallar[deger_2025],MATCH("SGK-001",tblKurallar[kural_id],0))+$D929*INDEX(tblKurallar[deger_2025],MATCH("SGK-002",tblKurallar[kural_id],0))+$E929*INDEX(tblKurallar[deger_2025],MATCH("SGK-004",tblKurallar[kural_id],0))+$F929*sgk_isverenOran,2),0))</f>
        <v/>
      </c>
      <c r="I929" s="37">
        <f>IF($A929="","",IFERROR(MAX(0,$H929-$G929),0))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$C930*INDEX(tblKurallar[deger_2025],MATCH("SGK-001",tblKurallar[kural_id],0))+$D930*INDEX(tblKurallar[deger_2025],MATCH("SGK-002",tblKurallar[kural_id],0))+$E930*INDEX(tblKurallar[deger_2025],MATCH("SGK-004",tblKurallar[kural_id],0))+$F930*sgk_isverenOran,2),0))</f>
        <v/>
      </c>
      <c r="I930" s="37">
        <f>IF($A930="","",IFERROR(MAX(0,$H930-$G930),0))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$C931*INDEX(tblKurallar[deger_2025],MATCH("SGK-001",tblKurallar[kural_id],0))+$D931*INDEX(tblKurallar[deger_2025],MATCH("SGK-002",tblKurallar[kural_id],0))+$E931*INDEX(tblKurallar[deger_2025],MATCH("SGK-004",tblKurallar[kural_id],0))+$F931*sgk_isverenOran,2),0))</f>
        <v/>
      </c>
      <c r="I931" s="37">
        <f>IF($A931="","",IFERROR(MAX(0,$H931-$G931),0))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$C932*INDEX(tblKurallar[deger_2025],MATCH("SGK-001",tblKurallar[kural_id],0))+$D932*INDEX(tblKurallar[deger_2025],MATCH("SGK-002",tblKurallar[kural_id],0))+$E932*INDEX(tblKurallar[deger_2025],MATCH("SGK-004",tblKurallar[kural_id],0))+$F932*sgk_isverenOran,2),0))</f>
        <v/>
      </c>
      <c r="I932" s="37">
        <f>IF($A932="","",IFERROR(MAX(0,$H932-$G932),0))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$C933*INDEX(tblKurallar[deger_2025],MATCH("SGK-001",tblKurallar[kural_id],0))+$D933*INDEX(tblKurallar[deger_2025],MATCH("SGK-002",tblKurallar[kural_id],0))+$E933*INDEX(tblKurallar[deger_2025],MATCH("SGK-004",tblKurallar[kural_id],0))+$F933*sgk_isverenOran,2),0))</f>
        <v/>
      </c>
      <c r="I933" s="37">
        <f>IF($A933="","",IFERROR(MAX(0,$H933-$G933),0))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$C934*INDEX(tblKurallar[deger_2025],MATCH("SGK-001",tblKurallar[kural_id],0))+$D934*INDEX(tblKurallar[deger_2025],MATCH("SGK-002",tblKurallar[kural_id],0))+$E934*INDEX(tblKurallar[deger_2025],MATCH("SGK-004",tblKurallar[kural_id],0))+$F934*sgk_isverenOran,2),0))</f>
        <v/>
      </c>
      <c r="I934" s="37">
        <f>IF($A934="","",IFERROR(MAX(0,$H934-$G934),0))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$C935*INDEX(tblKurallar[deger_2025],MATCH("SGK-001",tblKurallar[kural_id],0))+$D935*INDEX(tblKurallar[deger_2025],MATCH("SGK-002",tblKurallar[kural_id],0))+$E935*INDEX(tblKurallar[deger_2025],MATCH("SGK-004",tblKurallar[kural_id],0))+$F935*sgk_isverenOran,2),0))</f>
        <v/>
      </c>
      <c r="I935" s="37">
        <f>IF($A935="","",IFERROR(MAX(0,$H935-$G935),0))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$C936*INDEX(tblKurallar[deger_2025],MATCH("SGK-001",tblKurallar[kural_id],0))+$D936*INDEX(tblKurallar[deger_2025],MATCH("SGK-002",tblKurallar[kural_id],0))+$E936*INDEX(tblKurallar[deger_2025],MATCH("SGK-004",tblKurallar[kural_id],0))+$F936*sgk_isverenOran,2),0))</f>
        <v/>
      </c>
      <c r="I936" s="37">
        <f>IF($A936="","",IFERROR(MAX(0,$H936-$G936),0))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$C937*INDEX(tblKurallar[deger_2025],MATCH("SGK-001",tblKurallar[kural_id],0))+$D937*INDEX(tblKurallar[deger_2025],MATCH("SGK-002",tblKurallar[kural_id],0))+$E937*INDEX(tblKurallar[deger_2025],MATCH("SGK-004",tblKurallar[kural_id],0))+$F937*sgk_isverenOran,2),0))</f>
        <v/>
      </c>
      <c r="I937" s="37">
        <f>IF($A937="","",IFERROR(MAX(0,$H937-$G937),0))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$C938*INDEX(tblKurallar[deger_2025],MATCH("SGK-001",tblKurallar[kural_id],0))+$D938*INDEX(tblKurallar[deger_2025],MATCH("SGK-002",tblKurallar[kural_id],0))+$E938*INDEX(tblKurallar[deger_2025],MATCH("SGK-004",tblKurallar[kural_id],0))+$F938*sgk_isverenOran,2),0))</f>
        <v/>
      </c>
      <c r="I938" s="37">
        <f>IF($A938="","",IFERROR(MAX(0,$H938-$G938),0))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$C939*INDEX(tblKurallar[deger_2025],MATCH("SGK-001",tblKurallar[kural_id],0))+$D939*INDEX(tblKurallar[deger_2025],MATCH("SGK-002",tblKurallar[kural_id],0))+$E939*INDEX(tblKurallar[deger_2025],MATCH("SGK-004",tblKurallar[kural_id],0))+$F939*sgk_isverenOran,2),0))</f>
        <v/>
      </c>
      <c r="I939" s="37">
        <f>IF($A939="","",IFERROR(MAX(0,$H939-$G939),0))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$C940*INDEX(tblKurallar[deger_2025],MATCH("SGK-001",tblKurallar[kural_id],0))+$D940*INDEX(tblKurallar[deger_2025],MATCH("SGK-002",tblKurallar[kural_id],0))+$E940*INDEX(tblKurallar[deger_2025],MATCH("SGK-004",tblKurallar[kural_id],0))+$F940*sgk_isverenOran,2),0))</f>
        <v/>
      </c>
      <c r="I940" s="37">
        <f>IF($A940="","",IFERROR(MAX(0,$H940-$G940),0))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$C941*INDEX(tblKurallar[deger_2025],MATCH("SGK-001",tblKurallar[kural_id],0))+$D941*INDEX(tblKurallar[deger_2025],MATCH("SGK-002",tblKurallar[kural_id],0))+$E941*INDEX(tblKurallar[deger_2025],MATCH("SGK-004",tblKurallar[kural_id],0))+$F941*sgk_isverenOran,2),0))</f>
        <v/>
      </c>
      <c r="I941" s="37">
        <f>IF($A941="","",IFERROR(MAX(0,$H941-$G941),0))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$C942*INDEX(tblKurallar[deger_2025],MATCH("SGK-001",tblKurallar[kural_id],0))+$D942*INDEX(tblKurallar[deger_2025],MATCH("SGK-002",tblKurallar[kural_id],0))+$E942*INDEX(tblKurallar[deger_2025],MATCH("SGK-004",tblKurallar[kural_id],0))+$F942*sgk_isverenOran,2),0))</f>
        <v/>
      </c>
      <c r="I942" s="37">
        <f>IF($A942="","",IFERROR(MAX(0,$H942-$G942),0))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$C943*INDEX(tblKurallar[deger_2025],MATCH("SGK-001",tblKurallar[kural_id],0))+$D943*INDEX(tblKurallar[deger_2025],MATCH("SGK-002",tblKurallar[kural_id],0))+$E943*INDEX(tblKurallar[deger_2025],MATCH("SGK-004",tblKurallar[kural_id],0))+$F943*sgk_isverenOran,2),0))</f>
        <v/>
      </c>
      <c r="I943" s="37">
        <f>IF($A943="","",IFERROR(MAX(0,$H943-$G943),0))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$C944*INDEX(tblKurallar[deger_2025],MATCH("SGK-001",tblKurallar[kural_id],0))+$D944*INDEX(tblKurallar[deger_2025],MATCH("SGK-002",tblKurallar[kural_id],0))+$E944*INDEX(tblKurallar[deger_2025],MATCH("SGK-004",tblKurallar[kural_id],0))+$F944*sgk_isverenOran,2),0))</f>
        <v/>
      </c>
      <c r="I944" s="37">
        <f>IF($A944="","",IFERROR(MAX(0,$H944-$G944),0))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$C945*INDEX(tblKurallar[deger_2025],MATCH("SGK-001",tblKurallar[kural_id],0))+$D945*INDEX(tblKurallar[deger_2025],MATCH("SGK-002",tblKurallar[kural_id],0))+$E945*INDEX(tblKurallar[deger_2025],MATCH("SGK-004",tblKurallar[kural_id],0))+$F945*sgk_isverenOran,2),0))</f>
        <v/>
      </c>
      <c r="I945" s="37">
        <f>IF($A945="","",IFERROR(MAX(0,$H945-$G945),0))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$C946*INDEX(tblKurallar[deger_2025],MATCH("SGK-001",tblKurallar[kural_id],0))+$D946*INDEX(tblKurallar[deger_2025],MATCH("SGK-002",tblKurallar[kural_id],0))+$E946*INDEX(tblKurallar[deger_2025],MATCH("SGK-004",tblKurallar[kural_id],0))+$F946*sgk_isverenOran,2),0))</f>
        <v/>
      </c>
      <c r="I946" s="37">
        <f>IF($A946="","",IFERROR(MAX(0,$H946-$G946),0))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$C947*INDEX(tblKurallar[deger_2025],MATCH("SGK-001",tblKurallar[kural_id],0))+$D947*INDEX(tblKurallar[deger_2025],MATCH("SGK-002",tblKurallar[kural_id],0))+$E947*INDEX(tblKurallar[deger_2025],MATCH("SGK-004",tblKurallar[kural_id],0))+$F947*sgk_isverenOran,2),0))</f>
        <v/>
      </c>
      <c r="I947" s="37">
        <f>IF($A947="","",IFERROR(MAX(0,$H947-$G947),0))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$C948*INDEX(tblKurallar[deger_2025],MATCH("SGK-001",tblKurallar[kural_id],0))+$D948*INDEX(tblKurallar[deger_2025],MATCH("SGK-002",tblKurallar[kural_id],0))+$E948*INDEX(tblKurallar[deger_2025],MATCH("SGK-004",tblKurallar[kural_id],0))+$F948*sgk_isverenOran,2),0))</f>
        <v/>
      </c>
      <c r="I948" s="37">
        <f>IF($A948="","",IFERROR(MAX(0,$H948-$G948),0))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$C949*INDEX(tblKurallar[deger_2025],MATCH("SGK-001",tblKurallar[kural_id],0))+$D949*INDEX(tblKurallar[deger_2025],MATCH("SGK-002",tblKurallar[kural_id],0))+$E949*INDEX(tblKurallar[deger_2025],MATCH("SGK-004",tblKurallar[kural_id],0))+$F949*sgk_isverenOran,2),0))</f>
        <v/>
      </c>
      <c r="I949" s="37">
        <f>IF($A949="","",IFERROR(MAX(0,$H949-$G949),0))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$C950*INDEX(tblKurallar[deger_2025],MATCH("SGK-001",tblKurallar[kural_id],0))+$D950*INDEX(tblKurallar[deger_2025],MATCH("SGK-002",tblKurallar[kural_id],0))+$E950*INDEX(tblKurallar[deger_2025],MATCH("SGK-004",tblKurallar[kural_id],0))+$F950*sgk_isverenOran,2),0))</f>
        <v/>
      </c>
      <c r="I950" s="37">
        <f>IF($A950="","",IFERROR(MAX(0,$H950-$G950),0))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$C951*INDEX(tblKurallar[deger_2025],MATCH("SGK-001",tblKurallar[kural_id],0))+$D951*INDEX(tblKurallar[deger_2025],MATCH("SGK-002",tblKurallar[kural_id],0))+$E951*INDEX(tblKurallar[deger_2025],MATCH("SGK-004",tblKurallar[kural_id],0))+$F951*sgk_isverenOran,2),0))</f>
        <v/>
      </c>
      <c r="I951" s="37">
        <f>IF($A951="","",IFERROR(MAX(0,$H951-$G951),0))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$C952*INDEX(tblKurallar[deger_2025],MATCH("SGK-001",tblKurallar[kural_id],0))+$D952*INDEX(tblKurallar[deger_2025],MATCH("SGK-002",tblKurallar[kural_id],0))+$E952*INDEX(tblKurallar[deger_2025],MATCH("SGK-004",tblKurallar[kural_id],0))+$F952*sgk_isverenOran,2),0))</f>
        <v/>
      </c>
      <c r="I952" s="37">
        <f>IF($A952="","",IFERROR(MAX(0,$H952-$G952),0))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$C953*INDEX(tblKurallar[deger_2025],MATCH("SGK-001",tblKurallar[kural_id],0))+$D953*INDEX(tblKurallar[deger_2025],MATCH("SGK-002",tblKurallar[kural_id],0))+$E953*INDEX(tblKurallar[deger_2025],MATCH("SGK-004",tblKurallar[kural_id],0))+$F953*sgk_isverenOran,2),0))</f>
        <v/>
      </c>
      <c r="I953" s="37">
        <f>IF($A953="","",IFERROR(MAX(0,$H953-$G953),0))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$C954*INDEX(tblKurallar[deger_2025],MATCH("SGK-001",tblKurallar[kural_id],0))+$D954*INDEX(tblKurallar[deger_2025],MATCH("SGK-002",tblKurallar[kural_id],0))+$E954*INDEX(tblKurallar[deger_2025],MATCH("SGK-004",tblKurallar[kural_id],0))+$F954*sgk_isverenOran,2),0))</f>
        <v/>
      </c>
      <c r="I954" s="37">
        <f>IF($A954="","",IFERROR(MAX(0,$H954-$G954),0))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$C955*INDEX(tblKurallar[deger_2025],MATCH("SGK-001",tblKurallar[kural_id],0))+$D955*INDEX(tblKurallar[deger_2025],MATCH("SGK-002",tblKurallar[kural_id],0))+$E955*INDEX(tblKurallar[deger_2025],MATCH("SGK-004",tblKurallar[kural_id],0))+$F955*sgk_isverenOran,2),0))</f>
        <v/>
      </c>
      <c r="I955" s="37">
        <f>IF($A955="","",IFERROR(MAX(0,$H955-$G955),0))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$C956*INDEX(tblKurallar[deger_2025],MATCH("SGK-001",tblKurallar[kural_id],0))+$D956*INDEX(tblKurallar[deger_2025],MATCH("SGK-002",tblKurallar[kural_id],0))+$E956*INDEX(tblKurallar[deger_2025],MATCH("SGK-004",tblKurallar[kural_id],0))+$F956*sgk_isverenOran,2),0))</f>
        <v/>
      </c>
      <c r="I956" s="37">
        <f>IF($A956="","",IFERROR(MAX(0,$H956-$G956),0))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$C957*INDEX(tblKurallar[deger_2025],MATCH("SGK-001",tblKurallar[kural_id],0))+$D957*INDEX(tblKurallar[deger_2025],MATCH("SGK-002",tblKurallar[kural_id],0))+$E957*INDEX(tblKurallar[deger_2025],MATCH("SGK-004",tblKurallar[kural_id],0))+$F957*sgk_isverenOran,2),0))</f>
        <v/>
      </c>
      <c r="I957" s="37">
        <f>IF($A957="","",IFERROR(MAX(0,$H957-$G957),0))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$C958*INDEX(tblKurallar[deger_2025],MATCH("SGK-001",tblKurallar[kural_id],0))+$D958*INDEX(tblKurallar[deger_2025],MATCH("SGK-002",tblKurallar[kural_id],0))+$E958*INDEX(tblKurallar[deger_2025],MATCH("SGK-004",tblKurallar[kural_id],0))+$F958*sgk_isverenOran,2),0))</f>
        <v/>
      </c>
      <c r="I958" s="37">
        <f>IF($A958="","",IFERROR(MAX(0,$H958-$G958),0))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$C959*INDEX(tblKurallar[deger_2025],MATCH("SGK-001",tblKurallar[kural_id],0))+$D959*INDEX(tblKurallar[deger_2025],MATCH("SGK-002",tblKurallar[kural_id],0))+$E959*INDEX(tblKurallar[deger_2025],MATCH("SGK-004",tblKurallar[kural_id],0))+$F959*sgk_isverenOran,2),0))</f>
        <v/>
      </c>
      <c r="I959" s="37">
        <f>IF($A959="","",IFERROR(MAX(0,$H959-$G959),0))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$C960*INDEX(tblKurallar[deger_2025],MATCH("SGK-001",tblKurallar[kural_id],0))+$D960*INDEX(tblKurallar[deger_2025],MATCH("SGK-002",tblKurallar[kural_id],0))+$E960*INDEX(tblKurallar[deger_2025],MATCH("SGK-004",tblKurallar[kural_id],0))+$F960*sgk_isverenOran,2),0))</f>
        <v/>
      </c>
      <c r="I960" s="37">
        <f>IF($A960="","",IFERROR(MAX(0,$H960-$G960),0))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$C961*INDEX(tblKurallar[deger_2025],MATCH("SGK-001",tblKurallar[kural_id],0))+$D961*INDEX(tblKurallar[deger_2025],MATCH("SGK-002",tblKurallar[kural_id],0))+$E961*INDEX(tblKurallar[deger_2025],MATCH("SGK-004",tblKurallar[kural_id],0))+$F961*sgk_isverenOran,2),0))</f>
        <v/>
      </c>
      <c r="I961" s="37">
        <f>IF($A961="","",IFERROR(MAX(0,$H961-$G961),0))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$C962*INDEX(tblKurallar[deger_2025],MATCH("SGK-001",tblKurallar[kural_id],0))+$D962*INDEX(tblKurallar[deger_2025],MATCH("SGK-002",tblKurallar[kural_id],0))+$E962*INDEX(tblKurallar[deger_2025],MATCH("SGK-004",tblKurallar[kural_id],0))+$F962*sgk_isverenOran,2),0))</f>
        <v/>
      </c>
      <c r="I962" s="37">
        <f>IF($A962="","",IFERROR(MAX(0,$H962-$G962),0))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$C963*INDEX(tblKurallar[deger_2025],MATCH("SGK-001",tblKurallar[kural_id],0))+$D963*INDEX(tblKurallar[deger_2025],MATCH("SGK-002",tblKurallar[kural_id],0))+$E963*INDEX(tblKurallar[deger_2025],MATCH("SGK-004",tblKurallar[kural_id],0))+$F963*sgk_isverenOran,2),0))</f>
        <v/>
      </c>
      <c r="I963" s="37">
        <f>IF($A963="","",IFERROR(MAX(0,$H963-$G963),0))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$C964*INDEX(tblKurallar[deger_2025],MATCH("SGK-001",tblKurallar[kural_id],0))+$D964*INDEX(tblKurallar[deger_2025],MATCH("SGK-002",tblKurallar[kural_id],0))+$E964*INDEX(tblKurallar[deger_2025],MATCH("SGK-004",tblKurallar[kural_id],0))+$F964*sgk_isverenOran,2),0))</f>
        <v/>
      </c>
      <c r="I964" s="37">
        <f>IF($A964="","",IFERROR(MAX(0,$H964-$G964),0))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$C965*INDEX(tblKurallar[deger_2025],MATCH("SGK-001",tblKurallar[kural_id],0))+$D965*INDEX(tblKurallar[deger_2025],MATCH("SGK-002",tblKurallar[kural_id],0))+$E965*INDEX(tblKurallar[deger_2025],MATCH("SGK-004",tblKurallar[kural_id],0))+$F965*sgk_isverenOran,2),0))</f>
        <v/>
      </c>
      <c r="I965" s="37">
        <f>IF($A965="","",IFERROR(MAX(0,$H965-$G965),0))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$C966*INDEX(tblKurallar[deger_2025],MATCH("SGK-001",tblKurallar[kural_id],0))+$D966*INDEX(tblKurallar[deger_2025],MATCH("SGK-002",tblKurallar[kural_id],0))+$E966*INDEX(tblKurallar[deger_2025],MATCH("SGK-004",tblKurallar[kural_id],0))+$F966*sgk_isverenOran,2),0))</f>
        <v/>
      </c>
      <c r="I966" s="37">
        <f>IF($A966="","",IFERROR(MAX(0,$H966-$G966),0))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$C967*INDEX(tblKurallar[deger_2025],MATCH("SGK-001",tblKurallar[kural_id],0))+$D967*INDEX(tblKurallar[deger_2025],MATCH("SGK-002",tblKurallar[kural_id],0))+$E967*INDEX(tblKurallar[deger_2025],MATCH("SGK-004",tblKurallar[kural_id],0))+$F967*sgk_isverenOran,2),0))</f>
        <v/>
      </c>
      <c r="I967" s="37">
        <f>IF($A967="","",IFERROR(MAX(0,$H967-$G967),0))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$C968*INDEX(tblKurallar[deger_2025],MATCH("SGK-001",tblKurallar[kural_id],0))+$D968*INDEX(tblKurallar[deger_2025],MATCH("SGK-002",tblKurallar[kural_id],0))+$E968*INDEX(tblKurallar[deger_2025],MATCH("SGK-004",tblKurallar[kural_id],0))+$F968*sgk_isverenOran,2),0))</f>
        <v/>
      </c>
      <c r="I968" s="37">
        <f>IF($A968="","",IFERROR(MAX(0,$H968-$G968),0))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$C969*INDEX(tblKurallar[deger_2025],MATCH("SGK-001",tblKurallar[kural_id],0))+$D969*INDEX(tblKurallar[deger_2025],MATCH("SGK-002",tblKurallar[kural_id],0))+$E969*INDEX(tblKurallar[deger_2025],MATCH("SGK-004",tblKurallar[kural_id],0))+$F969*sgk_isverenOran,2),0))</f>
        <v/>
      </c>
      <c r="I969" s="37">
        <f>IF($A969="","",IFERROR(MAX(0,$H969-$G969),0))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$C970*INDEX(tblKurallar[deger_2025],MATCH("SGK-001",tblKurallar[kural_id],0))+$D970*INDEX(tblKurallar[deger_2025],MATCH("SGK-002",tblKurallar[kural_id],0))+$E970*INDEX(tblKurallar[deger_2025],MATCH("SGK-004",tblKurallar[kural_id],0))+$F970*sgk_isverenOran,2),0))</f>
        <v/>
      </c>
      <c r="I970" s="37">
        <f>IF($A970="","",IFERROR(MAX(0,$H970-$G970),0))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$C971*INDEX(tblKurallar[deger_2025],MATCH("SGK-001",tblKurallar[kural_id],0))+$D971*INDEX(tblKurallar[deger_2025],MATCH("SGK-002",tblKurallar[kural_id],0))+$E971*INDEX(tblKurallar[deger_2025],MATCH("SGK-004",tblKurallar[kural_id],0))+$F971*sgk_isverenOran,2),0))</f>
        <v/>
      </c>
      <c r="I971" s="37">
        <f>IF($A971="","",IFERROR(MAX(0,$H971-$G971),0))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$C972*INDEX(tblKurallar[deger_2025],MATCH("SGK-001",tblKurallar[kural_id],0))+$D972*INDEX(tblKurallar[deger_2025],MATCH("SGK-002",tblKurallar[kural_id],0))+$E972*INDEX(tblKurallar[deger_2025],MATCH("SGK-004",tblKurallar[kural_id],0))+$F972*sgk_isverenOran,2),0))</f>
        <v/>
      </c>
      <c r="I972" s="37">
        <f>IF($A972="","",IFERROR(MAX(0,$H972-$G972),0))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$C973*INDEX(tblKurallar[deger_2025],MATCH("SGK-001",tblKurallar[kural_id],0))+$D973*INDEX(tblKurallar[deger_2025],MATCH("SGK-002",tblKurallar[kural_id],0))+$E973*INDEX(tblKurallar[deger_2025],MATCH("SGK-004",tblKurallar[kural_id],0))+$F973*sgk_isverenOran,2),0))</f>
        <v/>
      </c>
      <c r="I973" s="37">
        <f>IF($A973="","",IFERROR(MAX(0,$H973-$G973),0))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$C974*INDEX(tblKurallar[deger_2025],MATCH("SGK-001",tblKurallar[kural_id],0))+$D974*INDEX(tblKurallar[deger_2025],MATCH("SGK-002",tblKurallar[kural_id],0))+$E974*INDEX(tblKurallar[deger_2025],MATCH("SGK-004",tblKurallar[kural_id],0))+$F974*sgk_isverenOran,2),0))</f>
        <v/>
      </c>
      <c r="I974" s="37">
        <f>IF($A974="","",IFERROR(MAX(0,$H974-$G974),0))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$C975*INDEX(tblKurallar[deger_2025],MATCH("SGK-001",tblKurallar[kural_id],0))+$D975*INDEX(tblKurallar[deger_2025],MATCH("SGK-002",tblKurallar[kural_id],0))+$E975*INDEX(tblKurallar[deger_2025],MATCH("SGK-004",tblKurallar[kural_id],0))+$F975*sgk_isverenOran,2),0))</f>
        <v/>
      </c>
      <c r="I975" s="37">
        <f>IF($A975="","",IFERROR(MAX(0,$H975-$G975),0))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$C976*INDEX(tblKurallar[deger_2025],MATCH("SGK-001",tblKurallar[kural_id],0))+$D976*INDEX(tblKurallar[deger_2025],MATCH("SGK-002",tblKurallar[kural_id],0))+$E976*INDEX(tblKurallar[deger_2025],MATCH("SGK-004",tblKurallar[kural_id],0))+$F976*sgk_isverenOran,2),0))</f>
        <v/>
      </c>
      <c r="I976" s="37">
        <f>IF($A976="","",IFERROR(MAX(0,$H976-$G976),0))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$C977*INDEX(tblKurallar[deger_2025],MATCH("SGK-001",tblKurallar[kural_id],0))+$D977*INDEX(tblKurallar[deger_2025],MATCH("SGK-002",tblKurallar[kural_id],0))+$E977*INDEX(tblKurallar[deger_2025],MATCH("SGK-004",tblKurallar[kural_id],0))+$F977*sgk_isverenOran,2),0))</f>
        <v/>
      </c>
      <c r="I977" s="37">
        <f>IF($A977="","",IFERROR(MAX(0,$H977-$G977),0))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$C978*INDEX(tblKurallar[deger_2025],MATCH("SGK-001",tblKurallar[kural_id],0))+$D978*INDEX(tblKurallar[deger_2025],MATCH("SGK-002",tblKurallar[kural_id],0))+$E978*INDEX(tblKurallar[deger_2025],MATCH("SGK-004",tblKurallar[kural_id],0))+$F978*sgk_isverenOran,2),0))</f>
        <v/>
      </c>
      <c r="I978" s="37">
        <f>IF($A978="","",IFERROR(MAX(0,$H978-$G978),0))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$C979*INDEX(tblKurallar[deger_2025],MATCH("SGK-001",tblKurallar[kural_id],0))+$D979*INDEX(tblKurallar[deger_2025],MATCH("SGK-002",tblKurallar[kural_id],0))+$E979*INDEX(tblKurallar[deger_2025],MATCH("SGK-004",tblKurallar[kural_id],0))+$F979*sgk_isverenOran,2),0))</f>
        <v/>
      </c>
      <c r="I979" s="37">
        <f>IF($A979="","",IFERROR(MAX(0,$H979-$G979),0))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$C980*INDEX(tblKurallar[deger_2025],MATCH("SGK-001",tblKurallar[kural_id],0))+$D980*INDEX(tblKurallar[deger_2025],MATCH("SGK-002",tblKurallar[kural_id],0))+$E980*INDEX(tblKurallar[deger_2025],MATCH("SGK-004",tblKurallar[kural_id],0))+$F980*sgk_isverenOran,2),0))</f>
        <v/>
      </c>
      <c r="I980" s="37">
        <f>IF($A980="","",IFERROR(MAX(0,$H980-$G980),0))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$C981*INDEX(tblKurallar[deger_2025],MATCH("SGK-001",tblKurallar[kural_id],0))+$D981*INDEX(tblKurallar[deger_2025],MATCH("SGK-002",tblKurallar[kural_id],0))+$E981*INDEX(tblKurallar[deger_2025],MATCH("SGK-004",tblKurallar[kural_id],0))+$F981*sgk_isverenOran,2),0))</f>
        <v/>
      </c>
      <c r="I981" s="37">
        <f>IF($A981="","",IFERROR(MAX(0,$H981-$G981),0))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$C982*INDEX(tblKurallar[deger_2025],MATCH("SGK-001",tblKurallar[kural_id],0))+$D982*INDEX(tblKurallar[deger_2025],MATCH("SGK-002",tblKurallar[kural_id],0))+$E982*INDEX(tblKurallar[deger_2025],MATCH("SGK-004",tblKurallar[kural_id],0))+$F982*sgk_isverenOran,2),0))</f>
        <v/>
      </c>
      <c r="I982" s="37">
        <f>IF($A982="","",IFERROR(MAX(0,$H982-$G982),0))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$C983*INDEX(tblKurallar[deger_2025],MATCH("SGK-001",tblKurallar[kural_id],0))+$D983*INDEX(tblKurallar[deger_2025],MATCH("SGK-002",tblKurallar[kural_id],0))+$E983*INDEX(tblKurallar[deger_2025],MATCH("SGK-004",tblKurallar[kural_id],0))+$F983*sgk_isverenOran,2),0))</f>
        <v/>
      </c>
      <c r="I983" s="37">
        <f>IF($A983="","",IFERROR(MAX(0,$H983-$G983),0))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$C984*INDEX(tblKurallar[deger_2025],MATCH("SGK-001",tblKurallar[kural_id],0))+$D984*INDEX(tblKurallar[deger_2025],MATCH("SGK-002",tblKurallar[kural_id],0))+$E984*INDEX(tblKurallar[deger_2025],MATCH("SGK-004",tblKurallar[kural_id],0))+$F984*sgk_isverenOran,2),0))</f>
        <v/>
      </c>
      <c r="I984" s="37">
        <f>IF($A984="","",IFERROR(MAX(0,$H984-$G984),0))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$C985*INDEX(tblKurallar[deger_2025],MATCH("SGK-001",tblKurallar[kural_id],0))+$D985*INDEX(tblKurallar[deger_2025],MATCH("SGK-002",tblKurallar[kural_id],0))+$E985*INDEX(tblKurallar[deger_2025],MATCH("SGK-004",tblKurallar[kural_id],0))+$F985*sgk_isverenOran,2),0))</f>
        <v/>
      </c>
      <c r="I985" s="37">
        <f>IF($A985="","",IFERROR(MAX(0,$H985-$G985),0))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$C986*INDEX(tblKurallar[deger_2025],MATCH("SGK-001",tblKurallar[kural_id],0))+$D986*INDEX(tblKurallar[deger_2025],MATCH("SGK-002",tblKurallar[kural_id],0))+$E986*INDEX(tblKurallar[deger_2025],MATCH("SGK-004",tblKurallar[kural_id],0))+$F986*sgk_isverenOran,2),0))</f>
        <v/>
      </c>
      <c r="I986" s="37">
        <f>IF($A986="","",IFERROR(MAX(0,$H986-$G986),0))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$C987*INDEX(tblKurallar[deger_2025],MATCH("SGK-001",tblKurallar[kural_id],0))+$D987*INDEX(tblKurallar[deger_2025],MATCH("SGK-002",tblKurallar[kural_id],0))+$E987*INDEX(tblKurallar[deger_2025],MATCH("SGK-004",tblKurallar[kural_id],0))+$F987*sgk_isverenOran,2),0))</f>
        <v/>
      </c>
      <c r="I987" s="37">
        <f>IF($A987="","",IFERROR(MAX(0,$H987-$G987),0))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$C988*INDEX(tblKurallar[deger_2025],MATCH("SGK-001",tblKurallar[kural_id],0))+$D988*INDEX(tblKurallar[deger_2025],MATCH("SGK-002",tblKurallar[kural_id],0))+$E988*INDEX(tblKurallar[deger_2025],MATCH("SGK-004",tblKurallar[kural_id],0))+$F988*sgk_isverenOran,2),0))</f>
        <v/>
      </c>
      <c r="I988" s="37">
        <f>IF($A988="","",IFERROR(MAX(0,$H988-$G988),0))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$C989*INDEX(tblKurallar[deger_2025],MATCH("SGK-001",tblKurallar[kural_id],0))+$D989*INDEX(tblKurallar[deger_2025],MATCH("SGK-002",tblKurallar[kural_id],0))+$E989*INDEX(tblKurallar[deger_2025],MATCH("SGK-004",tblKurallar[kural_id],0))+$F989*sgk_isverenOran,2),0))</f>
        <v/>
      </c>
      <c r="I989" s="37">
        <f>IF($A989="","",IFERROR(MAX(0,$H989-$G989),0))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$C990*INDEX(tblKurallar[deger_2025],MATCH("SGK-001",tblKurallar[kural_id],0))+$D990*INDEX(tblKurallar[deger_2025],MATCH("SGK-002",tblKurallar[kural_id],0))+$E990*INDEX(tblKurallar[deger_2025],MATCH("SGK-004",tblKurallar[kural_id],0))+$F990*sgk_isverenOran,2),0))</f>
        <v/>
      </c>
      <c r="I990" s="37">
        <f>IF($A990="","",IFERROR(MAX(0,$H990-$G990),0))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$C991*INDEX(tblKurallar[deger_2025],MATCH("SGK-001",tblKurallar[kural_id],0))+$D991*INDEX(tblKurallar[deger_2025],MATCH("SGK-002",tblKurallar[kural_id],0))+$E991*INDEX(tblKurallar[deger_2025],MATCH("SGK-004",tblKurallar[kural_id],0))+$F991*sgk_isverenOran,2),0))</f>
        <v/>
      </c>
      <c r="I991" s="37">
        <f>IF($A991="","",IFERROR(MAX(0,$H991-$G991),0))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$C992*INDEX(tblKurallar[deger_2025],MATCH("SGK-001",tblKurallar[kural_id],0))+$D992*INDEX(tblKurallar[deger_2025],MATCH("SGK-002",tblKurallar[kural_id],0))+$E992*INDEX(tblKurallar[deger_2025],MATCH("SGK-004",tblKurallar[kural_id],0))+$F992*sgk_isverenOran,2),0))</f>
        <v/>
      </c>
      <c r="I992" s="37">
        <f>IF($A992="","",IFERROR(MAX(0,$H992-$G992),0))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$C993*INDEX(tblKurallar[deger_2025],MATCH("SGK-001",tblKurallar[kural_id],0))+$D993*INDEX(tblKurallar[deger_2025],MATCH("SGK-002",tblKurallar[kural_id],0))+$E993*INDEX(tblKurallar[deger_2025],MATCH("SGK-004",tblKurallar[kural_id],0))+$F993*sgk_isverenOran,2),0))</f>
        <v/>
      </c>
      <c r="I993" s="37">
        <f>IF($A993="","",IFERROR(MAX(0,$H993-$G993),0))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$C994*INDEX(tblKurallar[deger_2025],MATCH("SGK-001",tblKurallar[kural_id],0))+$D994*INDEX(tblKurallar[deger_2025],MATCH("SGK-002",tblKurallar[kural_id],0))+$E994*INDEX(tblKurallar[deger_2025],MATCH("SGK-004",tblKurallar[kural_id],0))+$F994*sgk_isverenOran,2),0))</f>
        <v/>
      </c>
      <c r="I994" s="37">
        <f>IF($A994="","",IFERROR(MAX(0,$H994-$G994),0))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$C995*INDEX(tblKurallar[deger_2025],MATCH("SGK-001",tblKurallar[kural_id],0))+$D995*INDEX(tblKurallar[deger_2025],MATCH("SGK-002",tblKurallar[kural_id],0))+$E995*INDEX(tblKurallar[deger_2025],MATCH("SGK-004",tblKurallar[kural_id],0))+$F995*sgk_isverenOran,2),0))</f>
        <v/>
      </c>
      <c r="I995" s="37">
        <f>IF($A995="","",IFERROR(MAX(0,$H995-$G995),0))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$C996*INDEX(tblKurallar[deger_2025],MATCH("SGK-001",tblKurallar[kural_id],0))+$D996*INDEX(tblKurallar[deger_2025],MATCH("SGK-002",tblKurallar[kural_id],0))+$E996*INDEX(tblKurallar[deger_2025],MATCH("SGK-004",tblKurallar[kural_id],0))+$F996*sgk_isverenOran,2),0))</f>
        <v/>
      </c>
      <c r="I996" s="37">
        <f>IF($A996="","",IFERROR(MAX(0,$H996-$G996),0))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$C997*INDEX(tblKurallar[deger_2025],MATCH("SGK-001",tblKurallar[kural_id],0))+$D997*INDEX(tblKurallar[deger_2025],MATCH("SGK-002",tblKurallar[kural_id],0))+$E997*INDEX(tblKurallar[deger_2025],MATCH("SGK-004",tblKurallar[kural_id],0))+$F997*sgk_isverenOran,2),0))</f>
        <v/>
      </c>
      <c r="I997" s="37">
        <f>IF($A997="","",IFERROR(MAX(0,$H997-$G997),0))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$C998*INDEX(tblKurallar[deger_2025],MATCH("SGK-001",tblKurallar[kural_id],0))+$D998*INDEX(tblKurallar[deger_2025],MATCH("SGK-002",tblKurallar[kural_id],0))+$E998*INDEX(tblKurallar[deger_2025],MATCH("SGK-004",tblKurallar[kural_id],0))+$F998*sgk_isverenOran,2),0))</f>
        <v/>
      </c>
      <c r="I998" s="37">
        <f>IF($A998="","",IFERROR(MAX(0,$H998-$G998),0))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$C999*INDEX(tblKurallar[deger_2025],MATCH("SGK-001",tblKurallar[kural_id],0))+$D999*INDEX(tblKurallar[deger_2025],MATCH("SGK-002",tblKurallar[kural_id],0))+$E999*INDEX(tblKurallar[deger_2025],MATCH("SGK-004",tblKurallar[kural_id],0))+$F999*sgk_isverenOran,2),0))</f>
        <v/>
      </c>
      <c r="I999" s="37">
        <f>IF($A999="","",IFERROR(MAX(0,$H999-$G999),0))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$C1000*INDEX(tblKurallar[deger_2025],MATCH("SGK-001",tblKurallar[kural_id],0))+$D1000*INDEX(tblKurallar[deger_2025],MATCH("SGK-002",tblKurallar[kural_id],0))+$E1000*INDEX(tblKurallar[deger_2025],MATCH("SGK-004",tblKurallar[kural_id],0))+$F1000*sgk_isverenOran,2),0))</f>
        <v/>
      </c>
      <c r="I1000" s="37">
        <f>IF($A1000="","",IFERROR(MAX(0,$H1000-$G1000),0))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$C1001*INDEX(tblKurallar[deger_2025],MATCH("SGK-001",tblKurallar[kural_id],0))+$D1001*INDEX(tblKurallar[deger_2025],MATCH("SGK-002",tblKurallar[kural_id],0))+$E1001*INDEX(tblKurallar[deger_2025],MATCH("SGK-004",tblKurallar[kural_id],0))+$F1001*sgk_isverenOran,2),0))</f>
        <v/>
      </c>
      <c r="I1001" s="37">
        <f>IF($A1001="","",IFERROR(MAX(0,$H1001-$G1001),0))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$C1002*INDEX(tblKurallar[deger_2025],MATCH("SGK-001",tblKurallar[kural_id],0))+$D1002*INDEX(tblKurallar[deger_2025],MATCH("SGK-002",tblKurallar[kural_id],0))+$E1002*INDEX(tblKurallar[deger_2025],MATCH("SGK-004",tblKurallar[kural_id],0))+$F1002*sgk_isverenOran,2),0))</f>
        <v/>
      </c>
      <c r="I1002" s="37">
        <f>IF($A1002="","",IFERROR(MAX(0,$H1002-$G1002),0))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$C1003*INDEX(tblKurallar[deger_2025],MATCH("SGK-001",tblKurallar[kural_id],0))+$D1003*INDEX(tblKurallar[deger_2025],MATCH("SGK-002",tblKurallar[kural_id],0))+$E1003*INDEX(tblKurallar[deger_2025],MATCH("SGK-004",tblKurallar[kural_id],0))+$F1003*sgk_isverenOran,2),0))</f>
        <v/>
      </c>
      <c r="I1003" s="37">
        <f>IF($A1003="","",IFERROR(MAX(0,$H1003-$G1003),0))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$C1004*INDEX(tblKurallar[deger_2025],MATCH("SGK-001",tblKurallar[kural_id],0))+$D1004*INDEX(tblKurallar[deger_2025],MATCH("SGK-002",tblKurallar[kural_id],0))+$E1004*INDEX(tblKurallar[deger_2025],MATCH("SGK-004",tblKurallar[kural_id],0))+$F1004*sgk_isverenOran,2),0))</f>
        <v/>
      </c>
      <c r="I1004" s="37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SGK Prim Teşvikleri Optimizasyon Motoru</t>
        </is>
      </c>
    </row>
    <row r="3">
      <c r="A3" s="10" t="inlineStr">
        <is>
          <t>Doğrulama listeleri</t>
        </is>
      </c>
    </row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SGK Prim Teşvikleri Optimizasyon Motoru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sgk_tolerans</t>
        </is>
      </c>
      <c r="B8" s="4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sgk_kacirilanEsik</t>
        </is>
      </c>
      <c r="B9" s="4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sgk_senaryoIyi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sgk_senaryoKotu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sgk_oranArtisPuan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sgk_tahminAlt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sgk_tahminUst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sgk_tornadoMatrah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sgk_tornadoMevcut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sgk_isverenOran</t>
        </is>
      </c>
      <c r="B17" s="43" t="n">
        <v>0.205</v>
      </c>
      <c r="C17" s="7" t="inlineStr">
        <is>
          <t>oran</t>
        </is>
      </c>
      <c r="D17" s="7" t="inlineStr">
        <is>
          <t>İşveren SGK payı (engelli)</t>
        </is>
      </c>
      <c r="E17" s="7" t="inlineStr">
        <is>
          <t>5510 s.K.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sgk_yuzdelikOran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sgk_parmakIzi</t>
        </is>
      </c>
      <c r="B19" s="65" t="inlineStr">
        <is>
          <t>1c2390061c8d81f9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sgk_girisBeklenen</t>
        </is>
      </c>
      <c r="B21" s="45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sgk_riskDusuk</t>
        </is>
      </c>
      <c r="B22" s="45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sgk_riskOrta</t>
        </is>
      </c>
      <c r="B23" s="45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sgk_riskYuksek</t>
        </is>
      </c>
      <c r="B24" s="45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sgk_riskEsikOran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sgk_yilTaban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sgk_yuvarMax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vaka_matrah_1</t>
        </is>
      </c>
      <c r="B28" s="44" t="n">
        <v>300000</v>
      </c>
      <c r="C28" s="7" t="inlineStr">
        <is>
          <t>TL</t>
        </is>
      </c>
      <c r="D28" s="7" t="inlineStr">
        <is>
          <t>Vaka1 5 puan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vaka_matrah_2</t>
        </is>
      </c>
      <c r="B29" s="44" t="n">
        <v>100000</v>
      </c>
      <c r="C29" s="7" t="inlineStr">
        <is>
          <t>TL</t>
        </is>
      </c>
      <c r="D29" s="7" t="inlineStr">
        <is>
          <t>Vaka2 ilave matrah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vaka_tavan</t>
        </is>
      </c>
      <c r="B30" s="44" t="n">
        <v>150000</v>
      </c>
      <c r="C30" s="7" t="inlineStr">
        <is>
          <t>TL</t>
        </is>
      </c>
      <c r="D30" s="7" t="inlineStr">
        <is>
          <t>Vaka4 tavan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2">
      <c r="B32" s="66" t="inlineStr">
        <is>
          <t>Parametre satırları yukarıda; ad tanımları B kolonuna bağlı.</t>
        </is>
      </c>
    </row>
    <row r="34">
      <c r="B34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SGK Prim Teşvikleri Optimizasyon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/ TEŞVİK TAM — mevcut teşvik ≥ potansiyel (kaçırılan = 0).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OPTİMİZE ET / DİKKAT — kaçırılan ≥ eşik; bordro teşvik kodlarını optimize edin.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6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Aynı dönemde yalnızca en yüksek tek teşvik kalemi alınır.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2026-08-10T21:35:33Z</dcterms:created>
  <dcterms:modified xmlns:dcterms="http://purl.org/dc/terms/" xmlns:xsi="http://www.w3.org/2001/XMLSchema-instance" xsi:type="dcterms:W3CDTF">2026-09-25T14:23:37Z</dcterms:modified>
</cp:coreProperties>
</file>