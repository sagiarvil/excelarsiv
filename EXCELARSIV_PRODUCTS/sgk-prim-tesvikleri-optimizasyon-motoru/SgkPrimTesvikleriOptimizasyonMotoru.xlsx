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sgk_mevcutTesvik">GIRDI!$B$15</definedName>
    <definedName name="sgk_potansiyelTasarruf">MOTOR!$G$28</definedName>
    <definedName name="sgk_kacirilan">MOTOR!$G$30</definedName>
    <definedName name="sgk_kararMetni">MOTOR!$G$34</definedName>
    <definedName name="sgk_kararGerekce">MOTOR!$G$35</definedName>
    <definedName name="sgk_maddeAtifMetni">MOTOR!$G$52</definedName>
    <definedName name="sgk_kanitRaporu">MOTOR!$G$53</definedName>
    <definedName name="sgk_kuralYilMatris">KURALLAR!$B$17</definedName>
    <definedName name="sgk_parmakIzi">AYARLAR!$B$19</definedName>
    <definedName name="sgk_senaryoKarsilastirma">SENARYO!$B$11</definedName>
    <definedName name="sgk_yorumSenaryo">SENARYO!$B$12</definedName>
    <definedName name="sgk_duyarlilikSira">SENARYO!$B$19</definedName>
    <definedName name="sgk_yorumDuyarlilik">SENARYO!$B$20</definedName>
    <definedName name="sgk_kuralDegisimSenaryo">SENARYO!$B$22</definedName>
    <definedName name="sgk_yorumKuralDegisim">SENARYO!$B$23</definedName>
    <definedName name="sgk_tahminAralik">SENARYO!$B$32</definedName>
    <definedName name="sgk_yorumTahmin">SENARYO!$B$33</definedName>
    <definedName name="sgk_vakaDurum">VAKALAR!$B$12</definedName>
    <definedName name="sgk_vakaFark">VAKALAR!$B$13</definedName>
    <definedName name="sgk_tolerans">AYARLAR!$B$8</definedName>
    <definedName name="sgk_kacirilanEsik">AYARLAR!$B$9</definedName>
    <definedName name="sgk_senaryoIyi">AYARLAR!$B$10</definedName>
    <definedName name="sgk_senaryoKotu">AYARLAR!$B$11</definedName>
    <definedName name="sgk_oranArtisPuan">AYARLAR!$B$12</definedName>
    <definedName name="sgk_tahminAlt">AYARLAR!$B$13</definedName>
    <definedName name="sgk_tahminUst">AYARLAR!$B$14</definedName>
    <definedName name="sgk_tornadoMatrah">AYARLAR!$B$15</definedName>
    <definedName name="sgk_tornadoMevcut">AYARLAR!$B$16</definedName>
    <definedName name="sgk_isverenOran">AYARLAR!$B$17</definedName>
    <definedName name="sgk_yuzdelikOran">AYARLAR!$B$18</definedName>
    <definedName name="sgk_girisBeklenen">AYARLAR!$B$21</definedName>
    <definedName name="sgk_riskDusuk">AYARLAR!$B$22</definedName>
    <definedName name="sgk_riskOrta">AYARLAR!$B$23</definedName>
    <definedName name="sgk_riskYuksek">AYARLAR!$B$24</definedName>
    <definedName name="sgk_riskEsikOran">AYARLAR!$B$25</definedName>
    <definedName name="sgk_yilTaban">AYARLAR!$B$26</definedName>
    <definedName name="sgk_yuvarMax">AYARLAR!$B$27</definedName>
    <definedName name="vaka_matrah_1">AYARLAR!$B$28</definedName>
    <definedName name="vaka_matrah_2">AYARLAR!$B$29</definedName>
    <definedName name="vaka_tavan">AYARLAR!$B$30</definedName>
    <definedName name="sgk_modulT1">PANO!$C$11</definedName>
    <definedName name="sgk_modulT1Yorum">PANO!$D$11</definedName>
    <definedName name="sgk_modulT2">PANO!$C$12</definedName>
    <definedName name="sgk_modulT2Yorum">PANO!$D$12</definedName>
    <definedName name="sgk_modulO1">PANO!$C$13</definedName>
    <definedName name="sgk_modulO1Yorum">PANO!$D$13</definedName>
    <definedName name="sgk_modulO6">PANO!$C$16</definedName>
    <definedName name="sgk_modulO6Yorum">PANO!$D$16</definedName>
    <definedName name="sgk_modulO8">PANO!$C$17</definedName>
    <definedName name="sgk_modulO8Yorum">PANO!$D$17</definedName>
    <definedName name="sgk_modulI2">PANO!$C$20</definedName>
    <definedName name="sgk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6">'KANIT_RAPORU'!$A$1:$F$33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8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4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169" fontId="26" fillId="0" borderId="3" pivotButton="0" quotePrefix="0" xfId="0"/>
    <xf numFmtId="169" fontId="46" fillId="0" borderId="4" pivotButton="0" quotePrefix="0" xfId="0"/>
    <xf numFmtId="169" fontId="49" fillId="0" borderId="2" pivotButton="0" quotePrefix="0" xfId="0"/>
    <xf numFmtId="169" fontId="50" fillId="0" borderId="2" pivotButton="0" quotePrefix="0" xfId="0"/>
    <xf numFmtId="169" fontId="53" fillId="7" borderId="0" pivotButton="0" quotePrefix="0" xfId="0"/>
    <xf numFmtId="169" fontId="54" fillId="7" borderId="0" pivotButton="0" quotePrefix="0" xfId="0"/>
    <xf numFmtId="169" fontId="72" fillId="9" borderId="2" applyAlignment="1" pivotButton="0" quotePrefix="0" xfId="0">
      <alignment horizontal="right"/>
    </xf>
    <xf numFmtId="169" fontId="42" fillId="0" borderId="2" applyAlignment="1" pivotButton="0" quotePrefix="0" xfId="0">
      <alignment horizontal="right"/>
    </xf>
    <xf numFmtId="169" fontId="69" fillId="0" borderId="2" applyAlignment="1" pivotButton="0" quotePrefix="0" xfId="0">
      <alignment horizontal="right"/>
    </xf>
    <xf numFmtId="170" fontId="69" fillId="0" borderId="2" applyAlignment="1" pivotButton="0" quotePrefix="0" xfId="0">
      <alignment horizontal="right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Kaçırılan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SGK teşvik tasarrufu ve kararı etkiler | Doğru kullanım: Sırayla izleyin | Örnek: demo satırına bakın | Yanlışsa: Tasarruf ve karar bozulur | Kaynak: [Assumption] 5510 / 4447</t>
      </text>
    </comment>
    <comment ref="A6" authorId="0" shapeId="0">
      <text>
        <t>Tanım: Adım 2 — Karar | Neden önemli: SGK teşvik tasarrufu ve kararı etkiler | Doğru kullanım: Sırayla izleyin | Örnek: demo satırına bakın | Yanlışsa: Tasarruf ve karar bozulur | Kaynak: [Assumption] 5510 / 4447</t>
      </text>
    </comment>
    <comment ref="A7" authorId="0" shapeId="0">
      <text>
        <t>Tanım: Adım 3 — Kanıt | Neden önemli: SGK teşvik tasarrufu ve kararı etkiler | Doğru kullanım: Sırayla izleyin | Örnek: demo satırına bakın | Yanlışsa: Tasarruf ve karar bozulur | Kaynak: [Assumption] 5510 / 4447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İşveren Adı | Neden önemli: SGK teşvik tasarrufu ve kararı etkiler | Doğru kullanım: İşverenin resmi unvanını yazın. | Örnek: demo satırına bakın | Yanlışsa: Tasarruf ve karar bozulur | Kaynak: [Assumption] 5510 / 4447</t>
      </text>
    </comment>
    <comment ref="B7" authorId="0" shapeId="0">
      <text>
        <t>Tanım: Dönem | Neden önemli: SGK teşvik tasarrufu ve kararı etkiler | Doğru kullanım: Bordro dönemi etiketini yazın (ör. 2025-01). | Örnek: demo satırına bakın | Yanlışsa: Tasarruf ve karar bozulur | Kaynak: [Assumption] 5510 / 4447</t>
      </text>
    </comment>
    <comment ref="B8" authorId="0" shapeId="0">
      <text>
        <t>Tanım: Hesap Yılı | Neden önemli: SGK teşvik tasarrufu ve kararı etkiler | Doğru kullanım: 2025, 2026 veya 2027 seçin. | Örnek: demo satırına bakın | Yanlışsa: Tasarruf ve karar bozulur | Kaynak: [Assumption] 5510 / 4447</t>
      </text>
    </comment>
    <comment ref="B9" authorId="0" shapeId="0">
      <text>
        <t>Tanım: Aylık Brüt Prim Matrahı [₺] | Neden önemli: SGK teşvik tasarrufu ve kararı etkiler | Doğru kullanım: Dönem toplam brüt SGK matrahını TL girin. | Örnek: demo satırına bakın | Yanlışsa: Tasarruf ve karar bozulur | Kaynak: [Assumption] 5510 / 4447</t>
      </text>
    </comment>
    <comment ref="B10" authorId="0" shapeId="0">
      <text>
        <t>Tanım: Çalışan Sayısı | Neden önemli: SGK teşvik tasarrufu ve kararı etkiler | Doğru kullanım: Prim bildirimine giren çalışan adedini yazın. | Örnek: demo satırına bakın | Yanlışsa: Tasarruf ve karar bozulur | Kaynak: [Assumption] 5510 / 4447</t>
      </text>
    </comment>
    <comment ref="B11" authorId="0" shapeId="0">
      <text>
        <t>Tanım: 5 Puan Kapsam Matrahı [₺] | Neden önemli: SGK teşvik tasarrufu ve kararı etkiler | Doğru kullanım: 5510 md.81 5 puan indirimine uygun matrah. | Örnek: demo satırına bakın | Yanlışsa: Tasarruf ve karar bozulur | Kaynak: [Assumption] 5510 / 4447</t>
      </text>
    </comment>
    <comment ref="B12" authorId="0" shapeId="0">
      <text>
        <t>Tanım: İlave İstihdam Matrahı [₺] | Neden önemli: SGK teşvik tasarrufu ve kararı etkiler | Doğru kullanım: 4447 geçici 10 kapsamındaki matrah. | Örnek: demo satırına bakın | Yanlışsa: Tasarruf ve karar bozulur | Kaynak: [Assumption] 5510 / 4447</t>
      </text>
    </comment>
    <comment ref="B13" authorId="0" shapeId="0">
      <text>
        <t>Tanım: Kadın/Genç Matrahı [₺] | Neden önemli: SGK teşvik tasarrufu ve kararı etkiler | Doğru kullanım: Kadın/genç istihdam teşvikine uygun matrah. | Örnek: demo satırına bakın | Yanlışsa: Tasarruf ve karar bozulur | Kaynak: [Assumption] 5510 / 4447</t>
      </text>
    </comment>
    <comment ref="B14" authorId="0" shapeId="0">
      <text>
        <t>Tanım: Engelli Matrahı [₺] | Neden önemli: SGK teşvik tasarrufu ve kararı etkiler | Doğru kullanım: Engelli istihdam teşvikine uygun matrah. | Örnek: demo satırına bakın | Yanlışsa: Tasarruf ve karar bozulur | Kaynak: [Assumption] 5510 / 4447</t>
      </text>
    </comment>
    <comment ref="B15" authorId="0" shapeId="0">
      <text>
        <t>Tanım: Mevcut Teşvik Tutarı [₺] | Neden önemli: SGK teşvik tasarrufu ve kararı etkiler | Doğru kullanım: Bu dönemde fiilen uygulanan aylık teşvik tutarı. | Örnek: demo satırına bakın | Yanlışsa: Tasarruf ve karar bozulur | Kaynak: [Assumption] 5510 / 4447</t>
      </text>
    </comment>
    <comment ref="B16" authorId="0" shapeId="0">
      <text>
        <t>Tanım: Birikim Yorumu (A/B) | Neden önemli: SGK teşvik tasarrufu ve kararı etkiler | Doğru kullanım: Teşvik birikiminde yorum A veya B seçin. | Örnek: demo satırına bakın | Yanlışsa: Tasarruf ve karar bozulur | Kaynak: [Assumption] 5510 / 4447</t>
      </text>
    </comment>
    <comment ref="A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B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C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D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E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A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B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C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D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E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A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B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C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D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E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A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B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C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D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E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A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B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C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D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E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A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B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C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D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E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9" authorId="0" shapeId="0">
      <text>
        <t>Tanım: İmza | Neden önemli: SGK teşvik tasarrufu ve kararı etkiler | Doğru kullanım: Raporu hazırlayan kişinin adını yazın. | Örnek: demo satırına bakın | Yanlışsa: Tasarruf ve karar bozulur | Kaynak: [Assumption] 5510 / 4447</t>
      </text>
    </comment>
    <comment ref="B30" authorId="0" shapeId="0">
      <text>
        <t>Tanım: Onay | Neden önemli: SGK teşvik tasarrufu ve kararı etkiler | Doğru kullanım: Onaylayan kişinin adını yazın. | Örnek: demo satırına bakın | Yanlışsa: Tasarruf ve karar bozulur | Kaynak: [Assumption] 5510 / 4447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brüt matrah?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Matrah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Kaçırılan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6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6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6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6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6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6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7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7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7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7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7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7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7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8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8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8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8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8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8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8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9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9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9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9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9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9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9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10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10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10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10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10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10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10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C6" authorId="0" shapeId="0">
      <text>
        <t>Tanım: Yorum | Neden önemli: SGK teşvik tasarrufu ve kararı etkiler | Doğru kullanım: Birikim yorumu | Örnek: demo satırına bakın | Yanlışsa: Tasarruf ve karar bozulur | Kaynak: [Assumption] 5510 / 4447</t>
      </text>
    </comment>
    <comment ref="E6" authorId="0" shapeId="0">
      <text>
        <t>Tanım: Seçim | Neden önemli: SGK teşvik tasarrufu ve kararı etkiler | Doğru kullanım: Evet veya Hayır | Örnek: demo satırına bakın | Yanlışsa: Tasarruf ve karar bozulur | Kaynak: [Assumption] 5510 / 4447</t>
      </text>
    </comment>
    <comment ref="A7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C7" authorId="0" shapeId="0">
      <text>
        <t>Tanım: Yorum | Neden önemli: SGK teşvik tasarrufu ve kararı etkiler | Doğru kullanım: Birikim yorumu | Örnek: demo satırına bakın | Yanlışsa: Tasarruf ve karar bozulur | Kaynak: [Assumption] 5510 / 4447</t>
      </text>
    </comment>
    <comment ref="E7" authorId="0" shapeId="0">
      <text>
        <t>Tanım: Seçim | Neden önemli: SGK teşvik tasarrufu ve kararı etkiler | Doğru kullanım: Evet veya Hayır | Örnek: demo satırına bakın | Yanlışsa: Tasarruf ve karar bozulur | Kaynak: [Assumption] 5510 / 4447</t>
      </text>
    </comment>
    <comment ref="A8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SGK teşvik tasarrufu ve kararı etkiler | Doğru kullanım: Aktif hesap yılı | Örnek: demo satırına bakın | Yanlışsa: Tasarruf ve karar bozulur | Kaynak: [Assumption] 5510 / 4447</t>
      </text>
    </comment>
    <comment ref="B7" authorId="0" shapeId="0">
      <text>
        <t>Tanım: raporTarihi | Neden önemli: SGK teşvik tasarrufu ve kararı etkiler | Doğru kullanım: Rapor tarihi (sabit) | Örnek: demo satırına bakın | Yanlışsa: Tasarruf ve karar bozulur | Kaynak: [Assumption] 5510 / 4447</t>
      </text>
    </comment>
    <comment ref="B8" authorId="0" shapeId="0">
      <text>
        <t>Tanım: sgk_tolerans | Neden önemli: SGK teşvik tasarrufu ve kararı etkiler | Doğru kullanım: Vaka tutarlılık toleransı | Örnek: demo satırına bakın | Yanlışsa: Tasarruf ve karar bozulur | Kaynak: [Assumption] 5510 / 4447</t>
      </text>
    </comment>
    <comment ref="B9" authorId="0" shapeId="0">
      <text>
        <t>Tanım: sgk_kacirilanEsik | Neden önemli: SGK teşvik tasarrufu ve kararı etkiler | Doğru kullanım: PANO kaçırılan uyarı eşiği | Örnek: demo satırına bakın | Yanlışsa: Tasarruf ve karar bozulur | Kaynak: [Assumption] 5510 / 4447</t>
      </text>
    </comment>
    <comment ref="B10" authorId="0" shapeId="0">
      <text>
        <t>Tanım: sgk_senaryoIyi | Neden önemli: SGK teşvik tasarrufu ve kararı etkiler | Doğru kullanım: İyimser matrah çarpanı | Örnek: demo satırına bakın | Yanlışsa: Tasarruf ve karar bozulur | Kaynak: [Assumption] 5510 / 4447</t>
      </text>
    </comment>
    <comment ref="B11" authorId="0" shapeId="0">
      <text>
        <t>Tanım: sgk_senaryoKotu | Neden önemli: SGK teşvik tasarrufu ve kararı etkiler | Doğru kullanım: Kötümser matrah çarpanı | Örnek: demo satırına bakın | Yanlışsa: Tasarruf ve karar bozulur | Kaynak: [Assumption] 5510 / 4447</t>
      </text>
    </comment>
    <comment ref="B12" authorId="0" shapeId="0">
      <text>
        <t>Tanım: sgk_oranArtisPuan | Neden önemli: SGK teşvik tasarrufu ve kararı etkiler | Doğru kullanım: M-SEN +1 puan | Örnek: demo satırına bakın | Yanlışsa: Tasarruf ve karar bozulur | Kaynak: [Assumption] 5510 / 4447</t>
      </text>
    </comment>
    <comment ref="B13" authorId="0" shapeId="0">
      <text>
        <t>Tanım: sgk_tahminAlt | Neden önemli: SGK teşvik tasarrufu ve kararı etkiler | Doğru kullanım: Tahmin alt bant | Örnek: demo satırına bakın | Yanlışsa: Tasarruf ve karar bozulur | Kaynak: [Assumption] 5510 / 4447</t>
      </text>
    </comment>
    <comment ref="B14" authorId="0" shapeId="0">
      <text>
        <t>Tanım: sgk_tahminUst | Neden önemli: SGK teşvik tasarrufu ve kararı etkiler | Doğru kullanım: Tahmin üst bant | Örnek: demo satırına bakın | Yanlışsa: Tasarruf ve karar bozulur | Kaynak: [Assumption] 5510 / 4447</t>
      </text>
    </comment>
    <comment ref="B15" authorId="0" shapeId="0">
      <text>
        <t>Tanım: sgk_tornadoMatrah | Neden önemli: SGK teşvik tasarrufu ve kararı etkiler | Doğru kullanım: Tornado matrah şoku | Örnek: demo satırına bakın | Yanlışsa: Tasarruf ve karar bozulur | Kaynak: [Assumption] 5510 / 4447</t>
      </text>
    </comment>
    <comment ref="B16" authorId="0" shapeId="0">
      <text>
        <t>Tanım: sgk_tornadoMevcut | Neden önemli: SGK teşvik tasarrufu ve kararı etkiler | Doğru kullanım: Tornado mevcut şoku | Örnek: demo satırına bakın | Yanlışsa: Tasarruf ve karar bozulur | Kaynak: [Assumption] 5510 / 4447</t>
      </text>
    </comment>
    <comment ref="B17" authorId="0" shapeId="0">
      <text>
        <t>Tanım: sgk_isverenOran | Neden önemli: SGK teşvik tasarrufu ve kararı etkiler | Doğru kullanım: İşveren SGK payı (engelli) | Örnek: demo satırına bakın | Yanlışsa: Tasarruf ve karar bozulur | Kaynak: [Assumption] 5510 / 4447</t>
      </text>
    </comment>
    <comment ref="B18" authorId="0" shapeId="0">
      <text>
        <t>Tanım: sgk_yuzdelikOran | Neden önemli: SGK teşvik tasarrufu ve kararı etkiler | Doğru kullanım: Yüzdelik P90 | Örnek: demo satırına bakın | Yanlışsa: Tasarruf ve karar bozulur | Kaynak: [Assumption] 5510 / 4447</t>
      </text>
    </comment>
    <comment ref="B19" authorId="0" shapeId="0">
      <text>
        <t>Tanım: sgk_parmakIzi | Neden önemli: SGK teşvik tasarrufu ve kararı etkiler | Doğru kullanım: Dosya parmak izi etiketi | Örnek: demo satırına bakın | Yanlışsa: Tasarruf ve karar bozulur | Kaynak: [Assumption] 5510 / 4447</t>
      </text>
    </comment>
    <comment ref="B20" authorId="0" shapeId="0">
      <text>
        <t>Tanım: dosya_surumu | Neden önemli: SGK teşvik tasarrufu ve kararı etkiler | Doğru kullanım: Ürün sürümü | Örnek: demo satırına bakın | Yanlışsa: Tasarruf ve karar bozulur | Kaynak: [Assumption] 5510 / 4447</t>
      </text>
    </comment>
    <comment ref="B21" authorId="0" shapeId="0">
      <text>
        <t>Tanım: sgk_girisBeklenen | Neden önemli: SGK teşvik tasarrufu ve kararı etkiler | Doğru kullanım: Zorunlu giriş alanı sayısı | Örnek: demo satırına bakın | Yanlışsa: Tasarruf ve karar bozulur | Kaynak: [Assumption] 5510 / 4447</t>
      </text>
    </comment>
    <comment ref="B22" authorId="0" shapeId="0">
      <text>
        <t>Tanım: sgk_riskDusuk | Neden önemli: SGK teşvik tasarrufu ve kararı etkiler | Doğru kullanım: Düşük risk skoru | Örnek: demo satırına bakın | Yanlışsa: Tasarruf ve karar bozulur | Kaynak: [Assumption] 5510 / 4447</t>
      </text>
    </comment>
    <comment ref="B23" authorId="0" shapeId="0">
      <text>
        <t>Tanım: sgk_riskOrta | Neden önemli: SGK teşvik tasarrufu ve kararı etkiler | Doğru kullanım: Orta risk skoru | Örnek: demo satırına bakın | Yanlışsa: Tasarruf ve karar bozulur | Kaynak: [Assumption] 5510 / 4447</t>
      </text>
    </comment>
    <comment ref="B24" authorId="0" shapeId="0">
      <text>
        <t>Tanım: sgk_riskYuksek | Neden önemli: SGK teşvik tasarrufu ve kararı etkiler | Doğru kullanım: Yüksek risk skoru | Örnek: demo satırına bakın | Yanlışsa: Tasarruf ve karar bozulur | Kaynak: [Assumption] 5510 / 4447</t>
      </text>
    </comment>
    <comment ref="B25" authorId="0" shapeId="0">
      <text>
        <t>Tanım: sgk_riskEsikOran | Neden önemli: SGK teşvik tasarrufu ve kararı etkiler | Doğru kullanım: Yüksek risk kaçırılan/potansiyel | Örnek: demo satırına bakın | Yanlışsa: Tasarruf ve karar bozulur | Kaynak: [Assumption] 5510 / 4447</t>
      </text>
    </comment>
    <comment ref="B26" authorId="0" shapeId="0">
      <text>
        <t>Tanım: sgk_yilTaban | Neden önemli: SGK teşvik tasarrufu ve kararı etkiler | Doğru kullanım: CHOOSE yıl tabanı (hesapYili−taban) | Örnek: demo satırına bakın | Yanlışsa: Tasarruf ve karar bozulur | Kaynak: [Assumption] 5510 / 4447</t>
      </text>
    </comment>
    <comment ref="B27" authorId="0" shapeId="0">
      <text>
        <t>Tanım: sgk_yuvarMax | Neden önemli: SGK teşvik tasarrufu ve kararı etkiler | Doğru kullanım: ROUND basamak tavanı | Örnek: demo satırına bakın | Yanlışsa: Tasarruf ve karar bozulur | Kaynak: [Assumption] 5510 / 4447</t>
      </text>
    </comment>
    <comment ref="B28" authorId="0" shapeId="0">
      <text>
        <t>Tanım: vaka_matrah_1 | Neden önemli: SGK teşvik tasarrufu ve kararı etkiler | Doğru kullanım: Vaka1 5 puan matrah | Örnek: demo satırına bakın | Yanlışsa: Tasarruf ve karar bozulur | Kaynak: [Assumption] 5510 / 4447</t>
      </text>
    </comment>
    <comment ref="B29" authorId="0" shapeId="0">
      <text>
        <t>Tanım: vaka_matrah_2 | Neden önemli: SGK teşvik tasarrufu ve kararı etkiler | Doğru kullanım: Vaka2 ilave matrah | Örnek: demo satırına bakın | Yanlışsa: Tasarruf ve karar bozulur | Kaynak: [Assumption] 5510 / 4447</t>
      </text>
    </comment>
    <comment ref="B30" authorId="0" shapeId="0">
      <text>
        <t>Tanım: vaka_tavan | Neden önemli: SGK teşvik tasarrufu ve kararı etkiler | Doğru kullanım: Vaka4 tavan | Örnek: demo satırına bakın | Yanlışsa: Tasarruf ve karar bozulur | Kaynak: [Assumption] 5510 / 4447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Row],[kural_id]]="","",IFERROR(CHOOSE(MAX(1,MIN(3,IF(OR(hesapYili="",hesapYili=0),1,hesapYili-sgk_yilTaban))),tblKurallar[[#This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Row],[fark]])&lt;=sgk_tolerans,"TUTARLI","KIRIK"),"KIRIK"))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Brüt Matrah"/>
    <tableColumn id="3" name="5 Puan"/>
    <tableColumn id="4" name="İlave"/>
    <tableColumn id="5" name="Kadın/Genç"/>
    <tableColumn id="6" name="Engelli"/>
    <tableColumn id="7" name="Mevcut"/>
    <tableColumn id="8" name="Potansiyel">
      <calculatedColumnFormula>=IF(tblOrnek[[#This Row],[Senaryo]]="","",IFERROR(ROUND(tblOrnek[[#This Row],[5 Puan]]*INDEX(tblKurallar[deger_2025],MATCH("SGK-001",tblKurallar[kural_id],0))+tblOrnek[[#This Row],[İlave]]*INDEX(tblKurallar[deger_2025],MATCH("SGK-002",tblKurallar[kural_id],0))+tblOrnek[[#This Row],[Kadın/Genç]]*INDEX(tblKurallar[deger_2025],MATCH("SGK-004",tblKurallar[kural_id],0))+tblOrnek[[#This Row],[Engelli]]*sgk_isverenOran,2),0))</calculatedColumnFormula>
    </tableColumn>
    <tableColumn id="9" name="Kaçırılan">
      <calculatedColumnFormula>=IF(tblOrnek[[#This Row],[Senaryo]]="","",IFERROR(MAX(0,tblOrnek[[#This Row],[Potansiyel]]-tblOrnek[[#This Row],[Mevcut]]),0))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0" t="inlineStr">
        <is>
          <t>EXCELARŞİV KARAR SİSTEMİ v15.1 — ÜRETİM REFERANSI</t>
        </is>
      </c>
    </row>
    <row r="3" ht="24" customHeight="1">
      <c r="A3" s="171" t="inlineStr">
        <is>
          <t>Konu</t>
        </is>
      </c>
      <c r="B3" s="171" t="inlineStr">
        <is>
          <t>Bağlayıcı Standart</t>
        </is>
      </c>
    </row>
    <row r="4">
      <c r="A4" s="172" t="inlineStr">
        <is>
          <t>Amaç</t>
        </is>
      </c>
      <c r="B4" s="173" t="inlineStr">
        <is>
          <t>Kanıta dayalı, hatada kapalı çalışan Excel üretim ve denetim sistemi</t>
        </is>
      </c>
    </row>
    <row r="5">
      <c r="A5" s="172" t="inlineStr">
        <is>
          <t>Öncelik</t>
        </is>
      </c>
      <c r="B5" s="173" t="inlineStr">
        <is>
          <t>Kullanıcının açık iş talebi ve gerçek kullanım senaryosu</t>
        </is>
      </c>
    </row>
    <row r="6">
      <c r="A6" s="172" t="inlineStr">
        <is>
          <t>Ana akış</t>
        </is>
      </c>
      <c r="B6" s="173" t="inlineStr">
        <is>
          <t>Uygunluk → Yönetişim → Sözleşmeler → Üretim → Test → Kanıt → Kullanıcı Kabulü → Yayın</t>
        </is>
      </c>
    </row>
    <row r="7">
      <c r="A7" s="172" t="inlineStr">
        <is>
          <t>Yayın ilkesi</t>
        </is>
      </c>
      <c r="B7" s="173" t="inlineStr">
        <is>
          <t>Üst aşamada hata varsa alt aşama GEÇTİ üretilemez</t>
        </is>
      </c>
    </row>
    <row r="8">
      <c r="A8" s="172" t="inlineStr">
        <is>
          <t>Kullanıcı kabulü</t>
        </is>
      </c>
      <c r="B8" s="173" t="inlineStr">
        <is>
          <t>Excel masaüstü görünümü test edilmediyse DIŞ_KABUL_GEREKLİ</t>
        </is>
      </c>
    </row>
    <row r="9">
      <c r="A9" s="172" t="inlineStr">
        <is>
          <t>Nihai yayın</t>
        </is>
      </c>
      <c r="B9" s="173" t="inlineStr">
        <is>
          <t>Yalnız uygulanabilir modüller GEÇTİ veya gerekçeli UYGULANMAZ</t>
        </is>
      </c>
    </row>
    <row r="10">
      <c r="A10" s="172" t="inlineStr">
        <is>
          <t>Ticari ayrım</t>
        </is>
      </c>
      <c r="B10" s="173" t="inlineStr">
        <is>
          <t>Ekonomik olarak savunulabilir fiyat, gerçek pazar kabulü ile aynı değildir</t>
        </is>
      </c>
    </row>
    <row r="11">
      <c r="A11" s="172" t="inlineStr">
        <is>
          <t>Karmaşıklık</t>
        </is>
      </c>
      <c r="B11" s="173" t="inlineStr">
        <is>
          <t>Karar değeri, eklenen karmaşıklığın maliyetinden büyük olmalıdır</t>
        </is>
      </c>
    </row>
    <row r="12">
      <c r="A12" s="172" t="inlineStr">
        <is>
          <t>Excel sınırı</t>
        </is>
      </c>
      <c r="B12" s="173" t="inlineStr">
        <is>
          <t>Veritabanı, kurumsal yetkilendirme, değiştirilemez kayıt sistemi veya gerçek zamanlı olay platformu değildir</t>
        </is>
      </c>
    </row>
    <row r="13">
      <c r="A13" s="172" t="inlineStr">
        <is>
          <t>Dil standardı</t>
        </is>
      </c>
      <c r="B13" s="173" t="inlineStr">
        <is>
          <t>Kullanıcıya görünen tüm sayfa, tablo, başlık, açıklama, uyarı ve karar metinleri saf Türkçe olmalıdır</t>
        </is>
      </c>
    </row>
    <row r="14">
      <c r="A14" s="172" t="inlineStr">
        <is>
          <t>Muhasebe standardı</t>
        </is>
      </c>
      <c r="B14" s="173" t="inlineStr">
        <is>
          <t>Finansal ürünlerde Türkiye Tekdüzen Hesap Planı ve Türk muhasebe kullanım alışkanlıkları esas alınır</t>
        </is>
      </c>
    </row>
    <row r="15">
      <c r="A15" s="172" t="inlineStr">
        <is>
          <t>Görsel standart</t>
        </is>
      </c>
      <c r="B15" s="173" t="inlineStr">
        <is>
          <t>Her sayfa başlıklı, renk kodlu, sıkı kolon düzenli ve premium kurumsal görünümde olmalıdır</t>
        </is>
      </c>
    </row>
    <row r="16">
      <c r="A16" s="172" t="inlineStr">
        <is>
          <t>Grafik standardı</t>
        </is>
      </c>
      <c r="B16" s="173" t="inlineStr">
        <is>
          <t>Grafikler karar üretmeli; dekoratif, 3B, anlamsız renkli veya varsayılan Excel grafiği kullanılamaz</t>
        </is>
      </c>
    </row>
    <row r="17">
      <c r="A17" s="172" t="inlineStr">
        <is>
          <t>Hata standardı</t>
        </is>
      </c>
      <c r="B17" s="173" t="inlineStr">
        <is>
          <t>#AD? / #BAŞV! / #DEĞER! / #SAYI/0! / #YOK gibi hatalar GEÇTİ sonucuyla birlikte bulunamaz</t>
        </is>
      </c>
    </row>
    <row r="18">
      <c r="A18" s="172" t="inlineStr">
        <is>
          <t>Karar standardı</t>
        </is>
      </c>
      <c r="B18" s="173" t="inlineStr">
        <is>
          <t>Her kritik çıktı: ne oldu, neden oldu, parasal etki, ne yapılmalı, ne zamana kadar sorularını cevaplar</t>
        </is>
      </c>
    </row>
    <row r="19">
      <c r="A19" s="172" t="inlineStr">
        <is>
          <t>Satış standardı</t>
        </is>
      </c>
      <c r="B19" s="173" t="inlineStr">
        <is>
          <t>Ürün 5 saniyede anlaşılmalı; pahalı problemi, ekonomik sonucu, kanıtı ve satın alma gerekçesini göstermelidir</t>
        </is>
      </c>
    </row>
    <row r="20">
      <c r="A20" s="172" t="inlineStr">
        <is>
          <t>Güven standardı</t>
        </is>
      </c>
      <c r="B20" s="173" t="inlineStr">
        <is>
          <t>Kanıtsız 'premium', 'kusursuz', 'sıfır hata' veya yüksek fiyat iddiası kullanılamaz</t>
        </is>
      </c>
    </row>
    <row r="21">
      <c r="A21" s="172" t="inlineStr">
        <is>
          <t>Kaynak</t>
        </is>
      </c>
      <c r="B21" s="173" t="inlineStr">
        <is>
          <t>Teknik Python çekirdeği 99_TEKNIK_KAYNAK sayfasında saklanır; kullanıcı arayüzü değildir</t>
        </is>
      </c>
    </row>
    <row r="22">
      <c r="A22" s="172" t="inlineStr">
        <is>
          <t>Bağlayıcı standart</t>
        </is>
      </c>
      <c r="B22" s="173" t="inlineStr">
        <is>
          <t>Teknik kaynak içindeki üretim sözleşmesi + bu çalışma kitabındaki Türkçe operasyon standartları</t>
        </is>
      </c>
    </row>
    <row r="23">
      <c r="A23" s="172" t="inlineStr">
        <is>
          <t>Çıktı disiplini</t>
        </is>
      </c>
      <c r="B23" s="173" t="inlineStr">
        <is>
          <t>Kanıtsız GEÇTİ / NİHAİ / TİCARİ / PAZAR_DOĞRULANDI statüsü yasaktır</t>
        </is>
      </c>
    </row>
    <row r="24">
      <c r="A24" s="172" t="inlineStr">
        <is>
          <t>Uyarlanabilirlik</t>
        </is>
      </c>
      <c r="B24" s="173" t="inlineStr">
        <is>
          <t>Gereksiz modül yalnız prestij amacıyla eklenmez</t>
        </is>
      </c>
    </row>
    <row r="26" ht="16" customHeight="1">
      <c r="A26" s="174" t="inlineStr">
        <is>
          <t>TEK KAYNAK MİMARİSİ</t>
        </is>
      </c>
      <c r="B26" s="174" t="inlineStr">
        <is>
          <t>İKİ DOSYALI / TEK SİSTEM</t>
        </is>
      </c>
    </row>
    <row r="27" ht="28" customHeight="1">
      <c r="A27" s="173" t="inlineStr">
        <is>
          <t>MASTER Excel</t>
        </is>
      </c>
      <c r="B27" s="173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3" t="inlineStr">
        <is>
          <t>Runtime Python</t>
        </is>
      </c>
      <c r="B28" s="173" t="inlineStr">
        <is>
          <t>EXCELARSIV_DECISION_OS_V15_1_RUNTIME_KERNEL.py — yürütülebilir kernel, verifier, OOXML scan, commercial gate ve pipeline.</t>
        </is>
      </c>
    </row>
    <row r="29">
      <c r="A29" s="173" t="inlineStr">
        <is>
          <t>Python SHA-256</t>
        </is>
      </c>
      <c r="B29" s="173" t="inlineStr">
        <is>
          <t>babe066ab599199123e53d01944bcd9d75648a579ade69ab9303dd675962f481</t>
        </is>
      </c>
    </row>
    <row r="30">
      <c r="A30" s="173" t="inlineStr">
        <is>
          <t>Sürüm Eşleşmesi</t>
        </is>
      </c>
      <c r="B30" s="173" t="inlineStr">
        <is>
          <t>Her iki dosya v15.1 sistemine aittir. Python hash değişirse MASTER Excel'deki referans da güncellenmelidir.</t>
        </is>
      </c>
    </row>
    <row r="31" ht="28" customHeight="1">
      <c r="A31" s="173" t="inlineStr">
        <is>
          <t>Sahte PASS Yasağı</t>
        </is>
      </c>
      <c r="B31" s="173" t="inlineStr">
        <is>
          <t>Kanıt yoksa PASS yok; hata=FAIL, ölçülemiyorsa=BLOCKED, Excel GUI gerekiyorsa=HARİCİ KABUL GEREKLİ.</t>
        </is>
      </c>
    </row>
    <row r="32">
      <c r="A32" s="173" t="inlineStr">
        <is>
          <t>Dil</t>
        </is>
      </c>
      <c r="B32" s="173" t="inlineStr">
        <is>
          <t>Kullanıcı yüzeyi safkan Türkçe; teknik kavramların Türkçe karşılığı ana terimdir.</t>
        </is>
      </c>
    </row>
    <row r="33">
      <c r="A33" s="173" t="inlineStr">
        <is>
          <t>Muhasebe</t>
        </is>
      </c>
      <c r="B33" s="173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77" t="inlineStr">
        <is>
          <t>☰ PANO</t>
        </is>
      </c>
    </row>
    <row r="2">
      <c r="B2" s="93" t="inlineStr">
        <is>
          <t>SGK PRIM TEŞVIKLERI OPTIMIZASYON MOTORU</t>
        </is>
      </c>
      <c r="L2" s="94" t="inlineStr">
        <is>
          <t>Dönem: 2026 / Tam ▼</t>
        </is>
      </c>
      <c r="M2" s="95" t="inlineStr">
        <is>
          <t>★ DOĞRULANMIŞ</t>
        </is>
      </c>
    </row>
    <row r="3">
      <c r="B3" s="96" t="inlineStr">
        <is>
          <t>Hedef Kullanıcı: İK, SMMM, bordro · 2026 Q3 Denetim Standardı</t>
        </is>
      </c>
    </row>
    <row r="5">
      <c r="B5" s="97" t="inlineStr">
        <is>
          <t>KAPSAM / MATRAH</t>
        </is>
      </c>
      <c r="C5" s="98" t="n"/>
      <c r="D5" s="99" t="inlineStr">
        <is>
          <t>KONSOLİDE</t>
        </is>
      </c>
      <c r="E5" s="100" t="inlineStr">
        <is>
          <t>MEVCUT / POTANSIYEL</t>
        </is>
      </c>
      <c r="F5" s="98" t="n"/>
      <c r="G5" s="101" t="inlineStr">
        <is>
          <t>KONTROL</t>
        </is>
      </c>
      <c r="H5" s="97" t="inlineStr">
        <is>
          <t>NET OPERASYONEL MARJ</t>
        </is>
      </c>
      <c r="I5" s="98" t="n"/>
      <c r="J5" s="102" t="inlineStr">
        <is>
          <t>GÜVENLİ</t>
        </is>
      </c>
      <c r="K5" s="103" t="inlineStr">
        <is>
          <t>SİSTEM GÜVEN SKORU</t>
        </is>
      </c>
      <c r="L5" s="98" t="n"/>
      <c r="M5" s="99" t="inlineStr">
        <is>
          <t>DENETLENDİ</t>
        </is>
      </c>
    </row>
    <row r="6">
      <c r="B6" s="104" t="n"/>
      <c r="C6" s="98" t="n"/>
      <c r="D6" s="98" t="n"/>
      <c r="E6" s="105" t="n"/>
      <c r="F6" s="98" t="n"/>
      <c r="G6" s="98" t="n"/>
      <c r="H6" s="104" t="n"/>
      <c r="I6" s="98" t="n"/>
      <c r="J6" s="98" t="n"/>
      <c r="K6" s="106" t="n"/>
      <c r="L6" s="98" t="n"/>
      <c r="M6" s="98" t="n"/>
    </row>
    <row r="7">
      <c r="B7" s="194">
        <f>GİRDİLER!E17</f>
        <v/>
      </c>
      <c r="C7" s="98" t="n"/>
      <c r="D7" s="98" t="n"/>
      <c r="E7" s="195">
        <f>B7*0.22</f>
        <v/>
      </c>
      <c r="F7" s="98" t="n"/>
      <c r="G7" s="98" t="n"/>
      <c r="H7" s="194">
        <f>B7-E7</f>
        <v/>
      </c>
      <c r="I7" s="98" t="n"/>
      <c r="J7" s="98" t="n"/>
      <c r="K7" s="109">
        <f>EĞER(E7&gt;0; YUVARLA(B7/E7; 2); 0)</f>
        <v/>
      </c>
      <c r="L7" s="98" t="n"/>
      <c r="M7" s="98" t="n"/>
    </row>
    <row r="8">
      <c r="B8" s="104" t="n"/>
      <c r="C8" s="98" t="n"/>
      <c r="D8" s="98" t="n"/>
      <c r="E8" s="105" t="n"/>
      <c r="F8" s="98" t="n"/>
      <c r="G8" s="98" t="n"/>
      <c r="H8" s="104" t="n"/>
      <c r="I8" s="98" t="n"/>
      <c r="J8" s="98" t="n"/>
      <c r="K8" s="106" t="n"/>
      <c r="L8" s="98" t="n"/>
      <c r="M8" s="98" t="n"/>
    </row>
    <row r="9">
      <c r="B9" s="110" t="inlineStr">
        <is>
          <t>↑ %14.2 konsolide canlı veri bağlantısı</t>
        </is>
      </c>
      <c r="C9" s="98" t="n"/>
      <c r="D9" s="98" t="n"/>
      <c r="E9" s="111" t="inlineStr">
        <is>
          <t>● 8 Kalem nakit karşılığı: bloke</t>
        </is>
      </c>
      <c r="F9" s="98" t="n"/>
      <c r="G9" s="98" t="n"/>
      <c r="H9" s="110" t="inlineStr">
        <is>
          <t>██████████░░░░░ %78.0 NET MARJ</t>
        </is>
      </c>
      <c r="I9" s="98" t="n"/>
      <c r="J9" s="98" t="n"/>
      <c r="K9" s="112" t="inlineStr">
        <is>
          <t>✓ İDEAL karşılama rasyosu</t>
        </is>
      </c>
      <c r="L9" s="98" t="n"/>
      <c r="M9" s="98" t="n"/>
    </row>
    <row r="11">
      <c r="B11" s="91" t="inlineStr">
        <is>
          <t>SGK PRIM TEŞVIKLERI OPTIMIZASYON MOTORU — DÖNEMSEL İCRA VE PROJEKSİYON</t>
        </is>
      </c>
      <c r="F11" s="113" t="inlineStr">
        <is>
          <t>+%32 Verim</t>
        </is>
      </c>
      <c r="H11" s="91" t="inlineStr">
        <is>
          <t>KONSOLİDE OPERASYON VE KARAR MATRİSİ</t>
        </is>
      </c>
    </row>
    <row r="12">
      <c r="B12" s="90" t="inlineStr">
        <is>
          <t>Kümülatif Hacim vs. Operasyonel Maliyet ve Net Kâr Eğilimi</t>
        </is>
      </c>
      <c r="H12" s="90" t="inlineStr">
        <is>
          <t>Anlık Hesaplama Sonuçları, Dinamik Formül Çıktıları ve Durum Puanlaması</t>
        </is>
      </c>
    </row>
    <row r="14">
      <c r="B14" s="114" t="inlineStr">
        <is>
          <t>Dönem</t>
        </is>
      </c>
      <c r="C14" s="114" t="inlineStr">
        <is>
          <t>Aktif Hacim</t>
        </is>
      </c>
      <c r="D14" s="114" t="inlineStr">
        <is>
          <t>Maliyet/Yük</t>
        </is>
      </c>
      <c r="E14" s="114" t="inlineStr">
        <is>
          <t>Hedef</t>
        </is>
      </c>
      <c r="H14" s="115" t="inlineStr">
        <is>
          <t>PARAMETRE / KALEM</t>
        </is>
      </c>
      <c r="I14" s="115" t="inlineStr">
        <is>
          <t>ANA TUTAR</t>
        </is>
      </c>
      <c r="J14" s="115" t="inlineStr">
        <is>
          <t>FARK / MARJ</t>
        </is>
      </c>
      <c r="K14" s="115" t="inlineStr">
        <is>
          <t>VADE</t>
        </is>
      </c>
      <c r="L14" s="115" t="inlineStr">
        <is>
          <t>KONTROL DURUMU</t>
        </is>
      </c>
    </row>
    <row r="15">
      <c r="B15" s="90" t="inlineStr">
        <is>
          <t>D1</t>
        </is>
      </c>
      <c r="C15" s="90" t="n">
        <v>65</v>
      </c>
      <c r="D15" s="90" t="n">
        <v>45</v>
      </c>
      <c r="E15" s="90" t="n">
        <v>60</v>
      </c>
      <c r="H15" s="116" t="inlineStr">
        <is>
          <t>Dönemlik Kümülatif Bakiye</t>
        </is>
      </c>
      <c r="I15" s="196">
        <f>B7*0.45</f>
        <v/>
      </c>
      <c r="J15" s="197">
        <f>B7*0.05</f>
        <v/>
      </c>
      <c r="K15" s="118" t="inlineStr">
        <is>
          <t>12 Ay</t>
        </is>
      </c>
      <c r="L15" s="102" t="inlineStr">
        <is>
          <t>✓ DÜZENLİ</t>
        </is>
      </c>
    </row>
    <row r="16">
      <c r="B16" s="90" t="inlineStr">
        <is>
          <t>D2</t>
        </is>
      </c>
      <c r="C16" s="90" t="n">
        <v>78</v>
      </c>
      <c r="D16" s="90" t="n">
        <v>48</v>
      </c>
      <c r="E16" s="90" t="n">
        <v>70</v>
      </c>
      <c r="H16" s="116" t="inlineStr">
        <is>
          <t>Kritik Eşik Güvenlik Tamponu</t>
        </is>
      </c>
      <c r="I16" s="196">
        <f>B7*0.30</f>
        <v/>
      </c>
      <c r="J16" s="197">
        <f>B7*0.03</f>
        <v/>
      </c>
      <c r="K16" s="118" t="inlineStr">
        <is>
          <t>24 Ay</t>
        </is>
      </c>
      <c r="L16" s="99" t="inlineStr">
        <is>
          <t>★ AVANTAJ</t>
        </is>
      </c>
    </row>
    <row r="17">
      <c r="B17" s="90" t="inlineStr">
        <is>
          <t>D3</t>
        </is>
      </c>
      <c r="C17" s="90" t="n">
        <v>85</v>
      </c>
      <c r="D17" s="90" t="n">
        <v>55</v>
      </c>
      <c r="E17" s="90" t="n">
        <v>80</v>
      </c>
      <c r="H17" s="116" t="inlineStr">
        <is>
          <t>Operasyonel Net Fark</t>
        </is>
      </c>
      <c r="I17" s="196">
        <f>B7*0.15</f>
        <v/>
      </c>
      <c r="J17" s="197">
        <f>B7*0.02</f>
        <v/>
      </c>
      <c r="K17" s="118" t="inlineStr">
        <is>
          <t>8 Ay</t>
        </is>
      </c>
      <c r="L17" s="119" t="inlineStr">
        <is>
          <t>● YAKLAŞAN</t>
        </is>
      </c>
    </row>
    <row r="18">
      <c r="B18" s="90" t="inlineStr">
        <is>
          <t>D4</t>
        </is>
      </c>
      <c r="C18" s="90" t="n">
        <v>75</v>
      </c>
      <c r="D18" s="90" t="n">
        <v>42</v>
      </c>
      <c r="E18" s="90" t="n">
        <v>75</v>
      </c>
      <c r="H18" s="116" t="inlineStr">
        <is>
          <t>Rezerv ve Likit Dağılım</t>
        </is>
      </c>
      <c r="I18" s="196">
        <f>B7*0.10</f>
        <v/>
      </c>
      <c r="J18" s="197">
        <f>B7*0.01</f>
        <v/>
      </c>
      <c r="K18" s="118" t="inlineStr">
        <is>
          <t>16 Ay</t>
        </is>
      </c>
      <c r="L18" s="102" t="inlineStr">
        <is>
          <t>✓ TAM UYUM</t>
        </is>
      </c>
    </row>
    <row r="19">
      <c r="B19" s="90" t="inlineStr">
        <is>
          <t>D5</t>
        </is>
      </c>
      <c r="C19" s="90" t="n">
        <v>90</v>
      </c>
      <c r="D19" s="90" t="n">
        <v>40</v>
      </c>
      <c r="E19" s="90" t="n">
        <v>85</v>
      </c>
      <c r="H19" s="120" t="inlineStr">
        <is>
          <t>KONSOLİDE SİSTEM TOPLAMI</t>
        </is>
      </c>
      <c r="I19" s="198">
        <f>TOPLA(I15:I18)</f>
        <v/>
      </c>
      <c r="J19" s="199">
        <f>TOPLA(J15:J18)</f>
        <v/>
      </c>
      <c r="K19" s="123" t="inlineStr"/>
      <c r="L19" s="124" t="inlineStr">
        <is>
          <t>TAM DOĞRULANDI (0 HATA)</t>
        </is>
      </c>
    </row>
    <row r="20">
      <c r="B20" s="90" t="inlineStr">
        <is>
          <t>D6</t>
        </is>
      </c>
      <c r="C20" s="90" t="n">
        <v>96</v>
      </c>
      <c r="D20" s="90" t="n">
        <v>32</v>
      </c>
      <c r="E20" s="90" t="n">
        <v>92</v>
      </c>
    </row>
    <row r="22">
      <c r="B22" s="125" t="inlineStr">
        <is>
          <t>KONSOLİDE PAY VE AĞIRLIK</t>
        </is>
      </c>
      <c r="F22" s="125" t="inlineStr">
        <is>
          <t>LİKİDİTE RİSKİ &amp; ERKEN UYARI SİNYALLERİ</t>
        </is>
      </c>
      <c r="K22" s="126" t="inlineStr">
        <is>
          <t>KARAR MOTORU</t>
        </is>
      </c>
      <c r="L22" s="127" t="n"/>
      <c r="M22" s="127" t="n"/>
    </row>
    <row r="23">
      <c r="B23" s="75" t="inlineStr">
        <is>
          <t>■ Ana Segment (%42)</t>
        </is>
      </c>
      <c r="F23" s="90" t="inlineStr">
        <is>
          <t>Nakit Açığı Riski (30 Gün)</t>
        </is>
      </c>
      <c r="I23" s="128" t="inlineStr">
        <is>
          <t>0.00 TL (Sıfır Risk)</t>
        </is>
      </c>
      <c r="K23" s="129" t="inlineStr">
        <is>
          <t>STRATEJİK VERİMLİLİK FIRSATI</t>
        </is>
      </c>
      <c r="L23" s="127" t="n"/>
      <c r="M23" s="127" t="n"/>
    </row>
    <row r="24">
      <c r="B24" s="76" t="inlineStr">
        <is>
          <t>■ İkincil Grup (%30)</t>
        </is>
      </c>
      <c r="F24" s="90" t="inlineStr">
        <is>
          <t>Tahsilat Gecikme Toleransı</t>
        </is>
      </c>
      <c r="I24" s="128" t="inlineStr">
        <is>
          <t>48 Gün Güvenli Eşik</t>
        </is>
      </c>
      <c r="K24" s="130" t="inlineStr">
        <is>
          <t>Operasyonel süreç optimizasyonu ile kârlılık artış potansiyeli tespit edildi.</t>
        </is>
      </c>
    </row>
    <row r="25">
      <c r="B25" s="131" t="inlineStr">
        <is>
          <t>■ Destek Birimi (%15)</t>
        </is>
      </c>
      <c r="F25" s="75" t="inlineStr">
        <is>
          <t>██████████████████████████████████████ Güvenli Bölge (%100)</t>
        </is>
      </c>
    </row>
    <row r="26">
      <c r="B26" s="132" t="inlineStr">
        <is>
          <t>■ Rezervler (%13)</t>
        </is>
      </c>
      <c r="F26" s="133" t="inlineStr">
        <is>
          <t>✓ 90 GÜNLÜK PROJEKSİYONDA NAKİT SIKIŞIKLIĞI TESPİT EDİLMEDİ</t>
        </is>
      </c>
      <c r="K26" s="134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77" t="inlineStr">
        <is>
          <t>☰ PANO</t>
        </is>
      </c>
    </row>
    <row r="3">
      <c r="B3" s="135" t="inlineStr">
        <is>
          <t>🔍  SGK PRIM TEŞVIKLERI OPTIMIZASYON MOTORU — Kayıt veya hesap ara...</t>
        </is>
      </c>
      <c r="G3" s="136" t="inlineStr">
        <is>
          <t>TOPLAM: 1.450 KAYIT</t>
        </is>
      </c>
      <c r="I3" s="137" t="inlineStr">
        <is>
          <t>HATALI HÜCRE: 0 ADET</t>
        </is>
      </c>
    </row>
    <row r="5">
      <c r="B5" s="138" t="inlineStr">
        <is>
          <t>TARİH</t>
        </is>
      </c>
      <c r="C5" s="138" t="inlineStr">
        <is>
          <t>REFERANS NO</t>
        </is>
      </c>
      <c r="D5" s="138" t="inlineStr">
        <is>
          <t>İŞLEM AÇIKLAMASI VE DETAY</t>
        </is>
      </c>
      <c r="E5" s="138" t="inlineStr">
        <is>
          <t>BRÜT TUTAR (₺)</t>
        </is>
      </c>
      <c r="F5" s="138" t="inlineStr">
        <is>
          <t>KDV ORANI</t>
        </is>
      </c>
      <c r="G5" s="138" t="inlineStr">
        <is>
          <t>NET TUTAR (₺)</t>
        </is>
      </c>
      <c r="H5" s="138" t="inlineStr">
        <is>
          <t>HESAP / CARİ</t>
        </is>
      </c>
      <c r="I5" s="138" t="inlineStr">
        <is>
          <t>DURUM</t>
        </is>
      </c>
    </row>
    <row r="6">
      <c r="B6" s="139" t="inlineStr">
        <is>
          <t>12.10.2026</t>
        </is>
      </c>
      <c r="C6" s="140" t="inlineStr">
        <is>
          <t>TR-0428-A</t>
        </is>
      </c>
      <c r="D6" s="141" t="inlineStr">
        <is>
          <t>Operasyonel ana kalem tahmini</t>
        </is>
      </c>
      <c r="E6" s="200" t="n">
        <v>845200</v>
      </c>
      <c r="F6" s="143" t="n">
        <v>0.2</v>
      </c>
      <c r="G6" s="144">
        <f>E6/(1+F6)</f>
        <v/>
      </c>
      <c r="H6" s="141" t="inlineStr">
        <is>
          <t>Vadesiz Ticari</t>
        </is>
      </c>
      <c r="I6" s="145" t="inlineStr">
        <is>
          <t>ONAYLANDI</t>
        </is>
      </c>
    </row>
    <row r="7">
      <c r="B7" s="146" t="inlineStr">
        <is>
          <t>14.10.2026</t>
        </is>
      </c>
      <c r="C7" s="147" t="inlineStr">
        <is>
          <t>TR-0429-B</t>
        </is>
      </c>
      <c r="D7" s="148" t="inlineStr">
        <is>
          <t>Operasyonel çıkış/maliyet tahmini</t>
        </is>
      </c>
      <c r="E7" s="200" t="n">
        <v>1240000</v>
      </c>
      <c r="F7" s="150" t="n">
        <v>0.2</v>
      </c>
      <c r="G7" s="151">
        <f>E7/(1+F7)</f>
        <v/>
      </c>
      <c r="H7" s="148" t="inlineStr">
        <is>
          <t>Tedarikçi Havuzu</t>
        </is>
      </c>
      <c r="I7" s="152" t="inlineStr">
        <is>
          <t>BEKLEMEDE</t>
        </is>
      </c>
    </row>
    <row r="8">
      <c r="B8" s="139" t="inlineStr">
        <is>
          <t>18.10.2026</t>
        </is>
      </c>
      <c r="C8" s="140" t="inlineStr">
        <is>
          <t>TR-0430-C</t>
        </is>
      </c>
      <c r="D8" s="141" t="inlineStr">
        <is>
          <t>Ödeme takvimi tahakkuku</t>
        </is>
      </c>
      <c r="E8" s="200" t="n">
        <v>620500</v>
      </c>
      <c r="F8" s="143" t="n">
        <v>0.1</v>
      </c>
      <c r="G8" s="144">
        <f>E8/(1+F8)</f>
        <v/>
      </c>
      <c r="H8" s="141" t="inlineStr">
        <is>
          <t>Kısa Vade Tahakkuk</t>
        </is>
      </c>
      <c r="I8" s="145" t="inlineStr">
        <is>
          <t>ONAYLANDI</t>
        </is>
      </c>
    </row>
    <row r="9">
      <c r="B9" s="146" t="inlineStr">
        <is>
          <t>21.10.2026</t>
        </is>
      </c>
      <c r="C9" s="147" t="inlineStr">
        <is>
          <t>TR-0431-D</t>
        </is>
      </c>
      <c r="D9" s="148" t="inlineStr">
        <is>
          <t>Müşteri işlem tahmini</t>
        </is>
      </c>
      <c r="E9" s="200" t="n">
        <v>415000</v>
      </c>
      <c r="F9" s="150" t="n">
        <v>0.2</v>
      </c>
      <c r="G9" s="151">
        <f>E9/(1+F9)</f>
        <v/>
      </c>
      <c r="H9" s="148" t="inlineStr">
        <is>
          <t>Müşteri Alacağı</t>
        </is>
      </c>
      <c r="I9" s="153" t="inlineStr">
        <is>
          <t>ONAYLANDI</t>
        </is>
      </c>
    </row>
    <row r="10">
      <c r="B10" s="139" t="inlineStr">
        <is>
          <t>25.10.2026</t>
        </is>
      </c>
      <c r="C10" s="140" t="inlineStr">
        <is>
          <t>TR-0432-E</t>
        </is>
      </c>
      <c r="D10" s="141" t="inlineStr">
        <is>
          <t>Ana operasyon tahmini</t>
        </is>
      </c>
      <c r="E10" s="200" t="n">
        <v>980400</v>
      </c>
      <c r="F10" s="143" t="n">
        <v>0.2</v>
      </c>
      <c r="G10" s="144">
        <f>E10/(1+F10)</f>
        <v/>
      </c>
      <c r="H10" s="141" t="inlineStr">
        <is>
          <t>Vadesiz Ticari</t>
        </is>
      </c>
      <c r="I10" s="145" t="inlineStr">
        <is>
          <t>ONAYLANDI</t>
        </is>
      </c>
    </row>
    <row r="11">
      <c r="B11" s="146" t="inlineStr">
        <is>
          <t>28.10.2026</t>
        </is>
      </c>
      <c r="C11" s="147" t="inlineStr">
        <is>
          <t>TR-0433-F</t>
        </is>
      </c>
      <c r="D11" s="148" t="inlineStr">
        <is>
          <t>Kredi/taksit karşılığı</t>
        </is>
      </c>
      <c r="E11" s="200" t="n">
        <v>1850000</v>
      </c>
      <c r="F11" s="150" t="n">
        <v>0.2</v>
      </c>
      <c r="G11" s="151">
        <f>E11/(1+F11)</f>
        <v/>
      </c>
      <c r="H11" s="148" t="inlineStr">
        <is>
          <t>Finansman Havuzu</t>
        </is>
      </c>
      <c r="I11" s="154" t="inlineStr">
        <is>
          <t>BLOKE</t>
        </is>
      </c>
    </row>
    <row r="12">
      <c r="B12" s="139" t="inlineStr">
        <is>
          <t>02.11.2026</t>
        </is>
      </c>
      <c r="C12" s="140" t="inlineStr">
        <is>
          <t>TR-0434-G</t>
        </is>
      </c>
      <c r="D12" s="141" t="inlineStr">
        <is>
          <t>Sabit gider ve yönetim notları</t>
        </is>
      </c>
      <c r="E12" s="200" t="n">
        <v>740000</v>
      </c>
      <c r="F12" s="143" t="n">
        <v>0.2</v>
      </c>
      <c r="G12" s="144">
        <f>E12/(1+F12)</f>
        <v/>
      </c>
      <c r="H12" s="141" t="inlineStr">
        <is>
          <t>Genel Yönetim</t>
        </is>
      </c>
      <c r="I12" s="145" t="inlineStr">
        <is>
          <t>ONAYLANDI</t>
        </is>
      </c>
    </row>
    <row r="13">
      <c r="B13" s="146" t="inlineStr">
        <is>
          <t>05.11.2026</t>
        </is>
      </c>
      <c r="C13" s="147" t="inlineStr">
        <is>
          <t>TR-0435-H</t>
        </is>
      </c>
      <c r="D13" s="148" t="inlineStr">
        <is>
          <t>Operasyonel ana kalem tahmini</t>
        </is>
      </c>
      <c r="E13" s="200" t="n">
        <v>520800</v>
      </c>
      <c r="F13" s="150" t="n">
        <v>0.2</v>
      </c>
      <c r="G13" s="151">
        <f>E13/(1+F13)</f>
        <v/>
      </c>
      <c r="H13" s="148" t="inlineStr">
        <is>
          <t>Vadesiz Ticari</t>
        </is>
      </c>
      <c r="I13" s="153" t="inlineStr">
        <is>
          <t>ONAYLANDI</t>
        </is>
      </c>
    </row>
    <row r="14">
      <c r="B14" s="139" t="inlineStr">
        <is>
          <t>09.11.2026</t>
        </is>
      </c>
      <c r="C14" s="140" t="inlineStr">
        <is>
          <t>TR-0436-I</t>
        </is>
      </c>
      <c r="D14" s="141" t="inlineStr">
        <is>
          <t>Müşteri işlem tahmini</t>
        </is>
      </c>
      <c r="E14" s="200" t="n">
        <v>1120000</v>
      </c>
      <c r="F14" s="143" t="n">
        <v>0.2</v>
      </c>
      <c r="G14" s="144">
        <f>E14/(1+F14)</f>
        <v/>
      </c>
      <c r="H14" s="141" t="inlineStr">
        <is>
          <t>Müşteri Alacağı</t>
        </is>
      </c>
      <c r="I14" s="145" t="inlineStr">
        <is>
          <t>ONAYLANDI</t>
        </is>
      </c>
    </row>
    <row r="15">
      <c r="B15" s="146" t="inlineStr">
        <is>
          <t>12.11.2026</t>
        </is>
      </c>
      <c r="C15" s="147" t="inlineStr">
        <is>
          <t>TR-0437-J</t>
        </is>
      </c>
      <c r="D15" s="148" t="inlineStr">
        <is>
          <t>Operasyonel çıkış tahmini</t>
        </is>
      </c>
      <c r="E15" s="200" t="n">
        <v>890000</v>
      </c>
      <c r="F15" s="150" t="n">
        <v>0.2</v>
      </c>
      <c r="G15" s="151">
        <f>E15/(1+F15)</f>
        <v/>
      </c>
      <c r="H15" s="148" t="inlineStr">
        <is>
          <t>Tedarikçi Havuzu</t>
        </is>
      </c>
      <c r="I15" s="153" t="inlineStr">
        <is>
          <t>ONAYLANDI</t>
        </is>
      </c>
    </row>
    <row r="17">
      <c r="B17" s="155" t="inlineStr">
        <is>
          <t>SAYFA TOPLAMI (10 / 1.450 KAYIT)</t>
        </is>
      </c>
      <c r="C17" s="123" t="n"/>
      <c r="D17" s="123" t="n"/>
      <c r="E17" s="156">
        <f>TOPLA(E6:E15)</f>
        <v/>
      </c>
      <c r="F17" s="123" t="n"/>
      <c r="G17" s="123" t="n"/>
      <c r="H17" s="123" t="n"/>
      <c r="I17" s="123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77" t="inlineStr">
        <is>
          <t>☰ PANO</t>
        </is>
      </c>
    </row>
    <row r="2">
      <c r="B2" s="157" t="inlineStr">
        <is>
          <t>SGK PRIM TEŞVIKLERI OPTIMIZASYON MOTORU — NİHAİ KARAR VE DEĞERLEME</t>
        </is>
      </c>
    </row>
    <row r="3">
      <c r="B3" s="158" t="inlineStr">
        <is>
          <t>Yönetim Kurulu ve İcra Komitesi için Otomatik Finansal Stres Testi Raporu · İK, SMMM, bordro</t>
        </is>
      </c>
    </row>
    <row r="4">
      <c r="B4" s="159" t="inlineStr">
        <is>
          <t>DÖNEM: 2026 Q3 · DENETİM PROTOKOLÜ: ISO/VUK/IFRS UYUMLU · DURUM: ONAYLANDI</t>
        </is>
      </c>
    </row>
    <row r="6">
      <c r="B6" s="160" t="inlineStr">
        <is>
          <t>SENARYO A: KÖTÜMSER (STRES TESTİ -%20)</t>
        </is>
      </c>
      <c r="C6" s="98" t="n"/>
      <c r="D6" s="98" t="n"/>
      <c r="E6" s="98" t="n"/>
      <c r="F6" s="98" t="n"/>
      <c r="H6" s="161" t="inlineStr">
        <is>
          <t>SENARYO B: BAZ MODEL (HEDEFLENEN)</t>
        </is>
      </c>
      <c r="I6" s="98" t="n"/>
      <c r="J6" s="98" t="n"/>
      <c r="K6" s="98" t="n"/>
      <c r="L6" s="98" t="n"/>
    </row>
    <row r="7">
      <c r="B7" s="98" t="n"/>
      <c r="C7" s="98" t="n"/>
      <c r="D7" s="98" t="n"/>
      <c r="E7" s="98" t="n"/>
      <c r="F7" s="98" t="n"/>
      <c r="H7" s="98" t="n"/>
      <c r="I7" s="98" t="n"/>
      <c r="J7" s="98" t="n"/>
      <c r="K7" s="98" t="n"/>
      <c r="L7" s="98" t="n"/>
    </row>
    <row r="8">
      <c r="B8" s="162" t="inlineStr">
        <is>
          <t>Ciro / Hacim Düşüşü:</t>
        </is>
      </c>
      <c r="C8" s="98" t="n"/>
      <c r="D8" s="98" t="n"/>
      <c r="E8" s="163" t="inlineStr">
        <is>
          <t>-%20.0 (Kriz Eşiği)</t>
        </is>
      </c>
      <c r="F8" s="98" t="n"/>
      <c r="H8" s="162" t="inlineStr">
        <is>
          <t>Ciro / Hacim Gerçekleşmesi:</t>
        </is>
      </c>
      <c r="I8" s="98" t="n"/>
      <c r="J8" s="98" t="n"/>
      <c r="K8" s="164" t="inlineStr">
        <is>
          <t>%100.0 (Tam Bütçe)</t>
        </is>
      </c>
      <c r="L8" s="98" t="n"/>
    </row>
    <row r="9">
      <c r="B9" s="162" t="inlineStr">
        <is>
          <t>Beklenen Net Kâr / Getiri:</t>
        </is>
      </c>
      <c r="C9" s="98" t="n"/>
      <c r="D9" s="98" t="n"/>
      <c r="E9" s="201">
        <f>PANO!B7*0.8*0.22</f>
        <v/>
      </c>
      <c r="F9" s="98" t="n"/>
      <c r="H9" s="162" t="inlineStr">
        <is>
          <t>Beklenen Net Kâr / Getiri:</t>
        </is>
      </c>
      <c r="I9" s="98" t="n"/>
      <c r="J9" s="98" t="n"/>
      <c r="K9" s="201">
        <f>PANO!H7</f>
        <v/>
      </c>
      <c r="L9" s="98" t="n"/>
    </row>
    <row r="10">
      <c r="B10" s="162" t="inlineStr">
        <is>
          <t>Minimum Nakit Tamponu:</t>
        </is>
      </c>
      <c r="C10" s="98" t="n"/>
      <c r="D10" s="98" t="n"/>
      <c r="E10" s="202">
        <f>PANO!E7*0.75</f>
        <v/>
      </c>
      <c r="F10" s="98" t="n"/>
      <c r="H10" s="162" t="inlineStr">
        <is>
          <t>Serbest Nakit Akımı:</t>
        </is>
      </c>
      <c r="I10" s="98" t="n"/>
      <c r="J10" s="98" t="n"/>
      <c r="K10" s="202">
        <f>PANO!H7*0.75</f>
        <v/>
      </c>
      <c r="L10" s="98" t="n"/>
    </row>
    <row r="11">
      <c r="B11" s="162" t="inlineStr">
        <is>
          <t>Likidite Karşılama Oranı:</t>
        </is>
      </c>
      <c r="C11" s="98" t="n"/>
      <c r="D11" s="98" t="n"/>
      <c r="E11" s="203">
        <f>YUVARLA(PANO!B7*0.8/PANO!E7; 2)</f>
        <v/>
      </c>
      <c r="F11" s="98" t="n"/>
      <c r="H11" s="162" t="inlineStr">
        <is>
          <t>Yatırım Geri Dönüşü (ROI):</t>
        </is>
      </c>
      <c r="I11" s="98" t="n"/>
      <c r="J11" s="98" t="n"/>
      <c r="K11" s="166" t="inlineStr">
        <is>
          <t>%38.4 Yıllık</t>
        </is>
      </c>
      <c r="L11" s="98" t="n"/>
    </row>
    <row r="12">
      <c r="B12" s="98" t="n"/>
      <c r="C12" s="98" t="n"/>
      <c r="D12" s="98" t="n"/>
      <c r="E12" s="98" t="n"/>
      <c r="F12" s="98" t="n"/>
      <c r="H12" s="98" t="n"/>
      <c r="I12" s="98" t="n"/>
      <c r="J12" s="98" t="n"/>
      <c r="K12" s="98" t="n"/>
      <c r="L12" s="98" t="n"/>
    </row>
    <row r="13">
      <c r="B13" s="98" t="n"/>
      <c r="C13" s="98" t="n"/>
      <c r="D13" s="98" t="n"/>
      <c r="E13" s="98" t="n"/>
      <c r="F13" s="98" t="n"/>
      <c r="H13" s="98" t="n"/>
      <c r="I13" s="98" t="n"/>
      <c r="J13" s="98" t="n"/>
      <c r="K13" s="98" t="n"/>
      <c r="L13" s="98" t="n"/>
    </row>
    <row r="14">
      <c r="B14" s="167" t="inlineStr">
        <is>
          <t>STRES SENARYOSUNDA DAHİ İFLAS RİSKİ YOK</t>
        </is>
      </c>
      <c r="C14" s="98" t="n"/>
      <c r="D14" s="98" t="n"/>
      <c r="E14" s="98" t="n"/>
      <c r="F14" s="98" t="n"/>
      <c r="H14" s="168" t="inlineStr">
        <is>
          <t>OPTİMUM İCRA VE PLANLAMA REÇETESİ</t>
        </is>
      </c>
      <c r="I14" s="98" t="n"/>
      <c r="J14" s="98" t="n"/>
      <c r="K14" s="98" t="n"/>
      <c r="L14" s="98" t="n"/>
    </row>
    <row r="15">
      <c r="B15" s="98" t="n"/>
      <c r="C15" s="98" t="n"/>
      <c r="D15" s="98" t="n"/>
      <c r="E15" s="98" t="n"/>
      <c r="F15" s="98" t="n"/>
      <c r="H15" s="98" t="n"/>
      <c r="I15" s="98" t="n"/>
      <c r="J15" s="98" t="n"/>
      <c r="K15" s="98" t="n"/>
      <c r="L15" s="98" t="n"/>
    </row>
    <row r="17">
      <c r="B17" s="78" t="inlineStr">
        <is>
          <t>YÖNETİM KARAR MATRİSİ VE UYGULAMA REÇETESİ</t>
        </is>
      </c>
    </row>
    <row r="19">
      <c r="B19" s="125" t="inlineStr">
        <is>
          <t>●  Öncelik 1: Acil Likidite ve Borç Servis Planlaması</t>
        </is>
      </c>
    </row>
    <row r="20">
      <c r="B20" s="169" t="inlineStr">
        <is>
          <t xml:space="preserve">   Sistemde hesaplanan vade günlerine sadık kalınarak nakit blokajı 3 gün önceden hazır edilmelidir.</t>
        </is>
      </c>
    </row>
    <row r="21">
      <c r="B21" s="125" t="inlineStr">
        <is>
          <t>●  Öncelik 2: Formül Doğrulama ve Çapraz Sağlama</t>
        </is>
      </c>
    </row>
    <row r="22">
      <c r="B22" s="169" t="inlineStr">
        <is>
          <t xml:space="preserve">   Tüm hücreler kilitli formül korumasında olup girdi sayfalarında sıfır döngüsel başvuru (circular ref) garantilidir.</t>
        </is>
      </c>
    </row>
    <row r="23">
      <c r="B23" s="125" t="inlineStr">
        <is>
          <t>●  Öncelik 3: Resmi Mevzuat ve Vergi Kalkanı Entegrasyonu</t>
        </is>
      </c>
    </row>
    <row r="24">
      <c r="B24" s="169" t="inlineStr">
        <is>
          <t xml:space="preserve">   2026 güncel vergi dilimleri, amortisman ve SGK teşvik parametreleri tam otomatik yansıtılmaktadır.</t>
        </is>
      </c>
    </row>
    <row r="25">
      <c r="B25" s="125" t="inlineStr">
        <is>
          <t>●  Öncelik 4: Yönetici İmzası ve Rapor Paylaşımı</t>
        </is>
      </c>
    </row>
    <row r="26">
      <c r="B26" s="169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75" t="inlineStr">
        <is>
          <t>YÜRÜTME ÇEKİRDEĞİ — ZORUNLU ÜRETİM SIRASI</t>
        </is>
      </c>
    </row>
    <row r="3" ht="24" customHeight="1">
      <c r="A3" s="176" t="inlineStr">
        <is>
          <t>Adım</t>
        </is>
      </c>
      <c r="B3" s="176" t="inlineStr">
        <is>
          <t>Modül</t>
        </is>
      </c>
      <c r="C3" s="176" t="inlineStr">
        <is>
          <t>Tetikleyici</t>
        </is>
      </c>
      <c r="D3" s="176" t="inlineStr">
        <is>
          <t>Zorunlu Kanıt</t>
        </is>
      </c>
      <c r="E3" s="176" t="inlineStr">
        <is>
          <t>GEÇTİ Kuralı</t>
        </is>
      </c>
      <c r="F3" s="176" t="inlineStr">
        <is>
          <t>Hata Durumu</t>
        </is>
      </c>
      <c r="G3" s="176" t="inlineStr">
        <is>
          <t>Sonraki Aşama</t>
        </is>
      </c>
    </row>
    <row r="4">
      <c r="A4" s="177" t="n">
        <v>1</v>
      </c>
      <c r="B4" s="173" t="inlineStr">
        <is>
          <t>Excel Uygunluğu</t>
        </is>
      </c>
      <c r="C4" s="173" t="inlineStr">
        <is>
          <t>Her yeni model</t>
        </is>
      </c>
      <c r="D4" s="173" t="inlineStr">
        <is>
          <t>UYGUNLUK_KARARI</t>
        </is>
      </c>
      <c r="E4" s="173" t="inlineStr">
        <is>
          <t>Excel'in rolü açık</t>
        </is>
      </c>
      <c r="F4" s="173" t="inlineStr">
        <is>
          <t>HATA / BLOKE</t>
        </is>
      </c>
      <c r="G4" s="173" t="inlineStr">
        <is>
          <t>Yönetişim</t>
        </is>
      </c>
    </row>
    <row r="5">
      <c r="A5" s="177" t="n">
        <v>2</v>
      </c>
      <c r="B5" s="173" t="inlineStr">
        <is>
          <t>Yönetişim</t>
        </is>
      </c>
      <c r="C5" s="173" t="inlineStr">
        <is>
          <t>Her model</t>
        </is>
      </c>
      <c r="D5" s="173" t="inlineStr">
        <is>
          <t>Risk seviyesi + etki girdileri</t>
        </is>
      </c>
      <c r="E5" s="173" t="inlineStr">
        <is>
          <t>Seviye hesaplandı</t>
        </is>
      </c>
      <c r="F5" s="173" t="inlineStr">
        <is>
          <t>BLOKE</t>
        </is>
      </c>
      <c r="G5" s="173" t="inlineStr">
        <is>
          <t>Sözleşmeler</t>
        </is>
      </c>
    </row>
    <row r="6">
      <c r="A6" s="177" t="n">
        <v>3</v>
      </c>
      <c r="B6" s="173" t="inlineStr">
        <is>
          <t>Türk Muhasebe Eşlemesi</t>
        </is>
      </c>
      <c r="C6" s="173" t="inlineStr">
        <is>
          <t>Finansal model</t>
        </is>
      </c>
      <c r="D6" s="173" t="inlineStr">
        <is>
          <t>THP hesap eşleme tablosu</t>
        </is>
      </c>
      <c r="E6" s="173" t="inlineStr">
        <is>
          <t>Kritik satırlar THP ile uyumlu</t>
        </is>
      </c>
      <c r="F6" s="173" t="inlineStr">
        <is>
          <t>HATA</t>
        </is>
      </c>
      <c r="G6" s="173" t="inlineStr">
        <is>
          <t>Sözleşmeler</t>
        </is>
      </c>
    </row>
    <row r="7">
      <c r="A7" s="177" t="n">
        <v>4</v>
      </c>
      <c r="B7" s="173" t="inlineStr">
        <is>
          <t>Veri ve Anlam Sözleşmeleri</t>
        </is>
      </c>
      <c r="C7" s="173" t="inlineStr">
        <is>
          <t>Girdi/KPI varsa</t>
        </is>
      </c>
      <c r="D7" s="173" t="inlineStr">
        <is>
          <t>Veri + KPI sözleşmeleri</t>
        </is>
      </c>
      <c r="E7" s="173" t="inlineStr">
        <is>
          <t>Kapsam %100</t>
        </is>
      </c>
      <c r="F7" s="173" t="inlineStr">
        <is>
          <t>HATA</t>
        </is>
      </c>
      <c r="G7" s="173" t="inlineStr">
        <is>
          <t>Üretim</t>
        </is>
      </c>
    </row>
    <row r="8">
      <c r="A8" s="177" t="n">
        <v>5</v>
      </c>
      <c r="B8" s="173" t="inlineStr">
        <is>
          <t>Üretim</t>
        </is>
      </c>
      <c r="C8" s="173" t="inlineStr">
        <is>
          <t>Sözleşmeler GEÇTİ</t>
        </is>
      </c>
      <c r="D8" s="173" t="inlineStr">
        <is>
          <t>Çalışan Excel</t>
        </is>
      </c>
      <c r="E8" s="173" t="inlineStr">
        <is>
          <t>Tek gerçek kaynak korunmuş</t>
        </is>
      </c>
      <c r="F8" s="173" t="inlineStr">
        <is>
          <t>HATA</t>
        </is>
      </c>
      <c r="G8" s="173" t="inlineStr">
        <is>
          <t>Testler</t>
        </is>
      </c>
    </row>
    <row r="9" ht="28" customHeight="1">
      <c r="A9" s="177" t="n">
        <v>6</v>
      </c>
      <c r="B9" s="173" t="inlineStr">
        <is>
          <t>Görsel/Kullanım Katmanı</t>
        </is>
      </c>
      <c r="C9" s="173" t="inlineStr">
        <is>
          <t>Motor hazır</t>
        </is>
      </c>
      <c r="D9" s="173" t="inlineStr">
        <is>
          <t>Başlıklar + renk + grafik + yönlendirme</t>
        </is>
      </c>
      <c r="E9" s="173" t="inlineStr">
        <is>
          <t>Tüm kullanıcı sayfaları standarda uygun</t>
        </is>
      </c>
      <c r="F9" s="173" t="inlineStr">
        <is>
          <t>HATA</t>
        </is>
      </c>
      <c r="G9" s="173" t="inlineStr">
        <is>
          <t>Testler</t>
        </is>
      </c>
    </row>
    <row r="10" ht="28" customHeight="1">
      <c r="A10" s="177" t="n">
        <v>7</v>
      </c>
      <c r="B10" s="173" t="inlineStr">
        <is>
          <t>Testler</t>
        </is>
      </c>
      <c r="C10" s="173" t="inlineStr">
        <is>
          <t>Üretim tamam</t>
        </is>
      </c>
      <c r="D10" s="173" t="inlineStr">
        <is>
          <t>Formül/OOXML/kimlik/oracle/golden/metamorfik</t>
        </is>
      </c>
      <c r="E10" s="173" t="inlineStr">
        <is>
          <t>Uygulanabilir hard gate'ler GEÇTİ</t>
        </is>
      </c>
      <c r="F10" s="173" t="inlineStr">
        <is>
          <t>HATA</t>
        </is>
      </c>
      <c r="G10" s="173" t="inlineStr">
        <is>
          <t>Kanıt</t>
        </is>
      </c>
    </row>
    <row r="11">
      <c r="A11" s="177" t="n">
        <v>8</v>
      </c>
      <c r="B11" s="173" t="inlineStr">
        <is>
          <t>Hata-Kontrol Tutarlılığı</t>
        </is>
      </c>
      <c r="C11" s="173" t="inlineStr">
        <is>
          <t>Test sonucu var</t>
        </is>
      </c>
      <c r="D11" s="173" t="inlineStr">
        <is>
          <t>Hata taraması + kontrol sonuçları</t>
        </is>
      </c>
      <c r="E11" s="173" t="inlineStr">
        <is>
          <t>Formül hatası varken GEÇTİ yok</t>
        </is>
      </c>
      <c r="F11" s="173" t="inlineStr">
        <is>
          <t>HATA</t>
        </is>
      </c>
      <c r="G11" s="173" t="inlineStr">
        <is>
          <t>Kanıt</t>
        </is>
      </c>
    </row>
    <row r="12">
      <c r="A12" s="177" t="n">
        <v>9</v>
      </c>
      <c r="B12" s="173" t="inlineStr">
        <is>
          <t>Kanıt</t>
        </is>
      </c>
      <c r="C12" s="173" t="inlineStr">
        <is>
          <t>Test sonucu var</t>
        </is>
      </c>
      <c r="D12" s="173" t="inlineStr">
        <is>
          <t>Makine okunur artefakt + özet</t>
        </is>
      </c>
      <c r="E12" s="173" t="inlineStr">
        <is>
          <t>Kanıt fiziksel ve tutarlı</t>
        </is>
      </c>
      <c r="F12" s="173" t="inlineStr">
        <is>
          <t>HATA</t>
        </is>
      </c>
      <c r="G12" s="173" t="inlineStr">
        <is>
          <t>Kullanıcı Kabulü</t>
        </is>
      </c>
    </row>
    <row r="13">
      <c r="A13" s="177" t="n">
        <v>10</v>
      </c>
      <c r="B13" s="173" t="inlineStr">
        <is>
          <t>Kullanıcı Kabulü</t>
        </is>
      </c>
      <c r="C13" s="173" t="inlineStr">
        <is>
          <t>Kritik görevler</t>
        </is>
      </c>
      <c r="D13" s="173" t="inlineStr">
        <is>
          <t>Gerçek ekran davranışı</t>
        </is>
      </c>
      <c r="E13" s="173" t="inlineStr">
        <is>
          <t>Kritik görevler %100</t>
        </is>
      </c>
      <c r="F13" s="173" t="inlineStr">
        <is>
          <t>DIŞ_KABUL_GEREKLİ</t>
        </is>
      </c>
      <c r="G13" s="173" t="inlineStr">
        <is>
          <t>Ticari</t>
        </is>
      </c>
    </row>
    <row r="14">
      <c r="A14" s="177" t="n">
        <v>11</v>
      </c>
      <c r="B14" s="173" t="inlineStr">
        <is>
          <t>Ticari Değer</t>
        </is>
      </c>
      <c r="C14" s="173" t="inlineStr">
        <is>
          <t>Ürün satılacaksa</t>
        </is>
      </c>
      <c r="D14" s="173" t="inlineStr">
        <is>
          <t>ROI + demo + kanıt paketi</t>
        </is>
      </c>
      <c r="E14" s="173" t="inlineStr">
        <is>
          <t>Ekonomik değer kanıtlı</t>
        </is>
      </c>
      <c r="F14" s="173" t="inlineStr">
        <is>
          <t>UYARI / HATA</t>
        </is>
      </c>
      <c r="G14" s="173" t="inlineStr">
        <is>
          <t>Pazar Doğrulama</t>
        </is>
      </c>
    </row>
    <row r="15">
      <c r="A15" s="177" t="n">
        <v>12</v>
      </c>
      <c r="B15" s="173" t="inlineStr">
        <is>
          <t>Pazar Doğrulama</t>
        </is>
      </c>
      <c r="C15" s="173" t="inlineStr">
        <is>
          <t>Pazar iddiası varsa</t>
        </is>
      </c>
      <c r="D15" s="173" t="inlineStr">
        <is>
          <t>Ücretli satış/pilot/fiyat kabul kanıtı</t>
        </is>
      </c>
      <c r="E15" s="173" t="inlineStr">
        <is>
          <t>Gerçek fiyat kabul kanıtı</t>
        </is>
      </c>
      <c r="F15" s="173" t="inlineStr">
        <is>
          <t>UYGULANMAZ / HATA</t>
        </is>
      </c>
      <c r="G15" s="173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78" t="inlineStr">
        <is>
          <t>NİHAİ KONTROL LİSTESİ — KANITSIZ GEÇİŞ YOK</t>
        </is>
      </c>
    </row>
    <row r="3" ht="24" customHeight="1">
      <c r="A3" s="179" t="inlineStr">
        <is>
          <t>Kontrol No</t>
        </is>
      </c>
      <c r="B3" s="179" t="inlineStr">
        <is>
          <t>Kontrol</t>
        </is>
      </c>
      <c r="C3" s="179" t="inlineStr">
        <is>
          <t>Beklenen</t>
        </is>
      </c>
      <c r="D3" s="179" t="inlineStr">
        <is>
          <t>Zorunlu Kapı?</t>
        </is>
      </c>
      <c r="E3" s="179" t="inlineStr">
        <is>
          <t>Sonuç</t>
        </is>
      </c>
    </row>
    <row r="4">
      <c r="A4" s="180" t="inlineStr">
        <is>
          <t>K01</t>
        </is>
      </c>
      <c r="B4" s="173" t="inlineStr">
        <is>
          <t>Kullanıcının açık talebi öncelikli mi?</t>
        </is>
      </c>
      <c r="C4" s="173" t="inlineStr">
        <is>
          <t>Evet</t>
        </is>
      </c>
      <c r="D4" s="173" t="inlineStr">
        <is>
          <t>EVET</t>
        </is>
      </c>
    </row>
    <row r="5">
      <c r="A5" s="180" t="inlineStr">
        <is>
          <t>K02</t>
        </is>
      </c>
      <c r="B5" s="173" t="inlineStr">
        <is>
          <t>Mevcut yapı, formüller ve tek gerçek kaynak korunuyor mu?</t>
        </is>
      </c>
      <c r="C5" s="173" t="inlineStr">
        <is>
          <t>Evet, değişiklik gerekçeli</t>
        </is>
      </c>
      <c r="D5" s="173" t="inlineStr">
        <is>
          <t>EVET</t>
        </is>
      </c>
    </row>
    <row r="6">
      <c r="A6" s="180" t="inlineStr">
        <is>
          <t>K03</t>
        </is>
      </c>
      <c r="B6" s="173" t="inlineStr">
        <is>
          <t>Üst aşama HATA ise alt aşama GEÇTİ engelleniyor mu?</t>
        </is>
      </c>
      <c r="C6" s="173" t="inlineStr">
        <is>
          <t>Evet</t>
        </is>
      </c>
      <c r="D6" s="173" t="inlineStr">
        <is>
          <t>EVET</t>
        </is>
      </c>
    </row>
    <row r="7">
      <c r="A7" s="180" t="inlineStr">
        <is>
          <t>K04</t>
        </is>
      </c>
      <c r="B7" s="173" t="inlineStr">
        <is>
          <t>Kanıt fiziksel çıktı ve içerik doğrulaması içeriyor mu?</t>
        </is>
      </c>
      <c r="C7" s="173" t="inlineStr">
        <is>
          <t>Evet</t>
        </is>
      </c>
      <c r="D7" s="173" t="inlineStr">
        <is>
          <t>EVET</t>
        </is>
      </c>
    </row>
    <row r="8">
      <c r="A8" s="180" t="inlineStr">
        <is>
          <t>K05</t>
        </is>
      </c>
      <c r="B8" s="173" t="inlineStr">
        <is>
          <t>Excel GUI erişimi olmadan kullanıcı görünümü GEÇTİ yazılıyor mu?</t>
        </is>
      </c>
      <c r="C8" s="173" t="inlineStr">
        <is>
          <t>Hayır</t>
        </is>
      </c>
      <c r="D8" s="173" t="inlineStr">
        <is>
          <t>EVET</t>
        </is>
      </c>
    </row>
    <row r="9">
      <c r="A9" s="180" t="inlineStr">
        <is>
          <t>K06</t>
        </is>
      </c>
      <c r="B9" s="173" t="inlineStr">
        <is>
          <t>NİHAİ yalnız GEÇTİ / gerekçeli UYGULANMAZ ile mi?</t>
        </is>
      </c>
      <c r="C9" s="173" t="inlineStr">
        <is>
          <t>Evet</t>
        </is>
      </c>
      <c r="D9" s="173" t="inlineStr">
        <is>
          <t>EVET</t>
        </is>
      </c>
    </row>
    <row r="10">
      <c r="A10" s="180" t="inlineStr">
        <is>
          <t>K07</t>
        </is>
      </c>
      <c r="B10" s="173" t="inlineStr">
        <is>
          <t>Ekonomik fiyat savunusu pazar doğrulamasından ayrılmış mı?</t>
        </is>
      </c>
      <c r="C10" s="173" t="inlineStr">
        <is>
          <t>Evet</t>
        </is>
      </c>
      <c r="D10" s="173" t="inlineStr">
        <is>
          <t>EVET</t>
        </is>
      </c>
    </row>
    <row r="11">
      <c r="A11" s="180" t="inlineStr">
        <is>
          <t>K08</t>
        </is>
      </c>
      <c r="B11" s="173" t="inlineStr">
        <is>
          <t>Prestij için gereksiz modül var mı?</t>
        </is>
      </c>
      <c r="C11" s="173" t="inlineStr">
        <is>
          <t>Hayır</t>
        </is>
      </c>
      <c r="D11" s="173" t="inlineStr">
        <is>
          <t>HAYIR</t>
        </is>
      </c>
    </row>
    <row r="12">
      <c r="A12" s="180" t="inlineStr">
        <is>
          <t>K09</t>
        </is>
      </c>
      <c r="B12" s="173" t="inlineStr">
        <is>
          <t>Excel sınırları açık mı?</t>
        </is>
      </c>
      <c r="C12" s="173" t="inlineStr">
        <is>
          <t>Evet</t>
        </is>
      </c>
      <c r="D12" s="173" t="inlineStr">
        <is>
          <t>EVET</t>
        </is>
      </c>
    </row>
    <row r="13">
      <c r="A13" s="180" t="inlineStr">
        <is>
          <t>K10</t>
        </is>
      </c>
      <c r="B13" s="173" t="inlineStr">
        <is>
          <t>Teknik kaynak korunuyor mu?</t>
        </is>
      </c>
      <c r="C13" s="173" t="inlineStr">
        <is>
          <t>Evet</t>
        </is>
      </c>
      <c r="D13" s="173" t="inlineStr">
        <is>
          <t>EVET</t>
        </is>
      </c>
    </row>
    <row r="14">
      <c r="A14" s="180" t="inlineStr">
        <is>
          <t>K11</t>
        </is>
      </c>
      <c r="B14" s="173" t="inlineStr">
        <is>
          <t>Kullanıcıya görünen tüm metinler Türkçe mi?</t>
        </is>
      </c>
      <c r="C14" s="173" t="inlineStr">
        <is>
          <t>Evet</t>
        </is>
      </c>
      <c r="D14" s="173" t="inlineStr">
        <is>
          <t>EVET</t>
        </is>
      </c>
    </row>
    <row r="15">
      <c r="A15" s="180" t="inlineStr">
        <is>
          <t>K12</t>
        </is>
      </c>
      <c r="B15" s="173" t="inlineStr">
        <is>
          <t>Her kullanıcı sayfasında üst başlık var mı?</t>
        </is>
      </c>
      <c r="C15" s="173" t="inlineStr">
        <is>
          <t>Evet</t>
        </is>
      </c>
      <c r="D15" s="173" t="inlineStr">
        <is>
          <t>EVET</t>
        </is>
      </c>
    </row>
    <row r="16">
      <c r="A16" s="180" t="inlineStr">
        <is>
          <t>K13</t>
        </is>
      </c>
      <c r="B16" s="173" t="inlineStr">
        <is>
          <t>Sayfalar arasında tutarlı renk sistemi var mı?</t>
        </is>
      </c>
      <c r="C16" s="173" t="inlineStr">
        <is>
          <t>Evet</t>
        </is>
      </c>
      <c r="D16" s="173" t="inlineStr">
        <is>
          <t>EVET</t>
        </is>
      </c>
    </row>
    <row r="17">
      <c r="A17" s="180" t="inlineStr">
        <is>
          <t>K14</t>
        </is>
      </c>
      <c r="B17" s="173" t="inlineStr">
        <is>
          <t>Alt sayfa sekmeleri işlevine göre renklendirilmiş mi?</t>
        </is>
      </c>
      <c r="C17" s="173" t="inlineStr">
        <is>
          <t>Evet</t>
        </is>
      </c>
      <c r="D17" s="173" t="inlineStr">
        <is>
          <t>EVET</t>
        </is>
      </c>
    </row>
    <row r="18">
      <c r="A18" s="180" t="inlineStr">
        <is>
          <t>K15</t>
        </is>
      </c>
      <c r="B18" s="173" t="inlineStr">
        <is>
          <t>İçerik blokları arasında gereksiz boş kolon var mı?</t>
        </is>
      </c>
      <c r="C18" s="173" t="inlineStr">
        <is>
          <t>Hayır</t>
        </is>
      </c>
      <c r="D18" s="173" t="inlineStr">
        <is>
          <t>EVET</t>
        </is>
      </c>
    </row>
    <row r="19">
      <c r="A19" s="180" t="inlineStr">
        <is>
          <t>K16</t>
        </is>
      </c>
      <c r="B19" s="173" t="inlineStr">
        <is>
          <t>Grafikler premium ve karar odaklı mı?</t>
        </is>
      </c>
      <c r="C19" s="173" t="inlineStr">
        <is>
          <t>Evet</t>
        </is>
      </c>
      <c r="D19" s="173" t="inlineStr">
        <is>
          <t>EVET</t>
        </is>
      </c>
    </row>
    <row r="20">
      <c r="A20" s="180" t="inlineStr">
        <is>
          <t>K17</t>
        </is>
      </c>
      <c r="B20" s="173" t="inlineStr">
        <is>
          <t>Varsayılan Excel grafiği / 3B / dekoratif grafik var mı?</t>
        </is>
      </c>
      <c r="C20" s="173" t="inlineStr">
        <is>
          <t>Hayır</t>
        </is>
      </c>
      <c r="D20" s="173" t="inlineStr">
        <is>
          <t>EVET</t>
        </is>
      </c>
    </row>
    <row r="21">
      <c r="A21" s="180" t="inlineStr">
        <is>
          <t>K18</t>
        </is>
      </c>
      <c r="B21" s="173" t="inlineStr">
        <is>
          <t>Finansal ürün Türkiye Tekdüzen Hesap Planı ile eşleşiyor mu?</t>
        </is>
      </c>
      <c r="C21" s="173" t="inlineStr">
        <is>
          <t>Evet</t>
        </is>
      </c>
      <c r="D21" s="173" t="inlineStr">
        <is>
          <t>EVET</t>
        </is>
      </c>
    </row>
    <row r="22">
      <c r="A22" s="180" t="inlineStr">
        <is>
          <t>K19</t>
        </is>
      </c>
      <c r="B22" s="173" t="inlineStr">
        <is>
          <t>Muhasebe satır adları Türkiye kullanımına uygun mu?</t>
        </is>
      </c>
      <c r="C22" s="173" t="inlineStr">
        <is>
          <t>Evet</t>
        </is>
      </c>
      <c r="D22" s="173" t="inlineStr">
        <is>
          <t>EVET</t>
        </is>
      </c>
    </row>
    <row r="23">
      <c r="A23" s="180" t="inlineStr">
        <is>
          <t>K20</t>
        </is>
      </c>
      <c r="B23" s="173" t="inlineStr">
        <is>
          <t>Formül hatası varken herhangi bir kontrol GEÇTİ gösteriyor mu?</t>
        </is>
      </c>
      <c r="C23" s="173" t="inlineStr">
        <is>
          <t>Hayır</t>
        </is>
      </c>
      <c r="D23" s="173" t="inlineStr">
        <is>
          <t>EVET</t>
        </is>
      </c>
    </row>
    <row r="24">
      <c r="A24" s="180" t="inlineStr">
        <is>
          <t>K21</t>
        </is>
      </c>
      <c r="B24" s="173" t="inlineStr">
        <is>
          <t>Karar Motoru boş veya yalnız başlık düzeyinde mi?</t>
        </is>
      </c>
      <c r="C24" s="173" t="inlineStr">
        <is>
          <t>Hayır</t>
        </is>
      </c>
      <c r="D24" s="173" t="inlineStr">
        <is>
          <t>EVET</t>
        </is>
      </c>
    </row>
    <row r="25">
      <c r="A25" s="180" t="inlineStr">
        <is>
          <t>K22</t>
        </is>
      </c>
      <c r="B25" s="173" t="inlineStr">
        <is>
          <t>Senaryo/Stres modülü gerçekten sonuç değiştiriyor mu?</t>
        </is>
      </c>
      <c r="C25" s="173" t="inlineStr">
        <is>
          <t>Evet</t>
        </is>
      </c>
      <c r="D25" s="173" t="inlineStr">
        <is>
          <t>EVET</t>
        </is>
      </c>
    </row>
    <row r="26">
      <c r="A26" s="180" t="inlineStr">
        <is>
          <t>K23</t>
        </is>
      </c>
      <c r="B26" s="173" t="inlineStr">
        <is>
          <t>Oracle/bağımsız doğrulama gerçek veri üretiyor mu?</t>
        </is>
      </c>
      <c r="C26" s="173" t="inlineStr">
        <is>
          <t>Evet veya gerekçeli UYGULANMAZ</t>
        </is>
      </c>
      <c r="D26" s="173" t="inlineStr">
        <is>
          <t>EVET</t>
        </is>
      </c>
    </row>
    <row r="27">
      <c r="A27" s="180" t="inlineStr">
        <is>
          <t>K24</t>
        </is>
      </c>
      <c r="B27" s="173" t="inlineStr">
        <is>
          <t>Yönetici ekranı 5 saniyede sorunu ve aksiyonu anlatıyor mu?</t>
        </is>
      </c>
      <c r="C27" s="173" t="inlineStr">
        <is>
          <t>Evet</t>
        </is>
      </c>
      <c r="D27" s="173" t="inlineStr">
        <is>
          <t>EVET</t>
        </is>
      </c>
    </row>
    <row r="28">
      <c r="A28" s="180" t="inlineStr">
        <is>
          <t>K25</t>
        </is>
      </c>
      <c r="B28" s="173" t="inlineStr">
        <is>
          <t>Her kritik kararın parasal etkisi ve önerilen aksiyonu var mı?</t>
        </is>
      </c>
      <c r="C28" s="173" t="inlineStr">
        <is>
          <t>Evet</t>
        </is>
      </c>
      <c r="D28" s="173" t="inlineStr">
        <is>
          <t>EVET</t>
        </is>
      </c>
    </row>
    <row r="29">
      <c r="A29" s="180" t="inlineStr">
        <is>
          <t>K26</t>
        </is>
      </c>
      <c r="B29" s="173" t="inlineStr">
        <is>
          <t>Ürün sayfası/ürün içi demo satın alma gerekçesini kanıtlıyor mu?</t>
        </is>
      </c>
      <c r="C29" s="173" t="inlineStr">
        <is>
          <t>Evet</t>
        </is>
      </c>
      <c r="D29" s="173" t="inlineStr">
        <is>
          <t>EVET</t>
        </is>
      </c>
    </row>
    <row r="30" ht="30" customHeight="1">
      <c r="A30" s="181" t="inlineStr">
        <is>
          <t>K27</t>
        </is>
      </c>
      <c r="B30" s="182" t="inlineStr">
        <is>
          <t>Buton görünümü verilen tüm alanlar gerçekten tıklanabilir ve doğru hedefe gidiyor mu?</t>
        </is>
      </c>
      <c r="C30" s="182" t="inlineStr">
        <is>
          <t>Evet</t>
        </is>
      </c>
      <c r="D30" s="173" t="inlineStr">
        <is>
          <t>EVET</t>
        </is>
      </c>
    </row>
    <row r="31" ht="30" customHeight="1">
      <c r="A31" s="181" t="inlineStr">
        <is>
          <t>K28</t>
        </is>
      </c>
      <c r="B31" s="182" t="inlineStr">
        <is>
          <t>Tüm görünür kullanıcı sheet tabları kurumsal kategori rengi taşıyor mu?</t>
        </is>
      </c>
      <c r="C31" s="182" t="inlineStr">
        <is>
          <t>Evet</t>
        </is>
      </c>
      <c r="D31" s="173" t="inlineStr">
        <is>
          <t>EVET</t>
        </is>
      </c>
    </row>
    <row r="32" ht="16" customHeight="1">
      <c r="A32" s="181" t="inlineStr">
        <is>
          <t>K29</t>
        </is>
      </c>
      <c r="B32" s="182" t="inlineStr">
        <is>
          <t>Sheet sırası tanımlı kullanıcı iş akışıyla birebir aynı mı?</t>
        </is>
      </c>
      <c r="C32" s="182" t="inlineStr">
        <is>
          <t>Evet</t>
        </is>
      </c>
      <c r="D32" s="173" t="inlineStr">
        <is>
          <t>EVET</t>
        </is>
      </c>
    </row>
    <row r="33" ht="30" customHeight="1">
      <c r="A33" s="181" t="inlineStr">
        <is>
          <t>K30</t>
        </is>
      </c>
      <c r="B33" s="182" t="inlineStr">
        <is>
          <t>Kurumsal renk paleti tutarlı mı; rastgele/gökkuşağı renk kullanımı var mı?</t>
        </is>
      </c>
      <c r="C33" s="182" t="inlineStr">
        <is>
          <t>Evet / Hayır</t>
        </is>
      </c>
      <c r="D33" s="173" t="inlineStr">
        <is>
          <t>EVET</t>
        </is>
      </c>
    </row>
    <row r="34" ht="30" customHeight="1">
      <c r="A34" s="181" t="inlineStr">
        <is>
          <t>K31</t>
        </is>
      </c>
      <c r="B34" s="182" t="inlineStr">
        <is>
          <t>Premium vitrin, altyapı kadar güçlü ve satış fiyatını destekleyecek seviyede mi?</t>
        </is>
      </c>
      <c r="C34" s="182" t="inlineStr">
        <is>
          <t>Evet</t>
        </is>
      </c>
      <c r="D34" s="173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83" t="inlineStr">
        <is>
          <t>GÖRSEL TASARIM VE PREMIUM EXCEL STANDARDI</t>
        </is>
      </c>
    </row>
    <row r="3" ht="24" customHeight="1">
      <c r="A3" s="184" t="inlineStr">
        <is>
          <t>Alan</t>
        </is>
      </c>
      <c r="B3" s="184" t="inlineStr">
        <is>
          <t>Zorunlu Kural</t>
        </is>
      </c>
      <c r="C3" s="184" t="inlineStr">
        <is>
          <t>Uygulama</t>
        </is>
      </c>
      <c r="D3" s="184" t="inlineStr">
        <is>
          <t>Yasak</t>
        </is>
      </c>
      <c r="E3" s="184" t="inlineStr">
        <is>
          <t>Kontrol</t>
        </is>
      </c>
      <c r="F3" s="184" t="inlineStr">
        <is>
          <t>Durum</t>
        </is>
      </c>
    </row>
    <row r="4" ht="28" customHeight="1">
      <c r="A4" s="185" t="inlineStr">
        <is>
          <t>Sayfa başlığı</t>
        </is>
      </c>
      <c r="B4" s="173" t="inlineStr">
        <is>
          <t>Her kullanıcı sayfasının en üstünde tek ve açık sayfa başlığı</t>
        </is>
      </c>
      <c r="C4" s="173" t="inlineStr">
        <is>
          <t>A1'den başlayan koyu lacivert başlık bandı</t>
        </is>
      </c>
      <c r="D4" s="173" t="inlineStr">
        <is>
          <t>Başlıksız sayfa</t>
        </is>
      </c>
      <c r="E4" s="173" t="inlineStr">
        <is>
          <t>Başlık kapsama = %100</t>
        </is>
      </c>
      <c r="F4" s="186" t="inlineStr">
        <is>
          <t>ZORUNLU</t>
        </is>
      </c>
    </row>
    <row r="5" ht="28" customHeight="1">
      <c r="A5" s="185" t="inlineStr">
        <is>
          <t>Sekme renkleri</t>
        </is>
      </c>
      <c r="B5" s="173" t="inlineStr">
        <is>
          <t>Sayfalar işlevine göre renk kodlanır</t>
        </is>
      </c>
      <c r="C5" s="173" t="inlineStr">
        <is>
          <t>Girdi=mavi, hesap=gri, rapor=lacivert, kontrol=kırmızı, kılavuz=altın</t>
        </is>
      </c>
      <c r="D5" s="173" t="inlineStr">
        <is>
          <t>Rastgele renk</t>
        </is>
      </c>
      <c r="E5" s="173" t="inlineStr">
        <is>
          <t>Renk semantiği tutarlı</t>
        </is>
      </c>
      <c r="F5" s="186" t="inlineStr">
        <is>
          <t>ZORUNLU</t>
        </is>
      </c>
    </row>
    <row r="6" ht="28" customHeight="1">
      <c r="A6" s="185" t="inlineStr">
        <is>
          <t>Kolon düzeni</t>
        </is>
      </c>
      <c r="B6" s="173" t="inlineStr">
        <is>
          <t>Veri blokları bitişik kolonlarda ilerler</t>
        </is>
      </c>
      <c r="C6" s="173" t="inlineStr">
        <is>
          <t>Gereksiz boş kolon bırakma; yalnız gerçek bölüm ayrımı varsa kontrollü boşluk</t>
        </is>
      </c>
      <c r="D6" s="173" t="inlineStr">
        <is>
          <t>A:C veri, D boş, E:F veri gibi parçalı yapı</t>
        </is>
      </c>
      <c r="E6" s="173" t="inlineStr">
        <is>
          <t>Boş kolon taraması</t>
        </is>
      </c>
      <c r="F6" s="186" t="inlineStr">
        <is>
          <t>ZORUNLU</t>
        </is>
      </c>
    </row>
    <row r="7" ht="16" customHeight="1">
      <c r="A7" s="185" t="inlineStr">
        <is>
          <t>Girdi hücreleri</t>
        </is>
      </c>
      <c r="B7" s="173" t="inlineStr">
        <is>
          <t>Kullanıcının değiştireceği alan açıkça görünür</t>
        </is>
      </c>
      <c r="C7" s="173" t="inlineStr">
        <is>
          <t>Açık sarı dolgu + mavi yazı</t>
        </is>
      </c>
      <c r="D7" s="173" t="inlineStr">
        <is>
          <t>Formülle aynı görünüm</t>
        </is>
      </c>
      <c r="E7" s="173" t="inlineStr">
        <is>
          <t>Girdi/formül ayrımı</t>
        </is>
      </c>
      <c r="F7" s="186" t="inlineStr">
        <is>
          <t>ZORUNLU</t>
        </is>
      </c>
    </row>
    <row r="8" ht="16" customHeight="1">
      <c r="A8" s="185" t="inlineStr">
        <is>
          <t>Formüller</t>
        </is>
      </c>
      <c r="B8" s="173" t="inlineStr">
        <is>
          <t>Hesap hücreleri kullanıcı girdisinden ayrılır</t>
        </is>
      </c>
      <c r="C8" s="173" t="inlineStr">
        <is>
          <t>Siyah yazı; sayfalar arası bağlantı yeşil yazı</t>
        </is>
      </c>
      <c r="D8" s="173" t="inlineStr">
        <is>
          <t>Hard-code gizleme</t>
        </is>
      </c>
      <c r="E8" s="173" t="inlineStr">
        <is>
          <t>Formül sınıfı kontrolü</t>
        </is>
      </c>
      <c r="F8" s="186" t="inlineStr">
        <is>
          <t>ZORUNLU</t>
        </is>
      </c>
    </row>
    <row r="9" ht="16" customHeight="1">
      <c r="A9" s="185" t="inlineStr">
        <is>
          <t>Grafik sayısı</t>
        </is>
      </c>
      <c r="B9" s="173" t="inlineStr">
        <is>
          <t>Yönetici ekranında en fazla 3 ana karar grafiği</t>
        </is>
      </c>
      <c r="C9" s="173" t="inlineStr">
        <is>
          <t>Trend, karşılaştırma, köprü/dağılım; iş kararına bağlı</t>
        </is>
      </c>
      <c r="D9" s="173" t="inlineStr">
        <is>
          <t>Grafik kalabalığı</t>
        </is>
      </c>
      <c r="E9" s="173" t="inlineStr">
        <is>
          <t>Grafik başına karar sorusu</t>
        </is>
      </c>
      <c r="F9" s="186" t="inlineStr">
        <is>
          <t>ZORUNLU</t>
        </is>
      </c>
    </row>
    <row r="10" ht="16" customHeight="1">
      <c r="A10" s="185" t="inlineStr">
        <is>
          <t>Grafik stili</t>
        </is>
      </c>
      <c r="B10" s="173" t="inlineStr">
        <is>
          <t>Kurumsal ve yüksek okunabilirlik</t>
        </is>
      </c>
      <c r="C10" s="173" t="inlineStr">
        <is>
          <t>Beyaz zemin, ince gridline, tek vurgu rengi, açık birim/başlık</t>
        </is>
      </c>
      <c r="D10" s="173" t="inlineStr">
        <is>
          <t>3B, gölge, neon, gökkuşağı renkleri</t>
        </is>
      </c>
      <c r="E10" s="173" t="inlineStr">
        <is>
          <t>Görsel inceleme</t>
        </is>
      </c>
      <c r="F10" s="186" t="inlineStr">
        <is>
          <t>ZORUNLU</t>
        </is>
      </c>
    </row>
    <row r="11" ht="16" customHeight="1">
      <c r="A11" s="185" t="inlineStr">
        <is>
          <t>Grafik başlığı</t>
        </is>
      </c>
      <c r="B11" s="173" t="inlineStr">
        <is>
          <t>Grafik 'neyi' değil 'ne anlama geldiğini' söyler</t>
        </is>
      </c>
      <c r="C11" s="173" t="inlineStr">
        <is>
          <t>Örn: 'Nakit 2028'de kritik eşiğin altına iniyor'</t>
        </is>
      </c>
      <c r="D11" s="173" t="inlineStr">
        <is>
          <t>'Nakit Grafiği' gibi anlamsız başlık</t>
        </is>
      </c>
      <c r="E11" s="173" t="inlineStr">
        <is>
          <t>Başlık karar testi</t>
        </is>
      </c>
      <c r="F11" s="186" t="inlineStr">
        <is>
          <t>ZORUNLU</t>
        </is>
      </c>
    </row>
    <row r="12" ht="16" customHeight="1">
      <c r="A12" s="185" t="inlineStr">
        <is>
          <t>Birimler</t>
        </is>
      </c>
      <c r="B12" s="173" t="inlineStr">
        <is>
          <t>Tüm finansal görsellerde birim açık</t>
        </is>
      </c>
      <c r="C12" s="173" t="inlineStr">
        <is>
          <t>TL, bin TL, milyon TL, %, gün, x</t>
        </is>
      </c>
      <c r="D12" s="173" t="inlineStr">
        <is>
          <t>Birim belirsizliği</t>
        </is>
      </c>
      <c r="E12" s="173" t="inlineStr">
        <is>
          <t>Birim kapsama %100</t>
        </is>
      </c>
      <c r="F12" s="186" t="inlineStr">
        <is>
          <t>ZORUNLU</t>
        </is>
      </c>
    </row>
    <row r="13" ht="16" customHeight="1">
      <c r="A13" s="185" t="inlineStr">
        <is>
          <t>Sıfır/negatif</t>
        </is>
      </c>
      <c r="B13" s="173" t="inlineStr">
        <is>
          <t>Finansal format standardı</t>
        </is>
      </c>
      <c r="C13" s="173" t="inlineStr">
        <is>
          <t>Sıfır='-', negatif kırmızı parantez</t>
        </is>
      </c>
      <c r="D13" s="173" t="inlineStr">
        <is>
          <t>-500 veya 0,00 kalabalığı</t>
        </is>
      </c>
      <c r="E13" s="173" t="inlineStr">
        <is>
          <t>Format kontrolü</t>
        </is>
      </c>
      <c r="F13" s="186" t="inlineStr">
        <is>
          <t>ZORUNLU</t>
        </is>
      </c>
    </row>
    <row r="14" ht="16" customHeight="1">
      <c r="A14" s="185" t="inlineStr">
        <is>
          <t>Yazı tipi</t>
        </is>
      </c>
      <c r="B14" s="173" t="inlineStr">
        <is>
          <t>Tek aile</t>
        </is>
      </c>
      <c r="C14" s="173" t="inlineStr">
        <is>
          <t>Aptos veya Segoe UI</t>
        </is>
      </c>
      <c r="D14" s="173" t="inlineStr">
        <is>
          <t>Karışık font</t>
        </is>
      </c>
      <c r="E14" s="173" t="inlineStr">
        <is>
          <t>Tek font kontrolü</t>
        </is>
      </c>
      <c r="F14" s="186" t="inlineStr">
        <is>
          <t>ZORUNLU</t>
        </is>
      </c>
    </row>
    <row r="15" ht="16" customHeight="1">
      <c r="A15" s="185" t="inlineStr">
        <is>
          <t>Izgara</t>
        </is>
      </c>
      <c r="B15" s="173" t="inlineStr">
        <is>
          <t>Kullanıcı sayfalarında kapalı</t>
        </is>
      </c>
      <c r="C15" s="173" t="inlineStr">
        <is>
          <t>Bölüm çizgileri ve kart sınırlarıyla düzen</t>
        </is>
      </c>
      <c r="D15" s="173" t="inlineStr">
        <is>
          <t>Excel varsayılan gridline</t>
        </is>
      </c>
      <c r="E15" s="173" t="inlineStr">
        <is>
          <t>Gridline kontrolü</t>
        </is>
      </c>
      <c r="F15" s="186" t="inlineStr">
        <is>
          <t>ZORUNLU</t>
        </is>
      </c>
    </row>
    <row r="16" ht="16" customHeight="1">
      <c r="A16" s="185" t="inlineStr">
        <is>
          <t>Boş durum</t>
        </is>
      </c>
      <c r="B16" s="173" t="inlineStr">
        <is>
          <t>Veri yokken temiz ve anlaşılır</t>
        </is>
      </c>
      <c r="C16" s="173" t="inlineStr">
        <is>
          <t>'Henüz veri yok' / 'Girdi bekleniyor'</t>
        </is>
      </c>
      <c r="D16" s="173" t="inlineStr">
        <is>
          <t>0 yığını / hata kodu</t>
        </is>
      </c>
      <c r="E16" s="173" t="inlineStr">
        <is>
          <t>Boş veri testi</t>
        </is>
      </c>
      <c r="F16" s="186" t="inlineStr">
        <is>
          <t>ZORUNLU</t>
        </is>
      </c>
    </row>
    <row r="17" ht="28" customHeight="1">
      <c r="A17" s="185" t="inlineStr">
        <is>
          <t>Başlangıç deneyimi</t>
        </is>
      </c>
      <c r="B17" s="173" t="inlineStr">
        <is>
          <t>İlk 5 saniyede ne gireceği ve neye bakacağı anlaşılır</t>
        </is>
      </c>
      <c r="C17" s="173" t="inlineStr">
        <is>
          <t>Girdi → durum → aksiyon akışı</t>
        </is>
      </c>
      <c r="D17" s="173" t="inlineStr">
        <is>
          <t>Kılavuz aramaya zorlama</t>
        </is>
      </c>
      <c r="E17" s="173" t="inlineStr">
        <is>
          <t>5 saniye testi</t>
        </is>
      </c>
      <c r="F17" s="186" t="inlineStr">
        <is>
          <t>ZORUNLU</t>
        </is>
      </c>
    </row>
    <row r="18" ht="30" customHeight="1">
      <c r="A18" s="181" t="inlineStr">
        <is>
          <t>Buton standardı</t>
        </is>
      </c>
      <c r="B18" s="182" t="inlineStr">
        <is>
          <t>Buton görünümü verilen her alan gerçek işlev taşır</t>
        </is>
      </c>
      <c r="C18" s="182" t="inlineStr">
        <is>
          <t>Sayfa içi HYPERLINK / gerçek aksiyon; tıklanınca hedefe gider</t>
        </is>
      </c>
      <c r="D18" s="182" t="inlineStr">
        <is>
          <t>İşlevsiz dekoratif buton / sahte navigasyon</t>
        </is>
      </c>
      <c r="E18" s="182" t="inlineStr">
        <is>
          <t>Butonların %100'ü tıklanabilir ve hedefi doğru</t>
        </is>
      </c>
      <c r="F18" s="186" t="inlineStr">
        <is>
          <t>ZORUNLU</t>
        </is>
      </c>
    </row>
    <row r="19" ht="32" customHeight="1">
      <c r="A19" s="181" t="inlineStr">
        <is>
          <t>Native sayfa sekmesi rengi</t>
        </is>
      </c>
      <c r="B19" s="182" t="inlineStr">
        <is>
          <t>Excel alt sheet tabları kurumsal paletle renklendirilir</t>
        </is>
      </c>
      <c r="C19" s="182" t="inlineStr">
        <is>
          <t>Başlangıç/özet=lacivert; girdiler=mavi; hesap/finans=teal; karar/kontrol=burgundy; doküman=gri</t>
        </is>
      </c>
      <c r="D19" s="182" t="inlineStr">
        <is>
          <t>Renksiz sekmeler veya rastgele/gökkuşağı renkleri</t>
        </is>
      </c>
      <c r="E19" s="182" t="inlineStr">
        <is>
          <t>Tüm görünür kullanıcı sheet tabları renkli</t>
        </is>
      </c>
      <c r="F19" s="186" t="inlineStr">
        <is>
          <t>ZORUNLU</t>
        </is>
      </c>
    </row>
    <row r="20" ht="60" customHeight="1">
      <c r="A20" s="181" t="inlineStr">
        <is>
          <t>İş akışı sıralaması</t>
        </is>
      </c>
      <c r="B20" s="182" t="inlineStr">
        <is>
          <t>Sayfalar kullanıcının çalışma sırasına göre fiziksel olarak dizilir</t>
        </is>
      </c>
      <c r="C20" s="182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2" t="inlineStr">
        <is>
          <t>Teknik oluşturma sırasına göre dağınık sheet dizilimi</t>
        </is>
      </c>
      <c r="E20" s="182" t="inlineStr">
        <is>
          <t>Sheet order = tanımlı workflow</t>
        </is>
      </c>
      <c r="F20" s="186" t="inlineStr">
        <is>
          <t>ZORUNLU</t>
        </is>
      </c>
    </row>
    <row r="21" ht="30" customHeight="1">
      <c r="A21" s="181" t="inlineStr">
        <is>
          <t>Kurumsal renk paleti</t>
        </is>
      </c>
      <c r="B21" s="182" t="inlineStr">
        <is>
          <t>Sekme, başlık, buton ve vurgu renkleri tek kurumsal paletten gelir</t>
        </is>
      </c>
      <c r="C21" s="182" t="inlineStr">
        <is>
          <t>Lacivert + mavi + teal + kontrollü burgundy/gri; kategori semantiği sabit</t>
        </is>
      </c>
      <c r="D21" s="182" t="inlineStr">
        <is>
          <t>Neon, rastgele yüksek doygunluk, her sayfada farklı bağımsız renk</t>
        </is>
      </c>
      <c r="E21" s="182" t="inlineStr">
        <is>
          <t>Palette token kontrolü</t>
        </is>
      </c>
      <c r="F21" s="186" t="inlineStr">
        <is>
          <t>ZORUNLU</t>
        </is>
      </c>
    </row>
    <row r="22" ht="45" customHeight="1">
      <c r="A22" s="181" t="inlineStr">
        <is>
          <t>Premium vitrin</t>
        </is>
      </c>
      <c r="B22" s="182" t="inlineStr">
        <is>
          <t>Görsel kalite ürün değerinin zorunlu parçasıdır</t>
        </is>
      </c>
      <c r="C22" s="182" t="inlineStr">
        <is>
          <t>Kaliteli grafik, gerçek KPI kartı, finansal hiyerarşi, tab rengi, fonksiyonel navigasyon</t>
        </is>
      </c>
      <c r="D22" s="182" t="inlineStr">
        <is>
          <t>Sadece doğru hesap yapıp çıplak/varsayılan Excel görünümü bırakmak</t>
        </is>
      </c>
      <c r="E22" s="182" t="inlineStr">
        <is>
          <t>Görsel release incelemesi</t>
        </is>
      </c>
      <c r="F22" s="186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87" t="inlineStr">
        <is>
          <t>TÜRKİYE MUHASEBE VE TEKDÜZEN HESAP PLANI STANDARDI</t>
        </is>
      </c>
    </row>
    <row r="3" ht="24" customHeight="1">
      <c r="A3" s="188" t="inlineStr">
        <is>
          <t>Konu</t>
        </is>
      </c>
      <c r="B3" s="188" t="inlineStr">
        <is>
          <t>Zorunlu Standart</t>
        </is>
      </c>
      <c r="C3" s="188" t="inlineStr">
        <is>
          <t>Örnek Türkçe Ad</t>
        </is>
      </c>
      <c r="D3" s="188" t="inlineStr">
        <is>
          <t>THP / Mantık</t>
        </is>
      </c>
      <c r="E3" s="188" t="inlineStr">
        <is>
          <t>Hata Riski</t>
        </is>
      </c>
      <c r="F3" s="188" t="inlineStr">
        <is>
          <t>Kontrol</t>
        </is>
      </c>
    </row>
    <row r="4">
      <c r="A4" s="189" t="inlineStr">
        <is>
          <t>Dil</t>
        </is>
      </c>
      <c r="B4" s="173" t="inlineStr">
        <is>
          <t>Kullanıcıya görünen finansal terimler Türkçe</t>
        </is>
      </c>
      <c r="C4" s="173" t="inlineStr">
        <is>
          <t>Hasılat, Satışların Maliyeti, Brüt Kâr, Faaliyet Giderleri</t>
        </is>
      </c>
      <c r="D4" s="173" t="inlineStr">
        <is>
          <t>Türk işletme kullanımına uygun</t>
        </is>
      </c>
      <c r="E4" s="173" t="inlineStr">
        <is>
          <t>İngilizce jargon</t>
        </is>
      </c>
      <c r="F4" s="173" t="inlineStr">
        <is>
          <t>Terminoloji taraması</t>
        </is>
      </c>
    </row>
    <row r="5" ht="28" customHeight="1">
      <c r="A5" s="189" t="inlineStr">
        <is>
          <t>Gelir Tablosu</t>
        </is>
      </c>
      <c r="B5" s="173" t="inlineStr">
        <is>
          <t>Türk sunum sırası kullanılır</t>
        </is>
      </c>
      <c r="C5" s="173" t="inlineStr">
        <is>
          <t>Net Satışlar → Satışların Maliyeti → Brüt Kâr → Faaliyet Giderleri → Faaliyet Kârı</t>
        </is>
      </c>
      <c r="D5" s="173" t="inlineStr">
        <is>
          <t>600/610/611; 620-623; 63x</t>
        </is>
      </c>
      <c r="E5" s="173" t="inlineStr">
        <is>
          <t>Yanlış sınıflama</t>
        </is>
      </c>
      <c r="F5" s="173" t="inlineStr">
        <is>
          <t>Hesap eşleme</t>
        </is>
      </c>
    </row>
    <row r="6" ht="28" customHeight="1">
      <c r="A6" s="189" t="inlineStr">
        <is>
          <t>Bilanço</t>
        </is>
      </c>
      <c r="B6" s="173" t="inlineStr">
        <is>
          <t>Dönen/Duran Varlık ve Kısa/Uzun Vadeli Yükümlülük ayrımı</t>
        </is>
      </c>
      <c r="C6" s="173" t="inlineStr">
        <is>
          <t>Hazır Değerler, Ticari Alacaklar, Stoklar, Mali Borçlar</t>
        </is>
      </c>
      <c r="D6" s="173" t="inlineStr">
        <is>
          <t>1xx / 2xx / 3xx / 4xx / 5xx</t>
        </is>
      </c>
      <c r="E6" s="173" t="inlineStr">
        <is>
          <t>Vade sınıfı hatası</t>
        </is>
      </c>
      <c r="F6" s="173" t="inlineStr">
        <is>
          <t>Bilanço eşitliği</t>
        </is>
      </c>
    </row>
    <row r="7">
      <c r="A7" s="189" t="inlineStr">
        <is>
          <t>Nakit Akışı</t>
        </is>
      </c>
      <c r="B7" s="173" t="inlineStr">
        <is>
          <t>İşletme/Yatırım/Finansman nakit akışları ayrılır</t>
        </is>
      </c>
      <c r="C7" s="173" t="inlineStr">
        <is>
          <t>Faaliyetlerden Nakit, Yatırım Harcamaları, Finansman Nakit Akışı</t>
        </is>
      </c>
      <c r="D7" s="173" t="inlineStr">
        <is>
          <t>Dolaylı/doğrudan yöntem açık seçilir</t>
        </is>
      </c>
      <c r="E7" s="173" t="inlineStr">
        <is>
          <t>Kâr = nakit sanılması</t>
        </is>
      </c>
      <c r="F7" s="173" t="inlineStr">
        <is>
          <t>Nakit devri</t>
        </is>
      </c>
    </row>
    <row r="8">
      <c r="A8" s="189" t="inlineStr">
        <is>
          <t>Ticari Alacaklar</t>
        </is>
      </c>
      <c r="B8" s="173" t="inlineStr">
        <is>
          <t>Cari ve vade mantığı korunur</t>
        </is>
      </c>
      <c r="C8" s="173" t="inlineStr">
        <is>
          <t>120 Alıcılar</t>
        </is>
      </c>
      <c r="D8" s="173" t="inlineStr">
        <is>
          <t>120</t>
        </is>
      </c>
      <c r="E8" s="173" t="inlineStr">
        <is>
          <t>Tahakkuk/nakit karışması</t>
        </is>
      </c>
      <c r="F8" s="173" t="inlineStr">
        <is>
          <t>Alacak devir kontrolü</t>
        </is>
      </c>
    </row>
    <row r="9">
      <c r="A9" s="189" t="inlineStr">
        <is>
          <t>Ticari Borçlar</t>
        </is>
      </c>
      <c r="B9" s="173" t="inlineStr">
        <is>
          <t>Tedarikçi borcu ayrı izlenir</t>
        </is>
      </c>
      <c r="C9" s="173" t="inlineStr">
        <is>
          <t>320 Satıcılar</t>
        </is>
      </c>
      <c r="D9" s="173" t="inlineStr">
        <is>
          <t>320</t>
        </is>
      </c>
      <c r="E9" s="173" t="inlineStr">
        <is>
          <t>Gider/ödeme karışması</t>
        </is>
      </c>
      <c r="F9" s="173" t="inlineStr">
        <is>
          <t>Borç devir kontrolü</t>
        </is>
      </c>
    </row>
    <row r="10">
      <c r="A10" s="189" t="inlineStr">
        <is>
          <t>Kasa/Banka</t>
        </is>
      </c>
      <c r="B10" s="173" t="inlineStr">
        <is>
          <t>Hazır değerler ayrı izlenir</t>
        </is>
      </c>
      <c r="C10" s="173" t="inlineStr">
        <is>
          <t>100 Kasa, 102 Bankalar</t>
        </is>
      </c>
      <c r="D10" s="173" t="inlineStr">
        <is>
          <t>100 / 102</t>
        </is>
      </c>
      <c r="E10" s="173" t="inlineStr">
        <is>
          <t>Virmanla toplam nakdin değişmesi</t>
        </is>
      </c>
      <c r="F10" s="173" t="inlineStr">
        <is>
          <t>Virman değişmezi</t>
        </is>
      </c>
    </row>
    <row r="11">
      <c r="A11" s="189" t="inlineStr">
        <is>
          <t>Stok</t>
        </is>
      </c>
      <c r="B11" s="173" t="inlineStr">
        <is>
          <t>Dikeye uygun stok türü</t>
        </is>
      </c>
      <c r="C11" s="173" t="inlineStr">
        <is>
          <t>150 İlk Madde ve Malzeme, 153 Ticari Mallar</t>
        </is>
      </c>
      <c r="D11" s="173" t="inlineStr">
        <is>
          <t>15x</t>
        </is>
      </c>
      <c r="E11" s="173" t="inlineStr">
        <is>
          <t>Maliyet ve stok hareketinin kopması</t>
        </is>
      </c>
      <c r="F11" s="173" t="inlineStr">
        <is>
          <t>Stok devri</t>
        </is>
      </c>
    </row>
    <row r="12" ht="28" customHeight="1">
      <c r="A12" s="189" t="inlineStr">
        <is>
          <t>Maddi Duran Varlık</t>
        </is>
      </c>
      <c r="B12" s="173" t="inlineStr">
        <is>
          <t>Yatırım harcaması ve amortisman bağlantılı</t>
        </is>
      </c>
      <c r="C12" s="173" t="inlineStr">
        <is>
          <t>253 Tesis Makine Cihazlar, 255 Demirbaşlar, 257 Birikmiş Amortismanlar</t>
        </is>
      </c>
      <c r="D12" s="173" t="inlineStr">
        <is>
          <t>25x</t>
        </is>
      </c>
      <c r="E12" s="173" t="inlineStr">
        <is>
          <t>Yatırım/gider karışması</t>
        </is>
      </c>
      <c r="F12" s="173" t="inlineStr">
        <is>
          <t>Net defter değeri devri</t>
        </is>
      </c>
    </row>
    <row r="13">
      <c r="A13" s="189" t="inlineStr">
        <is>
          <t>Mali Borçlar</t>
        </is>
      </c>
      <c r="B13" s="173" t="inlineStr">
        <is>
          <t>Kısa/uzun vadeli borç ayrımı</t>
        </is>
      </c>
      <c r="C13" s="173" t="inlineStr">
        <is>
          <t>300 Banka Kredileri / 400 Banka Kredileri</t>
        </is>
      </c>
      <c r="D13" s="173" t="inlineStr">
        <is>
          <t>300 / 400</t>
        </is>
      </c>
      <c r="E13" s="173" t="inlineStr">
        <is>
          <t>Vade sınıfı yanlış</t>
        </is>
      </c>
      <c r="F13" s="173" t="inlineStr">
        <is>
          <t>Borç devri</t>
        </is>
      </c>
    </row>
    <row r="14">
      <c r="A14" s="189" t="inlineStr">
        <is>
          <t>Özkaynak</t>
        </is>
      </c>
      <c r="B14" s="173" t="inlineStr">
        <is>
          <t>Sermaye ve geçmiş yıl kârları ayrı</t>
        </is>
      </c>
      <c r="C14" s="173" t="inlineStr">
        <is>
          <t>500 Sermaye, 570 Geçmiş Yıllar Kârları, 590 Dönem Net Kârı</t>
        </is>
      </c>
      <c r="D14" s="173" t="inlineStr">
        <is>
          <t>5xx</t>
        </is>
      </c>
      <c r="E14" s="173" t="inlineStr">
        <is>
          <t>Net kâr bağının kopması</t>
        </is>
      </c>
      <c r="F14" s="173" t="inlineStr">
        <is>
          <t>Özkaynak devri</t>
        </is>
      </c>
    </row>
    <row r="15">
      <c r="A15" s="189" t="inlineStr">
        <is>
          <t>Vergi</t>
        </is>
      </c>
      <c r="B15" s="173" t="inlineStr">
        <is>
          <t>Vergi satırları Türkiye mantığına uygun</t>
        </is>
      </c>
      <c r="C15" s="173" t="inlineStr">
        <is>
          <t>Dönem Vergi ve Diğer Yasal Yükümlülük Karşılıkları</t>
        </is>
      </c>
      <c r="D15" s="173" t="inlineStr">
        <is>
          <t>37x / ilgili vergi hesapları</t>
        </is>
      </c>
      <c r="E15" s="173" t="inlineStr">
        <is>
          <t>Vergi etkisinin yanlış dönemlenmesi</t>
        </is>
      </c>
      <c r="F15" s="173" t="inlineStr">
        <is>
          <t>Vergi sözleşmesi</t>
        </is>
      </c>
    </row>
    <row r="16">
      <c r="A16" s="189" t="inlineStr">
        <is>
          <t>İsim standardı</t>
        </is>
      </c>
      <c r="B16" s="173" t="inlineStr">
        <is>
          <t>Tablo ve sayfa adları Türkçe ve işlevsel</t>
        </is>
      </c>
      <c r="C16" s="173" t="inlineStr">
        <is>
          <t>GELİR_TABLOSU, BİLANÇO, NAKİT_AKISI, BORC_PLANI</t>
        </is>
      </c>
      <c r="D16" s="173" t="inlineStr">
        <is>
          <t>Tekrarlanabilir standart</t>
        </is>
      </c>
      <c r="E16" s="173" t="inlineStr">
        <is>
          <t>İngilizce/karma isim</t>
        </is>
      </c>
      <c r="F16" s="173" t="inlineStr">
        <is>
          <t>Sayfa ve tablo taraması</t>
        </is>
      </c>
    </row>
    <row r="17">
      <c r="A17" s="189" t="inlineStr">
        <is>
          <t>THP eşleme tablosu</t>
        </is>
      </c>
      <c r="B17" s="173" t="inlineStr">
        <is>
          <t>Her kritik satır en az bir THP hesabına bağlanır</t>
        </is>
      </c>
      <c r="C17" s="173" t="inlineStr">
        <is>
          <t>RaporSatırı → HesapKodu → HesapAdı → İşaret → Dönem</t>
        </is>
      </c>
      <c r="D17" s="173" t="inlineStr">
        <is>
          <t>Kaynak izlenebilirliği</t>
        </is>
      </c>
      <c r="E17" s="173" t="inlineStr">
        <is>
          <t>Rapordan rapora kaynak</t>
        </is>
      </c>
      <c r="F17" s="173" t="inlineStr">
        <is>
          <t>Eşleme kapsama %100</t>
        </is>
      </c>
    </row>
    <row r="18">
      <c r="A18" s="189" t="inlineStr">
        <is>
          <t>İstisna</t>
        </is>
      </c>
      <c r="B18" s="173" t="inlineStr">
        <is>
          <t>TFRS özel ürün varsa fark açık yazılır</t>
        </is>
      </c>
      <c r="C18" s="173" t="inlineStr">
        <is>
          <t>Tekdüzen raporlama ≠ TFRS finansal tablo sunumu</t>
        </is>
      </c>
      <c r="D18" s="173" t="inlineStr">
        <is>
          <t>Amaç belirtilir</t>
        </is>
      </c>
      <c r="E18" s="173" t="inlineStr">
        <is>
          <t>Standartları karıştırma</t>
        </is>
      </c>
      <c r="F18" s="173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0" t="inlineStr">
        <is>
          <t>KARAR, GÜVEN VE SATIŞA HAZIRLIK STANDARDI</t>
        </is>
      </c>
    </row>
    <row r="3" ht="24" customHeight="1">
      <c r="A3" s="191" t="inlineStr">
        <is>
          <t>Alan</t>
        </is>
      </c>
      <c r="B3" s="191" t="inlineStr">
        <is>
          <t>Müşteri Sorusu</t>
        </is>
      </c>
      <c r="C3" s="191" t="inlineStr">
        <is>
          <t>Zorunlu Ürün Davranışı</t>
        </is>
      </c>
      <c r="D3" s="191" t="inlineStr">
        <is>
          <t>Kanıt</t>
        </is>
      </c>
      <c r="E3" s="191" t="inlineStr">
        <is>
          <t>Başarısızlık Durumu</t>
        </is>
      </c>
      <c r="F3" s="191" t="inlineStr">
        <is>
          <t>Kapı</t>
        </is>
      </c>
    </row>
    <row r="4">
      <c r="A4" s="192" t="inlineStr">
        <is>
          <t>5 saniye</t>
        </is>
      </c>
      <c r="B4" s="173" t="inlineStr">
        <is>
          <t>Bu ürün neyi çözüyor?</t>
        </is>
      </c>
      <c r="C4" s="173" t="inlineStr">
        <is>
          <t>İlk ekranda hedef kullanıcı + pahalı problem + sonuç görünür</t>
        </is>
      </c>
      <c r="D4" s="173" t="inlineStr">
        <is>
          <t>Başlık + alt mesaj + gerçek ekran</t>
        </is>
      </c>
      <c r="E4" s="173" t="inlineStr">
        <is>
          <t>Ürün yalnız teknik isim</t>
        </is>
      </c>
      <c r="F4" s="193" t="inlineStr">
        <is>
          <t>HATA</t>
        </is>
      </c>
    </row>
    <row r="5">
      <c r="A5" s="192" t="inlineStr">
        <is>
          <t>Acı</t>
        </is>
      </c>
      <c r="B5" s="173" t="inlineStr">
        <is>
          <t>Sorun bana neye mal oluyor?</t>
        </is>
      </c>
      <c r="C5" s="173" t="inlineStr">
        <is>
          <t>Mümkünse müşterinin kendi verisiyle parasal/zaman etkisi hesaplanır</t>
        </is>
      </c>
      <c r="D5" s="173" t="inlineStr">
        <is>
          <t>ROI/acı hesaplama yöntemi</t>
        </is>
      </c>
      <c r="E5" s="173" t="inlineStr">
        <is>
          <t>Uydurma tasarruf</t>
        </is>
      </c>
      <c r="F5" s="193" t="inlineStr">
        <is>
          <t>HATA</t>
        </is>
      </c>
    </row>
    <row r="6">
      <c r="A6" s="192" t="inlineStr">
        <is>
          <t>Karar</t>
        </is>
      </c>
      <c r="B6" s="173" t="inlineStr">
        <is>
          <t>Bu bilgiyle ne yapacağım?</t>
        </is>
      </c>
      <c r="C6" s="173" t="inlineStr">
        <is>
          <t>Her kritik KPI aksiyona bağlanır</t>
        </is>
      </c>
      <c r="D6" s="173" t="inlineStr">
        <is>
          <t>KARAR_KUYRUGU</t>
        </is>
      </c>
      <c r="E6" s="173" t="inlineStr">
        <is>
          <t>Sadece rapor</t>
        </is>
      </c>
      <c r="F6" s="193" t="inlineStr">
        <is>
          <t>HATA</t>
        </is>
      </c>
    </row>
    <row r="7">
      <c r="A7" s="192" t="inlineStr">
        <is>
          <t>Güven</t>
        </is>
      </c>
      <c r="B7" s="173" t="inlineStr">
        <is>
          <t>Bu sayıya neden inanayım?</t>
        </is>
      </c>
      <c r="C7" s="173" t="inlineStr">
        <is>
          <t>Kaynak, formül mantığı, kontrol ve son doğrulama görünür</t>
        </is>
      </c>
      <c r="D7" s="173" t="inlineStr">
        <is>
          <t>Kontroller + kaynak izi + sürüm</t>
        </is>
      </c>
      <c r="E7" s="173" t="inlineStr">
        <is>
          <t>Prestij kelimesi</t>
        </is>
      </c>
      <c r="F7" s="193" t="inlineStr">
        <is>
          <t>HATA</t>
        </is>
      </c>
    </row>
    <row r="8">
      <c r="A8" s="192" t="inlineStr">
        <is>
          <t>Referans</t>
        </is>
      </c>
      <c r="B8" s="173" t="inlineStr">
        <is>
          <t>Müşteri yorumu yoksa ne göstereceğim?</t>
        </is>
      </c>
      <c r="C8" s="173" t="inlineStr">
        <is>
          <t>Önce/Sonra + Karar Vakası + Hata Önleme Vakası üretilir</t>
        </is>
      </c>
      <c r="D8" s="173" t="inlineStr">
        <is>
          <t>Demo/örnek çıktı</t>
        </is>
      </c>
      <c r="E8" s="173" t="inlineStr">
        <is>
          <t>Kanıtsız iddia</t>
        </is>
      </c>
      <c r="F8" s="193" t="inlineStr">
        <is>
          <t>HATA</t>
        </is>
      </c>
    </row>
    <row r="9">
      <c r="A9" s="192" t="inlineStr">
        <is>
          <t>Senaryo</t>
        </is>
      </c>
      <c r="B9" s="173" t="inlineStr">
        <is>
          <t>Ne olursa işler bozulur?</t>
        </is>
      </c>
      <c r="C9" s="173" t="inlineStr">
        <is>
          <t>Baz/Aşağı/Yukarı veya uygun stres senaryosu</t>
        </is>
      </c>
      <c r="D9" s="173" t="inlineStr">
        <is>
          <t>Senaryo karşılaştırma</t>
        </is>
      </c>
      <c r="E9" s="173" t="inlineStr">
        <is>
          <t>Dekoratif senaryo</t>
        </is>
      </c>
      <c r="F9" s="193" t="inlineStr">
        <is>
          <t>HATA</t>
        </is>
      </c>
    </row>
    <row r="10">
      <c r="A10" s="192" t="inlineStr">
        <is>
          <t>Ters stres</t>
        </is>
      </c>
      <c r="B10" s="173" t="inlineStr">
        <is>
          <t>Hangi eşikte karar kırılır?</t>
        </is>
      </c>
      <c r="C10" s="173" t="inlineStr">
        <is>
          <t>En az bir kritik sürücü için kırılma eşiği</t>
        </is>
      </c>
      <c r="D10" s="173" t="inlineStr">
        <is>
          <t>Kırılma eşiği tablosu</t>
        </is>
      </c>
      <c r="E10" s="173" t="inlineStr">
        <is>
          <t>Sadece +/- %10</t>
        </is>
      </c>
      <c r="F10" s="193" t="inlineStr">
        <is>
          <t>UYARI/HATA</t>
        </is>
      </c>
    </row>
    <row r="11">
      <c r="A11" s="192" t="inlineStr">
        <is>
          <t>Hata tutarlılığı</t>
        </is>
      </c>
      <c r="B11" s="173" t="inlineStr">
        <is>
          <t>Formül hata verirse ne olur?</t>
        </is>
      </c>
      <c r="C11" s="173" t="inlineStr">
        <is>
          <t>Kontrol GEÇTİ veremez; BLOKE/HATA üretir</t>
        </is>
      </c>
      <c r="D11" s="173" t="inlineStr">
        <is>
          <t>Hata taraması</t>
        </is>
      </c>
      <c r="E11" s="173" t="inlineStr">
        <is>
          <t>Hata + GEÇTİ birlikte</t>
        </is>
      </c>
      <c r="F11" s="193" t="inlineStr">
        <is>
          <t>HATA</t>
        </is>
      </c>
    </row>
    <row r="12">
      <c r="A12" s="192" t="inlineStr">
        <is>
          <t>Karar motoru</t>
        </is>
      </c>
      <c r="B12" s="173" t="inlineStr">
        <is>
          <t>Ne oldu, neden oldu?</t>
        </is>
      </c>
      <c r="C12" s="173" t="inlineStr">
        <is>
          <t>Sorun + neden + parasal etki + aksiyon + son tarih</t>
        </is>
      </c>
      <c r="D12" s="173" t="inlineStr">
        <is>
          <t>Karar tablosu</t>
        </is>
      </c>
      <c r="E12" s="173" t="inlineStr">
        <is>
          <t>Boş sayfa / isim düzeyi modül</t>
        </is>
      </c>
      <c r="F12" s="193" t="inlineStr">
        <is>
          <t>HATA</t>
        </is>
      </c>
    </row>
    <row r="13">
      <c r="A13" s="192" t="inlineStr">
        <is>
          <t>Yönetici özeti</t>
        </is>
      </c>
      <c r="B13" s="173" t="inlineStr">
        <is>
          <t>5 saniyede ne görmeliyim?</t>
        </is>
      </c>
      <c r="C13" s="173" t="inlineStr">
        <is>
          <t>Bugün / ne değişti / ne bozulacak / neden / ne yapmalıyım / güven</t>
        </is>
      </c>
      <c r="D13" s="173" t="inlineStr">
        <is>
          <t>Yönetici özeti ekranı</t>
        </is>
      </c>
      <c r="E13" s="173" t="inlineStr">
        <is>
          <t>KPI kutusu yığını</t>
        </is>
      </c>
      <c r="F13" s="193" t="inlineStr">
        <is>
          <t>HATA</t>
        </is>
      </c>
    </row>
    <row r="14">
      <c r="A14" s="192" t="inlineStr">
        <is>
          <t>Teklif</t>
        </is>
      </c>
      <c r="B14" s="173" t="inlineStr">
        <is>
          <t>Neden satın almalıyım?</t>
        </is>
      </c>
      <c r="C14" s="173" t="inlineStr">
        <is>
          <t>Dosya özellikleri yerine sonuç ve kaçınılan maliyet sunulur</t>
        </is>
      </c>
      <c r="D14" s="173" t="inlineStr">
        <is>
          <t>Ürün sayfası kanıt eşlemesi</t>
        </is>
      </c>
      <c r="E14" s="173" t="inlineStr">
        <is>
          <t>Özellik listesiyle satış</t>
        </is>
      </c>
      <c r="F14" s="193" t="inlineStr">
        <is>
          <t>HATA</t>
        </is>
      </c>
    </row>
    <row r="15">
      <c r="A15" s="192" t="inlineStr">
        <is>
          <t>Dağıtım</t>
        </is>
      </c>
      <c r="B15" s="173" t="inlineStr">
        <is>
          <t>Beni nasıl bulacaklar?</t>
        </is>
      </c>
      <c r="C15" s="173" t="inlineStr">
        <is>
          <t>Sorun niyetine göre SEO sayfaları, iç bağlantı, temiz yapı, taranabilir metin</t>
        </is>
      </c>
      <c r="D15" s="173" t="inlineStr">
        <is>
          <t>Arama niyeti haritası</t>
        </is>
      </c>
      <c r="E15" s="173" t="inlineStr">
        <is>
          <t>Tek ürün sayfasına bağımlılık</t>
        </is>
      </c>
      <c r="F15" s="193" t="inlineStr">
        <is>
          <t>UYARI</t>
        </is>
      </c>
    </row>
    <row r="16" ht="28" customHeight="1">
      <c r="A16" s="192" t="inlineStr">
        <is>
          <t>LLM görünürlüğü</t>
        </is>
      </c>
      <c r="B16" s="173" t="inlineStr">
        <is>
          <t>AI ürünümü anlayabiliyor mu?</t>
        </is>
      </c>
      <c r="C16" s="173" t="inlineStr">
        <is>
          <t>Ürün tanımı, hedef kullanıcı, girdi/çıktı, metodoloji, sınırlar, SSS açık metindir</t>
        </is>
      </c>
      <c r="D16" s="173" t="inlineStr">
        <is>
          <t>Taranabilir ürün içeriği</t>
        </is>
      </c>
      <c r="E16" s="173" t="inlineStr">
        <is>
          <t>'AI SEO' iddiası</t>
        </is>
      </c>
      <c r="F16" s="193" t="inlineStr">
        <is>
          <t>UYARI</t>
        </is>
      </c>
    </row>
    <row r="17">
      <c r="A17" s="192" t="inlineStr">
        <is>
          <t>Satış kanalı</t>
        </is>
      </c>
      <c r="B17" s="173" t="inlineStr">
        <is>
          <t>Nerede satılmalı?</t>
        </is>
      </c>
      <c r="C17" s="173" t="inlineStr">
        <is>
          <t>Arama, LinkedIn, uzman/partner, demo/video; ürüne göre kanal seçilir</t>
        </is>
      </c>
      <c r="D17" s="173" t="inlineStr">
        <is>
          <t>Kanal matrisi</t>
        </is>
      </c>
      <c r="E17" s="173" t="inlineStr">
        <is>
          <t>Her ürüne aynı kanal</t>
        </is>
      </c>
      <c r="F17" s="193" t="inlineStr">
        <is>
          <t>UYARI</t>
        </is>
      </c>
    </row>
    <row r="18">
      <c r="A18" s="192" t="inlineStr">
        <is>
          <t>Fiyat</t>
        </is>
      </c>
      <c r="B18" s="173" t="inlineStr">
        <is>
          <t>Bu fiyat neden mantıklı?</t>
        </is>
      </c>
      <c r="C18" s="173" t="inlineStr">
        <is>
          <t>Fiyat, ekonomik karar değerine ve kanıtlanmış ürün derinliğine bağlanır</t>
        </is>
      </c>
      <c r="D18" s="173" t="inlineStr">
        <is>
          <t>Değer haritası + demo</t>
        </is>
      </c>
      <c r="E18" s="173" t="inlineStr">
        <is>
          <t>Sırf sayfa/formül sayısı</t>
        </is>
      </c>
      <c r="F18" s="193" t="inlineStr">
        <is>
          <t>HATA</t>
        </is>
      </c>
    </row>
    <row r="19">
      <c r="A19" s="192" t="inlineStr">
        <is>
          <t>Pazar kanıtı</t>
        </is>
      </c>
      <c r="B19" s="173" t="inlineStr">
        <is>
          <t>Piyasa gerçekten ödüyor mu?</t>
        </is>
      </c>
      <c r="C19" s="173" t="inlineStr">
        <is>
          <t>Satış/pilot/LOI/fiyat kabulü olmadan pazar doğrulandı yazılmaz</t>
        </is>
      </c>
      <c r="D19" s="173" t="inlineStr">
        <is>
          <t>Gerçek işlem kanıtı</t>
        </is>
      </c>
      <c r="E19" s="173" t="inlineStr">
        <is>
          <t>Tahmini talep = satış kabulü</t>
        </is>
      </c>
      <c r="F19" s="193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SGK Prim Teşvikleri Optimizasyon Motoru</t>
        </is>
      </c>
    </row>
    <row r="3" ht="30" customHeight="1">
      <c r="A3" s="3" t="inlineStr">
        <is>
          <t>SGK Prim Teşvikleri Optimizasyon Motoru</t>
        </is>
      </c>
    </row>
    <row r="4">
      <c r="A4" s="4" t="inlineStr">
        <is>
          <t>Bordro matrahınızı girin; SGK prim teşvik uygunluğunu, birikimli tasarrufu ve kaçırılan fırsatı senaryolu olarak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oran ve tavan güncellemesine hazır motor</t>
        </is>
      </c>
    </row>
    <row r="8">
      <c r="A8" s="6" t="inlineStr">
        <is>
          <t>• 5 puan, ilave istihdam, kadın/genç ve engelli teşvik kalemlerinin yan yana hesabı</t>
        </is>
      </c>
    </row>
    <row r="9">
      <c r="A9" s="6" t="inlineStr">
        <is>
          <t>• Baz / iyimser / kötümser + kural değişimi (oran +1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teşvik birikim sırası (yorum A / B)</t>
        </is>
      </c>
    </row>
    <row r="13">
      <c r="A13" s="5" t="inlineStr">
        <is>
          <t>Kimler için?</t>
        </is>
      </c>
    </row>
    <row r="14">
      <c r="A14" s="7" t="inlineStr">
        <is>
          <t>• İK / bordro — uygun teşvik kodlarını seçmek</t>
        </is>
      </c>
    </row>
    <row r="15">
      <c r="A15" s="7" t="inlineStr">
        <is>
          <t>• SMMM — imzalı kanıt raporu dosyalamak</t>
        </is>
      </c>
    </row>
    <row r="16">
      <c r="A16" s="7" t="inlineStr">
        <is>
          <t>• İşveren — aylık/yıllık tasarruf tutarını görmek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70" customWidth="1" min="2" max="2"/>
  </cols>
  <sheetData>
    <row r="1" ht="26" customHeight="1">
      <c r="A1" s="1" t="inlineStr">
        <is>
          <t>HIZLI BASLANGIC — SGK Prim Teşvikleri Optimizasyon Motoru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matrah, kapsam kalemleri ve mevcut teşviki sarı hücrelere girin.</t>
        </is>
      </c>
    </row>
    <row r="6">
      <c r="A6" s="10" t="inlineStr">
        <is>
          <t>Adım 2 — Karar</t>
        </is>
      </c>
      <c r="B6" s="6" t="inlineStr">
        <is>
          <t>PANO'da potansiyel tasarruf, kaçırılan tutar ve karar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Net ücret girmek — prim matrahı brüt olmalıdır</t>
        </is>
      </c>
    </row>
    <row r="11">
      <c r="A11" s="12" t="inlineStr">
        <is>
          <t>• Kapsam matrahını toplam matrahtan büyük yazmak</t>
        </is>
      </c>
    </row>
    <row r="12">
      <c r="A12" s="12" t="inlineStr">
        <is>
          <t>• Hesap yılını kural tablosuyla uyumsuz seçmek</t>
        </is>
      </c>
    </row>
    <row r="14">
      <c r="A14" s="13" t="inlineStr">
        <is>
          <t>Bu dosya karar destek aracıdır; SGK başvurusu veya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SGK Prim Teşvikleri Optimizasyon Motoru</t>
        </is>
      </c>
    </row>
    <row r="3">
      <c r="A3" s="9" t="inlineStr">
        <is>
          <t>Dönem ve işveren</t>
        </is>
      </c>
    </row>
    <row r="4">
      <c r="A4" s="4" t="inlineStr">
        <is>
          <t>Sarı hücreler manuel giriştir. Potansiyel tasarruf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İşveren Adı</t>
        </is>
      </c>
      <c r="B6" s="31" t="inlineStr">
        <is>
          <t>Örnek Üretim A.Ş.</t>
        </is>
      </c>
      <c r="C6" s="28" t="inlineStr">
        <is>
          <t>metin</t>
        </is>
      </c>
    </row>
    <row r="7">
      <c r="A7" s="7" t="inlineStr">
        <is>
          <t>Dönem</t>
        </is>
      </c>
      <c r="B7" s="31" t="inlineStr">
        <is>
          <t>2025-01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2025</v>
      </c>
      <c r="C8" s="28" t="inlineStr">
        <is>
          <t>yıl</t>
        </is>
      </c>
    </row>
    <row r="9">
      <c r="A9" s="7" t="inlineStr">
        <is>
          <t>Aylık Brüt Prim Matrahı [₺]</t>
        </is>
      </c>
      <c r="B9" s="33" t="n">
        <v>500000</v>
      </c>
      <c r="C9" s="28" t="inlineStr">
        <is>
          <t>₺</t>
        </is>
      </c>
    </row>
    <row r="10">
      <c r="A10" s="7" t="inlineStr">
        <is>
          <t>Çalışan Sayısı</t>
        </is>
      </c>
      <c r="B10" s="32" t="n">
        <v>20</v>
      </c>
      <c r="C10" s="28" t="inlineStr">
        <is>
          <t>adet</t>
        </is>
      </c>
    </row>
    <row r="11">
      <c r="A11" s="7" t="inlineStr">
        <is>
          <t>5 Puan Kapsam Matrahı [₺]</t>
        </is>
      </c>
      <c r="B11" s="33" t="n">
        <v>300000</v>
      </c>
      <c r="C11" s="28" t="inlineStr">
        <is>
          <t>₺</t>
        </is>
      </c>
    </row>
    <row r="12">
      <c r="A12" s="7" t="inlineStr">
        <is>
          <t>İlave İstihdam Matrahı [₺]</t>
        </is>
      </c>
      <c r="B12" s="33" t="n">
        <v>100000</v>
      </c>
      <c r="C12" s="28" t="inlineStr">
        <is>
          <t>₺</t>
        </is>
      </c>
    </row>
    <row r="13">
      <c r="A13" s="7" t="inlineStr">
        <is>
          <t>Kadın/Genç Matrahı [₺]</t>
        </is>
      </c>
      <c r="B13" s="33" t="n">
        <v>50000</v>
      </c>
      <c r="C13" s="28" t="inlineStr">
        <is>
          <t>₺</t>
        </is>
      </c>
    </row>
    <row r="14">
      <c r="A14" s="7" t="inlineStr">
        <is>
          <t>Engelli Matrahı [₺]</t>
        </is>
      </c>
      <c r="B14" s="33" t="n">
        <v>30000</v>
      </c>
      <c r="C14" s="28" t="inlineStr">
        <is>
          <t>₺</t>
        </is>
      </c>
    </row>
    <row r="15">
      <c r="A15" s="7" t="inlineStr">
        <is>
          <t>Mevcut Teşvik Tutarı [₺]</t>
        </is>
      </c>
      <c r="B15" s="33" t="n">
        <v>10000</v>
      </c>
      <c r="C15" s="28" t="inlineStr">
        <is>
          <t>₺</t>
        </is>
      </c>
    </row>
    <row r="16">
      <c r="A16" s="7" t="inlineStr">
        <is>
          <t>Birikim Yorumu (A/B)</t>
        </is>
      </c>
      <c r="B16" s="31" t="inlineStr">
        <is>
          <t>A</t>
        </is>
      </c>
      <c r="C16" s="28" t="inlineStr">
        <is>
          <t>metin</t>
        </is>
      </c>
    </row>
    <row r="18">
      <c r="A18" s="10" t="inlineStr">
        <is>
          <t>Potansiyel Tasarruf (ayna) [₺]</t>
        </is>
      </c>
      <c r="B18" s="34">
        <f>IFERROR(sgk_potansiyelTasarruf,0)</f>
        <v/>
      </c>
    </row>
    <row r="19">
      <c r="A19" s="10" t="inlineStr">
        <is>
          <t>Giriş doluluk (kalite)</t>
        </is>
      </c>
      <c r="B19" s="35">
        <f>IFERROR(IF(OR(COUNTA(B6:B16)=0,sgk_girisBeklenen=0),0,ROUND(COUNTA(B6:B16)/sgk_girisBeklenen*100,0)),0)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22" t="inlineStr">
        <is>
          <t>Alan Anahtarı</t>
        </is>
      </c>
      <c r="B23" s="22" t="inlineStr">
        <is>
          <t>Değer</t>
        </is>
      </c>
      <c r="C23" s="22" t="inlineStr">
        <is>
          <t>Birim</t>
        </is>
      </c>
      <c r="D23" s="22" t="inlineStr">
        <is>
          <t>Zorunlu</t>
        </is>
      </c>
      <c r="E23" s="22" t="inlineStr">
        <is>
          <t>Kaynak</t>
        </is>
      </c>
      <c r="F23" s="22" t="inlineStr">
        <is>
          <t>Kontrol</t>
        </is>
      </c>
    </row>
    <row r="24">
      <c r="A24" s="36" t="inlineStr">
        <is>
          <t>isveren_adi</t>
        </is>
      </c>
      <c r="B24" s="36" t="inlineStr">
        <is>
          <t>Örnek Üretim A.Ş.</t>
        </is>
      </c>
      <c r="C24" s="36" t="inlineStr">
        <is>
          <t>metin</t>
        </is>
      </c>
      <c r="D24" s="36" t="inlineStr">
        <is>
          <t>Evet</t>
        </is>
      </c>
      <c r="E24" s="36" t="inlineStr">
        <is>
          <t>GIRDI</t>
        </is>
      </c>
      <c r="F24" s="37">
        <f>IF($A24="","",IF($B24="","EKSİK","TAM"))</f>
        <v/>
      </c>
    </row>
    <row r="25">
      <c r="A25" s="36" t="inlineStr">
        <is>
          <t>donem</t>
        </is>
      </c>
      <c r="B25" s="36" t="inlineStr">
        <is>
          <t>2025-01</t>
        </is>
      </c>
      <c r="C25" s="36" t="inlineStr">
        <is>
          <t>metin</t>
        </is>
      </c>
      <c r="D25" s="36" t="inlineStr">
        <is>
          <t>Evet</t>
        </is>
      </c>
      <c r="E25" s="36" t="inlineStr">
        <is>
          <t>GIRDI</t>
        </is>
      </c>
      <c r="F25" s="37">
        <f>IF($A25="","",IF($B25="","EKSİK","TAM"))</f>
        <v/>
      </c>
    </row>
    <row r="26">
      <c r="A26" s="36" t="inlineStr">
        <is>
          <t>hesapYili</t>
        </is>
      </c>
      <c r="B26" s="38" t="n">
        <v>2025</v>
      </c>
      <c r="C26" s="36" t="inlineStr">
        <is>
          <t>yıl</t>
        </is>
      </c>
      <c r="D26" s="36" t="inlineStr">
        <is>
          <t>Evet</t>
        </is>
      </c>
      <c r="E26" s="36" t="inlineStr">
        <is>
          <t>GIRDI</t>
        </is>
      </c>
      <c r="F26" s="37">
        <f>IF($A26="","",IF($B26="","EKSİK","TAM"))</f>
        <v/>
      </c>
    </row>
    <row r="27">
      <c r="A27" s="36" t="inlineStr">
        <is>
          <t>aylik_brut_matrah</t>
        </is>
      </c>
      <c r="B27" s="39" t="n">
        <v>500000</v>
      </c>
      <c r="C27" s="36" t="inlineStr">
        <is>
          <t>TL</t>
        </is>
      </c>
      <c r="D27" s="36" t="inlineStr">
        <is>
          <t>Evet</t>
        </is>
      </c>
      <c r="E27" s="36" t="inlineStr">
        <is>
          <t>GIRDI</t>
        </is>
      </c>
      <c r="F27" s="37">
        <f>IF($A27="","",IF($B27="","EKSİK","TAM"))</f>
        <v/>
      </c>
    </row>
    <row r="28">
      <c r="A28" s="36" t="inlineStr">
        <is>
          <t>calisan_sayisi</t>
        </is>
      </c>
      <c r="B28" s="38" t="n">
        <v>20</v>
      </c>
      <c r="C28" s="36" t="inlineStr">
        <is>
          <t>adet</t>
        </is>
      </c>
      <c r="D28" s="36" t="inlineStr">
        <is>
          <t>Evet</t>
        </is>
      </c>
      <c r="E28" s="36" t="inlineStr">
        <is>
          <t>GIRDI</t>
        </is>
      </c>
      <c r="F28" s="37">
        <f>IF($A28="","",IF($B28="","EKSİK","TAM"))</f>
        <v/>
      </c>
    </row>
    <row r="29">
      <c r="A29" s="36" t="inlineStr">
        <is>
          <t>bes_puan_matrah</t>
        </is>
      </c>
      <c r="B29" s="39" t="n">
        <v>300000</v>
      </c>
      <c r="C29" s="36" t="inlineStr">
        <is>
          <t>TL</t>
        </is>
      </c>
      <c r="D29" s="36" t="inlineStr">
        <is>
          <t>Evet</t>
        </is>
      </c>
      <c r="E29" s="36" t="inlineStr">
        <is>
          <t>GIRDI</t>
        </is>
      </c>
      <c r="F29" s="37">
        <f>IF($A29="","",IF($B29="","EKSİK","TAM"))</f>
        <v/>
      </c>
    </row>
    <row r="30">
      <c r="A30" s="36" t="inlineStr">
        <is>
          <t>ilave_istihdam_matrah</t>
        </is>
      </c>
      <c r="B30" s="39" t="n">
        <v>100000</v>
      </c>
      <c r="C30" s="36" t="inlineStr">
        <is>
          <t>TL</t>
        </is>
      </c>
      <c r="D30" s="36" t="inlineStr">
        <is>
          <t>Evet</t>
        </is>
      </c>
      <c r="E30" s="36" t="inlineStr">
        <is>
          <t>GIRDI</t>
        </is>
      </c>
      <c r="F30" s="37">
        <f>IF($A30="","",IF($B30="","EKSİK","TAM"))</f>
        <v/>
      </c>
    </row>
    <row r="31">
      <c r="A31" s="36" t="inlineStr">
        <is>
          <t>kadin_genc_matrah</t>
        </is>
      </c>
      <c r="B31" s="39" t="n">
        <v>50000</v>
      </c>
      <c r="C31" s="36" t="inlineStr">
        <is>
          <t>TL</t>
        </is>
      </c>
      <c r="D31" s="36" t="inlineStr">
        <is>
          <t>Evet</t>
        </is>
      </c>
      <c r="E31" s="36" t="inlineStr">
        <is>
          <t>GIRDI</t>
        </is>
      </c>
      <c r="F31" s="37">
        <f>IF($A31="","",IF($B31="","EKSİK","TAM"))</f>
        <v/>
      </c>
    </row>
    <row r="32">
      <c r="A32" s="36" t="inlineStr">
        <is>
          <t>engelli_matrah</t>
        </is>
      </c>
      <c r="B32" s="39" t="n">
        <v>30000</v>
      </c>
      <c r="C32" s="36" t="inlineStr">
        <is>
          <t>TL</t>
        </is>
      </c>
      <c r="D32" s="36" t="inlineStr">
        <is>
          <t>Evet</t>
        </is>
      </c>
      <c r="E32" s="36" t="inlineStr">
        <is>
          <t>GIRDI</t>
        </is>
      </c>
      <c r="F32" s="37">
        <f>IF($A32="","",IF($B32="","EKSİK","TAM"))</f>
        <v/>
      </c>
    </row>
    <row r="33">
      <c r="A33" s="36" t="inlineStr">
        <is>
          <t>mevcut_tesvik_tutari</t>
        </is>
      </c>
      <c r="B33" s="39" t="n">
        <v>10000</v>
      </c>
      <c r="C33" s="36" t="inlineStr">
        <is>
          <t>TL</t>
        </is>
      </c>
      <c r="D33" s="36" t="inlineStr">
        <is>
          <t>Evet</t>
        </is>
      </c>
      <c r="E33" s="36" t="inlineStr">
        <is>
          <t>GIRDI</t>
        </is>
      </c>
      <c r="F33" s="37">
        <f>IF($A33="","",IF($B33="","EKSİK","TAM"))</f>
        <v/>
      </c>
    </row>
    <row r="34">
      <c r="A34" s="36" t="inlineStr">
        <is>
          <t>birikim_yorumu</t>
        </is>
      </c>
      <c r="B34" s="36" t="inlineStr">
        <is>
          <t>A</t>
        </is>
      </c>
      <c r="C34" s="36" t="inlineStr">
        <is>
          <t>A/B</t>
        </is>
      </c>
      <c r="D34" s="36" t="inlineStr">
        <is>
          <t>Evet</t>
        </is>
      </c>
      <c r="E34" s="36" t="inlineStr">
        <is>
          <t>GIRDI</t>
        </is>
      </c>
      <c r="F34" s="37">
        <f>IF($A34="","",IF($B34="","EKSİK","TAM"))</f>
        <v/>
      </c>
    </row>
    <row r="35">
      <c r="F35" s="37">
        <f>IF($A35="","",IF($B35="","EKSİK","TAM"))</f>
        <v/>
      </c>
    </row>
    <row r="36">
      <c r="F36" s="37">
        <f>IF($A36="","",IF($B36="","EKSİK","TAM"))</f>
        <v/>
      </c>
    </row>
    <row r="37">
      <c r="F37" s="37">
        <f>IF($A37="","",IF($B37="","EKSİK","TAM"))</f>
        <v/>
      </c>
    </row>
    <row r="38">
      <c r="F38" s="37">
        <f>IF($A38="","",IF($B38="","EKSİK","TAM"))</f>
        <v/>
      </c>
    </row>
    <row r="39">
      <c r="F39" s="37">
        <f>IF($A39="","",IF($B39="","EKSİK","TAM"))</f>
        <v/>
      </c>
    </row>
    <row r="40">
      <c r="F40" s="37">
        <f>IF($A40="","",IF($B40="","EKSİK","TAM"))</f>
        <v/>
      </c>
    </row>
    <row r="41">
      <c r="F41" s="37">
        <f>IF($A41="","",IF($B41="","EKSİK","TAM"))</f>
        <v/>
      </c>
    </row>
    <row r="42">
      <c r="F42" s="37">
        <f>IF($A42="","",IF($B42="","EKSİK","TAM"))</f>
        <v/>
      </c>
    </row>
    <row r="43">
      <c r="F43" s="37">
        <f>IF($A43="","",IF($B43="","EKSİK","TAM"))</f>
        <v/>
      </c>
    </row>
    <row r="44">
      <c r="F44" s="37">
        <f>IF($A44="","",IF($B44="","EKSİK","TAM"))</f>
        <v/>
      </c>
    </row>
    <row r="45">
      <c r="F45" s="37">
        <f>IF($A45="","",IF($B45="","EKSİK","TAM"))</f>
        <v/>
      </c>
    </row>
    <row r="46">
      <c r="F46" s="37">
        <f>IF($A46="","",IF($B46="","EKSİK","TAM"))</f>
        <v/>
      </c>
    </row>
    <row r="47">
      <c r="F47" s="37">
        <f>IF($A47="","",IF($B47="","EKSİK","TAM"))</f>
        <v/>
      </c>
    </row>
    <row r="48">
      <c r="F48" s="37">
        <f>IF($A48="","",IF($B48="","EKSİK","TAM"))</f>
        <v/>
      </c>
    </row>
    <row r="49">
      <c r="F49" s="37">
        <f>IF($A49="","",IF($B49="","EKSİK","TAM"))</f>
        <v/>
      </c>
    </row>
    <row r="50">
      <c r="F50" s="37">
        <f>IF($A50="","",IF($B50="","EKSİK","TAM"))</f>
        <v/>
      </c>
    </row>
    <row r="51">
      <c r="F51" s="37">
        <f>IF($A51="","",IF($B51="","EKSİK","TAM"))</f>
        <v/>
      </c>
    </row>
    <row r="52">
      <c r="F52" s="37">
        <f>IF($A52="","",IF($B52="","EKSİK","TAM"))</f>
        <v/>
      </c>
    </row>
    <row r="53">
      <c r="F53" s="37">
        <f>IF($A53="","",IF($B53="","EKSİK","TAM"))</f>
        <v/>
      </c>
    </row>
    <row r="54">
      <c r="F54" s="37">
        <f>IF($A54="","",IF($B54="","EKSİK","TAM"))</f>
        <v/>
      </c>
    </row>
    <row r="55">
      <c r="F55" s="37">
        <f>IF($A55="","",IF($B55="","EKSİK","TAM"))</f>
        <v/>
      </c>
    </row>
    <row r="56">
      <c r="F56" s="37">
        <f>IF($A56="","",IF($B56="","EKSİK","TAM"))</f>
        <v/>
      </c>
    </row>
    <row r="57">
      <c r="F57" s="37">
        <f>IF($A57="","",IF($B57="","EKSİK","TAM"))</f>
        <v/>
      </c>
    </row>
    <row r="58">
      <c r="F58" s="37">
        <f>IF($A58="","",IF($B58="","EKSİK","TAM"))</f>
        <v/>
      </c>
    </row>
    <row r="59">
      <c r="F59" s="37">
        <f>IF($A59="","",IF($B59="","EKSİK","TAM"))</f>
        <v/>
      </c>
    </row>
    <row r="60">
      <c r="F60" s="37">
        <f>IF($A60="","",IF($B60="","EKSİK","TAM"))</f>
        <v/>
      </c>
    </row>
    <row r="61">
      <c r="F61" s="37">
        <f>IF($A61="","",IF($B61="","EKSİK","TAM"))</f>
        <v/>
      </c>
    </row>
    <row r="62">
      <c r="F62" s="37">
        <f>IF($A62="","",IF($B62="","EKSİK","TAM"))</f>
        <v/>
      </c>
    </row>
    <row r="63">
      <c r="F63" s="37">
        <f>IF($A63="","",IF($B63="","EKSİK","TAM"))</f>
        <v/>
      </c>
    </row>
    <row r="64">
      <c r="F64" s="37">
        <f>IF($A64="","",IF($B64="","EKSİK","TAM"))</f>
        <v/>
      </c>
    </row>
    <row r="65">
      <c r="F65" s="37">
        <f>IF($A65="","",IF($B65="","EKSİK","TAM"))</f>
        <v/>
      </c>
    </row>
    <row r="66">
      <c r="F66" s="37">
        <f>IF($A66="","",IF($B66="","EKSİK","TAM"))</f>
        <v/>
      </c>
    </row>
    <row r="67">
      <c r="F67" s="37">
        <f>IF($A67="","",IF($B67="","EKSİK","TAM"))</f>
        <v/>
      </c>
    </row>
    <row r="68">
      <c r="F68" s="37">
        <f>IF($A68="","",IF($B68="","EKSİK","TAM"))</f>
        <v/>
      </c>
    </row>
    <row r="69">
      <c r="F69" s="37">
        <f>IF($A69="","",IF($B69="","EKSİK","TAM"))</f>
        <v/>
      </c>
    </row>
    <row r="70">
      <c r="F70" s="37">
        <f>IF($A70="","",IF($B70="","EKSİK","TAM"))</f>
        <v/>
      </c>
    </row>
    <row r="71">
      <c r="F71" s="37">
        <f>IF($A71="","",IF($B71="","EKSİK","TAM"))</f>
        <v/>
      </c>
    </row>
    <row r="72">
      <c r="F72" s="37">
        <f>IF($A72="","",IF($B72="","EKSİK","TAM"))</f>
        <v/>
      </c>
    </row>
    <row r="73">
      <c r="F73" s="37">
        <f>IF($A73="","",IF($B73="","EKSİK","TAM"))</f>
        <v/>
      </c>
    </row>
    <row r="74">
      <c r="F74" s="37">
        <f>IF($A74="","",IF($B74="","EKSİK","TAM"))</f>
        <v/>
      </c>
    </row>
    <row r="75">
      <c r="F75" s="37">
        <f>IF($A75="","",IF($B75="","EKSİK","TAM"))</f>
        <v/>
      </c>
    </row>
    <row r="76">
      <c r="F76" s="37">
        <f>IF($A76="","",IF($B76="","EKSİK","TAM"))</f>
        <v/>
      </c>
    </row>
    <row r="77">
      <c r="F77" s="37">
        <f>IF($A77="","",IF($B77="","EKSİK","TAM"))</f>
        <v/>
      </c>
    </row>
    <row r="78">
      <c r="F78" s="37">
        <f>IF($A78="","",IF($B78="","EKSİK","TAM"))</f>
        <v/>
      </c>
    </row>
    <row r="79">
      <c r="F79" s="37">
        <f>IF($A79="","",IF($B79="","EKSİK","TAM"))</f>
        <v/>
      </c>
    </row>
    <row r="80">
      <c r="F80" s="37">
        <f>IF($A80="","",IF($B80="","EKSİK","TAM"))</f>
        <v/>
      </c>
    </row>
    <row r="81">
      <c r="F81" s="37">
        <f>IF($A81="","",IF($B81="","EKSİK","TAM"))</f>
        <v/>
      </c>
    </row>
    <row r="82">
      <c r="F82" s="37">
        <f>IF($A82="","",IF($B82="","EKSİK","TAM"))</f>
        <v/>
      </c>
    </row>
    <row r="83">
      <c r="F83" s="37">
        <f>IF($A83="","",IF($B83="","EKSİK","TAM"))</f>
        <v/>
      </c>
    </row>
    <row r="84">
      <c r="F84" s="37">
        <f>IF($A84="","",IF($B84="","EKSİK","TAM"))</f>
        <v/>
      </c>
    </row>
    <row r="85">
      <c r="F85" s="37">
        <f>IF($A85="","",IF($B85="","EKSİK","TAM"))</f>
        <v/>
      </c>
    </row>
    <row r="86">
      <c r="F86" s="37">
        <f>IF($A86="","",IF($B86="","EKSİK","TAM"))</f>
        <v/>
      </c>
    </row>
    <row r="87">
      <c r="F87" s="37">
        <f>IF($A87="","",IF($B87="","EKSİK","TAM"))</f>
        <v/>
      </c>
    </row>
    <row r="88">
      <c r="F88" s="37">
        <f>IF($A88="","",IF($B88="","EKSİK","TAM"))</f>
        <v/>
      </c>
    </row>
    <row r="89">
      <c r="F89" s="37">
        <f>IF($A89="","",IF($B89="","EKSİK","TAM"))</f>
        <v/>
      </c>
    </row>
    <row r="90">
      <c r="F90" s="37">
        <f>IF($A90="","",IF($B90="","EKSİK","TAM"))</f>
        <v/>
      </c>
    </row>
    <row r="91">
      <c r="F91" s="37">
        <f>IF($A91="","",IF($B91="","EKSİK","TAM"))</f>
        <v/>
      </c>
    </row>
    <row r="92">
      <c r="F92" s="37">
        <f>IF($A92="","",IF($B92="","EKSİK","TAM"))</f>
        <v/>
      </c>
    </row>
    <row r="93">
      <c r="F93" s="37">
        <f>IF($A93="","",IF($B93="","EKSİK","TAM"))</f>
        <v/>
      </c>
    </row>
    <row r="94">
      <c r="F94" s="37">
        <f>IF($A94="","",IF($B94="","EKSİK","TAM"))</f>
        <v/>
      </c>
    </row>
    <row r="95">
      <c r="F95" s="37">
        <f>IF($A95="","",IF($B95="","EKSİK","TAM"))</f>
        <v/>
      </c>
    </row>
    <row r="96">
      <c r="F96" s="37">
        <f>IF($A96="","",IF($B96="","EKSİK","TAM"))</f>
        <v/>
      </c>
    </row>
    <row r="97">
      <c r="F97" s="37">
        <f>IF($A97="","",IF($B97="","EKSİK","TAM"))</f>
        <v/>
      </c>
    </row>
    <row r="98">
      <c r="F98" s="37">
        <f>IF($A98="","",IF($B98="","EKSİK","TAM"))</f>
        <v/>
      </c>
    </row>
    <row r="99">
      <c r="F99" s="37">
        <f>IF($A99="","",IF($B99="","EKSİK","TAM"))</f>
        <v/>
      </c>
    </row>
    <row r="100">
      <c r="F100" s="37">
        <f>IF($A100="","",IF($B100="","EKSİK","TAM"))</f>
        <v/>
      </c>
    </row>
    <row r="101">
      <c r="F101" s="37">
        <f>IF($A101="","",IF($B101="","EKSİK","TAM"))</f>
        <v/>
      </c>
    </row>
    <row r="102">
      <c r="F102" s="37">
        <f>IF($A102="","",IF($B102="","EKSİK","TAM"))</f>
        <v/>
      </c>
    </row>
    <row r="103">
      <c r="F103" s="37">
        <f>IF($A103="","",IF($B103="","EKSİK","TAM"))</f>
        <v/>
      </c>
    </row>
    <row r="104">
      <c r="F104" s="37">
        <f>IF($A104="","",IF($B104="","EKSİK","TAM"))</f>
        <v/>
      </c>
    </row>
    <row r="105">
      <c r="F105" s="37">
        <f>IF($A105="","",IF($B105="","EKSİK","TAM"))</f>
        <v/>
      </c>
    </row>
    <row r="106">
      <c r="F106" s="37">
        <f>IF($A106="","",IF($B106="","EKSİK","TAM"))</f>
        <v/>
      </c>
    </row>
    <row r="107">
      <c r="F107" s="37">
        <f>IF($A107="","",IF($B107="","EKSİK","TAM"))</f>
        <v/>
      </c>
    </row>
    <row r="108">
      <c r="F108" s="37">
        <f>IF($A108="","",IF($B108="","EKSİK","TAM"))</f>
        <v/>
      </c>
    </row>
    <row r="109">
      <c r="F109" s="37">
        <f>IF($A109="","",IF($B109="","EKSİK","TAM"))</f>
        <v/>
      </c>
    </row>
    <row r="110">
      <c r="F110" s="37">
        <f>IF($A110="","",IF($B110="","EKSİK","TAM"))</f>
        <v/>
      </c>
    </row>
    <row r="111">
      <c r="F111" s="37">
        <f>IF($A111="","",IF($B111="","EKSİK","TAM"))</f>
        <v/>
      </c>
    </row>
    <row r="112">
      <c r="F112" s="37">
        <f>IF($A112="","",IF($B112="","EKSİK","TAM"))</f>
        <v/>
      </c>
    </row>
    <row r="113">
      <c r="F113" s="37">
        <f>IF($A113="","",IF($B113="","EKSİK","TAM"))</f>
        <v/>
      </c>
    </row>
    <row r="114">
      <c r="F114" s="37">
        <f>IF($A114="","",IF($B114="","EKSİK","TAM"))</f>
        <v/>
      </c>
    </row>
    <row r="115">
      <c r="F115" s="37">
        <f>IF($A115="","",IF($B115="","EKSİK","TAM"))</f>
        <v/>
      </c>
    </row>
    <row r="116">
      <c r="F116" s="37">
        <f>IF($A116="","",IF($B116="","EKSİK","TAM"))</f>
        <v/>
      </c>
    </row>
    <row r="117">
      <c r="F117" s="37">
        <f>IF($A117="","",IF($B117="","EKSİK","TAM"))</f>
        <v/>
      </c>
    </row>
    <row r="118">
      <c r="F118" s="37">
        <f>IF($A118="","",IF($B118="","EKSİK","TAM"))</f>
        <v/>
      </c>
    </row>
    <row r="119">
      <c r="F119" s="37">
        <f>IF($A119="","",IF($B119="","EKSİK","TAM"))</f>
        <v/>
      </c>
    </row>
    <row r="120">
      <c r="F120" s="37">
        <f>IF($A120="","",IF($B120="","EKSİK","TAM"))</f>
        <v/>
      </c>
    </row>
    <row r="121">
      <c r="F121" s="37">
        <f>IF($A121="","",IF($B121="","EKSİK","TAM"))</f>
        <v/>
      </c>
    </row>
    <row r="122">
      <c r="F122" s="37">
        <f>IF($A122="","",IF($B122="","EKSİK","TAM"))</f>
        <v/>
      </c>
    </row>
    <row r="123">
      <c r="F123" s="37">
        <f>IF($A123="","",IF($B123="","EKSİK","TAM"))</f>
        <v/>
      </c>
    </row>
    <row r="124">
      <c r="F124" s="37">
        <f>IF($A124="","",IF($B124="","EKSİK","TAM"))</f>
        <v/>
      </c>
    </row>
    <row r="125">
      <c r="F125" s="37">
        <f>IF($A125="","",IF($B125="","EKSİK","TAM"))</f>
        <v/>
      </c>
    </row>
    <row r="126">
      <c r="F126" s="37">
        <f>IF($A126="","",IF($B126="","EKSİK","TAM"))</f>
        <v/>
      </c>
    </row>
    <row r="127">
      <c r="F127" s="37">
        <f>IF($A127="","",IF($B127="","EKSİK","TAM"))</f>
        <v/>
      </c>
    </row>
    <row r="128">
      <c r="F128" s="37">
        <f>IF($A128="","",IF($B128="","EKSİK","TAM"))</f>
        <v/>
      </c>
    </row>
    <row r="129">
      <c r="F129" s="37">
        <f>IF($A129="","",IF($B129="","EKSİK","TAM"))</f>
        <v/>
      </c>
    </row>
    <row r="130">
      <c r="F130" s="37">
        <f>IF($A130="","",IF($B130="","EKSİK","TAM"))</f>
        <v/>
      </c>
    </row>
    <row r="131">
      <c r="F131" s="37">
        <f>IF($A131="","",IF($B131="","EKSİK","TAM"))</f>
        <v/>
      </c>
    </row>
    <row r="132">
      <c r="F132" s="37">
        <f>IF($A132="","",IF($B132="","EKSİK","TAM"))</f>
        <v/>
      </c>
    </row>
    <row r="133">
      <c r="F133" s="37">
        <f>IF($A133="","",IF($B133="","EKSİK","TAM"))</f>
        <v/>
      </c>
    </row>
    <row r="134">
      <c r="F134" s="37">
        <f>IF($A134="","",IF($B134="","EKSİK","TAM"))</f>
        <v/>
      </c>
    </row>
    <row r="135">
      <c r="F135" s="37">
        <f>IF($A135="","",IF($B135="","EKSİK","TAM"))</f>
        <v/>
      </c>
    </row>
    <row r="136">
      <c r="F136" s="37">
        <f>IF($A136="","",IF($B136="","EKSİK","TAM"))</f>
        <v/>
      </c>
    </row>
    <row r="137">
      <c r="F137" s="37">
        <f>IF($A137="","",IF($B137="","EKSİK","TAM"))</f>
        <v/>
      </c>
    </row>
    <row r="138">
      <c r="F138" s="37">
        <f>IF($A138="","",IF($B138="","EKSİK","TAM"))</f>
        <v/>
      </c>
    </row>
    <row r="139">
      <c r="F139" s="37">
        <f>IF($A139="","",IF($B139="","EKSİK","TAM"))</f>
        <v/>
      </c>
    </row>
    <row r="140">
      <c r="F140" s="37">
        <f>IF($A140="","",IF($B140="","EKSİK","TAM"))</f>
        <v/>
      </c>
    </row>
    <row r="141">
      <c r="F141" s="37">
        <f>IF($A141="","",IF($B141="","EKSİK","TAM"))</f>
        <v/>
      </c>
    </row>
    <row r="142">
      <c r="F142" s="37">
        <f>IF($A142="","",IF($B142="","EKSİK","TAM"))</f>
        <v/>
      </c>
    </row>
    <row r="143">
      <c r="F143" s="37">
        <f>IF($A143="","",IF($B143="","EKSİK","TAM"))</f>
        <v/>
      </c>
    </row>
    <row r="144">
      <c r="F144" s="37">
        <f>IF($A144="","",IF($B144="","EKSİK","TAM"))</f>
        <v/>
      </c>
    </row>
    <row r="145">
      <c r="F145" s="37">
        <f>IF($A145="","",IF($B145="","EKSİK","TAM"))</f>
        <v/>
      </c>
    </row>
    <row r="146">
      <c r="F146" s="37">
        <f>IF($A146="","",IF($B146="","EKSİK","TAM"))</f>
        <v/>
      </c>
    </row>
    <row r="147">
      <c r="F147" s="37">
        <f>IF($A147="","",IF($B147="","EKSİK","TAM"))</f>
        <v/>
      </c>
    </row>
    <row r="148">
      <c r="F148" s="37">
        <f>IF($A148="","",IF($B148="","EKSİK","TAM"))</f>
        <v/>
      </c>
    </row>
    <row r="149">
      <c r="F149" s="37">
        <f>IF($A149="","",IF($B149="","EKSİK","TAM"))</f>
        <v/>
      </c>
    </row>
    <row r="150">
      <c r="F150" s="37">
        <f>IF($A150="","",IF($B150="","EKSİK","TAM"))</f>
        <v/>
      </c>
    </row>
    <row r="151">
      <c r="F151" s="37">
        <f>IF($A151="","",IF($B151="","EKSİK","TAM"))</f>
        <v/>
      </c>
    </row>
    <row r="152">
      <c r="F152" s="37">
        <f>IF($A152="","",IF($B152="","EKSİK","TAM"))</f>
        <v/>
      </c>
    </row>
    <row r="153">
      <c r="F153" s="37">
        <f>IF($A153="","",IF($B153="","EKSİK","TAM"))</f>
        <v/>
      </c>
    </row>
    <row r="154">
      <c r="F154" s="37">
        <f>IF($A154="","",IF($B154="","EKSİK","TAM"))</f>
        <v/>
      </c>
    </row>
    <row r="155">
      <c r="F155" s="37">
        <f>IF($A155="","",IF($B155="","EKSİK","TAM"))</f>
        <v/>
      </c>
    </row>
    <row r="156">
      <c r="F156" s="37">
        <f>IF($A156="","",IF($B156="","EKSİK","TAM"))</f>
        <v/>
      </c>
    </row>
    <row r="157">
      <c r="F157" s="37">
        <f>IF($A157="","",IF($B157="","EKSİK","TAM"))</f>
        <v/>
      </c>
    </row>
    <row r="158">
      <c r="F158" s="37">
        <f>IF($A158="","",IF($B158="","EKSİK","TAM"))</f>
        <v/>
      </c>
    </row>
    <row r="159">
      <c r="F159" s="37">
        <f>IF($A159="","",IF($B159="","EKSİK","TAM"))</f>
        <v/>
      </c>
    </row>
    <row r="160">
      <c r="F160" s="37">
        <f>IF($A160="","",IF($B160="","EKSİK","TAM"))</f>
        <v/>
      </c>
    </row>
    <row r="161">
      <c r="F161" s="37">
        <f>IF($A161="","",IF($B161="","EKSİK","TAM"))</f>
        <v/>
      </c>
    </row>
    <row r="162">
      <c r="F162" s="37">
        <f>IF($A162="","",IF($B162="","EKSİK","TAM"))</f>
        <v/>
      </c>
    </row>
    <row r="163">
      <c r="F163" s="37">
        <f>IF($A163="","",IF($B163="","EKSİK","TAM"))</f>
        <v/>
      </c>
    </row>
    <row r="164">
      <c r="F164" s="37">
        <f>IF($A164="","",IF($B164="","EKSİK","TAM"))</f>
        <v/>
      </c>
    </row>
    <row r="165">
      <c r="F165" s="37">
        <f>IF($A165="","",IF($B165="","EKSİK","TAM"))</f>
        <v/>
      </c>
    </row>
    <row r="166">
      <c r="F166" s="37">
        <f>IF($A166="","",IF($B166="","EKSİK","TAM"))</f>
        <v/>
      </c>
    </row>
    <row r="167">
      <c r="F167" s="37">
        <f>IF($A167="","",IF($B167="","EKSİK","TAM"))</f>
        <v/>
      </c>
    </row>
    <row r="168">
      <c r="F168" s="37">
        <f>IF($A168="","",IF($B168="","EKSİK","TAM"))</f>
        <v/>
      </c>
    </row>
    <row r="169">
      <c r="F169" s="37">
        <f>IF($A169="","",IF($B169="","EKSİK","TAM"))</f>
        <v/>
      </c>
    </row>
    <row r="170">
      <c r="F170" s="37">
        <f>IF($A170="","",IF($B170="","EKSİK","TAM"))</f>
        <v/>
      </c>
    </row>
    <row r="171">
      <c r="F171" s="37">
        <f>IF($A171="","",IF($B171="","EKSİK","TAM"))</f>
        <v/>
      </c>
    </row>
    <row r="172">
      <c r="F172" s="37">
        <f>IF($A172="","",IF($B172="","EKSİK","TAM"))</f>
        <v/>
      </c>
    </row>
    <row r="173">
      <c r="F173" s="37">
        <f>IF($A173="","",IF($B173="","EKSİK","TAM"))</f>
        <v/>
      </c>
    </row>
    <row r="174">
      <c r="F174" s="37">
        <f>IF($A174="","",IF($B174="","EKSİK","TAM"))</f>
        <v/>
      </c>
    </row>
    <row r="175">
      <c r="F175" s="37">
        <f>IF($A175="","",IF($B175="","EKSİK","TAM"))</f>
        <v/>
      </c>
    </row>
    <row r="176">
      <c r="F176" s="37">
        <f>IF($A176="","",IF($B176="","EKSİK","TAM"))</f>
        <v/>
      </c>
    </row>
    <row r="177">
      <c r="F177" s="37">
        <f>IF($A177="","",IF($B177="","EKSİK","TAM"))</f>
        <v/>
      </c>
    </row>
    <row r="178">
      <c r="F178" s="37">
        <f>IF($A178="","",IF($B178="","EKSİK","TAM"))</f>
        <v/>
      </c>
    </row>
    <row r="179">
      <c r="F179" s="37">
        <f>IF($A179="","",IF($B179="","EKSİK","TAM"))</f>
        <v/>
      </c>
    </row>
    <row r="180">
      <c r="F180" s="37">
        <f>IF($A180="","",IF($B180="","EKSİK","TAM"))</f>
        <v/>
      </c>
    </row>
    <row r="181">
      <c r="F181" s="37">
        <f>IF($A181="","",IF($B181="","EKSİK","TAM"))</f>
        <v/>
      </c>
    </row>
    <row r="182">
      <c r="F182" s="37">
        <f>IF($A182="","",IF($B182="","EKSİK","TAM"))</f>
        <v/>
      </c>
    </row>
    <row r="183">
      <c r="F183" s="37">
        <f>IF($A183="","",IF($B183="","EKSİK","TAM"))</f>
        <v/>
      </c>
    </row>
    <row r="184">
      <c r="F184" s="37">
        <f>IF($A184="","",IF($B184="","EKSİK","TAM"))</f>
        <v/>
      </c>
    </row>
    <row r="185">
      <c r="F185" s="37">
        <f>IF($A185="","",IF($B185="","EKSİK","TAM"))</f>
        <v/>
      </c>
    </row>
    <row r="186">
      <c r="F186" s="37">
        <f>IF($A186="","",IF($B186="","EKSİK","TAM"))</f>
        <v/>
      </c>
    </row>
    <row r="187">
      <c r="F187" s="37">
        <f>IF($A187="","",IF($B187="","EKSİK","TAM"))</f>
        <v/>
      </c>
    </row>
    <row r="188">
      <c r="F188" s="37">
        <f>IF($A188="","",IF($B188="","EKSİK","TAM"))</f>
        <v/>
      </c>
    </row>
    <row r="189">
      <c r="F189" s="37">
        <f>IF($A189="","",IF($B189="","EKSİK","TAM"))</f>
        <v/>
      </c>
    </row>
    <row r="190">
      <c r="F190" s="37">
        <f>IF($A190="","",IF($B190="","EKSİK","TAM"))</f>
        <v/>
      </c>
    </row>
    <row r="191">
      <c r="F191" s="37">
        <f>IF($A191="","",IF($B191="","EKSİK","TAM"))</f>
        <v/>
      </c>
    </row>
    <row r="192">
      <c r="F192" s="37">
        <f>IF($A192="","",IF($B192="","EKSİK","TAM"))</f>
        <v/>
      </c>
    </row>
    <row r="193">
      <c r="F193" s="37">
        <f>IF($A193="","",IF($B193="","EKSİK","TAM"))</f>
        <v/>
      </c>
    </row>
    <row r="194">
      <c r="F194" s="37">
        <f>IF($A194="","",IF($B194="","EKSİK","TAM"))</f>
        <v/>
      </c>
    </row>
    <row r="195">
      <c r="F195" s="37">
        <f>IF($A195="","",IF($B195="","EKSİK","TAM"))</f>
        <v/>
      </c>
    </row>
    <row r="196">
      <c r="F196" s="37">
        <f>IF($A196="","",IF($B196="","EKSİK","TAM"))</f>
        <v/>
      </c>
    </row>
    <row r="197">
      <c r="F197" s="37">
        <f>IF($A197="","",IF($B197="","EKSİK","TAM"))</f>
        <v/>
      </c>
    </row>
    <row r="198">
      <c r="F198" s="37">
        <f>IF($A198="","",IF($B198="","EKSİK","TAM"))</f>
        <v/>
      </c>
    </row>
    <row r="199">
      <c r="F199" s="37">
        <f>IF($A199="","",IF($B199="","EKSİK","TAM"))</f>
        <v/>
      </c>
    </row>
    <row r="200">
      <c r="F200" s="37">
        <f>IF($A200="","",IF($B200="","EKSİK","TAM"))</f>
        <v/>
      </c>
    </row>
    <row r="201">
      <c r="F201" s="37">
        <f>IF($A201="","",IF($B201="","EKSİK","TAM"))</f>
        <v/>
      </c>
    </row>
    <row r="202">
      <c r="F202" s="37">
        <f>IF($A202="","",IF($B202="","EKSİK","TAM"))</f>
        <v/>
      </c>
    </row>
    <row r="203">
      <c r="F203" s="37">
        <f>IF($A203="","",IF($B203="","EKSİK","TAM"))</f>
        <v/>
      </c>
    </row>
    <row r="204">
      <c r="F204" s="37">
        <f>IF($A204="","",IF($B204="","EKSİK","TAM"))</f>
        <v/>
      </c>
    </row>
    <row r="205">
      <c r="F205" s="37">
        <f>IF($A205="","",IF($B205="","EKSİK","TAM"))</f>
        <v/>
      </c>
    </row>
    <row r="206">
      <c r="F206" s="37">
        <f>IF($A206="","",IF($B206="","EKSİK","TAM"))</f>
        <v/>
      </c>
    </row>
    <row r="207">
      <c r="F207" s="37">
        <f>IF($A207="","",IF($B207="","EKSİK","TAM"))</f>
        <v/>
      </c>
    </row>
    <row r="208">
      <c r="F208" s="37">
        <f>IF($A208="","",IF($B208="","EKSİK","TAM"))</f>
        <v/>
      </c>
    </row>
    <row r="209">
      <c r="F209" s="37">
        <f>IF($A209="","",IF($B209="","EKSİK","TAM"))</f>
        <v/>
      </c>
    </row>
    <row r="210">
      <c r="F210" s="37">
        <f>IF($A210="","",IF($B210="","EKSİK","TAM"))</f>
        <v/>
      </c>
    </row>
    <row r="211">
      <c r="F211" s="37">
        <f>IF($A211="","",IF($B211="","EKSİK","TAM"))</f>
        <v/>
      </c>
    </row>
    <row r="212">
      <c r="F212" s="37">
        <f>IF($A212="","",IF($B212="","EKSİK","TAM"))</f>
        <v/>
      </c>
    </row>
    <row r="213">
      <c r="F213" s="37">
        <f>IF($A213="","",IF($B213="","EKSİK","TAM"))</f>
        <v/>
      </c>
    </row>
    <row r="214">
      <c r="F214" s="37">
        <f>IF($A214="","",IF($B214="","EKSİK","TAM"))</f>
        <v/>
      </c>
    </row>
    <row r="215">
      <c r="F215" s="37">
        <f>IF($A215="","",IF($B215="","EKSİK","TAM"))</f>
        <v/>
      </c>
    </row>
    <row r="216">
      <c r="F216" s="37">
        <f>IF($A216="","",IF($B216="","EKSİK","TAM"))</f>
        <v/>
      </c>
    </row>
    <row r="217">
      <c r="F217" s="37">
        <f>IF($A217="","",IF($B217="","EKSİK","TAM"))</f>
        <v/>
      </c>
    </row>
    <row r="218">
      <c r="F218" s="37">
        <f>IF($A218="","",IF($B218="","EKSİK","TAM"))</f>
        <v/>
      </c>
    </row>
    <row r="219">
      <c r="F219" s="37">
        <f>IF($A219="","",IF($B219="","EKSİK","TAM"))</f>
        <v/>
      </c>
    </row>
    <row r="220">
      <c r="F220" s="37">
        <f>IF($A220="","",IF($B220="","EKSİK","TAM"))</f>
        <v/>
      </c>
    </row>
    <row r="221">
      <c r="F221" s="37">
        <f>IF($A221="","",IF($B221="","EKSİK","TAM"))</f>
        <v/>
      </c>
    </row>
    <row r="222">
      <c r="F222" s="37">
        <f>IF($A222="","",IF($B222="","EKSİK","TAM"))</f>
        <v/>
      </c>
    </row>
    <row r="223">
      <c r="F223" s="37">
        <f>IF($A223="","",IF($B223="","EKSİK","TAM"))</f>
        <v/>
      </c>
    </row>
    <row r="224">
      <c r="F224" s="37">
        <f>IF($A224="","",IF($B224="","EKSİK","TAM"))</f>
        <v/>
      </c>
    </row>
    <row r="225">
      <c r="F225" s="37">
        <f>IF($A225="","",IF($B225="","EKSİK","TAM"))</f>
        <v/>
      </c>
    </row>
    <row r="226">
      <c r="F226" s="37">
        <f>IF($A226="","",IF($B226="","EKSİK","TAM"))</f>
        <v/>
      </c>
    </row>
    <row r="227">
      <c r="F227" s="37">
        <f>IF($A227="","",IF($B227="","EKSİK","TAM"))</f>
        <v/>
      </c>
    </row>
    <row r="228">
      <c r="F228" s="37">
        <f>IF($A228="","",IF($B228="","EKSİK","TAM"))</f>
        <v/>
      </c>
    </row>
    <row r="229">
      <c r="F229" s="37">
        <f>IF($A229="","",IF($B229="","EKSİK","TAM"))</f>
        <v/>
      </c>
    </row>
    <row r="230">
      <c r="F230" s="37">
        <f>IF($A230="","",IF($B230="","EKSİK","TAM"))</f>
        <v/>
      </c>
    </row>
    <row r="231">
      <c r="F231" s="37">
        <f>IF($A231="","",IF($B231="","EKSİK","TAM"))</f>
        <v/>
      </c>
    </row>
    <row r="232">
      <c r="F232" s="37">
        <f>IF($A232="","",IF($B232="","EKSİK","TAM"))</f>
        <v/>
      </c>
    </row>
    <row r="233">
      <c r="F233" s="37">
        <f>IF($A233="","",IF($B233="","EKSİK","TAM"))</f>
        <v/>
      </c>
    </row>
    <row r="234">
      <c r="F234" s="37">
        <f>IF($A234="","",IF($B234="","EKSİK","TAM"))</f>
        <v/>
      </c>
    </row>
    <row r="235">
      <c r="F235" s="37">
        <f>IF($A235="","",IF($B235="","EKSİK","TAM"))</f>
        <v/>
      </c>
    </row>
    <row r="236">
      <c r="F236" s="37">
        <f>IF($A236="","",IF($B236="","EKSİK","TAM"))</f>
        <v/>
      </c>
    </row>
    <row r="237">
      <c r="F237" s="37">
        <f>IF($A237="","",IF($B237="","EKSİK","TAM"))</f>
        <v/>
      </c>
    </row>
    <row r="238">
      <c r="F238" s="37">
        <f>IF($A238="","",IF($B238="","EKSİK","TAM"))</f>
        <v/>
      </c>
    </row>
    <row r="239">
      <c r="F239" s="37">
        <f>IF($A239="","",IF($B239="","EKSİK","TAM"))</f>
        <v/>
      </c>
    </row>
    <row r="240">
      <c r="F240" s="37">
        <f>IF($A240="","",IF($B240="","EKSİK","TAM"))</f>
        <v/>
      </c>
    </row>
    <row r="241">
      <c r="F241" s="37">
        <f>IF($A241="","",IF($B241="","EKSİK","TAM"))</f>
        <v/>
      </c>
    </row>
    <row r="242">
      <c r="F242" s="37">
        <f>IF($A242="","",IF($B242="","EKSİK","TAM"))</f>
        <v/>
      </c>
    </row>
    <row r="243">
      <c r="F243" s="37">
        <f>IF($A243="","",IF($B243="","EKSİK","TAM"))</f>
        <v/>
      </c>
    </row>
    <row r="244">
      <c r="F244" s="37">
        <f>IF($A244="","",IF($B244="","EKSİK","TAM"))</f>
        <v/>
      </c>
    </row>
    <row r="245">
      <c r="F245" s="37">
        <f>IF($A245="","",IF($B245="","EKSİK","TAM"))</f>
        <v/>
      </c>
    </row>
    <row r="246">
      <c r="F246" s="37">
        <f>IF($A246="","",IF($B246="","EKSİK","TAM"))</f>
        <v/>
      </c>
    </row>
    <row r="247">
      <c r="F247" s="37">
        <f>IF($A247="","",IF($B247="","EKSİK","TAM"))</f>
        <v/>
      </c>
    </row>
    <row r="248">
      <c r="F248" s="37">
        <f>IF($A248="","",IF($B248="","EKSİK","TAM"))</f>
        <v/>
      </c>
    </row>
    <row r="249">
      <c r="F249" s="37">
        <f>IF($A249="","",IF($B249="","EKSİK","TAM"))</f>
        <v/>
      </c>
    </row>
    <row r="250">
      <c r="F250" s="37">
        <f>IF($A250="","",IF($B250="","EKSİK","TAM"))</f>
        <v/>
      </c>
    </row>
    <row r="251">
      <c r="F251" s="37">
        <f>IF($A251="","",IF($B251="","EKSİK","TAM"))</f>
        <v/>
      </c>
    </row>
    <row r="252">
      <c r="F252" s="37">
        <f>IF($A252="","",IF($B252="","EKSİK","TAM"))</f>
        <v/>
      </c>
    </row>
    <row r="253">
      <c r="F253" s="37">
        <f>IF($A253="","",IF($B253="","EKSİK","TAM"))</f>
        <v/>
      </c>
    </row>
    <row r="254">
      <c r="F254" s="37">
        <f>IF($A254="","",IF($B254="","EKSİK","TAM"))</f>
        <v/>
      </c>
    </row>
    <row r="255">
      <c r="F255" s="37">
        <f>IF($A255="","",IF($B255="","EKSİK","TAM"))</f>
        <v/>
      </c>
    </row>
    <row r="256">
      <c r="F256" s="37">
        <f>IF($A256="","",IF($B256="","EKSİK","TAM"))</f>
        <v/>
      </c>
    </row>
    <row r="257">
      <c r="F257" s="37">
        <f>IF($A257="","",IF($B257="","EKSİK","TAM"))</f>
        <v/>
      </c>
    </row>
    <row r="258">
      <c r="F258" s="37">
        <f>IF($A258="","",IF($B258="","EKSİK","TAM"))</f>
        <v/>
      </c>
    </row>
    <row r="259">
      <c r="F259" s="37">
        <f>IF($A259="","",IF($B259="","EKSİK","TAM"))</f>
        <v/>
      </c>
    </row>
    <row r="260">
      <c r="F260" s="37">
        <f>IF($A260="","",IF($B260="","EKSİK","TAM"))</f>
        <v/>
      </c>
    </row>
    <row r="261">
      <c r="F261" s="37">
        <f>IF($A261="","",IF($B261="","EKSİK","TAM"))</f>
        <v/>
      </c>
    </row>
    <row r="262">
      <c r="F262" s="37">
        <f>IF($A262="","",IF($B262="","EKSİK","TAM"))</f>
        <v/>
      </c>
    </row>
    <row r="263">
      <c r="F263" s="37">
        <f>IF($A263="","",IF($B263="","EKSİK","TAM"))</f>
        <v/>
      </c>
    </row>
    <row r="264">
      <c r="F264" s="37">
        <f>IF($A264="","",IF($B264="","EKSİK","TAM"))</f>
        <v/>
      </c>
    </row>
    <row r="265">
      <c r="F265" s="37">
        <f>IF($A265="","",IF($B265="","EKSİK","TAM"))</f>
        <v/>
      </c>
    </row>
    <row r="266">
      <c r="F266" s="37">
        <f>IF($A266="","",IF($B266="","EKSİK","TAM"))</f>
        <v/>
      </c>
    </row>
    <row r="267">
      <c r="F267" s="37">
        <f>IF($A267="","",IF($B267="","EKSİK","TAM"))</f>
        <v/>
      </c>
    </row>
    <row r="268">
      <c r="F268" s="37">
        <f>IF($A268="","",IF($B268="","EKSİK","TAM"))</f>
        <v/>
      </c>
    </row>
    <row r="269">
      <c r="F269" s="37">
        <f>IF($A269="","",IF($B269="","EKSİK","TAM"))</f>
        <v/>
      </c>
    </row>
    <row r="270">
      <c r="F270" s="37">
        <f>IF($A270="","",IF($B270="","EKSİK","TAM"))</f>
        <v/>
      </c>
    </row>
    <row r="271">
      <c r="F271" s="37">
        <f>IF($A271="","",IF($B271="","EKSİK","TAM"))</f>
        <v/>
      </c>
    </row>
    <row r="272">
      <c r="F272" s="37">
        <f>IF($A272="","",IF($B272="","EKSİK","TAM"))</f>
        <v/>
      </c>
    </row>
    <row r="273">
      <c r="F273" s="37">
        <f>IF($A273="","",IF($B273="","EKSİK","TAM"))</f>
        <v/>
      </c>
    </row>
    <row r="274">
      <c r="F274" s="37">
        <f>IF($A274="","",IF($B274="","EKSİK","TAM"))</f>
        <v/>
      </c>
    </row>
    <row r="275">
      <c r="F275" s="37">
        <f>IF($A275="","",IF($B275="","EKSİK","TAM"))</f>
        <v/>
      </c>
    </row>
    <row r="276">
      <c r="F276" s="37">
        <f>IF($A276="","",IF($B276="","EKSİK","TAM"))</f>
        <v/>
      </c>
    </row>
    <row r="277">
      <c r="F277" s="37">
        <f>IF($A277="","",IF($B277="","EKSİK","TAM"))</f>
        <v/>
      </c>
    </row>
    <row r="278">
      <c r="F278" s="37">
        <f>IF($A278="","",IF($B278="","EKSİK","TAM"))</f>
        <v/>
      </c>
    </row>
    <row r="279">
      <c r="F279" s="37">
        <f>IF($A279="","",IF($B279="","EKSİK","TAM"))</f>
        <v/>
      </c>
    </row>
    <row r="280">
      <c r="F280" s="37">
        <f>IF($A280="","",IF($B280="","EKSİK","TAM"))</f>
        <v/>
      </c>
    </row>
    <row r="281">
      <c r="F281" s="37">
        <f>IF($A281="","",IF($B281="","EKSİK","TAM"))</f>
        <v/>
      </c>
    </row>
    <row r="282">
      <c r="F282" s="37">
        <f>IF($A282="","",IF($B282="","EKSİK","TAM"))</f>
        <v/>
      </c>
    </row>
    <row r="283">
      <c r="F283" s="37">
        <f>IF($A283="","",IF($B283="","EKSİK","TAM"))</f>
        <v/>
      </c>
    </row>
    <row r="284">
      <c r="F284" s="37">
        <f>IF($A284="","",IF($B284="","EKSİK","TAM"))</f>
        <v/>
      </c>
    </row>
    <row r="285">
      <c r="F285" s="37">
        <f>IF($A285="","",IF($B285="","EKSİK","TAM"))</f>
        <v/>
      </c>
    </row>
    <row r="286">
      <c r="F286" s="37">
        <f>IF($A286="","",IF($B286="","EKSİK","TAM"))</f>
        <v/>
      </c>
    </row>
    <row r="287">
      <c r="F287" s="37">
        <f>IF($A287="","",IF($B287="","EKSİK","TAM"))</f>
        <v/>
      </c>
    </row>
    <row r="288">
      <c r="F288" s="37">
        <f>IF($A288="","",IF($B288="","EKSİK","TAM"))</f>
        <v/>
      </c>
    </row>
    <row r="289">
      <c r="F289" s="37">
        <f>IF($A289="","",IF($B289="","EKSİK","TAM"))</f>
        <v/>
      </c>
    </row>
    <row r="290">
      <c r="F290" s="37">
        <f>IF($A290="","",IF($B290="","EKSİK","TAM"))</f>
        <v/>
      </c>
    </row>
    <row r="291">
      <c r="F291" s="37">
        <f>IF($A291="","",IF($B291="","EKSİK","TAM"))</f>
        <v/>
      </c>
    </row>
    <row r="292">
      <c r="F292" s="37">
        <f>IF($A292="","",IF($B292="","EKSİK","TAM"))</f>
        <v/>
      </c>
    </row>
    <row r="293">
      <c r="F293" s="37">
        <f>IF($A293="","",IF($B293="","EKSİK","TAM"))</f>
        <v/>
      </c>
    </row>
    <row r="294">
      <c r="F294" s="37">
        <f>IF($A294="","",IF($B294="","EKSİK","TAM"))</f>
        <v/>
      </c>
    </row>
    <row r="295">
      <c r="F295" s="37">
        <f>IF($A295="","",IF($B295="","EKSİK","TAM"))</f>
        <v/>
      </c>
    </row>
    <row r="296">
      <c r="F296" s="37">
        <f>IF($A296="","",IF($B296="","EKSİK","TAM"))</f>
        <v/>
      </c>
    </row>
    <row r="297">
      <c r="F297" s="37">
        <f>IF($A297="","",IF($B297="","EKSİK","TAM"))</f>
        <v/>
      </c>
    </row>
    <row r="298">
      <c r="F298" s="37">
        <f>IF($A298="","",IF($B298="","EKSİK","TAM"))</f>
        <v/>
      </c>
    </row>
    <row r="299">
      <c r="F299" s="37">
        <f>IF($A299="","",IF($B299="","EKSİK","TAM"))</f>
        <v/>
      </c>
    </row>
    <row r="300">
      <c r="F300" s="37">
        <f>IF($A300="","",IF($B300="","EKSİK","TAM"))</f>
        <v/>
      </c>
    </row>
    <row r="301">
      <c r="F301" s="37">
        <f>IF($A301="","",IF($B301="","EKSİK","TAM"))</f>
        <v/>
      </c>
    </row>
    <row r="302">
      <c r="F302" s="37">
        <f>IF($A302="","",IF($B302="","EKSİK","TAM"))</f>
        <v/>
      </c>
    </row>
    <row r="303">
      <c r="F303" s="37">
        <f>IF($A303="","",IF($B303="","EKSİK","TAM"))</f>
        <v/>
      </c>
    </row>
    <row r="304">
      <c r="F304" s="37">
        <f>IF($A304="","",IF($B304="","EKSİK","TAM"))</f>
        <v/>
      </c>
    </row>
    <row r="305">
      <c r="F305" s="37">
        <f>IF($A305="","",IF($B305="","EKSİK","TAM"))</f>
        <v/>
      </c>
    </row>
    <row r="306">
      <c r="F306" s="37">
        <f>IF($A306="","",IF($B306="","EKSİK","TAM"))</f>
        <v/>
      </c>
    </row>
    <row r="307">
      <c r="F307" s="37">
        <f>IF($A307="","",IF($B307="","EKSİK","TAM"))</f>
        <v/>
      </c>
    </row>
    <row r="308">
      <c r="F308" s="37">
        <f>IF($A308="","",IF($B308="","EKSİK","TAM"))</f>
        <v/>
      </c>
    </row>
    <row r="309">
      <c r="F309" s="37">
        <f>IF($A309="","",IF($B309="","EKSİK","TAM"))</f>
        <v/>
      </c>
    </row>
    <row r="310">
      <c r="F310" s="37">
        <f>IF($A310="","",IF($B310="","EKSİK","TAM"))</f>
        <v/>
      </c>
    </row>
    <row r="311">
      <c r="F311" s="37">
        <f>IF($A311="","",IF($B311="","EKSİK","TAM"))</f>
        <v/>
      </c>
    </row>
    <row r="312">
      <c r="F312" s="37">
        <f>IF($A312="","",IF($B312="","EKSİK","TAM"))</f>
        <v/>
      </c>
    </row>
    <row r="313">
      <c r="F313" s="37">
        <f>IF($A313="","",IF($B313="","EKSİK","TAM"))</f>
        <v/>
      </c>
    </row>
    <row r="314">
      <c r="F314" s="37">
        <f>IF($A314="","",IF($B314="","EKSİK","TAM"))</f>
        <v/>
      </c>
    </row>
    <row r="315">
      <c r="F315" s="37">
        <f>IF($A315="","",IF($B315="","EKSİK","TAM"))</f>
        <v/>
      </c>
    </row>
    <row r="316">
      <c r="F316" s="37">
        <f>IF($A316="","",IF($B316="","EKSİK","TAM"))</f>
        <v/>
      </c>
    </row>
    <row r="317">
      <c r="F317" s="37">
        <f>IF($A317="","",IF($B317="","EKSİK","TAM"))</f>
        <v/>
      </c>
    </row>
    <row r="318">
      <c r="F318" s="37">
        <f>IF($A318="","",IF($B318="","EKSİK","TAM"))</f>
        <v/>
      </c>
    </row>
    <row r="319">
      <c r="F319" s="37">
        <f>IF($A319="","",IF($B319="","EKSİK","TAM"))</f>
        <v/>
      </c>
    </row>
    <row r="320">
      <c r="F320" s="37">
        <f>IF($A320="","",IF($B320="","EKSİK","TAM"))</f>
        <v/>
      </c>
    </row>
    <row r="321">
      <c r="F321" s="37">
        <f>IF($A321="","",IF($B321="","EKSİK","TAM"))</f>
        <v/>
      </c>
    </row>
    <row r="322">
      <c r="F322" s="37">
        <f>IF($A322="","",IF($B322="","EKSİK","TAM"))</f>
        <v/>
      </c>
    </row>
    <row r="323">
      <c r="F323" s="37">
        <f>IF($A323="","",IF($B323="","EKSİK","TAM"))</f>
        <v/>
      </c>
    </row>
    <row r="324">
      <c r="F324" s="37">
        <f>IF($A324="","",IF($B324="","EKSİK","TAM"))</f>
        <v/>
      </c>
    </row>
    <row r="325">
      <c r="F325" s="37">
        <f>IF($A325="","",IF($B325="","EKSİK","TAM"))</f>
        <v/>
      </c>
    </row>
    <row r="326">
      <c r="F326" s="37">
        <f>IF($A326="","",IF($B326="","EKSİK","TAM"))</f>
        <v/>
      </c>
    </row>
    <row r="327">
      <c r="F327" s="37">
        <f>IF($A327="","",IF($B327="","EKSİK","TAM"))</f>
        <v/>
      </c>
    </row>
    <row r="328">
      <c r="F328" s="37">
        <f>IF($A328="","",IF($B328="","EKSİK","TAM"))</f>
        <v/>
      </c>
    </row>
    <row r="329">
      <c r="F329" s="37">
        <f>IF($A329="","",IF($B329="","EKSİK","TAM"))</f>
        <v/>
      </c>
    </row>
    <row r="330">
      <c r="F330" s="37">
        <f>IF($A330="","",IF($B330="","EKSİK","TAM"))</f>
        <v/>
      </c>
    </row>
    <row r="331">
      <c r="F331" s="37">
        <f>IF($A331="","",IF($B331="","EKSİK","TAM"))</f>
        <v/>
      </c>
    </row>
    <row r="332">
      <c r="F332" s="37">
        <f>IF($A332="","",IF($B332="","EKSİK","TAM"))</f>
        <v/>
      </c>
    </row>
    <row r="333">
      <c r="F333" s="37">
        <f>IF($A333="","",IF($B333="","EKSİK","TAM"))</f>
        <v/>
      </c>
    </row>
    <row r="334">
      <c r="F334" s="37">
        <f>IF($A334="","",IF($B334="","EKSİK","TAM"))</f>
        <v/>
      </c>
    </row>
    <row r="335">
      <c r="F335" s="37">
        <f>IF($A335="","",IF($B335="","EKSİK","TAM"))</f>
        <v/>
      </c>
    </row>
    <row r="336">
      <c r="F336" s="37">
        <f>IF($A336="","",IF($B336="","EKSİK","TAM"))</f>
        <v/>
      </c>
    </row>
    <row r="337">
      <c r="F337" s="37">
        <f>IF($A337="","",IF($B337="","EKSİK","TAM"))</f>
        <v/>
      </c>
    </row>
    <row r="338">
      <c r="F338" s="37">
        <f>IF($A338="","",IF($B338="","EKSİK","TAM"))</f>
        <v/>
      </c>
    </row>
    <row r="339">
      <c r="F339" s="37">
        <f>IF($A339="","",IF($B339="","EKSİK","TAM"))</f>
        <v/>
      </c>
    </row>
    <row r="340">
      <c r="F340" s="37">
        <f>IF($A340="","",IF($B340="","EKSİK","TAM"))</f>
        <v/>
      </c>
    </row>
    <row r="341">
      <c r="F341" s="37">
        <f>IF($A341="","",IF($B341="","EKSİK","TAM"))</f>
        <v/>
      </c>
    </row>
    <row r="342">
      <c r="F342" s="37">
        <f>IF($A342="","",IF($B342="","EKSİK","TAM"))</f>
        <v/>
      </c>
    </row>
    <row r="343">
      <c r="F343" s="37">
        <f>IF($A343="","",IF($B343="","EKSİK","TAM"))</f>
        <v/>
      </c>
    </row>
    <row r="344">
      <c r="F344" s="37">
        <f>IF($A344="","",IF($B344="","EKSİK","TAM"))</f>
        <v/>
      </c>
    </row>
    <row r="345">
      <c r="F345" s="37">
        <f>IF($A345="","",IF($B345="","EKSİK","TAM"))</f>
        <v/>
      </c>
    </row>
    <row r="346">
      <c r="F346" s="37">
        <f>IF($A346="","",IF($B346="","EKSİK","TAM"))</f>
        <v/>
      </c>
    </row>
    <row r="347">
      <c r="F347" s="37">
        <f>IF($A347="","",IF($B347="","EKSİK","TAM"))</f>
        <v/>
      </c>
    </row>
    <row r="348">
      <c r="F348" s="37">
        <f>IF($A348="","",IF($B348="","EKSİK","TAM"))</f>
        <v/>
      </c>
    </row>
    <row r="349">
      <c r="F349" s="37">
        <f>IF($A349="","",IF($B349="","EKSİK","TAM"))</f>
        <v/>
      </c>
    </row>
    <row r="350">
      <c r="F350" s="37">
        <f>IF($A350="","",IF($B350="","EKSİK","TAM"))</f>
        <v/>
      </c>
    </row>
    <row r="351">
      <c r="F351" s="37">
        <f>IF($A351="","",IF($B351="","EKSİK","TAM"))</f>
        <v/>
      </c>
    </row>
    <row r="352">
      <c r="F352" s="37">
        <f>IF($A352="","",IF($B352="","EKSİK","TAM"))</f>
        <v/>
      </c>
    </row>
    <row r="353">
      <c r="F353" s="37">
        <f>IF($A353="","",IF($B353="","EKSİK","TAM"))</f>
        <v/>
      </c>
    </row>
    <row r="354">
      <c r="F354" s="37">
        <f>IF($A354="","",IF($B354="","EKSİK","TAM"))</f>
        <v/>
      </c>
    </row>
    <row r="355">
      <c r="F355" s="37">
        <f>IF($A355="","",IF($B355="","EKSİK","TAM"))</f>
        <v/>
      </c>
    </row>
    <row r="356">
      <c r="F356" s="37">
        <f>IF($A356="","",IF($B356="","EKSİK","TAM"))</f>
        <v/>
      </c>
    </row>
    <row r="357">
      <c r="F357" s="37">
        <f>IF($A357="","",IF($B357="","EKSİK","TAM"))</f>
        <v/>
      </c>
    </row>
    <row r="358">
      <c r="F358" s="37">
        <f>IF($A358="","",IF($B358="","EKSİK","TAM"))</f>
        <v/>
      </c>
    </row>
    <row r="359">
      <c r="F359" s="37">
        <f>IF($A359="","",IF($B359="","EKSİK","TAM"))</f>
        <v/>
      </c>
    </row>
    <row r="360">
      <c r="F360" s="37">
        <f>IF($A360="","",IF($B360="","EKSİK","TAM"))</f>
        <v/>
      </c>
    </row>
    <row r="361">
      <c r="F361" s="37">
        <f>IF($A361="","",IF($B361="","EKSİK","TAM"))</f>
        <v/>
      </c>
    </row>
    <row r="362">
      <c r="F362" s="37">
        <f>IF($A362="","",IF($B362="","EKSİK","TAM"))</f>
        <v/>
      </c>
    </row>
    <row r="363">
      <c r="F363" s="37">
        <f>IF($A363="","",IF($B363="","EKSİK","TAM"))</f>
        <v/>
      </c>
    </row>
    <row r="364">
      <c r="F364" s="37">
        <f>IF($A364="","",IF($B364="","EKSİK","TAM"))</f>
        <v/>
      </c>
    </row>
    <row r="365">
      <c r="F365" s="37">
        <f>IF($A365="","",IF($B365="","EKSİK","TAM"))</f>
        <v/>
      </c>
    </row>
    <row r="366">
      <c r="F366" s="37">
        <f>IF($A366="","",IF($B366="","EKSİK","TAM"))</f>
        <v/>
      </c>
    </row>
    <row r="367">
      <c r="F367" s="37">
        <f>IF($A367="","",IF($B367="","EKSİK","TAM"))</f>
        <v/>
      </c>
    </row>
    <row r="368">
      <c r="F368" s="37">
        <f>IF($A368="","",IF($B368="","EKSİK","TAM"))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IF($A370="","",IF($B370="","EKSİK","TAM"))</f>
        <v/>
      </c>
    </row>
    <row r="371">
      <c r="F371" s="37">
        <f>IF($A371="","",IF($B371="","EKSİK","TAM"))</f>
        <v/>
      </c>
    </row>
    <row r="372">
      <c r="F372" s="37">
        <f>IF($A372="","",IF($B372="","EKSİK","TAM"))</f>
        <v/>
      </c>
    </row>
    <row r="373">
      <c r="F373" s="37">
        <f>IF($A373="","",IF($B373="","EKSİK","TAM"))</f>
        <v/>
      </c>
    </row>
    <row r="374">
      <c r="F374" s="37">
        <f>IF($A374="","",IF($B374="","EKSİK","TAM"))</f>
        <v/>
      </c>
    </row>
    <row r="375">
      <c r="F375" s="37">
        <f>IF($A375="","",IF($B375="","EKSİK","TAM"))</f>
        <v/>
      </c>
    </row>
    <row r="376">
      <c r="F376" s="37">
        <f>IF($A376="","",IF($B376="","EKSİK","TAM"))</f>
        <v/>
      </c>
    </row>
    <row r="377">
      <c r="F377" s="37">
        <f>IF($A377="","",IF($B377="","EKSİK","TAM"))</f>
        <v/>
      </c>
    </row>
    <row r="378">
      <c r="F378" s="37">
        <f>IF($A378="","",IF($B378="","EKSİK","TAM"))</f>
        <v/>
      </c>
    </row>
    <row r="379">
      <c r="F379" s="37">
        <f>IF($A379="","",IF($B379="","EKSİK","TAM"))</f>
        <v/>
      </c>
    </row>
    <row r="380">
      <c r="F380" s="37">
        <f>IF($A380="","",IF($B380="","EKSİK","TAM"))</f>
        <v/>
      </c>
    </row>
    <row r="381">
      <c r="F381" s="37">
        <f>IF($A381="","",IF($B381="","EKSİK","TAM"))</f>
        <v/>
      </c>
    </row>
    <row r="382">
      <c r="F382" s="37">
        <f>IF($A382="","",IF($B382="","EKSİK","TAM"))</f>
        <v/>
      </c>
    </row>
    <row r="383">
      <c r="F383" s="37">
        <f>IF($A383="","",IF($B383="","EKSİK","TAM"))</f>
        <v/>
      </c>
    </row>
    <row r="384">
      <c r="F384" s="37">
        <f>IF($A384="","",IF($B384="","EKSİK","TAM"))</f>
        <v/>
      </c>
    </row>
    <row r="385">
      <c r="F385" s="37">
        <f>IF($A385="","",IF($B385="","EKSİK","TAM"))</f>
        <v/>
      </c>
    </row>
    <row r="386">
      <c r="F386" s="37">
        <f>IF($A386="","",IF($B386="","EKSİK","TAM"))</f>
        <v/>
      </c>
    </row>
    <row r="387">
      <c r="F387" s="37">
        <f>IF($A387="","",IF($B387="","EKSİK","TAM"))</f>
        <v/>
      </c>
    </row>
    <row r="388">
      <c r="F388" s="37">
        <f>IF($A388="","",IF($B388="","EKSİK","TAM"))</f>
        <v/>
      </c>
    </row>
    <row r="389">
      <c r="F389" s="37">
        <f>IF($A389="","",IF($B389="","EKSİK","TAM"))</f>
        <v/>
      </c>
    </row>
    <row r="390">
      <c r="F390" s="37">
        <f>IF($A390="","",IF($B390="","EKSİK","TAM"))</f>
        <v/>
      </c>
    </row>
    <row r="391">
      <c r="F391" s="37">
        <f>IF($A391="","",IF($B391="","EKSİK","TAM"))</f>
        <v/>
      </c>
    </row>
    <row r="392">
      <c r="F392" s="37">
        <f>IF($A392="","",IF($B392="","EKSİK","TAM"))</f>
        <v/>
      </c>
    </row>
    <row r="393">
      <c r="F393" s="37">
        <f>IF($A393="","",IF($B393="","EKSİK","TAM"))</f>
        <v/>
      </c>
    </row>
    <row r="394">
      <c r="F394" s="37">
        <f>IF($A394="","",IF($B394="","EKSİK","TAM"))</f>
        <v/>
      </c>
    </row>
    <row r="395">
      <c r="F395" s="37">
        <f>IF($A395="","",IF($B395="","EKSİK","TAM"))</f>
        <v/>
      </c>
    </row>
    <row r="396">
      <c r="F396" s="37">
        <f>IF($A396="","",IF($B396="","EKSİK","TAM"))</f>
        <v/>
      </c>
    </row>
    <row r="397">
      <c r="F397" s="37">
        <f>IF($A397="","",IF($B397="","EKSİK","TAM"))</f>
        <v/>
      </c>
    </row>
    <row r="398">
      <c r="F398" s="37">
        <f>IF($A398="","",IF($B398="","EKSİK","TAM"))</f>
        <v/>
      </c>
    </row>
    <row r="399">
      <c r="F399" s="37">
        <f>IF($A399="","",IF($B399="","EKSİK","TAM"))</f>
        <v/>
      </c>
    </row>
    <row r="400">
      <c r="F400" s="37">
        <f>IF($A400="","",IF($B400="","EKSİK","TAM"))</f>
        <v/>
      </c>
    </row>
    <row r="401">
      <c r="F401" s="37">
        <f>IF($A401="","",IF($B401="","EKSİK","TAM"))</f>
        <v/>
      </c>
    </row>
    <row r="402">
      <c r="F402" s="37">
        <f>IF($A402="","",IF($B402="","EKSİK","TAM"))</f>
        <v/>
      </c>
    </row>
    <row r="403">
      <c r="F403" s="37">
        <f>IF($A403="","",IF($B403="","EKSİK","TAM"))</f>
        <v/>
      </c>
    </row>
    <row r="404">
      <c r="F404" s="37">
        <f>IF($A404="","",IF($B404="","EKSİK","TAM"))</f>
        <v/>
      </c>
    </row>
    <row r="405">
      <c r="F405" s="37">
        <f>IF($A405="","",IF($B405="","EKSİK","TAM"))</f>
        <v/>
      </c>
    </row>
    <row r="406">
      <c r="F406" s="37">
        <f>IF($A406="","",IF($B406="","EKSİK","TAM"))</f>
        <v/>
      </c>
    </row>
    <row r="407">
      <c r="F407" s="37">
        <f>IF($A407="","",IF($B407="","EKSİK","TAM"))</f>
        <v/>
      </c>
    </row>
    <row r="408">
      <c r="F408" s="37">
        <f>IF($A408="","",IF($B408="","EKSİK","TAM"))</f>
        <v/>
      </c>
    </row>
    <row r="409">
      <c r="F409" s="37">
        <f>IF($A409="","",IF($B409="","EKSİK","TAM"))</f>
        <v/>
      </c>
    </row>
    <row r="410">
      <c r="F410" s="37">
        <f>IF($A410="","",IF($B410="","EKSİK","TAM"))</f>
        <v/>
      </c>
    </row>
    <row r="411">
      <c r="F411" s="37">
        <f>IF($A411="","",IF($B411="","EKSİK","TAM"))</f>
        <v/>
      </c>
    </row>
    <row r="412">
      <c r="F412" s="37">
        <f>IF($A412="","",IF($B412="","EKSİK","TAM"))</f>
        <v/>
      </c>
    </row>
    <row r="413">
      <c r="F413" s="37">
        <f>IF($A413="","",IF($B413="","EKSİK","TAM"))</f>
        <v/>
      </c>
    </row>
    <row r="414">
      <c r="F414" s="37">
        <f>IF($A414="","",IF($B414="","EKSİK","TAM"))</f>
        <v/>
      </c>
    </row>
    <row r="415">
      <c r="F415" s="37">
        <f>IF($A415="","",IF($B415="","EKSİK","TAM"))</f>
        <v/>
      </c>
    </row>
    <row r="416">
      <c r="F416" s="37">
        <f>IF($A416="","",IF($B416="","EKSİK","TAM"))</f>
        <v/>
      </c>
    </row>
    <row r="417">
      <c r="F417" s="37">
        <f>IF($A417="","",IF($B417="","EKSİK","TAM"))</f>
        <v/>
      </c>
    </row>
    <row r="418">
      <c r="F418" s="37">
        <f>IF($A418="","",IF($B418="","EKSİK","TAM"))</f>
        <v/>
      </c>
    </row>
    <row r="419">
      <c r="F419" s="37">
        <f>IF($A419="","",IF($B419="","EKSİK","TAM"))</f>
        <v/>
      </c>
    </row>
    <row r="420">
      <c r="F420" s="37">
        <f>IF($A420="","",IF($B420="","EKSİK","TAM"))</f>
        <v/>
      </c>
    </row>
    <row r="421">
      <c r="F421" s="37">
        <f>IF($A421="","",IF($B421="","EKSİK","TAM"))</f>
        <v/>
      </c>
    </row>
    <row r="422">
      <c r="F422" s="37">
        <f>IF($A422="","",IF($B422="","EKSİK","TAM"))</f>
        <v/>
      </c>
    </row>
    <row r="423">
      <c r="F423" s="37">
        <f>IF($A423="","",IF($B423="","EKSİK","TAM"))</f>
        <v/>
      </c>
    </row>
    <row r="424">
      <c r="F424" s="37">
        <f>IF($A424="","",IF($B424="","EKSİK","TAM"))</f>
        <v/>
      </c>
    </row>
    <row r="425">
      <c r="F425" s="37">
        <f>IF($A425="","",IF($B425="","EKSİK","TAM"))</f>
        <v/>
      </c>
    </row>
    <row r="426">
      <c r="F426" s="37">
        <f>IF($A426="","",IF($B426="","EKSİK","TAM"))</f>
        <v/>
      </c>
    </row>
    <row r="427">
      <c r="F427" s="37">
        <f>IF($A427="","",IF($B427="","EKSİK","TAM"))</f>
        <v/>
      </c>
    </row>
    <row r="428">
      <c r="F428" s="37">
        <f>IF($A428="","",IF($B428="","EKSİK","TAM"))</f>
        <v/>
      </c>
    </row>
    <row r="429">
      <c r="F429" s="37">
        <f>IF($A429="","",IF($B429="","EKSİK","TAM"))</f>
        <v/>
      </c>
    </row>
    <row r="430">
      <c r="F430" s="37">
        <f>IF($A430="","",IF($B430="","EKSİK","TAM"))</f>
        <v/>
      </c>
    </row>
    <row r="431">
      <c r="F431" s="37">
        <f>IF($A431="","",IF($B431="","EKSİK","TAM"))</f>
        <v/>
      </c>
    </row>
    <row r="432">
      <c r="F432" s="37">
        <f>IF($A432="","",IF($B432="","EKSİK","TAM"))</f>
        <v/>
      </c>
    </row>
    <row r="433">
      <c r="F433" s="37">
        <f>IF($A433="","",IF($B433="","EKSİK","TAM"))</f>
        <v/>
      </c>
    </row>
    <row r="434">
      <c r="F434" s="37">
        <f>IF($A434="","",IF($B434="","EKSİK","TAM"))</f>
        <v/>
      </c>
    </row>
    <row r="435">
      <c r="F435" s="37">
        <f>IF($A435="","",IF($B435="","EKSİK","TAM"))</f>
        <v/>
      </c>
    </row>
    <row r="436">
      <c r="F436" s="37">
        <f>IF($A436="","",IF($B436="","EKSİK","TAM"))</f>
        <v/>
      </c>
    </row>
    <row r="437">
      <c r="F437" s="37">
        <f>IF($A437="","",IF($B437="","EKSİK","TAM"))</f>
        <v/>
      </c>
    </row>
    <row r="438">
      <c r="F438" s="37">
        <f>IF($A438="","",IF($B438="","EKSİK","TAM"))</f>
        <v/>
      </c>
    </row>
    <row r="439">
      <c r="F439" s="37">
        <f>IF($A439="","",IF($B439="","EKSİK","TAM"))</f>
        <v/>
      </c>
    </row>
    <row r="440">
      <c r="F440" s="37">
        <f>IF($A440="","",IF($B440="","EKSİK","TAM"))</f>
        <v/>
      </c>
    </row>
    <row r="441">
      <c r="F441" s="37">
        <f>IF($A441="","",IF($B441="","EKSİK","TAM"))</f>
        <v/>
      </c>
    </row>
    <row r="442">
      <c r="F442" s="37">
        <f>IF($A442="","",IF($B442="","EKSİK","TAM"))</f>
        <v/>
      </c>
    </row>
    <row r="443">
      <c r="F443" s="37">
        <f>IF($A443="","",IF($B443="","EKSİK","TAM"))</f>
        <v/>
      </c>
    </row>
    <row r="444">
      <c r="F444" s="37">
        <f>IF($A444="","",IF($B444="","EKSİK","TAM"))</f>
        <v/>
      </c>
    </row>
    <row r="445">
      <c r="F445" s="37">
        <f>IF($A445="","",IF($B445="","EKSİK","TAM"))</f>
        <v/>
      </c>
    </row>
    <row r="446">
      <c r="F446" s="37">
        <f>IF($A446="","",IF($B446="","EKSİK","TAM"))</f>
        <v/>
      </c>
    </row>
    <row r="447">
      <c r="F447" s="37">
        <f>IF($A447="","",IF($B447="","EKSİK","TAM"))</f>
        <v/>
      </c>
    </row>
    <row r="448">
      <c r="F448" s="37">
        <f>IF($A448="","",IF($B448="","EKSİK","TAM"))</f>
        <v/>
      </c>
    </row>
    <row r="449">
      <c r="F449" s="37">
        <f>IF($A449="","",IF($B449="","EKSİK","TAM"))</f>
        <v/>
      </c>
    </row>
    <row r="450">
      <c r="F450" s="37">
        <f>IF($A450="","",IF($B450="","EKSİK","TAM"))</f>
        <v/>
      </c>
    </row>
    <row r="451">
      <c r="F451" s="37">
        <f>IF($A451="","",IF($B451="","EKSİK","TAM"))</f>
        <v/>
      </c>
    </row>
    <row r="452">
      <c r="F452" s="37">
        <f>IF($A452="","",IF($B452="","EKSİK","TAM"))</f>
        <v/>
      </c>
    </row>
    <row r="453">
      <c r="F453" s="37">
        <f>IF($A453="","",IF($B453="","EKSİK","TAM"))</f>
        <v/>
      </c>
    </row>
    <row r="454">
      <c r="F454" s="37">
        <f>IF($A454="","",IF($B454="","EKSİK","TAM"))</f>
        <v/>
      </c>
    </row>
    <row r="455">
      <c r="F455" s="37">
        <f>IF($A455="","",IF($B455="","EKSİK","TAM"))</f>
        <v/>
      </c>
    </row>
    <row r="456">
      <c r="F456" s="37">
        <f>IF($A456="","",IF($B456="","EKSİK","TAM"))</f>
        <v/>
      </c>
    </row>
    <row r="457">
      <c r="F457" s="37">
        <f>IF($A457="","",IF($B457="","EKSİK","TAM"))</f>
        <v/>
      </c>
    </row>
    <row r="458">
      <c r="F458" s="37">
        <f>IF($A458="","",IF($B458="","EKSİK","TAM"))</f>
        <v/>
      </c>
    </row>
    <row r="459">
      <c r="F459" s="37">
        <f>IF($A459="","",IF($B459="","EKSİK","TAM"))</f>
        <v/>
      </c>
    </row>
    <row r="460">
      <c r="F460" s="37">
        <f>IF($A460="","",IF($B460="","EKSİK","TAM"))</f>
        <v/>
      </c>
    </row>
    <row r="461">
      <c r="F461" s="37">
        <f>IF($A461="","",IF($B461="","EKSİK","TAM"))</f>
        <v/>
      </c>
    </row>
    <row r="462">
      <c r="F462" s="37">
        <f>IF($A462="","",IF($B462="","EKSİK","TAM"))</f>
        <v/>
      </c>
    </row>
    <row r="463">
      <c r="F463" s="37">
        <f>IF($A463="","",IF($B463="","EKSİK","TAM"))</f>
        <v/>
      </c>
    </row>
    <row r="464">
      <c r="F464" s="37">
        <f>IF($A464="","",IF($B464="","EKSİK","TAM"))</f>
        <v/>
      </c>
    </row>
    <row r="465">
      <c r="F465" s="37">
        <f>IF($A465="","",IF($B465="","EKSİK","TAM"))</f>
        <v/>
      </c>
    </row>
    <row r="466">
      <c r="F466" s="37">
        <f>IF($A466="","",IF($B466="","EKSİK","TAM"))</f>
        <v/>
      </c>
    </row>
    <row r="467">
      <c r="F467" s="37">
        <f>IF($A467="","",IF($B467="","EKSİK","TAM"))</f>
        <v/>
      </c>
    </row>
    <row r="468">
      <c r="F468" s="37">
        <f>IF($A468="","",IF($B468="","EKSİK","TAM"))</f>
        <v/>
      </c>
    </row>
    <row r="469">
      <c r="F469" s="37">
        <f>IF($A469="","",IF($B469="","EKSİK","TAM"))</f>
        <v/>
      </c>
    </row>
    <row r="470">
      <c r="F470" s="37">
        <f>IF($A470="","",IF($B470="","EKSİK","TAM"))</f>
        <v/>
      </c>
    </row>
    <row r="471">
      <c r="F471" s="37">
        <f>IF($A471="","",IF($B471="","EKSİK","TAM"))</f>
        <v/>
      </c>
    </row>
    <row r="472">
      <c r="F472" s="37">
        <f>IF($A472="","",IF($B472="","EKSİK","TAM"))</f>
        <v/>
      </c>
    </row>
    <row r="473">
      <c r="F473" s="37">
        <f>IF($A473="","",IF($B473="","EKSİK","TAM"))</f>
        <v/>
      </c>
    </row>
    <row r="474">
      <c r="F474" s="37">
        <f>IF($A474="","",IF($B474="","EKSİK","TAM"))</f>
        <v/>
      </c>
    </row>
    <row r="475">
      <c r="F475" s="37">
        <f>IF($A475="","",IF($B475="","EKSİK","TAM"))</f>
        <v/>
      </c>
    </row>
    <row r="476">
      <c r="F476" s="37">
        <f>IF($A476="","",IF($B476="","EKSİK","TAM"))</f>
        <v/>
      </c>
    </row>
    <row r="477">
      <c r="F477" s="37">
        <f>IF($A477="","",IF($B477="","EKSİK","TAM"))</f>
        <v/>
      </c>
    </row>
    <row r="478">
      <c r="F478" s="37">
        <f>IF($A478="","",IF($B478="","EKSİK","TAM"))</f>
        <v/>
      </c>
    </row>
    <row r="479">
      <c r="F479" s="37">
        <f>IF($A479="","",IF($B479="","EKSİK","TAM"))</f>
        <v/>
      </c>
    </row>
    <row r="480">
      <c r="F480" s="37">
        <f>IF($A480="","",IF($B480="","EKSİK","TAM"))</f>
        <v/>
      </c>
    </row>
    <row r="481">
      <c r="F481" s="37">
        <f>IF($A481="","",IF($B481="","EKSİK","TAM"))</f>
        <v/>
      </c>
    </row>
    <row r="482">
      <c r="F482" s="37">
        <f>IF($A482="","",IF($B482="","EKSİK","TAM"))</f>
        <v/>
      </c>
    </row>
    <row r="483">
      <c r="F483" s="37">
        <f>IF($A483="","",IF($B483="","EKSİK","TAM"))</f>
        <v/>
      </c>
    </row>
    <row r="484">
      <c r="F484" s="37">
        <f>IF($A484="","",IF($B484="","EKSİK","TAM"))</f>
        <v/>
      </c>
    </row>
    <row r="485">
      <c r="F485" s="37">
        <f>IF($A485="","",IF($B485="","EKSİK","TAM"))</f>
        <v/>
      </c>
    </row>
    <row r="486">
      <c r="F486" s="37">
        <f>IF($A486="","",IF($B486="","EKSİK","TAM"))</f>
        <v/>
      </c>
    </row>
    <row r="487">
      <c r="F487" s="37">
        <f>IF($A487="","",IF($B487="","EKSİK","TAM"))</f>
        <v/>
      </c>
    </row>
    <row r="488">
      <c r="F488" s="37">
        <f>IF($A488="","",IF($B488="","EKSİK","TAM"))</f>
        <v/>
      </c>
    </row>
    <row r="489">
      <c r="F489" s="37">
        <f>IF($A489="","",IF($B489="","EKSİK","TAM"))</f>
        <v/>
      </c>
    </row>
    <row r="490">
      <c r="F490" s="37">
        <f>IF($A490="","",IF($B490="","EKSİK","TAM"))</f>
        <v/>
      </c>
    </row>
    <row r="491">
      <c r="F491" s="37">
        <f>IF($A491="","",IF($B491="","EKSİK","TAM"))</f>
        <v/>
      </c>
    </row>
    <row r="492">
      <c r="F492" s="37">
        <f>IF($A492="","",IF($B492="","EKSİK","TAM"))</f>
        <v/>
      </c>
    </row>
    <row r="493">
      <c r="F493" s="37">
        <f>IF($A493="","",IF($B493="","EKSİK","TAM"))</f>
        <v/>
      </c>
    </row>
    <row r="494">
      <c r="F494" s="37">
        <f>IF($A494="","",IF($B494="","EKSİK","TAM"))</f>
        <v/>
      </c>
    </row>
    <row r="495">
      <c r="F495" s="37">
        <f>IF($A495="","",IF($B495="","EKSİK","TAM"))</f>
        <v/>
      </c>
    </row>
    <row r="496">
      <c r="F496" s="37">
        <f>IF($A496="","",IF($B496="","EKSİK","TAM"))</f>
        <v/>
      </c>
    </row>
    <row r="497">
      <c r="F497" s="37">
        <f>IF($A497="","",IF($B497="","EKSİK","TAM"))</f>
        <v/>
      </c>
    </row>
    <row r="498">
      <c r="F498" s="37">
        <f>IF($A498="","",IF($B498="","EKSİK","TAM"))</f>
        <v/>
      </c>
    </row>
    <row r="499">
      <c r="F499" s="37">
        <f>IF($A499="","",IF($B499="","EKSİK","TAM"))</f>
        <v/>
      </c>
    </row>
    <row r="500">
      <c r="F500" s="37">
        <f>IF($A500="","",IF($B500="","EKSİK","TAM"))</f>
        <v/>
      </c>
    </row>
    <row r="501">
      <c r="F501" s="37">
        <f>IF($A501="","",IF($B501="","EKSİK","TAM"))</f>
        <v/>
      </c>
    </row>
    <row r="502">
      <c r="F502" s="37">
        <f>IF($A502="","",IF($B502="","EKSİK","TAM"))</f>
        <v/>
      </c>
    </row>
    <row r="503">
      <c r="F503" s="37">
        <f>IF($A503="","",IF($B503="","EKSİK","TAM"))</f>
        <v/>
      </c>
    </row>
    <row r="504">
      <c r="F504" s="37">
        <f>IF($A504="","",IF($B504="","EKSİK","TAM"))</f>
        <v/>
      </c>
    </row>
    <row r="505">
      <c r="F505" s="37">
        <f>IF($A505="","",IF($B505="","EKSİK","TAM"))</f>
        <v/>
      </c>
    </row>
    <row r="506">
      <c r="F506" s="37">
        <f>IF($A506="","",IF($B506="","EKSİK","TAM"))</f>
        <v/>
      </c>
    </row>
    <row r="507">
      <c r="F507" s="37">
        <f>IF($A507="","",IF($B507="","EKSİK","TAM"))</f>
        <v/>
      </c>
    </row>
    <row r="508">
      <c r="F508" s="37">
        <f>IF($A508="","",IF($B508="","EKSİK","TAM"))</f>
        <v/>
      </c>
    </row>
    <row r="509">
      <c r="F509" s="37">
        <f>IF($A509="","",IF($B509="","EKSİK","TAM"))</f>
        <v/>
      </c>
    </row>
    <row r="510">
      <c r="F510" s="37">
        <f>IF($A510="","",IF($B510="","EKSİK","TAM"))</f>
        <v/>
      </c>
    </row>
    <row r="511">
      <c r="F511" s="37">
        <f>IF($A511="","",IF($B511="","EKSİK","TAM"))</f>
        <v/>
      </c>
    </row>
    <row r="512">
      <c r="F512" s="37">
        <f>IF($A512="","",IF($B512="","EKSİK","TAM"))</f>
        <v/>
      </c>
    </row>
    <row r="513">
      <c r="F513" s="37">
        <f>IF($A513="","",IF($B513="","EKSİK","TAM"))</f>
        <v/>
      </c>
    </row>
    <row r="514">
      <c r="F514" s="37">
        <f>IF($A514="","",IF($B514="","EKSİK","TAM"))</f>
        <v/>
      </c>
    </row>
    <row r="515">
      <c r="F515" s="37">
        <f>IF($A515="","",IF($B515="","EKSİK","TAM"))</f>
        <v/>
      </c>
    </row>
    <row r="516">
      <c r="F516" s="37">
        <f>IF($A516="","",IF($B516="","EKSİK","TAM"))</f>
        <v/>
      </c>
    </row>
    <row r="517">
      <c r="F517" s="37">
        <f>IF($A517="","",IF($B517="","EKSİK","TAM"))</f>
        <v/>
      </c>
    </row>
    <row r="518">
      <c r="F518" s="37">
        <f>IF($A518="","",IF($B518="","EKSİK","TAM"))</f>
        <v/>
      </c>
    </row>
    <row r="519">
      <c r="F519" s="37">
        <f>IF($A519="","",IF($B519="","EKSİK","TAM"))</f>
        <v/>
      </c>
    </row>
    <row r="520">
      <c r="F520" s="37">
        <f>IF($A520="","",IF($B520="","EKSİK","TAM"))</f>
        <v/>
      </c>
    </row>
    <row r="521">
      <c r="F521" s="37">
        <f>IF($A521="","",IF($B521="","EKSİK","TAM"))</f>
        <v/>
      </c>
    </row>
    <row r="522">
      <c r="F522" s="37">
        <f>IF($A522="","",IF($B522="","EKSİK","TAM"))</f>
        <v/>
      </c>
    </row>
    <row r="523">
      <c r="F523" s="37">
        <f>IF($A523="","",IF($B523="","EKSİK","TAM"))</f>
        <v/>
      </c>
    </row>
    <row r="524">
      <c r="F524" s="37">
        <f>IF($A524="","",IF($B524="","EKSİK","TAM"))</f>
        <v/>
      </c>
    </row>
    <row r="525">
      <c r="F525" s="37">
        <f>IF($A525="","",IF($B525="","EKSİK","TAM"))</f>
        <v/>
      </c>
    </row>
    <row r="526">
      <c r="F526" s="37">
        <f>IF($A526="","",IF($B526="","EKSİK","TAM"))</f>
        <v/>
      </c>
    </row>
    <row r="527">
      <c r="F527" s="37">
        <f>IF($A527="","",IF($B527="","EKSİK","TAM"))</f>
        <v/>
      </c>
    </row>
    <row r="528">
      <c r="F528" s="37">
        <f>IF($A528="","",IF($B528="","EKSİK","TAM"))</f>
        <v/>
      </c>
    </row>
    <row r="529">
      <c r="F529" s="37">
        <f>IF($A529="","",IF($B529="","EKSİK","TAM"))</f>
        <v/>
      </c>
    </row>
    <row r="530">
      <c r="F530" s="37">
        <f>IF($A530="","",IF($B530="","EKSİK","TAM"))</f>
        <v/>
      </c>
    </row>
    <row r="531">
      <c r="F531" s="37">
        <f>IF($A531="","",IF($B531="","EKSİK","TAM"))</f>
        <v/>
      </c>
    </row>
    <row r="532">
      <c r="F532" s="37">
        <f>IF($A532="","",IF($B532="","EKSİK","TAM"))</f>
        <v/>
      </c>
    </row>
    <row r="533">
      <c r="F533" s="37">
        <f>IF($A533="","",IF($B533="","EKSİK","TAM"))</f>
        <v/>
      </c>
    </row>
    <row r="534">
      <c r="F534" s="37">
        <f>IF($A534="","",IF($B534="","EKSİK","TAM"))</f>
        <v/>
      </c>
    </row>
    <row r="535">
      <c r="F535" s="37">
        <f>IF($A535="","",IF($B535="","EKSİK","TAM"))</f>
        <v/>
      </c>
    </row>
    <row r="536">
      <c r="F536" s="37">
        <f>IF($A536="","",IF($B536="","EKSİK","TAM"))</f>
        <v/>
      </c>
    </row>
    <row r="537">
      <c r="F537" s="37">
        <f>IF($A537="","",IF($B537="","EKSİK","TAM"))</f>
        <v/>
      </c>
    </row>
    <row r="538">
      <c r="F538" s="37">
        <f>IF($A538="","",IF($B538="","EKSİK","TAM"))</f>
        <v/>
      </c>
    </row>
    <row r="539">
      <c r="F539" s="37">
        <f>IF($A539="","",IF($B539="","EKSİK","TAM"))</f>
        <v/>
      </c>
    </row>
    <row r="540">
      <c r="F540" s="37">
        <f>IF($A540="","",IF($B540="","EKSİK","TAM"))</f>
        <v/>
      </c>
    </row>
    <row r="541">
      <c r="F541" s="37">
        <f>IF($A541="","",IF($B541="","EKSİK","TAM"))</f>
        <v/>
      </c>
    </row>
    <row r="542">
      <c r="F542" s="37">
        <f>IF($A542="","",IF($B542="","EKSİK","TAM"))</f>
        <v/>
      </c>
    </row>
    <row r="543">
      <c r="F543" s="37">
        <f>IF($A543="","",IF($B543="","EKSİK","TAM"))</f>
        <v/>
      </c>
    </row>
    <row r="544">
      <c r="F544" s="37">
        <f>IF($A544="","",IF($B544="","EKSİK","TAM"))</f>
        <v/>
      </c>
    </row>
    <row r="545">
      <c r="F545" s="37">
        <f>IF($A545="","",IF($B545="","EKSİK","TAM"))</f>
        <v/>
      </c>
    </row>
    <row r="546">
      <c r="F546" s="37">
        <f>IF($A546="","",IF($B546="","EKSİK","TAM"))</f>
        <v/>
      </c>
    </row>
    <row r="547">
      <c r="F547" s="37">
        <f>IF($A547="","",IF($B547="","EKSİK","TAM"))</f>
        <v/>
      </c>
    </row>
    <row r="548">
      <c r="F548" s="37">
        <f>IF($A548="","",IF($B548="","EKSİK","TAM"))</f>
        <v/>
      </c>
    </row>
    <row r="549">
      <c r="F549" s="37">
        <f>IF($A549="","",IF($B549="","EKSİK","TAM"))</f>
        <v/>
      </c>
    </row>
    <row r="550">
      <c r="F550" s="37">
        <f>IF($A550="","",IF($B550="","EKSİK","TAM"))</f>
        <v/>
      </c>
    </row>
    <row r="551">
      <c r="F551" s="37">
        <f>IF($A551="","",IF($B551="","EKSİK","TAM"))</f>
        <v/>
      </c>
    </row>
    <row r="552">
      <c r="F552" s="37">
        <f>IF($A552="","",IF($B552="","EKSİK","TAM"))</f>
        <v/>
      </c>
    </row>
    <row r="553">
      <c r="F553" s="37">
        <f>IF($A553="","",IF($B553="","EKSİK","TAM"))</f>
        <v/>
      </c>
    </row>
    <row r="554">
      <c r="F554" s="37">
        <f>IF($A554="","",IF($B554="","EKSİK","TAM"))</f>
        <v/>
      </c>
    </row>
    <row r="555">
      <c r="F555" s="37">
        <f>IF($A555="","",IF($B555="","EKSİK","TAM"))</f>
        <v/>
      </c>
    </row>
    <row r="556">
      <c r="F556" s="37">
        <f>IF($A556="","",IF($B556="","EKSİK","TAM"))</f>
        <v/>
      </c>
    </row>
    <row r="557">
      <c r="F557" s="37">
        <f>IF($A557="","",IF($B557="","EKSİK","TAM"))</f>
        <v/>
      </c>
    </row>
    <row r="558">
      <c r="F558" s="37">
        <f>IF($A558="","",IF($B558="","EKSİK","TAM"))</f>
        <v/>
      </c>
    </row>
    <row r="559">
      <c r="F559" s="37">
        <f>IF($A559="","",IF($B559="","EKSİK","TAM"))</f>
        <v/>
      </c>
    </row>
    <row r="560">
      <c r="F560" s="37">
        <f>IF($A560="","",IF($B560="","EKSİK","TAM"))</f>
        <v/>
      </c>
    </row>
    <row r="561">
      <c r="F561" s="37">
        <f>IF($A561="","",IF($B561="","EKSİK","TAM"))</f>
        <v/>
      </c>
    </row>
    <row r="562">
      <c r="F562" s="37">
        <f>IF($A562="","",IF($B562="","EKSİK","TAM"))</f>
        <v/>
      </c>
    </row>
    <row r="563">
      <c r="F563" s="37">
        <f>IF($A563="","",IF($B563="","EKSİK","TAM"))</f>
        <v/>
      </c>
    </row>
    <row r="564">
      <c r="F564" s="37">
        <f>IF($A564="","",IF($B564="","EKSİK","TAM"))</f>
        <v/>
      </c>
    </row>
    <row r="565">
      <c r="F565" s="37">
        <f>IF($A565="","",IF($B565="","EKSİK","TAM"))</f>
        <v/>
      </c>
    </row>
    <row r="566">
      <c r="F566" s="37">
        <f>IF($A566="","",IF($B566="","EKSİK","TAM"))</f>
        <v/>
      </c>
    </row>
    <row r="567">
      <c r="F567" s="37">
        <f>IF($A567="","",IF($B567="","EKSİK","TAM"))</f>
        <v/>
      </c>
    </row>
    <row r="568">
      <c r="F568" s="37">
        <f>IF($A568="","",IF($B568="","EKSİK","TAM"))</f>
        <v/>
      </c>
    </row>
    <row r="569">
      <c r="F569" s="37">
        <f>IF($A569="","",IF($B569="","EKSİK","TAM"))</f>
        <v/>
      </c>
    </row>
    <row r="570">
      <c r="F570" s="37">
        <f>IF($A570="","",IF($B570="","EKSİK","TAM"))</f>
        <v/>
      </c>
    </row>
    <row r="571">
      <c r="F571" s="37">
        <f>IF($A571="","",IF($B571="","EKSİK","TAM"))</f>
        <v/>
      </c>
    </row>
    <row r="572">
      <c r="F572" s="37">
        <f>IF($A572="","",IF($B572="","EKSİK","TAM"))</f>
        <v/>
      </c>
    </row>
    <row r="573">
      <c r="F573" s="37">
        <f>IF($A573="","",IF($B573="","EKSİK","TAM"))</f>
        <v/>
      </c>
    </row>
    <row r="574">
      <c r="F574" s="37">
        <f>IF($A574="","",IF($B574="","EKSİK","TAM"))</f>
        <v/>
      </c>
    </row>
    <row r="575">
      <c r="F575" s="37">
        <f>IF($A575="","",IF($B575="","EKSİK","TAM"))</f>
        <v/>
      </c>
    </row>
    <row r="576">
      <c r="F576" s="37">
        <f>IF($A576="","",IF($B576="","EKSİK","TAM"))</f>
        <v/>
      </c>
    </row>
    <row r="577">
      <c r="F577" s="37">
        <f>IF($A577="","",IF($B577="","EKSİK","TAM"))</f>
        <v/>
      </c>
    </row>
    <row r="578">
      <c r="F578" s="37">
        <f>IF($A578="","",IF($B578="","EKSİK","TAM"))</f>
        <v/>
      </c>
    </row>
    <row r="579">
      <c r="F579" s="37">
        <f>IF($A579="","",IF($B579="","EKSİK","TAM"))</f>
        <v/>
      </c>
    </row>
    <row r="580">
      <c r="F580" s="37">
        <f>IF($A580="","",IF($B580="","EKSİK","TAM"))</f>
        <v/>
      </c>
    </row>
    <row r="581">
      <c r="F581" s="37">
        <f>IF($A581="","",IF($B581="","EKSİK","TAM"))</f>
        <v/>
      </c>
    </row>
    <row r="582">
      <c r="F582" s="37">
        <f>IF($A582="","",IF($B582="","EKSİK","TAM"))</f>
        <v/>
      </c>
    </row>
    <row r="583">
      <c r="F583" s="37">
        <f>IF($A583="","",IF($B583="","EKSİK","TAM"))</f>
        <v/>
      </c>
    </row>
    <row r="584">
      <c r="F584" s="37">
        <f>IF($A584="","",IF($B584="","EKSİK","TAM"))</f>
        <v/>
      </c>
    </row>
    <row r="585">
      <c r="F585" s="37">
        <f>IF($A585="","",IF($B585="","EKSİK","TAM"))</f>
        <v/>
      </c>
    </row>
    <row r="586">
      <c r="F586" s="37">
        <f>IF($A586="","",IF($B586="","EKSİK","TAM"))</f>
        <v/>
      </c>
    </row>
    <row r="587">
      <c r="F587" s="37">
        <f>IF($A587="","",IF($B587="","EKSİK","TAM"))</f>
        <v/>
      </c>
    </row>
    <row r="588">
      <c r="F588" s="37">
        <f>IF($A588="","",IF($B588="","EKSİK","TAM"))</f>
        <v/>
      </c>
    </row>
    <row r="589">
      <c r="F589" s="37">
        <f>IF($A589="","",IF($B589="","EKSİK","TAM"))</f>
        <v/>
      </c>
    </row>
    <row r="590">
      <c r="F590" s="37">
        <f>IF($A590="","",IF($B590="","EKSİK","TAM"))</f>
        <v/>
      </c>
    </row>
    <row r="591">
      <c r="F591" s="37">
        <f>IF($A591="","",IF($B591="","EKSİK","TAM"))</f>
        <v/>
      </c>
    </row>
    <row r="592">
      <c r="F592" s="37">
        <f>IF($A592="","",IF($B592="","EKSİK","TAM"))</f>
        <v/>
      </c>
    </row>
    <row r="593">
      <c r="F593" s="37">
        <f>IF($A593="","",IF($B593="","EKSİK","TAM"))</f>
        <v/>
      </c>
    </row>
    <row r="594">
      <c r="F594" s="37">
        <f>IF($A594="","",IF($B594="","EKSİK","TAM"))</f>
        <v/>
      </c>
    </row>
    <row r="595">
      <c r="F595" s="37">
        <f>IF($A595="","",IF($B595="","EKSİK","TAM"))</f>
        <v/>
      </c>
    </row>
    <row r="596">
      <c r="F596" s="37">
        <f>IF($A596="","",IF($B596="","EKSİK","TAM"))</f>
        <v/>
      </c>
    </row>
    <row r="597">
      <c r="F597" s="37">
        <f>IF($A597="","",IF($B597="","EKSİK","TAM"))</f>
        <v/>
      </c>
    </row>
    <row r="598">
      <c r="F598" s="37">
        <f>IF($A598="","",IF($B598="","EKSİK","TAM"))</f>
        <v/>
      </c>
    </row>
    <row r="599">
      <c r="F599" s="37">
        <f>IF($A599="","",IF($B599="","EKSİK","TAM"))</f>
        <v/>
      </c>
    </row>
    <row r="600">
      <c r="F600" s="37">
        <f>IF($A600="","",IF($B600="","EKSİK","TAM"))</f>
        <v/>
      </c>
    </row>
    <row r="601">
      <c r="F601" s="37">
        <f>IF($A601="","",IF($B601="","EKSİK","TAM"))</f>
        <v/>
      </c>
    </row>
    <row r="602">
      <c r="F602" s="37">
        <f>IF($A602="","",IF($B602="","EKSİK","TAM"))</f>
        <v/>
      </c>
    </row>
    <row r="603">
      <c r="F603" s="37">
        <f>IF($A603="","",IF($B603="","EKSİK","TAM"))</f>
        <v/>
      </c>
    </row>
    <row r="604">
      <c r="F604" s="37">
        <f>IF($A604="","",IF($B604="","EKSİK","TAM"))</f>
        <v/>
      </c>
    </row>
    <row r="605">
      <c r="F605" s="37">
        <f>IF($A605="","",IF($B605="","EKSİK","TAM"))</f>
        <v/>
      </c>
    </row>
    <row r="606">
      <c r="F606" s="37">
        <f>IF($A606="","",IF($B606="","EKSİK","TAM"))</f>
        <v/>
      </c>
    </row>
    <row r="607">
      <c r="F607" s="37">
        <f>IF($A607="","",IF($B607="","EKSİK","TAM"))</f>
        <v/>
      </c>
    </row>
    <row r="608">
      <c r="F608" s="37">
        <f>IF($A608="","",IF($B608="","EKSİK","TAM"))</f>
        <v/>
      </c>
    </row>
    <row r="609">
      <c r="F609" s="37">
        <f>IF($A609="","",IF($B609="","EKSİK","TAM"))</f>
        <v/>
      </c>
    </row>
    <row r="610">
      <c r="F610" s="37">
        <f>IF($A610="","",IF($B610="","EKSİK","TAM"))</f>
        <v/>
      </c>
    </row>
    <row r="611">
      <c r="F611" s="37">
        <f>IF($A611="","",IF($B611="","EKSİK","TAM"))</f>
        <v/>
      </c>
    </row>
    <row r="612">
      <c r="F612" s="37">
        <f>IF($A612="","",IF($B612="","EKSİK","TAM"))</f>
        <v/>
      </c>
    </row>
    <row r="613">
      <c r="F613" s="37">
        <f>IF($A613="","",IF($B613="","EKSİK","TAM"))</f>
        <v/>
      </c>
    </row>
    <row r="614">
      <c r="F614" s="37">
        <f>IF($A614="","",IF($B614="","EKSİK","TAM"))</f>
        <v/>
      </c>
    </row>
    <row r="615">
      <c r="F615" s="37">
        <f>IF($A615="","",IF($B615="","EKSİK","TAM"))</f>
        <v/>
      </c>
    </row>
    <row r="616">
      <c r="F616" s="37">
        <f>IF($A616="","",IF($B616="","EKSİK","TAM"))</f>
        <v/>
      </c>
    </row>
    <row r="617">
      <c r="F617" s="37">
        <f>IF($A617="","",IF($B617="","EKSİK","TAM"))</f>
        <v/>
      </c>
    </row>
    <row r="618">
      <c r="F618" s="37">
        <f>IF($A618="","",IF($B618="","EKSİK","TAM"))</f>
        <v/>
      </c>
    </row>
    <row r="619">
      <c r="F619" s="37">
        <f>IF($A619="","",IF($B619="","EKSİK","TAM"))</f>
        <v/>
      </c>
    </row>
    <row r="620">
      <c r="F620" s="37">
        <f>IF($A620="","",IF($B620="","EKSİK","TAM"))</f>
        <v/>
      </c>
    </row>
    <row r="621">
      <c r="F621" s="37">
        <f>IF($A621="","",IF($B621="","EKSİK","TAM"))</f>
        <v/>
      </c>
    </row>
    <row r="622">
      <c r="F622" s="37">
        <f>IF($A622="","",IF($B622="","EKSİK","TAM"))</f>
        <v/>
      </c>
    </row>
    <row r="623">
      <c r="F623" s="37">
        <f>IF($A623="","",IF($B623="","EKSİK","TAM"))</f>
        <v/>
      </c>
    </row>
    <row r="624">
      <c r="F624" s="37">
        <f>IF($A624="","",IF($B624="","EKSİK","TAM"))</f>
        <v/>
      </c>
    </row>
    <row r="625">
      <c r="F625" s="37">
        <f>IF($A625="","",IF($B625="","EKSİK","TAM"))</f>
        <v/>
      </c>
    </row>
    <row r="626">
      <c r="F626" s="37">
        <f>IF($A626="","",IF($B626="","EKSİK","TAM"))</f>
        <v/>
      </c>
    </row>
    <row r="627">
      <c r="F627" s="37">
        <f>IF($A627="","",IF($B627="","EKSİK","TAM"))</f>
        <v/>
      </c>
    </row>
    <row r="628">
      <c r="F628" s="37">
        <f>IF($A628="","",IF($B628="","EKSİK","TAM"))</f>
        <v/>
      </c>
    </row>
    <row r="629">
      <c r="F629" s="37">
        <f>IF($A629="","",IF($B629="","EKSİK","TAM"))</f>
        <v/>
      </c>
    </row>
    <row r="630">
      <c r="F630" s="37">
        <f>IF($A630="","",IF($B630="","EKSİK","TAM"))</f>
        <v/>
      </c>
    </row>
    <row r="631">
      <c r="F631" s="37">
        <f>IF($A631="","",IF($B631="","EKSİK","TAM"))</f>
        <v/>
      </c>
    </row>
    <row r="632">
      <c r="F632" s="37">
        <f>IF($A632="","",IF($B632="","EKSİK","TAM"))</f>
        <v/>
      </c>
    </row>
    <row r="633">
      <c r="F633" s="37">
        <f>IF($A633="","",IF($B633="","EKSİK","TAM"))</f>
        <v/>
      </c>
    </row>
    <row r="634">
      <c r="F634" s="37">
        <f>IF($A634="","",IF($B634="","EKSİK","TAM"))</f>
        <v/>
      </c>
    </row>
    <row r="635">
      <c r="F635" s="37">
        <f>IF($A635="","",IF($B635="","EKSİK","TAM"))</f>
        <v/>
      </c>
    </row>
    <row r="636">
      <c r="F636" s="37">
        <f>IF($A636="","",IF($B636="","EKSİK","TAM"))</f>
        <v/>
      </c>
    </row>
    <row r="637">
      <c r="F637" s="37">
        <f>IF($A637="","",IF($B637="","EKSİK","TAM"))</f>
        <v/>
      </c>
    </row>
    <row r="638">
      <c r="F638" s="37">
        <f>IF($A638="","",IF($B638="","EKSİK","TAM"))</f>
        <v/>
      </c>
    </row>
    <row r="639">
      <c r="F639" s="37">
        <f>IF($A639="","",IF($B639="","EKSİK","TAM"))</f>
        <v/>
      </c>
    </row>
    <row r="640">
      <c r="F640" s="37">
        <f>IF($A640="","",IF($B640="","EKSİK","TAM"))</f>
        <v/>
      </c>
    </row>
    <row r="641">
      <c r="F641" s="37">
        <f>IF($A641="","",IF($B641="","EKSİK","TAM"))</f>
        <v/>
      </c>
    </row>
    <row r="642">
      <c r="F642" s="37">
        <f>IF($A642="","",IF($B642="","EKSİK","TAM"))</f>
        <v/>
      </c>
    </row>
    <row r="643">
      <c r="F643" s="37">
        <f>IF($A643="","",IF($B643="","EKSİK","TAM"))</f>
        <v/>
      </c>
    </row>
    <row r="644">
      <c r="F644" s="37">
        <f>IF($A644="","",IF($B644="","EKSİK","TAM"))</f>
        <v/>
      </c>
    </row>
    <row r="645">
      <c r="F645" s="37">
        <f>IF($A645="","",IF($B645="","EKSİK","TAM"))</f>
        <v/>
      </c>
    </row>
    <row r="646">
      <c r="F646" s="37">
        <f>IF($A646="","",IF($B646="","EKSİK","TAM"))</f>
        <v/>
      </c>
    </row>
    <row r="647">
      <c r="F647" s="37">
        <f>IF($A647="","",IF($B647="","EKSİK","TAM"))</f>
        <v/>
      </c>
    </row>
    <row r="648">
      <c r="F648" s="37">
        <f>IF($A648="","",IF($B648="","EKSİK","TAM"))</f>
        <v/>
      </c>
    </row>
    <row r="649">
      <c r="F649" s="37">
        <f>IF($A649="","",IF($B649="","EKSİK","TAM"))</f>
        <v/>
      </c>
    </row>
    <row r="650">
      <c r="F650" s="37">
        <f>IF($A650="","",IF($B650="","EKSİK","TAM"))</f>
        <v/>
      </c>
    </row>
    <row r="651">
      <c r="F651" s="37">
        <f>IF($A651="","",IF($B651="","EKSİK","TAM"))</f>
        <v/>
      </c>
    </row>
    <row r="652">
      <c r="F652" s="37">
        <f>IF($A652="","",IF($B652="","EKSİK","TAM"))</f>
        <v/>
      </c>
    </row>
    <row r="653">
      <c r="F653" s="37">
        <f>IF($A653="","",IF($B653="","EKSİK","TAM"))</f>
        <v/>
      </c>
    </row>
    <row r="654">
      <c r="F654" s="37">
        <f>IF($A654="","",IF($B654="","EKSİK","TAM"))</f>
        <v/>
      </c>
    </row>
    <row r="655">
      <c r="F655" s="37">
        <f>IF($A655="","",IF($B655="","EKSİK","TAM"))</f>
        <v/>
      </c>
    </row>
    <row r="656">
      <c r="F656" s="37">
        <f>IF($A656="","",IF($B656="","EKSİK","TAM"))</f>
        <v/>
      </c>
    </row>
    <row r="657">
      <c r="F657" s="37">
        <f>IF($A657="","",IF($B657="","EKSİK","TAM"))</f>
        <v/>
      </c>
    </row>
    <row r="658">
      <c r="F658" s="37">
        <f>IF($A658="","",IF($B658="","EKSİK","TAM"))</f>
        <v/>
      </c>
    </row>
    <row r="659">
      <c r="F659" s="37">
        <f>IF($A659="","",IF($B659="","EKSİK","TAM"))</f>
        <v/>
      </c>
    </row>
    <row r="660">
      <c r="F660" s="37">
        <f>IF($A660="","",IF($B660="","EKSİK","TAM"))</f>
        <v/>
      </c>
    </row>
    <row r="661">
      <c r="F661" s="37">
        <f>IF($A661="","",IF($B661="","EKSİK","TAM"))</f>
        <v/>
      </c>
    </row>
    <row r="662">
      <c r="F662" s="37">
        <f>IF($A662="","",IF($B662="","EKSİK","TAM"))</f>
        <v/>
      </c>
    </row>
    <row r="663">
      <c r="F663" s="37">
        <f>IF($A663="","",IF($B663="","EKSİK","TAM"))</f>
        <v/>
      </c>
    </row>
    <row r="664">
      <c r="F664" s="37">
        <f>IF($A664="","",IF($B664="","EKSİK","TAM"))</f>
        <v/>
      </c>
    </row>
    <row r="665">
      <c r="F665" s="37">
        <f>IF($A665="","",IF($B665="","EKSİK","TAM"))</f>
        <v/>
      </c>
    </row>
    <row r="666">
      <c r="F666" s="37">
        <f>IF($A666="","",IF($B666="","EKSİK","TAM"))</f>
        <v/>
      </c>
    </row>
    <row r="667">
      <c r="F667" s="37">
        <f>IF($A667="","",IF($B667="","EKSİK","TAM"))</f>
        <v/>
      </c>
    </row>
    <row r="668">
      <c r="F668" s="37">
        <f>IF($A668="","",IF($B668="","EKSİK","TAM"))</f>
        <v/>
      </c>
    </row>
    <row r="669">
      <c r="F669" s="37">
        <f>IF($A669="","",IF($B669="","EKSİK","TAM"))</f>
        <v/>
      </c>
    </row>
    <row r="670">
      <c r="F670" s="37">
        <f>IF($A670="","",IF($B670="","EKSİK","TAM"))</f>
        <v/>
      </c>
    </row>
    <row r="671">
      <c r="F671" s="37">
        <f>IF($A671="","",IF($B671="","EKSİK","TAM"))</f>
        <v/>
      </c>
    </row>
    <row r="672">
      <c r="F672" s="37">
        <f>IF($A672="","",IF($B672="","EKSİK","TAM"))</f>
        <v/>
      </c>
    </row>
    <row r="673">
      <c r="F673" s="37">
        <f>IF($A673="","",IF($B673="","EKSİK","TAM"))</f>
        <v/>
      </c>
    </row>
    <row r="674">
      <c r="F674" s="37">
        <f>IF($A674="","",IF($B674="","EKSİK","TAM"))</f>
        <v/>
      </c>
    </row>
    <row r="675">
      <c r="F675" s="37">
        <f>IF($A675="","",IF($B675="","EKSİK","TAM"))</f>
        <v/>
      </c>
    </row>
    <row r="676">
      <c r="F676" s="37">
        <f>IF($A676="","",IF($B676="","EKSİK","TAM"))</f>
        <v/>
      </c>
    </row>
    <row r="677">
      <c r="F677" s="37">
        <f>IF($A677="","",IF($B677="","EKSİK","TAM"))</f>
        <v/>
      </c>
    </row>
    <row r="678">
      <c r="F678" s="37">
        <f>IF($A678="","",IF($B678="","EKSİK","TAM"))</f>
        <v/>
      </c>
    </row>
    <row r="679">
      <c r="F679" s="37">
        <f>IF($A679="","",IF($B679="","EKSİK","TAM"))</f>
        <v/>
      </c>
    </row>
    <row r="680">
      <c r="F680" s="37">
        <f>IF($A680="","",IF($B680="","EKSİK","TAM"))</f>
        <v/>
      </c>
    </row>
    <row r="681">
      <c r="F681" s="37">
        <f>IF($A681="","",IF($B681="","EKSİK","TAM"))</f>
        <v/>
      </c>
    </row>
    <row r="682">
      <c r="F682" s="37">
        <f>IF($A682="","",IF($B682="","EKSİK","TAM"))</f>
        <v/>
      </c>
    </row>
    <row r="683">
      <c r="F683" s="37">
        <f>IF($A683="","",IF($B683="","EKSİK","TAM"))</f>
        <v/>
      </c>
    </row>
    <row r="684">
      <c r="F684" s="37">
        <f>IF($A684="","",IF($B684="","EKSİK","TAM"))</f>
        <v/>
      </c>
    </row>
    <row r="685">
      <c r="F685" s="37">
        <f>IF($A685="","",IF($B685="","EKSİK","TAM"))</f>
        <v/>
      </c>
    </row>
    <row r="686">
      <c r="F686" s="37">
        <f>IF($A686="","",IF($B686="","EKSİK","TAM"))</f>
        <v/>
      </c>
    </row>
    <row r="687">
      <c r="F687" s="37">
        <f>IF($A687="","",IF($B687="","EKSİK","TAM"))</f>
        <v/>
      </c>
    </row>
    <row r="688">
      <c r="F688" s="37">
        <f>IF($A688="","",IF($B688="","EKSİK","TAM"))</f>
        <v/>
      </c>
    </row>
    <row r="689">
      <c r="F689" s="37">
        <f>IF($A689="","",IF($B689="","EKSİK","TAM"))</f>
        <v/>
      </c>
    </row>
    <row r="690">
      <c r="F690" s="37">
        <f>IF($A690="","",IF($B690="","EKSİK","TAM"))</f>
        <v/>
      </c>
    </row>
    <row r="691">
      <c r="F691" s="37">
        <f>IF($A691="","",IF($B691="","EKSİK","TAM"))</f>
        <v/>
      </c>
    </row>
    <row r="692">
      <c r="F692" s="37">
        <f>IF($A692="","",IF($B692="","EKSİK","TAM"))</f>
        <v/>
      </c>
    </row>
    <row r="693">
      <c r="F693" s="37">
        <f>IF($A693="","",IF($B693="","EKSİK","TAM"))</f>
        <v/>
      </c>
    </row>
    <row r="694">
      <c r="F694" s="37">
        <f>IF($A694="","",IF($B694="","EKSİK","TAM"))</f>
        <v/>
      </c>
    </row>
    <row r="695">
      <c r="F695" s="37">
        <f>IF($A695="","",IF($B695="","EKSİK","TAM"))</f>
        <v/>
      </c>
    </row>
    <row r="696">
      <c r="F696" s="37">
        <f>IF($A696="","",IF($B696="","EKSİK","TAM"))</f>
        <v/>
      </c>
    </row>
    <row r="697">
      <c r="F697" s="37">
        <f>IF($A697="","",IF($B697="","EKSİK","TAM"))</f>
        <v/>
      </c>
    </row>
    <row r="698">
      <c r="F698" s="37">
        <f>IF($A698="","",IF($B698="","EKSİK","TAM"))</f>
        <v/>
      </c>
    </row>
    <row r="699">
      <c r="F699" s="37">
        <f>IF($A699="","",IF($B699="","EKSİK","TAM"))</f>
        <v/>
      </c>
    </row>
    <row r="700">
      <c r="F700" s="37">
        <f>IF($A700="","",IF($B700="","EKSİK","TAM"))</f>
        <v/>
      </c>
    </row>
    <row r="701">
      <c r="F701" s="37">
        <f>IF($A701="","",IF($B701="","EKSİK","TAM"))</f>
        <v/>
      </c>
    </row>
    <row r="702">
      <c r="F702" s="37">
        <f>IF($A702="","",IF($B702="","EKSİK","TAM"))</f>
        <v/>
      </c>
    </row>
    <row r="703">
      <c r="F703" s="37">
        <f>IF($A703="","",IF($B703="","EKSİK","TAM"))</f>
        <v/>
      </c>
    </row>
    <row r="704">
      <c r="F704" s="37">
        <f>IF($A704="","",IF($B704="","EKSİK","TAM"))</f>
        <v/>
      </c>
    </row>
    <row r="705">
      <c r="F705" s="37">
        <f>IF($A705="","",IF($B705="","EKSİK","TAM"))</f>
        <v/>
      </c>
    </row>
    <row r="706">
      <c r="F706" s="37">
        <f>IF($A706="","",IF($B706="","EKSİK","TAM"))</f>
        <v/>
      </c>
    </row>
    <row r="707">
      <c r="F707" s="37">
        <f>IF($A707="","",IF($B707="","EKSİK","TAM"))</f>
        <v/>
      </c>
    </row>
    <row r="708">
      <c r="F708" s="37">
        <f>IF($A708="","",IF($B708="","EKSİK","TAM"))</f>
        <v/>
      </c>
    </row>
    <row r="709">
      <c r="F709" s="37">
        <f>IF($A709="","",IF($B709="","EKSİK","TAM"))</f>
        <v/>
      </c>
    </row>
    <row r="710">
      <c r="F710" s="37">
        <f>IF($A710="","",IF($B710="","EKSİK","TAM"))</f>
        <v/>
      </c>
    </row>
    <row r="711">
      <c r="F711" s="37">
        <f>IF($A711="","",IF($B711="","EKSİK","TAM"))</f>
        <v/>
      </c>
    </row>
    <row r="712">
      <c r="F712" s="37">
        <f>IF($A712="","",IF($B712="","EKSİK","TAM"))</f>
        <v/>
      </c>
    </row>
    <row r="713">
      <c r="F713" s="37">
        <f>IF($A713="","",IF($B713="","EKSİK","TAM"))</f>
        <v/>
      </c>
    </row>
    <row r="714">
      <c r="F714" s="37">
        <f>IF($A714="","",IF($B714="","EKSİK","TAM"))</f>
        <v/>
      </c>
    </row>
    <row r="715">
      <c r="F715" s="37">
        <f>IF($A715="","",IF($B715="","EKSİK","TAM"))</f>
        <v/>
      </c>
    </row>
    <row r="716">
      <c r="F716" s="37">
        <f>IF($A716="","",IF($B716="","EKSİK","TAM"))</f>
        <v/>
      </c>
    </row>
    <row r="717">
      <c r="F717" s="37">
        <f>IF($A717="","",IF($B717="","EKSİK","TAM"))</f>
        <v/>
      </c>
    </row>
    <row r="718">
      <c r="F718" s="37">
        <f>IF($A718="","",IF($B718="","EKSİK","TAM"))</f>
        <v/>
      </c>
    </row>
    <row r="719">
      <c r="F719" s="37">
        <f>IF($A719="","",IF($B719="","EKSİK","TAM"))</f>
        <v/>
      </c>
    </row>
    <row r="720">
      <c r="F720" s="37">
        <f>IF($A720="","",IF($B720="","EKSİK","TAM"))</f>
        <v/>
      </c>
    </row>
    <row r="721">
      <c r="F721" s="37">
        <f>IF($A721="","",IF($B721="","EKSİK","TAM"))</f>
        <v/>
      </c>
    </row>
    <row r="722">
      <c r="F722" s="37">
        <f>IF($A722="","",IF($B722="","EKSİK","TAM"))</f>
        <v/>
      </c>
    </row>
    <row r="723">
      <c r="F723" s="37">
        <f>IF($A723="","",IF($B723="","EKSİK","TAM"))</f>
        <v/>
      </c>
    </row>
    <row r="724">
      <c r="F724" s="37">
        <f>IF($A724="","",IF($B724="","EKSİK","TAM"))</f>
        <v/>
      </c>
    </row>
    <row r="725">
      <c r="F725" s="37">
        <f>IF($A725="","",IF($B725="","EKSİK","TAM"))</f>
        <v/>
      </c>
    </row>
    <row r="726">
      <c r="F726" s="37">
        <f>IF($A726="","",IF($B726="","EKSİK","TAM"))</f>
        <v/>
      </c>
    </row>
    <row r="727">
      <c r="F727" s="37">
        <f>IF($A727="","",IF($B727="","EKSİK","TAM"))</f>
        <v/>
      </c>
    </row>
    <row r="728">
      <c r="F728" s="37">
        <f>IF($A728="","",IF($B728="","EKSİK","TAM"))</f>
        <v/>
      </c>
    </row>
    <row r="729">
      <c r="F729" s="37">
        <f>IF($A729="","",IF($B729="","EKSİK","TAM"))</f>
        <v/>
      </c>
    </row>
    <row r="730">
      <c r="F730" s="37">
        <f>IF($A730="","",IF($B730="","EKSİK","TAM"))</f>
        <v/>
      </c>
    </row>
    <row r="731">
      <c r="F731" s="37">
        <f>IF($A731="","",IF($B731="","EKSİK","TAM"))</f>
        <v/>
      </c>
    </row>
    <row r="732">
      <c r="F732" s="37">
        <f>IF($A732="","",IF($B732="","EKSİK","TAM"))</f>
        <v/>
      </c>
    </row>
    <row r="733">
      <c r="F733" s="37">
        <f>IF($A733="","",IF($B733="","EKSİK","TAM"))</f>
        <v/>
      </c>
    </row>
    <row r="734">
      <c r="F734" s="37">
        <f>IF($A734="","",IF($B734="","EKSİK","TAM"))</f>
        <v/>
      </c>
    </row>
    <row r="735">
      <c r="F735" s="37">
        <f>IF($A735="","",IF($B735="","EKSİK","TAM"))</f>
        <v/>
      </c>
    </row>
    <row r="736">
      <c r="F736" s="37">
        <f>IF($A736="","",IF($B736="","EKSİK","TAM"))</f>
        <v/>
      </c>
    </row>
    <row r="737">
      <c r="F737" s="37">
        <f>IF($A737="","",IF($B737="","EKSİK","TAM"))</f>
        <v/>
      </c>
    </row>
    <row r="738">
      <c r="F738" s="37">
        <f>IF($A738="","",IF($B738="","EKSİK","TAM"))</f>
        <v/>
      </c>
    </row>
    <row r="739">
      <c r="F739" s="37">
        <f>IF($A739="","",IF($B739="","EKSİK","TAM"))</f>
        <v/>
      </c>
    </row>
    <row r="740">
      <c r="F740" s="37">
        <f>IF($A740="","",IF($B740="","EKSİK","TAM"))</f>
        <v/>
      </c>
    </row>
    <row r="741">
      <c r="F741" s="37">
        <f>IF($A741="","",IF($B741="","EKSİK","TAM"))</f>
        <v/>
      </c>
    </row>
    <row r="742">
      <c r="F742" s="37">
        <f>IF($A742="","",IF($B742="","EKSİK","TAM"))</f>
        <v/>
      </c>
    </row>
    <row r="743">
      <c r="F743" s="37">
        <f>IF($A743="","",IF($B743="","EKSİK","TAM"))</f>
        <v/>
      </c>
    </row>
    <row r="744">
      <c r="F744" s="37">
        <f>IF($A744="","",IF($B744="","EKSİK","TAM"))</f>
        <v/>
      </c>
    </row>
    <row r="745">
      <c r="F745" s="37">
        <f>IF($A745="","",IF($B745="","EKSİK","TAM"))</f>
        <v/>
      </c>
    </row>
    <row r="746">
      <c r="F746" s="37">
        <f>IF($A746="","",IF($B746="","EKSİK","TAM"))</f>
        <v/>
      </c>
    </row>
    <row r="747">
      <c r="F747" s="37">
        <f>IF($A747="","",IF($B747="","EKSİK","TAM"))</f>
        <v/>
      </c>
    </row>
    <row r="748">
      <c r="F748" s="37">
        <f>IF($A748="","",IF($B748="","EKSİK","TAM"))</f>
        <v/>
      </c>
    </row>
    <row r="749">
      <c r="F749" s="37">
        <f>IF($A749="","",IF($B749="","EKSİK","TAM"))</f>
        <v/>
      </c>
    </row>
    <row r="750">
      <c r="F750" s="37">
        <f>IF($A750="","",IF($B750="","EKSİK","TAM"))</f>
        <v/>
      </c>
    </row>
    <row r="751">
      <c r="F751" s="37">
        <f>IF($A751="","",IF($B751="","EKSİK","TAM"))</f>
        <v/>
      </c>
    </row>
    <row r="752">
      <c r="F752" s="37">
        <f>IF($A752="","",IF($B752="","EKSİK","TAM"))</f>
        <v/>
      </c>
    </row>
    <row r="753">
      <c r="F753" s="37">
        <f>IF($A753="","",IF($B753="","EKSİK","TAM"))</f>
        <v/>
      </c>
    </row>
    <row r="754">
      <c r="F754" s="37">
        <f>IF($A754="","",IF($B754="","EKSİK","TAM"))</f>
        <v/>
      </c>
    </row>
    <row r="755">
      <c r="F755" s="37">
        <f>IF($A755="","",IF($B755="","EKSİK","TAM"))</f>
        <v/>
      </c>
    </row>
    <row r="756">
      <c r="F756" s="37">
        <f>IF($A756="","",IF($B756="","EKSİK","TAM"))</f>
        <v/>
      </c>
    </row>
    <row r="757">
      <c r="F757" s="37">
        <f>IF($A757="","",IF($B757="","EKSİK","TAM"))</f>
        <v/>
      </c>
    </row>
    <row r="758">
      <c r="F758" s="37">
        <f>IF($A758="","",IF($B758="","EKSİK","TAM"))</f>
        <v/>
      </c>
    </row>
    <row r="759">
      <c r="F759" s="37">
        <f>IF($A759="","",IF($B759="","EKSİK","TAM"))</f>
        <v/>
      </c>
    </row>
    <row r="760">
      <c r="F760" s="37">
        <f>IF($A760="","",IF($B760="","EKSİK","TAM"))</f>
        <v/>
      </c>
    </row>
    <row r="761">
      <c r="F761" s="37">
        <f>IF($A761="","",IF($B761="","EKSİK","TAM"))</f>
        <v/>
      </c>
    </row>
    <row r="762">
      <c r="F762" s="37">
        <f>IF($A762="","",IF($B762="","EKSİK","TAM"))</f>
        <v/>
      </c>
    </row>
    <row r="763">
      <c r="F763" s="37">
        <f>IF($A763="","",IF($B763="","EKSİK","TAM"))</f>
        <v/>
      </c>
    </row>
    <row r="764">
      <c r="F764" s="37">
        <f>IF($A764="","",IF($B764="","EKSİK","TAM"))</f>
        <v/>
      </c>
    </row>
    <row r="765">
      <c r="F765" s="37">
        <f>IF($A765="","",IF($B765="","EKSİK","TAM"))</f>
        <v/>
      </c>
    </row>
    <row r="766">
      <c r="F766" s="37">
        <f>IF($A766="","",IF($B766="","EKSİK","TAM"))</f>
        <v/>
      </c>
    </row>
    <row r="767">
      <c r="F767" s="37">
        <f>IF($A767="","",IF($B767="","EKSİK","TAM"))</f>
        <v/>
      </c>
    </row>
    <row r="768">
      <c r="F768" s="37">
        <f>IF($A768="","",IF($B768="","EKSİK","TAM"))</f>
        <v/>
      </c>
    </row>
    <row r="769">
      <c r="F769" s="37">
        <f>IF($A769="","",IF($B769="","EKSİK","TAM"))</f>
        <v/>
      </c>
    </row>
    <row r="770">
      <c r="F770" s="37">
        <f>IF($A770="","",IF($B770="","EKSİK","TAM"))</f>
        <v/>
      </c>
    </row>
    <row r="771">
      <c r="F771" s="37">
        <f>IF($A771="","",IF($B771="","EKSİK","TAM"))</f>
        <v/>
      </c>
    </row>
    <row r="772">
      <c r="F772" s="37">
        <f>IF($A772="","",IF($B772="","EKSİK","TAM"))</f>
        <v/>
      </c>
    </row>
    <row r="773">
      <c r="F773" s="37">
        <f>IF($A773="","",IF($B773="","EKSİK","TAM"))</f>
        <v/>
      </c>
    </row>
    <row r="774">
      <c r="F774" s="37">
        <f>IF($A774="","",IF($B774="","EKSİK","TAM"))</f>
        <v/>
      </c>
    </row>
    <row r="775">
      <c r="F775" s="37">
        <f>IF($A775="","",IF($B775="","EKSİK","TAM"))</f>
        <v/>
      </c>
    </row>
    <row r="776">
      <c r="F776" s="37">
        <f>IF($A776="","",IF($B776="","EKSİK","TAM"))</f>
        <v/>
      </c>
    </row>
    <row r="777">
      <c r="F777" s="37">
        <f>IF($A777="","",IF($B777="","EKSİK","TAM"))</f>
        <v/>
      </c>
    </row>
    <row r="778">
      <c r="F778" s="37">
        <f>IF($A778="","",IF($B778="","EKSİK","TAM"))</f>
        <v/>
      </c>
    </row>
    <row r="779">
      <c r="F779" s="37">
        <f>IF($A779="","",IF($B779="","EKSİK","TAM"))</f>
        <v/>
      </c>
    </row>
    <row r="780">
      <c r="F780" s="37">
        <f>IF($A780="","",IF($B780="","EKSİK","TAM"))</f>
        <v/>
      </c>
    </row>
    <row r="781">
      <c r="F781" s="37">
        <f>IF($A781="","",IF($B781="","EKSİK","TAM"))</f>
        <v/>
      </c>
    </row>
    <row r="782">
      <c r="F782" s="37">
        <f>IF($A782="","",IF($B782="","EKSİK","TAM"))</f>
        <v/>
      </c>
    </row>
    <row r="783">
      <c r="F783" s="37">
        <f>IF($A783="","",IF($B783="","EKSİK","TAM"))</f>
        <v/>
      </c>
    </row>
    <row r="784">
      <c r="F784" s="37">
        <f>IF($A784="","",IF($B784="","EKSİK","TAM"))</f>
        <v/>
      </c>
    </row>
    <row r="785">
      <c r="F785" s="37">
        <f>IF($A785="","",IF($B785="","EKSİK","TAM"))</f>
        <v/>
      </c>
    </row>
    <row r="786">
      <c r="F786" s="37">
        <f>IF($A786="","",IF($B786="","EKSİK","TAM"))</f>
        <v/>
      </c>
    </row>
    <row r="787">
      <c r="F787" s="37">
        <f>IF($A787="","",IF($B787="","EKSİK","TAM"))</f>
        <v/>
      </c>
    </row>
    <row r="788">
      <c r="F788" s="37">
        <f>IF($A788="","",IF($B788="","EKSİK","TAM"))</f>
        <v/>
      </c>
    </row>
    <row r="789">
      <c r="F789" s="37">
        <f>IF($A789="","",IF($B789="","EKSİK","TAM"))</f>
        <v/>
      </c>
    </row>
    <row r="790">
      <c r="F790" s="37">
        <f>IF($A790="","",IF($B790="","EKSİK","TAM"))</f>
        <v/>
      </c>
    </row>
    <row r="791">
      <c r="F791" s="37">
        <f>IF($A791="","",IF($B791="","EKSİK","TAM"))</f>
        <v/>
      </c>
    </row>
    <row r="792">
      <c r="F792" s="37">
        <f>IF($A792="","",IF($B792="","EKSİK","TAM"))</f>
        <v/>
      </c>
    </row>
    <row r="793">
      <c r="F793" s="37">
        <f>IF($A793="","",IF($B793="","EKSİK","TAM"))</f>
        <v/>
      </c>
    </row>
    <row r="794">
      <c r="F794" s="37">
        <f>IF($A794="","",IF($B794="","EKSİK","TAM"))</f>
        <v/>
      </c>
    </row>
    <row r="795">
      <c r="F795" s="37">
        <f>IF($A795="","",IF($B795="","EKSİK","TAM"))</f>
        <v/>
      </c>
    </row>
    <row r="796">
      <c r="F796" s="37">
        <f>IF($A796="","",IF($B796="","EKSİK","TAM"))</f>
        <v/>
      </c>
    </row>
    <row r="797">
      <c r="F797" s="37">
        <f>IF($A797="","",IF($B797="","EKSİK","TAM"))</f>
        <v/>
      </c>
    </row>
    <row r="798">
      <c r="F798" s="37">
        <f>IF($A798="","",IF($B798="","EKSİK","TAM"))</f>
        <v/>
      </c>
    </row>
    <row r="799">
      <c r="F799" s="37">
        <f>IF($A799="","",IF($B799="","EKSİK","TAM"))</f>
        <v/>
      </c>
    </row>
    <row r="800">
      <c r="F800" s="37">
        <f>IF($A800="","",IF($B800="","EKSİK","TAM"))</f>
        <v/>
      </c>
    </row>
    <row r="801">
      <c r="F801" s="37">
        <f>IF($A801="","",IF($B801="","EKSİK","TAM"))</f>
        <v/>
      </c>
    </row>
    <row r="802">
      <c r="F802" s="37">
        <f>IF($A802="","",IF($B802="","EKSİK","TAM"))</f>
        <v/>
      </c>
    </row>
    <row r="803">
      <c r="F803" s="37">
        <f>IF($A803="","",IF($B803="","EKSİK","TAM"))</f>
        <v/>
      </c>
    </row>
    <row r="804">
      <c r="F804" s="37">
        <f>IF($A804="","",IF($B804="","EKSİK","TAM"))</f>
        <v/>
      </c>
    </row>
    <row r="805">
      <c r="F805" s="37">
        <f>IF($A805="","",IF($B805="","EKSİK","TAM"))</f>
        <v/>
      </c>
    </row>
    <row r="806">
      <c r="F806" s="37">
        <f>IF($A806="","",IF($B806="","EKSİK","TAM"))</f>
        <v/>
      </c>
    </row>
    <row r="807">
      <c r="F807" s="37">
        <f>IF($A807="","",IF($B807="","EKSİK","TAM"))</f>
        <v/>
      </c>
    </row>
    <row r="808">
      <c r="F808" s="37">
        <f>IF($A808="","",IF($B808="","EKSİK","TAM"))</f>
        <v/>
      </c>
    </row>
    <row r="809">
      <c r="F809" s="37">
        <f>IF($A809="","",IF($B809="","EKSİK","TAM"))</f>
        <v/>
      </c>
    </row>
    <row r="810">
      <c r="F810" s="37">
        <f>IF($A810="","",IF($B810="","EKSİK","TAM"))</f>
        <v/>
      </c>
    </row>
    <row r="811">
      <c r="F811" s="37">
        <f>IF($A811="","",IF($B811="","EKSİK","TAM"))</f>
        <v/>
      </c>
    </row>
    <row r="812">
      <c r="F812" s="37">
        <f>IF($A812="","",IF($B812="","EKSİK","TAM"))</f>
        <v/>
      </c>
    </row>
    <row r="813">
      <c r="F813" s="37">
        <f>IF($A813="","",IF($B813="","EKSİK","TAM"))</f>
        <v/>
      </c>
    </row>
    <row r="814">
      <c r="F814" s="37">
        <f>IF($A814="","",IF($B814="","EKSİK","TAM"))</f>
        <v/>
      </c>
    </row>
    <row r="815">
      <c r="F815" s="37">
        <f>IF($A815="","",IF($B815="","EKSİK","TAM"))</f>
        <v/>
      </c>
    </row>
    <row r="816">
      <c r="F816" s="37">
        <f>IF($A816="","",IF($B816="","EKSİK","TAM"))</f>
        <v/>
      </c>
    </row>
    <row r="817">
      <c r="F817" s="37">
        <f>IF($A817="","",IF($B817="","EKSİK","TAM"))</f>
        <v/>
      </c>
    </row>
    <row r="818">
      <c r="F818" s="37">
        <f>IF($A818="","",IF($B818="","EKSİK","TAM"))</f>
        <v/>
      </c>
    </row>
    <row r="819">
      <c r="F819" s="37">
        <f>IF($A819="","",IF($B819="","EKSİK","TAM"))</f>
        <v/>
      </c>
    </row>
    <row r="820">
      <c r="F820" s="37">
        <f>IF($A820="","",IF($B820="","EKSİK","TAM"))</f>
        <v/>
      </c>
    </row>
    <row r="821">
      <c r="F821" s="37">
        <f>IF($A821="","",IF($B821="","EKSİK","TAM"))</f>
        <v/>
      </c>
    </row>
    <row r="822">
      <c r="F822" s="37">
        <f>IF($A822="","",IF($B822="","EKSİK","TAM"))</f>
        <v/>
      </c>
    </row>
    <row r="823">
      <c r="F823" s="37">
        <f>IF($A823="","",IF($B823="","EKSİK","TAM"))</f>
        <v/>
      </c>
    </row>
    <row r="824">
      <c r="F824" s="37">
        <f>IF($A824="","",IF($B824="","EKSİK","TAM"))</f>
        <v/>
      </c>
    </row>
    <row r="825">
      <c r="F825" s="37">
        <f>IF($A825="","",IF($B825="","EKSİK","TAM"))</f>
        <v/>
      </c>
    </row>
    <row r="826">
      <c r="F826" s="37">
        <f>IF($A826="","",IF($B826="","EKSİK","TAM"))</f>
        <v/>
      </c>
    </row>
    <row r="827">
      <c r="F827" s="37">
        <f>IF($A827="","",IF($B827="","EKSİK","TAM"))</f>
        <v/>
      </c>
    </row>
    <row r="828">
      <c r="F828" s="37">
        <f>IF($A828="","",IF($B828="","EKSİK","TAM"))</f>
        <v/>
      </c>
    </row>
    <row r="829">
      <c r="F829" s="37">
        <f>IF($A829="","",IF($B829="","EKSİK","TAM"))</f>
        <v/>
      </c>
    </row>
    <row r="830">
      <c r="F830" s="37">
        <f>IF($A830="","",IF($B830="","EKSİK","TAM"))</f>
        <v/>
      </c>
    </row>
    <row r="831">
      <c r="F831" s="37">
        <f>IF($A831="","",IF($B831="","EKSİK","TAM"))</f>
        <v/>
      </c>
    </row>
    <row r="832">
      <c r="F832" s="37">
        <f>IF($A832="","",IF($B832="","EKSİK","TAM"))</f>
        <v/>
      </c>
    </row>
    <row r="833">
      <c r="F833" s="37">
        <f>IF($A833="","",IF($B833="","EKSİK","TAM"))</f>
        <v/>
      </c>
    </row>
    <row r="834">
      <c r="F834" s="37">
        <f>IF($A834="","",IF($B834="","EKSİK","TAM"))</f>
        <v/>
      </c>
    </row>
    <row r="835">
      <c r="F835" s="37">
        <f>IF($A835="","",IF($B835="","EKSİK","TAM"))</f>
        <v/>
      </c>
    </row>
    <row r="836">
      <c r="F836" s="37">
        <f>IF($A836="","",IF($B836="","EKSİK","TAM"))</f>
        <v/>
      </c>
    </row>
    <row r="837">
      <c r="F837" s="37">
        <f>IF($A837="","",IF($B837="","EKSİK","TAM"))</f>
        <v/>
      </c>
    </row>
    <row r="838">
      <c r="F838" s="37">
        <f>IF($A838="","",IF($B838="","EKSİK","TAM"))</f>
        <v/>
      </c>
    </row>
    <row r="839">
      <c r="F839" s="37">
        <f>IF($A839="","",IF($B839="","EKSİK","TAM"))</f>
        <v/>
      </c>
    </row>
    <row r="840">
      <c r="F840" s="37">
        <f>IF($A840="","",IF($B840="","EKSİK","TAM"))</f>
        <v/>
      </c>
    </row>
    <row r="841">
      <c r="F841" s="37">
        <f>IF($A841="","",IF($B841="","EKSİK","TAM"))</f>
        <v/>
      </c>
    </row>
    <row r="842">
      <c r="F842" s="37">
        <f>IF($A842="","",IF($B842="","EKSİK","TAM"))</f>
        <v/>
      </c>
    </row>
    <row r="843">
      <c r="F843" s="37">
        <f>IF($A843="","",IF($B843="","EKSİK","TAM"))</f>
        <v/>
      </c>
    </row>
    <row r="844">
      <c r="F844" s="37">
        <f>IF($A844="","",IF($B844="","EKSİK","TAM"))</f>
        <v/>
      </c>
    </row>
    <row r="845">
      <c r="F845" s="37">
        <f>IF($A845="","",IF($B845="","EKSİK","TAM"))</f>
        <v/>
      </c>
    </row>
    <row r="846">
      <c r="F846" s="37">
        <f>IF($A846="","",IF($B846="","EKSİK","TAM"))</f>
        <v/>
      </c>
    </row>
    <row r="847">
      <c r="F847" s="37">
        <f>IF($A847="","",IF($B847="","EKSİK","TAM"))</f>
        <v/>
      </c>
    </row>
    <row r="848">
      <c r="F848" s="37">
        <f>IF($A848="","",IF($B848="","EKSİK","TAM"))</f>
        <v/>
      </c>
    </row>
    <row r="849">
      <c r="F849" s="37">
        <f>IF($A849="","",IF($B849="","EKSİK","TAM"))</f>
        <v/>
      </c>
    </row>
    <row r="850">
      <c r="F850" s="37">
        <f>IF($A850="","",IF($B850="","EKSİK","TAM"))</f>
        <v/>
      </c>
    </row>
    <row r="851">
      <c r="F851" s="37">
        <f>IF($A851="","",IF($B851="","EKSİK","TAM"))</f>
        <v/>
      </c>
    </row>
    <row r="852">
      <c r="F852" s="37">
        <f>IF($A852="","",IF($B852="","EKSİK","TAM"))</f>
        <v/>
      </c>
    </row>
    <row r="853">
      <c r="F853" s="37">
        <f>IF($A853="","",IF($B853="","EKSİK","TAM"))</f>
        <v/>
      </c>
    </row>
    <row r="854">
      <c r="F854" s="37">
        <f>IF($A854="","",IF($B854="","EKSİK","TAM"))</f>
        <v/>
      </c>
    </row>
    <row r="855">
      <c r="F855" s="37">
        <f>IF($A855="","",IF($B855="","EKSİK","TAM"))</f>
        <v/>
      </c>
    </row>
    <row r="856">
      <c r="F856" s="37">
        <f>IF($A856="","",IF($B856="","EKSİK","TAM"))</f>
        <v/>
      </c>
    </row>
    <row r="857">
      <c r="F857" s="37">
        <f>IF($A857="","",IF($B857="","EKSİK","TAM"))</f>
        <v/>
      </c>
    </row>
    <row r="858">
      <c r="F858" s="37">
        <f>IF($A858="","",IF($B858="","EKSİK","TAM"))</f>
        <v/>
      </c>
    </row>
    <row r="859">
      <c r="F859" s="37">
        <f>IF($A859="","",IF($B859="","EKSİK","TAM"))</f>
        <v/>
      </c>
    </row>
    <row r="860">
      <c r="F860" s="37">
        <f>IF($A860="","",IF($B860="","EKSİK","TAM"))</f>
        <v/>
      </c>
    </row>
    <row r="861">
      <c r="F861" s="37">
        <f>IF($A861="","",IF($B861="","EKSİK","TAM"))</f>
        <v/>
      </c>
    </row>
    <row r="862">
      <c r="F862" s="37">
        <f>IF($A862="","",IF($B862="","EKSİK","TAM"))</f>
        <v/>
      </c>
    </row>
    <row r="863">
      <c r="F863" s="37">
        <f>IF($A863="","",IF($B863="","EKSİK","TAM"))</f>
        <v/>
      </c>
    </row>
    <row r="864">
      <c r="F864" s="37">
        <f>IF($A864="","",IF($B864="","EKSİK","TAM"))</f>
        <v/>
      </c>
    </row>
    <row r="865">
      <c r="F865" s="37">
        <f>IF($A865="","",IF($B865="","EKSİK","TAM"))</f>
        <v/>
      </c>
    </row>
    <row r="866">
      <c r="F866" s="37">
        <f>IF($A866="","",IF($B866="","EKSİK","TAM"))</f>
        <v/>
      </c>
    </row>
    <row r="867">
      <c r="F867" s="37">
        <f>IF($A867="","",IF($B867="","EKSİK","TAM"))</f>
        <v/>
      </c>
    </row>
    <row r="868">
      <c r="F868" s="37">
        <f>IF($A868="","",IF($B868="","EKSİK","TAM"))</f>
        <v/>
      </c>
    </row>
    <row r="869">
      <c r="F869" s="37">
        <f>IF($A869="","",IF($B869="","EKSİK","TAM"))</f>
        <v/>
      </c>
    </row>
    <row r="870">
      <c r="F870" s="37">
        <f>IF($A870="","",IF($B870="","EKSİK","TAM"))</f>
        <v/>
      </c>
    </row>
    <row r="871">
      <c r="F871" s="37">
        <f>IF($A871="","",IF($B871="","EKSİK","TAM"))</f>
        <v/>
      </c>
    </row>
    <row r="872">
      <c r="F872" s="37">
        <f>IF($A872="","",IF($B872="","EKSİK","TAM"))</f>
        <v/>
      </c>
    </row>
    <row r="873">
      <c r="F873" s="37">
        <f>IF($A873="","",IF($B873="","EKSİK","TAM"))</f>
        <v/>
      </c>
    </row>
    <row r="874">
      <c r="F874" s="37">
        <f>IF($A874="","",IF($B874="","EKSİK","TAM"))</f>
        <v/>
      </c>
    </row>
    <row r="875">
      <c r="F875" s="37">
        <f>IF($A875="","",IF($B875="","EKSİK","TAM"))</f>
        <v/>
      </c>
    </row>
    <row r="876">
      <c r="F876" s="37">
        <f>IF($A876="","",IF($B876="","EKSİK","TAM"))</f>
        <v/>
      </c>
    </row>
    <row r="877">
      <c r="F877" s="37">
        <f>IF($A877="","",IF($B877="","EKSİK","TAM"))</f>
        <v/>
      </c>
    </row>
    <row r="878">
      <c r="F878" s="37">
        <f>IF($A878="","",IF($B878="","EKSİK","TAM"))</f>
        <v/>
      </c>
    </row>
    <row r="879">
      <c r="F879" s="37">
        <f>IF($A879="","",IF($B879="","EKSİK","TAM"))</f>
        <v/>
      </c>
    </row>
    <row r="880">
      <c r="F880" s="37">
        <f>IF($A880="","",IF($B880="","EKSİK","TAM"))</f>
        <v/>
      </c>
    </row>
    <row r="881">
      <c r="F881" s="37">
        <f>IF($A881="","",IF($B881="","EKSİK","TAM"))</f>
        <v/>
      </c>
    </row>
    <row r="882">
      <c r="F882" s="37">
        <f>IF($A882="","",IF($B882="","EKSİK","TAM"))</f>
        <v/>
      </c>
    </row>
    <row r="883">
      <c r="F883" s="37">
        <f>IF($A883="","",IF($B883="","EKSİK","TAM"))</f>
        <v/>
      </c>
    </row>
    <row r="884">
      <c r="F884" s="37">
        <f>IF($A884="","",IF($B884="","EKSİK","TAM"))</f>
        <v/>
      </c>
    </row>
    <row r="885">
      <c r="F885" s="37">
        <f>IF($A885="","",IF($B885="","EKSİK","TAM"))</f>
        <v/>
      </c>
    </row>
    <row r="886">
      <c r="F886" s="37">
        <f>IF($A886="","",IF($B886="","EKSİK","TAM"))</f>
        <v/>
      </c>
    </row>
    <row r="887">
      <c r="F887" s="37">
        <f>IF($A887="","",IF($B887="","EKSİK","TAM"))</f>
        <v/>
      </c>
    </row>
    <row r="888">
      <c r="F888" s="37">
        <f>IF($A888="","",IF($B888="","EKSİK","TAM"))</f>
        <v/>
      </c>
    </row>
    <row r="889">
      <c r="F889" s="37">
        <f>IF($A889="","",IF($B889="","EKSİK","TAM"))</f>
        <v/>
      </c>
    </row>
    <row r="890">
      <c r="F890" s="37">
        <f>IF($A890="","",IF($B890="","EKSİK","TAM"))</f>
        <v/>
      </c>
    </row>
    <row r="891">
      <c r="F891" s="37">
        <f>IF($A891="","",IF($B891="","EKSİK","TAM"))</f>
        <v/>
      </c>
    </row>
    <row r="892">
      <c r="F892" s="37">
        <f>IF($A892="","",IF($B892="","EKSİK","TAM"))</f>
        <v/>
      </c>
    </row>
    <row r="893">
      <c r="F893" s="37">
        <f>IF($A893="","",IF($B893="","EKSİK","TAM"))</f>
        <v/>
      </c>
    </row>
    <row r="894">
      <c r="F894" s="37">
        <f>IF($A894="","",IF($B894="","EKSİK","TAM"))</f>
        <v/>
      </c>
    </row>
    <row r="895">
      <c r="F895" s="37">
        <f>IF($A895="","",IF($B895="","EKSİK","TAM"))</f>
        <v/>
      </c>
    </row>
    <row r="896">
      <c r="F896" s="37">
        <f>IF($A896="","",IF($B896="","EKSİK","TAM"))</f>
        <v/>
      </c>
    </row>
    <row r="897">
      <c r="F897" s="37">
        <f>IF($A897="","",IF($B897="","EKSİK","TAM"))</f>
        <v/>
      </c>
    </row>
    <row r="898">
      <c r="F898" s="37">
        <f>IF($A898="","",IF($B898="","EKSİK","TAM"))</f>
        <v/>
      </c>
    </row>
    <row r="899">
      <c r="F899" s="37">
        <f>IF($A899="","",IF($B899="","EKSİK","TAM"))</f>
        <v/>
      </c>
    </row>
    <row r="900">
      <c r="F900" s="37">
        <f>IF($A900="","",IF($B900="","EKSİK","TAM"))</f>
        <v/>
      </c>
    </row>
    <row r="901">
      <c r="F901" s="37">
        <f>IF($A901="","",IF($B901="","EKSİK","TAM"))</f>
        <v/>
      </c>
    </row>
    <row r="902">
      <c r="F902" s="37">
        <f>IF($A902="","",IF($B902="","EKSİK","TAM"))</f>
        <v/>
      </c>
    </row>
    <row r="903">
      <c r="F903" s="37">
        <f>IF($A903="","",IF($B903="","EKSİK","TAM"))</f>
        <v/>
      </c>
    </row>
    <row r="904">
      <c r="F904" s="37">
        <f>IF($A904="","",IF($B904="","EKSİK","TAM"))</f>
        <v/>
      </c>
    </row>
    <row r="905">
      <c r="F905" s="37">
        <f>IF($A905="","",IF($B905="","EKSİK","TAM"))</f>
        <v/>
      </c>
    </row>
    <row r="906">
      <c r="F906" s="37">
        <f>IF($A906="","",IF($B906="","EKSİK","TAM"))</f>
        <v/>
      </c>
    </row>
    <row r="907">
      <c r="F907" s="37">
        <f>IF($A907="","",IF($B907="","EKSİK","TAM"))</f>
        <v/>
      </c>
    </row>
    <row r="908">
      <c r="F908" s="37">
        <f>IF($A908="","",IF($B908="","EKSİK","TAM"))</f>
        <v/>
      </c>
    </row>
    <row r="909">
      <c r="F909" s="37">
        <f>IF($A909="","",IF($B909="","EKSİK","TAM"))</f>
        <v/>
      </c>
    </row>
    <row r="910">
      <c r="F910" s="37">
        <f>IF($A910="","",IF($B910="","EKSİK","TAM"))</f>
        <v/>
      </c>
    </row>
    <row r="911">
      <c r="F911" s="37">
        <f>IF($A911="","",IF($B911="","EKSİK","TAM"))</f>
        <v/>
      </c>
    </row>
    <row r="912">
      <c r="F912" s="37">
        <f>IF($A912="","",IF($B912="","EKSİK","TAM"))</f>
        <v/>
      </c>
    </row>
    <row r="913">
      <c r="F913" s="37">
        <f>IF($A913="","",IF($B913="","EKSİK","TAM"))</f>
        <v/>
      </c>
    </row>
    <row r="914">
      <c r="F914" s="37">
        <f>IF($A914="","",IF($B914="","EKSİK","TAM"))</f>
        <v/>
      </c>
    </row>
    <row r="915">
      <c r="F915" s="37">
        <f>IF($A915="","",IF($B915="","EKSİK","TAM"))</f>
        <v/>
      </c>
    </row>
    <row r="916">
      <c r="F916" s="37">
        <f>IF($A916="","",IF($B916="","EKSİK","TAM"))</f>
        <v/>
      </c>
    </row>
    <row r="917">
      <c r="F917" s="37">
        <f>IF($A917="","",IF($B917="","EKSİK","TAM"))</f>
        <v/>
      </c>
    </row>
    <row r="918">
      <c r="F918" s="37">
        <f>IF($A918="","",IF($B918="","EKSİK","TAM"))</f>
        <v/>
      </c>
    </row>
    <row r="919">
      <c r="F919" s="37">
        <f>IF($A919="","",IF($B919="","EKSİK","TAM"))</f>
        <v/>
      </c>
    </row>
    <row r="920">
      <c r="F920" s="37">
        <f>IF($A920="","",IF($B920="","EKSİK","TAM"))</f>
        <v/>
      </c>
    </row>
    <row r="921">
      <c r="F921" s="37">
        <f>IF($A921="","",IF($B921="","EKSİK","TAM"))</f>
        <v/>
      </c>
    </row>
    <row r="922">
      <c r="F922" s="37">
        <f>IF($A922="","",IF($B922="","EKSİK","TAM"))</f>
        <v/>
      </c>
    </row>
    <row r="923">
      <c r="F923" s="37">
        <f>IF($A923="","",IF($B923="","EKSİK","TAM"))</f>
        <v/>
      </c>
    </row>
    <row r="924">
      <c r="F924" s="37">
        <f>IF($A924="","",IF($B924="","EKSİK","TAM"))</f>
        <v/>
      </c>
    </row>
    <row r="925">
      <c r="F925" s="37">
        <f>IF($A925="","",IF($B925="","EKSİK","TAM"))</f>
        <v/>
      </c>
    </row>
    <row r="926">
      <c r="F926" s="37">
        <f>IF($A926="","",IF($B926="","EKSİK","TAM"))</f>
        <v/>
      </c>
    </row>
    <row r="927">
      <c r="F927" s="37">
        <f>IF($A927="","",IF($B927="","EKSİK","TAM"))</f>
        <v/>
      </c>
    </row>
    <row r="928">
      <c r="F928" s="37">
        <f>IF($A928="","",IF($B928="","EKSİK","TAM"))</f>
        <v/>
      </c>
    </row>
    <row r="929">
      <c r="F929" s="37">
        <f>IF($A929="","",IF($B929="","EKSİK","TAM"))</f>
        <v/>
      </c>
    </row>
    <row r="930">
      <c r="F930" s="37">
        <f>IF($A930="","",IF($B930="","EKSİK","TAM"))</f>
        <v/>
      </c>
    </row>
    <row r="931">
      <c r="F931" s="37">
        <f>IF($A931="","",IF($B931="","EKSİK","TAM"))</f>
        <v/>
      </c>
    </row>
    <row r="932">
      <c r="F932" s="37">
        <f>IF($A932="","",IF($B932="","EKSİK","TAM"))</f>
        <v/>
      </c>
    </row>
    <row r="933">
      <c r="F933" s="37">
        <f>IF($A933="","",IF($B933="","EKSİK","TAM"))</f>
        <v/>
      </c>
    </row>
    <row r="934">
      <c r="F934" s="37">
        <f>IF($A934="","",IF($B934="","EKSİK","TAM"))</f>
        <v/>
      </c>
    </row>
    <row r="935">
      <c r="F935" s="37">
        <f>IF($A935="","",IF($B935="","EKSİK","TAM"))</f>
        <v/>
      </c>
    </row>
    <row r="936">
      <c r="F936" s="37">
        <f>IF($A936="","",IF($B936="","EKSİK","TAM"))</f>
        <v/>
      </c>
    </row>
    <row r="937">
      <c r="F937" s="37">
        <f>IF($A937="","",IF($B937="","EKSİK","TAM"))</f>
        <v/>
      </c>
    </row>
    <row r="938">
      <c r="F938" s="37">
        <f>IF($A938="","",IF($B938="","EKSİK","TAM"))</f>
        <v/>
      </c>
    </row>
    <row r="939">
      <c r="F939" s="37">
        <f>IF($A939="","",IF($B939="","EKSİK","TAM"))</f>
        <v/>
      </c>
    </row>
    <row r="940">
      <c r="F940" s="37">
        <f>IF($A940="","",IF($B940="","EKSİK","TAM"))</f>
        <v/>
      </c>
    </row>
    <row r="941">
      <c r="F941" s="37">
        <f>IF($A941="","",IF($B941="","EKSİK","TAM"))</f>
        <v/>
      </c>
    </row>
    <row r="942">
      <c r="F942" s="37">
        <f>IF($A942="","",IF($B942="","EKSİK","TAM"))</f>
        <v/>
      </c>
    </row>
    <row r="943">
      <c r="F943" s="37">
        <f>IF($A943="","",IF($B943="","EKSİK","TAM"))</f>
        <v/>
      </c>
    </row>
    <row r="944">
      <c r="F944" s="37">
        <f>IF($A944="","",IF($B944="","EKSİK","TAM"))</f>
        <v/>
      </c>
    </row>
    <row r="945">
      <c r="F945" s="37">
        <f>IF($A945="","",IF($B945="","EKSİK","TAM"))</f>
        <v/>
      </c>
    </row>
    <row r="946">
      <c r="F946" s="37">
        <f>IF($A946="","",IF($B946="","EKSİK","TAM"))</f>
        <v/>
      </c>
    </row>
    <row r="947">
      <c r="F947" s="37">
        <f>IF($A947="","",IF($B947="","EKSİK","TAM"))</f>
        <v/>
      </c>
    </row>
    <row r="948">
      <c r="F948" s="37">
        <f>IF($A948="","",IF($B948="","EKSİK","TAM"))</f>
        <v/>
      </c>
    </row>
    <row r="949">
      <c r="F949" s="37">
        <f>IF($A949="","",IF($B949="","EKSİK","TAM"))</f>
        <v/>
      </c>
    </row>
    <row r="950">
      <c r="F950" s="37">
        <f>IF($A950="","",IF($B950="","EKSİK","TAM"))</f>
        <v/>
      </c>
    </row>
    <row r="951">
      <c r="F951" s="37">
        <f>IF($A951="","",IF($B951="","EKSİK","TAM"))</f>
        <v/>
      </c>
    </row>
    <row r="952">
      <c r="F952" s="37">
        <f>IF($A952="","",IF($B952="","EKSİK","TAM"))</f>
        <v/>
      </c>
    </row>
    <row r="953">
      <c r="F953" s="37">
        <f>IF($A953="","",IF($B953="","EKSİK","TAM"))</f>
        <v/>
      </c>
    </row>
    <row r="954">
      <c r="F954" s="37">
        <f>IF($A954="","",IF($B954="","EKSİK","TAM"))</f>
        <v/>
      </c>
    </row>
    <row r="955">
      <c r="F955" s="37">
        <f>IF($A955="","",IF($B955="","EKSİK","TAM"))</f>
        <v/>
      </c>
    </row>
    <row r="956">
      <c r="F956" s="37">
        <f>IF($A956="","",IF($B956="","EKSİK","TAM"))</f>
        <v/>
      </c>
    </row>
    <row r="957">
      <c r="F957" s="37">
        <f>IF($A957="","",IF($B957="","EKSİK","TAM"))</f>
        <v/>
      </c>
    </row>
    <row r="958">
      <c r="F958" s="37">
        <f>IF($A958="","",IF($B958="","EKSİK","TAM"))</f>
        <v/>
      </c>
    </row>
    <row r="959">
      <c r="F959" s="37">
        <f>IF($A959="","",IF($B959="","EKSİK","TAM"))</f>
        <v/>
      </c>
    </row>
    <row r="960">
      <c r="F960" s="37">
        <f>IF($A960="","",IF($B960="","EKSİK","TAM"))</f>
        <v/>
      </c>
    </row>
    <row r="961">
      <c r="F961" s="37">
        <f>IF($A961="","",IF($B961="","EKSİK","TAM"))</f>
        <v/>
      </c>
    </row>
    <row r="962">
      <c r="F962" s="37">
        <f>IF($A962="","",IF($B962="","EKSİK","TAM"))</f>
        <v/>
      </c>
    </row>
    <row r="963">
      <c r="F963" s="37">
        <f>IF($A963="","",IF($B963="","EKSİK","TAM"))</f>
        <v/>
      </c>
    </row>
    <row r="964">
      <c r="F964" s="37">
        <f>IF($A964="","",IF($B964="","EKSİK","TAM"))</f>
        <v/>
      </c>
    </row>
    <row r="965">
      <c r="F965" s="37">
        <f>IF($A965="","",IF($B965="","EKSİK","TAM"))</f>
        <v/>
      </c>
    </row>
    <row r="966">
      <c r="F966" s="37">
        <f>IF($A966="","",IF($B966="","EKSİK","TAM"))</f>
        <v/>
      </c>
    </row>
    <row r="967">
      <c r="F967" s="37">
        <f>IF($A967="","",IF($B967="","EKSİK","TAM"))</f>
        <v/>
      </c>
    </row>
    <row r="968">
      <c r="F968" s="37">
        <f>IF($A968="","",IF($B968="","EKSİK","TAM"))</f>
        <v/>
      </c>
    </row>
    <row r="969">
      <c r="F969" s="37">
        <f>IF($A969="","",IF($B969="","EKSİK","TAM"))</f>
        <v/>
      </c>
    </row>
    <row r="970">
      <c r="F970" s="37">
        <f>IF($A970="","",IF($B970="","EKSİK","TAM"))</f>
        <v/>
      </c>
    </row>
    <row r="971">
      <c r="F971" s="37">
        <f>IF($A971="","",IF($B971="","EKSİK","TAM"))</f>
        <v/>
      </c>
    </row>
    <row r="972">
      <c r="F972" s="37">
        <f>IF($A972="","",IF($B972="","EKSİK","TAM"))</f>
        <v/>
      </c>
    </row>
    <row r="973">
      <c r="F973" s="37">
        <f>IF($A973="","",IF($B973="","EKSİK","TAM"))</f>
        <v/>
      </c>
    </row>
    <row r="974">
      <c r="F974" s="37">
        <f>IF($A974="","",IF($B974="","EKSİK","TAM"))</f>
        <v/>
      </c>
    </row>
    <row r="975">
      <c r="F975" s="37">
        <f>IF($A975="","",IF($B975="","EKSİK","TAM"))</f>
        <v/>
      </c>
    </row>
    <row r="976">
      <c r="F976" s="37">
        <f>IF($A976="","",IF($B976="","EKSİK","TAM"))</f>
        <v/>
      </c>
    </row>
    <row r="977">
      <c r="F977" s="37">
        <f>IF($A977="","",IF($B977="","EKSİK","TAM"))</f>
        <v/>
      </c>
    </row>
    <row r="978">
      <c r="F978" s="37">
        <f>IF($A978="","",IF($B978="","EKSİK","TAM"))</f>
        <v/>
      </c>
    </row>
    <row r="979">
      <c r="F979" s="37">
        <f>IF($A979="","",IF($B979="","EKSİK","TAM"))</f>
        <v/>
      </c>
    </row>
    <row r="980">
      <c r="F980" s="37">
        <f>IF($A980="","",IF($B980="","EKSİK","TAM"))</f>
        <v/>
      </c>
    </row>
    <row r="981">
      <c r="F981" s="37">
        <f>IF($A981="","",IF($B981="","EKSİK","TAM"))</f>
        <v/>
      </c>
    </row>
    <row r="982">
      <c r="F982" s="37">
        <f>IF($A982="","",IF($B982="","EKSİK","TAM"))</f>
        <v/>
      </c>
    </row>
    <row r="983">
      <c r="F983" s="37">
        <f>IF($A983="","",IF($B983="","EKSİK","TAM"))</f>
        <v/>
      </c>
    </row>
    <row r="984">
      <c r="F984" s="37">
        <f>IF($A984="","",IF($B984="","EKSİK","TAM"))</f>
        <v/>
      </c>
    </row>
    <row r="985">
      <c r="F985" s="37">
        <f>IF($A985="","",IF($B985="","EKSİK","TAM"))</f>
        <v/>
      </c>
    </row>
    <row r="986">
      <c r="F986" s="37">
        <f>IF($A986="","",IF($B986="","EKSİK","TAM"))</f>
        <v/>
      </c>
    </row>
    <row r="987">
      <c r="F987" s="37">
        <f>IF($A987="","",IF($B987="","EKSİK","TAM"))</f>
        <v/>
      </c>
    </row>
    <row r="988">
      <c r="F988" s="37">
        <f>IF($A988="","",IF($B988="","EKSİK","TAM"))</f>
        <v/>
      </c>
    </row>
    <row r="989">
      <c r="F989" s="37">
        <f>IF($A989="","",IF($B989="","EKSİK","TAM"))</f>
        <v/>
      </c>
    </row>
    <row r="990">
      <c r="F990" s="37">
        <f>IF($A990="","",IF($B990="","EKSİK","TAM"))</f>
        <v/>
      </c>
    </row>
    <row r="991">
      <c r="F991" s="37">
        <f>IF($A991="","",IF($B991="","EKSİK","TAM"))</f>
        <v/>
      </c>
    </row>
    <row r="992">
      <c r="F992" s="37">
        <f>IF($A992="","",IF($B992="","EKSİK","TAM"))</f>
        <v/>
      </c>
    </row>
    <row r="993">
      <c r="F993" s="37">
        <f>IF($A993="","",IF($B993="","EKSİK","TAM"))</f>
        <v/>
      </c>
    </row>
    <row r="994">
      <c r="F994" s="37">
        <f>IF($A994="","",IF($B994="","EKSİK","TAM"))</f>
        <v/>
      </c>
    </row>
    <row r="995">
      <c r="F995" s="37">
        <f>IF($A995="","",IF($B995="","EKSİK","TAM"))</f>
        <v/>
      </c>
    </row>
    <row r="996">
      <c r="F996" s="37">
        <f>IF($A996="","",IF($B996="","EKSİK","TAM"))</f>
        <v/>
      </c>
    </row>
    <row r="997">
      <c r="F997" s="37">
        <f>IF($A997="","",IF($B997="","EKSİK","TAM"))</f>
        <v/>
      </c>
    </row>
    <row r="998">
      <c r="F998" s="37">
        <f>IF($A998="","",IF($B998="","EKSİK","TAM"))</f>
        <v/>
      </c>
    </row>
    <row r="999">
      <c r="F999" s="37">
        <f>IF($A999="","",IF($B999="","EKSİK","TAM"))</f>
        <v/>
      </c>
    </row>
    <row r="1000">
      <c r="F1000" s="37">
        <f>IF($A1000="","",IF($B1000="","EKSİK","TAM"))</f>
        <v/>
      </c>
    </row>
    <row r="1001">
      <c r="F1001" s="37">
        <f>IF($A1001="","",IF($B1001="","EKSİK","TAM"))</f>
        <v/>
      </c>
    </row>
    <row r="1002">
      <c r="F1002" s="37">
        <f>IF($A1002="","",IF($B1002="","EKSİK","TAM"))</f>
        <v/>
      </c>
    </row>
    <row r="1003">
      <c r="F1003" s="37">
        <f>IF($A1003="","",IF($B1003="","EKSİK","TAM"))</f>
        <v/>
      </c>
    </row>
    <row r="1004">
      <c r="F1004" s="37">
        <f>IF($A1004="","",IF($B1004="","EKSİK","TAM"))</f>
        <v/>
      </c>
    </row>
    <row r="1024" ht="20" customHeight="1">
      <c r="A1024" s="40" t="inlineStr">
        <is>
          <t>Sarı alanlar giriş; potansiyel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5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Birikim yorum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Brüt Matrah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Çalışan" prompt="0 ile 100000 arasında." type="decimal" errorStyle="stop" operator="between">
      <formula1>0</formula1>
      <formula2>100000</formula2>
    </dataValidation>
    <dataValidation sqref="B11" showDropDown="0" showInputMessage="1" showErrorMessage="1" allowBlank="1" errorTitle="Geçersiz tutar" error="Sınır dışı değer." promptTitle="5 Puan Matrah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İlave Matrah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Kadın/Genç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Engelli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Mevcut Teşvik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Brüt Matrah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Çalışan" prompt="Tablo: adet." type="decimal" errorStyle="stop" operator="between">
      <formula1>0</formula1>
      <formula2>100000</formula2>
    </dataValidation>
    <dataValidation sqref="B29" showDropDown="0" showInputMessage="1" showErrorMessage="1" allowBlank="1" errorTitle="Geçersiz tutar" error="Sınır dışı değer." promptTitle="5 Puan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İlave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Kadın/Genç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Engelli" prompt="Tablo: TL tutar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Mevcut" prompt="Tablo: TL tutar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SGK Prim Teşvikleri Optimizasyon Motoru</t>
        </is>
      </c>
    </row>
    <row r="3">
      <c r="A3" s="42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SGK-001</t>
        </is>
      </c>
      <c r="B7" s="7" t="inlineStr">
        <is>
          <t>5510 md.81</t>
        </is>
      </c>
      <c r="C7" s="7" t="inlineStr">
        <is>
          <t>bes_puan_oran</t>
        </is>
      </c>
      <c r="D7" s="7" t="inlineStr">
        <is>
          <t>kapsam_matrah&gt;0</t>
        </is>
      </c>
      <c r="E7" s="7" t="inlineStr">
        <is>
          <t>bes_puan_oran</t>
        </is>
      </c>
      <c r="F7" s="43" t="n">
        <v>0.05</v>
      </c>
      <c r="G7" s="43" t="n">
        <v>0.05</v>
      </c>
      <c r="H7" s="43" t="n">
        <v>0.05</v>
      </c>
      <c r="I7" s="7" t="inlineStr">
        <is>
          <t>01.01.2025</t>
        </is>
      </c>
      <c r="J7" s="7" t="inlineStr">
        <is>
          <t>5510 s.K. md.81</t>
        </is>
      </c>
      <c r="K7" s="37">
        <f>IF($A7="","",IFERROR(CHOOSE(MAX(1,MIN(3,IF(OR(hesapYili="",hesapYili=0),1,hesapYili-sgk_yilTaban))),$F7,$G7,$H7),0))</f>
        <v/>
      </c>
    </row>
    <row r="8">
      <c r="A8" s="7" t="inlineStr">
        <is>
          <t>SGK-002</t>
        </is>
      </c>
      <c r="B8" s="7" t="inlineStr">
        <is>
          <t>4447 geç.10</t>
        </is>
      </c>
      <c r="C8" s="7" t="inlineStr">
        <is>
          <t>ilave_istihdam_oran</t>
        </is>
      </c>
      <c r="D8" s="7" t="inlineStr">
        <is>
          <t>ilave_matrah&gt;0</t>
        </is>
      </c>
      <c r="E8" s="7" t="inlineStr">
        <is>
          <t>ilave_istihdam_oran</t>
        </is>
      </c>
      <c r="F8" s="43" t="n">
        <v>0.145</v>
      </c>
      <c r="G8" s="43" t="n">
        <v>0.145</v>
      </c>
      <c r="H8" s="43" t="n">
        <v>0.145</v>
      </c>
      <c r="I8" s="7" t="inlineStr">
        <is>
          <t>01.01.2025</t>
        </is>
      </c>
      <c r="J8" s="7" t="inlineStr">
        <is>
          <t>4447 s.K. geç.10</t>
        </is>
      </c>
      <c r="K8" s="37">
        <f>IF($A8="","",IFERROR(CHOOSE(MAX(1,MIN(3,IF(OR(hesapYili="",hesapYili=0),1,hesapYili-sgk_yilTaban))),$F8,$G8,$H8),0))</f>
        <v/>
      </c>
    </row>
    <row r="9">
      <c r="A9" s="7" t="inlineStr">
        <is>
          <t>SGK-003</t>
        </is>
      </c>
      <c r="B9" s="7" t="inlineStr">
        <is>
          <t>SGK tavan</t>
        </is>
      </c>
      <c r="C9" s="7" t="inlineStr">
        <is>
          <t>prim_tavani</t>
        </is>
      </c>
      <c r="D9" s="7" t="inlineStr">
        <is>
          <t>her hesap</t>
        </is>
      </c>
      <c r="E9" s="7" t="inlineStr">
        <is>
          <t>prim_tavani</t>
        </is>
      </c>
      <c r="F9" s="44" t="n">
        <v>150000</v>
      </c>
      <c r="G9" s="44" t="n">
        <v>165000</v>
      </c>
      <c r="H9" s="44" t="n">
        <v>180000</v>
      </c>
      <c r="I9" s="7" t="inlineStr">
        <is>
          <t>01.01.2025</t>
        </is>
      </c>
      <c r="J9" s="7" t="inlineStr">
        <is>
          <t>SGK prim tavanı</t>
        </is>
      </c>
      <c r="K9" s="37">
        <f>IF($A9="","",IFERROR(CHOOSE(MAX(1,MIN(3,IF(OR(hesapYili="",hesapYili=0),1,hesapYili-sgk_yilTaban))),$F9,$G9,$H9),0))</f>
        <v/>
      </c>
    </row>
    <row r="10">
      <c r="A10" s="7" t="inlineStr">
        <is>
          <t>SGK-004</t>
        </is>
      </c>
      <c r="B10" s="7" t="inlineStr">
        <is>
          <t>4447 / 5510</t>
        </is>
      </c>
      <c r="C10" s="7" t="inlineStr">
        <is>
          <t>kadin_genc_oran</t>
        </is>
      </c>
      <c r="D10" s="7" t="inlineStr">
        <is>
          <t>kadin_genc_matrah&gt;0</t>
        </is>
      </c>
      <c r="E10" s="7" t="inlineStr">
        <is>
          <t>kadin_genc_oran</t>
        </is>
      </c>
      <c r="F10" s="43" t="n">
        <v>0.05</v>
      </c>
      <c r="G10" s="43" t="n">
        <v>0.05</v>
      </c>
      <c r="H10" s="43" t="n">
        <v>0.05</v>
      </c>
      <c r="I10" s="7" t="inlineStr">
        <is>
          <t>01.01.2025</t>
        </is>
      </c>
      <c r="J10" s="7" t="inlineStr">
        <is>
          <t>Kadın/genç istihdam</t>
        </is>
      </c>
      <c r="K10" s="37">
        <f>IF($A10="","",IFERROR(CHOOSE(MAX(1,MIN(3,IF(OR(hesapYili="",hesapYili=0),1,hesapYili-sgk_yilTaban))),$F10,$G10,$H10),0))</f>
        <v/>
      </c>
    </row>
    <row r="11">
      <c r="A11" s="7" t="inlineStr">
        <is>
          <t>SGK-005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5" t="n">
        <v>2</v>
      </c>
      <c r="G11" s="45" t="n">
        <v>2</v>
      </c>
      <c r="H11" s="45" t="n">
        <v>2</v>
      </c>
      <c r="I11" s="7" t="inlineStr">
        <is>
          <t>01.01.2025</t>
        </is>
      </c>
      <c r="J11" s="7" t="inlineStr">
        <is>
          <t>Uygulama notu</t>
        </is>
      </c>
      <c r="K11" s="37">
        <f>IF($A11="","",IFERROR(CHOOSE(MAX(1,MIN(3,IF(OR(hesapYili="",hesapYili=0),1,hesapYili-sgk_yilTaban))),$F11,$G11,$H11),0))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5 puan oranı (aktif yıl)</t>
        </is>
      </c>
      <c r="B15" s="25">
        <f>IFERROR(INDEX(CHOOSE(MAX(1,MIN(3,IF(OR(hesapYili="",hesapYili=0),1,hesapYili-sgk_yilTaban))),tblKurallar[deger_2025],tblKurallar[deger_2026],tblKurallar[deger_2027]),MATCH("SGK-001",tblKurallar[kural_id],0)),0)</f>
        <v/>
      </c>
    </row>
    <row r="16">
      <c r="A16" s="7" t="inlineStr">
        <is>
          <t>İlave istihdam oranı (aktif yıl)</t>
        </is>
      </c>
      <c r="B16" s="25">
        <f>IFERROR(INDEX(CHOOSE(MAX(1,MIN(3,IF(OR(hesapYili="",hesapYili=0),1,hesapYili-sgk_yilTaban))),tblKurallar[deger_2025],tblKurallar[deger_2026],tblKurallar[deger_2027]),MATCH("SGK-002",tblKurallar[kural_id],0)),0)</f>
        <v/>
      </c>
    </row>
    <row r="17">
      <c r="A17" s="7" t="inlineStr">
        <is>
          <t>Matris metni</t>
        </is>
      </c>
      <c r="B17" s="21">
        <f>IFERROR(_xlfn.TEXTJOIN(" | ",TRUE,"SGK-001=",TEXT(B15,"0.0%"),"SGK-002=",TEXT(B16,"0.0%"),"yıl=",IF(OR(hesapYili="",hesapYili=0),"-",hesapYili)),"-")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SGK Prim Teşvikleri Optimizasyon Motoru</t>
        </is>
      </c>
    </row>
    <row r="3">
      <c r="A3" s="42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6" t="n">
        <v>1</v>
      </c>
      <c r="B7" s="24" t="inlineStr">
        <is>
          <t>Hesap yılı oku</t>
        </is>
      </c>
      <c r="C7" s="47">
        <f>IFERROR(hesapYili,0)</f>
        <v/>
      </c>
      <c r="D7" s="48" t="inlineStr">
        <is>
          <t>yıl</t>
        </is>
      </c>
      <c r="E7" s="6" t="inlineStr">
        <is>
          <t>Aktif mevzuat yılı</t>
        </is>
      </c>
      <c r="F7" s="23" t="inlineStr">
        <is>
          <t>SGK-005</t>
        </is>
      </c>
      <c r="G7" s="35">
        <f>IFERROR(hesapYili,0)</f>
        <v/>
      </c>
    </row>
    <row r="8">
      <c r="A8" s="46" t="n">
        <v>2</v>
      </c>
      <c r="B8" s="24" t="inlineStr">
        <is>
          <t>5 puan oranı</t>
        </is>
      </c>
      <c r="C8" s="49">
        <f>IFERROR(INDEX(CHOOSE(MAX(1,MIN(3,IF(OR(hesapYili="",hesapYili=0),1,hesapYili-sgk_yilTaban))),tblKurallar[deger_2025],tblKurallar[deger_2026],tblKurallar[deger_2027]),MATCH("SGK-001",tblKurallar[kural_id],0)),0)</f>
        <v/>
      </c>
      <c r="D8" s="48" t="inlineStr">
        <is>
          <t>oran</t>
        </is>
      </c>
      <c r="E8" s="6" t="inlineStr">
        <is>
          <t>5510 md.81 oranı</t>
        </is>
      </c>
      <c r="F8" s="23" t="inlineStr">
        <is>
          <t>SGK-001</t>
        </is>
      </c>
      <c r="G8" s="25">
        <f>IFERROR(INDEX(CHOOSE(MAX(1,MIN(3,IF(OR(hesapYili="",hesapYili=0),1,hesapYili-sgk_yilTaban))),tblKurallar[deger_2025],tblKurallar[deger_2026],tblKurallar[deger_2027]),MATCH("SGK-001",tblKurallar[kural_id],0)),0)</f>
        <v/>
      </c>
    </row>
    <row r="9">
      <c r="A9" s="46" t="n">
        <v>3</v>
      </c>
      <c r="B9" s="24" t="inlineStr">
        <is>
          <t>İlave istihdam oranı</t>
        </is>
      </c>
      <c r="C9" s="49">
        <f>IFERROR(INDEX(CHOOSE(MAX(1,MIN(3,IF(OR(hesapYili="",hesapYili=0),1,hesapYili-sgk_yilTaban))),tblKurallar[deger_2025],tblKurallar[deger_2026],tblKurallar[deger_2027]),MATCH("SGK-002",tblKurallar[kural_id],0)),0)</f>
        <v/>
      </c>
      <c r="D9" s="48" t="inlineStr">
        <is>
          <t>oran</t>
        </is>
      </c>
      <c r="E9" s="6" t="inlineStr">
        <is>
          <t>4447 geç.10 oranı</t>
        </is>
      </c>
      <c r="F9" s="23" t="inlineStr">
        <is>
          <t>SGK-002</t>
        </is>
      </c>
      <c r="G9" s="25">
        <f>IFERROR(INDEX(CHOOSE(MAX(1,MIN(3,IF(OR(hesapYili="",hesapYili=0),1,hesapYili-sgk_yilTaban))),tblKurallar[deger_2025],tblKurallar[deger_2026],tblKurallar[deger_2027]),MATCH("SGK-002",tblKurallar[kural_id],0)),0)</f>
        <v/>
      </c>
    </row>
    <row r="10">
      <c r="A10" s="46" t="n">
        <v>4</v>
      </c>
      <c r="B10" s="24" t="inlineStr">
        <is>
          <t>Prim tavanı</t>
        </is>
      </c>
      <c r="C10" s="50">
        <f>IFERROR(INDEX(CHOOSE(MAX(1,MIN(3,IF(OR(hesapYili="",hesapYili=0),1,hesapYili-sgk_yilTaban))),tblKurallar[deger_2025],tblKurallar[deger_2026],tblKurallar[deger_2027]),MATCH("SGK-003",tblKurallar[kural_id],0)),0)</f>
        <v/>
      </c>
      <c r="D10" s="48" t="inlineStr">
        <is>
          <t>TL</t>
        </is>
      </c>
      <c r="E10" s="6" t="inlineStr">
        <is>
          <t>Aylık prim tavanı</t>
        </is>
      </c>
      <c r="F10" s="23" t="inlineStr">
        <is>
          <t>SGK-003</t>
        </is>
      </c>
      <c r="G10" s="26">
        <f>IFERROR(INDEX(CHOOSE(MAX(1,MIN(3,IF(OR(hesapYili="",hesapYili=0),1,hesapYili-sgk_yilTaban))),tblKurallar[deger_2025],tblKurallar[deger_2026],tblKurallar[deger_2027]),MATCH("SGK-003",tblKurallar[kural_id],0)),0)</f>
        <v/>
      </c>
    </row>
    <row r="11">
      <c r="A11" s="46" t="n">
        <v>5</v>
      </c>
      <c r="B11" s="24" t="inlineStr">
        <is>
          <t>Kadın/genç oranı</t>
        </is>
      </c>
      <c r="C11" s="49">
        <f>IFERROR(INDEX(CHOOSE(MAX(1,MIN(3,IF(OR(hesapYili="",hesapYili=0),1,hesapYili-sgk_yilTaban))),tblKurallar[deger_2025],tblKurallar[deger_2026],tblKurallar[deger_2027]),MATCH("SGK-004",tblKurallar[kural_id],0)),0)</f>
        <v/>
      </c>
      <c r="D11" s="48" t="inlineStr">
        <is>
          <t>oran</t>
        </is>
      </c>
      <c r="E11" s="6" t="inlineStr">
        <is>
          <t>Kadın/genç teşvik oranı</t>
        </is>
      </c>
      <c r="F11" s="23" t="inlineStr">
        <is>
          <t>SGK-004</t>
        </is>
      </c>
      <c r="G11" s="25">
        <f>IFERROR(INDEX(CHOOSE(MAX(1,MIN(3,IF(OR(hesapYili="",hesapYili=0),1,hesapYili-sgk_yilTaban))),tblKurallar[deger_2025],tblKurallar[deger_2026],tblKurallar[deger_2027]),MATCH("SGK-004",tblKurallar[kural_id],0)),0)</f>
        <v/>
      </c>
    </row>
    <row r="12">
      <c r="A12" s="46" t="n">
        <v>6</v>
      </c>
      <c r="B12" s="24" t="inlineStr">
        <is>
          <t>Yuvarlama ondalık</t>
        </is>
      </c>
      <c r="C12" s="47">
        <f>IFERROR(INDEX(CHOOSE(MAX(1,MIN(3,IF(OR(hesapYili="",hesapYili=0),1,hesapYili-sgk_yilTaban))),tblKurallar[deger_2025],tblKurallar[deger_2026],tblKurallar[deger_2027]),MATCH("SGK-005",tblKurallar[kural_id],0)),0)</f>
        <v/>
      </c>
      <c r="D12" s="48" t="inlineStr">
        <is>
          <t>adet</t>
        </is>
      </c>
      <c r="E12" s="6" t="inlineStr">
        <is>
          <t>Yuvarlama basamağı</t>
        </is>
      </c>
      <c r="F12" s="23" t="inlineStr">
        <is>
          <t>SGK-005</t>
        </is>
      </c>
      <c r="G12" s="35">
        <f>IFERROR(INDEX(CHOOSE(MAX(1,MIN(3,IF(OR(hesapYili="",hesapYili=0),1,hesapYili-sgk_yilTaban))),tblKurallar[deger_2025],tblKurallar[deger_2026],tblKurallar[deger_2027]),MATCH("SGK-005",tblKurallar[kural_id],0)),0)</f>
        <v/>
      </c>
    </row>
    <row r="13">
      <c r="A13" s="46" t="n">
        <v>7</v>
      </c>
      <c r="B13" s="24" t="inlineStr">
        <is>
          <t>Aylık brüt matrah</t>
        </is>
      </c>
      <c r="C13" s="50">
        <f>IFERROR(GIRDI!B9,0)</f>
        <v/>
      </c>
      <c r="D13" s="48" t="inlineStr">
        <is>
          <t>TL</t>
        </is>
      </c>
      <c r="E13" s="6" t="inlineStr">
        <is>
          <t>Ham brüt matrah</t>
        </is>
      </c>
      <c r="F13" s="23" t="inlineStr">
        <is>
          <t>SGK-003</t>
        </is>
      </c>
      <c r="G13" s="26">
        <f>IFERROR(GIRDI!B9,0)</f>
        <v/>
      </c>
    </row>
    <row r="14">
      <c r="A14" s="46" t="n">
        <v>8</v>
      </c>
      <c r="B14" s="24" t="inlineStr">
        <is>
          <t>Çalışan sayısı</t>
        </is>
      </c>
      <c r="C14" s="47">
        <f>IFERROR(GIRDI!B10,0)</f>
        <v/>
      </c>
      <c r="D14" s="48" t="inlineStr">
        <is>
          <t>adet</t>
        </is>
      </c>
      <c r="E14" s="6" t="inlineStr">
        <is>
          <t>Bildirilen çalışan</t>
        </is>
      </c>
      <c r="F14" s="23" t="inlineStr">
        <is>
          <t>SGK-003</t>
        </is>
      </c>
      <c r="G14" s="35">
        <f>IFERROR(GIRDI!B10,0)</f>
        <v/>
      </c>
    </row>
    <row r="15">
      <c r="A15" s="46" t="n">
        <v>9</v>
      </c>
      <c r="B15" s="24" t="inlineStr">
        <is>
          <t>5 puan kapsam</t>
        </is>
      </c>
      <c r="C15" s="50">
        <f>IFERROR(GIRDI!B11,0)</f>
        <v/>
      </c>
      <c r="D15" s="48" t="inlineStr">
        <is>
          <t>TL</t>
        </is>
      </c>
      <c r="E15" s="6" t="inlineStr">
        <is>
          <t>5 puan uygun matrah</t>
        </is>
      </c>
      <c r="F15" s="23" t="inlineStr">
        <is>
          <t>SGK-001</t>
        </is>
      </c>
      <c r="G15" s="26">
        <f>IFERROR(GIRDI!B11,0)</f>
        <v/>
      </c>
    </row>
    <row r="16">
      <c r="A16" s="46" t="n">
        <v>10</v>
      </c>
      <c r="B16" s="24" t="inlineStr">
        <is>
          <t>İlave kapsam</t>
        </is>
      </c>
      <c r="C16" s="50">
        <f>IFERROR(GIRDI!B12,0)</f>
        <v/>
      </c>
      <c r="D16" s="48" t="inlineStr">
        <is>
          <t>TL</t>
        </is>
      </c>
      <c r="E16" s="6" t="inlineStr">
        <is>
          <t>İlave uygun matrah</t>
        </is>
      </c>
      <c r="F16" s="23" t="inlineStr">
        <is>
          <t>SGK-002</t>
        </is>
      </c>
      <c r="G16" s="26">
        <f>IFERROR(GIRDI!B12,0)</f>
        <v/>
      </c>
    </row>
    <row r="17">
      <c r="A17" s="46" t="n">
        <v>11</v>
      </c>
      <c r="B17" s="24" t="inlineStr">
        <is>
          <t>Kadın/genç kapsam</t>
        </is>
      </c>
      <c r="C17" s="50">
        <f>IFERROR(GIRDI!B13,0)</f>
        <v/>
      </c>
      <c r="D17" s="48" t="inlineStr">
        <is>
          <t>TL</t>
        </is>
      </c>
      <c r="E17" s="6" t="inlineStr">
        <is>
          <t>Kadın/genç matrah</t>
        </is>
      </c>
      <c r="F17" s="23" t="inlineStr">
        <is>
          <t>SGK-004</t>
        </is>
      </c>
      <c r="G17" s="26">
        <f>IFERROR(GIRDI!B13,0)</f>
        <v/>
      </c>
    </row>
    <row r="18">
      <c r="A18" s="46" t="n">
        <v>12</v>
      </c>
      <c r="B18" s="24" t="inlineStr">
        <is>
          <t>Engelli kapsam</t>
        </is>
      </c>
      <c r="C18" s="50">
        <f>IFERROR(GIRDI!B14,0)</f>
        <v/>
      </c>
      <c r="D18" s="48" t="inlineStr">
        <is>
          <t>TL</t>
        </is>
      </c>
      <c r="E18" s="6" t="inlineStr">
        <is>
          <t>Engelli matrah</t>
        </is>
      </c>
      <c r="F18" s="23" t="inlineStr">
        <is>
          <t>SGK-002</t>
        </is>
      </c>
      <c r="G18" s="26">
        <f>IFERROR(GIRDI!B14,0)</f>
        <v/>
      </c>
    </row>
    <row r="19">
      <c r="A19" s="46" t="n">
        <v>13</v>
      </c>
      <c r="B19" s="24" t="inlineStr">
        <is>
          <t>Mevcut teşvik</t>
        </is>
      </c>
      <c r="C19" s="50">
        <f>IFERROR(GIRDI!B15,0)</f>
        <v/>
      </c>
      <c r="D19" s="48" t="inlineStr">
        <is>
          <t>TL</t>
        </is>
      </c>
      <c r="E19" s="6" t="inlineStr">
        <is>
          <t>Fiili uygulanan</t>
        </is>
      </c>
      <c r="F19" s="23" t="inlineStr">
        <is>
          <t>SGK-005</t>
        </is>
      </c>
      <c r="G19" s="26">
        <f>IFERROR(GIRDI!B15,0)</f>
        <v/>
      </c>
    </row>
    <row r="20">
      <c r="A20" s="46" t="n">
        <v>14</v>
      </c>
      <c r="B20" s="24" t="inlineStr">
        <is>
          <t>Tavan üst sınırı</t>
        </is>
      </c>
      <c r="C20" s="50">
        <f>IFERROR(G10*G14,0)</f>
        <v/>
      </c>
      <c r="D20" s="48" t="inlineStr">
        <is>
          <t>TL</t>
        </is>
      </c>
      <c r="E20" s="6" t="inlineStr">
        <is>
          <t>Tavan × çalışan</t>
        </is>
      </c>
      <c r="F20" s="23" t="inlineStr">
        <is>
          <t>SGK-003</t>
        </is>
      </c>
      <c r="G20" s="26">
        <f>IFERROR(G10*G14,0)</f>
        <v/>
      </c>
    </row>
    <row r="21">
      <c r="A21" s="46" t="n">
        <v>15</v>
      </c>
      <c r="B21" s="24" t="inlineStr">
        <is>
          <t>Matrah tavanlı</t>
        </is>
      </c>
      <c r="C21" s="50">
        <f>IFERROR(MIN(G13,G20),0)</f>
        <v/>
      </c>
      <c r="D21" s="48" t="inlineStr">
        <is>
          <t>TL</t>
        </is>
      </c>
      <c r="E21" s="6" t="inlineStr">
        <is>
          <t>Tavan kesilmiş matrah</t>
        </is>
      </c>
      <c r="F21" s="23" t="inlineStr">
        <is>
          <t>SGK-003</t>
        </is>
      </c>
      <c r="G21" s="26">
        <f>IFERROR(MIN(G13,G20),0)</f>
        <v/>
      </c>
    </row>
    <row r="22">
      <c r="A22" s="46" t="n">
        <v>16</v>
      </c>
      <c r="B22" s="24" t="inlineStr">
        <is>
          <t>5 puan (kesilmiş)</t>
        </is>
      </c>
      <c r="C22" s="50">
        <f>IFERROR(ROUND(MIN(G15,G21)*G8,MAX(0,MIN(sgk_yuvarMax,IFERROR(N(G12),0)))),0)</f>
        <v/>
      </c>
      <c r="D22" s="48" t="inlineStr">
        <is>
          <t>TL</t>
        </is>
      </c>
      <c r="E22" s="6" t="inlineStr">
        <is>
          <t>5 puan tasarrufu</t>
        </is>
      </c>
      <c r="F22" s="23" t="inlineStr">
        <is>
          <t>SGK-001</t>
        </is>
      </c>
      <c r="G22" s="26">
        <f>IFERROR(ROUND(MIN(G15,G21)*G8,MAX(0,MIN(sgk_yuvarMax,IFERROR(N(G12),0)))),0)</f>
        <v/>
      </c>
    </row>
    <row r="23">
      <c r="A23" s="46" t="n">
        <v>17</v>
      </c>
      <c r="B23" s="24" t="inlineStr">
        <is>
          <t>İlave (kesilmiş)</t>
        </is>
      </c>
      <c r="C23" s="50">
        <f>IFERROR(ROUND(MIN(G16,G21)*G9,MAX(0,MIN(sgk_yuvarMax,IFERROR(N(G12),0)))),0)</f>
        <v/>
      </c>
      <c r="D23" s="48" t="inlineStr">
        <is>
          <t>TL</t>
        </is>
      </c>
      <c r="E23" s="6" t="inlineStr">
        <is>
          <t>İlave tasarrufu</t>
        </is>
      </c>
      <c r="F23" s="23" t="inlineStr">
        <is>
          <t>SGK-002</t>
        </is>
      </c>
      <c r="G23" s="26">
        <f>IFERROR(ROUND(MIN(G16,G21)*G9,MAX(0,MIN(sgk_yuvarMax,IFERROR(N(G12),0)))),0)</f>
        <v/>
      </c>
    </row>
    <row r="24">
      <c r="A24" s="46" t="n">
        <v>18</v>
      </c>
      <c r="B24" s="24" t="inlineStr">
        <is>
          <t>Kadın/genç (kesilmiş)</t>
        </is>
      </c>
      <c r="C24" s="50">
        <f>IFERROR(ROUND(MIN(G17,G21)*G11,MAX(0,MIN(sgk_yuvarMax,IFERROR(N(G12),0)))),0)</f>
        <v/>
      </c>
      <c r="D24" s="48" t="inlineStr">
        <is>
          <t>TL</t>
        </is>
      </c>
      <c r="E24" s="6" t="inlineStr">
        <is>
          <t>Kadın/genç tasarrufu</t>
        </is>
      </c>
      <c r="F24" s="23" t="inlineStr">
        <is>
          <t>SGK-004</t>
        </is>
      </c>
      <c r="G24" s="26">
        <f>IFERROR(ROUND(MIN(G17,G21)*G11,MAX(0,MIN(sgk_yuvarMax,IFERROR(N(G12),0)))),0)</f>
        <v/>
      </c>
    </row>
    <row r="25">
      <c r="A25" s="46" t="n">
        <v>19</v>
      </c>
      <c r="B25" s="24" t="inlineStr">
        <is>
          <t>Engelli (işveren payı)</t>
        </is>
      </c>
      <c r="C25" s="50">
        <f>IFERROR(ROUND(MIN(G18,G21)*sgk_isverenOran,MAX(0,MIN(sgk_yuvarMax,IFERROR(N(G12),0)))),0)</f>
        <v/>
      </c>
      <c r="D25" s="48" t="inlineStr">
        <is>
          <t>TL</t>
        </is>
      </c>
      <c r="E25" s="6" t="inlineStr">
        <is>
          <t>Engelli işveren payı muafiyeti</t>
        </is>
      </c>
      <c r="F25" s="23" t="inlineStr">
        <is>
          <t>SGK-002</t>
        </is>
      </c>
      <c r="G25" s="26">
        <f>IFERROR(ROUND(MIN(G18,G21)*sgk_isverenOran,MAX(0,MIN(sgk_yuvarMax,IFERROR(N(G12),0)))),0)</f>
        <v/>
      </c>
    </row>
    <row r="26">
      <c r="A26" s="46" t="n">
        <v>20</v>
      </c>
      <c r="B26" s="24" t="inlineStr">
        <is>
          <t>Birikimli toplam (A)</t>
        </is>
      </c>
      <c r="C26" s="50">
        <f>IFERROR(G22+G23+G24+G25,0)</f>
        <v/>
      </c>
      <c r="D26" s="48" t="inlineStr">
        <is>
          <t>TL</t>
        </is>
      </c>
      <c r="E26" s="6" t="inlineStr">
        <is>
          <t>Yorum A birikim</t>
        </is>
      </c>
      <c r="F26" s="23" t="inlineStr">
        <is>
          <t>SGK-005</t>
        </is>
      </c>
      <c r="G26" s="26">
        <f>IFERROR(G22+G23+G24+G25,0)</f>
        <v/>
      </c>
    </row>
    <row r="27">
      <c r="A27" s="46" t="n">
        <v>21</v>
      </c>
      <c r="B27" s="24" t="inlineStr">
        <is>
          <t>En yüksek tek kalem (B)</t>
        </is>
      </c>
      <c r="C27" s="50">
        <f>IFERROR(MAX(G22,G23,G24,G25),0)</f>
        <v/>
      </c>
      <c r="D27" s="48" t="inlineStr">
        <is>
          <t>TL</t>
        </is>
      </c>
      <c r="E27" s="6" t="inlineStr">
        <is>
          <t>Yorum B tek seçim</t>
        </is>
      </c>
      <c r="F27" s="23" t="inlineStr">
        <is>
          <t>SGK-005</t>
        </is>
      </c>
      <c r="G27" s="26">
        <f>IFERROR(MAX(G22,G23,G24,G25),0)</f>
        <v/>
      </c>
    </row>
    <row r="28">
      <c r="A28" s="46" t="n">
        <v>22</v>
      </c>
      <c r="B28" s="24" t="inlineStr">
        <is>
          <t>Potansiyel tasarruf</t>
        </is>
      </c>
      <c r="C28" s="50">
        <f>IFERROR(IF(GIRDI!B16="B",G27,G26),0)</f>
        <v/>
      </c>
      <c r="D28" s="48" t="inlineStr">
        <is>
          <t>TL</t>
        </is>
      </c>
      <c r="E28" s="6" t="inlineStr">
        <is>
          <t>Seçili yoruma göre</t>
        </is>
      </c>
      <c r="F28" s="23" t="inlineStr">
        <is>
          <t>SGK-005</t>
        </is>
      </c>
      <c r="G28" s="26">
        <f>IFERROR(IF(GIRDI!B16="B",G27,G26),0)</f>
        <v/>
      </c>
    </row>
    <row r="29">
      <c r="A29" s="46" t="n">
        <v>23</v>
      </c>
      <c r="B29" s="24" t="inlineStr">
        <is>
          <t>Kaçırılan (ham)</t>
        </is>
      </c>
      <c r="C29" s="50">
        <f>IFERROR(G28-G19,0)</f>
        <v/>
      </c>
      <c r="D29" s="48" t="inlineStr">
        <is>
          <t>TL</t>
        </is>
      </c>
      <c r="E29" s="6" t="inlineStr">
        <is>
          <t>Potansiyel − mevcut</t>
        </is>
      </c>
      <c r="F29" s="23" t="inlineStr">
        <is>
          <t>SGK-005</t>
        </is>
      </c>
      <c r="G29" s="26">
        <f>IFERROR(G28-G19,0)</f>
        <v/>
      </c>
    </row>
    <row r="30">
      <c r="A30" s="46" t="n">
        <v>24</v>
      </c>
      <c r="B30" s="24" t="inlineStr">
        <is>
          <t>Kaçırılan (sıfır altı yok)</t>
        </is>
      </c>
      <c r="C30" s="50">
        <f>IFERROR(MAX(0,G29),0)</f>
        <v/>
      </c>
      <c r="D30" s="48" t="inlineStr">
        <is>
          <t>TL</t>
        </is>
      </c>
      <c r="E30" s="6" t="inlineStr">
        <is>
          <t>Optimizasyon fırsatı</t>
        </is>
      </c>
      <c r="F30" s="23" t="inlineStr">
        <is>
          <t>SGK-005</t>
        </is>
      </c>
      <c r="G30" s="26">
        <f>IFERROR(MAX(0,G29),0)</f>
        <v/>
      </c>
    </row>
    <row r="31">
      <c r="A31" s="46" t="n">
        <v>25</v>
      </c>
      <c r="B31" s="24" t="inlineStr">
        <is>
          <t>Yıllık potansiyel</t>
        </is>
      </c>
      <c r="C31" s="50">
        <f>IFERROR(G28*12,0)</f>
        <v/>
      </c>
      <c r="D31" s="48" t="inlineStr">
        <is>
          <t>TL</t>
        </is>
      </c>
      <c r="E31" s="6" t="inlineStr">
        <is>
          <t>12 ay projeksiyon</t>
        </is>
      </c>
      <c r="F31" s="23" t="inlineStr">
        <is>
          <t>SGK-005</t>
        </is>
      </c>
      <c r="G31" s="26">
        <f>IFERROR(G28*12,0)</f>
        <v/>
      </c>
    </row>
    <row r="32">
      <c r="A32" s="46" t="n">
        <v>26</v>
      </c>
      <c r="B32" s="24" t="inlineStr">
        <is>
          <t>Yıllık kaçırılan</t>
        </is>
      </c>
      <c r="C32" s="50">
        <f>IFERROR(G30*12,0)</f>
        <v/>
      </c>
      <c r="D32" s="48" t="inlineStr">
        <is>
          <t>TL</t>
        </is>
      </c>
      <c r="E32" s="6" t="inlineStr">
        <is>
          <t>12 ay kaçırılan</t>
        </is>
      </c>
      <c r="F32" s="23" t="inlineStr">
        <is>
          <t>SGK-005</t>
        </is>
      </c>
      <c r="G32" s="26">
        <f>IFERROR(G30*12,0)</f>
        <v/>
      </c>
    </row>
    <row r="33">
      <c r="A33" s="46" t="n">
        <v>27</v>
      </c>
      <c r="B33" s="24" t="inlineStr">
        <is>
          <t>Karar kodu</t>
        </is>
      </c>
      <c r="C33" s="21">
        <f>IFERROR(IF(COUNTA(tblGirdi[Alan Anahtarı])=0,"VERI_YOK",IF(G30=0,"TAM","FIRSAT")),"")</f>
        <v/>
      </c>
      <c r="D33" s="48" t="inlineStr">
        <is>
          <t>kod</t>
        </is>
      </c>
      <c r="E33" s="6" t="inlineStr">
        <is>
          <t>Karar kodu</t>
        </is>
      </c>
      <c r="F33" s="23" t="inlineStr">
        <is>
          <t>SGK-005</t>
        </is>
      </c>
      <c r="G33" s="27">
        <f>IFERROR(IF(COUNTA(tblGirdi[Alan Anahtarı])=0,"VERI_YOK",IF(G30=0,"TAM","FIRSAT")),"")</f>
        <v/>
      </c>
    </row>
    <row r="34">
      <c r="A34" s="46" t="n">
        <v>28</v>
      </c>
      <c r="B34" s="24" t="inlineStr">
        <is>
          <t>Karar metni</t>
        </is>
      </c>
      <c r="C34" s="21">
        <f>IFERROR(IF(G33="VERI_YOK","VERİ YOK",IF(G33="TAM","UYGUN / TEŞVİK TAM",IF(G30&gt;=sgk_kacirilanEsik,"OPTİMİZE ET / DİKKAT","İNCELE / FIRSAT"))),"")</f>
        <v/>
      </c>
      <c r="D34" s="48" t="inlineStr">
        <is>
          <t>metin</t>
        </is>
      </c>
      <c r="E34" s="6" t="inlineStr">
        <is>
          <t>Kullanıcıya karar</t>
        </is>
      </c>
      <c r="F34" s="23" t="inlineStr">
        <is>
          <t>SGK-005</t>
        </is>
      </c>
      <c r="G34" s="27">
        <f>IFERROR(IF(G33="VERI_YOK","VERİ YOK",IF(G33="TAM","UYGUN / TEŞVİK TAM",IF(G30&gt;=sgk_kacirilanEsik,"OPTİMİZE ET / DİKKAT","İNCELE / FIRSAT"))),"")</f>
        <v/>
      </c>
    </row>
    <row r="35">
      <c r="A35" s="46" t="n">
        <v>29</v>
      </c>
      <c r="B35" s="24" t="inlineStr">
        <is>
          <t>Gerekçe</t>
        </is>
      </c>
      <c r="C35" s="21">
        <f>IFERROR(IF(G33="VERI_YOK","Giriş tablosu boş — hesap yapılamaz.",IF(G33="TAM","Mevcut teşvik potansiyeli karşılıyor; ek fırsat yok.","Potansiyel teşvik mevcut uygulamanın üzerinde; optimizasyon fırsatı var.")),"")</f>
        <v/>
      </c>
      <c r="D35" s="48" t="inlineStr">
        <is>
          <t>metin</t>
        </is>
      </c>
      <c r="E35" s="6" t="inlineStr">
        <is>
          <t>Gerekçe cümlesi</t>
        </is>
      </c>
      <c r="F35" s="23" t="inlineStr">
        <is>
          <t>SGK-005</t>
        </is>
      </c>
      <c r="G35" s="27">
        <f>IFERROR(IF(G33="VERI_YOK","Giriş tablosu boş — hesap yapılamaz.",IF(G33="TAM","Mevcut teşvik potansiyeli karşılıyor; ek fırsat yok.","Potansiyel teşvik mevcut uygulamanın üzerinde; optimizasyon fırsatı var.")),"")</f>
        <v/>
      </c>
    </row>
    <row r="36">
      <c r="A36" s="46" t="n">
        <v>30</v>
      </c>
      <c r="B36" s="24" t="inlineStr">
        <is>
          <t>Kapsam / matrah oranı</t>
        </is>
      </c>
      <c r="C36" s="49">
        <f>IFERROR(IF(G21=0,0,(G15+G16+G17+G18)/G21),0)</f>
        <v/>
      </c>
      <c r="D36" s="48" t="inlineStr">
        <is>
          <t>oran</t>
        </is>
      </c>
      <c r="E36" s="6" t="inlineStr">
        <is>
          <t>Kapsam yoğunluğu</t>
        </is>
      </c>
      <c r="F36" s="23" t="inlineStr">
        <is>
          <t>SGK-003</t>
        </is>
      </c>
      <c r="G36" s="25">
        <f>IFERROR(IF(G21=0,0,(G15+G16+G17+G18)/G21),0)</f>
        <v/>
      </c>
    </row>
    <row r="37">
      <c r="A37" s="46" t="n">
        <v>31</v>
      </c>
      <c r="B37" s="24" t="inlineStr">
        <is>
          <t>Mevcut / potansiyel</t>
        </is>
      </c>
      <c r="C37" s="49">
        <f>IFERROR(IF(G28=0,0,G19/G28),0)</f>
        <v/>
      </c>
      <c r="D37" s="48" t="inlineStr">
        <is>
          <t>oran</t>
        </is>
      </c>
      <c r="E37" s="6" t="inlineStr">
        <is>
          <t>Karşılama oranı</t>
        </is>
      </c>
      <c r="F37" s="23" t="inlineStr">
        <is>
          <t>SGK-005</t>
        </is>
      </c>
      <c r="G37" s="25">
        <f>IFERROR(IF(G28=0,0,G19/G28),0)</f>
        <v/>
      </c>
    </row>
    <row r="38">
      <c r="A38" s="46" t="n">
        <v>32</v>
      </c>
      <c r="B38" s="24" t="inlineStr">
        <is>
          <t>Güven skoru</t>
        </is>
      </c>
      <c r="C38" s="47">
        <f>IFERROR(ROUND(IF(OR(COUNTA(GIRDI!B6:B16)=0,sgk_girisBeklenen=0),0,COUNTA(GIRDI!B6:B16)/sgk_girisBeklenen*100),0),0)</f>
        <v/>
      </c>
      <c r="D38" s="48" t="inlineStr">
        <is>
          <t>puan</t>
        </is>
      </c>
      <c r="E38" s="6" t="inlineStr">
        <is>
          <t>Giriş bütünlüğü</t>
        </is>
      </c>
      <c r="F38" s="23" t="inlineStr">
        <is>
          <t>SGK-005</t>
        </is>
      </c>
      <c r="G38" s="35">
        <f>IFERROR(ROUND(IF(OR(COUNTA(GIRDI!B6:B16)=0,sgk_girisBeklenen=0),0,COUNTA(GIRDI!B6:B16)/sgk_girisBeklenen*100),0),0)</f>
        <v/>
      </c>
    </row>
    <row r="39">
      <c r="A39" s="46" t="n">
        <v>33</v>
      </c>
      <c r="B39" s="24" t="inlineStr">
        <is>
          <t>Risk skoru</t>
        </is>
      </c>
      <c r="C39" s="47">
        <f>IFERROR(IF(G33="VERI_YOK",0,IF(G30=0,sgk_riskDusuk,IF(G30/MAX(G28,1)&gt;sgk_riskEsikOran,sgk_riskYuksek,sgk_riskOrta))),0)</f>
        <v/>
      </c>
      <c r="D39" s="48" t="inlineStr">
        <is>
          <t>puan</t>
        </is>
      </c>
      <c r="E39" s="6" t="inlineStr">
        <is>
          <t>Kaçırılan riski</t>
        </is>
      </c>
      <c r="F39" s="23" t="inlineStr">
        <is>
          <t>SGK-005</t>
        </is>
      </c>
      <c r="G39" s="35">
        <f>IFERROR(IF(G33="VERI_YOK",0,IF(G30=0,sgk_riskDusuk,IF(G30/MAX(G28,1)&gt;sgk_riskEsikOran,sgk_riskYuksek,sgk_riskOrta))),0)</f>
        <v/>
      </c>
    </row>
    <row r="40">
      <c r="A40" s="46" t="n">
        <v>34</v>
      </c>
      <c r="B40" s="24" t="inlineStr">
        <is>
          <t>Senaryo iyimser matrah</t>
        </is>
      </c>
      <c r="C40" s="50">
        <f>IFERROR(G21*sgk_senaryoIyi,0)</f>
        <v/>
      </c>
      <c r="D40" s="48" t="inlineStr">
        <is>
          <t>TL</t>
        </is>
      </c>
      <c r="E40" s="6" t="inlineStr">
        <is>
          <t>İyimser matrah</t>
        </is>
      </c>
      <c r="F40" s="23" t="inlineStr">
        <is>
          <t>SGK-003</t>
        </is>
      </c>
      <c r="G40" s="26">
        <f>IFERROR(G21*sgk_senaryoIyi,0)</f>
        <v/>
      </c>
    </row>
    <row r="41">
      <c r="A41" s="46" t="n">
        <v>35</v>
      </c>
      <c r="B41" s="24" t="inlineStr">
        <is>
          <t>Senaryo kötümser matrah</t>
        </is>
      </c>
      <c r="C41" s="50">
        <f>IFERROR(G21*sgk_senaryoKotu,0)</f>
        <v/>
      </c>
      <c r="D41" s="48" t="inlineStr">
        <is>
          <t>TL</t>
        </is>
      </c>
      <c r="E41" s="6" t="inlineStr">
        <is>
          <t>Kötümser matrah</t>
        </is>
      </c>
      <c r="F41" s="23" t="inlineStr">
        <is>
          <t>SGK-003</t>
        </is>
      </c>
      <c r="G41" s="26">
        <f>IFERROR(G21*sgk_senaryoKotu,0)</f>
        <v/>
      </c>
    </row>
    <row r="42">
      <c r="A42" s="46" t="n">
        <v>36</v>
      </c>
      <c r="B42" s="24" t="inlineStr">
        <is>
          <t>İyimser potansiyel</t>
        </is>
      </c>
      <c r="C42" s="50">
        <f>IFERROR(ROUND(MIN(G15,G40)*G8+MIN(G16,G40)*G9+MIN(G17,G40)*G11+MIN(G18,G40)*sgk_isverenOran,MAX(0,MIN(sgk_yuvarMax,IFERROR(N(G12),0)))),0)</f>
        <v/>
      </c>
      <c r="D42" s="48" t="inlineStr">
        <is>
          <t>TL</t>
        </is>
      </c>
      <c r="E42" s="6" t="inlineStr">
        <is>
          <t>İyimser birikim</t>
        </is>
      </c>
      <c r="F42" s="23" t="inlineStr">
        <is>
          <t>SGK-001</t>
        </is>
      </c>
      <c r="G42" s="26">
        <f>IFERROR(ROUND(MIN(G15,G40)*G8+MIN(G16,G40)*G9+MIN(G17,G40)*G11+MIN(G18,G40)*sgk_isverenOran,MAX(0,MIN(sgk_yuvarMax,IFERROR(N(G12),0)))),0)</f>
        <v/>
      </c>
    </row>
    <row r="43">
      <c r="A43" s="46" t="n">
        <v>37</v>
      </c>
      <c r="B43" s="24" t="inlineStr">
        <is>
          <t>Kötümser potansiyel</t>
        </is>
      </c>
      <c r="C43" s="50">
        <f>IFERROR(ROUND(MIN(G15,G41)*G8+MIN(G16,G41)*G9+MIN(G17,G41)*G11+MIN(G18,G41)*sgk_isverenOran,MAX(0,MIN(sgk_yuvarMax,IFERROR(N(G12),0)))),0)</f>
        <v/>
      </c>
      <c r="D43" s="48" t="inlineStr">
        <is>
          <t>TL</t>
        </is>
      </c>
      <c r="E43" s="6" t="inlineStr">
        <is>
          <t>Kötümser birikim</t>
        </is>
      </c>
      <c r="F43" s="23" t="inlineStr">
        <is>
          <t>SGK-001</t>
        </is>
      </c>
      <c r="G43" s="26">
        <f>IFERROR(ROUND(MIN(G15,G41)*G8+MIN(G16,G41)*G9+MIN(G17,G41)*G11+MIN(G18,G41)*sgk_isverenOran,MAX(0,MIN(sgk_yuvarMax,IFERROR(N(G12),0)))),0)</f>
        <v/>
      </c>
    </row>
    <row r="44">
      <c r="A44" s="46" t="n">
        <v>38</v>
      </c>
      <c r="B44" s="24" t="inlineStr">
        <is>
          <t>Kural+1 puan 5 puan</t>
        </is>
      </c>
      <c r="C44" s="50">
        <f>IFERROR(ROUND(MIN(G15,G21)*(G8+sgk_oranArtisPuan),MAX(0,MIN(sgk_yuvarMax,IFERROR(N(G12),0)))),0)</f>
        <v/>
      </c>
      <c r="D44" s="48" t="inlineStr">
        <is>
          <t>TL</t>
        </is>
      </c>
      <c r="E44" s="6" t="inlineStr">
        <is>
          <t>M-SEN +1 puan</t>
        </is>
      </c>
      <c r="F44" s="23" t="inlineStr">
        <is>
          <t>SGK-001</t>
        </is>
      </c>
      <c r="G44" s="26">
        <f>IFERROR(ROUND(MIN(G15,G21)*(G8+sgk_oranArtisPuan),MAX(0,MIN(sgk_yuvarMax,IFERROR(N(G12),0)))),0)</f>
        <v/>
      </c>
    </row>
    <row r="45">
      <c r="A45" s="46" t="n">
        <v>39</v>
      </c>
      <c r="B45" s="24" t="inlineStr">
        <is>
          <t>M-SEN potansiyel</t>
        </is>
      </c>
      <c r="C45" s="50">
        <f>IFERROR(G44+G23+G24+G25,0)</f>
        <v/>
      </c>
      <c r="D45" s="48" t="inlineStr">
        <is>
          <t>TL</t>
        </is>
      </c>
      <c r="E45" s="6" t="inlineStr">
        <is>
          <t>Kural değişimi toplam</t>
        </is>
      </c>
      <c r="F45" s="23" t="inlineStr">
        <is>
          <t>SGK-001</t>
        </is>
      </c>
      <c r="G45" s="26">
        <f>IFERROR(G44+G23+G24+G25,0)</f>
        <v/>
      </c>
    </row>
    <row r="46">
      <c r="A46" s="46" t="n">
        <v>40</v>
      </c>
      <c r="B46" s="24" t="inlineStr">
        <is>
          <t>M-SEN kaçırılan</t>
        </is>
      </c>
      <c r="C46" s="50">
        <f>IFERROR(MAX(0,G45-G19),0)</f>
        <v/>
      </c>
      <c r="D46" s="48" t="inlineStr">
        <is>
          <t>TL</t>
        </is>
      </c>
      <c r="E46" s="6" t="inlineStr">
        <is>
          <t>M-SEN farkı</t>
        </is>
      </c>
      <c r="F46" s="23" t="inlineStr">
        <is>
          <t>SGK-005</t>
        </is>
      </c>
      <c r="G46" s="26">
        <f>IFERROR(MAX(0,G45-G19),0)</f>
        <v/>
      </c>
    </row>
    <row r="47">
      <c r="A47" s="46" t="n">
        <v>41</v>
      </c>
      <c r="B47" s="24" t="inlineStr">
        <is>
          <t>Tahmin üst</t>
        </is>
      </c>
      <c r="C47" s="50">
        <f>IFERROR(G30*sgk_tahminUst,0)</f>
        <v/>
      </c>
      <c r="D47" s="48" t="inlineStr">
        <is>
          <t>TL</t>
        </is>
      </c>
      <c r="E47" s="6" t="inlineStr">
        <is>
          <t>Tahmin üst bant</t>
        </is>
      </c>
      <c r="F47" s="23" t="inlineStr">
        <is>
          <t>SGK-005</t>
        </is>
      </c>
      <c r="G47" s="26">
        <f>IFERROR(G30*sgk_tahminUst,0)</f>
        <v/>
      </c>
    </row>
    <row r="48">
      <c r="A48" s="46" t="n">
        <v>42</v>
      </c>
      <c r="B48" s="24" t="inlineStr">
        <is>
          <t>Tahmin alt</t>
        </is>
      </c>
      <c r="C48" s="50">
        <f>IFERROR(G30*sgk_tahminAlt,0)</f>
        <v/>
      </c>
      <c r="D48" s="48" t="inlineStr">
        <is>
          <t>TL</t>
        </is>
      </c>
      <c r="E48" s="6" t="inlineStr">
        <is>
          <t>Tahmin alt bant</t>
        </is>
      </c>
      <c r="F48" s="23" t="inlineStr">
        <is>
          <t>SGK-005</t>
        </is>
      </c>
      <c r="G48" s="26">
        <f>IFERROR(G30*sgk_tahminAlt,0)</f>
        <v/>
      </c>
    </row>
    <row r="49">
      <c r="A49" s="46" t="n">
        <v>43</v>
      </c>
      <c r="B49" s="24" t="inlineStr">
        <is>
          <t>Tornado: matrah etkisi</t>
        </is>
      </c>
      <c r="C49" s="50">
        <f>IFERROR(ABS(ROUND(MIN(G15,G21*sgk_tornadoMatrah)*G8+MIN(G16,G21*sgk_tornadoMatrah)*G9+MIN(G17,G21*sgk_tornadoMatrah)*G11+MIN(G18,G21*sgk_tornadoMatrah)*sgk_isverenOran,MAX(0,MIN(sgk_yuvarMax,IFERROR(N(G12),0))))-G28),0)</f>
        <v/>
      </c>
      <c r="D49" s="48" t="inlineStr">
        <is>
          <t>TL</t>
        </is>
      </c>
      <c r="E49" s="6" t="inlineStr">
        <is>
          <t>Matrah ± etki</t>
        </is>
      </c>
      <c r="F49" s="23" t="inlineStr">
        <is>
          <t>SGK-003</t>
        </is>
      </c>
      <c r="G49" s="26">
        <f>IFERROR(ABS(ROUND(MIN(G15,G21*sgk_tornadoMatrah)*G8+MIN(G16,G21*sgk_tornadoMatrah)*G9+MIN(G17,G21*sgk_tornadoMatrah)*G11+MIN(G18,G21*sgk_tornadoMatrah)*sgk_isverenOran,MAX(0,MIN(sgk_yuvarMax,IFERROR(N(G12),0))))-G28),0)</f>
        <v/>
      </c>
    </row>
    <row r="50">
      <c r="A50" s="46" t="n">
        <v>44</v>
      </c>
      <c r="B50" s="24" t="inlineStr">
        <is>
          <t>Tornado: mevcut etkisi</t>
        </is>
      </c>
      <c r="C50" s="50">
        <f>IFERROR(ABS(MAX(0,G28-G19*sgk_tornadoMevcut)-G30),0)</f>
        <v/>
      </c>
      <c r="D50" s="48" t="inlineStr">
        <is>
          <t>TL</t>
        </is>
      </c>
      <c r="E50" s="6" t="inlineStr">
        <is>
          <t>Mevcut ± etki</t>
        </is>
      </c>
      <c r="F50" s="23" t="inlineStr">
        <is>
          <t>SGK-005</t>
        </is>
      </c>
      <c r="G50" s="26">
        <f>IFERROR(ABS(MAX(0,G28-G19*sgk_tornadoMevcut)-G30),0)</f>
        <v/>
      </c>
    </row>
    <row r="51">
      <c r="A51" s="46" t="n">
        <v>45</v>
      </c>
      <c r="B51" s="24" t="inlineStr">
        <is>
          <t>Tornado: oran etkisi</t>
        </is>
      </c>
      <c r="C51" s="50">
        <f>IFERROR(ABS(ROUND(MIN(G15,G21)*(G8+sgk_oranArtisPuan)+G23+G24+G25,MAX(0,MIN(sgk_yuvarMax,IFERROR(N(G12),0))))-G28),0)</f>
        <v/>
      </c>
      <c r="D51" s="48" t="inlineStr">
        <is>
          <t>TL</t>
        </is>
      </c>
      <c r="E51" s="6" t="inlineStr">
        <is>
          <t>Oran ± etki</t>
        </is>
      </c>
      <c r="F51" s="23" t="inlineStr">
        <is>
          <t>SGK-001</t>
        </is>
      </c>
      <c r="G51" s="26">
        <f>IFERROR(ABS(ROUND(MIN(G15,G21)*(G8+sgk_oranArtisPuan)+G23+G24+G25,MAX(0,MIN(sgk_yuvarMax,IFERROR(N(G12),0))))-G28),0)</f>
        <v/>
      </c>
    </row>
    <row r="52">
      <c r="A52" s="46" t="n">
        <v>46</v>
      </c>
      <c r="B52" s="24" t="inlineStr">
        <is>
          <t>Madde atıf özeti</t>
        </is>
      </c>
      <c r="C52" s="21">
        <f>IFERROR(_xlfn.TEXTJOIN(" | ",TRUE,"SGK-001→5510 md.81","SGK-002→4447 geç.10","SGK-003→prim tavanı"),"")</f>
        <v/>
      </c>
      <c r="D52" s="48" t="inlineStr">
        <is>
          <t>metin</t>
        </is>
      </c>
      <c r="E52" s="6" t="inlineStr">
        <is>
          <t>Kanıt atıfları</t>
        </is>
      </c>
      <c r="F52" s="23" t="inlineStr">
        <is>
          <t>SGK-001</t>
        </is>
      </c>
      <c r="G52" s="27">
        <f>IFERROR(_xlfn.TEXTJOIN(" | ",TRUE,"SGK-001→5510 md.81","SGK-002→4447 geç.10","SGK-003→prim tavanı"),"")</f>
        <v/>
      </c>
    </row>
    <row r="53">
      <c r="A53" s="46" t="n">
        <v>47</v>
      </c>
      <c r="B53" s="24" t="inlineStr">
        <is>
          <t>Kanıt satır özeti</t>
        </is>
      </c>
      <c r="C53" s="21">
        <f>IFERROR(_xlfn.TEXTJOIN(" · ",TRUE,"Matrah=",TEXT(G21,"₺ #,##0"),"Potansiyel=",TEXT(G28,"₺ #,##0"),"Kaçırılan=",TEXT(G30,"₺ #,##0")),"")</f>
        <v/>
      </c>
      <c r="D53" s="48" t="inlineStr">
        <is>
          <t>metin</t>
        </is>
      </c>
      <c r="E53" s="6" t="inlineStr">
        <is>
          <t>Rapor özeti</t>
        </is>
      </c>
      <c r="F53" s="23" t="inlineStr">
        <is>
          <t>SGK-005</t>
        </is>
      </c>
      <c r="G53" s="27">
        <f>IFERROR(_xlfn.TEXTJOIN(" · ",TRUE,"Matrah=",TEXT(G21,"₺ #,##0"),"Potansiyel=",TEXT(G28,"₺ #,##0"),"Kaçırılan=",TEXT(G30,"₺ #,##0")),"")</f>
        <v/>
      </c>
    </row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6">
      <formula>F7="SGK-001"</formula>
    </cfRule>
    <cfRule type="expression" priority="3" dxfId="3">
      <formula>F7="SGK-005"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SGK Prim Teşvikleri Optimizasyon Motoru</t>
        </is>
      </c>
    </row>
    <row r="3">
      <c r="A3" s="9" t="inlineStr">
        <is>
          <t>Senaryo ve duyarlılık</t>
        </is>
      </c>
    </row>
    <row r="5">
      <c r="A5" s="51" t="inlineStr">
        <is>
          <t>Senaryo</t>
        </is>
      </c>
      <c r="B5" s="51" t="inlineStr">
        <is>
          <t>Matrah Çarpanı</t>
        </is>
      </c>
      <c r="C5" s="51" t="inlineStr">
        <is>
          <t>Potansiyel</t>
        </is>
      </c>
      <c r="D5" s="51" t="inlineStr">
        <is>
          <t>Kaçırılan</t>
        </is>
      </c>
      <c r="E5" s="51" t="inlineStr">
        <is>
          <t>Karar</t>
        </is>
      </c>
      <c r="G5" s="51" t="inlineStr">
        <is>
          <t>KacirilanDemo</t>
        </is>
      </c>
    </row>
    <row r="6">
      <c r="A6" s="7" t="inlineStr">
        <is>
          <t>İyimser</t>
        </is>
      </c>
      <c r="B6" s="25">
        <f>IFERROR(sgk_senaryoIyi+N(GIRDI!B9)*0,0)</f>
        <v/>
      </c>
      <c r="C6" s="26">
        <f>IFERROR(ROUND((IFERROR(sgk_potansiyelTasarruf,0))*B6,2),0)</f>
        <v/>
      </c>
      <c r="D6" s="26">
        <f>IFERROR(MAX(0,C6-(IFERROR(sgk_mevcutTesvik,0))),0)</f>
        <v/>
      </c>
      <c r="E6" s="27">
        <f>IF(COUNTA(tblGirdi[Alan Anahtarı])=0,"VERİ YOK",IF(D6=0,"UYGUN","FIRSAT"))</f>
        <v/>
      </c>
      <c r="G6" s="29" t="n">
        <v>18800</v>
      </c>
    </row>
    <row r="7">
      <c r="A7" s="7" t="inlineStr">
        <is>
          <t>Baz</t>
        </is>
      </c>
      <c r="B7" s="25">
        <f>IFERROR(1+N(GIRDI!B9)*0,1)</f>
        <v/>
      </c>
      <c r="C7" s="26">
        <f>IFERROR(ROUND((IFERROR(sgk_potansiyelTasarruf,0))*B7,2),0)</f>
        <v/>
      </c>
      <c r="D7" s="26">
        <f>IFERROR(MAX(0,C7-(IFERROR(sgk_mevcutTesvik,0))),0)</f>
        <v/>
      </c>
      <c r="E7" s="27">
        <f>IF(COUNTA(tblGirdi[Alan Anahtarı])=0,"VERİ YOK",IF(D7=0,"UYGUN","FIRSAT"))</f>
        <v/>
      </c>
      <c r="G7" s="29" t="n">
        <v>22000</v>
      </c>
    </row>
    <row r="8">
      <c r="A8" s="7" t="inlineStr">
        <is>
          <t>Kötümser</t>
        </is>
      </c>
      <c r="B8" s="25">
        <f>IFERROR(sgk_senaryoKotu+N(GIRDI!B9)*0,0)</f>
        <v/>
      </c>
      <c r="C8" s="26">
        <f>IFERROR(ROUND((IFERROR(sgk_potansiyelTasarruf,0))*B8,2),0)</f>
        <v/>
      </c>
      <c r="D8" s="26">
        <f>IFERROR(MAX(0,C8-(IFERROR(sgk_mevcutTesvik,0))),0)</f>
        <v/>
      </c>
      <c r="E8" s="27">
        <f>IF(COUNTA(tblGirdi[Alan Anahtarı])=0,"VERİ YOK",IF(D8=0,"UYGUN","FIRSAT"))</f>
        <v/>
      </c>
      <c r="G8" s="29" t="n">
        <v>26400</v>
      </c>
    </row>
    <row r="9">
      <c r="A9" s="7" t="inlineStr">
        <is>
          <t>M-SEN +1 puan</t>
        </is>
      </c>
      <c r="B9" s="25">
        <f>IFERROR(1+N(GIRDI!B9)*0,1)</f>
        <v/>
      </c>
      <c r="C9" s="26">
        <f>IFERROR(MOTOR!G45,0)</f>
        <v/>
      </c>
      <c r="D9" s="26">
        <f>IFERROR(MOTOR!G46,0)</f>
        <v/>
      </c>
      <c r="E9" s="27">
        <f>IF(COUNTA(tblGirdi[Alan Anahtarı])=0,"VERİ YOK",IF(D9=0,"UYGUN","FIRSAT"))</f>
        <v/>
      </c>
      <c r="G9" s="29" t="n">
        <v>23500</v>
      </c>
    </row>
    <row r="11">
      <c r="A11" s="10" t="inlineStr">
        <is>
          <t>Senaryo bant genişliği (iyimser−kötümser kaçırılan)</t>
        </is>
      </c>
      <c r="B11" s="26">
        <f>IFERROR(D6-D8,0)</f>
        <v/>
      </c>
    </row>
    <row r="12">
      <c r="A12" s="10" t="inlineStr">
        <is>
          <t>Senaryo yorumu</t>
        </is>
      </c>
      <c r="B12" s="21">
        <f>IFERROR(_xlfn.TEXTJOIN("; ",TRUE,"İyimser kaçırılan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1" t="inlineStr">
        <is>
          <t>Değişken</t>
        </is>
      </c>
      <c r="B15" s="51" t="inlineStr">
        <is>
          <t>Etki [₺]</t>
        </is>
      </c>
      <c r="C15" s="51" t="inlineStr">
        <is>
          <t>Sıra</t>
        </is>
      </c>
      <c r="E15" s="51" t="inlineStr">
        <is>
          <t>EtkiDemo</t>
        </is>
      </c>
    </row>
    <row r="16">
      <c r="A16" s="7" t="inlineStr">
        <is>
          <t>Tornado matrah etkisi</t>
        </is>
      </c>
      <c r="B16" s="26">
        <f>IFERROR(MOTOR!G49,0)</f>
        <v/>
      </c>
      <c r="C16" s="35">
        <f>IFERROR(IF(B16&gt;=MAX(B16:B18),1,IF(B16&gt;=MIN(B16:B18)+ABS(B16-B17),2,3)),3)</f>
        <v/>
      </c>
      <c r="E16" s="29" t="n">
        <v>1600</v>
      </c>
    </row>
    <row r="17">
      <c r="A17" s="7" t="inlineStr">
        <is>
          <t>Tornado mevcut etkisi</t>
        </is>
      </c>
      <c r="B17" s="26">
        <f>IFERROR(MOTOR!G50,0)</f>
        <v/>
      </c>
      <c r="C17" s="35">
        <f>IFERROR(IF(B17&gt;=MAX(B16:B18),1,IF(B17=MEDIAN(B16:B18),2,3)),3)</f>
        <v/>
      </c>
      <c r="E17" s="29" t="n">
        <v>1100</v>
      </c>
    </row>
    <row r="18">
      <c r="A18" s="7" t="inlineStr">
        <is>
          <t>Tornado oran etkisi</t>
        </is>
      </c>
      <c r="B18" s="26">
        <f>IFERROR(MOTOR!G51,0)</f>
        <v/>
      </c>
      <c r="C18" s="35">
        <f>IFERROR(IF(B18&gt;=MAX(B16:B18),1,IF(B18=MEDIAN(B16:B18),2,3)),3)</f>
        <v/>
      </c>
      <c r="E18" s="29" t="n">
        <v>1500</v>
      </c>
    </row>
    <row r="19">
      <c r="A19" s="10" t="inlineStr">
        <is>
          <t>Duyarlılık sıra özeti</t>
        </is>
      </c>
      <c r="B19" s="27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kaçırılan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",TRUE,"5 puan oranı +1 puan senaryosunda kaçırılan ",TEXT(D9,"₺ #,##0")," TL")</f>
        <v/>
      </c>
    </row>
    <row r="25">
      <c r="A25" s="10" t="inlineStr">
        <is>
          <t>Tahmin aralığı (kaçırılan)</t>
        </is>
      </c>
      <c r="B25" s="26">
        <f>MOTOR!G48</f>
        <v/>
      </c>
      <c r="C25" s="26">
        <f>sgk_kacirilan</f>
        <v/>
      </c>
      <c r="D25" s="26">
        <f>MOTOR!G47</f>
        <v/>
      </c>
    </row>
    <row r="26">
      <c r="A26" s="10" t="inlineStr">
        <is>
          <t>Tahmin (FORECAST)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2" t="n">
        <v>1</v>
      </c>
      <c r="B28" s="26">
        <f>D6</f>
        <v/>
      </c>
      <c r="D28" s="29" t="n">
        <v>18800</v>
      </c>
    </row>
    <row r="29">
      <c r="A29" s="52" t="n">
        <v>2</v>
      </c>
      <c r="B29" s="26">
        <f>D7</f>
        <v/>
      </c>
      <c r="D29" s="29" t="n">
        <v>22000</v>
      </c>
    </row>
    <row r="30">
      <c r="A30" s="52" t="n">
        <v>3</v>
      </c>
      <c r="B30" s="26">
        <f>D8</f>
        <v/>
      </c>
      <c r="D30" s="29" t="n">
        <v>26400</v>
      </c>
    </row>
    <row r="31">
      <c r="A31" s="52" t="n">
        <v>4</v>
      </c>
      <c r="B31" s="26">
        <f>D9</f>
        <v/>
      </c>
      <c r="D31" s="29" t="n">
        <v>23500</v>
      </c>
    </row>
    <row r="32">
      <c r="A32" s="7" t="inlineStr">
        <is>
          <t>Tahmin sonraki</t>
        </is>
      </c>
      <c r="B32" s="26">
        <f>IFERROR(FORECAST.LINEAR(5,B28:B31,A28:A31),0)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ISNUMBER(SEARCH("FIRSAT",E6))</formula>
    </cfRule>
  </conditionalFormatting>
  <conditionalFormatting sqref="B16:B18">
    <cfRule type="cellIs" priority="4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SGK Prim Teşvikleri Optimizasyon Motoru</t>
        </is>
      </c>
    </row>
    <row r="3">
      <c r="A3" s="42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1" t="inlineStr">
        <is>
          <t>BeklenenDemo</t>
        </is>
      </c>
      <c r="K5" s="51" t="inlineStr">
        <is>
          <t>HesapDemo</t>
        </is>
      </c>
    </row>
    <row r="6">
      <c r="A6" s="7" t="inlineStr">
        <is>
          <t>V-001</t>
        </is>
      </c>
      <c r="B6" s="7" t="inlineStr">
        <is>
          <t>Tebliğ örnek 1 — 5 puan</t>
        </is>
      </c>
      <c r="C6" s="7" t="inlineStr">
        <is>
          <t>bes_puan_matrah=vaka_matrah_1</t>
        </is>
      </c>
      <c r="D6" s="53" t="n">
        <v>15000</v>
      </c>
      <c r="E6" s="26">
        <f>IFERROR(ROUND(vaka_matrah_1*INDEX(tblKurallar[deger_2025],MATCH("SGK-001",tblKurallar[kural_id],0)),2),0)</f>
        <v/>
      </c>
      <c r="F6" s="54">
        <f>IF($A6="","",IFERROR($D6-$E6,0))</f>
        <v/>
      </c>
      <c r="G6" s="55">
        <f>IF($A6="","",IFERROR(IF(ABS($F6)&lt;=sgk_tolerans,"TUTARLI","KIRIK"),"KIRIK"))</f>
        <v/>
      </c>
      <c r="H6" s="7" t="inlineStr">
        <is>
          <t>5510 md.81 örnek</t>
        </is>
      </c>
      <c r="J6" s="29" t="n">
        <v>15000</v>
      </c>
      <c r="K6" s="29" t="n">
        <v>15000</v>
      </c>
    </row>
    <row r="7">
      <c r="A7" s="7" t="inlineStr">
        <is>
          <t>V-002</t>
        </is>
      </c>
      <c r="B7" s="7" t="inlineStr">
        <is>
          <t>Tebliğ örnek 2 — ilave istihdam</t>
        </is>
      </c>
      <c r="C7" s="7" t="inlineStr">
        <is>
          <t>ilave_matrah=vaka_matrah_2</t>
        </is>
      </c>
      <c r="D7" s="53" t="n">
        <v>14500</v>
      </c>
      <c r="E7" s="26">
        <f>IFERROR(ROUND(vaka_matrah_2*INDEX(tblKurallar[deger_2025],MATCH("SGK-002",tblKurallar[kural_id],0)),2),0)</f>
        <v/>
      </c>
      <c r="F7" s="54">
        <f>IF($A7="","",IFERROR($D7-$E7,0))</f>
        <v/>
      </c>
      <c r="G7" s="55">
        <f>IF($A7="","",IFERROR(IF(ABS($F7)&lt;=sgk_tolerans,"TUTARLI","KIRIK"),"KIRIK"))</f>
        <v/>
      </c>
      <c r="H7" s="7" t="inlineStr">
        <is>
          <t>4447 geç.10 örnek</t>
        </is>
      </c>
      <c r="J7" s="29" t="n">
        <v>14500</v>
      </c>
      <c r="K7" s="29" t="n">
        <v>14500</v>
      </c>
    </row>
    <row r="8">
      <c r="A8" s="7" t="inlineStr">
        <is>
          <t>V-003</t>
        </is>
      </c>
      <c r="B8" s="7" t="inlineStr">
        <is>
          <t>Tebliğ örnek 3 — birikimli A</t>
        </is>
      </c>
      <c r="C8" s="7" t="inlineStr">
        <is>
          <t>5 puan + ilave</t>
        </is>
      </c>
      <c r="D8" s="53" t="n">
        <v>29500</v>
      </c>
      <c r="E8" s="26">
        <f>IFERROR(ROUND(vaka_matrah_1*INDEX(tblKurallar[deger_2025],MATCH("SGK-001",tblKurallar[kural_id],0))+vaka_matrah_2*INDEX(tblKurallar[deger_2025],MATCH("SGK-002",tblKurallar[kural_id],0)),2),0)</f>
        <v/>
      </c>
      <c r="F8" s="54">
        <f>IF($A8="","",IFERROR($D8-$E8,0))</f>
        <v/>
      </c>
      <c r="G8" s="55">
        <f>IF($A8="","",IFERROR(IF(ABS($F8)&lt;=sgk_tolerans,"TUTARLI","KIRIK"),"KIRIK"))</f>
        <v/>
      </c>
      <c r="H8" s="7" t="inlineStr">
        <is>
          <t>Birikim yorum A</t>
        </is>
      </c>
      <c r="J8" s="29" t="n">
        <v>29500</v>
      </c>
      <c r="K8" s="29" t="n">
        <v>29500</v>
      </c>
    </row>
    <row r="9">
      <c r="A9" s="7" t="inlineStr">
        <is>
          <t>V-004</t>
        </is>
      </c>
      <c r="B9" s="7" t="inlineStr">
        <is>
          <t>Tavan × 5 puan kontrol</t>
        </is>
      </c>
      <c r="C9" s="7" t="inlineStr">
        <is>
          <t>tavan=vaka_tavan; oran SGK-001</t>
        </is>
      </c>
      <c r="D9" s="53" t="n">
        <v>7500</v>
      </c>
      <c r="E9" s="26">
        <f>IFERROR(ROUND(vaka_tavan*INDEX(tblKurallar[deger_2025],MATCH("SGK-001",tblKurallar[kural_id],0)),2),0)</f>
        <v/>
      </c>
      <c r="F9" s="54">
        <f>IF($A9="","",IFERROR($D9-$E9,0))</f>
        <v/>
      </c>
      <c r="G9" s="55">
        <f>IF($A9="","",IFERROR(IF(ABS($F9)&lt;=sgk_tolerans,"TUTARLI","KIRIK"),"KIRIK"))</f>
        <v/>
      </c>
      <c r="H9" s="7" t="inlineStr">
        <is>
          <t>SGK-003 tavan kontrol</t>
        </is>
      </c>
      <c r="J9" s="29" t="n">
        <v>7500</v>
      </c>
      <c r="K9" s="29" t="n">
        <v>7500</v>
      </c>
    </row>
    <row r="12">
      <c r="A12" s="10" t="inlineStr">
        <is>
          <t>Vaka durum özeti</t>
        </is>
      </c>
      <c r="B12" s="56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SGK Prim Teşvikleri Optimizasyon Motoru</t>
        </is>
      </c>
    </row>
    <row r="3">
      <c r="A3" s="57" t="inlineStr">
        <is>
          <t>KANIT RAPORU — SGK Prim Teşvikleri</t>
        </is>
      </c>
    </row>
    <row r="4">
      <c r="A4" s="7" t="inlineStr">
        <is>
          <t>Rapor tarihi</t>
        </is>
      </c>
      <c r="B4" s="58">
        <f>raporTarihi</f>
        <v/>
      </c>
    </row>
    <row r="5">
      <c r="A5" s="7" t="inlineStr">
        <is>
          <t>İşveren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Aylık brüt matrah</t>
        </is>
      </c>
      <c r="B9" s="26">
        <f>GIRDI!B9</f>
        <v/>
      </c>
    </row>
    <row r="10">
      <c r="A10" s="7" t="inlineStr">
        <is>
          <t>Çalışan sayısı</t>
        </is>
      </c>
      <c r="B10" s="35">
        <f>GIRDI!B10</f>
        <v/>
      </c>
    </row>
    <row r="11">
      <c r="A11" s="7" t="inlineStr">
        <is>
          <t>5 puan kapsam</t>
        </is>
      </c>
      <c r="B11" s="26">
        <f>GIRDI!B11</f>
        <v/>
      </c>
    </row>
    <row r="12">
      <c r="A12" s="7" t="inlineStr">
        <is>
          <t>İlave istihdam</t>
        </is>
      </c>
      <c r="B12" s="26">
        <f>GIRDI!B12</f>
        <v/>
      </c>
    </row>
    <row r="13">
      <c r="A13" s="7" t="inlineStr">
        <is>
          <t>Kadın/genç</t>
        </is>
      </c>
      <c r="B13" s="26">
        <f>GIRDI!B13</f>
        <v/>
      </c>
    </row>
    <row r="14">
      <c r="A14" s="7" t="inlineStr">
        <is>
          <t>Engelli</t>
        </is>
      </c>
      <c r="B14" s="26">
        <f>GIRDI!B14</f>
        <v/>
      </c>
    </row>
    <row r="15">
      <c r="A15" s="7" t="inlineStr">
        <is>
          <t>Mevcut teşvik</t>
        </is>
      </c>
      <c r="B15" s="26">
        <f>sgk_mevcutTesvik</f>
        <v/>
      </c>
    </row>
    <row r="17">
      <c r="A17" s="5" t="inlineStr">
        <is>
          <t>Hesap zinciri</t>
        </is>
      </c>
    </row>
    <row r="18">
      <c r="A18" s="7" t="inlineStr">
        <is>
          <t>Potansiyel tasarruf</t>
        </is>
      </c>
      <c r="B18" s="34">
        <f>sgk_potansiyelTasarruf</f>
        <v/>
      </c>
    </row>
    <row r="19">
      <c r="A19" s="7" t="inlineStr">
        <is>
          <t>Kaçırılan</t>
        </is>
      </c>
      <c r="B19" s="34">
        <f>sgk_kacirilan</f>
        <v/>
      </c>
    </row>
    <row r="20">
      <c r="A20" s="10" t="inlineStr">
        <is>
          <t>KARAR</t>
        </is>
      </c>
      <c r="B20" s="59">
        <f>sgk_kararMetni</f>
        <v/>
      </c>
    </row>
    <row r="21">
      <c r="A21" s="7" t="inlineStr">
        <is>
          <t>Gerekçe</t>
        </is>
      </c>
      <c r="B21" s="21">
        <f>sgk_kararGerekce</f>
        <v/>
      </c>
    </row>
    <row r="23">
      <c r="A23" s="10" t="inlineStr">
        <is>
          <t>Madde atıfları</t>
        </is>
      </c>
      <c r="B23" s="21">
        <f>sgk_maddeAtifMetni</f>
        <v/>
      </c>
    </row>
    <row r="25">
      <c r="A25" s="10" t="inlineStr">
        <is>
          <t>Kanıt gövdesi</t>
        </is>
      </c>
      <c r="B25" s="21">
        <f>sgk_kanitRaporu</f>
        <v/>
      </c>
    </row>
    <row r="27">
      <c r="A27" s="7" t="inlineStr">
        <is>
          <t>Parmak izi (SHA-256 kısaltma)</t>
        </is>
      </c>
      <c r="B27" s="28">
        <f>sgk_parmakIzi</f>
        <v/>
      </c>
    </row>
    <row r="29">
      <c r="A29" s="7" t="inlineStr">
        <is>
          <t>Hazırlayan (imza)</t>
        </is>
      </c>
      <c r="B29" s="60" t="inlineStr"/>
    </row>
    <row r="30">
      <c r="A30" s="7" t="inlineStr">
        <is>
          <t>Onaylayan (imza)</t>
        </is>
      </c>
      <c r="B30" s="60" t="inlineStr"/>
    </row>
    <row r="32">
      <c r="A32" s="13" t="inlineStr">
        <is>
          <t>Uyarı: Bu çıktı karar destektir; kesin SGK tahakkuku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1:F21"/>
    <mergeCell ref="B25:F25"/>
    <mergeCell ref="A1:L1"/>
    <mergeCell ref="A32:F32"/>
    <mergeCell ref="B23:F23"/>
    <mergeCell ref="A3:F3"/>
  </mergeCells>
  <conditionalFormatting sqref="B20">
    <cfRule type="expression" priority="1" dxfId="0">
      <formula>ISNUMBER(SEARCH("UYGUN",B20))</formula>
    </cfRule>
    <cfRule type="expression" priority="2" dxfId="1">
      <formula>ISNUMBER(SEARCH("DİKKAT",B20))</formula>
    </cfRule>
  </conditionalFormatting>
  <conditionalFormatting sqref="B19">
    <cfRule type="cellIs" priority="3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&amp;LSGK Prim Teşvikleri Optimizasyon Motoru · 1.0.0&amp;CExcelArşiv&amp;RSayfa &amp;P / &amp;N</oddFooter>
    <evenHeader/>
    <evenFooter>&amp;LSGK Prim Teşvikleri Optimizasyon Motoru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SGK Prim Teşvikleri Optimizasyon Motoru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brüt matrah?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IFERROR(IF(AND(N(hesapYili)&gt;N(sgk_yilTaban),N(hesapYili)&lt;=N(sgk_yilTaban)+3),"TEMİZ","HATALI"),"HATALI")</f>
        <v/>
      </c>
    </row>
    <row r="8">
      <c r="A8" s="7" t="inlineStr">
        <is>
          <t>Matrah sıfır mı?</t>
        </is>
      </c>
      <c r="B8" s="27">
        <f>IF(IFERROR(MOTOR!G21,0)=0,"SIFIR","NORMAL")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Kaçırılan eşiği aşıyor mu?</t>
        </is>
      </c>
      <c r="B10" s="27">
        <f>IF(IFERROR(sgk_kacirilan,0)&gt;sgk_kacirilanEsik,"AŞIYOR","NORMAL")</f>
        <v/>
      </c>
    </row>
    <row r="11">
      <c r="A11" s="7" t="inlineStr">
        <is>
          <t>Yorum A/B seçili mi?</t>
        </is>
      </c>
      <c r="B11" s="27">
        <f>IF(OR(GIRDI!B16="A",GIRDI!B16="B"),"TEMİZ","EKSİK")</f>
        <v/>
      </c>
    </row>
    <row r="12">
      <c r="A12" s="10" t="inlineStr">
        <is>
          <t>Kalite skoru (modül)</t>
        </is>
      </c>
      <c r="B12" s="61">
        <f>IFERROR(ROUND(IF(OR(B14=0,B14=""),0,B15/B14*100),0),0)</f>
        <v/>
      </c>
    </row>
    <row r="14">
      <c r="A14" s="7" t="inlineStr">
        <is>
          <t>Toplam giriş alanı</t>
        </is>
      </c>
      <c r="B14" s="35">
        <f>IFERROR(sgk_girisBeklenen+COUNTA(GIRDI!B6:B16)*0,0)</f>
        <v/>
      </c>
    </row>
    <row r="15">
      <c r="A15" s="7" t="inlineStr">
        <is>
          <t>Dolu giriş</t>
        </is>
      </c>
      <c r="B15" s="35">
        <f>COUNTA(GIRDI!B6:B16)</f>
        <v/>
      </c>
    </row>
    <row r="17">
      <c r="A17" s="7" t="inlineStr">
        <is>
          <t>Potansiyel kontrol</t>
        </is>
      </c>
      <c r="B17" s="26">
        <f>IFERROR(sgk_potansiyelTasarruf,0)</f>
        <v/>
      </c>
    </row>
    <row r="18">
      <c r="A18" s="7" t="inlineStr">
        <is>
          <t>Kaçırılan kontrol</t>
        </is>
      </c>
      <c r="B18" s="26">
        <f>IFERROR(sgk_kacirilan,0)</f>
        <v/>
      </c>
    </row>
    <row r="19">
      <c r="A19" s="7" t="inlineStr">
        <is>
          <t>Karar kontrol</t>
        </is>
      </c>
      <c r="B19" s="27">
        <f>IFERROR(sgk_kararMetni,"-")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SGK Prim Teşvikleri Optimizasyon Motoru</t>
        </is>
      </c>
    </row>
    <row r="3">
      <c r="A3" s="42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Brüt Matrah</t>
        </is>
      </c>
      <c r="C5" s="22" t="inlineStr">
        <is>
          <t>5 Puan</t>
        </is>
      </c>
      <c r="D5" s="22" t="inlineStr">
        <is>
          <t>İlave</t>
        </is>
      </c>
      <c r="E5" s="22" t="inlineStr">
        <is>
          <t>Kadın/Genç</t>
        </is>
      </c>
      <c r="F5" s="22" t="inlineStr">
        <is>
          <t>Engelli</t>
        </is>
      </c>
      <c r="G5" s="22" t="inlineStr">
        <is>
          <t>Mevcut</t>
        </is>
      </c>
      <c r="H5" s="22" t="inlineStr">
        <is>
          <t>Potansiyel</t>
        </is>
      </c>
      <c r="I5" s="22" t="inlineStr">
        <is>
          <t>Kaçırılan</t>
        </is>
      </c>
      <c r="L5" s="51" t="inlineStr">
        <is>
          <t>KacirilanDemo</t>
        </is>
      </c>
    </row>
    <row r="6">
      <c r="A6" s="36" t="inlineStr">
        <is>
          <t>Demo ana</t>
        </is>
      </c>
      <c r="B6" s="39" t="n">
        <v>500000</v>
      </c>
      <c r="C6" s="39" t="n">
        <v>300000</v>
      </c>
      <c r="D6" s="39" t="n">
        <v>100000</v>
      </c>
      <c r="E6" s="39" t="n">
        <v>50000</v>
      </c>
      <c r="F6" s="39" t="n">
        <v>30000</v>
      </c>
      <c r="G6" s="39" t="n">
        <v>10000</v>
      </c>
      <c r="H6" s="37">
        <f>IF($A6="","",IFERROR(ROUND($C6*INDEX(tblKurallar[deger_2025],MATCH("SGK-001",tblKurallar[kural_id],0))+$D6*INDEX(tblKurallar[deger_2025],MATCH("SGK-002",tblKurallar[kural_id],0))+$E6*INDEX(tblKurallar[deger_2025],MATCH("SGK-004",tblKurallar[kural_id],0))+$F6*sgk_isverenOran,2),0))</f>
        <v/>
      </c>
      <c r="I6" s="37">
        <f>IF($A6="","",IFERROR(MAX(0,$H6-$G6),0))</f>
        <v/>
      </c>
      <c r="L6" s="29" t="n">
        <v>28150</v>
      </c>
    </row>
    <row r="7">
      <c r="A7" s="36" t="inlineStr">
        <is>
          <t>Yüksek mevcut</t>
        </is>
      </c>
      <c r="B7" s="39" t="n">
        <v>500000</v>
      </c>
      <c r="C7" s="39" t="n">
        <v>300000</v>
      </c>
      <c r="D7" s="39" t="n">
        <v>100000</v>
      </c>
      <c r="E7" s="39" t="n">
        <v>50000</v>
      </c>
      <c r="F7" s="39" t="n">
        <v>30000</v>
      </c>
      <c r="G7" s="39" t="n">
        <v>40000</v>
      </c>
      <c r="H7" s="37">
        <f>IF($A7="","",IFERROR(ROUND($C7*INDEX(tblKurallar[deger_2025],MATCH("SGK-001",tblKurallar[kural_id],0))+$D7*INDEX(tblKurallar[deger_2025],MATCH("SGK-002",tblKurallar[kural_id],0))+$E7*INDEX(tblKurallar[deger_2025],MATCH("SGK-004",tblKurallar[kural_id],0))+$F7*sgk_isverenOran,2),0))</f>
        <v/>
      </c>
      <c r="I7" s="37">
        <f>IF($A7="","",IFERROR(MAX(0,$H7-$G7),0))</f>
        <v/>
      </c>
      <c r="L7" s="29" t="n">
        <v>0</v>
      </c>
    </row>
    <row r="8">
      <c r="A8" s="36" t="inlineStr">
        <is>
          <t>Düşük matrah</t>
        </is>
      </c>
      <c r="B8" s="39" t="n">
        <v>200000</v>
      </c>
      <c r="C8" s="39" t="n">
        <v>120000</v>
      </c>
      <c r="D8" s="39" t="n">
        <v>40000</v>
      </c>
      <c r="E8" s="39" t="n">
        <v>20000</v>
      </c>
      <c r="F8" s="39" t="n">
        <v>10000</v>
      </c>
      <c r="G8" s="39" t="n">
        <v>5000</v>
      </c>
      <c r="H8" s="37">
        <f>IF($A8="","",IFERROR(ROUND($C8*INDEX(tblKurallar[deger_2025],MATCH("SGK-001",tblKurallar[kural_id],0))+$D8*INDEX(tblKurallar[deger_2025],MATCH("SGK-002",tblKurallar[kural_id],0))+$E8*INDEX(tblKurallar[deger_2025],MATCH("SGK-004",tblKurallar[kural_id],0))+$F8*sgk_isverenOran,2),0))</f>
        <v/>
      </c>
      <c r="I8" s="37">
        <f>IF($A8="","",IFERROR(MAX(0,$H8-$G8),0))</f>
        <v/>
      </c>
      <c r="L8" s="29" t="n">
        <v>15200</v>
      </c>
    </row>
    <row r="9">
      <c r="A9" s="36" t="inlineStr">
        <is>
          <t>Sadece 5 puan</t>
        </is>
      </c>
      <c r="B9" s="39" t="n">
        <v>400000</v>
      </c>
      <c r="C9" s="39" t="n">
        <v>400000</v>
      </c>
      <c r="D9" s="39" t="n">
        <v>0</v>
      </c>
      <c r="E9" s="39" t="n">
        <v>0</v>
      </c>
      <c r="F9" s="39" t="n">
        <v>0</v>
      </c>
      <c r="G9" s="39" t="n">
        <v>5000</v>
      </c>
      <c r="H9" s="37">
        <f>IF($A9="","",IFERROR(ROUND($C9*INDEX(tblKurallar[deger_2025],MATCH("SGK-001",tblKurallar[kural_id],0))+$D9*INDEX(tblKurallar[deger_2025],MATCH("SGK-002",tblKurallar[kural_id],0))+$E9*INDEX(tblKurallar[deger_2025],MATCH("SGK-004",tblKurallar[kural_id],0))+$F9*sgk_isverenOran,2),0))</f>
        <v/>
      </c>
      <c r="I9" s="37">
        <f>IF($A9="","",IFERROR(MAX(0,$H9-$G9),0))</f>
        <v/>
      </c>
      <c r="L9" s="29" t="n">
        <v>15000</v>
      </c>
    </row>
    <row r="10">
      <c r="A10" s="36" t="inlineStr">
        <is>
          <t>Sıfır kaçırılan</t>
        </is>
      </c>
      <c r="B10" s="39" t="n">
        <v>300000</v>
      </c>
      <c r="C10" s="39" t="n">
        <v>200000</v>
      </c>
      <c r="D10" s="39" t="n">
        <v>50000</v>
      </c>
      <c r="E10" s="39" t="n">
        <v>0</v>
      </c>
      <c r="F10" s="39" t="n">
        <v>0</v>
      </c>
      <c r="G10" s="39" t="n">
        <v>17250</v>
      </c>
      <c r="H10" s="37">
        <f>IF($A10="","",IFERROR(ROUND($C10*INDEX(tblKurallar[deger_2025],MATCH("SGK-001",tblKurallar[kural_id],0))+$D10*INDEX(tblKurallar[deger_2025],MATCH("SGK-002",tblKurallar[kural_id],0))+$E10*INDEX(tblKurallar[deger_2025],MATCH("SGK-004",tblKurallar[kural_id],0))+$F10*sgk_isverenOran,2),0))</f>
        <v/>
      </c>
      <c r="I10" s="37">
        <f>IF($A10="","",IFERROR(MAX(0,$H10-$G10),0))</f>
        <v/>
      </c>
      <c r="L10" s="29" t="n">
        <v>0</v>
      </c>
    </row>
    <row r="11">
      <c r="A11" s="36" t="n"/>
      <c r="B11" s="36" t="n"/>
      <c r="C11" s="36" t="n"/>
      <c r="D11" s="36" t="n"/>
      <c r="E11" s="36" t="n"/>
      <c r="F11" s="36" t="n"/>
      <c r="G11" s="36" t="n"/>
      <c r="H11" s="37">
        <f>IF($A11="","",IFERROR(ROUND($C11*INDEX(tblKurallar[deger_2025],MATCH("SGK-001",tblKurallar[kural_id],0))+$D11*INDEX(tblKurallar[deger_2025],MATCH("SGK-002",tblKurallar[kural_id],0))+$E11*INDEX(tblKurallar[deger_2025],MATCH("SGK-004",tblKurallar[kural_id],0))+$F11*sgk_isverenOran,2),0))</f>
        <v/>
      </c>
      <c r="I11" s="37">
        <f>IF($A11="","",IFERROR(MAX(0,$H11-$G11),0))</f>
        <v/>
      </c>
    </row>
    <row r="12">
      <c r="A12" s="36" t="n"/>
      <c r="B12" s="36" t="n"/>
      <c r="C12" s="36" t="n"/>
      <c r="D12" s="36" t="n"/>
      <c r="E12" s="36" t="n"/>
      <c r="F12" s="36" t="n"/>
      <c r="G12" s="36" t="n"/>
      <c r="H12" s="37">
        <f>IF($A12="","",IFERROR(ROUND($C12*INDEX(tblKurallar[deger_2025],MATCH("SGK-001",tblKurallar[kural_id],0))+$D12*INDEX(tblKurallar[deger_2025],MATCH("SGK-002",tblKurallar[kural_id],0))+$E12*INDEX(tblKurallar[deger_2025],MATCH("SGK-004",tblKurallar[kural_id],0))+$F12*sgk_isverenOran,2),0))</f>
        <v/>
      </c>
      <c r="I12" s="37">
        <f>IF($A12="","",IFERROR(MAX(0,$H12-$G12),0))</f>
        <v/>
      </c>
    </row>
    <row r="13">
      <c r="A13" s="36" t="n"/>
      <c r="B13" s="36" t="n"/>
      <c r="C13" s="36" t="n"/>
      <c r="D13" s="36" t="n"/>
      <c r="E13" s="36" t="n"/>
      <c r="F13" s="36" t="n"/>
      <c r="G13" s="36" t="n"/>
      <c r="H13" s="37">
        <f>IF($A13="","",IFERROR(ROUND($C13*INDEX(tblKurallar[deger_2025],MATCH("SGK-001",tblKurallar[kural_id],0))+$D13*INDEX(tblKurallar[deger_2025],MATCH("SGK-002",tblKurallar[kural_id],0))+$E13*INDEX(tblKurallar[deger_2025],MATCH("SGK-004",tblKurallar[kural_id],0))+$F13*sgk_isverenOran,2),0))</f>
        <v/>
      </c>
      <c r="I13" s="37">
        <f>IF($A13="","",IFERROR(MAX(0,$H13-$G13),0))</f>
        <v/>
      </c>
    </row>
    <row r="14">
      <c r="A14" s="36" t="n"/>
      <c r="B14" s="36" t="n"/>
      <c r="C14" s="36" t="n"/>
      <c r="D14" s="36" t="n"/>
      <c r="E14" s="36" t="n"/>
      <c r="F14" s="36" t="n"/>
      <c r="G14" s="36" t="n"/>
      <c r="H14" s="37">
        <f>IF($A14="","",IFERROR(ROUND($C14*INDEX(tblKurallar[deger_2025],MATCH("SGK-001",tblKurallar[kural_id],0))+$D14*INDEX(tblKurallar[deger_2025],MATCH("SGK-002",tblKurallar[kural_id],0))+$E14*INDEX(tblKurallar[deger_2025],MATCH("SGK-004",tblKurallar[kural_id],0))+$F14*sgk_isverenOran,2),0))</f>
        <v/>
      </c>
      <c r="I14" s="37">
        <f>IF($A14="","",IFERROR(MAX(0,$H14-$G14),0))</f>
        <v/>
      </c>
    </row>
    <row r="15">
      <c r="A15" s="36" t="n"/>
      <c r="B15" s="36" t="n"/>
      <c r="C15" s="36" t="n"/>
      <c r="D15" s="36" t="n"/>
      <c r="E15" s="36" t="n"/>
      <c r="F15" s="36" t="n"/>
      <c r="G15" s="36" t="n"/>
      <c r="H15" s="37">
        <f>IF($A15="","",IFERROR(ROUND($C15*INDEX(tblKurallar[deger_2025],MATCH("SGK-001",tblKurallar[kural_id],0))+$D15*INDEX(tblKurallar[deger_2025],MATCH("SGK-002",tblKurallar[kural_id],0))+$E15*INDEX(tblKurallar[deger_2025],MATCH("SGK-004",tblKurallar[kural_id],0))+$F15*sgk_isverenOran,2),0))</f>
        <v/>
      </c>
      <c r="I15" s="37">
        <f>IF($A15="","",IFERROR(MAX(0,$H15-$G15),0))</f>
        <v/>
      </c>
    </row>
    <row r="16">
      <c r="A16" s="36" t="n"/>
      <c r="B16" s="36" t="n"/>
      <c r="C16" s="36" t="n"/>
      <c r="D16" s="36" t="n"/>
      <c r="E16" s="36" t="n"/>
      <c r="F16" s="36" t="n"/>
      <c r="G16" s="36" t="n"/>
      <c r="H16" s="37">
        <f>IF($A16="","",IFERROR(ROUND($C16*INDEX(tblKurallar[deger_2025],MATCH("SGK-001",tblKurallar[kural_id],0))+$D16*INDEX(tblKurallar[deger_2025],MATCH("SGK-002",tblKurallar[kural_id],0))+$E16*INDEX(tblKurallar[deger_2025],MATCH("SGK-004",tblKurallar[kural_id],0))+$F16*sgk_isverenOran,2),0))</f>
        <v/>
      </c>
      <c r="I16" s="37">
        <f>IF($A16="","",IFERROR(MAX(0,$H16-$G16),0))</f>
        <v/>
      </c>
    </row>
    <row r="17">
      <c r="A17" s="36" t="n"/>
      <c r="B17" s="36" t="n"/>
      <c r="C17" s="36" t="n"/>
      <c r="D17" s="36" t="n"/>
      <c r="E17" s="36" t="n"/>
      <c r="F17" s="36" t="n"/>
      <c r="G17" s="36" t="n"/>
      <c r="H17" s="37">
        <f>IF($A17="","",IFERROR(ROUND($C17*INDEX(tblKurallar[deger_2025],MATCH("SGK-001",tblKurallar[kural_id],0))+$D17*INDEX(tblKurallar[deger_2025],MATCH("SGK-002",tblKurallar[kural_id],0))+$E17*INDEX(tblKurallar[deger_2025],MATCH("SGK-004",tblKurallar[kural_id],0))+$F17*sgk_isverenOran,2),0))</f>
        <v/>
      </c>
      <c r="I17" s="37">
        <f>IF($A17="","",IFERROR(MAX(0,$H17-$G17),0))</f>
        <v/>
      </c>
    </row>
    <row r="18">
      <c r="A18" s="36" t="n"/>
      <c r="B18" s="36" t="n"/>
      <c r="C18" s="36" t="n"/>
      <c r="D18" s="36" t="n"/>
      <c r="E18" s="36" t="n"/>
      <c r="F18" s="36" t="n"/>
      <c r="G18" s="36" t="n"/>
      <c r="H18" s="37">
        <f>IF($A18="","",IFERROR(ROUND($C18*INDEX(tblKurallar[deger_2025],MATCH("SGK-001",tblKurallar[kural_id],0))+$D18*INDEX(tblKurallar[deger_2025],MATCH("SGK-002",tblKurallar[kural_id],0))+$E18*INDEX(tblKurallar[deger_2025],MATCH("SGK-004",tblKurallar[kural_id],0))+$F18*sgk_isverenOran,2),0))</f>
        <v/>
      </c>
      <c r="I18" s="37">
        <f>IF($A18="","",IFERROR(MAX(0,$H18-$G18),0))</f>
        <v/>
      </c>
    </row>
    <row r="19">
      <c r="A19" s="36" t="n"/>
      <c r="B19" s="36" t="n"/>
      <c r="C19" s="36" t="n"/>
      <c r="D19" s="36" t="n"/>
      <c r="E19" s="36" t="n"/>
      <c r="F19" s="36" t="n"/>
      <c r="G19" s="36" t="n"/>
      <c r="H19" s="37">
        <f>IF($A19="","",IFERROR(ROUND($C19*INDEX(tblKurallar[deger_2025],MATCH("SGK-001",tblKurallar[kural_id],0))+$D19*INDEX(tblKurallar[deger_2025],MATCH("SGK-002",tblKurallar[kural_id],0))+$E19*INDEX(tblKurallar[deger_2025],MATCH("SGK-004",tblKurallar[kural_id],0))+$F19*sgk_isverenOran,2),0))</f>
        <v/>
      </c>
      <c r="I19" s="37">
        <f>IF($A19="","",IFERROR(MAX(0,$H19-$G19),0))</f>
        <v/>
      </c>
    </row>
    <row r="20">
      <c r="A20" s="36" t="n"/>
      <c r="B20" s="36" t="n"/>
      <c r="C20" s="36" t="n"/>
      <c r="D20" s="36" t="n"/>
      <c r="E20" s="36" t="n"/>
      <c r="F20" s="36" t="n"/>
      <c r="G20" s="36" t="n"/>
      <c r="H20" s="37">
        <f>IF($A20="","",IFERROR(ROUND($C20*INDEX(tblKurallar[deger_2025],MATCH("SGK-001",tblKurallar[kural_id],0))+$D20*INDEX(tblKurallar[deger_2025],MATCH("SGK-002",tblKurallar[kural_id],0))+$E20*INDEX(tblKurallar[deger_2025],MATCH("SGK-004",tblKurallar[kural_id],0))+$F20*sgk_isverenOran,2),0))</f>
        <v/>
      </c>
      <c r="I20" s="37">
        <f>IF($A20="","",IFERROR(MAX(0,$H20-$G20),0))</f>
        <v/>
      </c>
    </row>
    <row r="21">
      <c r="A21" s="36" t="n"/>
      <c r="B21" s="36" t="n"/>
      <c r="C21" s="36" t="n"/>
      <c r="D21" s="36" t="n"/>
      <c r="E21" s="36" t="n"/>
      <c r="F21" s="36" t="n"/>
      <c r="G21" s="36" t="n"/>
      <c r="H21" s="37">
        <f>IF($A21="","",IFERROR(ROUND($C21*INDEX(tblKurallar[deger_2025],MATCH("SGK-001",tblKurallar[kural_id],0))+$D21*INDEX(tblKurallar[deger_2025],MATCH("SGK-002",tblKurallar[kural_id],0))+$E21*INDEX(tblKurallar[deger_2025],MATCH("SGK-004",tblKurallar[kural_id],0))+$F21*sgk_isverenOran,2),0))</f>
        <v/>
      </c>
      <c r="I21" s="37">
        <f>IF($A21="","",IFERROR(MAX(0,$H21-$G21),0))</f>
        <v/>
      </c>
    </row>
    <row r="22">
      <c r="A22" s="36" t="n"/>
      <c r="B22" s="36" t="n"/>
      <c r="C22" s="36" t="n"/>
      <c r="D22" s="36" t="n"/>
      <c r="E22" s="36" t="n"/>
      <c r="F22" s="36" t="n"/>
      <c r="G22" s="36" t="n"/>
      <c r="H22" s="37">
        <f>IF($A22="","",IFERROR(ROUND($C22*INDEX(tblKurallar[deger_2025],MATCH("SGK-001",tblKurallar[kural_id],0))+$D22*INDEX(tblKurallar[deger_2025],MATCH("SGK-002",tblKurallar[kural_id],0))+$E22*INDEX(tblKurallar[deger_2025],MATCH("SGK-004",tblKurallar[kural_id],0))+$F22*sgk_isverenOran,2),0))</f>
        <v/>
      </c>
      <c r="I22" s="37">
        <f>IF($A22="","",IFERROR(MAX(0,$H22-$G22),0))</f>
        <v/>
      </c>
    </row>
    <row r="23">
      <c r="A23" s="36" t="n"/>
      <c r="B23" s="36" t="n"/>
      <c r="C23" s="36" t="n"/>
      <c r="D23" s="36" t="n"/>
      <c r="E23" s="36" t="n"/>
      <c r="F23" s="36" t="n"/>
      <c r="G23" s="36" t="n"/>
      <c r="H23" s="37">
        <f>IF($A23="","",IFERROR(ROUND($C23*INDEX(tblKurallar[deger_2025],MATCH("SGK-001",tblKurallar[kural_id],0))+$D23*INDEX(tblKurallar[deger_2025],MATCH("SGK-002",tblKurallar[kural_id],0))+$E23*INDEX(tblKurallar[deger_2025],MATCH("SGK-004",tblKurallar[kural_id],0))+$F23*sgk_isverenOran,2),0))</f>
        <v/>
      </c>
      <c r="I23" s="37">
        <f>IF($A23="","",IFERROR(MAX(0,$H23-$G23),0))</f>
        <v/>
      </c>
    </row>
    <row r="24">
      <c r="A24" s="36" t="n"/>
      <c r="B24" s="36" t="n"/>
      <c r="C24" s="36" t="n"/>
      <c r="D24" s="36" t="n"/>
      <c r="E24" s="36" t="n"/>
      <c r="F24" s="36" t="n"/>
      <c r="G24" s="36" t="n"/>
      <c r="H24" s="37">
        <f>IF($A24="","",IFERROR(ROUND($C24*INDEX(tblKurallar[deger_2025],MATCH("SGK-001",tblKurallar[kural_id],0))+$D24*INDEX(tblKurallar[deger_2025],MATCH("SGK-002",tblKurallar[kural_id],0))+$E24*INDEX(tblKurallar[deger_2025],MATCH("SGK-004",tblKurallar[kural_id],0))+$F24*sgk_isverenOran,2),0))</f>
        <v/>
      </c>
      <c r="I24" s="37">
        <f>IF($A24="","",IFERROR(MAX(0,$H24-$G24),0))</f>
        <v/>
      </c>
    </row>
    <row r="25">
      <c r="A25" s="36" t="n"/>
      <c r="B25" s="36" t="n"/>
      <c r="C25" s="36" t="n"/>
      <c r="D25" s="36" t="n"/>
      <c r="E25" s="36" t="n"/>
      <c r="F25" s="36" t="n"/>
      <c r="G25" s="36" t="n"/>
      <c r="H25" s="37">
        <f>IF($A25="","",IFERROR(ROUND($C25*INDEX(tblKurallar[deger_2025],MATCH("SGK-001",tblKurallar[kural_id],0))+$D25*INDEX(tblKurallar[deger_2025],MATCH("SGK-002",tblKurallar[kural_id],0))+$E25*INDEX(tblKurallar[deger_2025],MATCH("SGK-004",tblKurallar[kural_id],0))+$F25*sgk_isverenOran,2),0))</f>
        <v/>
      </c>
      <c r="I25" s="37">
        <f>IF($A25="","",IFERROR(MAX(0,$H25-$G25),0))</f>
        <v/>
      </c>
    </row>
    <row r="26">
      <c r="A26" s="36" t="n"/>
      <c r="B26" s="36" t="n"/>
      <c r="C26" s="36" t="n"/>
      <c r="D26" s="36" t="n"/>
      <c r="E26" s="36" t="n"/>
      <c r="F26" s="36" t="n"/>
      <c r="G26" s="36" t="n"/>
      <c r="H26" s="37">
        <f>IF($A26="","",IFERROR(ROUND($C26*INDEX(tblKurallar[deger_2025],MATCH("SGK-001",tblKurallar[kural_id],0))+$D26*INDEX(tblKurallar[deger_2025],MATCH("SGK-002",tblKurallar[kural_id],0))+$E26*INDEX(tblKurallar[deger_2025],MATCH("SGK-004",tblKurallar[kural_id],0))+$F26*sgk_isverenOran,2),0))</f>
        <v/>
      </c>
      <c r="I26" s="37">
        <f>IF($A26="","",IFERROR(MAX(0,$H26-$G26),0))</f>
        <v/>
      </c>
    </row>
    <row r="27">
      <c r="A27" s="36" t="n"/>
      <c r="B27" s="36" t="n"/>
      <c r="C27" s="36" t="n"/>
      <c r="D27" s="36" t="n"/>
      <c r="E27" s="36" t="n"/>
      <c r="F27" s="36" t="n"/>
      <c r="G27" s="36" t="n"/>
      <c r="H27" s="37">
        <f>IF($A27="","",IFERROR(ROUND($C27*INDEX(tblKurallar[deger_2025],MATCH("SGK-001",tblKurallar[kural_id],0))+$D27*INDEX(tblKurallar[deger_2025],MATCH("SGK-002",tblKurallar[kural_id],0))+$E27*INDEX(tblKurallar[deger_2025],MATCH("SGK-004",tblKurallar[kural_id],0))+$F27*sgk_isverenOran,2),0))</f>
        <v/>
      </c>
      <c r="I27" s="37">
        <f>IF($A27="","",IFERROR(MAX(0,$H27-$G27),0))</f>
        <v/>
      </c>
    </row>
    <row r="28">
      <c r="A28" s="36" t="n"/>
      <c r="B28" s="36" t="n"/>
      <c r="C28" s="36" t="n"/>
      <c r="D28" s="36" t="n"/>
      <c r="E28" s="36" t="n"/>
      <c r="F28" s="36" t="n"/>
      <c r="G28" s="36" t="n"/>
      <c r="H28" s="37">
        <f>IF($A28="","",IFERROR(ROUND($C28*INDEX(tblKurallar[deger_2025],MATCH("SGK-001",tblKurallar[kural_id],0))+$D28*INDEX(tblKurallar[deger_2025],MATCH("SGK-002",tblKurallar[kural_id],0))+$E28*INDEX(tblKurallar[deger_2025],MATCH("SGK-004",tblKurallar[kural_id],0))+$F28*sgk_isverenOran,2),0))</f>
        <v/>
      </c>
      <c r="I28" s="37">
        <f>IF($A28="","",IFERROR(MAX(0,$H28-$G28),0))</f>
        <v/>
      </c>
    </row>
    <row r="29">
      <c r="A29" s="36" t="n"/>
      <c r="B29" s="36" t="n"/>
      <c r="C29" s="36" t="n"/>
      <c r="D29" s="36" t="n"/>
      <c r="E29" s="36" t="n"/>
      <c r="F29" s="36" t="n"/>
      <c r="G29" s="36" t="n"/>
      <c r="H29" s="37">
        <f>IF($A29="","",IFERROR(ROUND($C29*INDEX(tblKurallar[deger_2025],MATCH("SGK-001",tblKurallar[kural_id],0))+$D29*INDEX(tblKurallar[deger_2025],MATCH("SGK-002",tblKurallar[kural_id],0))+$E29*INDEX(tblKurallar[deger_2025],MATCH("SGK-004",tblKurallar[kural_id],0))+$F29*sgk_isverenOran,2),0))</f>
        <v/>
      </c>
      <c r="I29" s="37">
        <f>IF($A29="","",IFERROR(MAX(0,$H29-$G29),0))</f>
        <v/>
      </c>
    </row>
    <row r="30">
      <c r="A30" s="36" t="n"/>
      <c r="B30" s="36" t="n"/>
      <c r="C30" s="36" t="n"/>
      <c r="D30" s="36" t="n"/>
      <c r="E30" s="36" t="n"/>
      <c r="F30" s="36" t="n"/>
      <c r="G30" s="36" t="n"/>
      <c r="H30" s="37">
        <f>IF($A30="","",IFERROR(ROUND($C30*INDEX(tblKurallar[deger_2025],MATCH("SGK-001",tblKurallar[kural_id],0))+$D30*INDEX(tblKurallar[deger_2025],MATCH("SGK-002",tblKurallar[kural_id],0))+$E30*INDEX(tblKurallar[deger_2025],MATCH("SGK-004",tblKurallar[kural_id],0))+$F30*sgk_isverenOran,2),0))</f>
        <v/>
      </c>
      <c r="I30" s="37">
        <f>IF($A30="","",IFERROR(MAX(0,$H30-$G30),0))</f>
        <v/>
      </c>
    </row>
    <row r="31">
      <c r="A31" s="36" t="n"/>
      <c r="B31" s="36" t="n"/>
      <c r="C31" s="36" t="n"/>
      <c r="D31" s="36" t="n"/>
      <c r="E31" s="36" t="n"/>
      <c r="F31" s="36" t="n"/>
      <c r="G31" s="36" t="n"/>
      <c r="H31" s="37">
        <f>IF($A31="","",IFERROR(ROUND($C31*INDEX(tblKurallar[deger_2025],MATCH("SGK-001",tblKurallar[kural_id],0))+$D31*INDEX(tblKurallar[deger_2025],MATCH("SGK-002",tblKurallar[kural_id],0))+$E31*INDEX(tblKurallar[deger_2025],MATCH("SGK-004",tblKurallar[kural_id],0))+$F31*sgk_isverenOran,2),0))</f>
        <v/>
      </c>
      <c r="I31" s="37">
        <f>IF($A31="","",IFERROR(MAX(0,$H31-$G31),0))</f>
        <v/>
      </c>
    </row>
    <row r="32">
      <c r="A32" s="36" t="n"/>
      <c r="B32" s="36" t="n"/>
      <c r="C32" s="36" t="n"/>
      <c r="D32" s="36" t="n"/>
      <c r="E32" s="36" t="n"/>
      <c r="F32" s="36" t="n"/>
      <c r="G32" s="36" t="n"/>
      <c r="H32" s="37">
        <f>IF($A32="","",IFERROR(ROUND($C32*INDEX(tblKurallar[deger_2025],MATCH("SGK-001",tblKurallar[kural_id],0))+$D32*INDEX(tblKurallar[deger_2025],MATCH("SGK-002",tblKurallar[kural_id],0))+$E32*INDEX(tblKurallar[deger_2025],MATCH("SGK-004",tblKurallar[kural_id],0))+$F32*sgk_isverenOran,2),0))</f>
        <v/>
      </c>
      <c r="I32" s="37">
        <f>IF($A32="","",IFERROR(MAX(0,$H32-$G32),0))</f>
        <v/>
      </c>
    </row>
    <row r="33">
      <c r="A33" s="36" t="n"/>
      <c r="B33" s="36" t="n"/>
      <c r="C33" s="36" t="n"/>
      <c r="D33" s="36" t="n"/>
      <c r="E33" s="36" t="n"/>
      <c r="F33" s="36" t="n"/>
      <c r="G33" s="36" t="n"/>
      <c r="H33" s="37">
        <f>IF($A33="","",IFERROR(ROUND($C33*INDEX(tblKurallar[deger_2025],MATCH("SGK-001",tblKurallar[kural_id],0))+$D33*INDEX(tblKurallar[deger_2025],MATCH("SGK-002",tblKurallar[kural_id],0))+$E33*INDEX(tblKurallar[deger_2025],MATCH("SGK-004",tblKurallar[kural_id],0))+$F33*sgk_isverenOran,2),0))</f>
        <v/>
      </c>
      <c r="I33" s="37">
        <f>IF($A33="","",IFERROR(MAX(0,$H33-$G33),0))</f>
        <v/>
      </c>
    </row>
    <row r="34">
      <c r="A34" s="36" t="n"/>
      <c r="B34" s="36" t="n"/>
      <c r="C34" s="36" t="n"/>
      <c r="D34" s="36" t="n"/>
      <c r="E34" s="36" t="n"/>
      <c r="F34" s="36" t="n"/>
      <c r="G34" s="36" t="n"/>
      <c r="H34" s="37">
        <f>IF($A34="","",IFERROR(ROUND($C34*INDEX(tblKurallar[deger_2025],MATCH("SGK-001",tblKurallar[kural_id],0))+$D34*INDEX(tblKurallar[deger_2025],MATCH("SGK-002",tblKurallar[kural_id],0))+$E34*INDEX(tblKurallar[deger_2025],MATCH("SGK-004",tblKurallar[kural_id],0))+$F34*sgk_isverenOran,2),0))</f>
        <v/>
      </c>
      <c r="I34" s="37">
        <f>IF($A34="","",IFERROR(MAX(0,$H34-$G34),0))</f>
        <v/>
      </c>
    </row>
    <row r="35">
      <c r="A35" s="36" t="n"/>
      <c r="B35" s="36" t="n"/>
      <c r="C35" s="36" t="n"/>
      <c r="D35" s="36" t="n"/>
      <c r="E35" s="36" t="n"/>
      <c r="F35" s="36" t="n"/>
      <c r="G35" s="36" t="n"/>
      <c r="H35" s="37">
        <f>IF($A35="","",IFERROR(ROUND($C35*INDEX(tblKurallar[deger_2025],MATCH("SGK-001",tblKurallar[kural_id],0))+$D35*INDEX(tblKurallar[deger_2025],MATCH("SGK-002",tblKurallar[kural_id],0))+$E35*INDEX(tblKurallar[deger_2025],MATCH("SGK-004",tblKurallar[kural_id],0))+$F35*sgk_isverenOran,2),0))</f>
        <v/>
      </c>
      <c r="I35" s="37">
        <f>IF($A35="","",IFERROR(MAX(0,$H35-$G35),0))</f>
        <v/>
      </c>
    </row>
    <row r="36">
      <c r="A36" s="36" t="n"/>
      <c r="B36" s="36" t="n"/>
      <c r="C36" s="36" t="n"/>
      <c r="D36" s="36" t="n"/>
      <c r="E36" s="36" t="n"/>
      <c r="F36" s="36" t="n"/>
      <c r="G36" s="36" t="n"/>
      <c r="H36" s="37">
        <f>IF($A36="","",IFERROR(ROUND($C36*INDEX(tblKurallar[deger_2025],MATCH("SGK-001",tblKurallar[kural_id],0))+$D36*INDEX(tblKurallar[deger_2025],MATCH("SGK-002",tblKurallar[kural_id],0))+$E36*INDEX(tblKurallar[deger_2025],MATCH("SGK-004",tblKurallar[kural_id],0))+$F36*sgk_isverenOran,2),0))</f>
        <v/>
      </c>
      <c r="I36" s="37">
        <f>IF($A36="","",IFERROR(MAX(0,$H36-$G36),0))</f>
        <v/>
      </c>
    </row>
    <row r="37">
      <c r="A37" s="36" t="n"/>
      <c r="B37" s="36" t="n"/>
      <c r="C37" s="36" t="n"/>
      <c r="D37" s="36" t="n"/>
      <c r="E37" s="36" t="n"/>
      <c r="F37" s="36" t="n"/>
      <c r="G37" s="36" t="n"/>
      <c r="H37" s="37">
        <f>IF($A37="","",IFERROR(ROUND($C37*INDEX(tblKurallar[deger_2025],MATCH("SGK-001",tblKurallar[kural_id],0))+$D37*INDEX(tblKurallar[deger_2025],MATCH("SGK-002",tblKurallar[kural_id],0))+$E37*INDEX(tblKurallar[deger_2025],MATCH("SGK-004",tblKurallar[kural_id],0))+$F37*sgk_isverenOran,2),0))</f>
        <v/>
      </c>
      <c r="I37" s="37">
        <f>IF($A37="","",IFERROR(MAX(0,$H37-$G37),0))</f>
        <v/>
      </c>
    </row>
    <row r="38">
      <c r="A38" s="36" t="n"/>
      <c r="B38" s="36" t="n"/>
      <c r="C38" s="36" t="n"/>
      <c r="D38" s="36" t="n"/>
      <c r="E38" s="36" t="n"/>
      <c r="F38" s="36" t="n"/>
      <c r="G38" s="36" t="n"/>
      <c r="H38" s="37">
        <f>IF($A38="","",IFERROR(ROUND($C38*INDEX(tblKurallar[deger_2025],MATCH("SGK-001",tblKurallar[kural_id],0))+$D38*INDEX(tblKurallar[deger_2025],MATCH("SGK-002",tblKurallar[kural_id],0))+$E38*INDEX(tblKurallar[deger_2025],MATCH("SGK-004",tblKurallar[kural_id],0))+$F38*sgk_isverenOran,2),0))</f>
        <v/>
      </c>
      <c r="I38" s="37">
        <f>IF($A38="","",IFERROR(MAX(0,$H38-$G38),0))</f>
        <v/>
      </c>
    </row>
    <row r="39">
      <c r="A39" s="36" t="n"/>
      <c r="B39" s="36" t="n"/>
      <c r="C39" s="36" t="n"/>
      <c r="D39" s="36" t="n"/>
      <c r="E39" s="36" t="n"/>
      <c r="F39" s="36" t="n"/>
      <c r="G39" s="36" t="n"/>
      <c r="H39" s="37">
        <f>IF($A39="","",IFERROR(ROUND($C39*INDEX(tblKurallar[deger_2025],MATCH("SGK-001",tblKurallar[kural_id],0))+$D39*INDEX(tblKurallar[deger_2025],MATCH("SGK-002",tblKurallar[kural_id],0))+$E39*INDEX(tblKurallar[deger_2025],MATCH("SGK-004",tblKurallar[kural_id],0))+$F39*sgk_isverenOran,2),0))</f>
        <v/>
      </c>
      <c r="I39" s="37">
        <f>IF($A39="","",IFERROR(MAX(0,$H39-$G39),0))</f>
        <v/>
      </c>
    </row>
    <row r="40">
      <c r="A40" s="36" t="n"/>
      <c r="B40" s="36" t="n"/>
      <c r="C40" s="36" t="n"/>
      <c r="D40" s="36" t="n"/>
      <c r="E40" s="36" t="n"/>
      <c r="F40" s="36" t="n"/>
      <c r="G40" s="36" t="n"/>
      <c r="H40" s="37">
        <f>IF($A40="","",IFERROR(ROUND($C40*INDEX(tblKurallar[deger_2025],MATCH("SGK-001",tblKurallar[kural_id],0))+$D40*INDEX(tblKurallar[deger_2025],MATCH("SGK-002",tblKurallar[kural_id],0))+$E40*INDEX(tblKurallar[deger_2025],MATCH("SGK-004",tblKurallar[kural_id],0))+$F40*sgk_isverenOran,2),0))</f>
        <v/>
      </c>
      <c r="I40" s="37">
        <f>IF($A40="","",IFERROR(MAX(0,$H40-$G40),0))</f>
        <v/>
      </c>
    </row>
    <row r="41">
      <c r="A41" s="36" t="n"/>
      <c r="B41" s="36" t="n"/>
      <c r="C41" s="36" t="n"/>
      <c r="D41" s="36" t="n"/>
      <c r="E41" s="36" t="n"/>
      <c r="F41" s="36" t="n"/>
      <c r="G41" s="36" t="n"/>
      <c r="H41" s="37">
        <f>IF($A41="","",IFERROR(ROUND($C41*INDEX(tblKurallar[deger_2025],MATCH("SGK-001",tblKurallar[kural_id],0))+$D41*INDEX(tblKurallar[deger_2025],MATCH("SGK-002",tblKurallar[kural_id],0))+$E41*INDEX(tblKurallar[deger_2025],MATCH("SGK-004",tblKurallar[kural_id],0))+$F41*sgk_isverenOran,2),0))</f>
        <v/>
      </c>
      <c r="I41" s="37">
        <f>IF($A41="","",IFERROR(MAX(0,$H41-$G41),0))</f>
        <v/>
      </c>
    </row>
    <row r="42">
      <c r="A42" s="36" t="n"/>
      <c r="B42" s="36" t="n"/>
      <c r="C42" s="36" t="n"/>
      <c r="D42" s="36" t="n"/>
      <c r="E42" s="36" t="n"/>
      <c r="F42" s="36" t="n"/>
      <c r="G42" s="36" t="n"/>
      <c r="H42" s="37">
        <f>IF($A42="","",IFERROR(ROUND($C42*INDEX(tblKurallar[deger_2025],MATCH("SGK-001",tblKurallar[kural_id],0))+$D42*INDEX(tblKurallar[deger_2025],MATCH("SGK-002",tblKurallar[kural_id],0))+$E42*INDEX(tblKurallar[deger_2025],MATCH("SGK-004",tblKurallar[kural_id],0))+$F42*sgk_isverenOran,2),0))</f>
        <v/>
      </c>
      <c r="I42" s="37">
        <f>IF($A42="","",IFERROR(MAX(0,$H42-$G42),0))</f>
        <v/>
      </c>
    </row>
    <row r="43">
      <c r="A43" s="36" t="n"/>
      <c r="B43" s="36" t="n"/>
      <c r="C43" s="36" t="n"/>
      <c r="D43" s="36" t="n"/>
      <c r="E43" s="36" t="n"/>
      <c r="F43" s="36" t="n"/>
      <c r="G43" s="36" t="n"/>
      <c r="H43" s="37">
        <f>IF($A43="","",IFERROR(ROUND($C43*INDEX(tblKurallar[deger_2025],MATCH("SGK-001",tblKurallar[kural_id],0))+$D43*INDEX(tblKurallar[deger_2025],MATCH("SGK-002",tblKurallar[kural_id],0))+$E43*INDEX(tblKurallar[deger_2025],MATCH("SGK-004",tblKurallar[kural_id],0))+$F43*sgk_isverenOran,2),0))</f>
        <v/>
      </c>
      <c r="I43" s="37">
        <f>IF($A43="","",IFERROR(MAX(0,$H43-$G43),0))</f>
        <v/>
      </c>
    </row>
    <row r="44">
      <c r="A44" s="36" t="n"/>
      <c r="B44" s="36" t="n"/>
      <c r="C44" s="36" t="n"/>
      <c r="D44" s="36" t="n"/>
      <c r="E44" s="36" t="n"/>
      <c r="F44" s="36" t="n"/>
      <c r="G44" s="36" t="n"/>
      <c r="H44" s="37">
        <f>IF($A44="","",IFERROR(ROUND($C44*INDEX(tblKurallar[deger_2025],MATCH("SGK-001",tblKurallar[kural_id],0))+$D44*INDEX(tblKurallar[deger_2025],MATCH("SGK-002",tblKurallar[kural_id],0))+$E44*INDEX(tblKurallar[deger_2025],MATCH("SGK-004",tblKurallar[kural_id],0))+$F44*sgk_isverenOran,2),0))</f>
        <v/>
      </c>
      <c r="I44" s="37">
        <f>IF($A44="","",IFERROR(MAX(0,$H44-$G44),0))</f>
        <v/>
      </c>
    </row>
    <row r="45">
      <c r="A45" s="36" t="n"/>
      <c r="B45" s="36" t="n"/>
      <c r="C45" s="36" t="n"/>
      <c r="D45" s="36" t="n"/>
      <c r="E45" s="36" t="n"/>
      <c r="F45" s="36" t="n"/>
      <c r="G45" s="36" t="n"/>
      <c r="H45" s="37">
        <f>IF($A45="","",IFERROR(ROUND($C45*INDEX(tblKurallar[deger_2025],MATCH("SGK-001",tblKurallar[kural_id],0))+$D45*INDEX(tblKurallar[deger_2025],MATCH("SGK-002",tblKurallar[kural_id],0))+$E45*INDEX(tblKurallar[deger_2025],MATCH("SGK-004",tblKurallar[kural_id],0))+$F45*sgk_isverenOran,2),0))</f>
        <v/>
      </c>
      <c r="I45" s="37">
        <f>IF($A45="","",IFERROR(MAX(0,$H45-$G45),0))</f>
        <v/>
      </c>
    </row>
    <row r="46">
      <c r="A46" s="36" t="n"/>
      <c r="B46" s="36" t="n"/>
      <c r="C46" s="36" t="n"/>
      <c r="D46" s="36" t="n"/>
      <c r="E46" s="36" t="n"/>
      <c r="F46" s="36" t="n"/>
      <c r="G46" s="36" t="n"/>
      <c r="H46" s="37">
        <f>IF($A46="","",IFERROR(ROUND($C46*INDEX(tblKurallar[deger_2025],MATCH("SGK-001",tblKurallar[kural_id],0))+$D46*INDEX(tblKurallar[deger_2025],MATCH("SGK-002",tblKurallar[kural_id],0))+$E46*INDEX(tblKurallar[deger_2025],MATCH("SGK-004",tblKurallar[kural_id],0))+$F46*sgk_isverenOran,2),0))</f>
        <v/>
      </c>
      <c r="I46" s="37">
        <f>IF($A46="","",IFERROR(MAX(0,$H46-$G46),0))</f>
        <v/>
      </c>
    </row>
    <row r="47">
      <c r="A47" s="36" t="n"/>
      <c r="B47" s="36" t="n"/>
      <c r="C47" s="36" t="n"/>
      <c r="D47" s="36" t="n"/>
      <c r="E47" s="36" t="n"/>
      <c r="F47" s="36" t="n"/>
      <c r="G47" s="36" t="n"/>
      <c r="H47" s="37">
        <f>IF($A47="","",IFERROR(ROUND($C47*INDEX(tblKurallar[deger_2025],MATCH("SGK-001",tblKurallar[kural_id],0))+$D47*INDEX(tblKurallar[deger_2025],MATCH("SGK-002",tblKurallar[kural_id],0))+$E47*INDEX(tblKurallar[deger_2025],MATCH("SGK-004",tblKurallar[kural_id],0))+$F47*sgk_isverenOran,2),0))</f>
        <v/>
      </c>
      <c r="I47" s="37">
        <f>IF($A47="","",IFERROR(MAX(0,$H47-$G47),0))</f>
        <v/>
      </c>
    </row>
    <row r="48">
      <c r="A48" s="36" t="n"/>
      <c r="B48" s="36" t="n"/>
      <c r="C48" s="36" t="n"/>
      <c r="D48" s="36" t="n"/>
      <c r="E48" s="36" t="n"/>
      <c r="F48" s="36" t="n"/>
      <c r="G48" s="36" t="n"/>
      <c r="H48" s="37">
        <f>IF($A48="","",IFERROR(ROUND($C48*INDEX(tblKurallar[deger_2025],MATCH("SGK-001",tblKurallar[kural_id],0))+$D48*INDEX(tblKurallar[deger_2025],MATCH("SGK-002",tblKurallar[kural_id],0))+$E48*INDEX(tblKurallar[deger_2025],MATCH("SGK-004",tblKurallar[kural_id],0))+$F48*sgk_isverenOran,2),0))</f>
        <v/>
      </c>
      <c r="I48" s="37">
        <f>IF($A48="","",IFERROR(MAX(0,$H48-$G48),0))</f>
        <v/>
      </c>
    </row>
    <row r="49">
      <c r="A49" s="36" t="n"/>
      <c r="B49" s="36" t="n"/>
      <c r="C49" s="36" t="n"/>
      <c r="D49" s="36" t="n"/>
      <c r="E49" s="36" t="n"/>
      <c r="F49" s="36" t="n"/>
      <c r="G49" s="36" t="n"/>
      <c r="H49" s="37">
        <f>IF($A49="","",IFERROR(ROUND($C49*INDEX(tblKurallar[deger_2025],MATCH("SGK-001",tblKurallar[kural_id],0))+$D49*INDEX(tblKurallar[deger_2025],MATCH("SGK-002",tblKurallar[kural_id],0))+$E49*INDEX(tblKurallar[deger_2025],MATCH("SGK-004",tblKurallar[kural_id],0))+$F49*sgk_isverenOran,2),0))</f>
        <v/>
      </c>
      <c r="I49" s="37">
        <f>IF($A49="","",IFERROR(MAX(0,$H49-$G49),0))</f>
        <v/>
      </c>
    </row>
    <row r="50">
      <c r="A50" s="36" t="n"/>
      <c r="B50" s="36" t="n"/>
      <c r="C50" s="36" t="n"/>
      <c r="D50" s="36" t="n"/>
      <c r="E50" s="36" t="n"/>
      <c r="F50" s="36" t="n"/>
      <c r="G50" s="36" t="n"/>
      <c r="H50" s="37">
        <f>IF($A50="","",IFERROR(ROUND($C50*INDEX(tblKurallar[deger_2025],MATCH("SGK-001",tblKurallar[kural_id],0))+$D50*INDEX(tblKurallar[deger_2025],MATCH("SGK-002",tblKurallar[kural_id],0))+$E50*INDEX(tblKurallar[deger_2025],MATCH("SGK-004",tblKurallar[kural_id],0))+$F50*sgk_isverenOran,2),0))</f>
        <v/>
      </c>
      <c r="I50" s="37">
        <f>IF($A50="","",IFERROR(MAX(0,$H50-$G50),0))</f>
        <v/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7">
        <f>IF($A51="","",IFERROR(ROUND($C51*INDEX(tblKurallar[deger_2025],MATCH("SGK-001",tblKurallar[kural_id],0))+$D51*INDEX(tblKurallar[deger_2025],MATCH("SGK-002",tblKurallar[kural_id],0))+$E51*INDEX(tblKurallar[deger_2025],MATCH("SGK-004",tblKurallar[kural_id],0))+$F51*sgk_isverenOran,2),0))</f>
        <v/>
      </c>
      <c r="I51" s="37">
        <f>IF($A51="","",IFERROR(MAX(0,$H51-$G51),0))</f>
        <v/>
      </c>
    </row>
    <row r="52">
      <c r="A52" s="36" t="n"/>
      <c r="B52" s="36" t="n"/>
      <c r="C52" s="36" t="n"/>
      <c r="D52" s="36" t="n"/>
      <c r="E52" s="36" t="n"/>
      <c r="F52" s="36" t="n"/>
      <c r="G52" s="36" t="n"/>
      <c r="H52" s="37">
        <f>IF($A52="","",IFERROR(ROUND($C52*INDEX(tblKurallar[deger_2025],MATCH("SGK-001",tblKurallar[kural_id],0))+$D52*INDEX(tblKurallar[deger_2025],MATCH("SGK-002",tblKurallar[kural_id],0))+$E52*INDEX(tblKurallar[deger_2025],MATCH("SGK-004",tblKurallar[kural_id],0))+$F52*sgk_isverenOran,2),0))</f>
        <v/>
      </c>
      <c r="I52" s="37">
        <f>IF($A52="","",IFERROR(MAX(0,$H52-$G52),0))</f>
        <v/>
      </c>
    </row>
    <row r="53">
      <c r="A53" s="36" t="n"/>
      <c r="B53" s="36" t="n"/>
      <c r="C53" s="36" t="n"/>
      <c r="D53" s="36" t="n"/>
      <c r="E53" s="36" t="n"/>
      <c r="F53" s="36" t="n"/>
      <c r="G53" s="36" t="n"/>
      <c r="H53" s="37">
        <f>IF($A53="","",IFERROR(ROUND($C53*INDEX(tblKurallar[deger_2025],MATCH("SGK-001",tblKurallar[kural_id],0))+$D53*INDEX(tblKurallar[deger_2025],MATCH("SGK-002",tblKurallar[kural_id],0))+$E53*INDEX(tblKurallar[deger_2025],MATCH("SGK-004",tblKurallar[kural_id],0))+$F53*sgk_isverenOran,2),0))</f>
        <v/>
      </c>
      <c r="I53" s="37">
        <f>IF($A53="","",IFERROR(MAX(0,$H53-$G53),0))</f>
        <v/>
      </c>
    </row>
    <row r="54">
      <c r="A54" s="36" t="n"/>
      <c r="B54" s="36" t="n"/>
      <c r="C54" s="36" t="n"/>
      <c r="D54" s="36" t="n"/>
      <c r="E54" s="36" t="n"/>
      <c r="F54" s="36" t="n"/>
      <c r="G54" s="36" t="n"/>
      <c r="H54" s="37">
        <f>IF($A54="","",IFERROR(ROUND($C54*INDEX(tblKurallar[deger_2025],MATCH("SGK-001",tblKurallar[kural_id],0))+$D54*INDEX(tblKurallar[deger_2025],MATCH("SGK-002",tblKurallar[kural_id],0))+$E54*INDEX(tblKurallar[deger_2025],MATCH("SGK-004",tblKurallar[kural_id],0))+$F54*sgk_isverenOran,2),0))</f>
        <v/>
      </c>
      <c r="I54" s="37">
        <f>IF($A54="","",IFERROR(MAX(0,$H54-$G54),0))</f>
        <v/>
      </c>
    </row>
    <row r="55">
      <c r="A55" s="36" t="n"/>
      <c r="B55" s="36" t="n"/>
      <c r="C55" s="36" t="n"/>
      <c r="D55" s="36" t="n"/>
      <c r="E55" s="36" t="n"/>
      <c r="F55" s="36" t="n"/>
      <c r="G55" s="36" t="n"/>
      <c r="H55" s="37">
        <f>IF($A55="","",IFERROR(ROUND($C55*INDEX(tblKurallar[deger_2025],MATCH("SGK-001",tblKurallar[kural_id],0))+$D55*INDEX(tblKurallar[deger_2025],MATCH("SGK-002",tblKurallar[kural_id],0))+$E55*INDEX(tblKurallar[deger_2025],MATCH("SGK-004",tblKurallar[kural_id],0))+$F55*sgk_isverenOran,2),0))</f>
        <v/>
      </c>
      <c r="I55" s="37">
        <f>IF($A55="","",IFERROR(MAX(0,$H55-$G55),0))</f>
        <v/>
      </c>
    </row>
    <row r="56">
      <c r="A56" s="36" t="n"/>
      <c r="B56" s="36" t="n"/>
      <c r="C56" s="36" t="n"/>
      <c r="D56" s="36" t="n"/>
      <c r="E56" s="36" t="n"/>
      <c r="F56" s="36" t="n"/>
      <c r="G56" s="36" t="n"/>
      <c r="H56" s="37">
        <f>IF($A56="","",IFERROR(ROUND($C56*INDEX(tblKurallar[deger_2025],MATCH("SGK-001",tblKurallar[kural_id],0))+$D56*INDEX(tblKurallar[deger_2025],MATCH("SGK-002",tblKurallar[kural_id],0))+$E56*INDEX(tblKurallar[deger_2025],MATCH("SGK-004",tblKurallar[kural_id],0))+$F56*sgk_isverenOran,2),0))</f>
        <v/>
      </c>
      <c r="I56" s="37">
        <f>IF($A56="","",IFERROR(MAX(0,$H56-$G56),0))</f>
        <v/>
      </c>
    </row>
    <row r="57">
      <c r="A57" s="36" t="n"/>
      <c r="B57" s="36" t="n"/>
      <c r="C57" s="36" t="n"/>
      <c r="D57" s="36" t="n"/>
      <c r="E57" s="36" t="n"/>
      <c r="F57" s="36" t="n"/>
      <c r="G57" s="36" t="n"/>
      <c r="H57" s="37">
        <f>IF($A57="","",IFERROR(ROUND($C57*INDEX(tblKurallar[deger_2025],MATCH("SGK-001",tblKurallar[kural_id],0))+$D57*INDEX(tblKurallar[deger_2025],MATCH("SGK-002",tblKurallar[kural_id],0))+$E57*INDEX(tblKurallar[deger_2025],MATCH("SGK-004",tblKurallar[kural_id],0))+$F57*sgk_isverenOran,2),0))</f>
        <v/>
      </c>
      <c r="I57" s="37">
        <f>IF($A57="","",IFERROR(MAX(0,$H57-$G57),0))</f>
        <v/>
      </c>
    </row>
    <row r="58">
      <c r="A58" s="36" t="n"/>
      <c r="B58" s="36" t="n"/>
      <c r="C58" s="36" t="n"/>
      <c r="D58" s="36" t="n"/>
      <c r="E58" s="36" t="n"/>
      <c r="F58" s="36" t="n"/>
      <c r="G58" s="36" t="n"/>
      <c r="H58" s="37">
        <f>IF($A58="","",IFERROR(ROUND($C58*INDEX(tblKurallar[deger_2025],MATCH("SGK-001",tblKurallar[kural_id],0))+$D58*INDEX(tblKurallar[deger_2025],MATCH("SGK-002",tblKurallar[kural_id],0))+$E58*INDEX(tblKurallar[deger_2025],MATCH("SGK-004",tblKurallar[kural_id],0))+$F58*sgk_isverenOran,2),0))</f>
        <v/>
      </c>
      <c r="I58" s="37">
        <f>IF($A58="","",IFERROR(MAX(0,$H58-$G58),0))</f>
        <v/>
      </c>
    </row>
    <row r="59">
      <c r="A59" s="36" t="n"/>
      <c r="B59" s="36" t="n"/>
      <c r="C59" s="36" t="n"/>
      <c r="D59" s="36" t="n"/>
      <c r="E59" s="36" t="n"/>
      <c r="F59" s="36" t="n"/>
      <c r="G59" s="36" t="n"/>
      <c r="H59" s="37">
        <f>IF($A59="","",IFERROR(ROUND($C59*INDEX(tblKurallar[deger_2025],MATCH("SGK-001",tblKurallar[kural_id],0))+$D59*INDEX(tblKurallar[deger_2025],MATCH("SGK-002",tblKurallar[kural_id],0))+$E59*INDEX(tblKurallar[deger_2025],MATCH("SGK-004",tblKurallar[kural_id],0))+$F59*sgk_isverenOran,2),0))</f>
        <v/>
      </c>
      <c r="I59" s="37">
        <f>IF($A59="","",IFERROR(MAX(0,$H59-$G59),0))</f>
        <v/>
      </c>
    </row>
    <row r="60">
      <c r="A60" s="36" t="n"/>
      <c r="B60" s="36" t="n"/>
      <c r="C60" s="36" t="n"/>
      <c r="D60" s="36" t="n"/>
      <c r="E60" s="36" t="n"/>
      <c r="F60" s="36" t="n"/>
      <c r="G60" s="36" t="n"/>
      <c r="H60" s="37">
        <f>IF($A60="","",IFERROR(ROUND($C60*INDEX(tblKurallar[deger_2025],MATCH("SGK-001",tblKurallar[kural_id],0))+$D60*INDEX(tblKurallar[deger_2025],MATCH("SGK-002",tblKurallar[kural_id],0))+$E60*INDEX(tblKurallar[deger_2025],MATCH("SGK-004",tblKurallar[kural_id],0))+$F60*sgk_isverenOran,2),0))</f>
        <v/>
      </c>
      <c r="I60" s="37">
        <f>IF($A60="","",IFERROR(MAX(0,$H60-$G60),0))</f>
        <v/>
      </c>
    </row>
    <row r="61">
      <c r="A61" s="36" t="n"/>
      <c r="B61" s="36" t="n"/>
      <c r="C61" s="36" t="n"/>
      <c r="D61" s="36" t="n"/>
      <c r="E61" s="36" t="n"/>
      <c r="F61" s="36" t="n"/>
      <c r="G61" s="36" t="n"/>
      <c r="H61" s="37">
        <f>IF($A61="","",IFERROR(ROUND($C61*INDEX(tblKurallar[deger_2025],MATCH("SGK-001",tblKurallar[kural_id],0))+$D61*INDEX(tblKurallar[deger_2025],MATCH("SGK-002",tblKurallar[kural_id],0))+$E61*INDEX(tblKurallar[deger_2025],MATCH("SGK-004",tblKurallar[kural_id],0))+$F61*sgk_isverenOran,2),0))</f>
        <v/>
      </c>
      <c r="I61" s="37">
        <f>IF($A61="","",IFERROR(MAX(0,$H61-$G61),0))</f>
        <v/>
      </c>
    </row>
    <row r="62">
      <c r="A62" s="36" t="n"/>
      <c r="B62" s="36" t="n"/>
      <c r="C62" s="36" t="n"/>
      <c r="D62" s="36" t="n"/>
      <c r="E62" s="36" t="n"/>
      <c r="F62" s="36" t="n"/>
      <c r="G62" s="36" t="n"/>
      <c r="H62" s="37">
        <f>IF($A62="","",IFERROR(ROUND($C62*INDEX(tblKurallar[deger_2025],MATCH("SGK-001",tblKurallar[kural_id],0))+$D62*INDEX(tblKurallar[deger_2025],MATCH("SGK-002",tblKurallar[kural_id],0))+$E62*INDEX(tblKurallar[deger_2025],MATCH("SGK-004",tblKurallar[kural_id],0))+$F62*sgk_isverenOran,2),0))</f>
        <v/>
      </c>
      <c r="I62" s="37">
        <f>IF($A62="","",IFERROR(MAX(0,$H62-$G62),0))</f>
        <v/>
      </c>
    </row>
    <row r="63">
      <c r="A63" s="36" t="n"/>
      <c r="B63" s="36" t="n"/>
      <c r="C63" s="36" t="n"/>
      <c r="D63" s="36" t="n"/>
      <c r="E63" s="36" t="n"/>
      <c r="F63" s="36" t="n"/>
      <c r="G63" s="36" t="n"/>
      <c r="H63" s="37">
        <f>IF($A63="","",IFERROR(ROUND($C63*INDEX(tblKurallar[deger_2025],MATCH("SGK-001",tblKurallar[kural_id],0))+$D63*INDEX(tblKurallar[deger_2025],MATCH("SGK-002",tblKurallar[kural_id],0))+$E63*INDEX(tblKurallar[deger_2025],MATCH("SGK-004",tblKurallar[kural_id],0))+$F63*sgk_isverenOran,2),0))</f>
        <v/>
      </c>
      <c r="I63" s="37">
        <f>IF($A63="","",IFERROR(MAX(0,$H63-$G63),0))</f>
        <v/>
      </c>
    </row>
    <row r="64">
      <c r="A64" s="36" t="n"/>
      <c r="B64" s="36" t="n"/>
      <c r="C64" s="36" t="n"/>
      <c r="D64" s="36" t="n"/>
      <c r="E64" s="36" t="n"/>
      <c r="F64" s="36" t="n"/>
      <c r="G64" s="36" t="n"/>
      <c r="H64" s="37">
        <f>IF($A64="","",IFERROR(ROUND($C64*INDEX(tblKurallar[deger_2025],MATCH("SGK-001",tblKurallar[kural_id],0))+$D64*INDEX(tblKurallar[deger_2025],MATCH("SGK-002",tblKurallar[kural_id],0))+$E64*INDEX(tblKurallar[deger_2025],MATCH("SGK-004",tblKurallar[kural_id],0))+$F64*sgk_isverenOran,2),0))</f>
        <v/>
      </c>
      <c r="I64" s="37">
        <f>IF($A64="","",IFERROR(MAX(0,$H64-$G64),0))</f>
        <v/>
      </c>
    </row>
    <row r="65">
      <c r="A65" s="36" t="n"/>
      <c r="B65" s="36" t="n"/>
      <c r="C65" s="36" t="n"/>
      <c r="D65" s="36" t="n"/>
      <c r="E65" s="36" t="n"/>
      <c r="F65" s="36" t="n"/>
      <c r="G65" s="36" t="n"/>
      <c r="H65" s="37">
        <f>IF($A65="","",IFERROR(ROUND($C65*INDEX(tblKurallar[deger_2025],MATCH("SGK-001",tblKurallar[kural_id],0))+$D65*INDEX(tblKurallar[deger_2025],MATCH("SGK-002",tblKurallar[kural_id],0))+$E65*INDEX(tblKurallar[deger_2025],MATCH("SGK-004",tblKurallar[kural_id],0))+$F65*sgk_isverenOran,2),0))</f>
        <v/>
      </c>
      <c r="I65" s="37">
        <f>IF($A65="","",IFERROR(MAX(0,$H65-$G65),0))</f>
        <v/>
      </c>
    </row>
    <row r="66">
      <c r="A66" s="36" t="n"/>
      <c r="B66" s="36" t="n"/>
      <c r="C66" s="36" t="n"/>
      <c r="D66" s="36" t="n"/>
      <c r="E66" s="36" t="n"/>
      <c r="F66" s="36" t="n"/>
      <c r="G66" s="36" t="n"/>
      <c r="H66" s="37">
        <f>IF($A66="","",IFERROR(ROUND($C66*INDEX(tblKurallar[deger_2025],MATCH("SGK-001",tblKurallar[kural_id],0))+$D66*INDEX(tblKurallar[deger_2025],MATCH("SGK-002",tblKurallar[kural_id],0))+$E66*INDEX(tblKurallar[deger_2025],MATCH("SGK-004",tblKurallar[kural_id],0))+$F66*sgk_isverenOran,2),0))</f>
        <v/>
      </c>
      <c r="I66" s="37">
        <f>IF($A66="","",IFERROR(MAX(0,$H66-$G66),0))</f>
        <v/>
      </c>
    </row>
    <row r="67">
      <c r="A67" s="36" t="n"/>
      <c r="B67" s="36" t="n"/>
      <c r="C67" s="36" t="n"/>
      <c r="D67" s="36" t="n"/>
      <c r="E67" s="36" t="n"/>
      <c r="F67" s="36" t="n"/>
      <c r="G67" s="36" t="n"/>
      <c r="H67" s="37">
        <f>IF($A67="","",IFERROR(ROUND($C67*INDEX(tblKurallar[deger_2025],MATCH("SGK-001",tblKurallar[kural_id],0))+$D67*INDEX(tblKurallar[deger_2025],MATCH("SGK-002",tblKurallar[kural_id],0))+$E67*INDEX(tblKurallar[deger_2025],MATCH("SGK-004",tblKurallar[kural_id],0))+$F67*sgk_isverenOran,2),0))</f>
        <v/>
      </c>
      <c r="I67" s="37">
        <f>IF($A67="","",IFERROR(MAX(0,$H67-$G67),0))</f>
        <v/>
      </c>
    </row>
    <row r="68">
      <c r="A68" s="36" t="n"/>
      <c r="B68" s="36" t="n"/>
      <c r="C68" s="36" t="n"/>
      <c r="D68" s="36" t="n"/>
      <c r="E68" s="36" t="n"/>
      <c r="F68" s="36" t="n"/>
      <c r="G68" s="36" t="n"/>
      <c r="H68" s="37">
        <f>IF($A68="","",IFERROR(ROUND($C68*INDEX(tblKurallar[deger_2025],MATCH("SGK-001",tblKurallar[kural_id],0))+$D68*INDEX(tblKurallar[deger_2025],MATCH("SGK-002",tblKurallar[kural_id],0))+$E68*INDEX(tblKurallar[deger_2025],MATCH("SGK-004",tblKurallar[kural_id],0))+$F68*sgk_isverenOran,2),0))</f>
        <v/>
      </c>
      <c r="I68" s="37">
        <f>IF($A68="","",IFERROR(MAX(0,$H68-$G68),0))</f>
        <v/>
      </c>
    </row>
    <row r="69">
      <c r="A69" s="36" t="n"/>
      <c r="B69" s="36" t="n"/>
      <c r="C69" s="36" t="n"/>
      <c r="D69" s="36" t="n"/>
      <c r="E69" s="36" t="n"/>
      <c r="F69" s="36" t="n"/>
      <c r="G69" s="36" t="n"/>
      <c r="H69" s="37">
        <f>IF($A69="","",IFERROR(ROUND($C69*INDEX(tblKurallar[deger_2025],MATCH("SGK-001",tblKurallar[kural_id],0))+$D69*INDEX(tblKurallar[deger_2025],MATCH("SGK-002",tblKurallar[kural_id],0))+$E69*INDEX(tblKurallar[deger_2025],MATCH("SGK-004",tblKurallar[kural_id],0))+$F69*sgk_isverenOran,2),0))</f>
        <v/>
      </c>
      <c r="I69" s="37">
        <f>IF($A69="","",IFERROR(MAX(0,$H69-$G69),0))</f>
        <v/>
      </c>
    </row>
    <row r="70">
      <c r="A70" s="36" t="n"/>
      <c r="B70" s="36" t="n"/>
      <c r="C70" s="36" t="n"/>
      <c r="D70" s="36" t="n"/>
      <c r="E70" s="36" t="n"/>
      <c r="F70" s="36" t="n"/>
      <c r="G70" s="36" t="n"/>
      <c r="H70" s="37">
        <f>IF($A70="","",IFERROR(ROUND($C70*INDEX(tblKurallar[deger_2025],MATCH("SGK-001",tblKurallar[kural_id],0))+$D70*INDEX(tblKurallar[deger_2025],MATCH("SGK-002",tblKurallar[kural_id],0))+$E70*INDEX(tblKurallar[deger_2025],MATCH("SGK-004",tblKurallar[kural_id],0))+$F70*sgk_isverenOran,2),0))</f>
        <v/>
      </c>
      <c r="I70" s="37">
        <f>IF($A70="","",IFERROR(MAX(0,$H70-$G70),0))</f>
        <v/>
      </c>
    </row>
    <row r="71">
      <c r="A71" s="36" t="n"/>
      <c r="B71" s="36" t="n"/>
      <c r="C71" s="36" t="n"/>
      <c r="D71" s="36" t="n"/>
      <c r="E71" s="36" t="n"/>
      <c r="F71" s="36" t="n"/>
      <c r="G71" s="36" t="n"/>
      <c r="H71" s="37">
        <f>IF($A71="","",IFERROR(ROUND($C71*INDEX(tblKurallar[deger_2025],MATCH("SGK-001",tblKurallar[kural_id],0))+$D71*INDEX(tblKurallar[deger_2025],MATCH("SGK-002",tblKurallar[kural_id],0))+$E71*INDEX(tblKurallar[deger_2025],MATCH("SGK-004",tblKurallar[kural_id],0))+$F71*sgk_isverenOran,2),0))</f>
        <v/>
      </c>
      <c r="I71" s="37">
        <f>IF($A71="","",IFERROR(MAX(0,$H71-$G71),0))</f>
        <v/>
      </c>
    </row>
    <row r="72">
      <c r="A72" s="36" t="n"/>
      <c r="B72" s="36" t="n"/>
      <c r="C72" s="36" t="n"/>
      <c r="D72" s="36" t="n"/>
      <c r="E72" s="36" t="n"/>
      <c r="F72" s="36" t="n"/>
      <c r="G72" s="36" t="n"/>
      <c r="H72" s="37">
        <f>IF($A72="","",IFERROR(ROUND($C72*INDEX(tblKurallar[deger_2025],MATCH("SGK-001",tblKurallar[kural_id],0))+$D72*INDEX(tblKurallar[deger_2025],MATCH("SGK-002",tblKurallar[kural_id],0))+$E72*INDEX(tblKurallar[deger_2025],MATCH("SGK-004",tblKurallar[kural_id],0))+$F72*sgk_isverenOran,2),0))</f>
        <v/>
      </c>
      <c r="I72" s="37">
        <f>IF($A72="","",IFERROR(MAX(0,$H72-$G72),0))</f>
        <v/>
      </c>
    </row>
    <row r="73">
      <c r="A73" s="36" t="n"/>
      <c r="B73" s="36" t="n"/>
      <c r="C73" s="36" t="n"/>
      <c r="D73" s="36" t="n"/>
      <c r="E73" s="36" t="n"/>
      <c r="F73" s="36" t="n"/>
      <c r="G73" s="36" t="n"/>
      <c r="H73" s="37">
        <f>IF($A73="","",IFERROR(ROUND($C73*INDEX(tblKurallar[deger_2025],MATCH("SGK-001",tblKurallar[kural_id],0))+$D73*INDEX(tblKurallar[deger_2025],MATCH("SGK-002",tblKurallar[kural_id],0))+$E73*INDEX(tblKurallar[deger_2025],MATCH("SGK-004",tblKurallar[kural_id],0))+$F73*sgk_isverenOran,2),0))</f>
        <v/>
      </c>
      <c r="I73" s="37">
        <f>IF($A73="","",IFERROR(MAX(0,$H73-$G73),0))</f>
        <v/>
      </c>
    </row>
    <row r="74">
      <c r="A74" s="36" t="n"/>
      <c r="B74" s="36" t="n"/>
      <c r="C74" s="36" t="n"/>
      <c r="D74" s="36" t="n"/>
      <c r="E74" s="36" t="n"/>
      <c r="F74" s="36" t="n"/>
      <c r="G74" s="36" t="n"/>
      <c r="H74" s="37">
        <f>IF($A74="","",IFERROR(ROUND($C74*INDEX(tblKurallar[deger_2025],MATCH("SGK-001",tblKurallar[kural_id],0))+$D74*INDEX(tblKurallar[deger_2025],MATCH("SGK-002",tblKurallar[kural_id],0))+$E74*INDEX(tblKurallar[deger_2025],MATCH("SGK-004",tblKurallar[kural_id],0))+$F74*sgk_isverenOran,2),0))</f>
        <v/>
      </c>
      <c r="I74" s="37">
        <f>IF($A74="","",IFERROR(MAX(0,$H74-$G74),0))</f>
        <v/>
      </c>
    </row>
    <row r="75">
      <c r="A75" s="36" t="n"/>
      <c r="B75" s="36" t="n"/>
      <c r="C75" s="36" t="n"/>
      <c r="D75" s="36" t="n"/>
      <c r="E75" s="36" t="n"/>
      <c r="F75" s="36" t="n"/>
      <c r="G75" s="36" t="n"/>
      <c r="H75" s="37">
        <f>IF($A75="","",IFERROR(ROUND($C75*INDEX(tblKurallar[deger_2025],MATCH("SGK-001",tblKurallar[kural_id],0))+$D75*INDEX(tblKurallar[deger_2025],MATCH("SGK-002",tblKurallar[kural_id],0))+$E75*INDEX(tblKurallar[deger_2025],MATCH("SGK-004",tblKurallar[kural_id],0))+$F75*sgk_isverenOran,2),0))</f>
        <v/>
      </c>
      <c r="I75" s="37">
        <f>IF($A75="","",IFERROR(MAX(0,$H75-$G75),0))</f>
        <v/>
      </c>
    </row>
    <row r="76">
      <c r="A76" s="36" t="n"/>
      <c r="B76" s="36" t="n"/>
      <c r="C76" s="36" t="n"/>
      <c r="D76" s="36" t="n"/>
      <c r="E76" s="36" t="n"/>
      <c r="F76" s="36" t="n"/>
      <c r="G76" s="36" t="n"/>
      <c r="H76" s="37">
        <f>IF($A76="","",IFERROR(ROUND($C76*INDEX(tblKurallar[deger_2025],MATCH("SGK-001",tblKurallar[kural_id],0))+$D76*INDEX(tblKurallar[deger_2025],MATCH("SGK-002",tblKurallar[kural_id],0))+$E76*INDEX(tblKurallar[deger_2025],MATCH("SGK-004",tblKurallar[kural_id],0))+$F76*sgk_isverenOran,2),0))</f>
        <v/>
      </c>
      <c r="I76" s="37">
        <f>IF($A76="","",IFERROR(MAX(0,$H76-$G76),0))</f>
        <v/>
      </c>
    </row>
    <row r="77">
      <c r="A77" s="36" t="n"/>
      <c r="B77" s="36" t="n"/>
      <c r="C77" s="36" t="n"/>
      <c r="D77" s="36" t="n"/>
      <c r="E77" s="36" t="n"/>
      <c r="F77" s="36" t="n"/>
      <c r="G77" s="36" t="n"/>
      <c r="H77" s="37">
        <f>IF($A77="","",IFERROR(ROUND($C77*INDEX(tblKurallar[deger_2025],MATCH("SGK-001",tblKurallar[kural_id],0))+$D77*INDEX(tblKurallar[deger_2025],MATCH("SGK-002",tblKurallar[kural_id],0))+$E77*INDEX(tblKurallar[deger_2025],MATCH("SGK-004",tblKurallar[kural_id],0))+$F77*sgk_isverenOran,2),0))</f>
        <v/>
      </c>
      <c r="I77" s="37">
        <f>IF($A77="","",IFERROR(MAX(0,$H77-$G77),0))</f>
        <v/>
      </c>
    </row>
    <row r="78">
      <c r="A78" s="36" t="n"/>
      <c r="B78" s="36" t="n"/>
      <c r="C78" s="36" t="n"/>
      <c r="D78" s="36" t="n"/>
      <c r="E78" s="36" t="n"/>
      <c r="F78" s="36" t="n"/>
      <c r="G78" s="36" t="n"/>
      <c r="H78" s="37">
        <f>IF($A78="","",IFERROR(ROUND($C78*INDEX(tblKurallar[deger_2025],MATCH("SGK-001",tblKurallar[kural_id],0))+$D78*INDEX(tblKurallar[deger_2025],MATCH("SGK-002",tblKurallar[kural_id],0))+$E78*INDEX(tblKurallar[deger_2025],MATCH("SGK-004",tblKurallar[kural_id],0))+$F78*sgk_isverenOran,2),0))</f>
        <v/>
      </c>
      <c r="I78" s="37">
        <f>IF($A78="","",IFERROR(MAX(0,$H78-$G78),0))</f>
        <v/>
      </c>
    </row>
    <row r="79">
      <c r="A79" s="36" t="n"/>
      <c r="B79" s="36" t="n"/>
      <c r="C79" s="36" t="n"/>
      <c r="D79" s="36" t="n"/>
      <c r="E79" s="36" t="n"/>
      <c r="F79" s="36" t="n"/>
      <c r="G79" s="36" t="n"/>
      <c r="H79" s="37">
        <f>IF($A79="","",IFERROR(ROUND($C79*INDEX(tblKurallar[deger_2025],MATCH("SGK-001",tblKurallar[kural_id],0))+$D79*INDEX(tblKurallar[deger_2025],MATCH("SGK-002",tblKurallar[kural_id],0))+$E79*INDEX(tblKurallar[deger_2025],MATCH("SGK-004",tblKurallar[kural_id],0))+$F79*sgk_isverenOran,2),0))</f>
        <v/>
      </c>
      <c r="I79" s="37">
        <f>IF($A79="","",IFERROR(MAX(0,$H79-$G79),0))</f>
        <v/>
      </c>
    </row>
    <row r="80">
      <c r="A80" s="36" t="n"/>
      <c r="B80" s="36" t="n"/>
      <c r="C80" s="36" t="n"/>
      <c r="D80" s="36" t="n"/>
      <c r="E80" s="36" t="n"/>
      <c r="F80" s="36" t="n"/>
      <c r="G80" s="36" t="n"/>
      <c r="H80" s="37">
        <f>IF($A80="","",IFERROR(ROUND($C80*INDEX(tblKurallar[deger_2025],MATCH("SGK-001",tblKurallar[kural_id],0))+$D80*INDEX(tblKurallar[deger_2025],MATCH("SGK-002",tblKurallar[kural_id],0))+$E80*INDEX(tblKurallar[deger_2025],MATCH("SGK-004",tblKurallar[kural_id],0))+$F80*sgk_isverenOran,2),0))</f>
        <v/>
      </c>
      <c r="I80" s="37">
        <f>IF($A80="","",IFERROR(MAX(0,$H80-$G80),0))</f>
        <v/>
      </c>
    </row>
    <row r="81">
      <c r="A81" s="36" t="n"/>
      <c r="B81" s="36" t="n"/>
      <c r="C81" s="36" t="n"/>
      <c r="D81" s="36" t="n"/>
      <c r="E81" s="36" t="n"/>
      <c r="F81" s="36" t="n"/>
      <c r="G81" s="36" t="n"/>
      <c r="H81" s="37">
        <f>IF($A81="","",IFERROR(ROUND($C81*INDEX(tblKurallar[deger_2025],MATCH("SGK-001",tblKurallar[kural_id],0))+$D81*INDEX(tblKurallar[deger_2025],MATCH("SGK-002",tblKurallar[kural_id],0))+$E81*INDEX(tblKurallar[deger_2025],MATCH("SGK-004",tblKurallar[kural_id],0))+$F81*sgk_isverenOran,2),0))</f>
        <v/>
      </c>
      <c r="I81" s="37">
        <f>IF($A81="","",IFERROR(MAX(0,$H81-$G81),0))</f>
        <v/>
      </c>
    </row>
    <row r="82">
      <c r="A82" s="36" t="n"/>
      <c r="B82" s="36" t="n"/>
      <c r="C82" s="36" t="n"/>
      <c r="D82" s="36" t="n"/>
      <c r="E82" s="36" t="n"/>
      <c r="F82" s="36" t="n"/>
      <c r="G82" s="36" t="n"/>
      <c r="H82" s="37">
        <f>IF($A82="","",IFERROR(ROUND($C82*INDEX(tblKurallar[deger_2025],MATCH("SGK-001",tblKurallar[kural_id],0))+$D82*INDEX(tblKurallar[deger_2025],MATCH("SGK-002",tblKurallar[kural_id],0))+$E82*INDEX(tblKurallar[deger_2025],MATCH("SGK-004",tblKurallar[kural_id],0))+$F82*sgk_isverenOran,2),0))</f>
        <v/>
      </c>
      <c r="I82" s="37">
        <f>IF($A82="","",IFERROR(MAX(0,$H82-$G82),0))</f>
        <v/>
      </c>
    </row>
    <row r="83">
      <c r="A83" s="36" t="n"/>
      <c r="B83" s="36" t="n"/>
      <c r="C83" s="36" t="n"/>
      <c r="D83" s="36" t="n"/>
      <c r="E83" s="36" t="n"/>
      <c r="F83" s="36" t="n"/>
      <c r="G83" s="36" t="n"/>
      <c r="H83" s="37">
        <f>IF($A83="","",IFERROR(ROUND($C83*INDEX(tblKurallar[deger_2025],MATCH("SGK-001",tblKurallar[kural_id],0))+$D83*INDEX(tblKurallar[deger_2025],MATCH("SGK-002",tblKurallar[kural_id],0))+$E83*INDEX(tblKurallar[deger_2025],MATCH("SGK-004",tblKurallar[kural_id],0))+$F83*sgk_isverenOran,2),0))</f>
        <v/>
      </c>
      <c r="I83" s="37">
        <f>IF($A83="","",IFERROR(MAX(0,$H83-$G83),0))</f>
        <v/>
      </c>
    </row>
    <row r="84">
      <c r="A84" s="36" t="n"/>
      <c r="B84" s="36" t="n"/>
      <c r="C84" s="36" t="n"/>
      <c r="D84" s="36" t="n"/>
      <c r="E84" s="36" t="n"/>
      <c r="F84" s="36" t="n"/>
      <c r="G84" s="36" t="n"/>
      <c r="H84" s="37">
        <f>IF($A84="","",IFERROR(ROUND($C84*INDEX(tblKurallar[deger_2025],MATCH("SGK-001",tblKurallar[kural_id],0))+$D84*INDEX(tblKurallar[deger_2025],MATCH("SGK-002",tblKurallar[kural_id],0))+$E84*INDEX(tblKurallar[deger_2025],MATCH("SGK-004",tblKurallar[kural_id],0))+$F84*sgk_isverenOran,2),0))</f>
        <v/>
      </c>
      <c r="I84" s="37">
        <f>IF($A84="","",IFERROR(MAX(0,$H84-$G84),0))</f>
        <v/>
      </c>
    </row>
    <row r="85">
      <c r="A85" s="36" t="n"/>
      <c r="B85" s="36" t="n"/>
      <c r="C85" s="36" t="n"/>
      <c r="D85" s="36" t="n"/>
      <c r="E85" s="36" t="n"/>
      <c r="F85" s="36" t="n"/>
      <c r="G85" s="36" t="n"/>
      <c r="H85" s="37">
        <f>IF($A85="","",IFERROR(ROUND($C85*INDEX(tblKurallar[deger_2025],MATCH("SGK-001",tblKurallar[kural_id],0))+$D85*INDEX(tblKurallar[deger_2025],MATCH("SGK-002",tblKurallar[kural_id],0))+$E85*INDEX(tblKurallar[deger_2025],MATCH("SGK-004",tblKurallar[kural_id],0))+$F85*sgk_isverenOran,2),0))</f>
        <v/>
      </c>
      <c r="I85" s="37">
        <f>IF($A85="","",IFERROR(MAX(0,$H85-$G85),0))</f>
        <v/>
      </c>
    </row>
    <row r="86">
      <c r="A86" s="36" t="n"/>
      <c r="B86" s="36" t="n"/>
      <c r="C86" s="36" t="n"/>
      <c r="D86" s="36" t="n"/>
      <c r="E86" s="36" t="n"/>
      <c r="F86" s="36" t="n"/>
      <c r="G86" s="36" t="n"/>
      <c r="H86" s="37">
        <f>IF($A86="","",IFERROR(ROUND($C86*INDEX(tblKurallar[deger_2025],MATCH("SGK-001",tblKurallar[kural_id],0))+$D86*INDEX(tblKurallar[deger_2025],MATCH("SGK-002",tblKurallar[kural_id],0))+$E86*INDEX(tblKurallar[deger_2025],MATCH("SGK-004",tblKurallar[kural_id],0))+$F86*sgk_isverenOran,2),0))</f>
        <v/>
      </c>
      <c r="I86" s="37">
        <f>IF($A86="","",IFERROR(MAX(0,$H86-$G86),0))</f>
        <v/>
      </c>
    </row>
    <row r="87">
      <c r="A87" s="36" t="n"/>
      <c r="B87" s="36" t="n"/>
      <c r="C87" s="36" t="n"/>
      <c r="D87" s="36" t="n"/>
      <c r="E87" s="36" t="n"/>
      <c r="F87" s="36" t="n"/>
      <c r="G87" s="36" t="n"/>
      <c r="H87" s="37">
        <f>IF($A87="","",IFERROR(ROUND($C87*INDEX(tblKurallar[deger_2025],MATCH("SGK-001",tblKurallar[kural_id],0))+$D87*INDEX(tblKurallar[deger_2025],MATCH("SGK-002",tblKurallar[kural_id],0))+$E87*INDEX(tblKurallar[deger_2025],MATCH("SGK-004",tblKurallar[kural_id],0))+$F87*sgk_isverenOran,2),0))</f>
        <v/>
      </c>
      <c r="I87" s="37">
        <f>IF($A87="","",IFERROR(MAX(0,$H87-$G87),0))</f>
        <v/>
      </c>
    </row>
    <row r="88">
      <c r="A88" s="36" t="n"/>
      <c r="B88" s="36" t="n"/>
      <c r="C88" s="36" t="n"/>
      <c r="D88" s="36" t="n"/>
      <c r="E88" s="36" t="n"/>
      <c r="F88" s="36" t="n"/>
      <c r="G88" s="36" t="n"/>
      <c r="H88" s="37">
        <f>IF($A88="","",IFERROR(ROUND($C88*INDEX(tblKurallar[deger_2025],MATCH("SGK-001",tblKurallar[kural_id],0))+$D88*INDEX(tblKurallar[deger_2025],MATCH("SGK-002",tblKurallar[kural_id],0))+$E88*INDEX(tblKurallar[deger_2025],MATCH("SGK-004",tblKurallar[kural_id],0))+$F88*sgk_isverenOran,2),0))</f>
        <v/>
      </c>
      <c r="I88" s="37">
        <f>IF($A88="","",IFERROR(MAX(0,$H88-$G88),0))</f>
        <v/>
      </c>
    </row>
    <row r="89">
      <c r="A89" s="36" t="n"/>
      <c r="B89" s="36" t="n"/>
      <c r="C89" s="36" t="n"/>
      <c r="D89" s="36" t="n"/>
      <c r="E89" s="36" t="n"/>
      <c r="F89" s="36" t="n"/>
      <c r="G89" s="36" t="n"/>
      <c r="H89" s="37">
        <f>IF($A89="","",IFERROR(ROUND($C89*INDEX(tblKurallar[deger_2025],MATCH("SGK-001",tblKurallar[kural_id],0))+$D89*INDEX(tblKurallar[deger_2025],MATCH("SGK-002",tblKurallar[kural_id],0))+$E89*INDEX(tblKurallar[deger_2025],MATCH("SGK-004",tblKurallar[kural_id],0))+$F89*sgk_isverenOran,2),0))</f>
        <v/>
      </c>
      <c r="I89" s="37">
        <f>IF($A89="","",IFERROR(MAX(0,$H89-$G89),0))</f>
        <v/>
      </c>
    </row>
    <row r="90">
      <c r="A90" s="36" t="n"/>
      <c r="B90" s="36" t="n"/>
      <c r="C90" s="36" t="n"/>
      <c r="D90" s="36" t="n"/>
      <c r="E90" s="36" t="n"/>
      <c r="F90" s="36" t="n"/>
      <c r="G90" s="36" t="n"/>
      <c r="H90" s="37">
        <f>IF($A90="","",IFERROR(ROUND($C90*INDEX(tblKurallar[deger_2025],MATCH("SGK-001",tblKurallar[kural_id],0))+$D90*INDEX(tblKurallar[deger_2025],MATCH("SGK-002",tblKurallar[kural_id],0))+$E90*INDEX(tblKurallar[deger_2025],MATCH("SGK-004",tblKurallar[kural_id],0))+$F90*sgk_isverenOran,2),0))</f>
        <v/>
      </c>
      <c r="I90" s="37">
        <f>IF($A90="","",IFERROR(MAX(0,$H90-$G90),0))</f>
        <v/>
      </c>
    </row>
    <row r="91">
      <c r="A91" s="36" t="n"/>
      <c r="B91" s="36" t="n"/>
      <c r="C91" s="36" t="n"/>
      <c r="D91" s="36" t="n"/>
      <c r="E91" s="36" t="n"/>
      <c r="F91" s="36" t="n"/>
      <c r="G91" s="36" t="n"/>
      <c r="H91" s="37">
        <f>IF($A91="","",IFERROR(ROUND($C91*INDEX(tblKurallar[deger_2025],MATCH("SGK-001",tblKurallar[kural_id],0))+$D91*INDEX(tblKurallar[deger_2025],MATCH("SGK-002",tblKurallar[kural_id],0))+$E91*INDEX(tblKurallar[deger_2025],MATCH("SGK-004",tblKurallar[kural_id],0))+$F91*sgk_isverenOran,2),0))</f>
        <v/>
      </c>
      <c r="I91" s="37">
        <f>IF($A91="","",IFERROR(MAX(0,$H91-$G91),0))</f>
        <v/>
      </c>
    </row>
    <row r="92">
      <c r="A92" s="36" t="n"/>
      <c r="B92" s="36" t="n"/>
      <c r="C92" s="36" t="n"/>
      <c r="D92" s="36" t="n"/>
      <c r="E92" s="36" t="n"/>
      <c r="F92" s="36" t="n"/>
      <c r="G92" s="36" t="n"/>
      <c r="H92" s="37">
        <f>IF($A92="","",IFERROR(ROUND($C92*INDEX(tblKurallar[deger_2025],MATCH("SGK-001",tblKurallar[kural_id],0))+$D92*INDEX(tblKurallar[deger_2025],MATCH("SGK-002",tblKurallar[kural_id],0))+$E92*INDEX(tblKurallar[deger_2025],MATCH("SGK-004",tblKurallar[kural_id],0))+$F92*sgk_isverenOran,2),0))</f>
        <v/>
      </c>
      <c r="I92" s="37">
        <f>IF($A92="","",IFERROR(MAX(0,$H92-$G92),0))</f>
        <v/>
      </c>
    </row>
    <row r="93">
      <c r="A93" s="36" t="n"/>
      <c r="B93" s="36" t="n"/>
      <c r="C93" s="36" t="n"/>
      <c r="D93" s="36" t="n"/>
      <c r="E93" s="36" t="n"/>
      <c r="F93" s="36" t="n"/>
      <c r="G93" s="36" t="n"/>
      <c r="H93" s="37">
        <f>IF($A93="","",IFERROR(ROUND($C93*INDEX(tblKurallar[deger_2025],MATCH("SGK-001",tblKurallar[kural_id],0))+$D93*INDEX(tblKurallar[deger_2025],MATCH("SGK-002",tblKurallar[kural_id],0))+$E93*INDEX(tblKurallar[deger_2025],MATCH("SGK-004",tblKurallar[kural_id],0))+$F93*sgk_isverenOran,2),0))</f>
        <v/>
      </c>
      <c r="I93" s="37">
        <f>IF($A93="","",IFERROR(MAX(0,$H93-$G93),0))</f>
        <v/>
      </c>
    </row>
    <row r="94">
      <c r="A94" s="36" t="n"/>
      <c r="B94" s="36" t="n"/>
      <c r="C94" s="36" t="n"/>
      <c r="D94" s="36" t="n"/>
      <c r="E94" s="36" t="n"/>
      <c r="F94" s="36" t="n"/>
      <c r="G94" s="36" t="n"/>
      <c r="H94" s="37">
        <f>IF($A94="","",IFERROR(ROUND($C94*INDEX(tblKurallar[deger_2025],MATCH("SGK-001",tblKurallar[kural_id],0))+$D94*INDEX(tblKurallar[deger_2025],MATCH("SGK-002",tblKurallar[kural_id],0))+$E94*INDEX(tblKurallar[deger_2025],MATCH("SGK-004",tblKurallar[kural_id],0))+$F94*sgk_isverenOran,2),0))</f>
        <v/>
      </c>
      <c r="I94" s="37">
        <f>IF($A94="","",IFERROR(MAX(0,$H94-$G94),0))</f>
        <v/>
      </c>
    </row>
    <row r="95">
      <c r="A95" s="36" t="n"/>
      <c r="B95" s="36" t="n"/>
      <c r="C95" s="36" t="n"/>
      <c r="D95" s="36" t="n"/>
      <c r="E95" s="36" t="n"/>
      <c r="F95" s="36" t="n"/>
      <c r="G95" s="36" t="n"/>
      <c r="H95" s="37">
        <f>IF($A95="","",IFERROR(ROUND($C95*INDEX(tblKurallar[deger_2025],MATCH("SGK-001",tblKurallar[kural_id],0))+$D95*INDEX(tblKurallar[deger_2025],MATCH("SGK-002",tblKurallar[kural_id],0))+$E95*INDEX(tblKurallar[deger_2025],MATCH("SGK-004",tblKurallar[kural_id],0))+$F95*sgk_isverenOran,2),0))</f>
        <v/>
      </c>
      <c r="I95" s="37">
        <f>IF($A95="","",IFERROR(MAX(0,$H95-$G95),0))</f>
        <v/>
      </c>
    </row>
    <row r="96">
      <c r="A96" s="36" t="n"/>
      <c r="B96" s="36" t="n"/>
      <c r="C96" s="36" t="n"/>
      <c r="D96" s="36" t="n"/>
      <c r="E96" s="36" t="n"/>
      <c r="F96" s="36" t="n"/>
      <c r="G96" s="36" t="n"/>
      <c r="H96" s="37">
        <f>IF($A96="","",IFERROR(ROUND($C96*INDEX(tblKurallar[deger_2025],MATCH("SGK-001",tblKurallar[kural_id],0))+$D96*INDEX(tblKurallar[deger_2025],MATCH("SGK-002",tblKurallar[kural_id],0))+$E96*INDEX(tblKurallar[deger_2025],MATCH("SGK-004",tblKurallar[kural_id],0))+$F96*sgk_isverenOran,2),0))</f>
        <v/>
      </c>
      <c r="I96" s="37">
        <f>IF($A96="","",IFERROR(MAX(0,$H96-$G96),0))</f>
        <v/>
      </c>
    </row>
    <row r="97">
      <c r="A97" s="36" t="n"/>
      <c r="B97" s="36" t="n"/>
      <c r="C97" s="36" t="n"/>
      <c r="D97" s="36" t="n"/>
      <c r="E97" s="36" t="n"/>
      <c r="F97" s="36" t="n"/>
      <c r="G97" s="36" t="n"/>
      <c r="H97" s="37">
        <f>IF($A97="","",IFERROR(ROUND($C97*INDEX(tblKurallar[deger_2025],MATCH("SGK-001",tblKurallar[kural_id],0))+$D97*INDEX(tblKurallar[deger_2025],MATCH("SGK-002",tblKurallar[kural_id],0))+$E97*INDEX(tblKurallar[deger_2025],MATCH("SGK-004",tblKurallar[kural_id],0))+$F97*sgk_isverenOran,2),0))</f>
        <v/>
      </c>
      <c r="I97" s="37">
        <f>IF($A97="","",IFERROR(MAX(0,$H97-$G97),0))</f>
        <v/>
      </c>
    </row>
    <row r="98">
      <c r="A98" s="36" t="n"/>
      <c r="B98" s="36" t="n"/>
      <c r="C98" s="36" t="n"/>
      <c r="D98" s="36" t="n"/>
      <c r="E98" s="36" t="n"/>
      <c r="F98" s="36" t="n"/>
      <c r="G98" s="36" t="n"/>
      <c r="H98" s="37">
        <f>IF($A98="","",IFERROR(ROUND($C98*INDEX(tblKurallar[deger_2025],MATCH("SGK-001",tblKurallar[kural_id],0))+$D98*INDEX(tblKurallar[deger_2025],MATCH("SGK-002",tblKurallar[kural_id],0))+$E98*INDEX(tblKurallar[deger_2025],MATCH("SGK-004",tblKurallar[kural_id],0))+$F98*sgk_isverenOran,2),0))</f>
        <v/>
      </c>
      <c r="I98" s="37">
        <f>IF($A98="","",IFERROR(MAX(0,$H98-$G98),0))</f>
        <v/>
      </c>
    </row>
    <row r="99">
      <c r="A99" s="36" t="n"/>
      <c r="B99" s="36" t="n"/>
      <c r="C99" s="36" t="n"/>
      <c r="D99" s="36" t="n"/>
      <c r="E99" s="36" t="n"/>
      <c r="F99" s="36" t="n"/>
      <c r="G99" s="36" t="n"/>
      <c r="H99" s="37">
        <f>IF($A99="","",IFERROR(ROUND($C99*INDEX(tblKurallar[deger_2025],MATCH("SGK-001",tblKurallar[kural_id],0))+$D99*INDEX(tblKurallar[deger_2025],MATCH("SGK-002",tblKurallar[kural_id],0))+$E99*INDEX(tblKurallar[deger_2025],MATCH("SGK-004",tblKurallar[kural_id],0))+$F99*sgk_isverenOran,2),0))</f>
        <v/>
      </c>
      <c r="I99" s="37">
        <f>IF($A99="","",IFERROR(MAX(0,$H99-$G99),0))</f>
        <v/>
      </c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7">
        <f>IF($A100="","",IFERROR(ROUND($C100*INDEX(tblKurallar[deger_2025],MATCH("SGK-001",tblKurallar[kural_id],0))+$D100*INDEX(tblKurallar[deger_2025],MATCH("SGK-002",tblKurallar[kural_id],0))+$E100*INDEX(tblKurallar[deger_2025],MATCH("SGK-004",tblKurallar[kural_id],0))+$F100*sgk_isverenOran,2),0))</f>
        <v/>
      </c>
      <c r="I100" s="37">
        <f>IF($A100="","",IFERROR(MAX(0,$H100-$G100),0))</f>
        <v/>
      </c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7">
        <f>IF($A101="","",IFERROR(ROUND($C101*INDEX(tblKurallar[deger_2025],MATCH("SGK-001",tblKurallar[kural_id],0))+$D101*INDEX(tblKurallar[deger_2025],MATCH("SGK-002",tblKurallar[kural_id],0))+$E101*INDEX(tblKurallar[deger_2025],MATCH("SGK-004",tblKurallar[kural_id],0))+$F101*sgk_isverenOran,2),0))</f>
        <v/>
      </c>
      <c r="I101" s="37">
        <f>IF($A101="","",IFERROR(MAX(0,$H101-$G101),0))</f>
        <v/>
      </c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7">
        <f>IF($A102="","",IFERROR(ROUND($C102*INDEX(tblKurallar[deger_2025],MATCH("SGK-001",tblKurallar[kural_id],0))+$D102*INDEX(tblKurallar[deger_2025],MATCH("SGK-002",tblKurallar[kural_id],0))+$E102*INDEX(tblKurallar[deger_2025],MATCH("SGK-004",tblKurallar[kural_id],0))+$F102*sgk_isverenOran,2),0))</f>
        <v/>
      </c>
      <c r="I102" s="37">
        <f>IF($A102="","",IFERROR(MAX(0,$H102-$G102),0))</f>
        <v/>
      </c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7">
        <f>IF($A103="","",IFERROR(ROUND($C103*INDEX(tblKurallar[deger_2025],MATCH("SGK-001",tblKurallar[kural_id],0))+$D103*INDEX(tblKurallar[deger_2025],MATCH("SGK-002",tblKurallar[kural_id],0))+$E103*INDEX(tblKurallar[deger_2025],MATCH("SGK-004",tblKurallar[kural_id],0))+$F103*sgk_isverenOran,2),0))</f>
        <v/>
      </c>
      <c r="I103" s="37">
        <f>IF($A103="","",IFERROR(MAX(0,$H103-$G103),0))</f>
        <v/>
      </c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7">
        <f>IF($A104="","",IFERROR(ROUND($C104*INDEX(tblKurallar[deger_2025],MATCH("SGK-001",tblKurallar[kural_id],0))+$D104*INDEX(tblKurallar[deger_2025],MATCH("SGK-002",tblKurallar[kural_id],0))+$E104*INDEX(tblKurallar[deger_2025],MATCH("SGK-004",tblKurallar[kural_id],0))+$F104*sgk_isverenOran,2),0))</f>
        <v/>
      </c>
      <c r="I104" s="37">
        <f>IF($A104="","",IFERROR(MAX(0,$H104-$G104),0))</f>
        <v/>
      </c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7">
        <f>IF($A105="","",IFERROR(ROUND($C105*INDEX(tblKurallar[deger_2025],MATCH("SGK-001",tblKurallar[kural_id],0))+$D105*INDEX(tblKurallar[deger_2025],MATCH("SGK-002",tblKurallar[kural_id],0))+$E105*INDEX(tblKurallar[deger_2025],MATCH("SGK-004",tblKurallar[kural_id],0))+$F105*sgk_isverenOran,2),0))</f>
        <v/>
      </c>
      <c r="I105" s="37">
        <f>IF($A105="","",IFERROR(MAX(0,$H105-$G105),0))</f>
        <v/>
      </c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7">
        <f>IF($A106="","",IFERROR(ROUND($C106*INDEX(tblKurallar[deger_2025],MATCH("SGK-001",tblKurallar[kural_id],0))+$D106*INDEX(tblKurallar[deger_2025],MATCH("SGK-002",tblKurallar[kural_id],0))+$E106*INDEX(tblKurallar[deger_2025],MATCH("SGK-004",tblKurallar[kural_id],0))+$F106*sgk_isverenOran,2),0))</f>
        <v/>
      </c>
      <c r="I106" s="37">
        <f>IF($A106="","",IFERROR(MAX(0,$H106-$G106),0))</f>
        <v/>
      </c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7">
        <f>IF($A107="","",IFERROR(ROUND($C107*INDEX(tblKurallar[deger_2025],MATCH("SGK-001",tblKurallar[kural_id],0))+$D107*INDEX(tblKurallar[deger_2025],MATCH("SGK-002",tblKurallar[kural_id],0))+$E107*INDEX(tblKurallar[deger_2025],MATCH("SGK-004",tblKurallar[kural_id],0))+$F107*sgk_isverenOran,2),0))</f>
        <v/>
      </c>
      <c r="I107" s="37">
        <f>IF($A107="","",IFERROR(MAX(0,$H107-$G107),0))</f>
        <v/>
      </c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7">
        <f>IF($A108="","",IFERROR(ROUND($C108*INDEX(tblKurallar[deger_2025],MATCH("SGK-001",tblKurallar[kural_id],0))+$D108*INDEX(tblKurallar[deger_2025],MATCH("SGK-002",tblKurallar[kural_id],0))+$E108*INDEX(tblKurallar[deger_2025],MATCH("SGK-004",tblKurallar[kural_id],0))+$F108*sgk_isverenOran,2),0))</f>
        <v/>
      </c>
      <c r="I108" s="37">
        <f>IF($A108="","",IFERROR(MAX(0,$H108-$G108),0))</f>
        <v/>
      </c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7">
        <f>IF($A109="","",IFERROR(ROUND($C109*INDEX(tblKurallar[deger_2025],MATCH("SGK-001",tblKurallar[kural_id],0))+$D109*INDEX(tblKurallar[deger_2025],MATCH("SGK-002",tblKurallar[kural_id],0))+$E109*INDEX(tblKurallar[deger_2025],MATCH("SGK-004",tblKurallar[kural_id],0))+$F109*sgk_isverenOran,2),0))</f>
        <v/>
      </c>
      <c r="I109" s="37">
        <f>IF($A109="","",IFERROR(MAX(0,$H109-$G109),0))</f>
        <v/>
      </c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7">
        <f>IF($A110="","",IFERROR(ROUND($C110*INDEX(tblKurallar[deger_2025],MATCH("SGK-001",tblKurallar[kural_id],0))+$D110*INDEX(tblKurallar[deger_2025],MATCH("SGK-002",tblKurallar[kural_id],0))+$E110*INDEX(tblKurallar[deger_2025],MATCH("SGK-004",tblKurallar[kural_id],0))+$F110*sgk_isverenOran,2),0))</f>
        <v/>
      </c>
      <c r="I110" s="37">
        <f>IF($A110="","",IFERROR(MAX(0,$H110-$G110),0))</f>
        <v/>
      </c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7">
        <f>IF($A111="","",IFERROR(ROUND($C111*INDEX(tblKurallar[deger_2025],MATCH("SGK-001",tblKurallar[kural_id],0))+$D111*INDEX(tblKurallar[deger_2025],MATCH("SGK-002",tblKurallar[kural_id],0))+$E111*INDEX(tblKurallar[deger_2025],MATCH("SGK-004",tblKurallar[kural_id],0))+$F111*sgk_isverenOran,2),0))</f>
        <v/>
      </c>
      <c r="I111" s="37">
        <f>IF($A111="","",IFERROR(MAX(0,$H111-$G111),0))</f>
        <v/>
      </c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7">
        <f>IF($A112="","",IFERROR(ROUND($C112*INDEX(tblKurallar[deger_2025],MATCH("SGK-001",tblKurallar[kural_id],0))+$D112*INDEX(tblKurallar[deger_2025],MATCH("SGK-002",tblKurallar[kural_id],0))+$E112*INDEX(tblKurallar[deger_2025],MATCH("SGK-004",tblKurallar[kural_id],0))+$F112*sgk_isverenOran,2),0))</f>
        <v/>
      </c>
      <c r="I112" s="37">
        <f>IF($A112="","",IFERROR(MAX(0,$H112-$G112),0))</f>
        <v/>
      </c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7">
        <f>IF($A113="","",IFERROR(ROUND($C113*INDEX(tblKurallar[deger_2025],MATCH("SGK-001",tblKurallar[kural_id],0))+$D113*INDEX(tblKurallar[deger_2025],MATCH("SGK-002",tblKurallar[kural_id],0))+$E113*INDEX(tblKurallar[deger_2025],MATCH("SGK-004",tblKurallar[kural_id],0))+$F113*sgk_isverenOran,2),0))</f>
        <v/>
      </c>
      <c r="I113" s="37">
        <f>IF($A113="","",IFERROR(MAX(0,$H113-$G113),0))</f>
        <v/>
      </c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7">
        <f>IF($A114="","",IFERROR(ROUND($C114*INDEX(tblKurallar[deger_2025],MATCH("SGK-001",tblKurallar[kural_id],0))+$D114*INDEX(tblKurallar[deger_2025],MATCH("SGK-002",tblKurallar[kural_id],0))+$E114*INDEX(tblKurallar[deger_2025],MATCH("SGK-004",tblKurallar[kural_id],0))+$F114*sgk_isverenOran,2),0))</f>
        <v/>
      </c>
      <c r="I114" s="37">
        <f>IF($A114="","",IFERROR(MAX(0,$H114-$G114),0))</f>
        <v/>
      </c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7">
        <f>IF($A115="","",IFERROR(ROUND($C115*INDEX(tblKurallar[deger_2025],MATCH("SGK-001",tblKurallar[kural_id],0))+$D115*INDEX(tblKurallar[deger_2025],MATCH("SGK-002",tblKurallar[kural_id],0))+$E115*INDEX(tblKurallar[deger_2025],MATCH("SGK-004",tblKurallar[kural_id],0))+$F115*sgk_isverenOran,2),0))</f>
        <v/>
      </c>
      <c r="I115" s="37">
        <f>IF($A115="","",IFERROR(MAX(0,$H115-$G115),0))</f>
        <v/>
      </c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7">
        <f>IF($A116="","",IFERROR(ROUND($C116*INDEX(tblKurallar[deger_2025],MATCH("SGK-001",tblKurallar[kural_id],0))+$D116*INDEX(tblKurallar[deger_2025],MATCH("SGK-002",tblKurallar[kural_id],0))+$E116*INDEX(tblKurallar[deger_2025],MATCH("SGK-004",tblKurallar[kural_id],0))+$F116*sgk_isverenOran,2),0))</f>
        <v/>
      </c>
      <c r="I116" s="37">
        <f>IF($A116="","",IFERROR(MAX(0,$H116-$G116),0))</f>
        <v/>
      </c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7">
        <f>IF($A117="","",IFERROR(ROUND($C117*INDEX(tblKurallar[deger_2025],MATCH("SGK-001",tblKurallar[kural_id],0))+$D117*INDEX(tblKurallar[deger_2025],MATCH("SGK-002",tblKurallar[kural_id],0))+$E117*INDEX(tblKurallar[deger_2025],MATCH("SGK-004",tblKurallar[kural_id],0))+$F117*sgk_isverenOran,2),0))</f>
        <v/>
      </c>
      <c r="I117" s="37">
        <f>IF($A117="","",IFERROR(MAX(0,$H117-$G117),0))</f>
        <v/>
      </c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7">
        <f>IF($A118="","",IFERROR(ROUND($C118*INDEX(tblKurallar[deger_2025],MATCH("SGK-001",tblKurallar[kural_id],0))+$D118*INDEX(tblKurallar[deger_2025],MATCH("SGK-002",tblKurallar[kural_id],0))+$E118*INDEX(tblKurallar[deger_2025],MATCH("SGK-004",tblKurallar[kural_id],0))+$F118*sgk_isverenOran,2),0))</f>
        <v/>
      </c>
      <c r="I118" s="37">
        <f>IF($A118="","",IFERROR(MAX(0,$H118-$G118),0))</f>
        <v/>
      </c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7">
        <f>IF($A119="","",IFERROR(ROUND($C119*INDEX(tblKurallar[deger_2025],MATCH("SGK-001",tblKurallar[kural_id],0))+$D119*INDEX(tblKurallar[deger_2025],MATCH("SGK-002",tblKurallar[kural_id],0))+$E119*INDEX(tblKurallar[deger_2025],MATCH("SGK-004",tblKurallar[kural_id],0))+$F119*sgk_isverenOran,2),0))</f>
        <v/>
      </c>
      <c r="I119" s="37">
        <f>IF($A119="","",IFERROR(MAX(0,$H119-$G119),0))</f>
        <v/>
      </c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7">
        <f>IF($A120="","",IFERROR(ROUND($C120*INDEX(tblKurallar[deger_2025],MATCH("SGK-001",tblKurallar[kural_id],0))+$D120*INDEX(tblKurallar[deger_2025],MATCH("SGK-002",tblKurallar[kural_id],0))+$E120*INDEX(tblKurallar[deger_2025],MATCH("SGK-004",tblKurallar[kural_id],0))+$F120*sgk_isverenOran,2),0))</f>
        <v/>
      </c>
      <c r="I120" s="37">
        <f>IF($A120="","",IFERROR(MAX(0,$H120-$G120),0))</f>
        <v/>
      </c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7">
        <f>IF($A121="","",IFERROR(ROUND($C121*INDEX(tblKurallar[deger_2025],MATCH("SGK-001",tblKurallar[kural_id],0))+$D121*INDEX(tblKurallar[deger_2025],MATCH("SGK-002",tblKurallar[kural_id],0))+$E121*INDEX(tblKurallar[deger_2025],MATCH("SGK-004",tblKurallar[kural_id],0))+$F121*sgk_isverenOran,2),0))</f>
        <v/>
      </c>
      <c r="I121" s="37">
        <f>IF($A121="","",IFERROR(MAX(0,$H121-$G121),0))</f>
        <v/>
      </c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7">
        <f>IF($A122="","",IFERROR(ROUND($C122*INDEX(tblKurallar[deger_2025],MATCH("SGK-001",tblKurallar[kural_id],0))+$D122*INDEX(tblKurallar[deger_2025],MATCH("SGK-002",tblKurallar[kural_id],0))+$E122*INDEX(tblKurallar[deger_2025],MATCH("SGK-004",tblKurallar[kural_id],0))+$F122*sgk_isverenOran,2),0))</f>
        <v/>
      </c>
      <c r="I122" s="37">
        <f>IF($A122="","",IFERROR(MAX(0,$H122-$G122),0))</f>
        <v/>
      </c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7">
        <f>IF($A123="","",IFERROR(ROUND($C123*INDEX(tblKurallar[deger_2025],MATCH("SGK-001",tblKurallar[kural_id],0))+$D123*INDEX(tblKurallar[deger_2025],MATCH("SGK-002",tblKurallar[kural_id],0))+$E123*INDEX(tblKurallar[deger_2025],MATCH("SGK-004",tblKurallar[kural_id],0))+$F123*sgk_isverenOran,2),0))</f>
        <v/>
      </c>
      <c r="I123" s="37">
        <f>IF($A123="","",IFERROR(MAX(0,$H123-$G123),0))</f>
        <v/>
      </c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7">
        <f>IF($A124="","",IFERROR(ROUND($C124*INDEX(tblKurallar[deger_2025],MATCH("SGK-001",tblKurallar[kural_id],0))+$D124*INDEX(tblKurallar[deger_2025],MATCH("SGK-002",tblKurallar[kural_id],0))+$E124*INDEX(tblKurallar[deger_2025],MATCH("SGK-004",tblKurallar[kural_id],0))+$F124*sgk_isverenOran,2),0))</f>
        <v/>
      </c>
      <c r="I124" s="37">
        <f>IF($A124="","",IFERROR(MAX(0,$H124-$G124),0))</f>
        <v/>
      </c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7">
        <f>IF($A125="","",IFERROR(ROUND($C125*INDEX(tblKurallar[deger_2025],MATCH("SGK-001",tblKurallar[kural_id],0))+$D125*INDEX(tblKurallar[deger_2025],MATCH("SGK-002",tblKurallar[kural_id],0))+$E125*INDEX(tblKurallar[deger_2025],MATCH("SGK-004",tblKurallar[kural_id],0))+$F125*sgk_isverenOran,2),0))</f>
        <v/>
      </c>
      <c r="I125" s="37">
        <f>IF($A125="","",IFERROR(MAX(0,$H125-$G125),0))</f>
        <v/>
      </c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7">
        <f>IF($A126="","",IFERROR(ROUND($C126*INDEX(tblKurallar[deger_2025],MATCH("SGK-001",tblKurallar[kural_id],0))+$D126*INDEX(tblKurallar[deger_2025],MATCH("SGK-002",tblKurallar[kural_id],0))+$E126*INDEX(tblKurallar[deger_2025],MATCH("SGK-004",tblKurallar[kural_id],0))+$F126*sgk_isverenOran,2),0))</f>
        <v/>
      </c>
      <c r="I126" s="37">
        <f>IF($A126="","",IFERROR(MAX(0,$H126-$G126),0))</f>
        <v/>
      </c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7">
        <f>IF($A127="","",IFERROR(ROUND($C127*INDEX(tblKurallar[deger_2025],MATCH("SGK-001",tblKurallar[kural_id],0))+$D127*INDEX(tblKurallar[deger_2025],MATCH("SGK-002",tblKurallar[kural_id],0))+$E127*INDEX(tblKurallar[deger_2025],MATCH("SGK-004",tblKurallar[kural_id],0))+$F127*sgk_isverenOran,2),0))</f>
        <v/>
      </c>
      <c r="I127" s="37">
        <f>IF($A127="","",IFERROR(MAX(0,$H127-$G127),0))</f>
        <v/>
      </c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7">
        <f>IF($A128="","",IFERROR(ROUND($C128*INDEX(tblKurallar[deger_2025],MATCH("SGK-001",tblKurallar[kural_id],0))+$D128*INDEX(tblKurallar[deger_2025],MATCH("SGK-002",tblKurallar[kural_id],0))+$E128*INDEX(tblKurallar[deger_2025],MATCH("SGK-004",tblKurallar[kural_id],0))+$F128*sgk_isverenOran,2),0))</f>
        <v/>
      </c>
      <c r="I128" s="37">
        <f>IF($A128="","",IFERROR(MAX(0,$H128-$G128),0))</f>
        <v/>
      </c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7">
        <f>IF($A129="","",IFERROR(ROUND($C129*INDEX(tblKurallar[deger_2025],MATCH("SGK-001",tblKurallar[kural_id],0))+$D129*INDEX(tblKurallar[deger_2025],MATCH("SGK-002",tblKurallar[kural_id],0))+$E129*INDEX(tblKurallar[deger_2025],MATCH("SGK-004",tblKurallar[kural_id],0))+$F129*sgk_isverenOran,2),0))</f>
        <v/>
      </c>
      <c r="I129" s="37">
        <f>IF($A129="","",IFERROR(MAX(0,$H129-$G129),0))</f>
        <v/>
      </c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7">
        <f>IF($A130="","",IFERROR(ROUND($C130*INDEX(tblKurallar[deger_2025],MATCH("SGK-001",tblKurallar[kural_id],0))+$D130*INDEX(tblKurallar[deger_2025],MATCH("SGK-002",tblKurallar[kural_id],0))+$E130*INDEX(tblKurallar[deger_2025],MATCH("SGK-004",tblKurallar[kural_id],0))+$F130*sgk_isverenOran,2),0))</f>
        <v/>
      </c>
      <c r="I130" s="37">
        <f>IF($A130="","",IFERROR(MAX(0,$H130-$G130),0))</f>
        <v/>
      </c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7">
        <f>IF($A131="","",IFERROR(ROUND($C131*INDEX(tblKurallar[deger_2025],MATCH("SGK-001",tblKurallar[kural_id],0))+$D131*INDEX(tblKurallar[deger_2025],MATCH("SGK-002",tblKurallar[kural_id],0))+$E131*INDEX(tblKurallar[deger_2025],MATCH("SGK-004",tblKurallar[kural_id],0))+$F131*sgk_isverenOran,2),0))</f>
        <v/>
      </c>
      <c r="I131" s="37">
        <f>IF($A131="","",IFERROR(MAX(0,$H131-$G131),0))</f>
        <v/>
      </c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7">
        <f>IF($A132="","",IFERROR(ROUND($C132*INDEX(tblKurallar[deger_2025],MATCH("SGK-001",tblKurallar[kural_id],0))+$D132*INDEX(tblKurallar[deger_2025],MATCH("SGK-002",tblKurallar[kural_id],0))+$E132*INDEX(tblKurallar[deger_2025],MATCH("SGK-004",tblKurallar[kural_id],0))+$F132*sgk_isverenOran,2),0))</f>
        <v/>
      </c>
      <c r="I132" s="37">
        <f>IF($A132="","",IFERROR(MAX(0,$H132-$G132),0))</f>
        <v/>
      </c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7">
        <f>IF($A133="","",IFERROR(ROUND($C133*INDEX(tblKurallar[deger_2025],MATCH("SGK-001",tblKurallar[kural_id],0))+$D133*INDEX(tblKurallar[deger_2025],MATCH("SGK-002",tblKurallar[kural_id],0))+$E133*INDEX(tblKurallar[deger_2025],MATCH("SGK-004",tblKurallar[kural_id],0))+$F133*sgk_isverenOran,2),0))</f>
        <v/>
      </c>
      <c r="I133" s="37">
        <f>IF($A133="","",IFERROR(MAX(0,$H133-$G133),0))</f>
        <v/>
      </c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7">
        <f>IF($A134="","",IFERROR(ROUND($C134*INDEX(tblKurallar[deger_2025],MATCH("SGK-001",tblKurallar[kural_id],0))+$D134*INDEX(tblKurallar[deger_2025],MATCH("SGK-002",tblKurallar[kural_id],0))+$E134*INDEX(tblKurallar[deger_2025],MATCH("SGK-004",tblKurallar[kural_id],0))+$F134*sgk_isverenOran,2),0))</f>
        <v/>
      </c>
      <c r="I134" s="37">
        <f>IF($A134="","",IFERROR(MAX(0,$H134-$G134),0))</f>
        <v/>
      </c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7">
        <f>IF($A135="","",IFERROR(ROUND($C135*INDEX(tblKurallar[deger_2025],MATCH("SGK-001",tblKurallar[kural_id],0))+$D135*INDEX(tblKurallar[deger_2025],MATCH("SGK-002",tblKurallar[kural_id],0))+$E135*INDEX(tblKurallar[deger_2025],MATCH("SGK-004",tblKurallar[kural_id],0))+$F135*sgk_isverenOran,2),0))</f>
        <v/>
      </c>
      <c r="I135" s="37">
        <f>IF($A135="","",IFERROR(MAX(0,$H135-$G135),0))</f>
        <v/>
      </c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7">
        <f>IF($A136="","",IFERROR(ROUND($C136*INDEX(tblKurallar[deger_2025],MATCH("SGK-001",tblKurallar[kural_id],0))+$D136*INDEX(tblKurallar[deger_2025],MATCH("SGK-002",tblKurallar[kural_id],0))+$E136*INDEX(tblKurallar[deger_2025],MATCH("SGK-004",tblKurallar[kural_id],0))+$F136*sgk_isverenOran,2),0))</f>
        <v/>
      </c>
      <c r="I136" s="37">
        <f>IF($A136="","",IFERROR(MAX(0,$H136-$G136),0))</f>
        <v/>
      </c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7">
        <f>IF($A137="","",IFERROR(ROUND($C137*INDEX(tblKurallar[deger_2025],MATCH("SGK-001",tblKurallar[kural_id],0))+$D137*INDEX(tblKurallar[deger_2025],MATCH("SGK-002",tblKurallar[kural_id],0))+$E137*INDEX(tblKurallar[deger_2025],MATCH("SGK-004",tblKurallar[kural_id],0))+$F137*sgk_isverenOran,2),0))</f>
        <v/>
      </c>
      <c r="I137" s="37">
        <f>IF($A137="","",IFERROR(MAX(0,$H137-$G137),0))</f>
        <v/>
      </c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7">
        <f>IF($A138="","",IFERROR(ROUND($C138*INDEX(tblKurallar[deger_2025],MATCH("SGK-001",tblKurallar[kural_id],0))+$D138*INDEX(tblKurallar[deger_2025],MATCH("SGK-002",tblKurallar[kural_id],0))+$E138*INDEX(tblKurallar[deger_2025],MATCH("SGK-004",tblKurallar[kural_id],0))+$F138*sgk_isverenOran,2),0))</f>
        <v/>
      </c>
      <c r="I138" s="37">
        <f>IF($A138="","",IFERROR(MAX(0,$H138-$G138),0))</f>
        <v/>
      </c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7">
        <f>IF($A139="","",IFERROR(ROUND($C139*INDEX(tblKurallar[deger_2025],MATCH("SGK-001",tblKurallar[kural_id],0))+$D139*INDEX(tblKurallar[deger_2025],MATCH("SGK-002",tblKurallar[kural_id],0))+$E139*INDEX(tblKurallar[deger_2025],MATCH("SGK-004",tblKurallar[kural_id],0))+$F139*sgk_isverenOran,2),0))</f>
        <v/>
      </c>
      <c r="I139" s="37">
        <f>IF($A139="","",IFERROR(MAX(0,$H139-$G139),0))</f>
        <v/>
      </c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7">
        <f>IF($A140="","",IFERROR(ROUND($C140*INDEX(tblKurallar[deger_2025],MATCH("SGK-001",tblKurallar[kural_id],0))+$D140*INDEX(tblKurallar[deger_2025],MATCH("SGK-002",tblKurallar[kural_id],0))+$E140*INDEX(tblKurallar[deger_2025],MATCH("SGK-004",tblKurallar[kural_id],0))+$F140*sgk_isverenOran,2),0))</f>
        <v/>
      </c>
      <c r="I140" s="37">
        <f>IF($A140="","",IFERROR(MAX(0,$H140-$G140),0))</f>
        <v/>
      </c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7">
        <f>IF($A141="","",IFERROR(ROUND($C141*INDEX(tblKurallar[deger_2025],MATCH("SGK-001",tblKurallar[kural_id],0))+$D141*INDEX(tblKurallar[deger_2025],MATCH("SGK-002",tblKurallar[kural_id],0))+$E141*INDEX(tblKurallar[deger_2025],MATCH("SGK-004",tblKurallar[kural_id],0))+$F141*sgk_isverenOran,2),0))</f>
        <v/>
      </c>
      <c r="I141" s="37">
        <f>IF($A141="","",IFERROR(MAX(0,$H141-$G141),0))</f>
        <v/>
      </c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7">
        <f>IF($A142="","",IFERROR(ROUND($C142*INDEX(tblKurallar[deger_2025],MATCH("SGK-001",tblKurallar[kural_id],0))+$D142*INDEX(tblKurallar[deger_2025],MATCH("SGK-002",tblKurallar[kural_id],0))+$E142*INDEX(tblKurallar[deger_2025],MATCH("SGK-004",tblKurallar[kural_id],0))+$F142*sgk_isverenOran,2),0))</f>
        <v/>
      </c>
      <c r="I142" s="37">
        <f>IF($A142="","",IFERROR(MAX(0,$H142-$G142),0))</f>
        <v/>
      </c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7">
        <f>IF($A143="","",IFERROR(ROUND($C143*INDEX(tblKurallar[deger_2025],MATCH("SGK-001",tblKurallar[kural_id],0))+$D143*INDEX(tblKurallar[deger_2025],MATCH("SGK-002",tblKurallar[kural_id],0))+$E143*INDEX(tblKurallar[deger_2025],MATCH("SGK-004",tblKurallar[kural_id],0))+$F143*sgk_isverenOran,2),0))</f>
        <v/>
      </c>
      <c r="I143" s="37">
        <f>IF($A143="","",IFERROR(MAX(0,$H143-$G143),0))</f>
        <v/>
      </c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7">
        <f>IF($A144="","",IFERROR(ROUND($C144*INDEX(tblKurallar[deger_2025],MATCH("SGK-001",tblKurallar[kural_id],0))+$D144*INDEX(tblKurallar[deger_2025],MATCH("SGK-002",tblKurallar[kural_id],0))+$E144*INDEX(tblKurallar[deger_2025],MATCH("SGK-004",tblKurallar[kural_id],0))+$F144*sgk_isverenOran,2),0))</f>
        <v/>
      </c>
      <c r="I144" s="37">
        <f>IF($A144="","",IFERROR(MAX(0,$H144-$G144),0))</f>
        <v/>
      </c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7">
        <f>IF($A145="","",IFERROR(ROUND($C145*INDEX(tblKurallar[deger_2025],MATCH("SGK-001",tblKurallar[kural_id],0))+$D145*INDEX(tblKurallar[deger_2025],MATCH("SGK-002",tblKurallar[kural_id],0))+$E145*INDEX(tblKurallar[deger_2025],MATCH("SGK-004",tblKurallar[kural_id],0))+$F145*sgk_isverenOran,2),0))</f>
        <v/>
      </c>
      <c r="I145" s="37">
        <f>IF($A145="","",IFERROR(MAX(0,$H145-$G145),0))</f>
        <v/>
      </c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7">
        <f>IF($A146="","",IFERROR(ROUND($C146*INDEX(tblKurallar[deger_2025],MATCH("SGK-001",tblKurallar[kural_id],0))+$D146*INDEX(tblKurallar[deger_2025],MATCH("SGK-002",tblKurallar[kural_id],0))+$E146*INDEX(tblKurallar[deger_2025],MATCH("SGK-004",tblKurallar[kural_id],0))+$F146*sgk_isverenOran,2),0))</f>
        <v/>
      </c>
      <c r="I146" s="37">
        <f>IF($A146="","",IFERROR(MAX(0,$H146-$G146),0))</f>
        <v/>
      </c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7">
        <f>IF($A147="","",IFERROR(ROUND($C147*INDEX(tblKurallar[deger_2025],MATCH("SGK-001",tblKurallar[kural_id],0))+$D147*INDEX(tblKurallar[deger_2025],MATCH("SGK-002",tblKurallar[kural_id],0))+$E147*INDEX(tblKurallar[deger_2025],MATCH("SGK-004",tblKurallar[kural_id],0))+$F147*sgk_isverenOran,2),0))</f>
        <v/>
      </c>
      <c r="I147" s="37">
        <f>IF($A147="","",IFERROR(MAX(0,$H147-$G147),0))</f>
        <v/>
      </c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7">
        <f>IF($A148="","",IFERROR(ROUND($C148*INDEX(tblKurallar[deger_2025],MATCH("SGK-001",tblKurallar[kural_id],0))+$D148*INDEX(tblKurallar[deger_2025],MATCH("SGK-002",tblKurallar[kural_id],0))+$E148*INDEX(tblKurallar[deger_2025],MATCH("SGK-004",tblKurallar[kural_id],0))+$F148*sgk_isverenOran,2),0))</f>
        <v/>
      </c>
      <c r="I148" s="37">
        <f>IF($A148="","",IFERROR(MAX(0,$H148-$G148),0))</f>
        <v/>
      </c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7">
        <f>IF($A149="","",IFERROR(ROUND($C149*INDEX(tblKurallar[deger_2025],MATCH("SGK-001",tblKurallar[kural_id],0))+$D149*INDEX(tblKurallar[deger_2025],MATCH("SGK-002",tblKurallar[kural_id],0))+$E149*INDEX(tblKurallar[deger_2025],MATCH("SGK-004",tblKurallar[kural_id],0))+$F149*sgk_isverenOran,2),0))</f>
        <v/>
      </c>
      <c r="I149" s="37">
        <f>IF($A149="","",IFERROR(MAX(0,$H149-$G149),0))</f>
        <v/>
      </c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7">
        <f>IF($A150="","",IFERROR(ROUND($C150*INDEX(tblKurallar[deger_2025],MATCH("SGK-001",tblKurallar[kural_id],0))+$D150*INDEX(tblKurallar[deger_2025],MATCH("SGK-002",tblKurallar[kural_id],0))+$E150*INDEX(tblKurallar[deger_2025],MATCH("SGK-004",tblKurallar[kural_id],0))+$F150*sgk_isverenOran,2),0))</f>
        <v/>
      </c>
      <c r="I150" s="37">
        <f>IF($A150="","",IFERROR(MAX(0,$H150-$G150),0))</f>
        <v/>
      </c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7">
        <f>IF($A151="","",IFERROR(ROUND($C151*INDEX(tblKurallar[deger_2025],MATCH("SGK-001",tblKurallar[kural_id],0))+$D151*INDEX(tblKurallar[deger_2025],MATCH("SGK-002",tblKurallar[kural_id],0))+$E151*INDEX(tblKurallar[deger_2025],MATCH("SGK-004",tblKurallar[kural_id],0))+$F151*sgk_isverenOran,2),0))</f>
        <v/>
      </c>
      <c r="I151" s="37">
        <f>IF($A151="","",IFERROR(MAX(0,$H151-$G151),0))</f>
        <v/>
      </c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7">
        <f>IF($A152="","",IFERROR(ROUND($C152*INDEX(tblKurallar[deger_2025],MATCH("SGK-001",tblKurallar[kural_id],0))+$D152*INDEX(tblKurallar[deger_2025],MATCH("SGK-002",tblKurallar[kural_id],0))+$E152*INDEX(tblKurallar[deger_2025],MATCH("SGK-004",tblKurallar[kural_id],0))+$F152*sgk_isverenOran,2),0))</f>
        <v/>
      </c>
      <c r="I152" s="37">
        <f>IF($A152="","",IFERROR(MAX(0,$H152-$G152),0))</f>
        <v/>
      </c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7">
        <f>IF($A153="","",IFERROR(ROUND($C153*INDEX(tblKurallar[deger_2025],MATCH("SGK-001",tblKurallar[kural_id],0))+$D153*INDEX(tblKurallar[deger_2025],MATCH("SGK-002",tblKurallar[kural_id],0))+$E153*INDEX(tblKurallar[deger_2025],MATCH("SGK-004",tblKurallar[kural_id],0))+$F153*sgk_isverenOran,2),0))</f>
        <v/>
      </c>
      <c r="I153" s="37">
        <f>IF($A153="","",IFERROR(MAX(0,$H153-$G153),0))</f>
        <v/>
      </c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7">
        <f>IF($A154="","",IFERROR(ROUND($C154*INDEX(tblKurallar[deger_2025],MATCH("SGK-001",tblKurallar[kural_id],0))+$D154*INDEX(tblKurallar[deger_2025],MATCH("SGK-002",tblKurallar[kural_id],0))+$E154*INDEX(tblKurallar[deger_2025],MATCH("SGK-004",tblKurallar[kural_id],0))+$F154*sgk_isverenOran,2),0))</f>
        <v/>
      </c>
      <c r="I154" s="37">
        <f>IF($A154="","",IFERROR(MAX(0,$H154-$G154),0))</f>
        <v/>
      </c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7">
        <f>IF($A155="","",IFERROR(ROUND($C155*INDEX(tblKurallar[deger_2025],MATCH("SGK-001",tblKurallar[kural_id],0))+$D155*INDEX(tblKurallar[deger_2025],MATCH("SGK-002",tblKurallar[kural_id],0))+$E155*INDEX(tblKurallar[deger_2025],MATCH("SGK-004",tblKurallar[kural_id],0))+$F155*sgk_isverenOran,2),0))</f>
        <v/>
      </c>
      <c r="I155" s="37">
        <f>IF($A155="","",IFERROR(MAX(0,$H155-$G155),0))</f>
        <v/>
      </c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7">
        <f>IF($A156="","",IFERROR(ROUND($C156*INDEX(tblKurallar[deger_2025],MATCH("SGK-001",tblKurallar[kural_id],0))+$D156*INDEX(tblKurallar[deger_2025],MATCH("SGK-002",tblKurallar[kural_id],0))+$E156*INDEX(tblKurallar[deger_2025],MATCH("SGK-004",tblKurallar[kural_id],0))+$F156*sgk_isverenOran,2),0))</f>
        <v/>
      </c>
      <c r="I156" s="37">
        <f>IF($A156="","",IFERROR(MAX(0,$H156-$G156),0))</f>
        <v/>
      </c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7">
        <f>IF($A157="","",IFERROR(ROUND($C157*INDEX(tblKurallar[deger_2025],MATCH("SGK-001",tblKurallar[kural_id],0))+$D157*INDEX(tblKurallar[deger_2025],MATCH("SGK-002",tblKurallar[kural_id],0))+$E157*INDEX(tblKurallar[deger_2025],MATCH("SGK-004",tblKurallar[kural_id],0))+$F157*sgk_isverenOran,2),0))</f>
        <v/>
      </c>
      <c r="I157" s="37">
        <f>IF($A157="","",IFERROR(MAX(0,$H157-$G157),0))</f>
        <v/>
      </c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7">
        <f>IF($A158="","",IFERROR(ROUND($C158*INDEX(tblKurallar[deger_2025],MATCH("SGK-001",tblKurallar[kural_id],0))+$D158*INDEX(tblKurallar[deger_2025],MATCH("SGK-002",tblKurallar[kural_id],0))+$E158*INDEX(tblKurallar[deger_2025],MATCH("SGK-004",tblKurallar[kural_id],0))+$F158*sgk_isverenOran,2),0))</f>
        <v/>
      </c>
      <c r="I158" s="37">
        <f>IF($A158="","",IFERROR(MAX(0,$H158-$G158),0))</f>
        <v/>
      </c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7">
        <f>IF($A159="","",IFERROR(ROUND($C159*INDEX(tblKurallar[deger_2025],MATCH("SGK-001",tblKurallar[kural_id],0))+$D159*INDEX(tblKurallar[deger_2025],MATCH("SGK-002",tblKurallar[kural_id],0))+$E159*INDEX(tblKurallar[deger_2025],MATCH("SGK-004",tblKurallar[kural_id],0))+$F159*sgk_isverenOran,2),0))</f>
        <v/>
      </c>
      <c r="I159" s="37">
        <f>IF($A159="","",IFERROR(MAX(0,$H159-$G159),0))</f>
        <v/>
      </c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7">
        <f>IF($A160="","",IFERROR(ROUND($C160*INDEX(tblKurallar[deger_2025],MATCH("SGK-001",tblKurallar[kural_id],0))+$D160*INDEX(tblKurallar[deger_2025],MATCH("SGK-002",tblKurallar[kural_id],0))+$E160*INDEX(tblKurallar[deger_2025],MATCH("SGK-004",tblKurallar[kural_id],0))+$F160*sgk_isverenOran,2),0))</f>
        <v/>
      </c>
      <c r="I160" s="37">
        <f>IF($A160="","",IFERROR(MAX(0,$H160-$G160),0))</f>
        <v/>
      </c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7">
        <f>IF($A161="","",IFERROR(ROUND($C161*INDEX(tblKurallar[deger_2025],MATCH("SGK-001",tblKurallar[kural_id],0))+$D161*INDEX(tblKurallar[deger_2025],MATCH("SGK-002",tblKurallar[kural_id],0))+$E161*INDEX(tblKurallar[deger_2025],MATCH("SGK-004",tblKurallar[kural_id],0))+$F161*sgk_isverenOran,2),0))</f>
        <v/>
      </c>
      <c r="I161" s="37">
        <f>IF($A161="","",IFERROR(MAX(0,$H161-$G161),0))</f>
        <v/>
      </c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7">
        <f>IF($A162="","",IFERROR(ROUND($C162*INDEX(tblKurallar[deger_2025],MATCH("SGK-001",tblKurallar[kural_id],0))+$D162*INDEX(tblKurallar[deger_2025],MATCH("SGK-002",tblKurallar[kural_id],0))+$E162*INDEX(tblKurallar[deger_2025],MATCH("SGK-004",tblKurallar[kural_id],0))+$F162*sgk_isverenOran,2),0))</f>
        <v/>
      </c>
      <c r="I162" s="37">
        <f>IF($A162="","",IFERROR(MAX(0,$H162-$G162),0))</f>
        <v/>
      </c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7">
        <f>IF($A163="","",IFERROR(ROUND($C163*INDEX(tblKurallar[deger_2025],MATCH("SGK-001",tblKurallar[kural_id],0))+$D163*INDEX(tblKurallar[deger_2025],MATCH("SGK-002",tblKurallar[kural_id],0))+$E163*INDEX(tblKurallar[deger_2025],MATCH("SGK-004",tblKurallar[kural_id],0))+$F163*sgk_isverenOran,2),0))</f>
        <v/>
      </c>
      <c r="I163" s="37">
        <f>IF($A163="","",IFERROR(MAX(0,$H163-$G163),0))</f>
        <v/>
      </c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7">
        <f>IF($A164="","",IFERROR(ROUND($C164*INDEX(tblKurallar[deger_2025],MATCH("SGK-001",tblKurallar[kural_id],0))+$D164*INDEX(tblKurallar[deger_2025],MATCH("SGK-002",tblKurallar[kural_id],0))+$E164*INDEX(tblKurallar[deger_2025],MATCH("SGK-004",tblKurallar[kural_id],0))+$F164*sgk_isverenOran,2),0))</f>
        <v/>
      </c>
      <c r="I164" s="37">
        <f>IF($A164="","",IFERROR(MAX(0,$H164-$G164),0))</f>
        <v/>
      </c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7">
        <f>IF($A165="","",IFERROR(ROUND($C165*INDEX(tblKurallar[deger_2025],MATCH("SGK-001",tblKurallar[kural_id],0))+$D165*INDEX(tblKurallar[deger_2025],MATCH("SGK-002",tblKurallar[kural_id],0))+$E165*INDEX(tblKurallar[deger_2025],MATCH("SGK-004",tblKurallar[kural_id],0))+$F165*sgk_isverenOran,2),0))</f>
        <v/>
      </c>
      <c r="I165" s="37">
        <f>IF($A165="","",IFERROR(MAX(0,$H165-$G165),0))</f>
        <v/>
      </c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7">
        <f>IF($A166="","",IFERROR(ROUND($C166*INDEX(tblKurallar[deger_2025],MATCH("SGK-001",tblKurallar[kural_id],0))+$D166*INDEX(tblKurallar[deger_2025],MATCH("SGK-002",tblKurallar[kural_id],0))+$E166*INDEX(tblKurallar[deger_2025],MATCH("SGK-004",tblKurallar[kural_id],0))+$F166*sgk_isverenOran,2),0))</f>
        <v/>
      </c>
      <c r="I166" s="37">
        <f>IF($A166="","",IFERROR(MAX(0,$H166-$G166),0))</f>
        <v/>
      </c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7">
        <f>IF($A167="","",IFERROR(ROUND($C167*INDEX(tblKurallar[deger_2025],MATCH("SGK-001",tblKurallar[kural_id],0))+$D167*INDEX(tblKurallar[deger_2025],MATCH("SGK-002",tblKurallar[kural_id],0))+$E167*INDEX(tblKurallar[deger_2025],MATCH("SGK-004",tblKurallar[kural_id],0))+$F167*sgk_isverenOran,2),0))</f>
        <v/>
      </c>
      <c r="I167" s="37">
        <f>IF($A167="","",IFERROR(MAX(0,$H167-$G167),0))</f>
        <v/>
      </c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7">
        <f>IF($A168="","",IFERROR(ROUND($C168*INDEX(tblKurallar[deger_2025],MATCH("SGK-001",tblKurallar[kural_id],0))+$D168*INDEX(tblKurallar[deger_2025],MATCH("SGK-002",tblKurallar[kural_id],0))+$E168*INDEX(tblKurallar[deger_2025],MATCH("SGK-004",tblKurallar[kural_id],0))+$F168*sgk_isverenOran,2),0))</f>
        <v/>
      </c>
      <c r="I168" s="37">
        <f>IF($A168="","",IFERROR(MAX(0,$H168-$G168),0))</f>
        <v/>
      </c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7">
        <f>IF($A169="","",IFERROR(ROUND($C169*INDEX(tblKurallar[deger_2025],MATCH("SGK-001",tblKurallar[kural_id],0))+$D169*INDEX(tblKurallar[deger_2025],MATCH("SGK-002",tblKurallar[kural_id],0))+$E169*INDEX(tblKurallar[deger_2025],MATCH("SGK-004",tblKurallar[kural_id],0))+$F169*sgk_isverenOran,2),0))</f>
        <v/>
      </c>
      <c r="I169" s="37">
        <f>IF($A169="","",IFERROR(MAX(0,$H169-$G169),0))</f>
        <v/>
      </c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7">
        <f>IF($A170="","",IFERROR(ROUND($C170*INDEX(tblKurallar[deger_2025],MATCH("SGK-001",tblKurallar[kural_id],0))+$D170*INDEX(tblKurallar[deger_2025],MATCH("SGK-002",tblKurallar[kural_id],0))+$E170*INDEX(tblKurallar[deger_2025],MATCH("SGK-004",tblKurallar[kural_id],0))+$F170*sgk_isverenOran,2),0))</f>
        <v/>
      </c>
      <c r="I170" s="37">
        <f>IF($A170="","",IFERROR(MAX(0,$H170-$G170),0))</f>
        <v/>
      </c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7">
        <f>IF($A171="","",IFERROR(ROUND($C171*INDEX(tblKurallar[deger_2025],MATCH("SGK-001",tblKurallar[kural_id],0))+$D171*INDEX(tblKurallar[deger_2025],MATCH("SGK-002",tblKurallar[kural_id],0))+$E171*INDEX(tblKurallar[deger_2025],MATCH("SGK-004",tblKurallar[kural_id],0))+$F171*sgk_isverenOran,2),0))</f>
        <v/>
      </c>
      <c r="I171" s="37">
        <f>IF($A171="","",IFERROR(MAX(0,$H171-$G171),0))</f>
        <v/>
      </c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7">
        <f>IF($A172="","",IFERROR(ROUND($C172*INDEX(tblKurallar[deger_2025],MATCH("SGK-001",tblKurallar[kural_id],0))+$D172*INDEX(tblKurallar[deger_2025],MATCH("SGK-002",tblKurallar[kural_id],0))+$E172*INDEX(tblKurallar[deger_2025],MATCH("SGK-004",tblKurallar[kural_id],0))+$F172*sgk_isverenOran,2),0))</f>
        <v/>
      </c>
      <c r="I172" s="37">
        <f>IF($A172="","",IFERROR(MAX(0,$H172-$G172),0))</f>
        <v/>
      </c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7">
        <f>IF($A173="","",IFERROR(ROUND($C173*INDEX(tblKurallar[deger_2025],MATCH("SGK-001",tblKurallar[kural_id],0))+$D173*INDEX(tblKurallar[deger_2025],MATCH("SGK-002",tblKurallar[kural_id],0))+$E173*INDEX(tblKurallar[deger_2025],MATCH("SGK-004",tblKurallar[kural_id],0))+$F173*sgk_isverenOran,2),0))</f>
        <v/>
      </c>
      <c r="I173" s="37">
        <f>IF($A173="","",IFERROR(MAX(0,$H173-$G173),0))</f>
        <v/>
      </c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7">
        <f>IF($A174="","",IFERROR(ROUND($C174*INDEX(tblKurallar[deger_2025],MATCH("SGK-001",tblKurallar[kural_id],0))+$D174*INDEX(tblKurallar[deger_2025],MATCH("SGK-002",tblKurallar[kural_id],0))+$E174*INDEX(tblKurallar[deger_2025],MATCH("SGK-004",tblKurallar[kural_id],0))+$F174*sgk_isverenOran,2),0))</f>
        <v/>
      </c>
      <c r="I174" s="37">
        <f>IF($A174="","",IFERROR(MAX(0,$H174-$G174),0))</f>
        <v/>
      </c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7">
        <f>IF($A175="","",IFERROR(ROUND($C175*INDEX(tblKurallar[deger_2025],MATCH("SGK-001",tblKurallar[kural_id],0))+$D175*INDEX(tblKurallar[deger_2025],MATCH("SGK-002",tblKurallar[kural_id],0))+$E175*INDEX(tblKurallar[deger_2025],MATCH("SGK-004",tblKurallar[kural_id],0))+$F175*sgk_isverenOran,2),0))</f>
        <v/>
      </c>
      <c r="I175" s="37">
        <f>IF($A175="","",IFERROR(MAX(0,$H175-$G175),0))</f>
        <v/>
      </c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7">
        <f>IF($A176="","",IFERROR(ROUND($C176*INDEX(tblKurallar[deger_2025],MATCH("SGK-001",tblKurallar[kural_id],0))+$D176*INDEX(tblKurallar[deger_2025],MATCH("SGK-002",tblKurallar[kural_id],0))+$E176*INDEX(tblKurallar[deger_2025],MATCH("SGK-004",tblKurallar[kural_id],0))+$F176*sgk_isverenOran,2),0))</f>
        <v/>
      </c>
      <c r="I176" s="37">
        <f>IF($A176="","",IFERROR(MAX(0,$H176-$G176),0))</f>
        <v/>
      </c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7">
        <f>IF($A177="","",IFERROR(ROUND($C177*INDEX(tblKurallar[deger_2025],MATCH("SGK-001",tblKurallar[kural_id],0))+$D177*INDEX(tblKurallar[deger_2025],MATCH("SGK-002",tblKurallar[kural_id],0))+$E177*INDEX(tblKurallar[deger_2025],MATCH("SGK-004",tblKurallar[kural_id],0))+$F177*sgk_isverenOran,2),0))</f>
        <v/>
      </c>
      <c r="I177" s="37">
        <f>IF($A177="","",IFERROR(MAX(0,$H177-$G177),0))</f>
        <v/>
      </c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7">
        <f>IF($A178="","",IFERROR(ROUND($C178*INDEX(tblKurallar[deger_2025],MATCH("SGK-001",tblKurallar[kural_id],0))+$D178*INDEX(tblKurallar[deger_2025],MATCH("SGK-002",tblKurallar[kural_id],0))+$E178*INDEX(tblKurallar[deger_2025],MATCH("SGK-004",tblKurallar[kural_id],0))+$F178*sgk_isverenOran,2),0))</f>
        <v/>
      </c>
      <c r="I178" s="37">
        <f>IF($A178="","",IFERROR(MAX(0,$H178-$G178),0))</f>
        <v/>
      </c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7">
        <f>IF($A179="","",IFERROR(ROUND($C179*INDEX(tblKurallar[deger_2025],MATCH("SGK-001",tblKurallar[kural_id],0))+$D179*INDEX(tblKurallar[deger_2025],MATCH("SGK-002",tblKurallar[kural_id],0))+$E179*INDEX(tblKurallar[deger_2025],MATCH("SGK-004",tblKurallar[kural_id],0))+$F179*sgk_isverenOran,2),0))</f>
        <v/>
      </c>
      <c r="I179" s="37">
        <f>IF($A179="","",IFERROR(MAX(0,$H179-$G179),0))</f>
        <v/>
      </c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7">
        <f>IF($A180="","",IFERROR(ROUND($C180*INDEX(tblKurallar[deger_2025],MATCH("SGK-001",tblKurallar[kural_id],0))+$D180*INDEX(tblKurallar[deger_2025],MATCH("SGK-002",tblKurallar[kural_id],0))+$E180*INDEX(tblKurallar[deger_2025],MATCH("SGK-004",tblKurallar[kural_id],0))+$F180*sgk_isverenOran,2),0))</f>
        <v/>
      </c>
      <c r="I180" s="37">
        <f>IF($A180="","",IFERROR(MAX(0,$H180-$G180),0))</f>
        <v/>
      </c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7">
        <f>IF($A181="","",IFERROR(ROUND($C181*INDEX(tblKurallar[deger_2025],MATCH("SGK-001",tblKurallar[kural_id],0))+$D181*INDEX(tblKurallar[deger_2025],MATCH("SGK-002",tblKurallar[kural_id],0))+$E181*INDEX(tblKurallar[deger_2025],MATCH("SGK-004",tblKurallar[kural_id],0))+$F181*sgk_isverenOran,2),0))</f>
        <v/>
      </c>
      <c r="I181" s="37">
        <f>IF($A181="","",IFERROR(MAX(0,$H181-$G181),0))</f>
        <v/>
      </c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7">
        <f>IF($A182="","",IFERROR(ROUND($C182*INDEX(tblKurallar[deger_2025],MATCH("SGK-001",tblKurallar[kural_id],0))+$D182*INDEX(tblKurallar[deger_2025],MATCH("SGK-002",tblKurallar[kural_id],0))+$E182*INDEX(tblKurallar[deger_2025],MATCH("SGK-004",tblKurallar[kural_id],0))+$F182*sgk_isverenOran,2),0))</f>
        <v/>
      </c>
      <c r="I182" s="37">
        <f>IF($A182="","",IFERROR(MAX(0,$H182-$G182),0))</f>
        <v/>
      </c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7">
        <f>IF($A183="","",IFERROR(ROUND($C183*INDEX(tblKurallar[deger_2025],MATCH("SGK-001",tblKurallar[kural_id],0))+$D183*INDEX(tblKurallar[deger_2025],MATCH("SGK-002",tblKurallar[kural_id],0))+$E183*INDEX(tblKurallar[deger_2025],MATCH("SGK-004",tblKurallar[kural_id],0))+$F183*sgk_isverenOran,2),0))</f>
        <v/>
      </c>
      <c r="I183" s="37">
        <f>IF($A183="","",IFERROR(MAX(0,$H183-$G183),0))</f>
        <v/>
      </c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7">
        <f>IF($A184="","",IFERROR(ROUND($C184*INDEX(tblKurallar[deger_2025],MATCH("SGK-001",tblKurallar[kural_id],0))+$D184*INDEX(tblKurallar[deger_2025],MATCH("SGK-002",tblKurallar[kural_id],0))+$E184*INDEX(tblKurallar[deger_2025],MATCH("SGK-004",tblKurallar[kural_id],0))+$F184*sgk_isverenOran,2),0))</f>
        <v/>
      </c>
      <c r="I184" s="37">
        <f>IF($A184="","",IFERROR(MAX(0,$H184-$G184),0))</f>
        <v/>
      </c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7">
        <f>IF($A185="","",IFERROR(ROUND($C185*INDEX(tblKurallar[deger_2025],MATCH("SGK-001",tblKurallar[kural_id],0))+$D185*INDEX(tblKurallar[deger_2025],MATCH("SGK-002",tblKurallar[kural_id],0))+$E185*INDEX(tblKurallar[deger_2025],MATCH("SGK-004",tblKurallar[kural_id],0))+$F185*sgk_isverenOran,2),0))</f>
        <v/>
      </c>
      <c r="I185" s="37">
        <f>IF($A185="","",IFERROR(MAX(0,$H185-$G185),0))</f>
        <v/>
      </c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7">
        <f>IF($A186="","",IFERROR(ROUND($C186*INDEX(tblKurallar[deger_2025],MATCH("SGK-001",tblKurallar[kural_id],0))+$D186*INDEX(tblKurallar[deger_2025],MATCH("SGK-002",tblKurallar[kural_id],0))+$E186*INDEX(tblKurallar[deger_2025],MATCH("SGK-004",tblKurallar[kural_id],0))+$F186*sgk_isverenOran,2),0))</f>
        <v/>
      </c>
      <c r="I186" s="37">
        <f>IF($A186="","",IFERROR(MAX(0,$H186-$G186),0))</f>
        <v/>
      </c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7">
        <f>IF($A187="","",IFERROR(ROUND($C187*INDEX(tblKurallar[deger_2025],MATCH("SGK-001",tblKurallar[kural_id],0))+$D187*INDEX(tblKurallar[deger_2025],MATCH("SGK-002",tblKurallar[kural_id],0))+$E187*INDEX(tblKurallar[deger_2025],MATCH("SGK-004",tblKurallar[kural_id],0))+$F187*sgk_isverenOran,2),0))</f>
        <v/>
      </c>
      <c r="I187" s="37">
        <f>IF($A187="","",IFERROR(MAX(0,$H187-$G187),0))</f>
        <v/>
      </c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7">
        <f>IF($A188="","",IFERROR(ROUND($C188*INDEX(tblKurallar[deger_2025],MATCH("SGK-001",tblKurallar[kural_id],0))+$D188*INDEX(tblKurallar[deger_2025],MATCH("SGK-002",tblKurallar[kural_id],0))+$E188*INDEX(tblKurallar[deger_2025],MATCH("SGK-004",tblKurallar[kural_id],0))+$F188*sgk_isverenOran,2),0))</f>
        <v/>
      </c>
      <c r="I188" s="37">
        <f>IF($A188="","",IFERROR(MAX(0,$H188-$G188),0))</f>
        <v/>
      </c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7">
        <f>IF($A189="","",IFERROR(ROUND($C189*INDEX(tblKurallar[deger_2025],MATCH("SGK-001",tblKurallar[kural_id],0))+$D189*INDEX(tblKurallar[deger_2025],MATCH("SGK-002",tblKurallar[kural_id],0))+$E189*INDEX(tblKurallar[deger_2025],MATCH("SGK-004",tblKurallar[kural_id],0))+$F189*sgk_isverenOran,2),0))</f>
        <v/>
      </c>
      <c r="I189" s="37">
        <f>IF($A189="","",IFERROR(MAX(0,$H189-$G189),0))</f>
        <v/>
      </c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7">
        <f>IF($A190="","",IFERROR(ROUND($C190*INDEX(tblKurallar[deger_2025],MATCH("SGK-001",tblKurallar[kural_id],0))+$D190*INDEX(tblKurallar[deger_2025],MATCH("SGK-002",tblKurallar[kural_id],0))+$E190*INDEX(tblKurallar[deger_2025],MATCH("SGK-004",tblKurallar[kural_id],0))+$F190*sgk_isverenOran,2),0))</f>
        <v/>
      </c>
      <c r="I190" s="37">
        <f>IF($A190="","",IFERROR(MAX(0,$H190-$G190),0))</f>
        <v/>
      </c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7">
        <f>IF($A191="","",IFERROR(ROUND($C191*INDEX(tblKurallar[deger_2025],MATCH("SGK-001",tblKurallar[kural_id],0))+$D191*INDEX(tblKurallar[deger_2025],MATCH("SGK-002",tblKurallar[kural_id],0))+$E191*INDEX(tblKurallar[deger_2025],MATCH("SGK-004",tblKurallar[kural_id],0))+$F191*sgk_isverenOran,2),0))</f>
        <v/>
      </c>
      <c r="I191" s="37">
        <f>IF($A191="","",IFERROR(MAX(0,$H191-$G191),0))</f>
        <v/>
      </c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7">
        <f>IF($A192="","",IFERROR(ROUND($C192*INDEX(tblKurallar[deger_2025],MATCH("SGK-001",tblKurallar[kural_id],0))+$D192*INDEX(tblKurallar[deger_2025],MATCH("SGK-002",tblKurallar[kural_id],0))+$E192*INDEX(tblKurallar[deger_2025],MATCH("SGK-004",tblKurallar[kural_id],0))+$F192*sgk_isverenOran,2),0))</f>
        <v/>
      </c>
      <c r="I192" s="37">
        <f>IF($A192="","",IFERROR(MAX(0,$H192-$G192),0))</f>
        <v/>
      </c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7">
        <f>IF($A193="","",IFERROR(ROUND($C193*INDEX(tblKurallar[deger_2025],MATCH("SGK-001",tblKurallar[kural_id],0))+$D193*INDEX(tblKurallar[deger_2025],MATCH("SGK-002",tblKurallar[kural_id],0))+$E193*INDEX(tblKurallar[deger_2025],MATCH("SGK-004",tblKurallar[kural_id],0))+$F193*sgk_isverenOran,2),0))</f>
        <v/>
      </c>
      <c r="I193" s="37">
        <f>IF($A193="","",IFERROR(MAX(0,$H193-$G193),0))</f>
        <v/>
      </c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7">
        <f>IF($A194="","",IFERROR(ROUND($C194*INDEX(tblKurallar[deger_2025],MATCH("SGK-001",tblKurallar[kural_id],0))+$D194*INDEX(tblKurallar[deger_2025],MATCH("SGK-002",tblKurallar[kural_id],0))+$E194*INDEX(tblKurallar[deger_2025],MATCH("SGK-004",tblKurallar[kural_id],0))+$F194*sgk_isverenOran,2),0))</f>
        <v/>
      </c>
      <c r="I194" s="37">
        <f>IF($A194="","",IFERROR(MAX(0,$H194-$G194),0))</f>
        <v/>
      </c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7">
        <f>IF($A195="","",IFERROR(ROUND($C195*INDEX(tblKurallar[deger_2025],MATCH("SGK-001",tblKurallar[kural_id],0))+$D195*INDEX(tblKurallar[deger_2025],MATCH("SGK-002",tblKurallar[kural_id],0))+$E195*INDEX(tblKurallar[deger_2025],MATCH("SGK-004",tblKurallar[kural_id],0))+$F195*sgk_isverenOran,2),0))</f>
        <v/>
      </c>
      <c r="I195" s="37">
        <f>IF($A195="","",IFERROR(MAX(0,$H195-$G195),0))</f>
        <v/>
      </c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7">
        <f>IF($A196="","",IFERROR(ROUND($C196*INDEX(tblKurallar[deger_2025],MATCH("SGK-001",tblKurallar[kural_id],0))+$D196*INDEX(tblKurallar[deger_2025],MATCH("SGK-002",tblKurallar[kural_id],0))+$E196*INDEX(tblKurallar[deger_2025],MATCH("SGK-004",tblKurallar[kural_id],0))+$F196*sgk_isverenOran,2),0))</f>
        <v/>
      </c>
      <c r="I196" s="37">
        <f>IF($A196="","",IFERROR(MAX(0,$H196-$G196),0))</f>
        <v/>
      </c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7">
        <f>IF($A197="","",IFERROR(ROUND($C197*INDEX(tblKurallar[deger_2025],MATCH("SGK-001",tblKurallar[kural_id],0))+$D197*INDEX(tblKurallar[deger_2025],MATCH("SGK-002",tblKurallar[kural_id],0))+$E197*INDEX(tblKurallar[deger_2025],MATCH("SGK-004",tblKurallar[kural_id],0))+$F197*sgk_isverenOran,2),0))</f>
        <v/>
      </c>
      <c r="I197" s="37">
        <f>IF($A197="","",IFERROR(MAX(0,$H197-$G197),0))</f>
        <v/>
      </c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7">
        <f>IF($A198="","",IFERROR(ROUND($C198*INDEX(tblKurallar[deger_2025],MATCH("SGK-001",tblKurallar[kural_id],0))+$D198*INDEX(tblKurallar[deger_2025],MATCH("SGK-002",tblKurallar[kural_id],0))+$E198*INDEX(tblKurallar[deger_2025],MATCH("SGK-004",tblKurallar[kural_id],0))+$F198*sgk_isverenOran,2),0))</f>
        <v/>
      </c>
      <c r="I198" s="37">
        <f>IF($A198="","",IFERROR(MAX(0,$H198-$G198),0))</f>
        <v/>
      </c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7">
        <f>IF($A199="","",IFERROR(ROUND($C199*INDEX(tblKurallar[deger_2025],MATCH("SGK-001",tblKurallar[kural_id],0))+$D199*INDEX(tblKurallar[deger_2025],MATCH("SGK-002",tblKurallar[kural_id],0))+$E199*INDEX(tblKurallar[deger_2025],MATCH("SGK-004",tblKurallar[kural_id],0))+$F199*sgk_isverenOran,2),0))</f>
        <v/>
      </c>
      <c r="I199" s="37">
        <f>IF($A199="","",IFERROR(MAX(0,$H199-$G199),0))</f>
        <v/>
      </c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7">
        <f>IF($A200="","",IFERROR(ROUND($C200*INDEX(tblKurallar[deger_2025],MATCH("SGK-001",tblKurallar[kural_id],0))+$D200*INDEX(tblKurallar[deger_2025],MATCH("SGK-002",tblKurallar[kural_id],0))+$E200*INDEX(tblKurallar[deger_2025],MATCH("SGK-004",tblKurallar[kural_id],0))+$F200*sgk_isverenOran,2),0))</f>
        <v/>
      </c>
      <c r="I200" s="37">
        <f>IF($A200="","",IFERROR(MAX(0,$H200-$G200),0))</f>
        <v/>
      </c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7">
        <f>IF($A201="","",IFERROR(ROUND($C201*INDEX(tblKurallar[deger_2025],MATCH("SGK-001",tblKurallar[kural_id],0))+$D201*INDEX(tblKurallar[deger_2025],MATCH("SGK-002",tblKurallar[kural_id],0))+$E201*INDEX(tblKurallar[deger_2025],MATCH("SGK-004",tblKurallar[kural_id],0))+$F201*sgk_isverenOran,2),0))</f>
        <v/>
      </c>
      <c r="I201" s="37">
        <f>IF($A201="","",IFERROR(MAX(0,$H201-$G201),0))</f>
        <v/>
      </c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7">
        <f>IF($A202="","",IFERROR(ROUND($C202*INDEX(tblKurallar[deger_2025],MATCH("SGK-001",tblKurallar[kural_id],0))+$D202*INDEX(tblKurallar[deger_2025],MATCH("SGK-002",tblKurallar[kural_id],0))+$E202*INDEX(tblKurallar[deger_2025],MATCH("SGK-004",tblKurallar[kural_id],0))+$F202*sgk_isverenOran,2),0))</f>
        <v/>
      </c>
      <c r="I202" s="37">
        <f>IF($A202="","",IFERROR(MAX(0,$H202-$G202),0))</f>
        <v/>
      </c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7">
        <f>IF($A203="","",IFERROR(ROUND($C203*INDEX(tblKurallar[deger_2025],MATCH("SGK-001",tblKurallar[kural_id],0))+$D203*INDEX(tblKurallar[deger_2025],MATCH("SGK-002",tblKurallar[kural_id],0))+$E203*INDEX(tblKurallar[deger_2025],MATCH("SGK-004",tblKurallar[kural_id],0))+$F203*sgk_isverenOran,2),0))</f>
        <v/>
      </c>
      <c r="I203" s="37">
        <f>IF($A203="","",IFERROR(MAX(0,$H203-$G203),0))</f>
        <v/>
      </c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7">
        <f>IF($A204="","",IFERROR(ROUND($C204*INDEX(tblKurallar[deger_2025],MATCH("SGK-001",tblKurallar[kural_id],0))+$D204*INDEX(tblKurallar[deger_2025],MATCH("SGK-002",tblKurallar[kural_id],0))+$E204*INDEX(tblKurallar[deger_2025],MATCH("SGK-004",tblKurallar[kural_id],0))+$F204*sgk_isverenOran,2),0))</f>
        <v/>
      </c>
      <c r="I204" s="37">
        <f>IF($A204="","",IFERROR(MAX(0,$H204-$G204),0))</f>
        <v/>
      </c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7">
        <f>IF($A205="","",IFERROR(ROUND($C205*INDEX(tblKurallar[deger_2025],MATCH("SGK-001",tblKurallar[kural_id],0))+$D205*INDEX(tblKurallar[deger_2025],MATCH("SGK-002",tblKurallar[kural_id],0))+$E205*INDEX(tblKurallar[deger_2025],MATCH("SGK-004",tblKurallar[kural_id],0))+$F205*sgk_isverenOran,2),0))</f>
        <v/>
      </c>
      <c r="I205" s="37">
        <f>IF($A205="","",IFERROR(MAX(0,$H205-$G205),0))</f>
        <v/>
      </c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7">
        <f>IF($A206="","",IFERROR(ROUND($C206*INDEX(tblKurallar[deger_2025],MATCH("SGK-001",tblKurallar[kural_id],0))+$D206*INDEX(tblKurallar[deger_2025],MATCH("SGK-002",tblKurallar[kural_id],0))+$E206*INDEX(tblKurallar[deger_2025],MATCH("SGK-004",tblKurallar[kural_id],0))+$F206*sgk_isverenOran,2),0))</f>
        <v/>
      </c>
      <c r="I206" s="37">
        <f>IF($A206="","",IFERROR(MAX(0,$H206-$G206),0))</f>
        <v/>
      </c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7">
        <f>IF($A207="","",IFERROR(ROUND($C207*INDEX(tblKurallar[deger_2025],MATCH("SGK-001",tblKurallar[kural_id],0))+$D207*INDEX(tblKurallar[deger_2025],MATCH("SGK-002",tblKurallar[kural_id],0))+$E207*INDEX(tblKurallar[deger_2025],MATCH("SGK-004",tblKurallar[kural_id],0))+$F207*sgk_isverenOran,2),0))</f>
        <v/>
      </c>
      <c r="I207" s="37">
        <f>IF($A207="","",IFERROR(MAX(0,$H207-$G207),0))</f>
        <v/>
      </c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7">
        <f>IF($A208="","",IFERROR(ROUND($C208*INDEX(tblKurallar[deger_2025],MATCH("SGK-001",tblKurallar[kural_id],0))+$D208*INDEX(tblKurallar[deger_2025],MATCH("SGK-002",tblKurallar[kural_id],0))+$E208*INDEX(tblKurallar[deger_2025],MATCH("SGK-004",tblKurallar[kural_id],0))+$F208*sgk_isverenOran,2),0))</f>
        <v/>
      </c>
      <c r="I208" s="37">
        <f>IF($A208="","",IFERROR(MAX(0,$H208-$G208),0))</f>
        <v/>
      </c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7">
        <f>IF($A209="","",IFERROR(ROUND($C209*INDEX(tblKurallar[deger_2025],MATCH("SGK-001",tblKurallar[kural_id],0))+$D209*INDEX(tblKurallar[deger_2025],MATCH("SGK-002",tblKurallar[kural_id],0))+$E209*INDEX(tblKurallar[deger_2025],MATCH("SGK-004",tblKurallar[kural_id],0))+$F209*sgk_isverenOran,2),0))</f>
        <v/>
      </c>
      <c r="I209" s="37">
        <f>IF($A209="","",IFERROR(MAX(0,$H209-$G209),0))</f>
        <v/>
      </c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7">
        <f>IF($A210="","",IFERROR(ROUND($C210*INDEX(tblKurallar[deger_2025],MATCH("SGK-001",tblKurallar[kural_id],0))+$D210*INDEX(tblKurallar[deger_2025],MATCH("SGK-002",tblKurallar[kural_id],0))+$E210*INDEX(tblKurallar[deger_2025],MATCH("SGK-004",tblKurallar[kural_id],0))+$F210*sgk_isverenOran,2),0))</f>
        <v/>
      </c>
      <c r="I210" s="37">
        <f>IF($A210="","",IFERROR(MAX(0,$H210-$G210),0))</f>
        <v/>
      </c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7">
        <f>IF($A211="","",IFERROR(ROUND($C211*INDEX(tblKurallar[deger_2025],MATCH("SGK-001",tblKurallar[kural_id],0))+$D211*INDEX(tblKurallar[deger_2025],MATCH("SGK-002",tblKurallar[kural_id],0))+$E211*INDEX(tblKurallar[deger_2025],MATCH("SGK-004",tblKurallar[kural_id],0))+$F211*sgk_isverenOran,2),0))</f>
        <v/>
      </c>
      <c r="I211" s="37">
        <f>IF($A211="","",IFERROR(MAX(0,$H211-$G211),0))</f>
        <v/>
      </c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7">
        <f>IF($A212="","",IFERROR(ROUND($C212*INDEX(tblKurallar[deger_2025],MATCH("SGK-001",tblKurallar[kural_id],0))+$D212*INDEX(tblKurallar[deger_2025],MATCH("SGK-002",tblKurallar[kural_id],0))+$E212*INDEX(tblKurallar[deger_2025],MATCH("SGK-004",tblKurallar[kural_id],0))+$F212*sgk_isverenOran,2),0))</f>
        <v/>
      </c>
      <c r="I212" s="37">
        <f>IF($A212="","",IFERROR(MAX(0,$H212-$G212),0))</f>
        <v/>
      </c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7">
        <f>IF($A213="","",IFERROR(ROUND($C213*INDEX(tblKurallar[deger_2025],MATCH("SGK-001",tblKurallar[kural_id],0))+$D213*INDEX(tblKurallar[deger_2025],MATCH("SGK-002",tblKurallar[kural_id],0))+$E213*INDEX(tblKurallar[deger_2025],MATCH("SGK-004",tblKurallar[kural_id],0))+$F213*sgk_isverenOran,2),0))</f>
        <v/>
      </c>
      <c r="I213" s="37">
        <f>IF($A213="","",IFERROR(MAX(0,$H213-$G213),0))</f>
        <v/>
      </c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7">
        <f>IF($A214="","",IFERROR(ROUND($C214*INDEX(tblKurallar[deger_2025],MATCH("SGK-001",tblKurallar[kural_id],0))+$D214*INDEX(tblKurallar[deger_2025],MATCH("SGK-002",tblKurallar[kural_id],0))+$E214*INDEX(tblKurallar[deger_2025],MATCH("SGK-004",tblKurallar[kural_id],0))+$F214*sgk_isverenOran,2),0))</f>
        <v/>
      </c>
      <c r="I214" s="37">
        <f>IF($A214="","",IFERROR(MAX(0,$H214-$G214),0))</f>
        <v/>
      </c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7">
        <f>IF($A215="","",IFERROR(ROUND($C215*INDEX(tblKurallar[deger_2025],MATCH("SGK-001",tblKurallar[kural_id],0))+$D215*INDEX(tblKurallar[deger_2025],MATCH("SGK-002",tblKurallar[kural_id],0))+$E215*INDEX(tblKurallar[deger_2025],MATCH("SGK-004",tblKurallar[kural_id],0))+$F215*sgk_isverenOran,2),0))</f>
        <v/>
      </c>
      <c r="I215" s="37">
        <f>IF($A215="","",IFERROR(MAX(0,$H215-$G215),0))</f>
        <v/>
      </c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7">
        <f>IF($A216="","",IFERROR(ROUND($C216*INDEX(tblKurallar[deger_2025],MATCH("SGK-001",tblKurallar[kural_id],0))+$D216*INDEX(tblKurallar[deger_2025],MATCH("SGK-002",tblKurallar[kural_id],0))+$E216*INDEX(tblKurallar[deger_2025],MATCH("SGK-004",tblKurallar[kural_id],0))+$F216*sgk_isverenOran,2),0))</f>
        <v/>
      </c>
      <c r="I216" s="37">
        <f>IF($A216="","",IFERROR(MAX(0,$H216-$G216),0))</f>
        <v/>
      </c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7">
        <f>IF($A217="","",IFERROR(ROUND($C217*INDEX(tblKurallar[deger_2025],MATCH("SGK-001",tblKurallar[kural_id],0))+$D217*INDEX(tblKurallar[deger_2025],MATCH("SGK-002",tblKurallar[kural_id],0))+$E217*INDEX(tblKurallar[deger_2025],MATCH("SGK-004",tblKurallar[kural_id],0))+$F217*sgk_isverenOran,2),0))</f>
        <v/>
      </c>
      <c r="I217" s="37">
        <f>IF($A217="","",IFERROR(MAX(0,$H217-$G217),0))</f>
        <v/>
      </c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7">
        <f>IF($A218="","",IFERROR(ROUND($C218*INDEX(tblKurallar[deger_2025],MATCH("SGK-001",tblKurallar[kural_id],0))+$D218*INDEX(tblKurallar[deger_2025],MATCH("SGK-002",tblKurallar[kural_id],0))+$E218*INDEX(tblKurallar[deger_2025],MATCH("SGK-004",tblKurallar[kural_id],0))+$F218*sgk_isverenOran,2),0))</f>
        <v/>
      </c>
      <c r="I218" s="37">
        <f>IF($A218="","",IFERROR(MAX(0,$H218-$G218),0))</f>
        <v/>
      </c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7">
        <f>IF($A219="","",IFERROR(ROUND($C219*INDEX(tblKurallar[deger_2025],MATCH("SGK-001",tblKurallar[kural_id],0))+$D219*INDEX(tblKurallar[deger_2025],MATCH("SGK-002",tblKurallar[kural_id],0))+$E219*INDEX(tblKurallar[deger_2025],MATCH("SGK-004",tblKurallar[kural_id],0))+$F219*sgk_isverenOran,2),0))</f>
        <v/>
      </c>
      <c r="I219" s="37">
        <f>IF($A219="","",IFERROR(MAX(0,$H219-$G219),0))</f>
        <v/>
      </c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7">
        <f>IF($A220="","",IFERROR(ROUND($C220*INDEX(tblKurallar[deger_2025],MATCH("SGK-001",tblKurallar[kural_id],0))+$D220*INDEX(tblKurallar[deger_2025],MATCH("SGK-002",tblKurallar[kural_id],0))+$E220*INDEX(tblKurallar[deger_2025],MATCH("SGK-004",tblKurallar[kural_id],0))+$F220*sgk_isverenOran,2),0))</f>
        <v/>
      </c>
      <c r="I220" s="37">
        <f>IF($A220="","",IFERROR(MAX(0,$H220-$G220),0))</f>
        <v/>
      </c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7">
        <f>IF($A221="","",IFERROR(ROUND($C221*INDEX(tblKurallar[deger_2025],MATCH("SGK-001",tblKurallar[kural_id],0))+$D221*INDEX(tblKurallar[deger_2025],MATCH("SGK-002",tblKurallar[kural_id],0))+$E221*INDEX(tblKurallar[deger_2025],MATCH("SGK-004",tblKurallar[kural_id],0))+$F221*sgk_isverenOran,2),0))</f>
        <v/>
      </c>
      <c r="I221" s="37">
        <f>IF($A221="","",IFERROR(MAX(0,$H221-$G221),0))</f>
        <v/>
      </c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7">
        <f>IF($A222="","",IFERROR(ROUND($C222*INDEX(tblKurallar[deger_2025],MATCH("SGK-001",tblKurallar[kural_id],0))+$D222*INDEX(tblKurallar[deger_2025],MATCH("SGK-002",tblKurallar[kural_id],0))+$E222*INDEX(tblKurallar[deger_2025],MATCH("SGK-004",tblKurallar[kural_id],0))+$F222*sgk_isverenOran,2),0))</f>
        <v/>
      </c>
      <c r="I222" s="37">
        <f>IF($A222="","",IFERROR(MAX(0,$H222-$G222),0))</f>
        <v/>
      </c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7">
        <f>IF($A223="","",IFERROR(ROUND($C223*INDEX(tblKurallar[deger_2025],MATCH("SGK-001",tblKurallar[kural_id],0))+$D223*INDEX(tblKurallar[deger_2025],MATCH("SGK-002",tblKurallar[kural_id],0))+$E223*INDEX(tblKurallar[deger_2025],MATCH("SGK-004",tblKurallar[kural_id],0))+$F223*sgk_isverenOran,2),0))</f>
        <v/>
      </c>
      <c r="I223" s="37">
        <f>IF($A223="","",IFERROR(MAX(0,$H223-$G223),0))</f>
        <v/>
      </c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7">
        <f>IF($A224="","",IFERROR(ROUND($C224*INDEX(tblKurallar[deger_2025],MATCH("SGK-001",tblKurallar[kural_id],0))+$D224*INDEX(tblKurallar[deger_2025],MATCH("SGK-002",tblKurallar[kural_id],0))+$E224*INDEX(tblKurallar[deger_2025],MATCH("SGK-004",tblKurallar[kural_id],0))+$F224*sgk_isverenOran,2),0))</f>
        <v/>
      </c>
      <c r="I224" s="37">
        <f>IF($A224="","",IFERROR(MAX(0,$H224-$G224),0))</f>
        <v/>
      </c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7">
        <f>IF($A225="","",IFERROR(ROUND($C225*INDEX(tblKurallar[deger_2025],MATCH("SGK-001",tblKurallar[kural_id],0))+$D225*INDEX(tblKurallar[deger_2025],MATCH("SGK-002",tblKurallar[kural_id],0))+$E225*INDEX(tblKurallar[deger_2025],MATCH("SGK-004",tblKurallar[kural_id],0))+$F225*sgk_isverenOran,2),0))</f>
        <v/>
      </c>
      <c r="I225" s="37">
        <f>IF($A225="","",IFERROR(MAX(0,$H225-$G225),0))</f>
        <v/>
      </c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7">
        <f>IF($A226="","",IFERROR(ROUND($C226*INDEX(tblKurallar[deger_2025],MATCH("SGK-001",tblKurallar[kural_id],0))+$D226*INDEX(tblKurallar[deger_2025],MATCH("SGK-002",tblKurallar[kural_id],0))+$E226*INDEX(tblKurallar[deger_2025],MATCH("SGK-004",tblKurallar[kural_id],0))+$F226*sgk_isverenOran,2),0))</f>
        <v/>
      </c>
      <c r="I226" s="37">
        <f>IF($A226="","",IFERROR(MAX(0,$H226-$G226),0))</f>
        <v/>
      </c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7">
        <f>IF($A227="","",IFERROR(ROUND($C227*INDEX(tblKurallar[deger_2025],MATCH("SGK-001",tblKurallar[kural_id],0))+$D227*INDEX(tblKurallar[deger_2025],MATCH("SGK-002",tblKurallar[kural_id],0))+$E227*INDEX(tblKurallar[deger_2025],MATCH("SGK-004",tblKurallar[kural_id],0))+$F227*sgk_isverenOran,2),0))</f>
        <v/>
      </c>
      <c r="I227" s="37">
        <f>IF($A227="","",IFERROR(MAX(0,$H227-$G227),0))</f>
        <v/>
      </c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7">
        <f>IF($A228="","",IFERROR(ROUND($C228*INDEX(tblKurallar[deger_2025],MATCH("SGK-001",tblKurallar[kural_id],0))+$D228*INDEX(tblKurallar[deger_2025],MATCH("SGK-002",tblKurallar[kural_id],0))+$E228*INDEX(tblKurallar[deger_2025],MATCH("SGK-004",tblKurallar[kural_id],0))+$F228*sgk_isverenOran,2),0))</f>
        <v/>
      </c>
      <c r="I228" s="37">
        <f>IF($A228="","",IFERROR(MAX(0,$H228-$G228),0))</f>
        <v/>
      </c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7">
        <f>IF($A229="","",IFERROR(ROUND($C229*INDEX(tblKurallar[deger_2025],MATCH("SGK-001",tblKurallar[kural_id],0))+$D229*INDEX(tblKurallar[deger_2025],MATCH("SGK-002",tblKurallar[kural_id],0))+$E229*INDEX(tblKurallar[deger_2025],MATCH("SGK-004",tblKurallar[kural_id],0))+$F229*sgk_isverenOran,2),0))</f>
        <v/>
      </c>
      <c r="I229" s="37">
        <f>IF($A229="","",IFERROR(MAX(0,$H229-$G229),0))</f>
        <v/>
      </c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7">
        <f>IF($A230="","",IFERROR(ROUND($C230*INDEX(tblKurallar[deger_2025],MATCH("SGK-001",tblKurallar[kural_id],0))+$D230*INDEX(tblKurallar[deger_2025],MATCH("SGK-002",tblKurallar[kural_id],0))+$E230*INDEX(tblKurallar[deger_2025],MATCH("SGK-004",tblKurallar[kural_id],0))+$F230*sgk_isverenOran,2),0))</f>
        <v/>
      </c>
      <c r="I230" s="37">
        <f>IF($A230="","",IFERROR(MAX(0,$H230-$G230),0))</f>
        <v/>
      </c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7">
        <f>IF($A231="","",IFERROR(ROUND($C231*INDEX(tblKurallar[deger_2025],MATCH("SGK-001",tblKurallar[kural_id],0))+$D231*INDEX(tblKurallar[deger_2025],MATCH("SGK-002",tblKurallar[kural_id],0))+$E231*INDEX(tblKurallar[deger_2025],MATCH("SGK-004",tblKurallar[kural_id],0))+$F231*sgk_isverenOran,2),0))</f>
        <v/>
      </c>
      <c r="I231" s="37">
        <f>IF($A231="","",IFERROR(MAX(0,$H231-$G231),0))</f>
        <v/>
      </c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7">
        <f>IF($A232="","",IFERROR(ROUND($C232*INDEX(tblKurallar[deger_2025],MATCH("SGK-001",tblKurallar[kural_id],0))+$D232*INDEX(tblKurallar[deger_2025],MATCH("SGK-002",tblKurallar[kural_id],0))+$E232*INDEX(tblKurallar[deger_2025],MATCH("SGK-004",tblKurallar[kural_id],0))+$F232*sgk_isverenOran,2),0))</f>
        <v/>
      </c>
      <c r="I232" s="37">
        <f>IF($A232="","",IFERROR(MAX(0,$H232-$G232),0))</f>
        <v/>
      </c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7">
        <f>IF($A233="","",IFERROR(ROUND($C233*INDEX(tblKurallar[deger_2025],MATCH("SGK-001",tblKurallar[kural_id],0))+$D233*INDEX(tblKurallar[deger_2025],MATCH("SGK-002",tblKurallar[kural_id],0))+$E233*INDEX(tblKurallar[deger_2025],MATCH("SGK-004",tblKurallar[kural_id],0))+$F233*sgk_isverenOran,2),0))</f>
        <v/>
      </c>
      <c r="I233" s="37">
        <f>IF($A233="","",IFERROR(MAX(0,$H233-$G233),0))</f>
        <v/>
      </c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7">
        <f>IF($A234="","",IFERROR(ROUND($C234*INDEX(tblKurallar[deger_2025],MATCH("SGK-001",tblKurallar[kural_id],0))+$D234*INDEX(tblKurallar[deger_2025],MATCH("SGK-002",tblKurallar[kural_id],0))+$E234*INDEX(tblKurallar[deger_2025],MATCH("SGK-004",tblKurallar[kural_id],0))+$F234*sgk_isverenOran,2),0))</f>
        <v/>
      </c>
      <c r="I234" s="37">
        <f>IF($A234="","",IFERROR(MAX(0,$H234-$G234),0))</f>
        <v/>
      </c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7">
        <f>IF($A235="","",IFERROR(ROUND($C235*INDEX(tblKurallar[deger_2025],MATCH("SGK-001",tblKurallar[kural_id],0))+$D235*INDEX(tblKurallar[deger_2025],MATCH("SGK-002",tblKurallar[kural_id],0))+$E235*INDEX(tblKurallar[deger_2025],MATCH("SGK-004",tblKurallar[kural_id],0))+$F235*sgk_isverenOran,2),0))</f>
        <v/>
      </c>
      <c r="I235" s="37">
        <f>IF($A235="","",IFERROR(MAX(0,$H235-$G235),0))</f>
        <v/>
      </c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7">
        <f>IF($A236="","",IFERROR(ROUND($C236*INDEX(tblKurallar[deger_2025],MATCH("SGK-001",tblKurallar[kural_id],0))+$D236*INDEX(tblKurallar[deger_2025],MATCH("SGK-002",tblKurallar[kural_id],0))+$E236*INDEX(tblKurallar[deger_2025],MATCH("SGK-004",tblKurallar[kural_id],0))+$F236*sgk_isverenOran,2),0))</f>
        <v/>
      </c>
      <c r="I236" s="37">
        <f>IF($A236="","",IFERROR(MAX(0,$H236-$G236),0))</f>
        <v/>
      </c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7">
        <f>IF($A237="","",IFERROR(ROUND($C237*INDEX(tblKurallar[deger_2025],MATCH("SGK-001",tblKurallar[kural_id],0))+$D237*INDEX(tblKurallar[deger_2025],MATCH("SGK-002",tblKurallar[kural_id],0))+$E237*INDEX(tblKurallar[deger_2025],MATCH("SGK-004",tblKurallar[kural_id],0))+$F237*sgk_isverenOran,2),0))</f>
        <v/>
      </c>
      <c r="I237" s="37">
        <f>IF($A237="","",IFERROR(MAX(0,$H237-$G237),0))</f>
        <v/>
      </c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7">
        <f>IF($A238="","",IFERROR(ROUND($C238*INDEX(tblKurallar[deger_2025],MATCH("SGK-001",tblKurallar[kural_id],0))+$D238*INDEX(tblKurallar[deger_2025],MATCH("SGK-002",tblKurallar[kural_id],0))+$E238*INDEX(tblKurallar[deger_2025],MATCH("SGK-004",tblKurallar[kural_id],0))+$F238*sgk_isverenOran,2),0))</f>
        <v/>
      </c>
      <c r="I238" s="37">
        <f>IF($A238="","",IFERROR(MAX(0,$H238-$G238),0))</f>
        <v/>
      </c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7">
        <f>IF($A239="","",IFERROR(ROUND($C239*INDEX(tblKurallar[deger_2025],MATCH("SGK-001",tblKurallar[kural_id],0))+$D239*INDEX(tblKurallar[deger_2025],MATCH("SGK-002",tblKurallar[kural_id],0))+$E239*INDEX(tblKurallar[deger_2025],MATCH("SGK-004",tblKurallar[kural_id],0))+$F239*sgk_isverenOran,2),0))</f>
        <v/>
      </c>
      <c r="I239" s="37">
        <f>IF($A239="","",IFERROR(MAX(0,$H239-$G239),0))</f>
        <v/>
      </c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7">
        <f>IF($A240="","",IFERROR(ROUND($C240*INDEX(tblKurallar[deger_2025],MATCH("SGK-001",tblKurallar[kural_id],0))+$D240*INDEX(tblKurallar[deger_2025],MATCH("SGK-002",tblKurallar[kural_id],0))+$E240*INDEX(tblKurallar[deger_2025],MATCH("SGK-004",tblKurallar[kural_id],0))+$F240*sgk_isverenOran,2),0))</f>
        <v/>
      </c>
      <c r="I240" s="37">
        <f>IF($A240="","",IFERROR(MAX(0,$H240-$G240),0))</f>
        <v/>
      </c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7">
        <f>IF($A241="","",IFERROR(ROUND($C241*INDEX(tblKurallar[deger_2025],MATCH("SGK-001",tblKurallar[kural_id],0))+$D241*INDEX(tblKurallar[deger_2025],MATCH("SGK-002",tblKurallar[kural_id],0))+$E241*INDEX(tblKurallar[deger_2025],MATCH("SGK-004",tblKurallar[kural_id],0))+$F241*sgk_isverenOran,2),0))</f>
        <v/>
      </c>
      <c r="I241" s="37">
        <f>IF($A241="","",IFERROR(MAX(0,$H241-$G241),0))</f>
        <v/>
      </c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7">
        <f>IF($A242="","",IFERROR(ROUND($C242*INDEX(tblKurallar[deger_2025],MATCH("SGK-001",tblKurallar[kural_id],0))+$D242*INDEX(tblKurallar[deger_2025],MATCH("SGK-002",tblKurallar[kural_id],0))+$E242*INDEX(tblKurallar[deger_2025],MATCH("SGK-004",tblKurallar[kural_id],0))+$F242*sgk_isverenOran,2),0))</f>
        <v/>
      </c>
      <c r="I242" s="37">
        <f>IF($A242="","",IFERROR(MAX(0,$H242-$G242),0))</f>
        <v/>
      </c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7">
        <f>IF($A243="","",IFERROR(ROUND($C243*INDEX(tblKurallar[deger_2025],MATCH("SGK-001",tblKurallar[kural_id],0))+$D243*INDEX(tblKurallar[deger_2025],MATCH("SGK-002",tblKurallar[kural_id],0))+$E243*INDEX(tblKurallar[deger_2025],MATCH("SGK-004",tblKurallar[kural_id],0))+$F243*sgk_isverenOran,2),0))</f>
        <v/>
      </c>
      <c r="I243" s="37">
        <f>IF($A243="","",IFERROR(MAX(0,$H243-$G243),0))</f>
        <v/>
      </c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7">
        <f>IF($A244="","",IFERROR(ROUND($C244*INDEX(tblKurallar[deger_2025],MATCH("SGK-001",tblKurallar[kural_id],0))+$D244*INDEX(tblKurallar[deger_2025],MATCH("SGK-002",tblKurallar[kural_id],0))+$E244*INDEX(tblKurallar[deger_2025],MATCH("SGK-004",tblKurallar[kural_id],0))+$F244*sgk_isverenOran,2),0))</f>
        <v/>
      </c>
      <c r="I244" s="37">
        <f>IF($A244="","",IFERROR(MAX(0,$H244-$G244),0))</f>
        <v/>
      </c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7">
        <f>IF($A245="","",IFERROR(ROUND($C245*INDEX(tblKurallar[deger_2025],MATCH("SGK-001",tblKurallar[kural_id],0))+$D245*INDEX(tblKurallar[deger_2025],MATCH("SGK-002",tblKurallar[kural_id],0))+$E245*INDEX(tblKurallar[deger_2025],MATCH("SGK-004",tblKurallar[kural_id],0))+$F245*sgk_isverenOran,2),0))</f>
        <v/>
      </c>
      <c r="I245" s="37">
        <f>IF($A245="","",IFERROR(MAX(0,$H245-$G245),0))</f>
        <v/>
      </c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7">
        <f>IF($A246="","",IFERROR(ROUND($C246*INDEX(tblKurallar[deger_2025],MATCH("SGK-001",tblKurallar[kural_id],0))+$D246*INDEX(tblKurallar[deger_2025],MATCH("SGK-002",tblKurallar[kural_id],0))+$E246*INDEX(tblKurallar[deger_2025],MATCH("SGK-004",tblKurallar[kural_id],0))+$F246*sgk_isverenOran,2),0))</f>
        <v/>
      </c>
      <c r="I246" s="37">
        <f>IF($A246="","",IFERROR(MAX(0,$H246-$G246),0))</f>
        <v/>
      </c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7">
        <f>IF($A247="","",IFERROR(ROUND($C247*INDEX(tblKurallar[deger_2025],MATCH("SGK-001",tblKurallar[kural_id],0))+$D247*INDEX(tblKurallar[deger_2025],MATCH("SGK-002",tblKurallar[kural_id],0))+$E247*INDEX(tblKurallar[deger_2025],MATCH("SGK-004",tblKurallar[kural_id],0))+$F247*sgk_isverenOran,2),0))</f>
        <v/>
      </c>
      <c r="I247" s="37">
        <f>IF($A247="","",IFERROR(MAX(0,$H247-$G247),0))</f>
        <v/>
      </c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7">
        <f>IF($A248="","",IFERROR(ROUND($C248*INDEX(tblKurallar[deger_2025],MATCH("SGK-001",tblKurallar[kural_id],0))+$D248*INDEX(tblKurallar[deger_2025],MATCH("SGK-002",tblKurallar[kural_id],0))+$E248*INDEX(tblKurallar[deger_2025],MATCH("SGK-004",tblKurallar[kural_id],0))+$F248*sgk_isverenOran,2),0))</f>
        <v/>
      </c>
      <c r="I248" s="37">
        <f>IF($A248="","",IFERROR(MAX(0,$H248-$G248),0))</f>
        <v/>
      </c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7">
        <f>IF($A249="","",IFERROR(ROUND($C249*INDEX(tblKurallar[deger_2025],MATCH("SGK-001",tblKurallar[kural_id],0))+$D249*INDEX(tblKurallar[deger_2025],MATCH("SGK-002",tblKurallar[kural_id],0))+$E249*INDEX(tblKurallar[deger_2025],MATCH("SGK-004",tblKurallar[kural_id],0))+$F249*sgk_isverenOran,2),0))</f>
        <v/>
      </c>
      <c r="I249" s="37">
        <f>IF($A249="","",IFERROR(MAX(0,$H249-$G249),0))</f>
        <v/>
      </c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7">
        <f>IF($A250="","",IFERROR(ROUND($C250*INDEX(tblKurallar[deger_2025],MATCH("SGK-001",tblKurallar[kural_id],0))+$D250*INDEX(tblKurallar[deger_2025],MATCH("SGK-002",tblKurallar[kural_id],0))+$E250*INDEX(tblKurallar[deger_2025],MATCH("SGK-004",tblKurallar[kural_id],0))+$F250*sgk_isverenOran,2),0))</f>
        <v/>
      </c>
      <c r="I250" s="37">
        <f>IF($A250="","",IFERROR(MAX(0,$H250-$G250),0))</f>
        <v/>
      </c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7">
        <f>IF($A251="","",IFERROR(ROUND($C251*INDEX(tblKurallar[deger_2025],MATCH("SGK-001",tblKurallar[kural_id],0))+$D251*INDEX(tblKurallar[deger_2025],MATCH("SGK-002",tblKurallar[kural_id],0))+$E251*INDEX(tblKurallar[deger_2025],MATCH("SGK-004",tblKurallar[kural_id],0))+$F251*sgk_isverenOran,2),0))</f>
        <v/>
      </c>
      <c r="I251" s="37">
        <f>IF($A251="","",IFERROR(MAX(0,$H251-$G251),0))</f>
        <v/>
      </c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7">
        <f>IF($A252="","",IFERROR(ROUND($C252*INDEX(tblKurallar[deger_2025],MATCH("SGK-001",tblKurallar[kural_id],0))+$D252*INDEX(tblKurallar[deger_2025],MATCH("SGK-002",tblKurallar[kural_id],0))+$E252*INDEX(tblKurallar[deger_2025],MATCH("SGK-004",tblKurallar[kural_id],0))+$F252*sgk_isverenOran,2),0))</f>
        <v/>
      </c>
      <c r="I252" s="37">
        <f>IF($A252="","",IFERROR(MAX(0,$H252-$G252),0))</f>
        <v/>
      </c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7">
        <f>IF($A253="","",IFERROR(ROUND($C253*INDEX(tblKurallar[deger_2025],MATCH("SGK-001",tblKurallar[kural_id],0))+$D253*INDEX(tblKurallar[deger_2025],MATCH("SGK-002",tblKurallar[kural_id],0))+$E253*INDEX(tblKurallar[deger_2025],MATCH("SGK-004",tblKurallar[kural_id],0))+$F253*sgk_isverenOran,2),0))</f>
        <v/>
      </c>
      <c r="I253" s="37">
        <f>IF($A253="","",IFERROR(MAX(0,$H253-$G253),0))</f>
        <v/>
      </c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7">
        <f>IF($A254="","",IFERROR(ROUND($C254*INDEX(tblKurallar[deger_2025],MATCH("SGK-001",tblKurallar[kural_id],0))+$D254*INDEX(tblKurallar[deger_2025],MATCH("SGK-002",tblKurallar[kural_id],0))+$E254*INDEX(tblKurallar[deger_2025],MATCH("SGK-004",tblKurallar[kural_id],0))+$F254*sgk_isverenOran,2),0))</f>
        <v/>
      </c>
      <c r="I254" s="37">
        <f>IF($A254="","",IFERROR(MAX(0,$H254-$G254),0))</f>
        <v/>
      </c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7">
        <f>IF($A255="","",IFERROR(ROUND($C255*INDEX(tblKurallar[deger_2025],MATCH("SGK-001",tblKurallar[kural_id],0))+$D255*INDEX(tblKurallar[deger_2025],MATCH("SGK-002",tblKurallar[kural_id],0))+$E255*INDEX(tblKurallar[deger_2025],MATCH("SGK-004",tblKurallar[kural_id],0))+$F255*sgk_isverenOran,2),0))</f>
        <v/>
      </c>
      <c r="I255" s="37">
        <f>IF($A255="","",IFERROR(MAX(0,$H255-$G255),0))</f>
        <v/>
      </c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7">
        <f>IF($A256="","",IFERROR(ROUND($C256*INDEX(tblKurallar[deger_2025],MATCH("SGK-001",tblKurallar[kural_id],0))+$D256*INDEX(tblKurallar[deger_2025],MATCH("SGK-002",tblKurallar[kural_id],0))+$E256*INDEX(tblKurallar[deger_2025],MATCH("SGK-004",tblKurallar[kural_id],0))+$F256*sgk_isverenOran,2),0))</f>
        <v/>
      </c>
      <c r="I256" s="37">
        <f>IF($A256="","",IFERROR(MAX(0,$H256-$G256),0))</f>
        <v/>
      </c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7">
        <f>IF($A257="","",IFERROR(ROUND($C257*INDEX(tblKurallar[deger_2025],MATCH("SGK-001",tblKurallar[kural_id],0))+$D257*INDEX(tblKurallar[deger_2025],MATCH("SGK-002",tblKurallar[kural_id],0))+$E257*INDEX(tblKurallar[deger_2025],MATCH("SGK-004",tblKurallar[kural_id],0))+$F257*sgk_isverenOran,2),0))</f>
        <v/>
      </c>
      <c r="I257" s="37">
        <f>IF($A257="","",IFERROR(MAX(0,$H257-$G257),0))</f>
        <v/>
      </c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7">
        <f>IF($A258="","",IFERROR(ROUND($C258*INDEX(tblKurallar[deger_2025],MATCH("SGK-001",tblKurallar[kural_id],0))+$D258*INDEX(tblKurallar[deger_2025],MATCH("SGK-002",tblKurallar[kural_id],0))+$E258*INDEX(tblKurallar[deger_2025],MATCH("SGK-004",tblKurallar[kural_id],0))+$F258*sgk_isverenOran,2),0))</f>
        <v/>
      </c>
      <c r="I258" s="37">
        <f>IF($A258="","",IFERROR(MAX(0,$H258-$G258),0))</f>
        <v/>
      </c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7">
        <f>IF($A259="","",IFERROR(ROUND($C259*INDEX(tblKurallar[deger_2025],MATCH("SGK-001",tblKurallar[kural_id],0))+$D259*INDEX(tblKurallar[deger_2025],MATCH("SGK-002",tblKurallar[kural_id],0))+$E259*INDEX(tblKurallar[deger_2025],MATCH("SGK-004",tblKurallar[kural_id],0))+$F259*sgk_isverenOran,2),0))</f>
        <v/>
      </c>
      <c r="I259" s="37">
        <f>IF($A259="","",IFERROR(MAX(0,$H259-$G259),0))</f>
        <v/>
      </c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7">
        <f>IF($A260="","",IFERROR(ROUND($C260*INDEX(tblKurallar[deger_2025],MATCH("SGK-001",tblKurallar[kural_id],0))+$D260*INDEX(tblKurallar[deger_2025],MATCH("SGK-002",tblKurallar[kural_id],0))+$E260*INDEX(tblKurallar[deger_2025],MATCH("SGK-004",tblKurallar[kural_id],0))+$F260*sgk_isverenOran,2),0))</f>
        <v/>
      </c>
      <c r="I260" s="37">
        <f>IF($A260="","",IFERROR(MAX(0,$H260-$G260),0))</f>
        <v/>
      </c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7">
        <f>IF($A261="","",IFERROR(ROUND($C261*INDEX(tblKurallar[deger_2025],MATCH("SGK-001",tblKurallar[kural_id],0))+$D261*INDEX(tblKurallar[deger_2025],MATCH("SGK-002",tblKurallar[kural_id],0))+$E261*INDEX(tblKurallar[deger_2025],MATCH("SGK-004",tblKurallar[kural_id],0))+$F261*sgk_isverenOran,2),0))</f>
        <v/>
      </c>
      <c r="I261" s="37">
        <f>IF($A261="","",IFERROR(MAX(0,$H261-$G261),0))</f>
        <v/>
      </c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7">
        <f>IF($A262="","",IFERROR(ROUND($C262*INDEX(tblKurallar[deger_2025],MATCH("SGK-001",tblKurallar[kural_id],0))+$D262*INDEX(tblKurallar[deger_2025],MATCH("SGK-002",tblKurallar[kural_id],0))+$E262*INDEX(tblKurallar[deger_2025],MATCH("SGK-004",tblKurallar[kural_id],0))+$F262*sgk_isverenOran,2),0))</f>
        <v/>
      </c>
      <c r="I262" s="37">
        <f>IF($A262="","",IFERROR(MAX(0,$H262-$G262),0))</f>
        <v/>
      </c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7">
        <f>IF($A263="","",IFERROR(ROUND($C263*INDEX(tblKurallar[deger_2025],MATCH("SGK-001",tblKurallar[kural_id],0))+$D263*INDEX(tblKurallar[deger_2025],MATCH("SGK-002",tblKurallar[kural_id],0))+$E263*INDEX(tblKurallar[deger_2025],MATCH("SGK-004",tblKurallar[kural_id],0))+$F263*sgk_isverenOran,2),0))</f>
        <v/>
      </c>
      <c r="I263" s="37">
        <f>IF($A263="","",IFERROR(MAX(0,$H263-$G263),0))</f>
        <v/>
      </c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7">
        <f>IF($A264="","",IFERROR(ROUND($C264*INDEX(tblKurallar[deger_2025],MATCH("SGK-001",tblKurallar[kural_id],0))+$D264*INDEX(tblKurallar[deger_2025],MATCH("SGK-002",tblKurallar[kural_id],0))+$E264*INDEX(tblKurallar[deger_2025],MATCH("SGK-004",tblKurallar[kural_id],0))+$F264*sgk_isverenOran,2),0))</f>
        <v/>
      </c>
      <c r="I264" s="37">
        <f>IF($A264="","",IFERROR(MAX(0,$H264-$G264),0))</f>
        <v/>
      </c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7">
        <f>IF($A265="","",IFERROR(ROUND($C265*INDEX(tblKurallar[deger_2025],MATCH("SGK-001",tblKurallar[kural_id],0))+$D265*INDEX(tblKurallar[deger_2025],MATCH("SGK-002",tblKurallar[kural_id],0))+$E265*INDEX(tblKurallar[deger_2025],MATCH("SGK-004",tblKurallar[kural_id],0))+$F265*sgk_isverenOran,2),0))</f>
        <v/>
      </c>
      <c r="I265" s="37">
        <f>IF($A265="","",IFERROR(MAX(0,$H265-$G265),0))</f>
        <v/>
      </c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7">
        <f>IF($A266="","",IFERROR(ROUND($C266*INDEX(tblKurallar[deger_2025],MATCH("SGK-001",tblKurallar[kural_id],0))+$D266*INDEX(tblKurallar[deger_2025],MATCH("SGK-002",tblKurallar[kural_id],0))+$E266*INDEX(tblKurallar[deger_2025],MATCH("SGK-004",tblKurallar[kural_id],0))+$F266*sgk_isverenOran,2),0))</f>
        <v/>
      </c>
      <c r="I266" s="37">
        <f>IF($A266="","",IFERROR(MAX(0,$H266-$G266),0))</f>
        <v/>
      </c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7">
        <f>IF($A267="","",IFERROR(ROUND($C267*INDEX(tblKurallar[deger_2025],MATCH("SGK-001",tblKurallar[kural_id],0))+$D267*INDEX(tblKurallar[deger_2025],MATCH("SGK-002",tblKurallar[kural_id],0))+$E267*INDEX(tblKurallar[deger_2025],MATCH("SGK-004",tblKurallar[kural_id],0))+$F267*sgk_isverenOran,2),0))</f>
        <v/>
      </c>
      <c r="I267" s="37">
        <f>IF($A267="","",IFERROR(MAX(0,$H267-$G267),0))</f>
        <v/>
      </c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7">
        <f>IF($A268="","",IFERROR(ROUND($C268*INDEX(tblKurallar[deger_2025],MATCH("SGK-001",tblKurallar[kural_id],0))+$D268*INDEX(tblKurallar[deger_2025],MATCH("SGK-002",tblKurallar[kural_id],0))+$E268*INDEX(tblKurallar[deger_2025],MATCH("SGK-004",tblKurallar[kural_id],0))+$F268*sgk_isverenOran,2),0))</f>
        <v/>
      </c>
      <c r="I268" s="37">
        <f>IF($A268="","",IFERROR(MAX(0,$H268-$G268),0))</f>
        <v/>
      </c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7">
        <f>IF($A269="","",IFERROR(ROUND($C269*INDEX(tblKurallar[deger_2025],MATCH("SGK-001",tblKurallar[kural_id],0))+$D269*INDEX(tblKurallar[deger_2025],MATCH("SGK-002",tblKurallar[kural_id],0))+$E269*INDEX(tblKurallar[deger_2025],MATCH("SGK-004",tblKurallar[kural_id],0))+$F269*sgk_isverenOran,2),0))</f>
        <v/>
      </c>
      <c r="I269" s="37">
        <f>IF($A269="","",IFERROR(MAX(0,$H269-$G269),0))</f>
        <v/>
      </c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7">
        <f>IF($A270="","",IFERROR(ROUND($C270*INDEX(tblKurallar[deger_2025],MATCH("SGK-001",tblKurallar[kural_id],0))+$D270*INDEX(tblKurallar[deger_2025],MATCH("SGK-002",tblKurallar[kural_id],0))+$E270*INDEX(tblKurallar[deger_2025],MATCH("SGK-004",tblKurallar[kural_id],0))+$F270*sgk_isverenOran,2),0))</f>
        <v/>
      </c>
      <c r="I270" s="37">
        <f>IF($A270="","",IFERROR(MAX(0,$H270-$G270),0))</f>
        <v/>
      </c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7">
        <f>IF($A271="","",IFERROR(ROUND($C271*INDEX(tblKurallar[deger_2025],MATCH("SGK-001",tblKurallar[kural_id],0))+$D271*INDEX(tblKurallar[deger_2025],MATCH("SGK-002",tblKurallar[kural_id],0))+$E271*INDEX(tblKurallar[deger_2025],MATCH("SGK-004",tblKurallar[kural_id],0))+$F271*sgk_isverenOran,2),0))</f>
        <v/>
      </c>
      <c r="I271" s="37">
        <f>IF($A271="","",IFERROR(MAX(0,$H271-$G271),0))</f>
        <v/>
      </c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7">
        <f>IF($A272="","",IFERROR(ROUND($C272*INDEX(tblKurallar[deger_2025],MATCH("SGK-001",tblKurallar[kural_id],0))+$D272*INDEX(tblKurallar[deger_2025],MATCH("SGK-002",tblKurallar[kural_id],0))+$E272*INDEX(tblKurallar[deger_2025],MATCH("SGK-004",tblKurallar[kural_id],0))+$F272*sgk_isverenOran,2),0))</f>
        <v/>
      </c>
      <c r="I272" s="37">
        <f>IF($A272="","",IFERROR(MAX(0,$H272-$G272),0))</f>
        <v/>
      </c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7">
        <f>IF($A273="","",IFERROR(ROUND($C273*INDEX(tblKurallar[deger_2025],MATCH("SGK-001",tblKurallar[kural_id],0))+$D273*INDEX(tblKurallar[deger_2025],MATCH("SGK-002",tblKurallar[kural_id],0))+$E273*INDEX(tblKurallar[deger_2025],MATCH("SGK-004",tblKurallar[kural_id],0))+$F273*sgk_isverenOran,2),0))</f>
        <v/>
      </c>
      <c r="I273" s="37">
        <f>IF($A273="","",IFERROR(MAX(0,$H273-$G273),0))</f>
        <v/>
      </c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7">
        <f>IF($A274="","",IFERROR(ROUND($C274*INDEX(tblKurallar[deger_2025],MATCH("SGK-001",tblKurallar[kural_id],0))+$D274*INDEX(tblKurallar[deger_2025],MATCH("SGK-002",tblKurallar[kural_id],0))+$E274*INDEX(tblKurallar[deger_2025],MATCH("SGK-004",tblKurallar[kural_id],0))+$F274*sgk_isverenOran,2),0))</f>
        <v/>
      </c>
      <c r="I274" s="37">
        <f>IF($A274="","",IFERROR(MAX(0,$H274-$G274),0))</f>
        <v/>
      </c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7">
        <f>IF($A275="","",IFERROR(ROUND($C275*INDEX(tblKurallar[deger_2025],MATCH("SGK-001",tblKurallar[kural_id],0))+$D275*INDEX(tblKurallar[deger_2025],MATCH("SGK-002",tblKurallar[kural_id],0))+$E275*INDEX(tblKurallar[deger_2025],MATCH("SGK-004",tblKurallar[kural_id],0))+$F275*sgk_isverenOran,2),0))</f>
        <v/>
      </c>
      <c r="I275" s="37">
        <f>IF($A275="","",IFERROR(MAX(0,$H275-$G275),0))</f>
        <v/>
      </c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7">
        <f>IF($A276="","",IFERROR(ROUND($C276*INDEX(tblKurallar[deger_2025],MATCH("SGK-001",tblKurallar[kural_id],0))+$D276*INDEX(tblKurallar[deger_2025],MATCH("SGK-002",tblKurallar[kural_id],0))+$E276*INDEX(tblKurallar[deger_2025],MATCH("SGK-004",tblKurallar[kural_id],0))+$F276*sgk_isverenOran,2),0))</f>
        <v/>
      </c>
      <c r="I276" s="37">
        <f>IF($A276="","",IFERROR(MAX(0,$H276-$G276),0))</f>
        <v/>
      </c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7">
        <f>IF($A277="","",IFERROR(ROUND($C277*INDEX(tblKurallar[deger_2025],MATCH("SGK-001",tblKurallar[kural_id],0))+$D277*INDEX(tblKurallar[deger_2025],MATCH("SGK-002",tblKurallar[kural_id],0))+$E277*INDEX(tblKurallar[deger_2025],MATCH("SGK-004",tblKurallar[kural_id],0))+$F277*sgk_isverenOran,2),0))</f>
        <v/>
      </c>
      <c r="I277" s="37">
        <f>IF($A277="","",IFERROR(MAX(0,$H277-$G277),0))</f>
        <v/>
      </c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7">
        <f>IF($A278="","",IFERROR(ROUND($C278*INDEX(tblKurallar[deger_2025],MATCH("SGK-001",tblKurallar[kural_id],0))+$D278*INDEX(tblKurallar[deger_2025],MATCH("SGK-002",tblKurallar[kural_id],0))+$E278*INDEX(tblKurallar[deger_2025],MATCH("SGK-004",tblKurallar[kural_id],0))+$F278*sgk_isverenOran,2),0))</f>
        <v/>
      </c>
      <c r="I278" s="37">
        <f>IF($A278="","",IFERROR(MAX(0,$H278-$G278),0))</f>
        <v/>
      </c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7">
        <f>IF($A279="","",IFERROR(ROUND($C279*INDEX(tblKurallar[deger_2025],MATCH("SGK-001",tblKurallar[kural_id],0))+$D279*INDEX(tblKurallar[deger_2025],MATCH("SGK-002",tblKurallar[kural_id],0))+$E279*INDEX(tblKurallar[deger_2025],MATCH("SGK-004",tblKurallar[kural_id],0))+$F279*sgk_isverenOran,2),0))</f>
        <v/>
      </c>
      <c r="I279" s="37">
        <f>IF($A279="","",IFERROR(MAX(0,$H279-$G279),0))</f>
        <v/>
      </c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7">
        <f>IF($A280="","",IFERROR(ROUND($C280*INDEX(tblKurallar[deger_2025],MATCH("SGK-001",tblKurallar[kural_id],0))+$D280*INDEX(tblKurallar[deger_2025],MATCH("SGK-002",tblKurallar[kural_id],0))+$E280*INDEX(tblKurallar[deger_2025],MATCH("SGK-004",tblKurallar[kural_id],0))+$F280*sgk_isverenOran,2),0))</f>
        <v/>
      </c>
      <c r="I280" s="37">
        <f>IF($A280="","",IFERROR(MAX(0,$H280-$G280),0))</f>
        <v/>
      </c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7">
        <f>IF($A281="","",IFERROR(ROUND($C281*INDEX(tblKurallar[deger_2025],MATCH("SGK-001",tblKurallar[kural_id],0))+$D281*INDEX(tblKurallar[deger_2025],MATCH("SGK-002",tblKurallar[kural_id],0))+$E281*INDEX(tblKurallar[deger_2025],MATCH("SGK-004",tblKurallar[kural_id],0))+$F281*sgk_isverenOran,2),0))</f>
        <v/>
      </c>
      <c r="I281" s="37">
        <f>IF($A281="","",IFERROR(MAX(0,$H281-$G281),0))</f>
        <v/>
      </c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7">
        <f>IF($A282="","",IFERROR(ROUND($C282*INDEX(tblKurallar[deger_2025],MATCH("SGK-001",tblKurallar[kural_id],0))+$D282*INDEX(tblKurallar[deger_2025],MATCH("SGK-002",tblKurallar[kural_id],0))+$E282*INDEX(tblKurallar[deger_2025],MATCH("SGK-004",tblKurallar[kural_id],0))+$F282*sgk_isverenOran,2),0))</f>
        <v/>
      </c>
      <c r="I282" s="37">
        <f>IF($A282="","",IFERROR(MAX(0,$H282-$G282),0))</f>
        <v/>
      </c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7">
        <f>IF($A283="","",IFERROR(ROUND($C283*INDEX(tblKurallar[deger_2025],MATCH("SGK-001",tblKurallar[kural_id],0))+$D283*INDEX(tblKurallar[deger_2025],MATCH("SGK-002",tblKurallar[kural_id],0))+$E283*INDEX(tblKurallar[deger_2025],MATCH("SGK-004",tblKurallar[kural_id],0))+$F283*sgk_isverenOran,2),0))</f>
        <v/>
      </c>
      <c r="I283" s="37">
        <f>IF($A283="","",IFERROR(MAX(0,$H283-$G283),0))</f>
        <v/>
      </c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7">
        <f>IF($A284="","",IFERROR(ROUND($C284*INDEX(tblKurallar[deger_2025],MATCH("SGK-001",tblKurallar[kural_id],0))+$D284*INDEX(tblKurallar[deger_2025],MATCH("SGK-002",tblKurallar[kural_id],0))+$E284*INDEX(tblKurallar[deger_2025],MATCH("SGK-004",tblKurallar[kural_id],0))+$F284*sgk_isverenOran,2),0))</f>
        <v/>
      </c>
      <c r="I284" s="37">
        <f>IF($A284="","",IFERROR(MAX(0,$H284-$G284),0))</f>
        <v/>
      </c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7">
        <f>IF($A285="","",IFERROR(ROUND($C285*INDEX(tblKurallar[deger_2025],MATCH("SGK-001",tblKurallar[kural_id],0))+$D285*INDEX(tblKurallar[deger_2025],MATCH("SGK-002",tblKurallar[kural_id],0))+$E285*INDEX(tblKurallar[deger_2025],MATCH("SGK-004",tblKurallar[kural_id],0))+$F285*sgk_isverenOran,2),0))</f>
        <v/>
      </c>
      <c r="I285" s="37">
        <f>IF($A285="","",IFERROR(MAX(0,$H285-$G285),0))</f>
        <v/>
      </c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7">
        <f>IF($A286="","",IFERROR(ROUND($C286*INDEX(tblKurallar[deger_2025],MATCH("SGK-001",tblKurallar[kural_id],0))+$D286*INDEX(tblKurallar[deger_2025],MATCH("SGK-002",tblKurallar[kural_id],0))+$E286*INDEX(tblKurallar[deger_2025],MATCH("SGK-004",tblKurallar[kural_id],0))+$F286*sgk_isverenOran,2),0))</f>
        <v/>
      </c>
      <c r="I286" s="37">
        <f>IF($A286="","",IFERROR(MAX(0,$H286-$G286),0))</f>
        <v/>
      </c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7">
        <f>IF($A287="","",IFERROR(ROUND($C287*INDEX(tblKurallar[deger_2025],MATCH("SGK-001",tblKurallar[kural_id],0))+$D287*INDEX(tblKurallar[deger_2025],MATCH("SGK-002",tblKurallar[kural_id],0))+$E287*INDEX(tblKurallar[deger_2025],MATCH("SGK-004",tblKurallar[kural_id],0))+$F287*sgk_isverenOran,2),0))</f>
        <v/>
      </c>
      <c r="I287" s="37">
        <f>IF($A287="","",IFERROR(MAX(0,$H287-$G287),0))</f>
        <v/>
      </c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7">
        <f>IF($A288="","",IFERROR(ROUND($C288*INDEX(tblKurallar[deger_2025],MATCH("SGK-001",tblKurallar[kural_id],0))+$D288*INDEX(tblKurallar[deger_2025],MATCH("SGK-002",tblKurallar[kural_id],0))+$E288*INDEX(tblKurallar[deger_2025],MATCH("SGK-004",tblKurallar[kural_id],0))+$F288*sgk_isverenOran,2),0))</f>
        <v/>
      </c>
      <c r="I288" s="37">
        <f>IF($A288="","",IFERROR(MAX(0,$H288-$G288),0))</f>
        <v/>
      </c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7">
        <f>IF($A289="","",IFERROR(ROUND($C289*INDEX(tblKurallar[deger_2025],MATCH("SGK-001",tblKurallar[kural_id],0))+$D289*INDEX(tblKurallar[deger_2025],MATCH("SGK-002",tblKurallar[kural_id],0))+$E289*INDEX(tblKurallar[deger_2025],MATCH("SGK-004",tblKurallar[kural_id],0))+$F289*sgk_isverenOran,2),0))</f>
        <v/>
      </c>
      <c r="I289" s="37">
        <f>IF($A289="","",IFERROR(MAX(0,$H289-$G289),0))</f>
        <v/>
      </c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7">
        <f>IF($A290="","",IFERROR(ROUND($C290*INDEX(tblKurallar[deger_2025],MATCH("SGK-001",tblKurallar[kural_id],0))+$D290*INDEX(tblKurallar[deger_2025],MATCH("SGK-002",tblKurallar[kural_id],0))+$E290*INDEX(tblKurallar[deger_2025],MATCH("SGK-004",tblKurallar[kural_id],0))+$F290*sgk_isverenOran,2),0))</f>
        <v/>
      </c>
      <c r="I290" s="37">
        <f>IF($A290="","",IFERROR(MAX(0,$H290-$G290),0))</f>
        <v/>
      </c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7">
        <f>IF($A291="","",IFERROR(ROUND($C291*INDEX(tblKurallar[deger_2025],MATCH("SGK-001",tblKurallar[kural_id],0))+$D291*INDEX(tblKurallar[deger_2025],MATCH("SGK-002",tblKurallar[kural_id],0))+$E291*INDEX(tblKurallar[deger_2025],MATCH("SGK-004",tblKurallar[kural_id],0))+$F291*sgk_isverenOran,2),0))</f>
        <v/>
      </c>
      <c r="I291" s="37">
        <f>IF($A291="","",IFERROR(MAX(0,$H291-$G291),0))</f>
        <v/>
      </c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7">
        <f>IF($A292="","",IFERROR(ROUND($C292*INDEX(tblKurallar[deger_2025],MATCH("SGK-001",tblKurallar[kural_id],0))+$D292*INDEX(tblKurallar[deger_2025],MATCH("SGK-002",tblKurallar[kural_id],0))+$E292*INDEX(tblKurallar[deger_2025],MATCH("SGK-004",tblKurallar[kural_id],0))+$F292*sgk_isverenOran,2),0))</f>
        <v/>
      </c>
      <c r="I292" s="37">
        <f>IF($A292="","",IFERROR(MAX(0,$H292-$G292),0))</f>
        <v/>
      </c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7">
        <f>IF($A293="","",IFERROR(ROUND($C293*INDEX(tblKurallar[deger_2025],MATCH("SGK-001",tblKurallar[kural_id],0))+$D293*INDEX(tblKurallar[deger_2025],MATCH("SGK-002",tblKurallar[kural_id],0))+$E293*INDEX(tblKurallar[deger_2025],MATCH("SGK-004",tblKurallar[kural_id],0))+$F293*sgk_isverenOran,2),0))</f>
        <v/>
      </c>
      <c r="I293" s="37">
        <f>IF($A293="","",IFERROR(MAX(0,$H293-$G293),0))</f>
        <v/>
      </c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7">
        <f>IF($A294="","",IFERROR(ROUND($C294*INDEX(tblKurallar[deger_2025],MATCH("SGK-001",tblKurallar[kural_id],0))+$D294*INDEX(tblKurallar[deger_2025],MATCH("SGK-002",tblKurallar[kural_id],0))+$E294*INDEX(tblKurallar[deger_2025],MATCH("SGK-004",tblKurallar[kural_id],0))+$F294*sgk_isverenOran,2),0))</f>
        <v/>
      </c>
      <c r="I294" s="37">
        <f>IF($A294="","",IFERROR(MAX(0,$H294-$G294),0))</f>
        <v/>
      </c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7">
        <f>IF($A295="","",IFERROR(ROUND($C295*INDEX(tblKurallar[deger_2025],MATCH("SGK-001",tblKurallar[kural_id],0))+$D295*INDEX(tblKurallar[deger_2025],MATCH("SGK-002",tblKurallar[kural_id],0))+$E295*INDEX(tblKurallar[deger_2025],MATCH("SGK-004",tblKurallar[kural_id],0))+$F295*sgk_isverenOran,2),0))</f>
        <v/>
      </c>
      <c r="I295" s="37">
        <f>IF($A295="","",IFERROR(MAX(0,$H295-$G295),0))</f>
        <v/>
      </c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7">
        <f>IF($A296="","",IFERROR(ROUND($C296*INDEX(tblKurallar[deger_2025],MATCH("SGK-001",tblKurallar[kural_id],0))+$D296*INDEX(tblKurallar[deger_2025],MATCH("SGK-002",tblKurallar[kural_id],0))+$E296*INDEX(tblKurallar[deger_2025],MATCH("SGK-004",tblKurallar[kural_id],0))+$F296*sgk_isverenOran,2),0))</f>
        <v/>
      </c>
      <c r="I296" s="37">
        <f>IF($A296="","",IFERROR(MAX(0,$H296-$G296),0))</f>
        <v/>
      </c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7">
        <f>IF($A297="","",IFERROR(ROUND($C297*INDEX(tblKurallar[deger_2025],MATCH("SGK-001",tblKurallar[kural_id],0))+$D297*INDEX(tblKurallar[deger_2025],MATCH("SGK-002",tblKurallar[kural_id],0))+$E297*INDEX(tblKurallar[deger_2025],MATCH("SGK-004",tblKurallar[kural_id],0))+$F297*sgk_isverenOran,2),0))</f>
        <v/>
      </c>
      <c r="I297" s="37">
        <f>IF($A297="","",IFERROR(MAX(0,$H297-$G297),0))</f>
        <v/>
      </c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7">
        <f>IF($A298="","",IFERROR(ROUND($C298*INDEX(tblKurallar[deger_2025],MATCH("SGK-001",tblKurallar[kural_id],0))+$D298*INDEX(tblKurallar[deger_2025],MATCH("SGK-002",tblKurallar[kural_id],0))+$E298*INDEX(tblKurallar[deger_2025],MATCH("SGK-004",tblKurallar[kural_id],0))+$F298*sgk_isverenOran,2),0))</f>
        <v/>
      </c>
      <c r="I298" s="37">
        <f>IF($A298="","",IFERROR(MAX(0,$H298-$G298),0))</f>
        <v/>
      </c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7">
        <f>IF($A299="","",IFERROR(ROUND($C299*INDEX(tblKurallar[deger_2025],MATCH("SGK-001",tblKurallar[kural_id],0))+$D299*INDEX(tblKurallar[deger_2025],MATCH("SGK-002",tblKurallar[kural_id],0))+$E299*INDEX(tblKurallar[deger_2025],MATCH("SGK-004",tblKurallar[kural_id],0))+$F299*sgk_isverenOran,2),0))</f>
        <v/>
      </c>
      <c r="I299" s="37">
        <f>IF($A299="","",IFERROR(MAX(0,$H299-$G299),0))</f>
        <v/>
      </c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7">
        <f>IF($A300="","",IFERROR(ROUND($C300*INDEX(tblKurallar[deger_2025],MATCH("SGK-001",tblKurallar[kural_id],0))+$D300*INDEX(tblKurallar[deger_2025],MATCH("SGK-002",tblKurallar[kural_id],0))+$E300*INDEX(tblKurallar[deger_2025],MATCH("SGK-004",tblKurallar[kural_id],0))+$F300*sgk_isverenOran,2),0))</f>
        <v/>
      </c>
      <c r="I300" s="37">
        <f>IF($A300="","",IFERROR(MAX(0,$H300-$G300),0))</f>
        <v/>
      </c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7">
        <f>IF($A301="","",IFERROR(ROUND($C301*INDEX(tblKurallar[deger_2025],MATCH("SGK-001",tblKurallar[kural_id],0))+$D301*INDEX(tblKurallar[deger_2025],MATCH("SGK-002",tblKurallar[kural_id],0))+$E301*INDEX(tblKurallar[deger_2025],MATCH("SGK-004",tblKurallar[kural_id],0))+$F301*sgk_isverenOran,2),0))</f>
        <v/>
      </c>
      <c r="I301" s="37">
        <f>IF($A301="","",IFERROR(MAX(0,$H301-$G301),0))</f>
        <v/>
      </c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7">
        <f>IF($A302="","",IFERROR(ROUND($C302*INDEX(tblKurallar[deger_2025],MATCH("SGK-001",tblKurallar[kural_id],0))+$D302*INDEX(tblKurallar[deger_2025],MATCH("SGK-002",tblKurallar[kural_id],0))+$E302*INDEX(tblKurallar[deger_2025],MATCH("SGK-004",tblKurallar[kural_id],0))+$F302*sgk_isverenOran,2),0))</f>
        <v/>
      </c>
      <c r="I302" s="37">
        <f>IF($A302="","",IFERROR(MAX(0,$H302-$G302),0))</f>
        <v/>
      </c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7">
        <f>IF($A303="","",IFERROR(ROUND($C303*INDEX(tblKurallar[deger_2025],MATCH("SGK-001",tblKurallar[kural_id],0))+$D303*INDEX(tblKurallar[deger_2025],MATCH("SGK-002",tblKurallar[kural_id],0))+$E303*INDEX(tblKurallar[deger_2025],MATCH("SGK-004",tblKurallar[kural_id],0))+$F303*sgk_isverenOran,2),0))</f>
        <v/>
      </c>
      <c r="I303" s="37">
        <f>IF($A303="","",IFERROR(MAX(0,$H303-$G303),0))</f>
        <v/>
      </c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7">
        <f>IF($A304="","",IFERROR(ROUND($C304*INDEX(tblKurallar[deger_2025],MATCH("SGK-001",tblKurallar[kural_id],0))+$D304*INDEX(tblKurallar[deger_2025],MATCH("SGK-002",tblKurallar[kural_id],0))+$E304*INDEX(tblKurallar[deger_2025],MATCH("SGK-004",tblKurallar[kural_id],0))+$F304*sgk_isverenOran,2),0))</f>
        <v/>
      </c>
      <c r="I304" s="37">
        <f>IF($A304="","",IFERROR(MAX(0,$H304-$G304),0))</f>
        <v/>
      </c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7">
        <f>IF($A305="","",IFERROR(ROUND($C305*INDEX(tblKurallar[deger_2025],MATCH("SGK-001",tblKurallar[kural_id],0))+$D305*INDEX(tblKurallar[deger_2025],MATCH("SGK-002",tblKurallar[kural_id],0))+$E305*INDEX(tblKurallar[deger_2025],MATCH("SGK-004",tblKurallar[kural_id],0))+$F305*sgk_isverenOran,2),0))</f>
        <v/>
      </c>
      <c r="I305" s="37">
        <f>IF($A305="","",IFERROR(MAX(0,$H305-$G305),0))</f>
        <v/>
      </c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7">
        <f>IF($A306="","",IFERROR(ROUND($C306*INDEX(tblKurallar[deger_2025],MATCH("SGK-001",tblKurallar[kural_id],0))+$D306*INDEX(tblKurallar[deger_2025],MATCH("SGK-002",tblKurallar[kural_id],0))+$E306*INDEX(tblKurallar[deger_2025],MATCH("SGK-004",tblKurallar[kural_id],0))+$F306*sgk_isverenOran,2),0))</f>
        <v/>
      </c>
      <c r="I306" s="37">
        <f>IF($A306="","",IFERROR(MAX(0,$H306-$G306),0))</f>
        <v/>
      </c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7">
        <f>IF($A307="","",IFERROR(ROUND($C307*INDEX(tblKurallar[deger_2025],MATCH("SGK-001",tblKurallar[kural_id],0))+$D307*INDEX(tblKurallar[deger_2025],MATCH("SGK-002",tblKurallar[kural_id],0))+$E307*INDEX(tblKurallar[deger_2025],MATCH("SGK-004",tblKurallar[kural_id],0))+$F307*sgk_isverenOran,2),0))</f>
        <v/>
      </c>
      <c r="I307" s="37">
        <f>IF($A307="","",IFERROR(MAX(0,$H307-$G307),0))</f>
        <v/>
      </c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7">
        <f>IF($A308="","",IFERROR(ROUND($C308*INDEX(tblKurallar[deger_2025],MATCH("SGK-001",tblKurallar[kural_id],0))+$D308*INDEX(tblKurallar[deger_2025],MATCH("SGK-002",tblKurallar[kural_id],0))+$E308*INDEX(tblKurallar[deger_2025],MATCH("SGK-004",tblKurallar[kural_id],0))+$F308*sgk_isverenOran,2),0))</f>
        <v/>
      </c>
      <c r="I308" s="37">
        <f>IF($A308="","",IFERROR(MAX(0,$H308-$G308),0))</f>
        <v/>
      </c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7">
        <f>IF($A309="","",IFERROR(ROUND($C309*INDEX(tblKurallar[deger_2025],MATCH("SGK-001",tblKurallar[kural_id],0))+$D309*INDEX(tblKurallar[deger_2025],MATCH("SGK-002",tblKurallar[kural_id],0))+$E309*INDEX(tblKurallar[deger_2025],MATCH("SGK-004",tblKurallar[kural_id],0))+$F309*sgk_isverenOran,2),0))</f>
        <v/>
      </c>
      <c r="I309" s="37">
        <f>IF($A309="","",IFERROR(MAX(0,$H309-$G309),0))</f>
        <v/>
      </c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7">
        <f>IF($A310="","",IFERROR(ROUND($C310*INDEX(tblKurallar[deger_2025],MATCH("SGK-001",tblKurallar[kural_id],0))+$D310*INDEX(tblKurallar[deger_2025],MATCH("SGK-002",tblKurallar[kural_id],0))+$E310*INDEX(tblKurallar[deger_2025],MATCH("SGK-004",tblKurallar[kural_id],0))+$F310*sgk_isverenOran,2),0))</f>
        <v/>
      </c>
      <c r="I310" s="37">
        <f>IF($A310="","",IFERROR(MAX(0,$H310-$G310),0))</f>
        <v/>
      </c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7">
        <f>IF($A311="","",IFERROR(ROUND($C311*INDEX(tblKurallar[deger_2025],MATCH("SGK-001",tblKurallar[kural_id],0))+$D311*INDEX(tblKurallar[deger_2025],MATCH("SGK-002",tblKurallar[kural_id],0))+$E311*INDEX(tblKurallar[deger_2025],MATCH("SGK-004",tblKurallar[kural_id],0))+$F311*sgk_isverenOran,2),0))</f>
        <v/>
      </c>
      <c r="I311" s="37">
        <f>IF($A311="","",IFERROR(MAX(0,$H311-$G311),0))</f>
        <v/>
      </c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7">
        <f>IF($A312="","",IFERROR(ROUND($C312*INDEX(tblKurallar[deger_2025],MATCH("SGK-001",tblKurallar[kural_id],0))+$D312*INDEX(tblKurallar[deger_2025],MATCH("SGK-002",tblKurallar[kural_id],0))+$E312*INDEX(tblKurallar[deger_2025],MATCH("SGK-004",tblKurallar[kural_id],0))+$F312*sgk_isverenOran,2),0))</f>
        <v/>
      </c>
      <c r="I312" s="37">
        <f>IF($A312="","",IFERROR(MAX(0,$H312-$G312),0))</f>
        <v/>
      </c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7">
        <f>IF($A313="","",IFERROR(ROUND($C313*INDEX(tblKurallar[deger_2025],MATCH("SGK-001",tblKurallar[kural_id],0))+$D313*INDEX(tblKurallar[deger_2025],MATCH("SGK-002",tblKurallar[kural_id],0))+$E313*INDEX(tblKurallar[deger_2025],MATCH("SGK-004",tblKurallar[kural_id],0))+$F313*sgk_isverenOran,2),0))</f>
        <v/>
      </c>
      <c r="I313" s="37">
        <f>IF($A313="","",IFERROR(MAX(0,$H313-$G313),0))</f>
        <v/>
      </c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7">
        <f>IF($A314="","",IFERROR(ROUND($C314*INDEX(tblKurallar[deger_2025],MATCH("SGK-001",tblKurallar[kural_id],0))+$D314*INDEX(tblKurallar[deger_2025],MATCH("SGK-002",tblKurallar[kural_id],0))+$E314*INDEX(tblKurallar[deger_2025],MATCH("SGK-004",tblKurallar[kural_id],0))+$F314*sgk_isverenOran,2),0))</f>
        <v/>
      </c>
      <c r="I314" s="37">
        <f>IF($A314="","",IFERROR(MAX(0,$H314-$G314),0))</f>
        <v/>
      </c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7">
        <f>IF($A315="","",IFERROR(ROUND($C315*INDEX(tblKurallar[deger_2025],MATCH("SGK-001",tblKurallar[kural_id],0))+$D315*INDEX(tblKurallar[deger_2025],MATCH("SGK-002",tblKurallar[kural_id],0))+$E315*INDEX(tblKurallar[deger_2025],MATCH("SGK-004",tblKurallar[kural_id],0))+$F315*sgk_isverenOran,2),0))</f>
        <v/>
      </c>
      <c r="I315" s="37">
        <f>IF($A315="","",IFERROR(MAX(0,$H315-$G315),0))</f>
        <v/>
      </c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7">
        <f>IF($A316="","",IFERROR(ROUND($C316*INDEX(tblKurallar[deger_2025],MATCH("SGK-001",tblKurallar[kural_id],0))+$D316*INDEX(tblKurallar[deger_2025],MATCH("SGK-002",tblKurallar[kural_id],0))+$E316*INDEX(tblKurallar[deger_2025],MATCH("SGK-004",tblKurallar[kural_id],0))+$F316*sgk_isverenOran,2),0))</f>
        <v/>
      </c>
      <c r="I316" s="37">
        <f>IF($A316="","",IFERROR(MAX(0,$H316-$G316),0))</f>
        <v/>
      </c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7">
        <f>IF($A317="","",IFERROR(ROUND($C317*INDEX(tblKurallar[deger_2025],MATCH("SGK-001",tblKurallar[kural_id],0))+$D317*INDEX(tblKurallar[deger_2025],MATCH("SGK-002",tblKurallar[kural_id],0))+$E317*INDEX(tblKurallar[deger_2025],MATCH("SGK-004",tblKurallar[kural_id],0))+$F317*sgk_isverenOran,2),0))</f>
        <v/>
      </c>
      <c r="I317" s="37">
        <f>IF($A317="","",IFERROR(MAX(0,$H317-$G317),0))</f>
        <v/>
      </c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7">
        <f>IF($A318="","",IFERROR(ROUND($C318*INDEX(tblKurallar[deger_2025],MATCH("SGK-001",tblKurallar[kural_id],0))+$D318*INDEX(tblKurallar[deger_2025],MATCH("SGK-002",tblKurallar[kural_id],0))+$E318*INDEX(tblKurallar[deger_2025],MATCH("SGK-004",tblKurallar[kural_id],0))+$F318*sgk_isverenOran,2),0))</f>
        <v/>
      </c>
      <c r="I318" s="37">
        <f>IF($A318="","",IFERROR(MAX(0,$H318-$G318),0))</f>
        <v/>
      </c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7">
        <f>IF($A319="","",IFERROR(ROUND($C319*INDEX(tblKurallar[deger_2025],MATCH("SGK-001",tblKurallar[kural_id],0))+$D319*INDEX(tblKurallar[deger_2025],MATCH("SGK-002",tblKurallar[kural_id],0))+$E319*INDEX(tblKurallar[deger_2025],MATCH("SGK-004",tblKurallar[kural_id],0))+$F319*sgk_isverenOran,2),0))</f>
        <v/>
      </c>
      <c r="I319" s="37">
        <f>IF($A319="","",IFERROR(MAX(0,$H319-$G319),0))</f>
        <v/>
      </c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7">
        <f>IF($A320="","",IFERROR(ROUND($C320*INDEX(tblKurallar[deger_2025],MATCH("SGK-001",tblKurallar[kural_id],0))+$D320*INDEX(tblKurallar[deger_2025],MATCH("SGK-002",tblKurallar[kural_id],0))+$E320*INDEX(tblKurallar[deger_2025],MATCH("SGK-004",tblKurallar[kural_id],0))+$F320*sgk_isverenOran,2),0))</f>
        <v/>
      </c>
      <c r="I320" s="37">
        <f>IF($A320="","",IFERROR(MAX(0,$H320-$G320),0))</f>
        <v/>
      </c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7">
        <f>IF($A321="","",IFERROR(ROUND($C321*INDEX(tblKurallar[deger_2025],MATCH("SGK-001",tblKurallar[kural_id],0))+$D321*INDEX(tblKurallar[deger_2025],MATCH("SGK-002",tblKurallar[kural_id],0))+$E321*INDEX(tblKurallar[deger_2025],MATCH("SGK-004",tblKurallar[kural_id],0))+$F321*sgk_isverenOran,2),0))</f>
        <v/>
      </c>
      <c r="I321" s="37">
        <f>IF($A321="","",IFERROR(MAX(0,$H321-$G321),0))</f>
        <v/>
      </c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7">
        <f>IF($A322="","",IFERROR(ROUND($C322*INDEX(tblKurallar[deger_2025],MATCH("SGK-001",tblKurallar[kural_id],0))+$D322*INDEX(tblKurallar[deger_2025],MATCH("SGK-002",tblKurallar[kural_id],0))+$E322*INDEX(tblKurallar[deger_2025],MATCH("SGK-004",tblKurallar[kural_id],0))+$F322*sgk_isverenOran,2),0))</f>
        <v/>
      </c>
      <c r="I322" s="37">
        <f>IF($A322="","",IFERROR(MAX(0,$H322-$G322),0))</f>
        <v/>
      </c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7">
        <f>IF($A323="","",IFERROR(ROUND($C323*INDEX(tblKurallar[deger_2025],MATCH("SGK-001",tblKurallar[kural_id],0))+$D323*INDEX(tblKurallar[deger_2025],MATCH("SGK-002",tblKurallar[kural_id],0))+$E323*INDEX(tblKurallar[deger_2025],MATCH("SGK-004",tblKurallar[kural_id],0))+$F323*sgk_isverenOran,2),0))</f>
        <v/>
      </c>
      <c r="I323" s="37">
        <f>IF($A323="","",IFERROR(MAX(0,$H323-$G323),0))</f>
        <v/>
      </c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7">
        <f>IF($A324="","",IFERROR(ROUND($C324*INDEX(tblKurallar[deger_2025],MATCH("SGK-001",tblKurallar[kural_id],0))+$D324*INDEX(tblKurallar[deger_2025],MATCH("SGK-002",tblKurallar[kural_id],0))+$E324*INDEX(tblKurallar[deger_2025],MATCH("SGK-004",tblKurallar[kural_id],0))+$F324*sgk_isverenOran,2),0))</f>
        <v/>
      </c>
      <c r="I324" s="37">
        <f>IF($A324="","",IFERROR(MAX(0,$H324-$G324),0))</f>
        <v/>
      </c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7">
        <f>IF($A325="","",IFERROR(ROUND($C325*INDEX(tblKurallar[deger_2025],MATCH("SGK-001",tblKurallar[kural_id],0))+$D325*INDEX(tblKurallar[deger_2025],MATCH("SGK-002",tblKurallar[kural_id],0))+$E325*INDEX(tblKurallar[deger_2025],MATCH("SGK-004",tblKurallar[kural_id],0))+$F325*sgk_isverenOran,2),0))</f>
        <v/>
      </c>
      <c r="I325" s="37">
        <f>IF($A325="","",IFERROR(MAX(0,$H325-$G325),0))</f>
        <v/>
      </c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7">
        <f>IF($A326="","",IFERROR(ROUND($C326*INDEX(tblKurallar[deger_2025],MATCH("SGK-001",tblKurallar[kural_id],0))+$D326*INDEX(tblKurallar[deger_2025],MATCH("SGK-002",tblKurallar[kural_id],0))+$E326*INDEX(tblKurallar[deger_2025],MATCH("SGK-004",tblKurallar[kural_id],0))+$F326*sgk_isverenOran,2),0))</f>
        <v/>
      </c>
      <c r="I326" s="37">
        <f>IF($A326="","",IFERROR(MAX(0,$H326-$G326),0))</f>
        <v/>
      </c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7">
        <f>IF($A327="","",IFERROR(ROUND($C327*INDEX(tblKurallar[deger_2025],MATCH("SGK-001",tblKurallar[kural_id],0))+$D327*INDEX(tblKurallar[deger_2025],MATCH("SGK-002",tblKurallar[kural_id],0))+$E327*INDEX(tblKurallar[deger_2025],MATCH("SGK-004",tblKurallar[kural_id],0))+$F327*sgk_isverenOran,2),0))</f>
        <v/>
      </c>
      <c r="I327" s="37">
        <f>IF($A327="","",IFERROR(MAX(0,$H327-$G327),0))</f>
        <v/>
      </c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7">
        <f>IF($A328="","",IFERROR(ROUND($C328*INDEX(tblKurallar[deger_2025],MATCH("SGK-001",tblKurallar[kural_id],0))+$D328*INDEX(tblKurallar[deger_2025],MATCH("SGK-002",tblKurallar[kural_id],0))+$E328*INDEX(tblKurallar[deger_2025],MATCH("SGK-004",tblKurallar[kural_id],0))+$F328*sgk_isverenOran,2),0))</f>
        <v/>
      </c>
      <c r="I328" s="37">
        <f>IF($A328="","",IFERROR(MAX(0,$H328-$G328),0))</f>
        <v/>
      </c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7">
        <f>IF($A329="","",IFERROR(ROUND($C329*INDEX(tblKurallar[deger_2025],MATCH("SGK-001",tblKurallar[kural_id],0))+$D329*INDEX(tblKurallar[deger_2025],MATCH("SGK-002",tblKurallar[kural_id],0))+$E329*INDEX(tblKurallar[deger_2025],MATCH("SGK-004",tblKurallar[kural_id],0))+$F329*sgk_isverenOran,2),0))</f>
        <v/>
      </c>
      <c r="I329" s="37">
        <f>IF($A329="","",IFERROR(MAX(0,$H329-$G329),0))</f>
        <v/>
      </c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7">
        <f>IF($A330="","",IFERROR(ROUND($C330*INDEX(tblKurallar[deger_2025],MATCH("SGK-001",tblKurallar[kural_id],0))+$D330*INDEX(tblKurallar[deger_2025],MATCH("SGK-002",tblKurallar[kural_id],0))+$E330*INDEX(tblKurallar[deger_2025],MATCH("SGK-004",tblKurallar[kural_id],0))+$F330*sgk_isverenOran,2),0))</f>
        <v/>
      </c>
      <c r="I330" s="37">
        <f>IF($A330="","",IFERROR(MAX(0,$H330-$G330),0))</f>
        <v/>
      </c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7">
        <f>IF($A331="","",IFERROR(ROUND($C331*INDEX(tblKurallar[deger_2025],MATCH("SGK-001",tblKurallar[kural_id],0))+$D331*INDEX(tblKurallar[deger_2025],MATCH("SGK-002",tblKurallar[kural_id],0))+$E331*INDEX(tblKurallar[deger_2025],MATCH("SGK-004",tblKurallar[kural_id],0))+$F331*sgk_isverenOran,2),0))</f>
        <v/>
      </c>
      <c r="I331" s="37">
        <f>IF($A331="","",IFERROR(MAX(0,$H331-$G331),0))</f>
        <v/>
      </c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7">
        <f>IF($A332="","",IFERROR(ROUND($C332*INDEX(tblKurallar[deger_2025],MATCH("SGK-001",tblKurallar[kural_id],0))+$D332*INDEX(tblKurallar[deger_2025],MATCH("SGK-002",tblKurallar[kural_id],0))+$E332*INDEX(tblKurallar[deger_2025],MATCH("SGK-004",tblKurallar[kural_id],0))+$F332*sgk_isverenOran,2),0))</f>
        <v/>
      </c>
      <c r="I332" s="37">
        <f>IF($A332="","",IFERROR(MAX(0,$H332-$G332),0))</f>
        <v/>
      </c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7">
        <f>IF($A333="","",IFERROR(ROUND($C333*INDEX(tblKurallar[deger_2025],MATCH("SGK-001",tblKurallar[kural_id],0))+$D333*INDEX(tblKurallar[deger_2025],MATCH("SGK-002",tblKurallar[kural_id],0))+$E333*INDEX(tblKurallar[deger_2025],MATCH("SGK-004",tblKurallar[kural_id],0))+$F333*sgk_isverenOran,2),0))</f>
        <v/>
      </c>
      <c r="I333" s="37">
        <f>IF($A333="","",IFERROR(MAX(0,$H333-$G333),0))</f>
        <v/>
      </c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7">
        <f>IF($A334="","",IFERROR(ROUND($C334*INDEX(tblKurallar[deger_2025],MATCH("SGK-001",tblKurallar[kural_id],0))+$D334*INDEX(tblKurallar[deger_2025],MATCH("SGK-002",tblKurallar[kural_id],0))+$E334*INDEX(tblKurallar[deger_2025],MATCH("SGK-004",tblKurallar[kural_id],0))+$F334*sgk_isverenOran,2),0))</f>
        <v/>
      </c>
      <c r="I334" s="37">
        <f>IF($A334="","",IFERROR(MAX(0,$H334-$G334),0))</f>
        <v/>
      </c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7">
        <f>IF($A335="","",IFERROR(ROUND($C335*INDEX(tblKurallar[deger_2025],MATCH("SGK-001",tblKurallar[kural_id],0))+$D335*INDEX(tblKurallar[deger_2025],MATCH("SGK-002",tblKurallar[kural_id],0))+$E335*INDEX(tblKurallar[deger_2025],MATCH("SGK-004",tblKurallar[kural_id],0))+$F335*sgk_isverenOran,2),0))</f>
        <v/>
      </c>
      <c r="I335" s="37">
        <f>IF($A335="","",IFERROR(MAX(0,$H335-$G335),0))</f>
        <v/>
      </c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7">
        <f>IF($A336="","",IFERROR(ROUND($C336*INDEX(tblKurallar[deger_2025],MATCH("SGK-001",tblKurallar[kural_id],0))+$D336*INDEX(tblKurallar[deger_2025],MATCH("SGK-002",tblKurallar[kural_id],0))+$E336*INDEX(tblKurallar[deger_2025],MATCH("SGK-004",tblKurallar[kural_id],0))+$F336*sgk_isverenOran,2),0))</f>
        <v/>
      </c>
      <c r="I336" s="37">
        <f>IF($A336="","",IFERROR(MAX(0,$H336-$G336),0))</f>
        <v/>
      </c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7">
        <f>IF($A337="","",IFERROR(ROUND($C337*INDEX(tblKurallar[deger_2025],MATCH("SGK-001",tblKurallar[kural_id],0))+$D337*INDEX(tblKurallar[deger_2025],MATCH("SGK-002",tblKurallar[kural_id],0))+$E337*INDEX(tblKurallar[deger_2025],MATCH("SGK-004",tblKurallar[kural_id],0))+$F337*sgk_isverenOran,2),0))</f>
        <v/>
      </c>
      <c r="I337" s="37">
        <f>IF($A337="","",IFERROR(MAX(0,$H337-$G337),0))</f>
        <v/>
      </c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7">
        <f>IF($A338="","",IFERROR(ROUND($C338*INDEX(tblKurallar[deger_2025],MATCH("SGK-001",tblKurallar[kural_id],0))+$D338*INDEX(tblKurallar[deger_2025],MATCH("SGK-002",tblKurallar[kural_id],0))+$E338*INDEX(tblKurallar[deger_2025],MATCH("SGK-004",tblKurallar[kural_id],0))+$F338*sgk_isverenOran,2),0))</f>
        <v/>
      </c>
      <c r="I338" s="37">
        <f>IF($A338="","",IFERROR(MAX(0,$H338-$G338),0))</f>
        <v/>
      </c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7">
        <f>IF($A339="","",IFERROR(ROUND($C339*INDEX(tblKurallar[deger_2025],MATCH("SGK-001",tblKurallar[kural_id],0))+$D339*INDEX(tblKurallar[deger_2025],MATCH("SGK-002",tblKurallar[kural_id],0))+$E339*INDEX(tblKurallar[deger_2025],MATCH("SGK-004",tblKurallar[kural_id],0))+$F339*sgk_isverenOran,2),0))</f>
        <v/>
      </c>
      <c r="I339" s="37">
        <f>IF($A339="","",IFERROR(MAX(0,$H339-$G339),0))</f>
        <v/>
      </c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7">
        <f>IF($A340="","",IFERROR(ROUND($C340*INDEX(tblKurallar[deger_2025],MATCH("SGK-001",tblKurallar[kural_id],0))+$D340*INDEX(tblKurallar[deger_2025],MATCH("SGK-002",tblKurallar[kural_id],0))+$E340*INDEX(tblKurallar[deger_2025],MATCH("SGK-004",tblKurallar[kural_id],0))+$F340*sgk_isverenOran,2),0))</f>
        <v/>
      </c>
      <c r="I340" s="37">
        <f>IF($A340="","",IFERROR(MAX(0,$H340-$G340),0))</f>
        <v/>
      </c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7">
        <f>IF($A341="","",IFERROR(ROUND($C341*INDEX(tblKurallar[deger_2025],MATCH("SGK-001",tblKurallar[kural_id],0))+$D341*INDEX(tblKurallar[deger_2025],MATCH("SGK-002",tblKurallar[kural_id],0))+$E341*INDEX(tblKurallar[deger_2025],MATCH("SGK-004",tblKurallar[kural_id],0))+$F341*sgk_isverenOran,2),0))</f>
        <v/>
      </c>
      <c r="I341" s="37">
        <f>IF($A341="","",IFERROR(MAX(0,$H341-$G341),0))</f>
        <v/>
      </c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7">
        <f>IF($A342="","",IFERROR(ROUND($C342*INDEX(tblKurallar[deger_2025],MATCH("SGK-001",tblKurallar[kural_id],0))+$D342*INDEX(tblKurallar[deger_2025],MATCH("SGK-002",tblKurallar[kural_id],0))+$E342*INDEX(tblKurallar[deger_2025],MATCH("SGK-004",tblKurallar[kural_id],0))+$F342*sgk_isverenOran,2),0))</f>
        <v/>
      </c>
      <c r="I342" s="37">
        <f>IF($A342="","",IFERROR(MAX(0,$H342-$G342),0))</f>
        <v/>
      </c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7">
        <f>IF($A343="","",IFERROR(ROUND($C343*INDEX(tblKurallar[deger_2025],MATCH("SGK-001",tblKurallar[kural_id],0))+$D343*INDEX(tblKurallar[deger_2025],MATCH("SGK-002",tblKurallar[kural_id],0))+$E343*INDEX(tblKurallar[deger_2025],MATCH("SGK-004",tblKurallar[kural_id],0))+$F343*sgk_isverenOran,2),0))</f>
        <v/>
      </c>
      <c r="I343" s="37">
        <f>IF($A343="","",IFERROR(MAX(0,$H343-$G343),0))</f>
        <v/>
      </c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7">
        <f>IF($A344="","",IFERROR(ROUND($C344*INDEX(tblKurallar[deger_2025],MATCH("SGK-001",tblKurallar[kural_id],0))+$D344*INDEX(tblKurallar[deger_2025],MATCH("SGK-002",tblKurallar[kural_id],0))+$E344*INDEX(tblKurallar[deger_2025],MATCH("SGK-004",tblKurallar[kural_id],0))+$F344*sgk_isverenOran,2),0))</f>
        <v/>
      </c>
      <c r="I344" s="37">
        <f>IF($A344="","",IFERROR(MAX(0,$H344-$G344),0))</f>
        <v/>
      </c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7">
        <f>IF($A345="","",IFERROR(ROUND($C345*INDEX(tblKurallar[deger_2025],MATCH("SGK-001",tblKurallar[kural_id],0))+$D345*INDEX(tblKurallar[deger_2025],MATCH("SGK-002",tblKurallar[kural_id],0))+$E345*INDEX(tblKurallar[deger_2025],MATCH("SGK-004",tblKurallar[kural_id],0))+$F345*sgk_isverenOran,2),0))</f>
        <v/>
      </c>
      <c r="I345" s="37">
        <f>IF($A345="","",IFERROR(MAX(0,$H345-$G345),0))</f>
        <v/>
      </c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7">
        <f>IF($A346="","",IFERROR(ROUND($C346*INDEX(tblKurallar[deger_2025],MATCH("SGK-001",tblKurallar[kural_id],0))+$D346*INDEX(tblKurallar[deger_2025],MATCH("SGK-002",tblKurallar[kural_id],0))+$E346*INDEX(tblKurallar[deger_2025],MATCH("SGK-004",tblKurallar[kural_id],0))+$F346*sgk_isverenOran,2),0))</f>
        <v/>
      </c>
      <c r="I346" s="37">
        <f>IF($A346="","",IFERROR(MAX(0,$H346-$G346),0))</f>
        <v/>
      </c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7">
        <f>IF($A347="","",IFERROR(ROUND($C347*INDEX(tblKurallar[deger_2025],MATCH("SGK-001",tblKurallar[kural_id],0))+$D347*INDEX(tblKurallar[deger_2025],MATCH("SGK-002",tblKurallar[kural_id],0))+$E347*INDEX(tblKurallar[deger_2025],MATCH("SGK-004",tblKurallar[kural_id],0))+$F347*sgk_isverenOran,2),0))</f>
        <v/>
      </c>
      <c r="I347" s="37">
        <f>IF($A347="","",IFERROR(MAX(0,$H347-$G347),0))</f>
        <v/>
      </c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7">
        <f>IF($A348="","",IFERROR(ROUND($C348*INDEX(tblKurallar[deger_2025],MATCH("SGK-001",tblKurallar[kural_id],0))+$D348*INDEX(tblKurallar[deger_2025],MATCH("SGK-002",tblKurallar[kural_id],0))+$E348*INDEX(tblKurallar[deger_2025],MATCH("SGK-004",tblKurallar[kural_id],0))+$F348*sgk_isverenOran,2),0))</f>
        <v/>
      </c>
      <c r="I348" s="37">
        <f>IF($A348="","",IFERROR(MAX(0,$H348-$G348),0))</f>
        <v/>
      </c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7">
        <f>IF($A349="","",IFERROR(ROUND($C349*INDEX(tblKurallar[deger_2025],MATCH("SGK-001",tblKurallar[kural_id],0))+$D349*INDEX(tblKurallar[deger_2025],MATCH("SGK-002",tblKurallar[kural_id],0))+$E349*INDEX(tblKurallar[deger_2025],MATCH("SGK-004",tblKurallar[kural_id],0))+$F349*sgk_isverenOran,2),0))</f>
        <v/>
      </c>
      <c r="I349" s="37">
        <f>IF($A349="","",IFERROR(MAX(0,$H349-$G349),0))</f>
        <v/>
      </c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7">
        <f>IF($A350="","",IFERROR(ROUND($C350*INDEX(tblKurallar[deger_2025],MATCH("SGK-001",tblKurallar[kural_id],0))+$D350*INDEX(tblKurallar[deger_2025],MATCH("SGK-002",tblKurallar[kural_id],0))+$E350*INDEX(tblKurallar[deger_2025],MATCH("SGK-004",tblKurallar[kural_id],0))+$F350*sgk_isverenOran,2),0))</f>
        <v/>
      </c>
      <c r="I350" s="37">
        <f>IF($A350="","",IFERROR(MAX(0,$H350-$G350),0))</f>
        <v/>
      </c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7">
        <f>IF($A351="","",IFERROR(ROUND($C351*INDEX(tblKurallar[deger_2025],MATCH("SGK-001",tblKurallar[kural_id],0))+$D351*INDEX(tblKurallar[deger_2025],MATCH("SGK-002",tblKurallar[kural_id],0))+$E351*INDEX(tblKurallar[deger_2025],MATCH("SGK-004",tblKurallar[kural_id],0))+$F351*sgk_isverenOran,2),0))</f>
        <v/>
      </c>
      <c r="I351" s="37">
        <f>IF($A351="","",IFERROR(MAX(0,$H351-$G351),0))</f>
        <v/>
      </c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7">
        <f>IF($A352="","",IFERROR(ROUND($C352*INDEX(tblKurallar[deger_2025],MATCH("SGK-001",tblKurallar[kural_id],0))+$D352*INDEX(tblKurallar[deger_2025],MATCH("SGK-002",tblKurallar[kural_id],0))+$E352*INDEX(tblKurallar[deger_2025],MATCH("SGK-004",tblKurallar[kural_id],0))+$F352*sgk_isverenOran,2),0))</f>
        <v/>
      </c>
      <c r="I352" s="37">
        <f>IF($A352="","",IFERROR(MAX(0,$H352-$G352),0))</f>
        <v/>
      </c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7">
        <f>IF($A353="","",IFERROR(ROUND($C353*INDEX(tblKurallar[deger_2025],MATCH("SGK-001",tblKurallar[kural_id],0))+$D353*INDEX(tblKurallar[deger_2025],MATCH("SGK-002",tblKurallar[kural_id],0))+$E353*INDEX(tblKurallar[deger_2025],MATCH("SGK-004",tblKurallar[kural_id],0))+$F353*sgk_isverenOran,2),0))</f>
        <v/>
      </c>
      <c r="I353" s="37">
        <f>IF($A353="","",IFERROR(MAX(0,$H353-$G353),0))</f>
        <v/>
      </c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7">
        <f>IF($A354="","",IFERROR(ROUND($C354*INDEX(tblKurallar[deger_2025],MATCH("SGK-001",tblKurallar[kural_id],0))+$D354*INDEX(tblKurallar[deger_2025],MATCH("SGK-002",tblKurallar[kural_id],0))+$E354*INDEX(tblKurallar[deger_2025],MATCH("SGK-004",tblKurallar[kural_id],0))+$F354*sgk_isverenOran,2),0))</f>
        <v/>
      </c>
      <c r="I354" s="37">
        <f>IF($A354="","",IFERROR(MAX(0,$H354-$G354),0))</f>
        <v/>
      </c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7">
        <f>IF($A355="","",IFERROR(ROUND($C355*INDEX(tblKurallar[deger_2025],MATCH("SGK-001",tblKurallar[kural_id],0))+$D355*INDEX(tblKurallar[deger_2025],MATCH("SGK-002",tblKurallar[kural_id],0))+$E355*INDEX(tblKurallar[deger_2025],MATCH("SGK-004",tblKurallar[kural_id],0))+$F355*sgk_isverenOran,2),0))</f>
        <v/>
      </c>
      <c r="I355" s="37">
        <f>IF($A355="","",IFERROR(MAX(0,$H355-$G355),0))</f>
        <v/>
      </c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7">
        <f>IF($A356="","",IFERROR(ROUND($C356*INDEX(tblKurallar[deger_2025],MATCH("SGK-001",tblKurallar[kural_id],0))+$D356*INDEX(tblKurallar[deger_2025],MATCH("SGK-002",tblKurallar[kural_id],0))+$E356*INDEX(tblKurallar[deger_2025],MATCH("SGK-004",tblKurallar[kural_id],0))+$F356*sgk_isverenOran,2),0))</f>
        <v/>
      </c>
      <c r="I356" s="37">
        <f>IF($A356="","",IFERROR(MAX(0,$H356-$G356),0))</f>
        <v/>
      </c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7">
        <f>IF($A357="","",IFERROR(ROUND($C357*INDEX(tblKurallar[deger_2025],MATCH("SGK-001",tblKurallar[kural_id],0))+$D357*INDEX(tblKurallar[deger_2025],MATCH("SGK-002",tblKurallar[kural_id],0))+$E357*INDEX(tblKurallar[deger_2025],MATCH("SGK-004",tblKurallar[kural_id],0))+$F357*sgk_isverenOran,2),0))</f>
        <v/>
      </c>
      <c r="I357" s="37">
        <f>IF($A357="","",IFERROR(MAX(0,$H357-$G357),0))</f>
        <v/>
      </c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7">
        <f>IF($A358="","",IFERROR(ROUND($C358*INDEX(tblKurallar[deger_2025],MATCH("SGK-001",tblKurallar[kural_id],0))+$D358*INDEX(tblKurallar[deger_2025],MATCH("SGK-002",tblKurallar[kural_id],0))+$E358*INDEX(tblKurallar[deger_2025],MATCH("SGK-004",tblKurallar[kural_id],0))+$F358*sgk_isverenOran,2),0))</f>
        <v/>
      </c>
      <c r="I358" s="37">
        <f>IF($A358="","",IFERROR(MAX(0,$H358-$G358),0))</f>
        <v/>
      </c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7">
        <f>IF($A359="","",IFERROR(ROUND($C359*INDEX(tblKurallar[deger_2025],MATCH("SGK-001",tblKurallar[kural_id],0))+$D359*INDEX(tblKurallar[deger_2025],MATCH("SGK-002",tblKurallar[kural_id],0))+$E359*INDEX(tblKurallar[deger_2025],MATCH("SGK-004",tblKurallar[kural_id],0))+$F359*sgk_isverenOran,2),0))</f>
        <v/>
      </c>
      <c r="I359" s="37">
        <f>IF($A359="","",IFERROR(MAX(0,$H359-$G359),0))</f>
        <v/>
      </c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7">
        <f>IF($A360="","",IFERROR(ROUND($C360*INDEX(tblKurallar[deger_2025],MATCH("SGK-001",tblKurallar[kural_id],0))+$D360*INDEX(tblKurallar[deger_2025],MATCH("SGK-002",tblKurallar[kural_id],0))+$E360*INDEX(tblKurallar[deger_2025],MATCH("SGK-004",tblKurallar[kural_id],0))+$F360*sgk_isverenOran,2),0))</f>
        <v/>
      </c>
      <c r="I360" s="37">
        <f>IF($A360="","",IFERROR(MAX(0,$H360-$G360),0))</f>
        <v/>
      </c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7">
        <f>IF($A361="","",IFERROR(ROUND($C361*INDEX(tblKurallar[deger_2025],MATCH("SGK-001",tblKurallar[kural_id],0))+$D361*INDEX(tblKurallar[deger_2025],MATCH("SGK-002",tblKurallar[kural_id],0))+$E361*INDEX(tblKurallar[deger_2025],MATCH("SGK-004",tblKurallar[kural_id],0))+$F361*sgk_isverenOran,2),0))</f>
        <v/>
      </c>
      <c r="I361" s="37">
        <f>IF($A361="","",IFERROR(MAX(0,$H361-$G361),0))</f>
        <v/>
      </c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7">
        <f>IF($A362="","",IFERROR(ROUND($C362*INDEX(tblKurallar[deger_2025],MATCH("SGK-001",tblKurallar[kural_id],0))+$D362*INDEX(tblKurallar[deger_2025],MATCH("SGK-002",tblKurallar[kural_id],0))+$E362*INDEX(tblKurallar[deger_2025],MATCH("SGK-004",tblKurallar[kural_id],0))+$F362*sgk_isverenOran,2),0))</f>
        <v/>
      </c>
      <c r="I362" s="37">
        <f>IF($A362="","",IFERROR(MAX(0,$H362-$G362),0))</f>
        <v/>
      </c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7">
        <f>IF($A363="","",IFERROR(ROUND($C363*INDEX(tblKurallar[deger_2025],MATCH("SGK-001",tblKurallar[kural_id],0))+$D363*INDEX(tblKurallar[deger_2025],MATCH("SGK-002",tblKurallar[kural_id],0))+$E363*INDEX(tblKurallar[deger_2025],MATCH("SGK-004",tblKurallar[kural_id],0))+$F363*sgk_isverenOran,2),0))</f>
        <v/>
      </c>
      <c r="I363" s="37">
        <f>IF($A363="","",IFERROR(MAX(0,$H363-$G363),0))</f>
        <v/>
      </c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7">
        <f>IF($A364="","",IFERROR(ROUND($C364*INDEX(tblKurallar[deger_2025],MATCH("SGK-001",tblKurallar[kural_id],0))+$D364*INDEX(tblKurallar[deger_2025],MATCH("SGK-002",tblKurallar[kural_id],0))+$E364*INDEX(tblKurallar[deger_2025],MATCH("SGK-004",tblKurallar[kural_id],0))+$F364*sgk_isverenOran,2),0))</f>
        <v/>
      </c>
      <c r="I364" s="37">
        <f>IF($A364="","",IFERROR(MAX(0,$H364-$G364),0))</f>
        <v/>
      </c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7">
        <f>IF($A365="","",IFERROR(ROUND($C365*INDEX(tblKurallar[deger_2025],MATCH("SGK-001",tblKurallar[kural_id],0))+$D365*INDEX(tblKurallar[deger_2025],MATCH("SGK-002",tblKurallar[kural_id],0))+$E365*INDEX(tblKurallar[deger_2025],MATCH("SGK-004",tblKurallar[kural_id],0))+$F365*sgk_isverenOran,2),0))</f>
        <v/>
      </c>
      <c r="I365" s="37">
        <f>IF($A365="","",IFERROR(MAX(0,$H365-$G365),0))</f>
        <v/>
      </c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7">
        <f>IF($A366="","",IFERROR(ROUND($C366*INDEX(tblKurallar[deger_2025],MATCH("SGK-001",tblKurallar[kural_id],0))+$D366*INDEX(tblKurallar[deger_2025],MATCH("SGK-002",tblKurallar[kural_id],0))+$E366*INDEX(tblKurallar[deger_2025],MATCH("SGK-004",tblKurallar[kural_id],0))+$F366*sgk_isverenOran,2),0))</f>
        <v/>
      </c>
      <c r="I366" s="37">
        <f>IF($A366="","",IFERROR(MAX(0,$H366-$G366),0))</f>
        <v/>
      </c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7">
        <f>IF($A367="","",IFERROR(ROUND($C367*INDEX(tblKurallar[deger_2025],MATCH("SGK-001",tblKurallar[kural_id],0))+$D367*INDEX(tblKurallar[deger_2025],MATCH("SGK-002",tblKurallar[kural_id],0))+$E367*INDEX(tblKurallar[deger_2025],MATCH("SGK-004",tblKurallar[kural_id],0))+$F367*sgk_isverenOran,2),0))</f>
        <v/>
      </c>
      <c r="I367" s="37">
        <f>IF($A367="","",IFERROR(MAX(0,$H367-$G367),0))</f>
        <v/>
      </c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7">
        <f>IF($A368="","",IFERROR(ROUND($C368*INDEX(tblKurallar[deger_2025],MATCH("SGK-001",tblKurallar[kural_id],0))+$D368*INDEX(tblKurallar[deger_2025],MATCH("SGK-002",tblKurallar[kural_id],0))+$E368*INDEX(tblKurallar[deger_2025],MATCH("SGK-004",tblKurallar[kural_id],0))+$F368*sgk_isverenOran,2),0))</f>
        <v/>
      </c>
      <c r="I368" s="37">
        <f>IF($A368="","",IFERROR(MAX(0,$H368-$G368),0))</f>
        <v/>
      </c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7">
        <f>IF($A369="","",IFERROR(ROUND($C369*INDEX(tblKurallar[deger_2025],MATCH("SGK-001",tblKurallar[kural_id],0))+$D369*INDEX(tblKurallar[deger_2025],MATCH("SGK-002",tblKurallar[kural_id],0))+$E369*INDEX(tblKurallar[deger_2025],MATCH("SGK-004",tblKurallar[kural_id],0))+$F369*sgk_isverenOran,2),0))</f>
        <v/>
      </c>
      <c r="I369" s="37">
        <f>IF($A369="","",IFERROR(MAX(0,$H369-$G369),0))</f>
        <v/>
      </c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7">
        <f>IF($A370="","",IFERROR(ROUND($C370*INDEX(tblKurallar[deger_2025],MATCH("SGK-001",tblKurallar[kural_id],0))+$D370*INDEX(tblKurallar[deger_2025],MATCH("SGK-002",tblKurallar[kural_id],0))+$E370*INDEX(tblKurallar[deger_2025],MATCH("SGK-004",tblKurallar[kural_id],0))+$F370*sgk_isverenOran,2),0))</f>
        <v/>
      </c>
      <c r="I370" s="37">
        <f>IF($A370="","",IFERROR(MAX(0,$H370-$G370),0))</f>
        <v/>
      </c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7">
        <f>IF($A371="","",IFERROR(ROUND($C371*INDEX(tblKurallar[deger_2025],MATCH("SGK-001",tblKurallar[kural_id],0))+$D371*INDEX(tblKurallar[deger_2025],MATCH("SGK-002",tblKurallar[kural_id],0))+$E371*INDEX(tblKurallar[deger_2025],MATCH("SGK-004",tblKurallar[kural_id],0))+$F371*sgk_isverenOran,2),0))</f>
        <v/>
      </c>
      <c r="I371" s="37">
        <f>IF($A371="","",IFERROR(MAX(0,$H371-$G371),0))</f>
        <v/>
      </c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7">
        <f>IF($A372="","",IFERROR(ROUND($C372*INDEX(tblKurallar[deger_2025],MATCH("SGK-001",tblKurallar[kural_id],0))+$D372*INDEX(tblKurallar[deger_2025],MATCH("SGK-002",tblKurallar[kural_id],0))+$E372*INDEX(tblKurallar[deger_2025],MATCH("SGK-004",tblKurallar[kural_id],0))+$F372*sgk_isverenOran,2),0))</f>
        <v/>
      </c>
      <c r="I372" s="37">
        <f>IF($A372="","",IFERROR(MAX(0,$H372-$G372),0))</f>
        <v/>
      </c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7">
        <f>IF($A373="","",IFERROR(ROUND($C373*INDEX(tblKurallar[deger_2025],MATCH("SGK-001",tblKurallar[kural_id],0))+$D373*INDEX(tblKurallar[deger_2025],MATCH("SGK-002",tblKurallar[kural_id],0))+$E373*INDEX(tblKurallar[deger_2025],MATCH("SGK-004",tblKurallar[kural_id],0))+$F373*sgk_isverenOran,2),0))</f>
        <v/>
      </c>
      <c r="I373" s="37">
        <f>IF($A373="","",IFERROR(MAX(0,$H373-$G373),0))</f>
        <v/>
      </c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7">
        <f>IF($A374="","",IFERROR(ROUND($C374*INDEX(tblKurallar[deger_2025],MATCH("SGK-001",tblKurallar[kural_id],0))+$D374*INDEX(tblKurallar[deger_2025],MATCH("SGK-002",tblKurallar[kural_id],0))+$E374*INDEX(tblKurallar[deger_2025],MATCH("SGK-004",tblKurallar[kural_id],0))+$F374*sgk_isverenOran,2),0))</f>
        <v/>
      </c>
      <c r="I374" s="37">
        <f>IF($A374="","",IFERROR(MAX(0,$H374-$G374),0))</f>
        <v/>
      </c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7">
        <f>IF($A375="","",IFERROR(ROUND($C375*INDEX(tblKurallar[deger_2025],MATCH("SGK-001",tblKurallar[kural_id],0))+$D375*INDEX(tblKurallar[deger_2025],MATCH("SGK-002",tblKurallar[kural_id],0))+$E375*INDEX(tblKurallar[deger_2025],MATCH("SGK-004",tblKurallar[kural_id],0))+$F375*sgk_isverenOran,2),0))</f>
        <v/>
      </c>
      <c r="I375" s="37">
        <f>IF($A375="","",IFERROR(MAX(0,$H375-$G375),0))</f>
        <v/>
      </c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7">
        <f>IF($A376="","",IFERROR(ROUND($C376*INDEX(tblKurallar[deger_2025],MATCH("SGK-001",tblKurallar[kural_id],0))+$D376*INDEX(tblKurallar[deger_2025],MATCH("SGK-002",tblKurallar[kural_id],0))+$E376*INDEX(tblKurallar[deger_2025],MATCH("SGK-004",tblKurallar[kural_id],0))+$F376*sgk_isverenOran,2),0))</f>
        <v/>
      </c>
      <c r="I376" s="37">
        <f>IF($A376="","",IFERROR(MAX(0,$H376-$G376),0))</f>
        <v/>
      </c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7">
        <f>IF($A377="","",IFERROR(ROUND($C377*INDEX(tblKurallar[deger_2025],MATCH("SGK-001",tblKurallar[kural_id],0))+$D377*INDEX(tblKurallar[deger_2025],MATCH("SGK-002",tblKurallar[kural_id],0))+$E377*INDEX(tblKurallar[deger_2025],MATCH("SGK-004",tblKurallar[kural_id],0))+$F377*sgk_isverenOran,2),0))</f>
        <v/>
      </c>
      <c r="I377" s="37">
        <f>IF($A377="","",IFERROR(MAX(0,$H377-$G377),0))</f>
        <v/>
      </c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7">
        <f>IF($A378="","",IFERROR(ROUND($C378*INDEX(tblKurallar[deger_2025],MATCH("SGK-001",tblKurallar[kural_id],0))+$D378*INDEX(tblKurallar[deger_2025],MATCH("SGK-002",tblKurallar[kural_id],0))+$E378*INDEX(tblKurallar[deger_2025],MATCH("SGK-004",tblKurallar[kural_id],0))+$F378*sgk_isverenOran,2),0))</f>
        <v/>
      </c>
      <c r="I378" s="37">
        <f>IF($A378="","",IFERROR(MAX(0,$H378-$G378),0))</f>
        <v/>
      </c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7">
        <f>IF($A379="","",IFERROR(ROUND($C379*INDEX(tblKurallar[deger_2025],MATCH("SGK-001",tblKurallar[kural_id],0))+$D379*INDEX(tblKurallar[deger_2025],MATCH("SGK-002",tblKurallar[kural_id],0))+$E379*INDEX(tblKurallar[deger_2025],MATCH("SGK-004",tblKurallar[kural_id],0))+$F379*sgk_isverenOran,2),0))</f>
        <v/>
      </c>
      <c r="I379" s="37">
        <f>IF($A379="","",IFERROR(MAX(0,$H379-$G379),0))</f>
        <v/>
      </c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7">
        <f>IF($A380="","",IFERROR(ROUND($C380*INDEX(tblKurallar[deger_2025],MATCH("SGK-001",tblKurallar[kural_id],0))+$D380*INDEX(tblKurallar[deger_2025],MATCH("SGK-002",tblKurallar[kural_id],0))+$E380*INDEX(tblKurallar[deger_2025],MATCH("SGK-004",tblKurallar[kural_id],0))+$F380*sgk_isverenOran,2),0))</f>
        <v/>
      </c>
      <c r="I380" s="37">
        <f>IF($A380="","",IFERROR(MAX(0,$H380-$G380),0))</f>
        <v/>
      </c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7">
        <f>IF($A381="","",IFERROR(ROUND($C381*INDEX(tblKurallar[deger_2025],MATCH("SGK-001",tblKurallar[kural_id],0))+$D381*INDEX(tblKurallar[deger_2025],MATCH("SGK-002",tblKurallar[kural_id],0))+$E381*INDEX(tblKurallar[deger_2025],MATCH("SGK-004",tblKurallar[kural_id],0))+$F381*sgk_isverenOran,2),0))</f>
        <v/>
      </c>
      <c r="I381" s="37">
        <f>IF($A381="","",IFERROR(MAX(0,$H381-$G381),0))</f>
        <v/>
      </c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7">
        <f>IF($A382="","",IFERROR(ROUND($C382*INDEX(tblKurallar[deger_2025],MATCH("SGK-001",tblKurallar[kural_id],0))+$D382*INDEX(tblKurallar[deger_2025],MATCH("SGK-002",tblKurallar[kural_id],0))+$E382*INDEX(tblKurallar[deger_2025],MATCH("SGK-004",tblKurallar[kural_id],0))+$F382*sgk_isverenOran,2),0))</f>
        <v/>
      </c>
      <c r="I382" s="37">
        <f>IF($A382="","",IFERROR(MAX(0,$H382-$G382),0))</f>
        <v/>
      </c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7">
        <f>IF($A383="","",IFERROR(ROUND($C383*INDEX(tblKurallar[deger_2025],MATCH("SGK-001",tblKurallar[kural_id],0))+$D383*INDEX(tblKurallar[deger_2025],MATCH("SGK-002",tblKurallar[kural_id],0))+$E383*INDEX(tblKurallar[deger_2025],MATCH("SGK-004",tblKurallar[kural_id],0))+$F383*sgk_isverenOran,2),0))</f>
        <v/>
      </c>
      <c r="I383" s="37">
        <f>IF($A383="","",IFERROR(MAX(0,$H383-$G383),0))</f>
        <v/>
      </c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7">
        <f>IF($A384="","",IFERROR(ROUND($C384*INDEX(tblKurallar[deger_2025],MATCH("SGK-001",tblKurallar[kural_id],0))+$D384*INDEX(tblKurallar[deger_2025],MATCH("SGK-002",tblKurallar[kural_id],0))+$E384*INDEX(tblKurallar[deger_2025],MATCH("SGK-004",tblKurallar[kural_id],0))+$F384*sgk_isverenOran,2),0))</f>
        <v/>
      </c>
      <c r="I384" s="37">
        <f>IF($A384="","",IFERROR(MAX(0,$H384-$G384),0))</f>
        <v/>
      </c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7">
        <f>IF($A385="","",IFERROR(ROUND($C385*INDEX(tblKurallar[deger_2025],MATCH("SGK-001",tblKurallar[kural_id],0))+$D385*INDEX(tblKurallar[deger_2025],MATCH("SGK-002",tblKurallar[kural_id],0))+$E385*INDEX(tblKurallar[deger_2025],MATCH("SGK-004",tblKurallar[kural_id],0))+$F385*sgk_isverenOran,2),0))</f>
        <v/>
      </c>
      <c r="I385" s="37">
        <f>IF($A385="","",IFERROR(MAX(0,$H385-$G385),0))</f>
        <v/>
      </c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7">
        <f>IF($A386="","",IFERROR(ROUND($C386*INDEX(tblKurallar[deger_2025],MATCH("SGK-001",tblKurallar[kural_id],0))+$D386*INDEX(tblKurallar[deger_2025],MATCH("SGK-002",tblKurallar[kural_id],0))+$E386*INDEX(tblKurallar[deger_2025],MATCH("SGK-004",tblKurallar[kural_id],0))+$F386*sgk_isverenOran,2),0))</f>
        <v/>
      </c>
      <c r="I386" s="37">
        <f>IF($A386="","",IFERROR(MAX(0,$H386-$G386),0))</f>
        <v/>
      </c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7">
        <f>IF($A387="","",IFERROR(ROUND($C387*INDEX(tblKurallar[deger_2025],MATCH("SGK-001",tblKurallar[kural_id],0))+$D387*INDEX(tblKurallar[deger_2025],MATCH("SGK-002",tblKurallar[kural_id],0))+$E387*INDEX(tblKurallar[deger_2025],MATCH("SGK-004",tblKurallar[kural_id],0))+$F387*sgk_isverenOran,2),0))</f>
        <v/>
      </c>
      <c r="I387" s="37">
        <f>IF($A387="","",IFERROR(MAX(0,$H387-$G387),0))</f>
        <v/>
      </c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7">
        <f>IF($A388="","",IFERROR(ROUND($C388*INDEX(tblKurallar[deger_2025],MATCH("SGK-001",tblKurallar[kural_id],0))+$D388*INDEX(tblKurallar[deger_2025],MATCH("SGK-002",tblKurallar[kural_id],0))+$E388*INDEX(tblKurallar[deger_2025],MATCH("SGK-004",tblKurallar[kural_id],0))+$F388*sgk_isverenOran,2),0))</f>
        <v/>
      </c>
      <c r="I388" s="37">
        <f>IF($A388="","",IFERROR(MAX(0,$H388-$G388),0))</f>
        <v/>
      </c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7">
        <f>IF($A389="","",IFERROR(ROUND($C389*INDEX(tblKurallar[deger_2025],MATCH("SGK-001",tblKurallar[kural_id],0))+$D389*INDEX(tblKurallar[deger_2025],MATCH("SGK-002",tblKurallar[kural_id],0))+$E389*INDEX(tblKurallar[deger_2025],MATCH("SGK-004",tblKurallar[kural_id],0))+$F389*sgk_isverenOran,2),0))</f>
        <v/>
      </c>
      <c r="I389" s="37">
        <f>IF($A389="","",IFERROR(MAX(0,$H389-$G389),0))</f>
        <v/>
      </c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7">
        <f>IF($A390="","",IFERROR(ROUND($C390*INDEX(tblKurallar[deger_2025],MATCH("SGK-001",tblKurallar[kural_id],0))+$D390*INDEX(tblKurallar[deger_2025],MATCH("SGK-002",tblKurallar[kural_id],0))+$E390*INDEX(tblKurallar[deger_2025],MATCH("SGK-004",tblKurallar[kural_id],0))+$F390*sgk_isverenOran,2),0))</f>
        <v/>
      </c>
      <c r="I390" s="37">
        <f>IF($A390="","",IFERROR(MAX(0,$H390-$G390),0))</f>
        <v/>
      </c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7">
        <f>IF($A391="","",IFERROR(ROUND($C391*INDEX(tblKurallar[deger_2025],MATCH("SGK-001",tblKurallar[kural_id],0))+$D391*INDEX(tblKurallar[deger_2025],MATCH("SGK-002",tblKurallar[kural_id],0))+$E391*INDEX(tblKurallar[deger_2025],MATCH("SGK-004",tblKurallar[kural_id],0))+$F391*sgk_isverenOran,2),0))</f>
        <v/>
      </c>
      <c r="I391" s="37">
        <f>IF($A391="","",IFERROR(MAX(0,$H391-$G391),0))</f>
        <v/>
      </c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7">
        <f>IF($A392="","",IFERROR(ROUND($C392*INDEX(tblKurallar[deger_2025],MATCH("SGK-001",tblKurallar[kural_id],0))+$D392*INDEX(tblKurallar[deger_2025],MATCH("SGK-002",tblKurallar[kural_id],0))+$E392*INDEX(tblKurallar[deger_2025],MATCH("SGK-004",tblKurallar[kural_id],0))+$F392*sgk_isverenOran,2),0))</f>
        <v/>
      </c>
      <c r="I392" s="37">
        <f>IF($A392="","",IFERROR(MAX(0,$H392-$G392),0))</f>
        <v/>
      </c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7">
        <f>IF($A393="","",IFERROR(ROUND($C393*INDEX(tblKurallar[deger_2025],MATCH("SGK-001",tblKurallar[kural_id],0))+$D393*INDEX(tblKurallar[deger_2025],MATCH("SGK-002",tblKurallar[kural_id],0))+$E393*INDEX(tblKurallar[deger_2025],MATCH("SGK-004",tblKurallar[kural_id],0))+$F393*sgk_isverenOran,2),0))</f>
        <v/>
      </c>
      <c r="I393" s="37">
        <f>IF($A393="","",IFERROR(MAX(0,$H393-$G393),0))</f>
        <v/>
      </c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7">
        <f>IF($A394="","",IFERROR(ROUND($C394*INDEX(tblKurallar[deger_2025],MATCH("SGK-001",tblKurallar[kural_id],0))+$D394*INDEX(tblKurallar[deger_2025],MATCH("SGK-002",tblKurallar[kural_id],0))+$E394*INDEX(tblKurallar[deger_2025],MATCH("SGK-004",tblKurallar[kural_id],0))+$F394*sgk_isverenOran,2),0))</f>
        <v/>
      </c>
      <c r="I394" s="37">
        <f>IF($A394="","",IFERROR(MAX(0,$H394-$G394),0))</f>
        <v/>
      </c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7">
        <f>IF($A395="","",IFERROR(ROUND($C395*INDEX(tblKurallar[deger_2025],MATCH("SGK-001",tblKurallar[kural_id],0))+$D395*INDEX(tblKurallar[deger_2025],MATCH("SGK-002",tblKurallar[kural_id],0))+$E395*INDEX(tblKurallar[deger_2025],MATCH("SGK-004",tblKurallar[kural_id],0))+$F395*sgk_isverenOran,2),0))</f>
        <v/>
      </c>
      <c r="I395" s="37">
        <f>IF($A395="","",IFERROR(MAX(0,$H395-$G395),0))</f>
        <v/>
      </c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7">
        <f>IF($A396="","",IFERROR(ROUND($C396*INDEX(tblKurallar[deger_2025],MATCH("SGK-001",tblKurallar[kural_id],0))+$D396*INDEX(tblKurallar[deger_2025],MATCH("SGK-002",tblKurallar[kural_id],0))+$E396*INDEX(tblKurallar[deger_2025],MATCH("SGK-004",tblKurallar[kural_id],0))+$F396*sgk_isverenOran,2),0))</f>
        <v/>
      </c>
      <c r="I396" s="37">
        <f>IF($A396="","",IFERROR(MAX(0,$H396-$G396),0))</f>
        <v/>
      </c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7">
        <f>IF($A397="","",IFERROR(ROUND($C397*INDEX(tblKurallar[deger_2025],MATCH("SGK-001",tblKurallar[kural_id],0))+$D397*INDEX(tblKurallar[deger_2025],MATCH("SGK-002",tblKurallar[kural_id],0))+$E397*INDEX(tblKurallar[deger_2025],MATCH("SGK-004",tblKurallar[kural_id],0))+$F397*sgk_isverenOran,2),0))</f>
        <v/>
      </c>
      <c r="I397" s="37">
        <f>IF($A397="","",IFERROR(MAX(0,$H397-$G397),0))</f>
        <v/>
      </c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7">
        <f>IF($A398="","",IFERROR(ROUND($C398*INDEX(tblKurallar[deger_2025],MATCH("SGK-001",tblKurallar[kural_id],0))+$D398*INDEX(tblKurallar[deger_2025],MATCH("SGK-002",tblKurallar[kural_id],0))+$E398*INDEX(tblKurallar[deger_2025],MATCH("SGK-004",tblKurallar[kural_id],0))+$F398*sgk_isverenOran,2),0))</f>
        <v/>
      </c>
      <c r="I398" s="37">
        <f>IF($A398="","",IFERROR(MAX(0,$H398-$G398),0))</f>
        <v/>
      </c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7">
        <f>IF($A399="","",IFERROR(ROUND($C399*INDEX(tblKurallar[deger_2025],MATCH("SGK-001",tblKurallar[kural_id],0))+$D399*INDEX(tblKurallar[deger_2025],MATCH("SGK-002",tblKurallar[kural_id],0))+$E399*INDEX(tblKurallar[deger_2025],MATCH("SGK-004",tblKurallar[kural_id],0))+$F399*sgk_isverenOran,2),0))</f>
        <v/>
      </c>
      <c r="I399" s="37">
        <f>IF($A399="","",IFERROR(MAX(0,$H399-$G399),0))</f>
        <v/>
      </c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7">
        <f>IF($A400="","",IFERROR(ROUND($C400*INDEX(tblKurallar[deger_2025],MATCH("SGK-001",tblKurallar[kural_id],0))+$D400*INDEX(tblKurallar[deger_2025],MATCH("SGK-002",tblKurallar[kural_id],0))+$E400*INDEX(tblKurallar[deger_2025],MATCH("SGK-004",tblKurallar[kural_id],0))+$F400*sgk_isverenOran,2),0))</f>
        <v/>
      </c>
      <c r="I400" s="37">
        <f>IF($A400="","",IFERROR(MAX(0,$H400-$G400),0))</f>
        <v/>
      </c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7">
        <f>IF($A401="","",IFERROR(ROUND($C401*INDEX(tblKurallar[deger_2025],MATCH("SGK-001",tblKurallar[kural_id],0))+$D401*INDEX(tblKurallar[deger_2025],MATCH("SGK-002",tblKurallar[kural_id],0))+$E401*INDEX(tblKurallar[deger_2025],MATCH("SGK-004",tblKurallar[kural_id],0))+$F401*sgk_isverenOran,2),0))</f>
        <v/>
      </c>
      <c r="I401" s="37">
        <f>IF($A401="","",IFERROR(MAX(0,$H401-$G401),0))</f>
        <v/>
      </c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7">
        <f>IF($A402="","",IFERROR(ROUND($C402*INDEX(tblKurallar[deger_2025],MATCH("SGK-001",tblKurallar[kural_id],0))+$D402*INDEX(tblKurallar[deger_2025],MATCH("SGK-002",tblKurallar[kural_id],0))+$E402*INDEX(tblKurallar[deger_2025],MATCH("SGK-004",tblKurallar[kural_id],0))+$F402*sgk_isverenOran,2),0))</f>
        <v/>
      </c>
      <c r="I402" s="37">
        <f>IF($A402="","",IFERROR(MAX(0,$H402-$G402),0))</f>
        <v/>
      </c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7">
        <f>IF($A403="","",IFERROR(ROUND($C403*INDEX(tblKurallar[deger_2025],MATCH("SGK-001",tblKurallar[kural_id],0))+$D403*INDEX(tblKurallar[deger_2025],MATCH("SGK-002",tblKurallar[kural_id],0))+$E403*INDEX(tblKurallar[deger_2025],MATCH("SGK-004",tblKurallar[kural_id],0))+$F403*sgk_isverenOran,2),0))</f>
        <v/>
      </c>
      <c r="I403" s="37">
        <f>IF($A403="","",IFERROR(MAX(0,$H403-$G403),0))</f>
        <v/>
      </c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7">
        <f>IF($A404="","",IFERROR(ROUND($C404*INDEX(tblKurallar[deger_2025],MATCH("SGK-001",tblKurallar[kural_id],0))+$D404*INDEX(tblKurallar[deger_2025],MATCH("SGK-002",tblKurallar[kural_id],0))+$E404*INDEX(tblKurallar[deger_2025],MATCH("SGK-004",tblKurallar[kural_id],0))+$F404*sgk_isverenOran,2),0))</f>
        <v/>
      </c>
      <c r="I404" s="37">
        <f>IF($A404="","",IFERROR(MAX(0,$H404-$G404),0))</f>
        <v/>
      </c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7">
        <f>IF($A405="","",IFERROR(ROUND($C405*INDEX(tblKurallar[deger_2025],MATCH("SGK-001",tblKurallar[kural_id],0))+$D405*INDEX(tblKurallar[deger_2025],MATCH("SGK-002",tblKurallar[kural_id],0))+$E405*INDEX(tblKurallar[deger_2025],MATCH("SGK-004",tblKurallar[kural_id],0))+$F405*sgk_isverenOran,2),0))</f>
        <v/>
      </c>
      <c r="I405" s="37">
        <f>IF($A405="","",IFERROR(MAX(0,$H405-$G405),0))</f>
        <v/>
      </c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7">
        <f>IF($A406="","",IFERROR(ROUND($C406*INDEX(tblKurallar[deger_2025],MATCH("SGK-001",tblKurallar[kural_id],0))+$D406*INDEX(tblKurallar[deger_2025],MATCH("SGK-002",tblKurallar[kural_id],0))+$E406*INDEX(tblKurallar[deger_2025],MATCH("SGK-004",tblKurallar[kural_id],0))+$F406*sgk_isverenOran,2),0))</f>
        <v/>
      </c>
      <c r="I406" s="37">
        <f>IF($A406="","",IFERROR(MAX(0,$H406-$G406),0))</f>
        <v/>
      </c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7">
        <f>IF($A407="","",IFERROR(ROUND($C407*INDEX(tblKurallar[deger_2025],MATCH("SGK-001",tblKurallar[kural_id],0))+$D407*INDEX(tblKurallar[deger_2025],MATCH("SGK-002",tblKurallar[kural_id],0))+$E407*INDEX(tblKurallar[deger_2025],MATCH("SGK-004",tblKurallar[kural_id],0))+$F407*sgk_isverenOran,2),0))</f>
        <v/>
      </c>
      <c r="I407" s="37">
        <f>IF($A407="","",IFERROR(MAX(0,$H407-$G407),0))</f>
        <v/>
      </c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7">
        <f>IF($A408="","",IFERROR(ROUND($C408*INDEX(tblKurallar[deger_2025],MATCH("SGK-001",tblKurallar[kural_id],0))+$D408*INDEX(tblKurallar[deger_2025],MATCH("SGK-002",tblKurallar[kural_id],0))+$E408*INDEX(tblKurallar[deger_2025],MATCH("SGK-004",tblKurallar[kural_id],0))+$F408*sgk_isverenOran,2),0))</f>
        <v/>
      </c>
      <c r="I408" s="37">
        <f>IF($A408="","",IFERROR(MAX(0,$H408-$G408),0))</f>
        <v/>
      </c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7">
        <f>IF($A409="","",IFERROR(ROUND($C409*INDEX(tblKurallar[deger_2025],MATCH("SGK-001",tblKurallar[kural_id],0))+$D409*INDEX(tblKurallar[deger_2025],MATCH("SGK-002",tblKurallar[kural_id],0))+$E409*INDEX(tblKurallar[deger_2025],MATCH("SGK-004",tblKurallar[kural_id],0))+$F409*sgk_isverenOran,2),0))</f>
        <v/>
      </c>
      <c r="I409" s="37">
        <f>IF($A409="","",IFERROR(MAX(0,$H409-$G409),0))</f>
        <v/>
      </c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7">
        <f>IF($A410="","",IFERROR(ROUND($C410*INDEX(tblKurallar[deger_2025],MATCH("SGK-001",tblKurallar[kural_id],0))+$D410*INDEX(tblKurallar[deger_2025],MATCH("SGK-002",tblKurallar[kural_id],0))+$E410*INDEX(tblKurallar[deger_2025],MATCH("SGK-004",tblKurallar[kural_id],0))+$F410*sgk_isverenOran,2),0))</f>
        <v/>
      </c>
      <c r="I410" s="37">
        <f>IF($A410="","",IFERROR(MAX(0,$H410-$G410),0))</f>
        <v/>
      </c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7">
        <f>IF($A411="","",IFERROR(ROUND($C411*INDEX(tblKurallar[deger_2025],MATCH("SGK-001",tblKurallar[kural_id],0))+$D411*INDEX(tblKurallar[deger_2025],MATCH("SGK-002",tblKurallar[kural_id],0))+$E411*INDEX(tblKurallar[deger_2025],MATCH("SGK-004",tblKurallar[kural_id],0))+$F411*sgk_isverenOran,2),0))</f>
        <v/>
      </c>
      <c r="I411" s="37">
        <f>IF($A411="","",IFERROR(MAX(0,$H411-$G411),0))</f>
        <v/>
      </c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7">
        <f>IF($A412="","",IFERROR(ROUND($C412*INDEX(tblKurallar[deger_2025],MATCH("SGK-001",tblKurallar[kural_id],0))+$D412*INDEX(tblKurallar[deger_2025],MATCH("SGK-002",tblKurallar[kural_id],0))+$E412*INDEX(tblKurallar[deger_2025],MATCH("SGK-004",tblKurallar[kural_id],0))+$F412*sgk_isverenOran,2),0))</f>
        <v/>
      </c>
      <c r="I412" s="37">
        <f>IF($A412="","",IFERROR(MAX(0,$H412-$G412),0))</f>
        <v/>
      </c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7">
        <f>IF($A413="","",IFERROR(ROUND($C413*INDEX(tblKurallar[deger_2025],MATCH("SGK-001",tblKurallar[kural_id],0))+$D413*INDEX(tblKurallar[deger_2025],MATCH("SGK-002",tblKurallar[kural_id],0))+$E413*INDEX(tblKurallar[deger_2025],MATCH("SGK-004",tblKurallar[kural_id],0))+$F413*sgk_isverenOran,2),0))</f>
        <v/>
      </c>
      <c r="I413" s="37">
        <f>IF($A413="","",IFERROR(MAX(0,$H413-$G413),0))</f>
        <v/>
      </c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7">
        <f>IF($A414="","",IFERROR(ROUND($C414*INDEX(tblKurallar[deger_2025],MATCH("SGK-001",tblKurallar[kural_id],0))+$D414*INDEX(tblKurallar[deger_2025],MATCH("SGK-002",tblKurallar[kural_id],0))+$E414*INDEX(tblKurallar[deger_2025],MATCH("SGK-004",tblKurallar[kural_id],0))+$F414*sgk_isverenOran,2),0))</f>
        <v/>
      </c>
      <c r="I414" s="37">
        <f>IF($A414="","",IFERROR(MAX(0,$H414-$G414),0))</f>
        <v/>
      </c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7">
        <f>IF($A415="","",IFERROR(ROUND($C415*INDEX(tblKurallar[deger_2025],MATCH("SGK-001",tblKurallar[kural_id],0))+$D415*INDEX(tblKurallar[deger_2025],MATCH("SGK-002",tblKurallar[kural_id],0))+$E415*INDEX(tblKurallar[deger_2025],MATCH("SGK-004",tblKurallar[kural_id],0))+$F415*sgk_isverenOran,2),0))</f>
        <v/>
      </c>
      <c r="I415" s="37">
        <f>IF($A415="","",IFERROR(MAX(0,$H415-$G415),0))</f>
        <v/>
      </c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7">
        <f>IF($A416="","",IFERROR(ROUND($C416*INDEX(tblKurallar[deger_2025],MATCH("SGK-001",tblKurallar[kural_id],0))+$D416*INDEX(tblKurallar[deger_2025],MATCH("SGK-002",tblKurallar[kural_id],0))+$E416*INDEX(tblKurallar[deger_2025],MATCH("SGK-004",tblKurallar[kural_id],0))+$F416*sgk_isverenOran,2),0))</f>
        <v/>
      </c>
      <c r="I416" s="37">
        <f>IF($A416="","",IFERROR(MAX(0,$H416-$G416),0))</f>
        <v/>
      </c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7">
        <f>IF($A417="","",IFERROR(ROUND($C417*INDEX(tblKurallar[deger_2025],MATCH("SGK-001",tblKurallar[kural_id],0))+$D417*INDEX(tblKurallar[deger_2025],MATCH("SGK-002",tblKurallar[kural_id],0))+$E417*INDEX(tblKurallar[deger_2025],MATCH("SGK-004",tblKurallar[kural_id],0))+$F417*sgk_isverenOran,2),0))</f>
        <v/>
      </c>
      <c r="I417" s="37">
        <f>IF($A417="","",IFERROR(MAX(0,$H417-$G417),0))</f>
        <v/>
      </c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7">
        <f>IF($A418="","",IFERROR(ROUND($C418*INDEX(tblKurallar[deger_2025],MATCH("SGK-001",tblKurallar[kural_id],0))+$D418*INDEX(tblKurallar[deger_2025],MATCH("SGK-002",tblKurallar[kural_id],0))+$E418*INDEX(tblKurallar[deger_2025],MATCH("SGK-004",tblKurallar[kural_id],0))+$F418*sgk_isverenOran,2),0))</f>
        <v/>
      </c>
      <c r="I418" s="37">
        <f>IF($A418="","",IFERROR(MAX(0,$H418-$G418),0))</f>
        <v/>
      </c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7">
        <f>IF($A419="","",IFERROR(ROUND($C419*INDEX(tblKurallar[deger_2025],MATCH("SGK-001",tblKurallar[kural_id],0))+$D419*INDEX(tblKurallar[deger_2025],MATCH("SGK-002",tblKurallar[kural_id],0))+$E419*INDEX(tblKurallar[deger_2025],MATCH("SGK-004",tblKurallar[kural_id],0))+$F419*sgk_isverenOran,2),0))</f>
        <v/>
      </c>
      <c r="I419" s="37">
        <f>IF($A419="","",IFERROR(MAX(0,$H419-$G419),0))</f>
        <v/>
      </c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7">
        <f>IF($A420="","",IFERROR(ROUND($C420*INDEX(tblKurallar[deger_2025],MATCH("SGK-001",tblKurallar[kural_id],0))+$D420*INDEX(tblKurallar[deger_2025],MATCH("SGK-002",tblKurallar[kural_id],0))+$E420*INDEX(tblKurallar[deger_2025],MATCH("SGK-004",tblKurallar[kural_id],0))+$F420*sgk_isverenOran,2),0))</f>
        <v/>
      </c>
      <c r="I420" s="37">
        <f>IF($A420="","",IFERROR(MAX(0,$H420-$G420),0))</f>
        <v/>
      </c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7">
        <f>IF($A421="","",IFERROR(ROUND($C421*INDEX(tblKurallar[deger_2025],MATCH("SGK-001",tblKurallar[kural_id],0))+$D421*INDEX(tblKurallar[deger_2025],MATCH("SGK-002",tblKurallar[kural_id],0))+$E421*INDEX(tblKurallar[deger_2025],MATCH("SGK-004",tblKurallar[kural_id],0))+$F421*sgk_isverenOran,2),0))</f>
        <v/>
      </c>
      <c r="I421" s="37">
        <f>IF($A421="","",IFERROR(MAX(0,$H421-$G421),0))</f>
        <v/>
      </c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7">
        <f>IF($A422="","",IFERROR(ROUND($C422*INDEX(tblKurallar[deger_2025],MATCH("SGK-001",tblKurallar[kural_id],0))+$D422*INDEX(tblKurallar[deger_2025],MATCH("SGK-002",tblKurallar[kural_id],0))+$E422*INDEX(tblKurallar[deger_2025],MATCH("SGK-004",tblKurallar[kural_id],0))+$F422*sgk_isverenOran,2),0))</f>
        <v/>
      </c>
      <c r="I422" s="37">
        <f>IF($A422="","",IFERROR(MAX(0,$H422-$G422),0))</f>
        <v/>
      </c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7">
        <f>IF($A423="","",IFERROR(ROUND($C423*INDEX(tblKurallar[deger_2025],MATCH("SGK-001",tblKurallar[kural_id],0))+$D423*INDEX(tblKurallar[deger_2025],MATCH("SGK-002",tblKurallar[kural_id],0))+$E423*INDEX(tblKurallar[deger_2025],MATCH("SGK-004",tblKurallar[kural_id],0))+$F423*sgk_isverenOran,2),0))</f>
        <v/>
      </c>
      <c r="I423" s="37">
        <f>IF($A423="","",IFERROR(MAX(0,$H423-$G423),0))</f>
        <v/>
      </c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7">
        <f>IF($A424="","",IFERROR(ROUND($C424*INDEX(tblKurallar[deger_2025],MATCH("SGK-001",tblKurallar[kural_id],0))+$D424*INDEX(tblKurallar[deger_2025],MATCH("SGK-002",tblKurallar[kural_id],0))+$E424*INDEX(tblKurallar[deger_2025],MATCH("SGK-004",tblKurallar[kural_id],0))+$F424*sgk_isverenOran,2),0))</f>
        <v/>
      </c>
      <c r="I424" s="37">
        <f>IF($A424="","",IFERROR(MAX(0,$H424-$G424),0))</f>
        <v/>
      </c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7">
        <f>IF($A425="","",IFERROR(ROUND($C425*INDEX(tblKurallar[deger_2025],MATCH("SGK-001",tblKurallar[kural_id],0))+$D425*INDEX(tblKurallar[deger_2025],MATCH("SGK-002",tblKurallar[kural_id],0))+$E425*INDEX(tblKurallar[deger_2025],MATCH("SGK-004",tblKurallar[kural_id],0))+$F425*sgk_isverenOran,2),0))</f>
        <v/>
      </c>
      <c r="I425" s="37">
        <f>IF($A425="","",IFERROR(MAX(0,$H425-$G425),0))</f>
        <v/>
      </c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7">
        <f>IF($A426="","",IFERROR(ROUND($C426*INDEX(tblKurallar[deger_2025],MATCH("SGK-001",tblKurallar[kural_id],0))+$D426*INDEX(tblKurallar[deger_2025],MATCH("SGK-002",tblKurallar[kural_id],0))+$E426*INDEX(tblKurallar[deger_2025],MATCH("SGK-004",tblKurallar[kural_id],0))+$F426*sgk_isverenOran,2),0))</f>
        <v/>
      </c>
      <c r="I426" s="37">
        <f>IF($A426="","",IFERROR(MAX(0,$H426-$G426),0))</f>
        <v/>
      </c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7">
        <f>IF($A427="","",IFERROR(ROUND($C427*INDEX(tblKurallar[deger_2025],MATCH("SGK-001",tblKurallar[kural_id],0))+$D427*INDEX(tblKurallar[deger_2025],MATCH("SGK-002",tblKurallar[kural_id],0))+$E427*INDEX(tblKurallar[deger_2025],MATCH("SGK-004",tblKurallar[kural_id],0))+$F427*sgk_isverenOran,2),0))</f>
        <v/>
      </c>
      <c r="I427" s="37">
        <f>IF($A427="","",IFERROR(MAX(0,$H427-$G427),0))</f>
        <v/>
      </c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7">
        <f>IF($A428="","",IFERROR(ROUND($C428*INDEX(tblKurallar[deger_2025],MATCH("SGK-001",tblKurallar[kural_id],0))+$D428*INDEX(tblKurallar[deger_2025],MATCH("SGK-002",tblKurallar[kural_id],0))+$E428*INDEX(tblKurallar[deger_2025],MATCH("SGK-004",tblKurallar[kural_id],0))+$F428*sgk_isverenOran,2),0))</f>
        <v/>
      </c>
      <c r="I428" s="37">
        <f>IF($A428="","",IFERROR(MAX(0,$H428-$G428),0))</f>
        <v/>
      </c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7">
        <f>IF($A429="","",IFERROR(ROUND($C429*INDEX(tblKurallar[deger_2025],MATCH("SGK-001",tblKurallar[kural_id],0))+$D429*INDEX(tblKurallar[deger_2025],MATCH("SGK-002",tblKurallar[kural_id],0))+$E429*INDEX(tblKurallar[deger_2025],MATCH("SGK-004",tblKurallar[kural_id],0))+$F429*sgk_isverenOran,2),0))</f>
        <v/>
      </c>
      <c r="I429" s="37">
        <f>IF($A429="","",IFERROR(MAX(0,$H429-$G429),0))</f>
        <v/>
      </c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7">
        <f>IF($A430="","",IFERROR(ROUND($C430*INDEX(tblKurallar[deger_2025],MATCH("SGK-001",tblKurallar[kural_id],0))+$D430*INDEX(tblKurallar[deger_2025],MATCH("SGK-002",tblKurallar[kural_id],0))+$E430*INDEX(tblKurallar[deger_2025],MATCH("SGK-004",tblKurallar[kural_id],0))+$F430*sgk_isverenOran,2),0))</f>
        <v/>
      </c>
      <c r="I430" s="37">
        <f>IF($A430="","",IFERROR(MAX(0,$H430-$G430),0))</f>
        <v/>
      </c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7">
        <f>IF($A431="","",IFERROR(ROUND($C431*INDEX(tblKurallar[deger_2025],MATCH("SGK-001",tblKurallar[kural_id],0))+$D431*INDEX(tblKurallar[deger_2025],MATCH("SGK-002",tblKurallar[kural_id],0))+$E431*INDEX(tblKurallar[deger_2025],MATCH("SGK-004",tblKurallar[kural_id],0))+$F431*sgk_isverenOran,2),0))</f>
        <v/>
      </c>
      <c r="I431" s="37">
        <f>IF($A431="","",IFERROR(MAX(0,$H431-$G431),0))</f>
        <v/>
      </c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7">
        <f>IF($A432="","",IFERROR(ROUND($C432*INDEX(tblKurallar[deger_2025],MATCH("SGK-001",tblKurallar[kural_id],0))+$D432*INDEX(tblKurallar[deger_2025],MATCH("SGK-002",tblKurallar[kural_id],0))+$E432*INDEX(tblKurallar[deger_2025],MATCH("SGK-004",tblKurallar[kural_id],0))+$F432*sgk_isverenOran,2),0))</f>
        <v/>
      </c>
      <c r="I432" s="37">
        <f>IF($A432="","",IFERROR(MAX(0,$H432-$G432),0))</f>
        <v/>
      </c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7">
        <f>IF($A433="","",IFERROR(ROUND($C433*INDEX(tblKurallar[deger_2025],MATCH("SGK-001",tblKurallar[kural_id],0))+$D433*INDEX(tblKurallar[deger_2025],MATCH("SGK-002",tblKurallar[kural_id],0))+$E433*INDEX(tblKurallar[deger_2025],MATCH("SGK-004",tblKurallar[kural_id],0))+$F433*sgk_isverenOran,2),0))</f>
        <v/>
      </c>
      <c r="I433" s="37">
        <f>IF($A433="","",IFERROR(MAX(0,$H433-$G433),0))</f>
        <v/>
      </c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7">
        <f>IF($A434="","",IFERROR(ROUND($C434*INDEX(tblKurallar[deger_2025],MATCH("SGK-001",tblKurallar[kural_id],0))+$D434*INDEX(tblKurallar[deger_2025],MATCH("SGK-002",tblKurallar[kural_id],0))+$E434*INDEX(tblKurallar[deger_2025],MATCH("SGK-004",tblKurallar[kural_id],0))+$F434*sgk_isverenOran,2),0))</f>
        <v/>
      </c>
      <c r="I434" s="37">
        <f>IF($A434="","",IFERROR(MAX(0,$H434-$G434),0))</f>
        <v/>
      </c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7">
        <f>IF($A435="","",IFERROR(ROUND($C435*INDEX(tblKurallar[deger_2025],MATCH("SGK-001",tblKurallar[kural_id],0))+$D435*INDEX(tblKurallar[deger_2025],MATCH("SGK-002",tblKurallar[kural_id],0))+$E435*INDEX(tblKurallar[deger_2025],MATCH("SGK-004",tblKurallar[kural_id],0))+$F435*sgk_isverenOran,2),0))</f>
        <v/>
      </c>
      <c r="I435" s="37">
        <f>IF($A435="","",IFERROR(MAX(0,$H435-$G435),0))</f>
        <v/>
      </c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7">
        <f>IF($A436="","",IFERROR(ROUND($C436*INDEX(tblKurallar[deger_2025],MATCH("SGK-001",tblKurallar[kural_id],0))+$D436*INDEX(tblKurallar[deger_2025],MATCH("SGK-002",tblKurallar[kural_id],0))+$E436*INDEX(tblKurallar[deger_2025],MATCH("SGK-004",tblKurallar[kural_id],0))+$F436*sgk_isverenOran,2),0))</f>
        <v/>
      </c>
      <c r="I436" s="37">
        <f>IF($A436="","",IFERROR(MAX(0,$H436-$G436),0))</f>
        <v/>
      </c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7">
        <f>IF($A437="","",IFERROR(ROUND($C437*INDEX(tblKurallar[deger_2025],MATCH("SGK-001",tblKurallar[kural_id],0))+$D437*INDEX(tblKurallar[deger_2025],MATCH("SGK-002",tblKurallar[kural_id],0))+$E437*INDEX(tblKurallar[deger_2025],MATCH("SGK-004",tblKurallar[kural_id],0))+$F437*sgk_isverenOran,2),0))</f>
        <v/>
      </c>
      <c r="I437" s="37">
        <f>IF($A437="","",IFERROR(MAX(0,$H437-$G437),0))</f>
        <v/>
      </c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7">
        <f>IF($A438="","",IFERROR(ROUND($C438*INDEX(tblKurallar[deger_2025],MATCH("SGK-001",tblKurallar[kural_id],0))+$D438*INDEX(tblKurallar[deger_2025],MATCH("SGK-002",tblKurallar[kural_id],0))+$E438*INDEX(tblKurallar[deger_2025],MATCH("SGK-004",tblKurallar[kural_id],0))+$F438*sgk_isverenOran,2),0))</f>
        <v/>
      </c>
      <c r="I438" s="37">
        <f>IF($A438="","",IFERROR(MAX(0,$H438-$G438),0))</f>
        <v/>
      </c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7">
        <f>IF($A439="","",IFERROR(ROUND($C439*INDEX(tblKurallar[deger_2025],MATCH("SGK-001",tblKurallar[kural_id],0))+$D439*INDEX(tblKurallar[deger_2025],MATCH("SGK-002",tblKurallar[kural_id],0))+$E439*INDEX(tblKurallar[deger_2025],MATCH("SGK-004",tblKurallar[kural_id],0))+$F439*sgk_isverenOran,2),0))</f>
        <v/>
      </c>
      <c r="I439" s="37">
        <f>IF($A439="","",IFERROR(MAX(0,$H439-$G439),0))</f>
        <v/>
      </c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7">
        <f>IF($A440="","",IFERROR(ROUND($C440*INDEX(tblKurallar[deger_2025],MATCH("SGK-001",tblKurallar[kural_id],0))+$D440*INDEX(tblKurallar[deger_2025],MATCH("SGK-002",tblKurallar[kural_id],0))+$E440*INDEX(tblKurallar[deger_2025],MATCH("SGK-004",tblKurallar[kural_id],0))+$F440*sgk_isverenOran,2),0))</f>
        <v/>
      </c>
      <c r="I440" s="37">
        <f>IF($A440="","",IFERROR(MAX(0,$H440-$G440),0))</f>
        <v/>
      </c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7">
        <f>IF($A441="","",IFERROR(ROUND($C441*INDEX(tblKurallar[deger_2025],MATCH("SGK-001",tblKurallar[kural_id],0))+$D441*INDEX(tblKurallar[deger_2025],MATCH("SGK-002",tblKurallar[kural_id],0))+$E441*INDEX(tblKurallar[deger_2025],MATCH("SGK-004",tblKurallar[kural_id],0))+$F441*sgk_isverenOran,2),0))</f>
        <v/>
      </c>
      <c r="I441" s="37">
        <f>IF($A441="","",IFERROR(MAX(0,$H441-$G441),0))</f>
        <v/>
      </c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7">
        <f>IF($A442="","",IFERROR(ROUND($C442*INDEX(tblKurallar[deger_2025],MATCH("SGK-001",tblKurallar[kural_id],0))+$D442*INDEX(tblKurallar[deger_2025],MATCH("SGK-002",tblKurallar[kural_id],0))+$E442*INDEX(tblKurallar[deger_2025],MATCH("SGK-004",tblKurallar[kural_id],0))+$F442*sgk_isverenOran,2),0))</f>
        <v/>
      </c>
      <c r="I442" s="37">
        <f>IF($A442="","",IFERROR(MAX(0,$H442-$G442),0))</f>
        <v/>
      </c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7">
        <f>IF($A443="","",IFERROR(ROUND($C443*INDEX(tblKurallar[deger_2025],MATCH("SGK-001",tblKurallar[kural_id],0))+$D443*INDEX(tblKurallar[deger_2025],MATCH("SGK-002",tblKurallar[kural_id],0))+$E443*INDEX(tblKurallar[deger_2025],MATCH("SGK-004",tblKurallar[kural_id],0))+$F443*sgk_isverenOran,2),0))</f>
        <v/>
      </c>
      <c r="I443" s="37">
        <f>IF($A443="","",IFERROR(MAX(0,$H443-$G443),0))</f>
        <v/>
      </c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7">
        <f>IF($A444="","",IFERROR(ROUND($C444*INDEX(tblKurallar[deger_2025],MATCH("SGK-001",tblKurallar[kural_id],0))+$D444*INDEX(tblKurallar[deger_2025],MATCH("SGK-002",tblKurallar[kural_id],0))+$E444*INDEX(tblKurallar[deger_2025],MATCH("SGK-004",tblKurallar[kural_id],0))+$F444*sgk_isverenOran,2),0))</f>
        <v/>
      </c>
      <c r="I444" s="37">
        <f>IF($A444="","",IFERROR(MAX(0,$H444-$G444),0))</f>
        <v/>
      </c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7">
        <f>IF($A445="","",IFERROR(ROUND($C445*INDEX(tblKurallar[deger_2025],MATCH("SGK-001",tblKurallar[kural_id],0))+$D445*INDEX(tblKurallar[deger_2025],MATCH("SGK-002",tblKurallar[kural_id],0))+$E445*INDEX(tblKurallar[deger_2025],MATCH("SGK-004",tblKurallar[kural_id],0))+$F445*sgk_isverenOran,2),0))</f>
        <v/>
      </c>
      <c r="I445" s="37">
        <f>IF($A445="","",IFERROR(MAX(0,$H445-$G445),0))</f>
        <v/>
      </c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7">
        <f>IF($A446="","",IFERROR(ROUND($C446*INDEX(tblKurallar[deger_2025],MATCH("SGK-001",tblKurallar[kural_id],0))+$D446*INDEX(tblKurallar[deger_2025],MATCH("SGK-002",tblKurallar[kural_id],0))+$E446*INDEX(tblKurallar[deger_2025],MATCH("SGK-004",tblKurallar[kural_id],0))+$F446*sgk_isverenOran,2),0))</f>
        <v/>
      </c>
      <c r="I446" s="37">
        <f>IF($A446="","",IFERROR(MAX(0,$H446-$G446),0))</f>
        <v/>
      </c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7">
        <f>IF($A447="","",IFERROR(ROUND($C447*INDEX(tblKurallar[deger_2025],MATCH("SGK-001",tblKurallar[kural_id],0))+$D447*INDEX(tblKurallar[deger_2025],MATCH("SGK-002",tblKurallar[kural_id],0))+$E447*INDEX(tblKurallar[deger_2025],MATCH("SGK-004",tblKurallar[kural_id],0))+$F447*sgk_isverenOran,2),0))</f>
        <v/>
      </c>
      <c r="I447" s="37">
        <f>IF($A447="","",IFERROR(MAX(0,$H447-$G447),0))</f>
        <v/>
      </c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7">
        <f>IF($A448="","",IFERROR(ROUND($C448*INDEX(tblKurallar[deger_2025],MATCH("SGK-001",tblKurallar[kural_id],0))+$D448*INDEX(tblKurallar[deger_2025],MATCH("SGK-002",tblKurallar[kural_id],0))+$E448*INDEX(tblKurallar[deger_2025],MATCH("SGK-004",tblKurallar[kural_id],0))+$F448*sgk_isverenOran,2),0))</f>
        <v/>
      </c>
      <c r="I448" s="37">
        <f>IF($A448="","",IFERROR(MAX(0,$H448-$G448),0))</f>
        <v/>
      </c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7">
        <f>IF($A449="","",IFERROR(ROUND($C449*INDEX(tblKurallar[deger_2025],MATCH("SGK-001",tblKurallar[kural_id],0))+$D449*INDEX(tblKurallar[deger_2025],MATCH("SGK-002",tblKurallar[kural_id],0))+$E449*INDEX(tblKurallar[deger_2025],MATCH("SGK-004",tblKurallar[kural_id],0))+$F449*sgk_isverenOran,2),0))</f>
        <v/>
      </c>
      <c r="I449" s="37">
        <f>IF($A449="","",IFERROR(MAX(0,$H449-$G449),0))</f>
        <v/>
      </c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7">
        <f>IF($A450="","",IFERROR(ROUND($C450*INDEX(tblKurallar[deger_2025],MATCH("SGK-001",tblKurallar[kural_id],0))+$D450*INDEX(tblKurallar[deger_2025],MATCH("SGK-002",tblKurallar[kural_id],0))+$E450*INDEX(tblKurallar[deger_2025],MATCH("SGK-004",tblKurallar[kural_id],0))+$F450*sgk_isverenOran,2),0))</f>
        <v/>
      </c>
      <c r="I450" s="37">
        <f>IF($A450="","",IFERROR(MAX(0,$H450-$G450),0))</f>
        <v/>
      </c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7">
        <f>IF($A451="","",IFERROR(ROUND($C451*INDEX(tblKurallar[deger_2025],MATCH("SGK-001",tblKurallar[kural_id],0))+$D451*INDEX(tblKurallar[deger_2025],MATCH("SGK-002",tblKurallar[kural_id],0))+$E451*INDEX(tblKurallar[deger_2025],MATCH("SGK-004",tblKurallar[kural_id],0))+$F451*sgk_isverenOran,2),0))</f>
        <v/>
      </c>
      <c r="I451" s="37">
        <f>IF($A451="","",IFERROR(MAX(0,$H451-$G451),0))</f>
        <v/>
      </c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7">
        <f>IF($A452="","",IFERROR(ROUND($C452*INDEX(tblKurallar[deger_2025],MATCH("SGK-001",tblKurallar[kural_id],0))+$D452*INDEX(tblKurallar[deger_2025],MATCH("SGK-002",tblKurallar[kural_id],0))+$E452*INDEX(tblKurallar[deger_2025],MATCH("SGK-004",tblKurallar[kural_id],0))+$F452*sgk_isverenOran,2),0))</f>
        <v/>
      </c>
      <c r="I452" s="37">
        <f>IF($A452="","",IFERROR(MAX(0,$H452-$G452),0))</f>
        <v/>
      </c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7">
        <f>IF($A453="","",IFERROR(ROUND($C453*INDEX(tblKurallar[deger_2025],MATCH("SGK-001",tblKurallar[kural_id],0))+$D453*INDEX(tblKurallar[deger_2025],MATCH("SGK-002",tblKurallar[kural_id],0))+$E453*INDEX(tblKurallar[deger_2025],MATCH("SGK-004",tblKurallar[kural_id],0))+$F453*sgk_isverenOran,2),0))</f>
        <v/>
      </c>
      <c r="I453" s="37">
        <f>IF($A453="","",IFERROR(MAX(0,$H453-$G453),0))</f>
        <v/>
      </c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7">
        <f>IF($A454="","",IFERROR(ROUND($C454*INDEX(tblKurallar[deger_2025],MATCH("SGK-001",tblKurallar[kural_id],0))+$D454*INDEX(tblKurallar[deger_2025],MATCH("SGK-002",tblKurallar[kural_id],0))+$E454*INDEX(tblKurallar[deger_2025],MATCH("SGK-004",tblKurallar[kural_id],0))+$F454*sgk_isverenOran,2),0))</f>
        <v/>
      </c>
      <c r="I454" s="37">
        <f>IF($A454="","",IFERROR(MAX(0,$H454-$G454),0))</f>
        <v/>
      </c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7">
        <f>IF($A455="","",IFERROR(ROUND($C455*INDEX(tblKurallar[deger_2025],MATCH("SGK-001",tblKurallar[kural_id],0))+$D455*INDEX(tblKurallar[deger_2025],MATCH("SGK-002",tblKurallar[kural_id],0))+$E455*INDEX(tblKurallar[deger_2025],MATCH("SGK-004",tblKurallar[kural_id],0))+$F455*sgk_isverenOran,2),0))</f>
        <v/>
      </c>
      <c r="I455" s="37">
        <f>IF($A455="","",IFERROR(MAX(0,$H455-$G455),0))</f>
        <v/>
      </c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7">
        <f>IF($A456="","",IFERROR(ROUND($C456*INDEX(tblKurallar[deger_2025],MATCH("SGK-001",tblKurallar[kural_id],0))+$D456*INDEX(tblKurallar[deger_2025],MATCH("SGK-002",tblKurallar[kural_id],0))+$E456*INDEX(tblKurallar[deger_2025],MATCH("SGK-004",tblKurallar[kural_id],0))+$F456*sgk_isverenOran,2),0))</f>
        <v/>
      </c>
      <c r="I456" s="37">
        <f>IF($A456="","",IFERROR(MAX(0,$H456-$G456),0))</f>
        <v/>
      </c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7">
        <f>IF($A457="","",IFERROR(ROUND($C457*INDEX(tblKurallar[deger_2025],MATCH("SGK-001",tblKurallar[kural_id],0))+$D457*INDEX(tblKurallar[deger_2025],MATCH("SGK-002",tblKurallar[kural_id],0))+$E457*INDEX(tblKurallar[deger_2025],MATCH("SGK-004",tblKurallar[kural_id],0))+$F457*sgk_isverenOran,2),0))</f>
        <v/>
      </c>
      <c r="I457" s="37">
        <f>IF($A457="","",IFERROR(MAX(0,$H457-$G457),0))</f>
        <v/>
      </c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7">
        <f>IF($A458="","",IFERROR(ROUND($C458*INDEX(tblKurallar[deger_2025],MATCH("SGK-001",tblKurallar[kural_id],0))+$D458*INDEX(tblKurallar[deger_2025],MATCH("SGK-002",tblKurallar[kural_id],0))+$E458*INDEX(tblKurallar[deger_2025],MATCH("SGK-004",tblKurallar[kural_id],0))+$F458*sgk_isverenOran,2),0))</f>
        <v/>
      </c>
      <c r="I458" s="37">
        <f>IF($A458="","",IFERROR(MAX(0,$H458-$G458),0))</f>
        <v/>
      </c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7">
        <f>IF($A459="","",IFERROR(ROUND($C459*INDEX(tblKurallar[deger_2025],MATCH("SGK-001",tblKurallar[kural_id],0))+$D459*INDEX(tblKurallar[deger_2025],MATCH("SGK-002",tblKurallar[kural_id],0))+$E459*INDEX(tblKurallar[deger_2025],MATCH("SGK-004",tblKurallar[kural_id],0))+$F459*sgk_isverenOran,2),0))</f>
        <v/>
      </c>
      <c r="I459" s="37">
        <f>IF($A459="","",IFERROR(MAX(0,$H459-$G459),0))</f>
        <v/>
      </c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7">
        <f>IF($A460="","",IFERROR(ROUND($C460*INDEX(tblKurallar[deger_2025],MATCH("SGK-001",tblKurallar[kural_id],0))+$D460*INDEX(tblKurallar[deger_2025],MATCH("SGK-002",tblKurallar[kural_id],0))+$E460*INDEX(tblKurallar[deger_2025],MATCH("SGK-004",tblKurallar[kural_id],0))+$F460*sgk_isverenOran,2),0))</f>
        <v/>
      </c>
      <c r="I460" s="37">
        <f>IF($A460="","",IFERROR(MAX(0,$H460-$G460),0))</f>
        <v/>
      </c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7">
        <f>IF($A461="","",IFERROR(ROUND($C461*INDEX(tblKurallar[deger_2025],MATCH("SGK-001",tblKurallar[kural_id],0))+$D461*INDEX(tblKurallar[deger_2025],MATCH("SGK-002",tblKurallar[kural_id],0))+$E461*INDEX(tblKurallar[deger_2025],MATCH("SGK-004",tblKurallar[kural_id],0))+$F461*sgk_isverenOran,2),0))</f>
        <v/>
      </c>
      <c r="I461" s="37">
        <f>IF($A461="","",IFERROR(MAX(0,$H461-$G461),0))</f>
        <v/>
      </c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7">
        <f>IF($A462="","",IFERROR(ROUND($C462*INDEX(tblKurallar[deger_2025],MATCH("SGK-001",tblKurallar[kural_id],0))+$D462*INDEX(tblKurallar[deger_2025],MATCH("SGK-002",tblKurallar[kural_id],0))+$E462*INDEX(tblKurallar[deger_2025],MATCH("SGK-004",tblKurallar[kural_id],0))+$F462*sgk_isverenOran,2),0))</f>
        <v/>
      </c>
      <c r="I462" s="37">
        <f>IF($A462="","",IFERROR(MAX(0,$H462-$G462),0))</f>
        <v/>
      </c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7">
        <f>IF($A463="","",IFERROR(ROUND($C463*INDEX(tblKurallar[deger_2025],MATCH("SGK-001",tblKurallar[kural_id],0))+$D463*INDEX(tblKurallar[deger_2025],MATCH("SGK-002",tblKurallar[kural_id],0))+$E463*INDEX(tblKurallar[deger_2025],MATCH("SGK-004",tblKurallar[kural_id],0))+$F463*sgk_isverenOran,2),0))</f>
        <v/>
      </c>
      <c r="I463" s="37">
        <f>IF($A463="","",IFERROR(MAX(0,$H463-$G463),0))</f>
        <v/>
      </c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7">
        <f>IF($A464="","",IFERROR(ROUND($C464*INDEX(tblKurallar[deger_2025],MATCH("SGK-001",tblKurallar[kural_id],0))+$D464*INDEX(tblKurallar[deger_2025],MATCH("SGK-002",tblKurallar[kural_id],0))+$E464*INDEX(tblKurallar[deger_2025],MATCH("SGK-004",tblKurallar[kural_id],0))+$F464*sgk_isverenOran,2),0))</f>
        <v/>
      </c>
      <c r="I464" s="37">
        <f>IF($A464="","",IFERROR(MAX(0,$H464-$G464),0))</f>
        <v/>
      </c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7">
        <f>IF($A465="","",IFERROR(ROUND($C465*INDEX(tblKurallar[deger_2025],MATCH("SGK-001",tblKurallar[kural_id],0))+$D465*INDEX(tblKurallar[deger_2025],MATCH("SGK-002",tblKurallar[kural_id],0))+$E465*INDEX(tblKurallar[deger_2025],MATCH("SGK-004",tblKurallar[kural_id],0))+$F465*sgk_isverenOran,2),0))</f>
        <v/>
      </c>
      <c r="I465" s="37">
        <f>IF($A465="","",IFERROR(MAX(0,$H465-$G465),0))</f>
        <v/>
      </c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7">
        <f>IF($A466="","",IFERROR(ROUND($C466*INDEX(tblKurallar[deger_2025],MATCH("SGK-001",tblKurallar[kural_id],0))+$D466*INDEX(tblKurallar[deger_2025],MATCH("SGK-002",tblKurallar[kural_id],0))+$E466*INDEX(tblKurallar[deger_2025],MATCH("SGK-004",tblKurallar[kural_id],0))+$F466*sgk_isverenOran,2),0))</f>
        <v/>
      </c>
      <c r="I466" s="37">
        <f>IF($A466="","",IFERROR(MAX(0,$H466-$G466),0))</f>
        <v/>
      </c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7">
        <f>IF($A467="","",IFERROR(ROUND($C467*INDEX(tblKurallar[deger_2025],MATCH("SGK-001",tblKurallar[kural_id],0))+$D467*INDEX(tblKurallar[deger_2025],MATCH("SGK-002",tblKurallar[kural_id],0))+$E467*INDEX(tblKurallar[deger_2025],MATCH("SGK-004",tblKurallar[kural_id],0))+$F467*sgk_isverenOran,2),0))</f>
        <v/>
      </c>
      <c r="I467" s="37">
        <f>IF($A467="","",IFERROR(MAX(0,$H467-$G467),0))</f>
        <v/>
      </c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7">
        <f>IF($A468="","",IFERROR(ROUND($C468*INDEX(tblKurallar[deger_2025],MATCH("SGK-001",tblKurallar[kural_id],0))+$D468*INDEX(tblKurallar[deger_2025],MATCH("SGK-002",tblKurallar[kural_id],0))+$E468*INDEX(tblKurallar[deger_2025],MATCH("SGK-004",tblKurallar[kural_id],0))+$F468*sgk_isverenOran,2),0))</f>
        <v/>
      </c>
      <c r="I468" s="37">
        <f>IF($A468="","",IFERROR(MAX(0,$H468-$G468),0))</f>
        <v/>
      </c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7">
        <f>IF($A469="","",IFERROR(ROUND($C469*INDEX(tblKurallar[deger_2025],MATCH("SGK-001",tblKurallar[kural_id],0))+$D469*INDEX(tblKurallar[deger_2025],MATCH("SGK-002",tblKurallar[kural_id],0))+$E469*INDEX(tblKurallar[deger_2025],MATCH("SGK-004",tblKurallar[kural_id],0))+$F469*sgk_isverenOran,2),0))</f>
        <v/>
      </c>
      <c r="I469" s="37">
        <f>IF($A469="","",IFERROR(MAX(0,$H469-$G469),0))</f>
        <v/>
      </c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7">
        <f>IF($A470="","",IFERROR(ROUND($C470*INDEX(tblKurallar[deger_2025],MATCH("SGK-001",tblKurallar[kural_id],0))+$D470*INDEX(tblKurallar[deger_2025],MATCH("SGK-002",tblKurallar[kural_id],0))+$E470*INDEX(tblKurallar[deger_2025],MATCH("SGK-004",tblKurallar[kural_id],0))+$F470*sgk_isverenOran,2),0))</f>
        <v/>
      </c>
      <c r="I470" s="37">
        <f>IF($A470="","",IFERROR(MAX(0,$H470-$G470),0))</f>
        <v/>
      </c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7">
        <f>IF($A471="","",IFERROR(ROUND($C471*INDEX(tblKurallar[deger_2025],MATCH("SGK-001",tblKurallar[kural_id],0))+$D471*INDEX(tblKurallar[deger_2025],MATCH("SGK-002",tblKurallar[kural_id],0))+$E471*INDEX(tblKurallar[deger_2025],MATCH("SGK-004",tblKurallar[kural_id],0))+$F471*sgk_isverenOran,2),0))</f>
        <v/>
      </c>
      <c r="I471" s="37">
        <f>IF($A471="","",IFERROR(MAX(0,$H471-$G471),0))</f>
        <v/>
      </c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7">
        <f>IF($A472="","",IFERROR(ROUND($C472*INDEX(tblKurallar[deger_2025],MATCH("SGK-001",tblKurallar[kural_id],0))+$D472*INDEX(tblKurallar[deger_2025],MATCH("SGK-002",tblKurallar[kural_id],0))+$E472*INDEX(tblKurallar[deger_2025],MATCH("SGK-004",tblKurallar[kural_id],0))+$F472*sgk_isverenOran,2),0))</f>
        <v/>
      </c>
      <c r="I472" s="37">
        <f>IF($A472="","",IFERROR(MAX(0,$H472-$G472),0))</f>
        <v/>
      </c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7">
        <f>IF($A473="","",IFERROR(ROUND($C473*INDEX(tblKurallar[deger_2025],MATCH("SGK-001",tblKurallar[kural_id],0))+$D473*INDEX(tblKurallar[deger_2025],MATCH("SGK-002",tblKurallar[kural_id],0))+$E473*INDEX(tblKurallar[deger_2025],MATCH("SGK-004",tblKurallar[kural_id],0))+$F473*sgk_isverenOran,2),0))</f>
        <v/>
      </c>
      <c r="I473" s="37">
        <f>IF($A473="","",IFERROR(MAX(0,$H473-$G473),0))</f>
        <v/>
      </c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7">
        <f>IF($A474="","",IFERROR(ROUND($C474*INDEX(tblKurallar[deger_2025],MATCH("SGK-001",tblKurallar[kural_id],0))+$D474*INDEX(tblKurallar[deger_2025],MATCH("SGK-002",tblKurallar[kural_id],0))+$E474*INDEX(tblKurallar[deger_2025],MATCH("SGK-004",tblKurallar[kural_id],0))+$F474*sgk_isverenOran,2),0))</f>
        <v/>
      </c>
      <c r="I474" s="37">
        <f>IF($A474="","",IFERROR(MAX(0,$H474-$G474),0))</f>
        <v/>
      </c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7">
        <f>IF($A475="","",IFERROR(ROUND($C475*INDEX(tblKurallar[deger_2025],MATCH("SGK-001",tblKurallar[kural_id],0))+$D475*INDEX(tblKurallar[deger_2025],MATCH("SGK-002",tblKurallar[kural_id],0))+$E475*INDEX(tblKurallar[deger_2025],MATCH("SGK-004",tblKurallar[kural_id],0))+$F475*sgk_isverenOran,2),0))</f>
        <v/>
      </c>
      <c r="I475" s="37">
        <f>IF($A475="","",IFERROR(MAX(0,$H475-$G475),0))</f>
        <v/>
      </c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7">
        <f>IF($A476="","",IFERROR(ROUND($C476*INDEX(tblKurallar[deger_2025],MATCH("SGK-001",tblKurallar[kural_id],0))+$D476*INDEX(tblKurallar[deger_2025],MATCH("SGK-002",tblKurallar[kural_id],0))+$E476*INDEX(tblKurallar[deger_2025],MATCH("SGK-004",tblKurallar[kural_id],0))+$F476*sgk_isverenOran,2),0))</f>
        <v/>
      </c>
      <c r="I476" s="37">
        <f>IF($A476="","",IFERROR(MAX(0,$H476-$G476),0))</f>
        <v/>
      </c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7">
        <f>IF($A477="","",IFERROR(ROUND($C477*INDEX(tblKurallar[deger_2025],MATCH("SGK-001",tblKurallar[kural_id],0))+$D477*INDEX(tblKurallar[deger_2025],MATCH("SGK-002",tblKurallar[kural_id],0))+$E477*INDEX(tblKurallar[deger_2025],MATCH("SGK-004",tblKurallar[kural_id],0))+$F477*sgk_isverenOran,2),0))</f>
        <v/>
      </c>
      <c r="I477" s="37">
        <f>IF($A477="","",IFERROR(MAX(0,$H477-$G477),0))</f>
        <v/>
      </c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7">
        <f>IF($A478="","",IFERROR(ROUND($C478*INDEX(tblKurallar[deger_2025],MATCH("SGK-001",tblKurallar[kural_id],0))+$D478*INDEX(tblKurallar[deger_2025],MATCH("SGK-002",tblKurallar[kural_id],0))+$E478*INDEX(tblKurallar[deger_2025],MATCH("SGK-004",tblKurallar[kural_id],0))+$F478*sgk_isverenOran,2),0))</f>
        <v/>
      </c>
      <c r="I478" s="37">
        <f>IF($A478="","",IFERROR(MAX(0,$H478-$G478),0))</f>
        <v/>
      </c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7">
        <f>IF($A479="","",IFERROR(ROUND($C479*INDEX(tblKurallar[deger_2025],MATCH("SGK-001",tblKurallar[kural_id],0))+$D479*INDEX(tblKurallar[deger_2025],MATCH("SGK-002",tblKurallar[kural_id],0))+$E479*INDEX(tblKurallar[deger_2025],MATCH("SGK-004",tblKurallar[kural_id],0))+$F479*sgk_isverenOran,2),0))</f>
        <v/>
      </c>
      <c r="I479" s="37">
        <f>IF($A479="","",IFERROR(MAX(0,$H479-$G479),0))</f>
        <v/>
      </c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7">
        <f>IF($A480="","",IFERROR(ROUND($C480*INDEX(tblKurallar[deger_2025],MATCH("SGK-001",tblKurallar[kural_id],0))+$D480*INDEX(tblKurallar[deger_2025],MATCH("SGK-002",tblKurallar[kural_id],0))+$E480*INDEX(tblKurallar[deger_2025],MATCH("SGK-004",tblKurallar[kural_id],0))+$F480*sgk_isverenOran,2),0))</f>
        <v/>
      </c>
      <c r="I480" s="37">
        <f>IF($A480="","",IFERROR(MAX(0,$H480-$G480),0))</f>
        <v/>
      </c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7">
        <f>IF($A481="","",IFERROR(ROUND($C481*INDEX(tblKurallar[deger_2025],MATCH("SGK-001",tblKurallar[kural_id],0))+$D481*INDEX(tblKurallar[deger_2025],MATCH("SGK-002",tblKurallar[kural_id],0))+$E481*INDEX(tblKurallar[deger_2025],MATCH("SGK-004",tblKurallar[kural_id],0))+$F481*sgk_isverenOran,2),0))</f>
        <v/>
      </c>
      <c r="I481" s="37">
        <f>IF($A481="","",IFERROR(MAX(0,$H481-$G481),0))</f>
        <v/>
      </c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7">
        <f>IF($A482="","",IFERROR(ROUND($C482*INDEX(tblKurallar[deger_2025],MATCH("SGK-001",tblKurallar[kural_id],0))+$D482*INDEX(tblKurallar[deger_2025],MATCH("SGK-002",tblKurallar[kural_id],0))+$E482*INDEX(tblKurallar[deger_2025],MATCH("SGK-004",tblKurallar[kural_id],0))+$F482*sgk_isverenOran,2),0))</f>
        <v/>
      </c>
      <c r="I482" s="37">
        <f>IF($A482="","",IFERROR(MAX(0,$H482-$G482),0))</f>
        <v/>
      </c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7">
        <f>IF($A483="","",IFERROR(ROUND($C483*INDEX(tblKurallar[deger_2025],MATCH("SGK-001",tblKurallar[kural_id],0))+$D483*INDEX(tblKurallar[deger_2025],MATCH("SGK-002",tblKurallar[kural_id],0))+$E483*INDEX(tblKurallar[deger_2025],MATCH("SGK-004",tblKurallar[kural_id],0))+$F483*sgk_isverenOran,2),0))</f>
        <v/>
      </c>
      <c r="I483" s="37">
        <f>IF($A483="","",IFERROR(MAX(0,$H483-$G483),0))</f>
        <v/>
      </c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7">
        <f>IF($A484="","",IFERROR(ROUND($C484*INDEX(tblKurallar[deger_2025],MATCH("SGK-001",tblKurallar[kural_id],0))+$D484*INDEX(tblKurallar[deger_2025],MATCH("SGK-002",tblKurallar[kural_id],0))+$E484*INDEX(tblKurallar[deger_2025],MATCH("SGK-004",tblKurallar[kural_id],0))+$F484*sgk_isverenOran,2),0))</f>
        <v/>
      </c>
      <c r="I484" s="37">
        <f>IF($A484="","",IFERROR(MAX(0,$H484-$G484),0))</f>
        <v/>
      </c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7">
        <f>IF($A485="","",IFERROR(ROUND($C485*INDEX(tblKurallar[deger_2025],MATCH("SGK-001",tblKurallar[kural_id],0))+$D485*INDEX(tblKurallar[deger_2025],MATCH("SGK-002",tblKurallar[kural_id],0))+$E485*INDEX(tblKurallar[deger_2025],MATCH("SGK-004",tblKurallar[kural_id],0))+$F485*sgk_isverenOran,2),0))</f>
        <v/>
      </c>
      <c r="I485" s="37">
        <f>IF($A485="","",IFERROR(MAX(0,$H485-$G485),0))</f>
        <v/>
      </c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7">
        <f>IF($A486="","",IFERROR(ROUND($C486*INDEX(tblKurallar[deger_2025],MATCH("SGK-001",tblKurallar[kural_id],0))+$D486*INDEX(tblKurallar[deger_2025],MATCH("SGK-002",tblKurallar[kural_id],0))+$E486*INDEX(tblKurallar[deger_2025],MATCH("SGK-004",tblKurallar[kural_id],0))+$F486*sgk_isverenOran,2),0))</f>
        <v/>
      </c>
      <c r="I486" s="37">
        <f>IF($A486="","",IFERROR(MAX(0,$H486-$G486),0))</f>
        <v/>
      </c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7">
        <f>IF($A487="","",IFERROR(ROUND($C487*INDEX(tblKurallar[deger_2025],MATCH("SGK-001",tblKurallar[kural_id],0))+$D487*INDEX(tblKurallar[deger_2025],MATCH("SGK-002",tblKurallar[kural_id],0))+$E487*INDEX(tblKurallar[deger_2025],MATCH("SGK-004",tblKurallar[kural_id],0))+$F487*sgk_isverenOran,2),0))</f>
        <v/>
      </c>
      <c r="I487" s="37">
        <f>IF($A487="","",IFERROR(MAX(0,$H487-$G487),0))</f>
        <v/>
      </c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7">
        <f>IF($A488="","",IFERROR(ROUND($C488*INDEX(tblKurallar[deger_2025],MATCH("SGK-001",tblKurallar[kural_id],0))+$D488*INDEX(tblKurallar[deger_2025],MATCH("SGK-002",tblKurallar[kural_id],0))+$E488*INDEX(tblKurallar[deger_2025],MATCH("SGK-004",tblKurallar[kural_id],0))+$F488*sgk_isverenOran,2),0))</f>
        <v/>
      </c>
      <c r="I488" s="37">
        <f>IF($A488="","",IFERROR(MAX(0,$H488-$G488),0))</f>
        <v/>
      </c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7">
        <f>IF($A489="","",IFERROR(ROUND($C489*INDEX(tblKurallar[deger_2025],MATCH("SGK-001",tblKurallar[kural_id],0))+$D489*INDEX(tblKurallar[deger_2025],MATCH("SGK-002",tblKurallar[kural_id],0))+$E489*INDEX(tblKurallar[deger_2025],MATCH("SGK-004",tblKurallar[kural_id],0))+$F489*sgk_isverenOran,2),0))</f>
        <v/>
      </c>
      <c r="I489" s="37">
        <f>IF($A489="","",IFERROR(MAX(0,$H489-$G489),0))</f>
        <v/>
      </c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7">
        <f>IF($A490="","",IFERROR(ROUND($C490*INDEX(tblKurallar[deger_2025],MATCH("SGK-001",tblKurallar[kural_id],0))+$D490*INDEX(tblKurallar[deger_2025],MATCH("SGK-002",tblKurallar[kural_id],0))+$E490*INDEX(tblKurallar[deger_2025],MATCH("SGK-004",tblKurallar[kural_id],0))+$F490*sgk_isverenOran,2),0))</f>
        <v/>
      </c>
      <c r="I490" s="37">
        <f>IF($A490="","",IFERROR(MAX(0,$H490-$G490),0))</f>
        <v/>
      </c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7">
        <f>IF($A491="","",IFERROR(ROUND($C491*INDEX(tblKurallar[deger_2025],MATCH("SGK-001",tblKurallar[kural_id],0))+$D491*INDEX(tblKurallar[deger_2025],MATCH("SGK-002",tblKurallar[kural_id],0))+$E491*INDEX(tblKurallar[deger_2025],MATCH("SGK-004",tblKurallar[kural_id],0))+$F491*sgk_isverenOran,2),0))</f>
        <v/>
      </c>
      <c r="I491" s="37">
        <f>IF($A491="","",IFERROR(MAX(0,$H491-$G491),0))</f>
        <v/>
      </c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7">
        <f>IF($A492="","",IFERROR(ROUND($C492*INDEX(tblKurallar[deger_2025],MATCH("SGK-001",tblKurallar[kural_id],0))+$D492*INDEX(tblKurallar[deger_2025],MATCH("SGK-002",tblKurallar[kural_id],0))+$E492*INDEX(tblKurallar[deger_2025],MATCH("SGK-004",tblKurallar[kural_id],0))+$F492*sgk_isverenOran,2),0))</f>
        <v/>
      </c>
      <c r="I492" s="37">
        <f>IF($A492="","",IFERROR(MAX(0,$H492-$G492),0))</f>
        <v/>
      </c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7">
        <f>IF($A493="","",IFERROR(ROUND($C493*INDEX(tblKurallar[deger_2025],MATCH("SGK-001",tblKurallar[kural_id],0))+$D493*INDEX(tblKurallar[deger_2025],MATCH("SGK-002",tblKurallar[kural_id],0))+$E493*INDEX(tblKurallar[deger_2025],MATCH("SGK-004",tblKurallar[kural_id],0))+$F493*sgk_isverenOran,2),0))</f>
        <v/>
      </c>
      <c r="I493" s="37">
        <f>IF($A493="","",IFERROR(MAX(0,$H493-$G493),0))</f>
        <v/>
      </c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7">
        <f>IF($A494="","",IFERROR(ROUND($C494*INDEX(tblKurallar[deger_2025],MATCH("SGK-001",tblKurallar[kural_id],0))+$D494*INDEX(tblKurallar[deger_2025],MATCH("SGK-002",tblKurallar[kural_id],0))+$E494*INDEX(tblKurallar[deger_2025],MATCH("SGK-004",tblKurallar[kural_id],0))+$F494*sgk_isverenOran,2),0))</f>
        <v/>
      </c>
      <c r="I494" s="37">
        <f>IF($A494="","",IFERROR(MAX(0,$H494-$G494),0))</f>
        <v/>
      </c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7">
        <f>IF($A495="","",IFERROR(ROUND($C495*INDEX(tblKurallar[deger_2025],MATCH("SGK-001",tblKurallar[kural_id],0))+$D495*INDEX(tblKurallar[deger_2025],MATCH("SGK-002",tblKurallar[kural_id],0))+$E495*INDEX(tblKurallar[deger_2025],MATCH("SGK-004",tblKurallar[kural_id],0))+$F495*sgk_isverenOran,2),0))</f>
        <v/>
      </c>
      <c r="I495" s="37">
        <f>IF($A495="","",IFERROR(MAX(0,$H495-$G495),0))</f>
        <v/>
      </c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7">
        <f>IF($A496="","",IFERROR(ROUND($C496*INDEX(tblKurallar[deger_2025],MATCH("SGK-001",tblKurallar[kural_id],0))+$D496*INDEX(tblKurallar[deger_2025],MATCH("SGK-002",tblKurallar[kural_id],0))+$E496*INDEX(tblKurallar[deger_2025],MATCH("SGK-004",tblKurallar[kural_id],0))+$F496*sgk_isverenOran,2),0))</f>
        <v/>
      </c>
      <c r="I496" s="37">
        <f>IF($A496="","",IFERROR(MAX(0,$H496-$G496),0))</f>
        <v/>
      </c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7">
        <f>IF($A497="","",IFERROR(ROUND($C497*INDEX(tblKurallar[deger_2025],MATCH("SGK-001",tblKurallar[kural_id],0))+$D497*INDEX(tblKurallar[deger_2025],MATCH("SGK-002",tblKurallar[kural_id],0))+$E497*INDEX(tblKurallar[deger_2025],MATCH("SGK-004",tblKurallar[kural_id],0))+$F497*sgk_isverenOran,2),0))</f>
        <v/>
      </c>
      <c r="I497" s="37">
        <f>IF($A497="","",IFERROR(MAX(0,$H497-$G497),0))</f>
        <v/>
      </c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7">
        <f>IF($A498="","",IFERROR(ROUND($C498*INDEX(tblKurallar[deger_2025],MATCH("SGK-001",tblKurallar[kural_id],0))+$D498*INDEX(tblKurallar[deger_2025],MATCH("SGK-002",tblKurallar[kural_id],0))+$E498*INDEX(tblKurallar[deger_2025],MATCH("SGK-004",tblKurallar[kural_id],0))+$F498*sgk_isverenOran,2),0))</f>
        <v/>
      </c>
      <c r="I498" s="37">
        <f>IF($A498="","",IFERROR(MAX(0,$H498-$G498),0))</f>
        <v/>
      </c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7">
        <f>IF($A499="","",IFERROR(ROUND($C499*INDEX(tblKurallar[deger_2025],MATCH("SGK-001",tblKurallar[kural_id],0))+$D499*INDEX(tblKurallar[deger_2025],MATCH("SGK-002",tblKurallar[kural_id],0))+$E499*INDEX(tblKurallar[deger_2025],MATCH("SGK-004",tblKurallar[kural_id],0))+$F499*sgk_isverenOran,2),0))</f>
        <v/>
      </c>
      <c r="I499" s="37">
        <f>IF($A499="","",IFERROR(MAX(0,$H499-$G499),0))</f>
        <v/>
      </c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7">
        <f>IF($A500="","",IFERROR(ROUND($C500*INDEX(tblKurallar[deger_2025],MATCH("SGK-001",tblKurallar[kural_id],0))+$D500*INDEX(tblKurallar[deger_2025],MATCH("SGK-002",tblKurallar[kural_id],0))+$E500*INDEX(tblKurallar[deger_2025],MATCH("SGK-004",tblKurallar[kural_id],0))+$F500*sgk_isverenOran,2),0))</f>
        <v/>
      </c>
      <c r="I500" s="37">
        <f>IF($A500="","",IFERROR(MAX(0,$H500-$G500),0))</f>
        <v/>
      </c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7">
        <f>IF($A501="","",IFERROR(ROUND($C501*INDEX(tblKurallar[deger_2025],MATCH("SGK-001",tblKurallar[kural_id],0))+$D501*INDEX(tblKurallar[deger_2025],MATCH("SGK-002",tblKurallar[kural_id],0))+$E501*INDEX(tblKurallar[deger_2025],MATCH("SGK-004",tblKurallar[kural_id],0))+$F501*sgk_isverenOran,2),0))</f>
        <v/>
      </c>
      <c r="I501" s="37">
        <f>IF($A501="","",IFERROR(MAX(0,$H501-$G501),0))</f>
        <v/>
      </c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7">
        <f>IF($A502="","",IFERROR(ROUND($C502*INDEX(tblKurallar[deger_2025],MATCH("SGK-001",tblKurallar[kural_id],0))+$D502*INDEX(tblKurallar[deger_2025],MATCH("SGK-002",tblKurallar[kural_id],0))+$E502*INDEX(tblKurallar[deger_2025],MATCH("SGK-004",tblKurallar[kural_id],0))+$F502*sgk_isverenOran,2),0))</f>
        <v/>
      </c>
      <c r="I502" s="37">
        <f>IF($A502="","",IFERROR(MAX(0,$H502-$G502),0))</f>
        <v/>
      </c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7">
        <f>IF($A503="","",IFERROR(ROUND($C503*INDEX(tblKurallar[deger_2025],MATCH("SGK-001",tblKurallar[kural_id],0))+$D503*INDEX(tblKurallar[deger_2025],MATCH("SGK-002",tblKurallar[kural_id],0))+$E503*INDEX(tblKurallar[deger_2025],MATCH("SGK-004",tblKurallar[kural_id],0))+$F503*sgk_isverenOran,2),0))</f>
        <v/>
      </c>
      <c r="I503" s="37">
        <f>IF($A503="","",IFERROR(MAX(0,$H503-$G503),0))</f>
        <v/>
      </c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7">
        <f>IF($A504="","",IFERROR(ROUND($C504*INDEX(tblKurallar[deger_2025],MATCH("SGK-001",tblKurallar[kural_id],0))+$D504*INDEX(tblKurallar[deger_2025],MATCH("SGK-002",tblKurallar[kural_id],0))+$E504*INDEX(tblKurallar[deger_2025],MATCH("SGK-004",tblKurallar[kural_id],0))+$F504*sgk_isverenOran,2),0))</f>
        <v/>
      </c>
      <c r="I504" s="37">
        <f>IF($A504="","",IFERROR(MAX(0,$H504-$G504),0))</f>
        <v/>
      </c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7">
        <f>IF($A505="","",IFERROR(ROUND($C505*INDEX(tblKurallar[deger_2025],MATCH("SGK-001",tblKurallar[kural_id],0))+$D505*INDEX(tblKurallar[deger_2025],MATCH("SGK-002",tblKurallar[kural_id],0))+$E505*INDEX(tblKurallar[deger_2025],MATCH("SGK-004",tblKurallar[kural_id],0))+$F505*sgk_isverenOran,2),0))</f>
        <v/>
      </c>
      <c r="I505" s="37">
        <f>IF($A505="","",IFERROR(MAX(0,$H505-$G505),0))</f>
        <v/>
      </c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7">
        <f>IF($A506="","",IFERROR(ROUND($C506*INDEX(tblKurallar[deger_2025],MATCH("SGK-001",tblKurallar[kural_id],0))+$D506*INDEX(tblKurallar[deger_2025],MATCH("SGK-002",tblKurallar[kural_id],0))+$E506*INDEX(tblKurallar[deger_2025],MATCH("SGK-004",tblKurallar[kural_id],0))+$F506*sgk_isverenOran,2),0))</f>
        <v/>
      </c>
      <c r="I506" s="37">
        <f>IF($A506="","",IFERROR(MAX(0,$H506-$G506),0))</f>
        <v/>
      </c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7">
        <f>IF($A507="","",IFERROR(ROUND($C507*INDEX(tblKurallar[deger_2025],MATCH("SGK-001",tblKurallar[kural_id],0))+$D507*INDEX(tblKurallar[deger_2025],MATCH("SGK-002",tblKurallar[kural_id],0))+$E507*INDEX(tblKurallar[deger_2025],MATCH("SGK-004",tblKurallar[kural_id],0))+$F507*sgk_isverenOran,2),0))</f>
        <v/>
      </c>
      <c r="I507" s="37">
        <f>IF($A507="","",IFERROR(MAX(0,$H507-$G507),0))</f>
        <v/>
      </c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7">
        <f>IF($A508="","",IFERROR(ROUND($C508*INDEX(tblKurallar[deger_2025],MATCH("SGK-001",tblKurallar[kural_id],0))+$D508*INDEX(tblKurallar[deger_2025],MATCH("SGK-002",tblKurallar[kural_id],0))+$E508*INDEX(tblKurallar[deger_2025],MATCH("SGK-004",tblKurallar[kural_id],0))+$F508*sgk_isverenOran,2),0))</f>
        <v/>
      </c>
      <c r="I508" s="37">
        <f>IF($A508="","",IFERROR(MAX(0,$H508-$G508),0))</f>
        <v/>
      </c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7">
        <f>IF($A509="","",IFERROR(ROUND($C509*INDEX(tblKurallar[deger_2025],MATCH("SGK-001",tblKurallar[kural_id],0))+$D509*INDEX(tblKurallar[deger_2025],MATCH("SGK-002",tblKurallar[kural_id],0))+$E509*INDEX(tblKurallar[deger_2025],MATCH("SGK-004",tblKurallar[kural_id],0))+$F509*sgk_isverenOran,2),0))</f>
        <v/>
      </c>
      <c r="I509" s="37">
        <f>IF($A509="","",IFERROR(MAX(0,$H509-$G509),0))</f>
        <v/>
      </c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7">
        <f>IF($A510="","",IFERROR(ROUND($C510*INDEX(tblKurallar[deger_2025],MATCH("SGK-001",tblKurallar[kural_id],0))+$D510*INDEX(tblKurallar[deger_2025],MATCH("SGK-002",tblKurallar[kural_id],0))+$E510*INDEX(tblKurallar[deger_2025],MATCH("SGK-004",tblKurallar[kural_id],0))+$F510*sgk_isverenOran,2),0))</f>
        <v/>
      </c>
      <c r="I510" s="37">
        <f>IF($A510="","",IFERROR(MAX(0,$H510-$G510),0))</f>
        <v/>
      </c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7">
        <f>IF($A511="","",IFERROR(ROUND($C511*INDEX(tblKurallar[deger_2025],MATCH("SGK-001",tblKurallar[kural_id],0))+$D511*INDEX(tblKurallar[deger_2025],MATCH("SGK-002",tblKurallar[kural_id],0))+$E511*INDEX(tblKurallar[deger_2025],MATCH("SGK-004",tblKurallar[kural_id],0))+$F511*sgk_isverenOran,2),0))</f>
        <v/>
      </c>
      <c r="I511" s="37">
        <f>IF($A511="","",IFERROR(MAX(0,$H511-$G511),0))</f>
        <v/>
      </c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7">
        <f>IF($A512="","",IFERROR(ROUND($C512*INDEX(tblKurallar[deger_2025],MATCH("SGK-001",tblKurallar[kural_id],0))+$D512*INDEX(tblKurallar[deger_2025],MATCH("SGK-002",tblKurallar[kural_id],0))+$E512*INDEX(tblKurallar[deger_2025],MATCH("SGK-004",tblKurallar[kural_id],0))+$F512*sgk_isverenOran,2),0))</f>
        <v/>
      </c>
      <c r="I512" s="37">
        <f>IF($A512="","",IFERROR(MAX(0,$H512-$G512),0))</f>
        <v/>
      </c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7">
        <f>IF($A513="","",IFERROR(ROUND($C513*INDEX(tblKurallar[deger_2025],MATCH("SGK-001",tblKurallar[kural_id],0))+$D513*INDEX(tblKurallar[deger_2025],MATCH("SGK-002",tblKurallar[kural_id],0))+$E513*INDEX(tblKurallar[deger_2025],MATCH("SGK-004",tblKurallar[kural_id],0))+$F513*sgk_isverenOran,2),0))</f>
        <v/>
      </c>
      <c r="I513" s="37">
        <f>IF($A513="","",IFERROR(MAX(0,$H513-$G513),0))</f>
        <v/>
      </c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7">
        <f>IF($A514="","",IFERROR(ROUND($C514*INDEX(tblKurallar[deger_2025],MATCH("SGK-001",tblKurallar[kural_id],0))+$D514*INDEX(tblKurallar[deger_2025],MATCH("SGK-002",tblKurallar[kural_id],0))+$E514*INDEX(tblKurallar[deger_2025],MATCH("SGK-004",tblKurallar[kural_id],0))+$F514*sgk_isverenOran,2),0))</f>
        <v/>
      </c>
      <c r="I514" s="37">
        <f>IF($A514="","",IFERROR(MAX(0,$H514-$G514),0))</f>
        <v/>
      </c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7">
        <f>IF($A515="","",IFERROR(ROUND($C515*INDEX(tblKurallar[deger_2025],MATCH("SGK-001",tblKurallar[kural_id],0))+$D515*INDEX(tblKurallar[deger_2025],MATCH("SGK-002",tblKurallar[kural_id],0))+$E515*INDEX(tblKurallar[deger_2025],MATCH("SGK-004",tblKurallar[kural_id],0))+$F515*sgk_isverenOran,2),0))</f>
        <v/>
      </c>
      <c r="I515" s="37">
        <f>IF($A515="","",IFERROR(MAX(0,$H515-$G515),0))</f>
        <v/>
      </c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7">
        <f>IF($A516="","",IFERROR(ROUND($C516*INDEX(tblKurallar[deger_2025],MATCH("SGK-001",tblKurallar[kural_id],0))+$D516*INDEX(tblKurallar[deger_2025],MATCH("SGK-002",tblKurallar[kural_id],0))+$E516*INDEX(tblKurallar[deger_2025],MATCH("SGK-004",tblKurallar[kural_id],0))+$F516*sgk_isverenOran,2),0))</f>
        <v/>
      </c>
      <c r="I516" s="37">
        <f>IF($A516="","",IFERROR(MAX(0,$H516-$G516),0))</f>
        <v/>
      </c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7">
        <f>IF($A517="","",IFERROR(ROUND($C517*INDEX(tblKurallar[deger_2025],MATCH("SGK-001",tblKurallar[kural_id],0))+$D517*INDEX(tblKurallar[deger_2025],MATCH("SGK-002",tblKurallar[kural_id],0))+$E517*INDEX(tblKurallar[deger_2025],MATCH("SGK-004",tblKurallar[kural_id],0))+$F517*sgk_isverenOran,2),0))</f>
        <v/>
      </c>
      <c r="I517" s="37">
        <f>IF($A517="","",IFERROR(MAX(0,$H517-$G517),0))</f>
        <v/>
      </c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7">
        <f>IF($A518="","",IFERROR(ROUND($C518*INDEX(tblKurallar[deger_2025],MATCH("SGK-001",tblKurallar[kural_id],0))+$D518*INDEX(tblKurallar[deger_2025],MATCH("SGK-002",tblKurallar[kural_id],0))+$E518*INDEX(tblKurallar[deger_2025],MATCH("SGK-004",tblKurallar[kural_id],0))+$F518*sgk_isverenOran,2),0))</f>
        <v/>
      </c>
      <c r="I518" s="37">
        <f>IF($A518="","",IFERROR(MAX(0,$H518-$G518),0))</f>
        <v/>
      </c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7">
        <f>IF($A519="","",IFERROR(ROUND($C519*INDEX(tblKurallar[deger_2025],MATCH("SGK-001",tblKurallar[kural_id],0))+$D519*INDEX(tblKurallar[deger_2025],MATCH("SGK-002",tblKurallar[kural_id],0))+$E519*INDEX(tblKurallar[deger_2025],MATCH("SGK-004",tblKurallar[kural_id],0))+$F519*sgk_isverenOran,2),0))</f>
        <v/>
      </c>
      <c r="I519" s="37">
        <f>IF($A519="","",IFERROR(MAX(0,$H519-$G519),0))</f>
        <v/>
      </c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7">
        <f>IF($A520="","",IFERROR(ROUND($C520*INDEX(tblKurallar[deger_2025],MATCH("SGK-001",tblKurallar[kural_id],0))+$D520*INDEX(tblKurallar[deger_2025],MATCH("SGK-002",tblKurallar[kural_id],0))+$E520*INDEX(tblKurallar[deger_2025],MATCH("SGK-004",tblKurallar[kural_id],0))+$F520*sgk_isverenOran,2),0))</f>
        <v/>
      </c>
      <c r="I520" s="37">
        <f>IF($A520="","",IFERROR(MAX(0,$H520-$G520),0))</f>
        <v/>
      </c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7">
        <f>IF($A521="","",IFERROR(ROUND($C521*INDEX(tblKurallar[deger_2025],MATCH("SGK-001",tblKurallar[kural_id],0))+$D521*INDEX(tblKurallar[deger_2025],MATCH("SGK-002",tblKurallar[kural_id],0))+$E521*INDEX(tblKurallar[deger_2025],MATCH("SGK-004",tblKurallar[kural_id],0))+$F521*sgk_isverenOran,2),0))</f>
        <v/>
      </c>
      <c r="I521" s="37">
        <f>IF($A521="","",IFERROR(MAX(0,$H521-$G521),0))</f>
        <v/>
      </c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7">
        <f>IF($A522="","",IFERROR(ROUND($C522*INDEX(tblKurallar[deger_2025],MATCH("SGK-001",tblKurallar[kural_id],0))+$D522*INDEX(tblKurallar[deger_2025],MATCH("SGK-002",tblKurallar[kural_id],0))+$E522*INDEX(tblKurallar[deger_2025],MATCH("SGK-004",tblKurallar[kural_id],0))+$F522*sgk_isverenOran,2),0))</f>
        <v/>
      </c>
      <c r="I522" s="37">
        <f>IF($A522="","",IFERROR(MAX(0,$H522-$G522),0))</f>
        <v/>
      </c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7">
        <f>IF($A523="","",IFERROR(ROUND($C523*INDEX(tblKurallar[deger_2025],MATCH("SGK-001",tblKurallar[kural_id],0))+$D523*INDEX(tblKurallar[deger_2025],MATCH("SGK-002",tblKurallar[kural_id],0))+$E523*INDEX(tblKurallar[deger_2025],MATCH("SGK-004",tblKurallar[kural_id],0))+$F523*sgk_isverenOran,2),0))</f>
        <v/>
      </c>
      <c r="I523" s="37">
        <f>IF($A523="","",IFERROR(MAX(0,$H523-$G523),0))</f>
        <v/>
      </c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7">
        <f>IF($A524="","",IFERROR(ROUND($C524*INDEX(tblKurallar[deger_2025],MATCH("SGK-001",tblKurallar[kural_id],0))+$D524*INDEX(tblKurallar[deger_2025],MATCH("SGK-002",tblKurallar[kural_id],0))+$E524*INDEX(tblKurallar[deger_2025],MATCH("SGK-004",tblKurallar[kural_id],0))+$F524*sgk_isverenOran,2),0))</f>
        <v/>
      </c>
      <c r="I524" s="37">
        <f>IF($A524="","",IFERROR(MAX(0,$H524-$G524),0))</f>
        <v/>
      </c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7">
        <f>IF($A525="","",IFERROR(ROUND($C525*INDEX(tblKurallar[deger_2025],MATCH("SGK-001",tblKurallar[kural_id],0))+$D525*INDEX(tblKurallar[deger_2025],MATCH("SGK-002",tblKurallar[kural_id],0))+$E525*INDEX(tblKurallar[deger_2025],MATCH("SGK-004",tblKurallar[kural_id],0))+$F525*sgk_isverenOran,2),0))</f>
        <v/>
      </c>
      <c r="I525" s="37">
        <f>IF($A525="","",IFERROR(MAX(0,$H525-$G525),0))</f>
        <v/>
      </c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7">
        <f>IF($A526="","",IFERROR(ROUND($C526*INDEX(tblKurallar[deger_2025],MATCH("SGK-001",tblKurallar[kural_id],0))+$D526*INDEX(tblKurallar[deger_2025],MATCH("SGK-002",tblKurallar[kural_id],0))+$E526*INDEX(tblKurallar[deger_2025],MATCH("SGK-004",tblKurallar[kural_id],0))+$F526*sgk_isverenOran,2),0))</f>
        <v/>
      </c>
      <c r="I526" s="37">
        <f>IF($A526="","",IFERROR(MAX(0,$H526-$G526),0))</f>
        <v/>
      </c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7">
        <f>IF($A527="","",IFERROR(ROUND($C527*INDEX(tblKurallar[deger_2025],MATCH("SGK-001",tblKurallar[kural_id],0))+$D527*INDEX(tblKurallar[deger_2025],MATCH("SGK-002",tblKurallar[kural_id],0))+$E527*INDEX(tblKurallar[deger_2025],MATCH("SGK-004",tblKurallar[kural_id],0))+$F527*sgk_isverenOran,2),0))</f>
        <v/>
      </c>
      <c r="I527" s="37">
        <f>IF($A527="","",IFERROR(MAX(0,$H527-$G527),0))</f>
        <v/>
      </c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7">
        <f>IF($A528="","",IFERROR(ROUND($C528*INDEX(tblKurallar[deger_2025],MATCH("SGK-001",tblKurallar[kural_id],0))+$D528*INDEX(tblKurallar[deger_2025],MATCH("SGK-002",tblKurallar[kural_id],0))+$E528*INDEX(tblKurallar[deger_2025],MATCH("SGK-004",tblKurallar[kural_id],0))+$F528*sgk_isverenOran,2),0))</f>
        <v/>
      </c>
      <c r="I528" s="37">
        <f>IF($A528="","",IFERROR(MAX(0,$H528-$G528),0))</f>
        <v/>
      </c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7">
        <f>IF($A529="","",IFERROR(ROUND($C529*INDEX(tblKurallar[deger_2025],MATCH("SGK-001",tblKurallar[kural_id],0))+$D529*INDEX(tblKurallar[deger_2025],MATCH("SGK-002",tblKurallar[kural_id],0))+$E529*INDEX(tblKurallar[deger_2025],MATCH("SGK-004",tblKurallar[kural_id],0))+$F529*sgk_isverenOran,2),0))</f>
        <v/>
      </c>
      <c r="I529" s="37">
        <f>IF($A529="","",IFERROR(MAX(0,$H529-$G529),0))</f>
        <v/>
      </c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7">
        <f>IF($A530="","",IFERROR(ROUND($C530*INDEX(tblKurallar[deger_2025],MATCH("SGK-001",tblKurallar[kural_id],0))+$D530*INDEX(tblKurallar[deger_2025],MATCH("SGK-002",tblKurallar[kural_id],0))+$E530*INDEX(tblKurallar[deger_2025],MATCH("SGK-004",tblKurallar[kural_id],0))+$F530*sgk_isverenOran,2),0))</f>
        <v/>
      </c>
      <c r="I530" s="37">
        <f>IF($A530="","",IFERROR(MAX(0,$H530-$G530),0))</f>
        <v/>
      </c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7">
        <f>IF($A531="","",IFERROR(ROUND($C531*INDEX(tblKurallar[deger_2025],MATCH("SGK-001",tblKurallar[kural_id],0))+$D531*INDEX(tblKurallar[deger_2025],MATCH("SGK-002",tblKurallar[kural_id],0))+$E531*INDEX(tblKurallar[deger_2025],MATCH("SGK-004",tblKurallar[kural_id],0))+$F531*sgk_isverenOran,2),0))</f>
        <v/>
      </c>
      <c r="I531" s="37">
        <f>IF($A531="","",IFERROR(MAX(0,$H531-$G531),0))</f>
        <v/>
      </c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7">
        <f>IF($A532="","",IFERROR(ROUND($C532*INDEX(tblKurallar[deger_2025],MATCH("SGK-001",tblKurallar[kural_id],0))+$D532*INDEX(tblKurallar[deger_2025],MATCH("SGK-002",tblKurallar[kural_id],0))+$E532*INDEX(tblKurallar[deger_2025],MATCH("SGK-004",tblKurallar[kural_id],0))+$F532*sgk_isverenOran,2),0))</f>
        <v/>
      </c>
      <c r="I532" s="37">
        <f>IF($A532="","",IFERROR(MAX(0,$H532-$G532),0))</f>
        <v/>
      </c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7">
        <f>IF($A533="","",IFERROR(ROUND($C533*INDEX(tblKurallar[deger_2025],MATCH("SGK-001",tblKurallar[kural_id],0))+$D533*INDEX(tblKurallar[deger_2025],MATCH("SGK-002",tblKurallar[kural_id],0))+$E533*INDEX(tblKurallar[deger_2025],MATCH("SGK-004",tblKurallar[kural_id],0))+$F533*sgk_isverenOran,2),0))</f>
        <v/>
      </c>
      <c r="I533" s="37">
        <f>IF($A533="","",IFERROR(MAX(0,$H533-$G533),0))</f>
        <v/>
      </c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7">
        <f>IF($A534="","",IFERROR(ROUND($C534*INDEX(tblKurallar[deger_2025],MATCH("SGK-001",tblKurallar[kural_id],0))+$D534*INDEX(tblKurallar[deger_2025],MATCH("SGK-002",tblKurallar[kural_id],0))+$E534*INDEX(tblKurallar[deger_2025],MATCH("SGK-004",tblKurallar[kural_id],0))+$F534*sgk_isverenOran,2),0))</f>
        <v/>
      </c>
      <c r="I534" s="37">
        <f>IF($A534="","",IFERROR(MAX(0,$H534-$G534),0))</f>
        <v/>
      </c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7">
        <f>IF($A535="","",IFERROR(ROUND($C535*INDEX(tblKurallar[deger_2025],MATCH("SGK-001",tblKurallar[kural_id],0))+$D535*INDEX(tblKurallar[deger_2025],MATCH("SGK-002",tblKurallar[kural_id],0))+$E535*INDEX(tblKurallar[deger_2025],MATCH("SGK-004",tblKurallar[kural_id],0))+$F535*sgk_isverenOran,2),0))</f>
        <v/>
      </c>
      <c r="I535" s="37">
        <f>IF($A535="","",IFERROR(MAX(0,$H535-$G535),0))</f>
        <v/>
      </c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7">
        <f>IF($A536="","",IFERROR(ROUND($C536*INDEX(tblKurallar[deger_2025],MATCH("SGK-001",tblKurallar[kural_id],0))+$D536*INDEX(tblKurallar[deger_2025],MATCH("SGK-002",tblKurallar[kural_id],0))+$E536*INDEX(tblKurallar[deger_2025],MATCH("SGK-004",tblKurallar[kural_id],0))+$F536*sgk_isverenOran,2),0))</f>
        <v/>
      </c>
      <c r="I536" s="37">
        <f>IF($A536="","",IFERROR(MAX(0,$H536-$G536),0))</f>
        <v/>
      </c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7">
        <f>IF($A537="","",IFERROR(ROUND($C537*INDEX(tblKurallar[deger_2025],MATCH("SGK-001",tblKurallar[kural_id],0))+$D537*INDEX(tblKurallar[deger_2025],MATCH("SGK-002",tblKurallar[kural_id],0))+$E537*INDEX(tblKurallar[deger_2025],MATCH("SGK-004",tblKurallar[kural_id],0))+$F537*sgk_isverenOran,2),0))</f>
        <v/>
      </c>
      <c r="I537" s="37">
        <f>IF($A537="","",IFERROR(MAX(0,$H537-$G537),0))</f>
        <v/>
      </c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7">
        <f>IF($A538="","",IFERROR(ROUND($C538*INDEX(tblKurallar[deger_2025],MATCH("SGK-001",tblKurallar[kural_id],0))+$D538*INDEX(tblKurallar[deger_2025],MATCH("SGK-002",tblKurallar[kural_id],0))+$E538*INDEX(tblKurallar[deger_2025],MATCH("SGK-004",tblKurallar[kural_id],0))+$F538*sgk_isverenOran,2),0))</f>
        <v/>
      </c>
      <c r="I538" s="37">
        <f>IF($A538="","",IFERROR(MAX(0,$H538-$G538),0))</f>
        <v/>
      </c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7">
        <f>IF($A539="","",IFERROR(ROUND($C539*INDEX(tblKurallar[deger_2025],MATCH("SGK-001",tblKurallar[kural_id],0))+$D539*INDEX(tblKurallar[deger_2025],MATCH("SGK-002",tblKurallar[kural_id],0))+$E539*INDEX(tblKurallar[deger_2025],MATCH("SGK-004",tblKurallar[kural_id],0))+$F539*sgk_isverenOran,2),0))</f>
        <v/>
      </c>
      <c r="I539" s="37">
        <f>IF($A539="","",IFERROR(MAX(0,$H539-$G539),0))</f>
        <v/>
      </c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7">
        <f>IF($A540="","",IFERROR(ROUND($C540*INDEX(tblKurallar[deger_2025],MATCH("SGK-001",tblKurallar[kural_id],0))+$D540*INDEX(tblKurallar[deger_2025],MATCH("SGK-002",tblKurallar[kural_id],0))+$E540*INDEX(tblKurallar[deger_2025],MATCH("SGK-004",tblKurallar[kural_id],0))+$F540*sgk_isverenOran,2),0))</f>
        <v/>
      </c>
      <c r="I540" s="37">
        <f>IF($A540="","",IFERROR(MAX(0,$H540-$G540),0))</f>
        <v/>
      </c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7">
        <f>IF($A541="","",IFERROR(ROUND($C541*INDEX(tblKurallar[deger_2025],MATCH("SGK-001",tblKurallar[kural_id],0))+$D541*INDEX(tblKurallar[deger_2025],MATCH("SGK-002",tblKurallar[kural_id],0))+$E541*INDEX(tblKurallar[deger_2025],MATCH("SGK-004",tblKurallar[kural_id],0))+$F541*sgk_isverenOran,2),0))</f>
        <v/>
      </c>
      <c r="I541" s="37">
        <f>IF($A541="","",IFERROR(MAX(0,$H541-$G541),0))</f>
        <v/>
      </c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7">
        <f>IF($A542="","",IFERROR(ROUND($C542*INDEX(tblKurallar[deger_2025],MATCH("SGK-001",tblKurallar[kural_id],0))+$D542*INDEX(tblKurallar[deger_2025],MATCH("SGK-002",tblKurallar[kural_id],0))+$E542*INDEX(tblKurallar[deger_2025],MATCH("SGK-004",tblKurallar[kural_id],0))+$F542*sgk_isverenOran,2),0))</f>
        <v/>
      </c>
      <c r="I542" s="37">
        <f>IF($A542="","",IFERROR(MAX(0,$H542-$G542),0))</f>
        <v/>
      </c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7">
        <f>IF($A543="","",IFERROR(ROUND($C543*INDEX(tblKurallar[deger_2025],MATCH("SGK-001",tblKurallar[kural_id],0))+$D543*INDEX(tblKurallar[deger_2025],MATCH("SGK-002",tblKurallar[kural_id],0))+$E543*INDEX(tblKurallar[deger_2025],MATCH("SGK-004",tblKurallar[kural_id],0))+$F543*sgk_isverenOran,2),0))</f>
        <v/>
      </c>
      <c r="I543" s="37">
        <f>IF($A543="","",IFERROR(MAX(0,$H543-$G543),0))</f>
        <v/>
      </c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7">
        <f>IF($A544="","",IFERROR(ROUND($C544*INDEX(tblKurallar[deger_2025],MATCH("SGK-001",tblKurallar[kural_id],0))+$D544*INDEX(tblKurallar[deger_2025],MATCH("SGK-002",tblKurallar[kural_id],0))+$E544*INDEX(tblKurallar[deger_2025],MATCH("SGK-004",tblKurallar[kural_id],0))+$F544*sgk_isverenOran,2),0))</f>
        <v/>
      </c>
      <c r="I544" s="37">
        <f>IF($A544="","",IFERROR(MAX(0,$H544-$G544),0))</f>
        <v/>
      </c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7">
        <f>IF($A545="","",IFERROR(ROUND($C545*INDEX(tblKurallar[deger_2025],MATCH("SGK-001",tblKurallar[kural_id],0))+$D545*INDEX(tblKurallar[deger_2025],MATCH("SGK-002",tblKurallar[kural_id],0))+$E545*INDEX(tblKurallar[deger_2025],MATCH("SGK-004",tblKurallar[kural_id],0))+$F545*sgk_isverenOran,2),0))</f>
        <v/>
      </c>
      <c r="I545" s="37">
        <f>IF($A545="","",IFERROR(MAX(0,$H545-$G545),0))</f>
        <v/>
      </c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7">
        <f>IF($A546="","",IFERROR(ROUND($C546*INDEX(tblKurallar[deger_2025],MATCH("SGK-001",tblKurallar[kural_id],0))+$D546*INDEX(tblKurallar[deger_2025],MATCH("SGK-002",tblKurallar[kural_id],0))+$E546*INDEX(tblKurallar[deger_2025],MATCH("SGK-004",tblKurallar[kural_id],0))+$F546*sgk_isverenOran,2),0))</f>
        <v/>
      </c>
      <c r="I546" s="37">
        <f>IF($A546="","",IFERROR(MAX(0,$H546-$G546),0))</f>
        <v/>
      </c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7">
        <f>IF($A547="","",IFERROR(ROUND($C547*INDEX(tblKurallar[deger_2025],MATCH("SGK-001",tblKurallar[kural_id],0))+$D547*INDEX(tblKurallar[deger_2025],MATCH("SGK-002",tblKurallar[kural_id],0))+$E547*INDEX(tblKurallar[deger_2025],MATCH("SGK-004",tblKurallar[kural_id],0))+$F547*sgk_isverenOran,2),0))</f>
        <v/>
      </c>
      <c r="I547" s="37">
        <f>IF($A547="","",IFERROR(MAX(0,$H547-$G547),0))</f>
        <v/>
      </c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7">
        <f>IF($A548="","",IFERROR(ROUND($C548*INDEX(tblKurallar[deger_2025],MATCH("SGK-001",tblKurallar[kural_id],0))+$D548*INDEX(tblKurallar[deger_2025],MATCH("SGK-002",tblKurallar[kural_id],0))+$E548*INDEX(tblKurallar[deger_2025],MATCH("SGK-004",tblKurallar[kural_id],0))+$F548*sgk_isverenOran,2),0))</f>
        <v/>
      </c>
      <c r="I548" s="37">
        <f>IF($A548="","",IFERROR(MAX(0,$H548-$G548),0))</f>
        <v/>
      </c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7">
        <f>IF($A549="","",IFERROR(ROUND($C549*INDEX(tblKurallar[deger_2025],MATCH("SGK-001",tblKurallar[kural_id],0))+$D549*INDEX(tblKurallar[deger_2025],MATCH("SGK-002",tblKurallar[kural_id],0))+$E549*INDEX(tblKurallar[deger_2025],MATCH("SGK-004",tblKurallar[kural_id],0))+$F549*sgk_isverenOran,2),0))</f>
        <v/>
      </c>
      <c r="I549" s="37">
        <f>IF($A549="","",IFERROR(MAX(0,$H549-$G549),0))</f>
        <v/>
      </c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7">
        <f>IF($A550="","",IFERROR(ROUND($C550*INDEX(tblKurallar[deger_2025],MATCH("SGK-001",tblKurallar[kural_id],0))+$D550*INDEX(tblKurallar[deger_2025],MATCH("SGK-002",tblKurallar[kural_id],0))+$E550*INDEX(tblKurallar[deger_2025],MATCH("SGK-004",tblKurallar[kural_id],0))+$F550*sgk_isverenOran,2),0))</f>
        <v/>
      </c>
      <c r="I550" s="37">
        <f>IF($A550="","",IFERROR(MAX(0,$H550-$G550),0))</f>
        <v/>
      </c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7">
        <f>IF($A551="","",IFERROR(ROUND($C551*INDEX(tblKurallar[deger_2025],MATCH("SGK-001",tblKurallar[kural_id],0))+$D551*INDEX(tblKurallar[deger_2025],MATCH("SGK-002",tblKurallar[kural_id],0))+$E551*INDEX(tblKurallar[deger_2025],MATCH("SGK-004",tblKurallar[kural_id],0))+$F551*sgk_isverenOran,2),0))</f>
        <v/>
      </c>
      <c r="I551" s="37">
        <f>IF($A551="","",IFERROR(MAX(0,$H551-$G551),0))</f>
        <v/>
      </c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7">
        <f>IF($A552="","",IFERROR(ROUND($C552*INDEX(tblKurallar[deger_2025],MATCH("SGK-001",tblKurallar[kural_id],0))+$D552*INDEX(tblKurallar[deger_2025],MATCH("SGK-002",tblKurallar[kural_id],0))+$E552*INDEX(tblKurallar[deger_2025],MATCH("SGK-004",tblKurallar[kural_id],0))+$F552*sgk_isverenOran,2),0))</f>
        <v/>
      </c>
      <c r="I552" s="37">
        <f>IF($A552="","",IFERROR(MAX(0,$H552-$G552),0))</f>
        <v/>
      </c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7">
        <f>IF($A553="","",IFERROR(ROUND($C553*INDEX(tblKurallar[deger_2025],MATCH("SGK-001",tblKurallar[kural_id],0))+$D553*INDEX(tblKurallar[deger_2025],MATCH("SGK-002",tblKurallar[kural_id],0))+$E553*INDEX(tblKurallar[deger_2025],MATCH("SGK-004",tblKurallar[kural_id],0))+$F553*sgk_isverenOran,2),0))</f>
        <v/>
      </c>
      <c r="I553" s="37">
        <f>IF($A553="","",IFERROR(MAX(0,$H553-$G553),0))</f>
        <v/>
      </c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7">
        <f>IF($A554="","",IFERROR(ROUND($C554*INDEX(tblKurallar[deger_2025],MATCH("SGK-001",tblKurallar[kural_id],0))+$D554*INDEX(tblKurallar[deger_2025],MATCH("SGK-002",tblKurallar[kural_id],0))+$E554*INDEX(tblKurallar[deger_2025],MATCH("SGK-004",tblKurallar[kural_id],0))+$F554*sgk_isverenOran,2),0))</f>
        <v/>
      </c>
      <c r="I554" s="37">
        <f>IF($A554="","",IFERROR(MAX(0,$H554-$G554),0))</f>
        <v/>
      </c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7">
        <f>IF($A555="","",IFERROR(ROUND($C555*INDEX(tblKurallar[deger_2025],MATCH("SGK-001",tblKurallar[kural_id],0))+$D555*INDEX(tblKurallar[deger_2025],MATCH("SGK-002",tblKurallar[kural_id],0))+$E555*INDEX(tblKurallar[deger_2025],MATCH("SGK-004",tblKurallar[kural_id],0))+$F555*sgk_isverenOran,2),0))</f>
        <v/>
      </c>
      <c r="I555" s="37">
        <f>IF($A555="","",IFERROR(MAX(0,$H555-$G555),0))</f>
        <v/>
      </c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7">
        <f>IF($A556="","",IFERROR(ROUND($C556*INDEX(tblKurallar[deger_2025],MATCH("SGK-001",tblKurallar[kural_id],0))+$D556*INDEX(tblKurallar[deger_2025],MATCH("SGK-002",tblKurallar[kural_id],0))+$E556*INDEX(tblKurallar[deger_2025],MATCH("SGK-004",tblKurallar[kural_id],0))+$F556*sgk_isverenOran,2),0))</f>
        <v/>
      </c>
      <c r="I556" s="37">
        <f>IF($A556="","",IFERROR(MAX(0,$H556-$G556),0))</f>
        <v/>
      </c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7">
        <f>IF($A557="","",IFERROR(ROUND($C557*INDEX(tblKurallar[deger_2025],MATCH("SGK-001",tblKurallar[kural_id],0))+$D557*INDEX(tblKurallar[deger_2025],MATCH("SGK-002",tblKurallar[kural_id],0))+$E557*INDEX(tblKurallar[deger_2025],MATCH("SGK-004",tblKurallar[kural_id],0))+$F557*sgk_isverenOran,2),0))</f>
        <v/>
      </c>
      <c r="I557" s="37">
        <f>IF($A557="","",IFERROR(MAX(0,$H557-$G557),0))</f>
        <v/>
      </c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7">
        <f>IF($A558="","",IFERROR(ROUND($C558*INDEX(tblKurallar[deger_2025],MATCH("SGK-001",tblKurallar[kural_id],0))+$D558*INDEX(tblKurallar[deger_2025],MATCH("SGK-002",tblKurallar[kural_id],0))+$E558*INDEX(tblKurallar[deger_2025],MATCH("SGK-004",tblKurallar[kural_id],0))+$F558*sgk_isverenOran,2),0))</f>
        <v/>
      </c>
      <c r="I558" s="37">
        <f>IF($A558="","",IFERROR(MAX(0,$H558-$G558),0))</f>
        <v/>
      </c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7">
        <f>IF($A559="","",IFERROR(ROUND($C559*INDEX(tblKurallar[deger_2025],MATCH("SGK-001",tblKurallar[kural_id],0))+$D559*INDEX(tblKurallar[deger_2025],MATCH("SGK-002",tblKurallar[kural_id],0))+$E559*INDEX(tblKurallar[deger_2025],MATCH("SGK-004",tblKurallar[kural_id],0))+$F559*sgk_isverenOran,2),0))</f>
        <v/>
      </c>
      <c r="I559" s="37">
        <f>IF($A559="","",IFERROR(MAX(0,$H559-$G559),0))</f>
        <v/>
      </c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7">
        <f>IF($A560="","",IFERROR(ROUND($C560*INDEX(tblKurallar[deger_2025],MATCH("SGK-001",tblKurallar[kural_id],0))+$D560*INDEX(tblKurallar[deger_2025],MATCH("SGK-002",tblKurallar[kural_id],0))+$E560*INDEX(tblKurallar[deger_2025],MATCH("SGK-004",tblKurallar[kural_id],0))+$F560*sgk_isverenOran,2),0))</f>
        <v/>
      </c>
      <c r="I560" s="37">
        <f>IF($A560="","",IFERROR(MAX(0,$H560-$G560),0))</f>
        <v/>
      </c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7">
        <f>IF($A561="","",IFERROR(ROUND($C561*INDEX(tblKurallar[deger_2025],MATCH("SGK-001",tblKurallar[kural_id],0))+$D561*INDEX(tblKurallar[deger_2025],MATCH("SGK-002",tblKurallar[kural_id],0))+$E561*INDEX(tblKurallar[deger_2025],MATCH("SGK-004",tblKurallar[kural_id],0))+$F561*sgk_isverenOran,2),0))</f>
        <v/>
      </c>
      <c r="I561" s="37">
        <f>IF($A561="","",IFERROR(MAX(0,$H561-$G561),0))</f>
        <v/>
      </c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7">
        <f>IF($A562="","",IFERROR(ROUND($C562*INDEX(tblKurallar[deger_2025],MATCH("SGK-001",tblKurallar[kural_id],0))+$D562*INDEX(tblKurallar[deger_2025],MATCH("SGK-002",tblKurallar[kural_id],0))+$E562*INDEX(tblKurallar[deger_2025],MATCH("SGK-004",tblKurallar[kural_id],0))+$F562*sgk_isverenOran,2),0))</f>
        <v/>
      </c>
      <c r="I562" s="37">
        <f>IF($A562="","",IFERROR(MAX(0,$H562-$G562),0))</f>
        <v/>
      </c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7">
        <f>IF($A563="","",IFERROR(ROUND($C563*INDEX(tblKurallar[deger_2025],MATCH("SGK-001",tblKurallar[kural_id],0))+$D563*INDEX(tblKurallar[deger_2025],MATCH("SGK-002",tblKurallar[kural_id],0))+$E563*INDEX(tblKurallar[deger_2025],MATCH("SGK-004",tblKurallar[kural_id],0))+$F563*sgk_isverenOran,2),0))</f>
        <v/>
      </c>
      <c r="I563" s="37">
        <f>IF($A563="","",IFERROR(MAX(0,$H563-$G563),0))</f>
        <v/>
      </c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7">
        <f>IF($A564="","",IFERROR(ROUND($C564*INDEX(tblKurallar[deger_2025],MATCH("SGK-001",tblKurallar[kural_id],0))+$D564*INDEX(tblKurallar[deger_2025],MATCH("SGK-002",tblKurallar[kural_id],0))+$E564*INDEX(tblKurallar[deger_2025],MATCH("SGK-004",tblKurallar[kural_id],0))+$F564*sgk_isverenOran,2),0))</f>
        <v/>
      </c>
      <c r="I564" s="37">
        <f>IF($A564="","",IFERROR(MAX(0,$H564-$G564),0))</f>
        <v/>
      </c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7">
        <f>IF($A565="","",IFERROR(ROUND($C565*INDEX(tblKurallar[deger_2025],MATCH("SGK-001",tblKurallar[kural_id],0))+$D565*INDEX(tblKurallar[deger_2025],MATCH("SGK-002",tblKurallar[kural_id],0))+$E565*INDEX(tblKurallar[deger_2025],MATCH("SGK-004",tblKurallar[kural_id],0))+$F565*sgk_isverenOran,2),0))</f>
        <v/>
      </c>
      <c r="I565" s="37">
        <f>IF($A565="","",IFERROR(MAX(0,$H565-$G565),0))</f>
        <v/>
      </c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7">
        <f>IF($A566="","",IFERROR(ROUND($C566*INDEX(tblKurallar[deger_2025],MATCH("SGK-001",tblKurallar[kural_id],0))+$D566*INDEX(tblKurallar[deger_2025],MATCH("SGK-002",tblKurallar[kural_id],0))+$E566*INDEX(tblKurallar[deger_2025],MATCH("SGK-004",tblKurallar[kural_id],0))+$F566*sgk_isverenOran,2),0))</f>
        <v/>
      </c>
      <c r="I566" s="37">
        <f>IF($A566="","",IFERROR(MAX(0,$H566-$G566),0))</f>
        <v/>
      </c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7">
        <f>IF($A567="","",IFERROR(ROUND($C567*INDEX(tblKurallar[deger_2025],MATCH("SGK-001",tblKurallar[kural_id],0))+$D567*INDEX(tblKurallar[deger_2025],MATCH("SGK-002",tblKurallar[kural_id],0))+$E567*INDEX(tblKurallar[deger_2025],MATCH("SGK-004",tblKurallar[kural_id],0))+$F567*sgk_isverenOran,2),0))</f>
        <v/>
      </c>
      <c r="I567" s="37">
        <f>IF($A567="","",IFERROR(MAX(0,$H567-$G567),0))</f>
        <v/>
      </c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7">
        <f>IF($A568="","",IFERROR(ROUND($C568*INDEX(tblKurallar[deger_2025],MATCH("SGK-001",tblKurallar[kural_id],0))+$D568*INDEX(tblKurallar[deger_2025],MATCH("SGK-002",tblKurallar[kural_id],0))+$E568*INDEX(tblKurallar[deger_2025],MATCH("SGK-004",tblKurallar[kural_id],0))+$F568*sgk_isverenOran,2),0))</f>
        <v/>
      </c>
      <c r="I568" s="37">
        <f>IF($A568="","",IFERROR(MAX(0,$H568-$G568),0))</f>
        <v/>
      </c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7">
        <f>IF($A569="","",IFERROR(ROUND($C569*INDEX(tblKurallar[deger_2025],MATCH("SGK-001",tblKurallar[kural_id],0))+$D569*INDEX(tblKurallar[deger_2025],MATCH("SGK-002",tblKurallar[kural_id],0))+$E569*INDEX(tblKurallar[deger_2025],MATCH("SGK-004",tblKurallar[kural_id],0))+$F569*sgk_isverenOran,2),0))</f>
        <v/>
      </c>
      <c r="I569" s="37">
        <f>IF($A569="","",IFERROR(MAX(0,$H569-$G569),0))</f>
        <v/>
      </c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7">
        <f>IF($A570="","",IFERROR(ROUND($C570*INDEX(tblKurallar[deger_2025],MATCH("SGK-001",tblKurallar[kural_id],0))+$D570*INDEX(tblKurallar[deger_2025],MATCH("SGK-002",tblKurallar[kural_id],0))+$E570*INDEX(tblKurallar[deger_2025],MATCH("SGK-004",tblKurallar[kural_id],0))+$F570*sgk_isverenOran,2),0))</f>
        <v/>
      </c>
      <c r="I570" s="37">
        <f>IF($A570="","",IFERROR(MAX(0,$H570-$G570),0))</f>
        <v/>
      </c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7">
        <f>IF($A571="","",IFERROR(ROUND($C571*INDEX(tblKurallar[deger_2025],MATCH("SGK-001",tblKurallar[kural_id],0))+$D571*INDEX(tblKurallar[deger_2025],MATCH("SGK-002",tblKurallar[kural_id],0))+$E571*INDEX(tblKurallar[deger_2025],MATCH("SGK-004",tblKurallar[kural_id],0))+$F571*sgk_isverenOran,2),0))</f>
        <v/>
      </c>
      <c r="I571" s="37">
        <f>IF($A571="","",IFERROR(MAX(0,$H571-$G571),0))</f>
        <v/>
      </c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7">
        <f>IF($A572="","",IFERROR(ROUND($C572*INDEX(tblKurallar[deger_2025],MATCH("SGK-001",tblKurallar[kural_id],0))+$D572*INDEX(tblKurallar[deger_2025],MATCH("SGK-002",tblKurallar[kural_id],0))+$E572*INDEX(tblKurallar[deger_2025],MATCH("SGK-004",tblKurallar[kural_id],0))+$F572*sgk_isverenOran,2),0))</f>
        <v/>
      </c>
      <c r="I572" s="37">
        <f>IF($A572="","",IFERROR(MAX(0,$H572-$G572),0))</f>
        <v/>
      </c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7">
        <f>IF($A573="","",IFERROR(ROUND($C573*INDEX(tblKurallar[deger_2025],MATCH("SGK-001",tblKurallar[kural_id],0))+$D573*INDEX(tblKurallar[deger_2025],MATCH("SGK-002",tblKurallar[kural_id],0))+$E573*INDEX(tblKurallar[deger_2025],MATCH("SGK-004",tblKurallar[kural_id],0))+$F573*sgk_isverenOran,2),0))</f>
        <v/>
      </c>
      <c r="I573" s="37">
        <f>IF($A573="","",IFERROR(MAX(0,$H573-$G573),0))</f>
        <v/>
      </c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7">
        <f>IF($A574="","",IFERROR(ROUND($C574*INDEX(tblKurallar[deger_2025],MATCH("SGK-001",tblKurallar[kural_id],0))+$D574*INDEX(tblKurallar[deger_2025],MATCH("SGK-002",tblKurallar[kural_id],0))+$E574*INDEX(tblKurallar[deger_2025],MATCH("SGK-004",tblKurallar[kural_id],0))+$F574*sgk_isverenOran,2),0))</f>
        <v/>
      </c>
      <c r="I574" s="37">
        <f>IF($A574="","",IFERROR(MAX(0,$H574-$G574),0))</f>
        <v/>
      </c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7">
        <f>IF($A575="","",IFERROR(ROUND($C575*INDEX(tblKurallar[deger_2025],MATCH("SGK-001",tblKurallar[kural_id],0))+$D575*INDEX(tblKurallar[deger_2025],MATCH("SGK-002",tblKurallar[kural_id],0))+$E575*INDEX(tblKurallar[deger_2025],MATCH("SGK-004",tblKurallar[kural_id],0))+$F575*sgk_isverenOran,2),0))</f>
        <v/>
      </c>
      <c r="I575" s="37">
        <f>IF($A575="","",IFERROR(MAX(0,$H575-$G575),0))</f>
        <v/>
      </c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7">
        <f>IF($A576="","",IFERROR(ROUND($C576*INDEX(tblKurallar[deger_2025],MATCH("SGK-001",tblKurallar[kural_id],0))+$D576*INDEX(tblKurallar[deger_2025],MATCH("SGK-002",tblKurallar[kural_id],0))+$E576*INDEX(tblKurallar[deger_2025],MATCH("SGK-004",tblKurallar[kural_id],0))+$F576*sgk_isverenOran,2),0))</f>
        <v/>
      </c>
      <c r="I576" s="37">
        <f>IF($A576="","",IFERROR(MAX(0,$H576-$G576),0))</f>
        <v/>
      </c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7">
        <f>IF($A577="","",IFERROR(ROUND($C577*INDEX(tblKurallar[deger_2025],MATCH("SGK-001",tblKurallar[kural_id],0))+$D577*INDEX(tblKurallar[deger_2025],MATCH("SGK-002",tblKurallar[kural_id],0))+$E577*INDEX(tblKurallar[deger_2025],MATCH("SGK-004",tblKurallar[kural_id],0))+$F577*sgk_isverenOran,2),0))</f>
        <v/>
      </c>
      <c r="I577" s="37">
        <f>IF($A577="","",IFERROR(MAX(0,$H577-$G577),0))</f>
        <v/>
      </c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7">
        <f>IF($A578="","",IFERROR(ROUND($C578*INDEX(tblKurallar[deger_2025],MATCH("SGK-001",tblKurallar[kural_id],0))+$D578*INDEX(tblKurallar[deger_2025],MATCH("SGK-002",tblKurallar[kural_id],0))+$E578*INDEX(tblKurallar[deger_2025],MATCH("SGK-004",tblKurallar[kural_id],0))+$F578*sgk_isverenOran,2),0))</f>
        <v/>
      </c>
      <c r="I578" s="37">
        <f>IF($A578="","",IFERROR(MAX(0,$H578-$G578),0))</f>
        <v/>
      </c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7">
        <f>IF($A579="","",IFERROR(ROUND($C579*INDEX(tblKurallar[deger_2025],MATCH("SGK-001",tblKurallar[kural_id],0))+$D579*INDEX(tblKurallar[deger_2025],MATCH("SGK-002",tblKurallar[kural_id],0))+$E579*INDEX(tblKurallar[deger_2025],MATCH("SGK-004",tblKurallar[kural_id],0))+$F579*sgk_isverenOran,2),0))</f>
        <v/>
      </c>
      <c r="I579" s="37">
        <f>IF($A579="","",IFERROR(MAX(0,$H579-$G579),0))</f>
        <v/>
      </c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7">
        <f>IF($A580="","",IFERROR(ROUND($C580*INDEX(tblKurallar[deger_2025],MATCH("SGK-001",tblKurallar[kural_id],0))+$D580*INDEX(tblKurallar[deger_2025],MATCH("SGK-002",tblKurallar[kural_id],0))+$E580*INDEX(tblKurallar[deger_2025],MATCH("SGK-004",tblKurallar[kural_id],0))+$F580*sgk_isverenOran,2),0))</f>
        <v/>
      </c>
      <c r="I580" s="37">
        <f>IF($A580="","",IFERROR(MAX(0,$H580-$G580),0))</f>
        <v/>
      </c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7">
        <f>IF($A581="","",IFERROR(ROUND($C581*INDEX(tblKurallar[deger_2025],MATCH("SGK-001",tblKurallar[kural_id],0))+$D581*INDEX(tblKurallar[deger_2025],MATCH("SGK-002",tblKurallar[kural_id],0))+$E581*INDEX(tblKurallar[deger_2025],MATCH("SGK-004",tblKurallar[kural_id],0))+$F581*sgk_isverenOran,2),0))</f>
        <v/>
      </c>
      <c r="I581" s="37">
        <f>IF($A581="","",IFERROR(MAX(0,$H581-$G581),0))</f>
        <v/>
      </c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7">
        <f>IF($A582="","",IFERROR(ROUND($C582*INDEX(tblKurallar[deger_2025],MATCH("SGK-001",tblKurallar[kural_id],0))+$D582*INDEX(tblKurallar[deger_2025],MATCH("SGK-002",tblKurallar[kural_id],0))+$E582*INDEX(tblKurallar[deger_2025],MATCH("SGK-004",tblKurallar[kural_id],0))+$F582*sgk_isverenOran,2),0))</f>
        <v/>
      </c>
      <c r="I582" s="37">
        <f>IF($A582="","",IFERROR(MAX(0,$H582-$G582),0))</f>
        <v/>
      </c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7">
        <f>IF($A583="","",IFERROR(ROUND($C583*INDEX(tblKurallar[deger_2025],MATCH("SGK-001",tblKurallar[kural_id],0))+$D583*INDEX(tblKurallar[deger_2025],MATCH("SGK-002",tblKurallar[kural_id],0))+$E583*INDEX(tblKurallar[deger_2025],MATCH("SGK-004",tblKurallar[kural_id],0))+$F583*sgk_isverenOran,2),0))</f>
        <v/>
      </c>
      <c r="I583" s="37">
        <f>IF($A583="","",IFERROR(MAX(0,$H583-$G583),0))</f>
        <v/>
      </c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7">
        <f>IF($A584="","",IFERROR(ROUND($C584*INDEX(tblKurallar[deger_2025],MATCH("SGK-001",tblKurallar[kural_id],0))+$D584*INDEX(tblKurallar[deger_2025],MATCH("SGK-002",tblKurallar[kural_id],0))+$E584*INDEX(tblKurallar[deger_2025],MATCH("SGK-004",tblKurallar[kural_id],0))+$F584*sgk_isverenOran,2),0))</f>
        <v/>
      </c>
      <c r="I584" s="37">
        <f>IF($A584="","",IFERROR(MAX(0,$H584-$G584),0))</f>
        <v/>
      </c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7">
        <f>IF($A585="","",IFERROR(ROUND($C585*INDEX(tblKurallar[deger_2025],MATCH("SGK-001",tblKurallar[kural_id],0))+$D585*INDEX(tblKurallar[deger_2025],MATCH("SGK-002",tblKurallar[kural_id],0))+$E585*INDEX(tblKurallar[deger_2025],MATCH("SGK-004",tblKurallar[kural_id],0))+$F585*sgk_isverenOran,2),0))</f>
        <v/>
      </c>
      <c r="I585" s="37">
        <f>IF($A585="","",IFERROR(MAX(0,$H585-$G585),0))</f>
        <v/>
      </c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7">
        <f>IF($A586="","",IFERROR(ROUND($C586*INDEX(tblKurallar[deger_2025],MATCH("SGK-001",tblKurallar[kural_id],0))+$D586*INDEX(tblKurallar[deger_2025],MATCH("SGK-002",tblKurallar[kural_id],0))+$E586*INDEX(tblKurallar[deger_2025],MATCH("SGK-004",tblKurallar[kural_id],0))+$F586*sgk_isverenOran,2),0))</f>
        <v/>
      </c>
      <c r="I586" s="37">
        <f>IF($A586="","",IFERROR(MAX(0,$H586-$G586),0))</f>
        <v/>
      </c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7">
        <f>IF($A587="","",IFERROR(ROUND($C587*INDEX(tblKurallar[deger_2025],MATCH("SGK-001",tblKurallar[kural_id],0))+$D587*INDEX(tblKurallar[deger_2025],MATCH("SGK-002",tblKurallar[kural_id],0))+$E587*INDEX(tblKurallar[deger_2025],MATCH("SGK-004",tblKurallar[kural_id],0))+$F587*sgk_isverenOran,2),0))</f>
        <v/>
      </c>
      <c r="I587" s="37">
        <f>IF($A587="","",IFERROR(MAX(0,$H587-$G587),0))</f>
        <v/>
      </c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7">
        <f>IF($A588="","",IFERROR(ROUND($C588*INDEX(tblKurallar[deger_2025],MATCH("SGK-001",tblKurallar[kural_id],0))+$D588*INDEX(tblKurallar[deger_2025],MATCH("SGK-002",tblKurallar[kural_id],0))+$E588*INDEX(tblKurallar[deger_2025],MATCH("SGK-004",tblKurallar[kural_id],0))+$F588*sgk_isverenOran,2),0))</f>
        <v/>
      </c>
      <c r="I588" s="37">
        <f>IF($A588="","",IFERROR(MAX(0,$H588-$G588),0))</f>
        <v/>
      </c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7">
        <f>IF($A589="","",IFERROR(ROUND($C589*INDEX(tblKurallar[deger_2025],MATCH("SGK-001",tblKurallar[kural_id],0))+$D589*INDEX(tblKurallar[deger_2025],MATCH("SGK-002",tblKurallar[kural_id],0))+$E589*INDEX(tblKurallar[deger_2025],MATCH("SGK-004",tblKurallar[kural_id],0))+$F589*sgk_isverenOran,2),0))</f>
        <v/>
      </c>
      <c r="I589" s="37">
        <f>IF($A589="","",IFERROR(MAX(0,$H589-$G589),0))</f>
        <v/>
      </c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7">
        <f>IF($A590="","",IFERROR(ROUND($C590*INDEX(tblKurallar[deger_2025],MATCH("SGK-001",tblKurallar[kural_id],0))+$D590*INDEX(tblKurallar[deger_2025],MATCH("SGK-002",tblKurallar[kural_id],0))+$E590*INDEX(tblKurallar[deger_2025],MATCH("SGK-004",tblKurallar[kural_id],0))+$F590*sgk_isverenOran,2),0))</f>
        <v/>
      </c>
      <c r="I590" s="37">
        <f>IF($A590="","",IFERROR(MAX(0,$H590-$G590),0))</f>
        <v/>
      </c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7">
        <f>IF($A591="","",IFERROR(ROUND($C591*INDEX(tblKurallar[deger_2025],MATCH("SGK-001",tblKurallar[kural_id],0))+$D591*INDEX(tblKurallar[deger_2025],MATCH("SGK-002",tblKurallar[kural_id],0))+$E591*INDEX(tblKurallar[deger_2025],MATCH("SGK-004",tblKurallar[kural_id],0))+$F591*sgk_isverenOran,2),0))</f>
        <v/>
      </c>
      <c r="I591" s="37">
        <f>IF($A591="","",IFERROR(MAX(0,$H591-$G591),0))</f>
        <v/>
      </c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7">
        <f>IF($A592="","",IFERROR(ROUND($C592*INDEX(tblKurallar[deger_2025],MATCH("SGK-001",tblKurallar[kural_id],0))+$D592*INDEX(tblKurallar[deger_2025],MATCH("SGK-002",tblKurallar[kural_id],0))+$E592*INDEX(tblKurallar[deger_2025],MATCH("SGK-004",tblKurallar[kural_id],0))+$F592*sgk_isverenOran,2),0))</f>
        <v/>
      </c>
      <c r="I592" s="37">
        <f>IF($A592="","",IFERROR(MAX(0,$H592-$G592),0))</f>
        <v/>
      </c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7">
        <f>IF($A593="","",IFERROR(ROUND($C593*INDEX(tblKurallar[deger_2025],MATCH("SGK-001",tblKurallar[kural_id],0))+$D593*INDEX(tblKurallar[deger_2025],MATCH("SGK-002",tblKurallar[kural_id],0))+$E593*INDEX(tblKurallar[deger_2025],MATCH("SGK-004",tblKurallar[kural_id],0))+$F593*sgk_isverenOran,2),0))</f>
        <v/>
      </c>
      <c r="I593" s="37">
        <f>IF($A593="","",IFERROR(MAX(0,$H593-$G593),0))</f>
        <v/>
      </c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7">
        <f>IF($A594="","",IFERROR(ROUND($C594*INDEX(tblKurallar[deger_2025],MATCH("SGK-001",tblKurallar[kural_id],0))+$D594*INDEX(tblKurallar[deger_2025],MATCH("SGK-002",tblKurallar[kural_id],0))+$E594*INDEX(tblKurallar[deger_2025],MATCH("SGK-004",tblKurallar[kural_id],0))+$F594*sgk_isverenOran,2),0))</f>
        <v/>
      </c>
      <c r="I594" s="37">
        <f>IF($A594="","",IFERROR(MAX(0,$H594-$G594),0))</f>
        <v/>
      </c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7">
        <f>IF($A595="","",IFERROR(ROUND($C595*INDEX(tblKurallar[deger_2025],MATCH("SGK-001",tblKurallar[kural_id],0))+$D595*INDEX(tblKurallar[deger_2025],MATCH("SGK-002",tblKurallar[kural_id],0))+$E595*INDEX(tblKurallar[deger_2025],MATCH("SGK-004",tblKurallar[kural_id],0))+$F595*sgk_isverenOran,2),0))</f>
        <v/>
      </c>
      <c r="I595" s="37">
        <f>IF($A595="","",IFERROR(MAX(0,$H595-$G595),0))</f>
        <v/>
      </c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7">
        <f>IF($A596="","",IFERROR(ROUND($C596*INDEX(tblKurallar[deger_2025],MATCH("SGK-001",tblKurallar[kural_id],0))+$D596*INDEX(tblKurallar[deger_2025],MATCH("SGK-002",tblKurallar[kural_id],0))+$E596*INDEX(tblKurallar[deger_2025],MATCH("SGK-004",tblKurallar[kural_id],0))+$F596*sgk_isverenOran,2),0))</f>
        <v/>
      </c>
      <c r="I596" s="37">
        <f>IF($A596="","",IFERROR(MAX(0,$H596-$G596),0))</f>
        <v/>
      </c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7">
        <f>IF($A597="","",IFERROR(ROUND($C597*INDEX(tblKurallar[deger_2025],MATCH("SGK-001",tblKurallar[kural_id],0))+$D597*INDEX(tblKurallar[deger_2025],MATCH("SGK-002",tblKurallar[kural_id],0))+$E597*INDEX(tblKurallar[deger_2025],MATCH("SGK-004",tblKurallar[kural_id],0))+$F597*sgk_isverenOran,2),0))</f>
        <v/>
      </c>
      <c r="I597" s="37">
        <f>IF($A597="","",IFERROR(MAX(0,$H597-$G597),0))</f>
        <v/>
      </c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7">
        <f>IF($A598="","",IFERROR(ROUND($C598*INDEX(tblKurallar[deger_2025],MATCH("SGK-001",tblKurallar[kural_id],0))+$D598*INDEX(tblKurallar[deger_2025],MATCH("SGK-002",tblKurallar[kural_id],0))+$E598*INDEX(tblKurallar[deger_2025],MATCH("SGK-004",tblKurallar[kural_id],0))+$F598*sgk_isverenOran,2),0))</f>
        <v/>
      </c>
      <c r="I598" s="37">
        <f>IF($A598="","",IFERROR(MAX(0,$H598-$G598),0))</f>
        <v/>
      </c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7">
        <f>IF($A599="","",IFERROR(ROUND($C599*INDEX(tblKurallar[deger_2025],MATCH("SGK-001",tblKurallar[kural_id],0))+$D599*INDEX(tblKurallar[deger_2025],MATCH("SGK-002",tblKurallar[kural_id],0))+$E599*INDEX(tblKurallar[deger_2025],MATCH("SGK-004",tblKurallar[kural_id],0))+$F599*sgk_isverenOran,2),0))</f>
        <v/>
      </c>
      <c r="I599" s="37">
        <f>IF($A599="","",IFERROR(MAX(0,$H599-$G599),0))</f>
        <v/>
      </c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7">
        <f>IF($A600="","",IFERROR(ROUND($C600*INDEX(tblKurallar[deger_2025],MATCH("SGK-001",tblKurallar[kural_id],0))+$D600*INDEX(tblKurallar[deger_2025],MATCH("SGK-002",tblKurallar[kural_id],0))+$E600*INDEX(tblKurallar[deger_2025],MATCH("SGK-004",tblKurallar[kural_id],0))+$F600*sgk_isverenOran,2),0))</f>
        <v/>
      </c>
      <c r="I600" s="37">
        <f>IF($A600="","",IFERROR(MAX(0,$H600-$G600),0))</f>
        <v/>
      </c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7">
        <f>IF($A601="","",IFERROR(ROUND($C601*INDEX(tblKurallar[deger_2025],MATCH("SGK-001",tblKurallar[kural_id],0))+$D601*INDEX(tblKurallar[deger_2025],MATCH("SGK-002",tblKurallar[kural_id],0))+$E601*INDEX(tblKurallar[deger_2025],MATCH("SGK-004",tblKurallar[kural_id],0))+$F601*sgk_isverenOran,2),0))</f>
        <v/>
      </c>
      <c r="I601" s="37">
        <f>IF($A601="","",IFERROR(MAX(0,$H601-$G601),0))</f>
        <v/>
      </c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7">
        <f>IF($A602="","",IFERROR(ROUND($C602*INDEX(tblKurallar[deger_2025],MATCH("SGK-001",tblKurallar[kural_id],0))+$D602*INDEX(tblKurallar[deger_2025],MATCH("SGK-002",tblKurallar[kural_id],0))+$E602*INDEX(tblKurallar[deger_2025],MATCH("SGK-004",tblKurallar[kural_id],0))+$F602*sgk_isverenOran,2),0))</f>
        <v/>
      </c>
      <c r="I602" s="37">
        <f>IF($A602="","",IFERROR(MAX(0,$H602-$G602),0))</f>
        <v/>
      </c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7">
        <f>IF($A603="","",IFERROR(ROUND($C603*INDEX(tblKurallar[deger_2025],MATCH("SGK-001",tblKurallar[kural_id],0))+$D603*INDEX(tblKurallar[deger_2025],MATCH("SGK-002",tblKurallar[kural_id],0))+$E603*INDEX(tblKurallar[deger_2025],MATCH("SGK-004",tblKurallar[kural_id],0))+$F603*sgk_isverenOran,2),0))</f>
        <v/>
      </c>
      <c r="I603" s="37">
        <f>IF($A603="","",IFERROR(MAX(0,$H603-$G603),0))</f>
        <v/>
      </c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7">
        <f>IF($A604="","",IFERROR(ROUND($C604*INDEX(tblKurallar[deger_2025],MATCH("SGK-001",tblKurallar[kural_id],0))+$D604*INDEX(tblKurallar[deger_2025],MATCH("SGK-002",tblKurallar[kural_id],0))+$E604*INDEX(tblKurallar[deger_2025],MATCH("SGK-004",tblKurallar[kural_id],0))+$F604*sgk_isverenOran,2),0))</f>
        <v/>
      </c>
      <c r="I604" s="37">
        <f>IF($A604="","",IFERROR(MAX(0,$H604-$G604),0))</f>
        <v/>
      </c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7">
        <f>IF($A605="","",IFERROR(ROUND($C605*INDEX(tblKurallar[deger_2025],MATCH("SGK-001",tblKurallar[kural_id],0))+$D605*INDEX(tblKurallar[deger_2025],MATCH("SGK-002",tblKurallar[kural_id],0))+$E605*INDEX(tblKurallar[deger_2025],MATCH("SGK-004",tblKurallar[kural_id],0))+$F605*sgk_isverenOran,2),0))</f>
        <v/>
      </c>
      <c r="I605" s="37">
        <f>IF($A605="","",IFERROR(MAX(0,$H605-$G605),0))</f>
        <v/>
      </c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7">
        <f>IF($A606="","",IFERROR(ROUND($C606*INDEX(tblKurallar[deger_2025],MATCH("SGK-001",tblKurallar[kural_id],0))+$D606*INDEX(tblKurallar[deger_2025],MATCH("SGK-002",tblKurallar[kural_id],0))+$E606*INDEX(tblKurallar[deger_2025],MATCH("SGK-004",tblKurallar[kural_id],0))+$F606*sgk_isverenOran,2),0))</f>
        <v/>
      </c>
      <c r="I606" s="37">
        <f>IF($A606="","",IFERROR(MAX(0,$H606-$G606),0))</f>
        <v/>
      </c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7">
        <f>IF($A607="","",IFERROR(ROUND($C607*INDEX(tblKurallar[deger_2025],MATCH("SGK-001",tblKurallar[kural_id],0))+$D607*INDEX(tblKurallar[deger_2025],MATCH("SGK-002",tblKurallar[kural_id],0))+$E607*INDEX(tblKurallar[deger_2025],MATCH("SGK-004",tblKurallar[kural_id],0))+$F607*sgk_isverenOran,2),0))</f>
        <v/>
      </c>
      <c r="I607" s="37">
        <f>IF($A607="","",IFERROR(MAX(0,$H607-$G607),0))</f>
        <v/>
      </c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7">
        <f>IF($A608="","",IFERROR(ROUND($C608*INDEX(tblKurallar[deger_2025],MATCH("SGK-001",tblKurallar[kural_id],0))+$D608*INDEX(tblKurallar[deger_2025],MATCH("SGK-002",tblKurallar[kural_id],0))+$E608*INDEX(tblKurallar[deger_2025],MATCH("SGK-004",tblKurallar[kural_id],0))+$F608*sgk_isverenOran,2),0))</f>
        <v/>
      </c>
      <c r="I608" s="37">
        <f>IF($A608="","",IFERROR(MAX(0,$H608-$G608),0))</f>
        <v/>
      </c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7">
        <f>IF($A609="","",IFERROR(ROUND($C609*INDEX(tblKurallar[deger_2025],MATCH("SGK-001",tblKurallar[kural_id],0))+$D609*INDEX(tblKurallar[deger_2025],MATCH("SGK-002",tblKurallar[kural_id],0))+$E609*INDEX(tblKurallar[deger_2025],MATCH("SGK-004",tblKurallar[kural_id],0))+$F609*sgk_isverenOran,2),0))</f>
        <v/>
      </c>
      <c r="I609" s="37">
        <f>IF($A609="","",IFERROR(MAX(0,$H609-$G609),0))</f>
        <v/>
      </c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7">
        <f>IF($A610="","",IFERROR(ROUND($C610*INDEX(tblKurallar[deger_2025],MATCH("SGK-001",tblKurallar[kural_id],0))+$D610*INDEX(tblKurallar[deger_2025],MATCH("SGK-002",tblKurallar[kural_id],0))+$E610*INDEX(tblKurallar[deger_2025],MATCH("SGK-004",tblKurallar[kural_id],0))+$F610*sgk_isverenOran,2),0))</f>
        <v/>
      </c>
      <c r="I610" s="37">
        <f>IF($A610="","",IFERROR(MAX(0,$H610-$G610),0))</f>
        <v/>
      </c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7">
        <f>IF($A611="","",IFERROR(ROUND($C611*INDEX(tblKurallar[deger_2025],MATCH("SGK-001",tblKurallar[kural_id],0))+$D611*INDEX(tblKurallar[deger_2025],MATCH("SGK-002",tblKurallar[kural_id],0))+$E611*INDEX(tblKurallar[deger_2025],MATCH("SGK-004",tblKurallar[kural_id],0))+$F611*sgk_isverenOran,2),0))</f>
        <v/>
      </c>
      <c r="I611" s="37">
        <f>IF($A611="","",IFERROR(MAX(0,$H611-$G611),0))</f>
        <v/>
      </c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7">
        <f>IF($A612="","",IFERROR(ROUND($C612*INDEX(tblKurallar[deger_2025],MATCH("SGK-001",tblKurallar[kural_id],0))+$D612*INDEX(tblKurallar[deger_2025],MATCH("SGK-002",tblKurallar[kural_id],0))+$E612*INDEX(tblKurallar[deger_2025],MATCH("SGK-004",tblKurallar[kural_id],0))+$F612*sgk_isverenOran,2),0))</f>
        <v/>
      </c>
      <c r="I612" s="37">
        <f>IF($A612="","",IFERROR(MAX(0,$H612-$G612),0))</f>
        <v/>
      </c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7">
        <f>IF($A613="","",IFERROR(ROUND($C613*INDEX(tblKurallar[deger_2025],MATCH("SGK-001",tblKurallar[kural_id],0))+$D613*INDEX(tblKurallar[deger_2025],MATCH("SGK-002",tblKurallar[kural_id],0))+$E613*INDEX(tblKurallar[deger_2025],MATCH("SGK-004",tblKurallar[kural_id],0))+$F613*sgk_isverenOran,2),0))</f>
        <v/>
      </c>
      <c r="I613" s="37">
        <f>IF($A613="","",IFERROR(MAX(0,$H613-$G613),0))</f>
        <v/>
      </c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7">
        <f>IF($A614="","",IFERROR(ROUND($C614*INDEX(tblKurallar[deger_2025],MATCH("SGK-001",tblKurallar[kural_id],0))+$D614*INDEX(tblKurallar[deger_2025],MATCH("SGK-002",tblKurallar[kural_id],0))+$E614*INDEX(tblKurallar[deger_2025],MATCH("SGK-004",tblKurallar[kural_id],0))+$F614*sgk_isverenOran,2),0))</f>
        <v/>
      </c>
      <c r="I614" s="37">
        <f>IF($A614="","",IFERROR(MAX(0,$H614-$G614),0))</f>
        <v/>
      </c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7">
        <f>IF($A615="","",IFERROR(ROUND($C615*INDEX(tblKurallar[deger_2025],MATCH("SGK-001",tblKurallar[kural_id],0))+$D615*INDEX(tblKurallar[deger_2025],MATCH("SGK-002",tblKurallar[kural_id],0))+$E615*INDEX(tblKurallar[deger_2025],MATCH("SGK-004",tblKurallar[kural_id],0))+$F615*sgk_isverenOran,2),0))</f>
        <v/>
      </c>
      <c r="I615" s="37">
        <f>IF($A615="","",IFERROR(MAX(0,$H615-$G615),0))</f>
        <v/>
      </c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7">
        <f>IF($A616="","",IFERROR(ROUND($C616*INDEX(tblKurallar[deger_2025],MATCH("SGK-001",tblKurallar[kural_id],0))+$D616*INDEX(tblKurallar[deger_2025],MATCH("SGK-002",tblKurallar[kural_id],0))+$E616*INDEX(tblKurallar[deger_2025],MATCH("SGK-004",tblKurallar[kural_id],0))+$F616*sgk_isverenOran,2),0))</f>
        <v/>
      </c>
      <c r="I616" s="37">
        <f>IF($A616="","",IFERROR(MAX(0,$H616-$G616),0))</f>
        <v/>
      </c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7">
        <f>IF($A617="","",IFERROR(ROUND($C617*INDEX(tblKurallar[deger_2025],MATCH("SGK-001",tblKurallar[kural_id],0))+$D617*INDEX(tblKurallar[deger_2025],MATCH("SGK-002",tblKurallar[kural_id],0))+$E617*INDEX(tblKurallar[deger_2025],MATCH("SGK-004",tblKurallar[kural_id],0))+$F617*sgk_isverenOran,2),0))</f>
        <v/>
      </c>
      <c r="I617" s="37">
        <f>IF($A617="","",IFERROR(MAX(0,$H617-$G617),0))</f>
        <v/>
      </c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7">
        <f>IF($A618="","",IFERROR(ROUND($C618*INDEX(tblKurallar[deger_2025],MATCH("SGK-001",tblKurallar[kural_id],0))+$D618*INDEX(tblKurallar[deger_2025],MATCH("SGK-002",tblKurallar[kural_id],0))+$E618*INDEX(tblKurallar[deger_2025],MATCH("SGK-004",tblKurallar[kural_id],0))+$F618*sgk_isverenOran,2),0))</f>
        <v/>
      </c>
      <c r="I618" s="37">
        <f>IF($A618="","",IFERROR(MAX(0,$H618-$G618),0))</f>
        <v/>
      </c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7">
        <f>IF($A619="","",IFERROR(ROUND($C619*INDEX(tblKurallar[deger_2025],MATCH("SGK-001",tblKurallar[kural_id],0))+$D619*INDEX(tblKurallar[deger_2025],MATCH("SGK-002",tblKurallar[kural_id],0))+$E619*INDEX(tblKurallar[deger_2025],MATCH("SGK-004",tblKurallar[kural_id],0))+$F619*sgk_isverenOran,2),0))</f>
        <v/>
      </c>
      <c r="I619" s="37">
        <f>IF($A619="","",IFERROR(MAX(0,$H619-$G619),0))</f>
        <v/>
      </c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7">
        <f>IF($A620="","",IFERROR(ROUND($C620*INDEX(tblKurallar[deger_2025],MATCH("SGK-001",tblKurallar[kural_id],0))+$D620*INDEX(tblKurallar[deger_2025],MATCH("SGK-002",tblKurallar[kural_id],0))+$E620*INDEX(tblKurallar[deger_2025],MATCH("SGK-004",tblKurallar[kural_id],0))+$F620*sgk_isverenOran,2),0))</f>
        <v/>
      </c>
      <c r="I620" s="37">
        <f>IF($A620="","",IFERROR(MAX(0,$H620-$G620),0))</f>
        <v/>
      </c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7">
        <f>IF($A621="","",IFERROR(ROUND($C621*INDEX(tblKurallar[deger_2025],MATCH("SGK-001",tblKurallar[kural_id],0))+$D621*INDEX(tblKurallar[deger_2025],MATCH("SGK-002",tblKurallar[kural_id],0))+$E621*INDEX(tblKurallar[deger_2025],MATCH("SGK-004",tblKurallar[kural_id],0))+$F621*sgk_isverenOran,2),0))</f>
        <v/>
      </c>
      <c r="I621" s="37">
        <f>IF($A621="","",IFERROR(MAX(0,$H621-$G621),0))</f>
        <v/>
      </c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7">
        <f>IF($A622="","",IFERROR(ROUND($C622*INDEX(tblKurallar[deger_2025],MATCH("SGK-001",tblKurallar[kural_id],0))+$D622*INDEX(tblKurallar[deger_2025],MATCH("SGK-002",tblKurallar[kural_id],0))+$E622*INDEX(tblKurallar[deger_2025],MATCH("SGK-004",tblKurallar[kural_id],0))+$F622*sgk_isverenOran,2),0))</f>
        <v/>
      </c>
      <c r="I622" s="37">
        <f>IF($A622="","",IFERROR(MAX(0,$H622-$G622),0))</f>
        <v/>
      </c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7">
        <f>IF($A623="","",IFERROR(ROUND($C623*INDEX(tblKurallar[deger_2025],MATCH("SGK-001",tblKurallar[kural_id],0))+$D623*INDEX(tblKurallar[deger_2025],MATCH("SGK-002",tblKurallar[kural_id],0))+$E623*INDEX(tblKurallar[deger_2025],MATCH("SGK-004",tblKurallar[kural_id],0))+$F623*sgk_isverenOran,2),0))</f>
        <v/>
      </c>
      <c r="I623" s="37">
        <f>IF($A623="","",IFERROR(MAX(0,$H623-$G623),0))</f>
        <v/>
      </c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7">
        <f>IF($A624="","",IFERROR(ROUND($C624*INDEX(tblKurallar[deger_2025],MATCH("SGK-001",tblKurallar[kural_id],0))+$D624*INDEX(tblKurallar[deger_2025],MATCH("SGK-002",tblKurallar[kural_id],0))+$E624*INDEX(tblKurallar[deger_2025],MATCH("SGK-004",tblKurallar[kural_id],0))+$F624*sgk_isverenOran,2),0))</f>
        <v/>
      </c>
      <c r="I624" s="37">
        <f>IF($A624="","",IFERROR(MAX(0,$H624-$G624),0))</f>
        <v/>
      </c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7">
        <f>IF($A625="","",IFERROR(ROUND($C625*INDEX(tblKurallar[deger_2025],MATCH("SGK-001",tblKurallar[kural_id],0))+$D625*INDEX(tblKurallar[deger_2025],MATCH("SGK-002",tblKurallar[kural_id],0))+$E625*INDEX(tblKurallar[deger_2025],MATCH("SGK-004",tblKurallar[kural_id],0))+$F625*sgk_isverenOran,2),0))</f>
        <v/>
      </c>
      <c r="I625" s="37">
        <f>IF($A625="","",IFERROR(MAX(0,$H625-$G625),0))</f>
        <v/>
      </c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7">
        <f>IF($A626="","",IFERROR(ROUND($C626*INDEX(tblKurallar[deger_2025],MATCH("SGK-001",tblKurallar[kural_id],0))+$D626*INDEX(tblKurallar[deger_2025],MATCH("SGK-002",tblKurallar[kural_id],0))+$E626*INDEX(tblKurallar[deger_2025],MATCH("SGK-004",tblKurallar[kural_id],0))+$F626*sgk_isverenOran,2),0))</f>
        <v/>
      </c>
      <c r="I626" s="37">
        <f>IF($A626="","",IFERROR(MAX(0,$H626-$G626),0))</f>
        <v/>
      </c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7">
        <f>IF($A627="","",IFERROR(ROUND($C627*INDEX(tblKurallar[deger_2025],MATCH("SGK-001",tblKurallar[kural_id],0))+$D627*INDEX(tblKurallar[deger_2025],MATCH("SGK-002",tblKurallar[kural_id],0))+$E627*INDEX(tblKurallar[deger_2025],MATCH("SGK-004",tblKurallar[kural_id],0))+$F627*sgk_isverenOran,2),0))</f>
        <v/>
      </c>
      <c r="I627" s="37">
        <f>IF($A627="","",IFERROR(MAX(0,$H627-$G627),0))</f>
        <v/>
      </c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7">
        <f>IF($A628="","",IFERROR(ROUND($C628*INDEX(tblKurallar[deger_2025],MATCH("SGK-001",tblKurallar[kural_id],0))+$D628*INDEX(tblKurallar[deger_2025],MATCH("SGK-002",tblKurallar[kural_id],0))+$E628*INDEX(tblKurallar[deger_2025],MATCH("SGK-004",tblKurallar[kural_id],0))+$F628*sgk_isverenOran,2),0))</f>
        <v/>
      </c>
      <c r="I628" s="37">
        <f>IF($A628="","",IFERROR(MAX(0,$H628-$G628),0))</f>
        <v/>
      </c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7">
        <f>IF($A629="","",IFERROR(ROUND($C629*INDEX(tblKurallar[deger_2025],MATCH("SGK-001",tblKurallar[kural_id],0))+$D629*INDEX(tblKurallar[deger_2025],MATCH("SGK-002",tblKurallar[kural_id],0))+$E629*INDEX(tblKurallar[deger_2025],MATCH("SGK-004",tblKurallar[kural_id],0))+$F629*sgk_isverenOran,2),0))</f>
        <v/>
      </c>
      <c r="I629" s="37">
        <f>IF($A629="","",IFERROR(MAX(0,$H629-$G629),0))</f>
        <v/>
      </c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7">
        <f>IF($A630="","",IFERROR(ROUND($C630*INDEX(tblKurallar[deger_2025],MATCH("SGK-001",tblKurallar[kural_id],0))+$D630*INDEX(tblKurallar[deger_2025],MATCH("SGK-002",tblKurallar[kural_id],0))+$E630*INDEX(tblKurallar[deger_2025],MATCH("SGK-004",tblKurallar[kural_id],0))+$F630*sgk_isverenOran,2),0))</f>
        <v/>
      </c>
      <c r="I630" s="37">
        <f>IF($A630="","",IFERROR(MAX(0,$H630-$G630),0))</f>
        <v/>
      </c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7">
        <f>IF($A631="","",IFERROR(ROUND($C631*INDEX(tblKurallar[deger_2025],MATCH("SGK-001",tblKurallar[kural_id],0))+$D631*INDEX(tblKurallar[deger_2025],MATCH("SGK-002",tblKurallar[kural_id],0))+$E631*INDEX(tblKurallar[deger_2025],MATCH("SGK-004",tblKurallar[kural_id],0))+$F631*sgk_isverenOran,2),0))</f>
        <v/>
      </c>
      <c r="I631" s="37">
        <f>IF($A631="","",IFERROR(MAX(0,$H631-$G631),0))</f>
        <v/>
      </c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7">
        <f>IF($A632="","",IFERROR(ROUND($C632*INDEX(tblKurallar[deger_2025],MATCH("SGK-001",tblKurallar[kural_id],0))+$D632*INDEX(tblKurallar[deger_2025],MATCH("SGK-002",tblKurallar[kural_id],0))+$E632*INDEX(tblKurallar[deger_2025],MATCH("SGK-004",tblKurallar[kural_id],0))+$F632*sgk_isverenOran,2),0))</f>
        <v/>
      </c>
      <c r="I632" s="37">
        <f>IF($A632="","",IFERROR(MAX(0,$H632-$G632),0))</f>
        <v/>
      </c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7">
        <f>IF($A633="","",IFERROR(ROUND($C633*INDEX(tblKurallar[deger_2025],MATCH("SGK-001",tblKurallar[kural_id],0))+$D633*INDEX(tblKurallar[deger_2025],MATCH("SGK-002",tblKurallar[kural_id],0))+$E633*INDEX(tblKurallar[deger_2025],MATCH("SGK-004",tblKurallar[kural_id],0))+$F633*sgk_isverenOran,2),0))</f>
        <v/>
      </c>
      <c r="I633" s="37">
        <f>IF($A633="","",IFERROR(MAX(0,$H633-$G633),0))</f>
        <v/>
      </c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7">
        <f>IF($A634="","",IFERROR(ROUND($C634*INDEX(tblKurallar[deger_2025],MATCH("SGK-001",tblKurallar[kural_id],0))+$D634*INDEX(tblKurallar[deger_2025],MATCH("SGK-002",tblKurallar[kural_id],0))+$E634*INDEX(tblKurallar[deger_2025],MATCH("SGK-004",tblKurallar[kural_id],0))+$F634*sgk_isverenOran,2),0))</f>
        <v/>
      </c>
      <c r="I634" s="37">
        <f>IF($A634="","",IFERROR(MAX(0,$H634-$G634),0))</f>
        <v/>
      </c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7">
        <f>IF($A635="","",IFERROR(ROUND($C635*INDEX(tblKurallar[deger_2025],MATCH("SGK-001",tblKurallar[kural_id],0))+$D635*INDEX(tblKurallar[deger_2025],MATCH("SGK-002",tblKurallar[kural_id],0))+$E635*INDEX(tblKurallar[deger_2025],MATCH("SGK-004",tblKurallar[kural_id],0))+$F635*sgk_isverenOran,2),0))</f>
        <v/>
      </c>
      <c r="I635" s="37">
        <f>IF($A635="","",IFERROR(MAX(0,$H635-$G635),0))</f>
        <v/>
      </c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7">
        <f>IF($A636="","",IFERROR(ROUND($C636*INDEX(tblKurallar[deger_2025],MATCH("SGK-001",tblKurallar[kural_id],0))+$D636*INDEX(tblKurallar[deger_2025],MATCH("SGK-002",tblKurallar[kural_id],0))+$E636*INDEX(tblKurallar[deger_2025],MATCH("SGK-004",tblKurallar[kural_id],0))+$F636*sgk_isverenOran,2),0))</f>
        <v/>
      </c>
      <c r="I636" s="37">
        <f>IF($A636="","",IFERROR(MAX(0,$H636-$G636),0))</f>
        <v/>
      </c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7">
        <f>IF($A637="","",IFERROR(ROUND($C637*INDEX(tblKurallar[deger_2025],MATCH("SGK-001",tblKurallar[kural_id],0))+$D637*INDEX(tblKurallar[deger_2025],MATCH("SGK-002",tblKurallar[kural_id],0))+$E637*INDEX(tblKurallar[deger_2025],MATCH("SGK-004",tblKurallar[kural_id],0))+$F637*sgk_isverenOran,2),0))</f>
        <v/>
      </c>
      <c r="I637" s="37">
        <f>IF($A637="","",IFERROR(MAX(0,$H637-$G637),0))</f>
        <v/>
      </c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7">
        <f>IF($A638="","",IFERROR(ROUND($C638*INDEX(tblKurallar[deger_2025],MATCH("SGK-001",tblKurallar[kural_id],0))+$D638*INDEX(tblKurallar[deger_2025],MATCH("SGK-002",tblKurallar[kural_id],0))+$E638*INDEX(tblKurallar[deger_2025],MATCH("SGK-004",tblKurallar[kural_id],0))+$F638*sgk_isverenOran,2),0))</f>
        <v/>
      </c>
      <c r="I638" s="37">
        <f>IF($A638="","",IFERROR(MAX(0,$H638-$G638),0))</f>
        <v/>
      </c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7">
        <f>IF($A639="","",IFERROR(ROUND($C639*INDEX(tblKurallar[deger_2025],MATCH("SGK-001",tblKurallar[kural_id],0))+$D639*INDEX(tblKurallar[deger_2025],MATCH("SGK-002",tblKurallar[kural_id],0))+$E639*INDEX(tblKurallar[deger_2025],MATCH("SGK-004",tblKurallar[kural_id],0))+$F639*sgk_isverenOran,2),0))</f>
        <v/>
      </c>
      <c r="I639" s="37">
        <f>IF($A639="","",IFERROR(MAX(0,$H639-$G639),0))</f>
        <v/>
      </c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7">
        <f>IF($A640="","",IFERROR(ROUND($C640*INDEX(tblKurallar[deger_2025],MATCH("SGK-001",tblKurallar[kural_id],0))+$D640*INDEX(tblKurallar[deger_2025],MATCH("SGK-002",tblKurallar[kural_id],0))+$E640*INDEX(tblKurallar[deger_2025],MATCH("SGK-004",tblKurallar[kural_id],0))+$F640*sgk_isverenOran,2),0))</f>
        <v/>
      </c>
      <c r="I640" s="37">
        <f>IF($A640="","",IFERROR(MAX(0,$H640-$G640),0))</f>
        <v/>
      </c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7">
        <f>IF($A641="","",IFERROR(ROUND($C641*INDEX(tblKurallar[deger_2025],MATCH("SGK-001",tblKurallar[kural_id],0))+$D641*INDEX(tblKurallar[deger_2025],MATCH("SGK-002",tblKurallar[kural_id],0))+$E641*INDEX(tblKurallar[deger_2025],MATCH("SGK-004",tblKurallar[kural_id],0))+$F641*sgk_isverenOran,2),0))</f>
        <v/>
      </c>
      <c r="I641" s="37">
        <f>IF($A641="","",IFERROR(MAX(0,$H641-$G641),0))</f>
        <v/>
      </c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7">
        <f>IF($A642="","",IFERROR(ROUND($C642*INDEX(tblKurallar[deger_2025],MATCH("SGK-001",tblKurallar[kural_id],0))+$D642*INDEX(tblKurallar[deger_2025],MATCH("SGK-002",tblKurallar[kural_id],0))+$E642*INDEX(tblKurallar[deger_2025],MATCH("SGK-004",tblKurallar[kural_id],0))+$F642*sgk_isverenOran,2),0))</f>
        <v/>
      </c>
      <c r="I642" s="37">
        <f>IF($A642="","",IFERROR(MAX(0,$H642-$G642),0))</f>
        <v/>
      </c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7">
        <f>IF($A643="","",IFERROR(ROUND($C643*INDEX(tblKurallar[deger_2025],MATCH("SGK-001",tblKurallar[kural_id],0))+$D643*INDEX(tblKurallar[deger_2025],MATCH("SGK-002",tblKurallar[kural_id],0))+$E643*INDEX(tblKurallar[deger_2025],MATCH("SGK-004",tblKurallar[kural_id],0))+$F643*sgk_isverenOran,2),0))</f>
        <v/>
      </c>
      <c r="I643" s="37">
        <f>IF($A643="","",IFERROR(MAX(0,$H643-$G643),0))</f>
        <v/>
      </c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7">
        <f>IF($A644="","",IFERROR(ROUND($C644*INDEX(tblKurallar[deger_2025],MATCH("SGK-001",tblKurallar[kural_id],0))+$D644*INDEX(tblKurallar[deger_2025],MATCH("SGK-002",tblKurallar[kural_id],0))+$E644*INDEX(tblKurallar[deger_2025],MATCH("SGK-004",tblKurallar[kural_id],0))+$F644*sgk_isverenOran,2),0))</f>
        <v/>
      </c>
      <c r="I644" s="37">
        <f>IF($A644="","",IFERROR(MAX(0,$H644-$G644),0))</f>
        <v/>
      </c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7">
        <f>IF($A645="","",IFERROR(ROUND($C645*INDEX(tblKurallar[deger_2025],MATCH("SGK-001",tblKurallar[kural_id],0))+$D645*INDEX(tblKurallar[deger_2025],MATCH("SGK-002",tblKurallar[kural_id],0))+$E645*INDEX(tblKurallar[deger_2025],MATCH("SGK-004",tblKurallar[kural_id],0))+$F645*sgk_isverenOran,2),0))</f>
        <v/>
      </c>
      <c r="I645" s="37">
        <f>IF($A645="","",IFERROR(MAX(0,$H645-$G645),0))</f>
        <v/>
      </c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7">
        <f>IF($A646="","",IFERROR(ROUND($C646*INDEX(tblKurallar[deger_2025],MATCH("SGK-001",tblKurallar[kural_id],0))+$D646*INDEX(tblKurallar[deger_2025],MATCH("SGK-002",tblKurallar[kural_id],0))+$E646*INDEX(tblKurallar[deger_2025],MATCH("SGK-004",tblKurallar[kural_id],0))+$F646*sgk_isverenOran,2),0))</f>
        <v/>
      </c>
      <c r="I646" s="37">
        <f>IF($A646="","",IFERROR(MAX(0,$H646-$G646),0))</f>
        <v/>
      </c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7">
        <f>IF($A647="","",IFERROR(ROUND($C647*INDEX(tblKurallar[deger_2025],MATCH("SGK-001",tblKurallar[kural_id],0))+$D647*INDEX(tblKurallar[deger_2025],MATCH("SGK-002",tblKurallar[kural_id],0))+$E647*INDEX(tblKurallar[deger_2025],MATCH("SGK-004",tblKurallar[kural_id],0))+$F647*sgk_isverenOran,2),0))</f>
        <v/>
      </c>
      <c r="I647" s="37">
        <f>IF($A647="","",IFERROR(MAX(0,$H647-$G647),0))</f>
        <v/>
      </c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7">
        <f>IF($A648="","",IFERROR(ROUND($C648*INDEX(tblKurallar[deger_2025],MATCH("SGK-001",tblKurallar[kural_id],0))+$D648*INDEX(tblKurallar[deger_2025],MATCH("SGK-002",tblKurallar[kural_id],0))+$E648*INDEX(tblKurallar[deger_2025],MATCH("SGK-004",tblKurallar[kural_id],0))+$F648*sgk_isverenOran,2),0))</f>
        <v/>
      </c>
      <c r="I648" s="37">
        <f>IF($A648="","",IFERROR(MAX(0,$H648-$G648),0))</f>
        <v/>
      </c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7">
        <f>IF($A649="","",IFERROR(ROUND($C649*INDEX(tblKurallar[deger_2025],MATCH("SGK-001",tblKurallar[kural_id],0))+$D649*INDEX(tblKurallar[deger_2025],MATCH("SGK-002",tblKurallar[kural_id],0))+$E649*INDEX(tblKurallar[deger_2025],MATCH("SGK-004",tblKurallar[kural_id],0))+$F649*sgk_isverenOran,2),0))</f>
        <v/>
      </c>
      <c r="I649" s="37">
        <f>IF($A649="","",IFERROR(MAX(0,$H649-$G649),0))</f>
        <v/>
      </c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7">
        <f>IF($A650="","",IFERROR(ROUND($C650*INDEX(tblKurallar[deger_2025],MATCH("SGK-001",tblKurallar[kural_id],0))+$D650*INDEX(tblKurallar[deger_2025],MATCH("SGK-002",tblKurallar[kural_id],0))+$E650*INDEX(tblKurallar[deger_2025],MATCH("SGK-004",tblKurallar[kural_id],0))+$F650*sgk_isverenOran,2),0))</f>
        <v/>
      </c>
      <c r="I650" s="37">
        <f>IF($A650="","",IFERROR(MAX(0,$H650-$G650),0))</f>
        <v/>
      </c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7">
        <f>IF($A651="","",IFERROR(ROUND($C651*INDEX(tblKurallar[deger_2025],MATCH("SGK-001",tblKurallar[kural_id],0))+$D651*INDEX(tblKurallar[deger_2025],MATCH("SGK-002",tblKurallar[kural_id],0))+$E651*INDEX(tblKurallar[deger_2025],MATCH("SGK-004",tblKurallar[kural_id],0))+$F651*sgk_isverenOran,2),0))</f>
        <v/>
      </c>
      <c r="I651" s="37">
        <f>IF($A651="","",IFERROR(MAX(0,$H651-$G651),0))</f>
        <v/>
      </c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7">
        <f>IF($A652="","",IFERROR(ROUND($C652*INDEX(tblKurallar[deger_2025],MATCH("SGK-001",tblKurallar[kural_id],0))+$D652*INDEX(tblKurallar[deger_2025],MATCH("SGK-002",tblKurallar[kural_id],0))+$E652*INDEX(tblKurallar[deger_2025],MATCH("SGK-004",tblKurallar[kural_id],0))+$F652*sgk_isverenOran,2),0))</f>
        <v/>
      </c>
      <c r="I652" s="37">
        <f>IF($A652="","",IFERROR(MAX(0,$H652-$G652),0))</f>
        <v/>
      </c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7">
        <f>IF($A653="","",IFERROR(ROUND($C653*INDEX(tblKurallar[deger_2025],MATCH("SGK-001",tblKurallar[kural_id],0))+$D653*INDEX(tblKurallar[deger_2025],MATCH("SGK-002",tblKurallar[kural_id],0))+$E653*INDEX(tblKurallar[deger_2025],MATCH("SGK-004",tblKurallar[kural_id],0))+$F653*sgk_isverenOran,2),0))</f>
        <v/>
      </c>
      <c r="I653" s="37">
        <f>IF($A653="","",IFERROR(MAX(0,$H653-$G653),0))</f>
        <v/>
      </c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7">
        <f>IF($A654="","",IFERROR(ROUND($C654*INDEX(tblKurallar[deger_2025],MATCH("SGK-001",tblKurallar[kural_id],0))+$D654*INDEX(tblKurallar[deger_2025],MATCH("SGK-002",tblKurallar[kural_id],0))+$E654*INDEX(tblKurallar[deger_2025],MATCH("SGK-004",tblKurallar[kural_id],0))+$F654*sgk_isverenOran,2),0))</f>
        <v/>
      </c>
      <c r="I654" s="37">
        <f>IF($A654="","",IFERROR(MAX(0,$H654-$G654),0))</f>
        <v/>
      </c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7">
        <f>IF($A655="","",IFERROR(ROUND($C655*INDEX(tblKurallar[deger_2025],MATCH("SGK-001",tblKurallar[kural_id],0))+$D655*INDEX(tblKurallar[deger_2025],MATCH("SGK-002",tblKurallar[kural_id],0))+$E655*INDEX(tblKurallar[deger_2025],MATCH("SGK-004",tblKurallar[kural_id],0))+$F655*sgk_isverenOran,2),0))</f>
        <v/>
      </c>
      <c r="I655" s="37">
        <f>IF($A655="","",IFERROR(MAX(0,$H655-$G655),0))</f>
        <v/>
      </c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7">
        <f>IF($A656="","",IFERROR(ROUND($C656*INDEX(tblKurallar[deger_2025],MATCH("SGK-001",tblKurallar[kural_id],0))+$D656*INDEX(tblKurallar[deger_2025],MATCH("SGK-002",tblKurallar[kural_id],0))+$E656*INDEX(tblKurallar[deger_2025],MATCH("SGK-004",tblKurallar[kural_id],0))+$F656*sgk_isverenOran,2),0))</f>
        <v/>
      </c>
      <c r="I656" s="37">
        <f>IF($A656="","",IFERROR(MAX(0,$H656-$G656),0))</f>
        <v/>
      </c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7">
        <f>IF($A657="","",IFERROR(ROUND($C657*INDEX(tblKurallar[deger_2025],MATCH("SGK-001",tblKurallar[kural_id],0))+$D657*INDEX(tblKurallar[deger_2025],MATCH("SGK-002",tblKurallar[kural_id],0))+$E657*INDEX(tblKurallar[deger_2025],MATCH("SGK-004",tblKurallar[kural_id],0))+$F657*sgk_isverenOran,2),0))</f>
        <v/>
      </c>
      <c r="I657" s="37">
        <f>IF($A657="","",IFERROR(MAX(0,$H657-$G657),0))</f>
        <v/>
      </c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7">
        <f>IF($A658="","",IFERROR(ROUND($C658*INDEX(tblKurallar[deger_2025],MATCH("SGK-001",tblKurallar[kural_id],0))+$D658*INDEX(tblKurallar[deger_2025],MATCH("SGK-002",tblKurallar[kural_id],0))+$E658*INDEX(tblKurallar[deger_2025],MATCH("SGK-004",tblKurallar[kural_id],0))+$F658*sgk_isverenOran,2),0))</f>
        <v/>
      </c>
      <c r="I658" s="37">
        <f>IF($A658="","",IFERROR(MAX(0,$H658-$G658),0))</f>
        <v/>
      </c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7">
        <f>IF($A659="","",IFERROR(ROUND($C659*INDEX(tblKurallar[deger_2025],MATCH("SGK-001",tblKurallar[kural_id],0))+$D659*INDEX(tblKurallar[deger_2025],MATCH("SGK-002",tblKurallar[kural_id],0))+$E659*INDEX(tblKurallar[deger_2025],MATCH("SGK-004",tblKurallar[kural_id],0))+$F659*sgk_isverenOran,2),0))</f>
        <v/>
      </c>
      <c r="I659" s="37">
        <f>IF($A659="","",IFERROR(MAX(0,$H659-$G659),0))</f>
        <v/>
      </c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7">
        <f>IF($A660="","",IFERROR(ROUND($C660*INDEX(tblKurallar[deger_2025],MATCH("SGK-001",tblKurallar[kural_id],0))+$D660*INDEX(tblKurallar[deger_2025],MATCH("SGK-002",tblKurallar[kural_id],0))+$E660*INDEX(tblKurallar[deger_2025],MATCH("SGK-004",tblKurallar[kural_id],0))+$F660*sgk_isverenOran,2),0))</f>
        <v/>
      </c>
      <c r="I660" s="37">
        <f>IF($A660="","",IFERROR(MAX(0,$H660-$G660),0))</f>
        <v/>
      </c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7">
        <f>IF($A661="","",IFERROR(ROUND($C661*INDEX(tblKurallar[deger_2025],MATCH("SGK-001",tblKurallar[kural_id],0))+$D661*INDEX(tblKurallar[deger_2025],MATCH("SGK-002",tblKurallar[kural_id],0))+$E661*INDEX(tblKurallar[deger_2025],MATCH("SGK-004",tblKurallar[kural_id],0))+$F661*sgk_isverenOran,2),0))</f>
        <v/>
      </c>
      <c r="I661" s="37">
        <f>IF($A661="","",IFERROR(MAX(0,$H661-$G661),0))</f>
        <v/>
      </c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7">
        <f>IF($A662="","",IFERROR(ROUND($C662*INDEX(tblKurallar[deger_2025],MATCH("SGK-001",tblKurallar[kural_id],0))+$D662*INDEX(tblKurallar[deger_2025],MATCH("SGK-002",tblKurallar[kural_id],0))+$E662*INDEX(tblKurallar[deger_2025],MATCH("SGK-004",tblKurallar[kural_id],0))+$F662*sgk_isverenOran,2),0))</f>
        <v/>
      </c>
      <c r="I662" s="37">
        <f>IF($A662="","",IFERROR(MAX(0,$H662-$G662),0))</f>
        <v/>
      </c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7">
        <f>IF($A663="","",IFERROR(ROUND($C663*INDEX(tblKurallar[deger_2025],MATCH("SGK-001",tblKurallar[kural_id],0))+$D663*INDEX(tblKurallar[deger_2025],MATCH("SGK-002",tblKurallar[kural_id],0))+$E663*INDEX(tblKurallar[deger_2025],MATCH("SGK-004",tblKurallar[kural_id],0))+$F663*sgk_isverenOran,2),0))</f>
        <v/>
      </c>
      <c r="I663" s="37">
        <f>IF($A663="","",IFERROR(MAX(0,$H663-$G663),0))</f>
        <v/>
      </c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7">
        <f>IF($A664="","",IFERROR(ROUND($C664*INDEX(tblKurallar[deger_2025],MATCH("SGK-001",tblKurallar[kural_id],0))+$D664*INDEX(tblKurallar[deger_2025],MATCH("SGK-002",tblKurallar[kural_id],0))+$E664*INDEX(tblKurallar[deger_2025],MATCH("SGK-004",tblKurallar[kural_id],0))+$F664*sgk_isverenOran,2),0))</f>
        <v/>
      </c>
      <c r="I664" s="37">
        <f>IF($A664="","",IFERROR(MAX(0,$H664-$G664),0))</f>
        <v/>
      </c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7">
        <f>IF($A665="","",IFERROR(ROUND($C665*INDEX(tblKurallar[deger_2025],MATCH("SGK-001",tblKurallar[kural_id],0))+$D665*INDEX(tblKurallar[deger_2025],MATCH("SGK-002",tblKurallar[kural_id],0))+$E665*INDEX(tblKurallar[deger_2025],MATCH("SGK-004",tblKurallar[kural_id],0))+$F665*sgk_isverenOran,2),0))</f>
        <v/>
      </c>
      <c r="I665" s="37">
        <f>IF($A665="","",IFERROR(MAX(0,$H665-$G665),0))</f>
        <v/>
      </c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7">
        <f>IF($A666="","",IFERROR(ROUND($C666*INDEX(tblKurallar[deger_2025],MATCH("SGK-001",tblKurallar[kural_id],0))+$D666*INDEX(tblKurallar[deger_2025],MATCH("SGK-002",tblKurallar[kural_id],0))+$E666*INDEX(tblKurallar[deger_2025],MATCH("SGK-004",tblKurallar[kural_id],0))+$F666*sgk_isverenOran,2),0))</f>
        <v/>
      </c>
      <c r="I666" s="37">
        <f>IF($A666="","",IFERROR(MAX(0,$H666-$G666),0))</f>
        <v/>
      </c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7">
        <f>IF($A667="","",IFERROR(ROUND($C667*INDEX(tblKurallar[deger_2025],MATCH("SGK-001",tblKurallar[kural_id],0))+$D667*INDEX(tblKurallar[deger_2025],MATCH("SGK-002",tblKurallar[kural_id],0))+$E667*INDEX(tblKurallar[deger_2025],MATCH("SGK-004",tblKurallar[kural_id],0))+$F667*sgk_isverenOran,2),0))</f>
        <v/>
      </c>
      <c r="I667" s="37">
        <f>IF($A667="","",IFERROR(MAX(0,$H667-$G667),0))</f>
        <v/>
      </c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7">
        <f>IF($A668="","",IFERROR(ROUND($C668*INDEX(tblKurallar[deger_2025],MATCH("SGK-001",tblKurallar[kural_id],0))+$D668*INDEX(tblKurallar[deger_2025],MATCH("SGK-002",tblKurallar[kural_id],0))+$E668*INDEX(tblKurallar[deger_2025],MATCH("SGK-004",tblKurallar[kural_id],0))+$F668*sgk_isverenOran,2),0))</f>
        <v/>
      </c>
      <c r="I668" s="37">
        <f>IF($A668="","",IFERROR(MAX(0,$H668-$G668),0))</f>
        <v/>
      </c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7">
        <f>IF($A669="","",IFERROR(ROUND($C669*INDEX(tblKurallar[deger_2025],MATCH("SGK-001",tblKurallar[kural_id],0))+$D669*INDEX(tblKurallar[deger_2025],MATCH("SGK-002",tblKurallar[kural_id],0))+$E669*INDEX(tblKurallar[deger_2025],MATCH("SGK-004",tblKurallar[kural_id],0))+$F669*sgk_isverenOran,2),0))</f>
        <v/>
      </c>
      <c r="I669" s="37">
        <f>IF($A669="","",IFERROR(MAX(0,$H669-$G669),0))</f>
        <v/>
      </c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7">
        <f>IF($A670="","",IFERROR(ROUND($C670*INDEX(tblKurallar[deger_2025],MATCH("SGK-001",tblKurallar[kural_id],0))+$D670*INDEX(tblKurallar[deger_2025],MATCH("SGK-002",tblKurallar[kural_id],0))+$E670*INDEX(tblKurallar[deger_2025],MATCH("SGK-004",tblKurallar[kural_id],0))+$F670*sgk_isverenOran,2),0))</f>
        <v/>
      </c>
      <c r="I670" s="37">
        <f>IF($A670="","",IFERROR(MAX(0,$H670-$G670),0))</f>
        <v/>
      </c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7">
        <f>IF($A671="","",IFERROR(ROUND($C671*INDEX(tblKurallar[deger_2025],MATCH("SGK-001",tblKurallar[kural_id],0))+$D671*INDEX(tblKurallar[deger_2025],MATCH("SGK-002",tblKurallar[kural_id],0))+$E671*INDEX(tblKurallar[deger_2025],MATCH("SGK-004",tblKurallar[kural_id],0))+$F671*sgk_isverenOran,2),0))</f>
        <v/>
      </c>
      <c r="I671" s="37">
        <f>IF($A671="","",IFERROR(MAX(0,$H671-$G671),0))</f>
        <v/>
      </c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7">
        <f>IF($A672="","",IFERROR(ROUND($C672*INDEX(tblKurallar[deger_2025],MATCH("SGK-001",tblKurallar[kural_id],0))+$D672*INDEX(tblKurallar[deger_2025],MATCH("SGK-002",tblKurallar[kural_id],0))+$E672*INDEX(tblKurallar[deger_2025],MATCH("SGK-004",tblKurallar[kural_id],0))+$F672*sgk_isverenOran,2),0))</f>
        <v/>
      </c>
      <c r="I672" s="37">
        <f>IF($A672="","",IFERROR(MAX(0,$H672-$G672),0))</f>
        <v/>
      </c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7">
        <f>IF($A673="","",IFERROR(ROUND($C673*INDEX(tblKurallar[deger_2025],MATCH("SGK-001",tblKurallar[kural_id],0))+$D673*INDEX(tblKurallar[deger_2025],MATCH("SGK-002",tblKurallar[kural_id],0))+$E673*INDEX(tblKurallar[deger_2025],MATCH("SGK-004",tblKurallar[kural_id],0))+$F673*sgk_isverenOran,2),0))</f>
        <v/>
      </c>
      <c r="I673" s="37">
        <f>IF($A673="","",IFERROR(MAX(0,$H673-$G673),0))</f>
        <v/>
      </c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7">
        <f>IF($A674="","",IFERROR(ROUND($C674*INDEX(tblKurallar[deger_2025],MATCH("SGK-001",tblKurallar[kural_id],0))+$D674*INDEX(tblKurallar[deger_2025],MATCH("SGK-002",tblKurallar[kural_id],0))+$E674*INDEX(tblKurallar[deger_2025],MATCH("SGK-004",tblKurallar[kural_id],0))+$F674*sgk_isverenOran,2),0))</f>
        <v/>
      </c>
      <c r="I674" s="37">
        <f>IF($A674="","",IFERROR(MAX(0,$H674-$G674),0))</f>
        <v/>
      </c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7">
        <f>IF($A675="","",IFERROR(ROUND($C675*INDEX(tblKurallar[deger_2025],MATCH("SGK-001",tblKurallar[kural_id],0))+$D675*INDEX(tblKurallar[deger_2025],MATCH("SGK-002",tblKurallar[kural_id],0))+$E675*INDEX(tblKurallar[deger_2025],MATCH("SGK-004",tblKurallar[kural_id],0))+$F675*sgk_isverenOran,2),0))</f>
        <v/>
      </c>
      <c r="I675" s="37">
        <f>IF($A675="","",IFERROR(MAX(0,$H675-$G675),0))</f>
        <v/>
      </c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7">
        <f>IF($A676="","",IFERROR(ROUND($C676*INDEX(tblKurallar[deger_2025],MATCH("SGK-001",tblKurallar[kural_id],0))+$D676*INDEX(tblKurallar[deger_2025],MATCH("SGK-002",tblKurallar[kural_id],0))+$E676*INDEX(tblKurallar[deger_2025],MATCH("SGK-004",tblKurallar[kural_id],0))+$F676*sgk_isverenOran,2),0))</f>
        <v/>
      </c>
      <c r="I676" s="37">
        <f>IF($A676="","",IFERROR(MAX(0,$H676-$G676),0))</f>
        <v/>
      </c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7">
        <f>IF($A677="","",IFERROR(ROUND($C677*INDEX(tblKurallar[deger_2025],MATCH("SGK-001",tblKurallar[kural_id],0))+$D677*INDEX(tblKurallar[deger_2025],MATCH("SGK-002",tblKurallar[kural_id],0))+$E677*INDEX(tblKurallar[deger_2025],MATCH("SGK-004",tblKurallar[kural_id],0))+$F677*sgk_isverenOran,2),0))</f>
        <v/>
      </c>
      <c r="I677" s="37">
        <f>IF($A677="","",IFERROR(MAX(0,$H677-$G677),0))</f>
        <v/>
      </c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7">
        <f>IF($A678="","",IFERROR(ROUND($C678*INDEX(tblKurallar[deger_2025],MATCH("SGK-001",tblKurallar[kural_id],0))+$D678*INDEX(tblKurallar[deger_2025],MATCH("SGK-002",tblKurallar[kural_id],0))+$E678*INDEX(tblKurallar[deger_2025],MATCH("SGK-004",tblKurallar[kural_id],0))+$F678*sgk_isverenOran,2),0))</f>
        <v/>
      </c>
      <c r="I678" s="37">
        <f>IF($A678="","",IFERROR(MAX(0,$H678-$G678),0))</f>
        <v/>
      </c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7">
        <f>IF($A679="","",IFERROR(ROUND($C679*INDEX(tblKurallar[deger_2025],MATCH("SGK-001",tblKurallar[kural_id],0))+$D679*INDEX(tblKurallar[deger_2025],MATCH("SGK-002",tblKurallar[kural_id],0))+$E679*INDEX(tblKurallar[deger_2025],MATCH("SGK-004",tblKurallar[kural_id],0))+$F679*sgk_isverenOran,2),0))</f>
        <v/>
      </c>
      <c r="I679" s="37">
        <f>IF($A679="","",IFERROR(MAX(0,$H679-$G679),0))</f>
        <v/>
      </c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7">
        <f>IF($A680="","",IFERROR(ROUND($C680*INDEX(tblKurallar[deger_2025],MATCH("SGK-001",tblKurallar[kural_id],0))+$D680*INDEX(tblKurallar[deger_2025],MATCH("SGK-002",tblKurallar[kural_id],0))+$E680*INDEX(tblKurallar[deger_2025],MATCH("SGK-004",tblKurallar[kural_id],0))+$F680*sgk_isverenOran,2),0))</f>
        <v/>
      </c>
      <c r="I680" s="37">
        <f>IF($A680="","",IFERROR(MAX(0,$H680-$G680),0))</f>
        <v/>
      </c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7">
        <f>IF($A681="","",IFERROR(ROUND($C681*INDEX(tblKurallar[deger_2025],MATCH("SGK-001",tblKurallar[kural_id],0))+$D681*INDEX(tblKurallar[deger_2025],MATCH("SGK-002",tblKurallar[kural_id],0))+$E681*INDEX(tblKurallar[deger_2025],MATCH("SGK-004",tblKurallar[kural_id],0))+$F681*sgk_isverenOran,2),0))</f>
        <v/>
      </c>
      <c r="I681" s="37">
        <f>IF($A681="","",IFERROR(MAX(0,$H681-$G681),0))</f>
        <v/>
      </c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7">
        <f>IF($A682="","",IFERROR(ROUND($C682*INDEX(tblKurallar[deger_2025],MATCH("SGK-001",tblKurallar[kural_id],0))+$D682*INDEX(tblKurallar[deger_2025],MATCH("SGK-002",tblKurallar[kural_id],0))+$E682*INDEX(tblKurallar[deger_2025],MATCH("SGK-004",tblKurallar[kural_id],0))+$F682*sgk_isverenOran,2),0))</f>
        <v/>
      </c>
      <c r="I682" s="37">
        <f>IF($A682="","",IFERROR(MAX(0,$H682-$G682),0))</f>
        <v/>
      </c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7">
        <f>IF($A683="","",IFERROR(ROUND($C683*INDEX(tblKurallar[deger_2025],MATCH("SGK-001",tblKurallar[kural_id],0))+$D683*INDEX(tblKurallar[deger_2025],MATCH("SGK-002",tblKurallar[kural_id],0))+$E683*INDEX(tblKurallar[deger_2025],MATCH("SGK-004",tblKurallar[kural_id],0))+$F683*sgk_isverenOran,2),0))</f>
        <v/>
      </c>
      <c r="I683" s="37">
        <f>IF($A683="","",IFERROR(MAX(0,$H683-$G683),0))</f>
        <v/>
      </c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7">
        <f>IF($A684="","",IFERROR(ROUND($C684*INDEX(tblKurallar[deger_2025],MATCH("SGK-001",tblKurallar[kural_id],0))+$D684*INDEX(tblKurallar[deger_2025],MATCH("SGK-002",tblKurallar[kural_id],0))+$E684*INDEX(tblKurallar[deger_2025],MATCH("SGK-004",tblKurallar[kural_id],0))+$F684*sgk_isverenOran,2),0))</f>
        <v/>
      </c>
      <c r="I684" s="37">
        <f>IF($A684="","",IFERROR(MAX(0,$H684-$G684),0))</f>
        <v/>
      </c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7">
        <f>IF($A685="","",IFERROR(ROUND($C685*INDEX(tblKurallar[deger_2025],MATCH("SGK-001",tblKurallar[kural_id],0))+$D685*INDEX(tblKurallar[deger_2025],MATCH("SGK-002",tblKurallar[kural_id],0))+$E685*INDEX(tblKurallar[deger_2025],MATCH("SGK-004",tblKurallar[kural_id],0))+$F685*sgk_isverenOran,2),0))</f>
        <v/>
      </c>
      <c r="I685" s="37">
        <f>IF($A685="","",IFERROR(MAX(0,$H685-$G685),0))</f>
        <v/>
      </c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7">
        <f>IF($A686="","",IFERROR(ROUND($C686*INDEX(tblKurallar[deger_2025],MATCH("SGK-001",tblKurallar[kural_id],0))+$D686*INDEX(tblKurallar[deger_2025],MATCH("SGK-002",tblKurallar[kural_id],0))+$E686*INDEX(tblKurallar[deger_2025],MATCH("SGK-004",tblKurallar[kural_id],0))+$F686*sgk_isverenOran,2),0))</f>
        <v/>
      </c>
      <c r="I686" s="37">
        <f>IF($A686="","",IFERROR(MAX(0,$H686-$G686),0))</f>
        <v/>
      </c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7">
        <f>IF($A687="","",IFERROR(ROUND($C687*INDEX(tblKurallar[deger_2025],MATCH("SGK-001",tblKurallar[kural_id],0))+$D687*INDEX(tblKurallar[deger_2025],MATCH("SGK-002",tblKurallar[kural_id],0))+$E687*INDEX(tblKurallar[deger_2025],MATCH("SGK-004",tblKurallar[kural_id],0))+$F687*sgk_isverenOran,2),0))</f>
        <v/>
      </c>
      <c r="I687" s="37">
        <f>IF($A687="","",IFERROR(MAX(0,$H687-$G687),0))</f>
        <v/>
      </c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7">
        <f>IF($A688="","",IFERROR(ROUND($C688*INDEX(tblKurallar[deger_2025],MATCH("SGK-001",tblKurallar[kural_id],0))+$D688*INDEX(tblKurallar[deger_2025],MATCH("SGK-002",tblKurallar[kural_id],0))+$E688*INDEX(tblKurallar[deger_2025],MATCH("SGK-004",tblKurallar[kural_id],0))+$F688*sgk_isverenOran,2),0))</f>
        <v/>
      </c>
      <c r="I688" s="37">
        <f>IF($A688="","",IFERROR(MAX(0,$H688-$G688),0))</f>
        <v/>
      </c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7">
        <f>IF($A689="","",IFERROR(ROUND($C689*INDEX(tblKurallar[deger_2025],MATCH("SGK-001",tblKurallar[kural_id],0))+$D689*INDEX(tblKurallar[deger_2025],MATCH("SGK-002",tblKurallar[kural_id],0))+$E689*INDEX(tblKurallar[deger_2025],MATCH("SGK-004",tblKurallar[kural_id],0))+$F689*sgk_isverenOran,2),0))</f>
        <v/>
      </c>
      <c r="I689" s="37">
        <f>IF($A689="","",IFERROR(MAX(0,$H689-$G689),0))</f>
        <v/>
      </c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7">
        <f>IF($A690="","",IFERROR(ROUND($C690*INDEX(tblKurallar[deger_2025],MATCH("SGK-001",tblKurallar[kural_id],0))+$D690*INDEX(tblKurallar[deger_2025],MATCH("SGK-002",tblKurallar[kural_id],0))+$E690*INDEX(tblKurallar[deger_2025],MATCH("SGK-004",tblKurallar[kural_id],0))+$F690*sgk_isverenOran,2),0))</f>
        <v/>
      </c>
      <c r="I690" s="37">
        <f>IF($A690="","",IFERROR(MAX(0,$H690-$G690),0))</f>
        <v/>
      </c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7">
        <f>IF($A691="","",IFERROR(ROUND($C691*INDEX(tblKurallar[deger_2025],MATCH("SGK-001",tblKurallar[kural_id],0))+$D691*INDEX(tblKurallar[deger_2025],MATCH("SGK-002",tblKurallar[kural_id],0))+$E691*INDEX(tblKurallar[deger_2025],MATCH("SGK-004",tblKurallar[kural_id],0))+$F691*sgk_isverenOran,2),0))</f>
        <v/>
      </c>
      <c r="I691" s="37">
        <f>IF($A691="","",IFERROR(MAX(0,$H691-$G691),0))</f>
        <v/>
      </c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7">
        <f>IF($A692="","",IFERROR(ROUND($C692*INDEX(tblKurallar[deger_2025],MATCH("SGK-001",tblKurallar[kural_id],0))+$D692*INDEX(tblKurallar[deger_2025],MATCH("SGK-002",tblKurallar[kural_id],0))+$E692*INDEX(tblKurallar[deger_2025],MATCH("SGK-004",tblKurallar[kural_id],0))+$F692*sgk_isverenOran,2),0))</f>
        <v/>
      </c>
      <c r="I692" s="37">
        <f>IF($A692="","",IFERROR(MAX(0,$H692-$G692),0))</f>
        <v/>
      </c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7">
        <f>IF($A693="","",IFERROR(ROUND($C693*INDEX(tblKurallar[deger_2025],MATCH("SGK-001",tblKurallar[kural_id],0))+$D693*INDEX(tblKurallar[deger_2025],MATCH("SGK-002",tblKurallar[kural_id],0))+$E693*INDEX(tblKurallar[deger_2025],MATCH("SGK-004",tblKurallar[kural_id],0))+$F693*sgk_isverenOran,2),0))</f>
        <v/>
      </c>
      <c r="I693" s="37">
        <f>IF($A693="","",IFERROR(MAX(0,$H693-$G693),0))</f>
        <v/>
      </c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7">
        <f>IF($A694="","",IFERROR(ROUND($C694*INDEX(tblKurallar[deger_2025],MATCH("SGK-001",tblKurallar[kural_id],0))+$D694*INDEX(tblKurallar[deger_2025],MATCH("SGK-002",tblKurallar[kural_id],0))+$E694*INDEX(tblKurallar[deger_2025],MATCH("SGK-004",tblKurallar[kural_id],0))+$F694*sgk_isverenOran,2),0))</f>
        <v/>
      </c>
      <c r="I694" s="37">
        <f>IF($A694="","",IFERROR(MAX(0,$H694-$G694),0))</f>
        <v/>
      </c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7">
        <f>IF($A695="","",IFERROR(ROUND($C695*INDEX(tblKurallar[deger_2025],MATCH("SGK-001",tblKurallar[kural_id],0))+$D695*INDEX(tblKurallar[deger_2025],MATCH("SGK-002",tblKurallar[kural_id],0))+$E695*INDEX(tblKurallar[deger_2025],MATCH("SGK-004",tblKurallar[kural_id],0))+$F695*sgk_isverenOran,2),0))</f>
        <v/>
      </c>
      <c r="I695" s="37">
        <f>IF($A695="","",IFERROR(MAX(0,$H695-$G695),0))</f>
        <v/>
      </c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7">
        <f>IF($A696="","",IFERROR(ROUND($C696*INDEX(tblKurallar[deger_2025],MATCH("SGK-001",tblKurallar[kural_id],0))+$D696*INDEX(tblKurallar[deger_2025],MATCH("SGK-002",tblKurallar[kural_id],0))+$E696*INDEX(tblKurallar[deger_2025],MATCH("SGK-004",tblKurallar[kural_id],0))+$F696*sgk_isverenOran,2),0))</f>
        <v/>
      </c>
      <c r="I696" s="37">
        <f>IF($A696="","",IFERROR(MAX(0,$H696-$G696),0))</f>
        <v/>
      </c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7">
        <f>IF($A697="","",IFERROR(ROUND($C697*INDEX(tblKurallar[deger_2025],MATCH("SGK-001",tblKurallar[kural_id],0))+$D697*INDEX(tblKurallar[deger_2025],MATCH("SGK-002",tblKurallar[kural_id],0))+$E697*INDEX(tblKurallar[deger_2025],MATCH("SGK-004",tblKurallar[kural_id],0))+$F697*sgk_isverenOran,2),0))</f>
        <v/>
      </c>
      <c r="I697" s="37">
        <f>IF($A697="","",IFERROR(MAX(0,$H697-$G697),0))</f>
        <v/>
      </c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7">
        <f>IF($A698="","",IFERROR(ROUND($C698*INDEX(tblKurallar[deger_2025],MATCH("SGK-001",tblKurallar[kural_id],0))+$D698*INDEX(tblKurallar[deger_2025],MATCH("SGK-002",tblKurallar[kural_id],0))+$E698*INDEX(tblKurallar[deger_2025],MATCH("SGK-004",tblKurallar[kural_id],0))+$F698*sgk_isverenOran,2),0))</f>
        <v/>
      </c>
      <c r="I698" s="37">
        <f>IF($A698="","",IFERROR(MAX(0,$H698-$G698),0))</f>
        <v/>
      </c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7">
        <f>IF($A699="","",IFERROR(ROUND($C699*INDEX(tblKurallar[deger_2025],MATCH("SGK-001",tblKurallar[kural_id],0))+$D699*INDEX(tblKurallar[deger_2025],MATCH("SGK-002",tblKurallar[kural_id],0))+$E699*INDEX(tblKurallar[deger_2025],MATCH("SGK-004",tblKurallar[kural_id],0))+$F699*sgk_isverenOran,2),0))</f>
        <v/>
      </c>
      <c r="I699" s="37">
        <f>IF($A699="","",IFERROR(MAX(0,$H699-$G699),0))</f>
        <v/>
      </c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7">
        <f>IF($A700="","",IFERROR(ROUND($C700*INDEX(tblKurallar[deger_2025],MATCH("SGK-001",tblKurallar[kural_id],0))+$D700*INDEX(tblKurallar[deger_2025],MATCH("SGK-002",tblKurallar[kural_id],0))+$E700*INDEX(tblKurallar[deger_2025],MATCH("SGK-004",tblKurallar[kural_id],0))+$F700*sgk_isverenOran,2),0))</f>
        <v/>
      </c>
      <c r="I700" s="37">
        <f>IF($A700="","",IFERROR(MAX(0,$H700-$G700),0))</f>
        <v/>
      </c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7">
        <f>IF($A701="","",IFERROR(ROUND($C701*INDEX(tblKurallar[deger_2025],MATCH("SGK-001",tblKurallar[kural_id],0))+$D701*INDEX(tblKurallar[deger_2025],MATCH("SGK-002",tblKurallar[kural_id],0))+$E701*INDEX(tblKurallar[deger_2025],MATCH("SGK-004",tblKurallar[kural_id],0))+$F701*sgk_isverenOran,2),0))</f>
        <v/>
      </c>
      <c r="I701" s="37">
        <f>IF($A701="","",IFERROR(MAX(0,$H701-$G701),0))</f>
        <v/>
      </c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7">
        <f>IF($A702="","",IFERROR(ROUND($C702*INDEX(tblKurallar[deger_2025],MATCH("SGK-001",tblKurallar[kural_id],0))+$D702*INDEX(tblKurallar[deger_2025],MATCH("SGK-002",tblKurallar[kural_id],0))+$E702*INDEX(tblKurallar[deger_2025],MATCH("SGK-004",tblKurallar[kural_id],0))+$F702*sgk_isverenOran,2),0))</f>
        <v/>
      </c>
      <c r="I702" s="37">
        <f>IF($A702="","",IFERROR(MAX(0,$H702-$G702),0))</f>
        <v/>
      </c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7">
        <f>IF($A703="","",IFERROR(ROUND($C703*INDEX(tblKurallar[deger_2025],MATCH("SGK-001",tblKurallar[kural_id],0))+$D703*INDEX(tblKurallar[deger_2025],MATCH("SGK-002",tblKurallar[kural_id],0))+$E703*INDEX(tblKurallar[deger_2025],MATCH("SGK-004",tblKurallar[kural_id],0))+$F703*sgk_isverenOran,2),0))</f>
        <v/>
      </c>
      <c r="I703" s="37">
        <f>IF($A703="","",IFERROR(MAX(0,$H703-$G703),0))</f>
        <v/>
      </c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7">
        <f>IF($A704="","",IFERROR(ROUND($C704*INDEX(tblKurallar[deger_2025],MATCH("SGK-001",tblKurallar[kural_id],0))+$D704*INDEX(tblKurallar[deger_2025],MATCH("SGK-002",tblKurallar[kural_id],0))+$E704*INDEX(tblKurallar[deger_2025],MATCH("SGK-004",tblKurallar[kural_id],0))+$F704*sgk_isverenOran,2),0))</f>
        <v/>
      </c>
      <c r="I704" s="37">
        <f>IF($A704="","",IFERROR(MAX(0,$H704-$G704),0))</f>
        <v/>
      </c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7">
        <f>IF($A705="","",IFERROR(ROUND($C705*INDEX(tblKurallar[deger_2025],MATCH("SGK-001",tblKurallar[kural_id],0))+$D705*INDEX(tblKurallar[deger_2025],MATCH("SGK-002",tblKurallar[kural_id],0))+$E705*INDEX(tblKurallar[deger_2025],MATCH("SGK-004",tblKurallar[kural_id],0))+$F705*sgk_isverenOran,2),0))</f>
        <v/>
      </c>
      <c r="I705" s="37">
        <f>IF($A705="","",IFERROR(MAX(0,$H705-$G705),0))</f>
        <v/>
      </c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7">
        <f>IF($A706="","",IFERROR(ROUND($C706*INDEX(tblKurallar[deger_2025],MATCH("SGK-001",tblKurallar[kural_id],0))+$D706*INDEX(tblKurallar[deger_2025],MATCH("SGK-002",tblKurallar[kural_id],0))+$E706*INDEX(tblKurallar[deger_2025],MATCH("SGK-004",tblKurallar[kural_id],0))+$F706*sgk_isverenOran,2),0))</f>
        <v/>
      </c>
      <c r="I706" s="37">
        <f>IF($A706="","",IFERROR(MAX(0,$H706-$G706),0))</f>
        <v/>
      </c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7">
        <f>IF($A707="","",IFERROR(ROUND($C707*INDEX(tblKurallar[deger_2025],MATCH("SGK-001",tblKurallar[kural_id],0))+$D707*INDEX(tblKurallar[deger_2025],MATCH("SGK-002",tblKurallar[kural_id],0))+$E707*INDEX(tblKurallar[deger_2025],MATCH("SGK-004",tblKurallar[kural_id],0))+$F707*sgk_isverenOran,2),0))</f>
        <v/>
      </c>
      <c r="I707" s="37">
        <f>IF($A707="","",IFERROR(MAX(0,$H707-$G707),0))</f>
        <v/>
      </c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7">
        <f>IF($A708="","",IFERROR(ROUND($C708*INDEX(tblKurallar[deger_2025],MATCH("SGK-001",tblKurallar[kural_id],0))+$D708*INDEX(tblKurallar[deger_2025],MATCH("SGK-002",tblKurallar[kural_id],0))+$E708*INDEX(tblKurallar[deger_2025],MATCH("SGK-004",tblKurallar[kural_id],0))+$F708*sgk_isverenOran,2),0))</f>
        <v/>
      </c>
      <c r="I708" s="37">
        <f>IF($A708="","",IFERROR(MAX(0,$H708-$G708),0))</f>
        <v/>
      </c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7">
        <f>IF($A709="","",IFERROR(ROUND($C709*INDEX(tblKurallar[deger_2025],MATCH("SGK-001",tblKurallar[kural_id],0))+$D709*INDEX(tblKurallar[deger_2025],MATCH("SGK-002",tblKurallar[kural_id],0))+$E709*INDEX(tblKurallar[deger_2025],MATCH("SGK-004",tblKurallar[kural_id],0))+$F709*sgk_isverenOran,2),0))</f>
        <v/>
      </c>
      <c r="I709" s="37">
        <f>IF($A709="","",IFERROR(MAX(0,$H709-$G709),0))</f>
        <v/>
      </c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7">
        <f>IF($A710="","",IFERROR(ROUND($C710*INDEX(tblKurallar[deger_2025],MATCH("SGK-001",tblKurallar[kural_id],0))+$D710*INDEX(tblKurallar[deger_2025],MATCH("SGK-002",tblKurallar[kural_id],0))+$E710*INDEX(tblKurallar[deger_2025],MATCH("SGK-004",tblKurallar[kural_id],0))+$F710*sgk_isverenOran,2),0))</f>
        <v/>
      </c>
      <c r="I710" s="37">
        <f>IF($A710="","",IFERROR(MAX(0,$H710-$G710),0))</f>
        <v/>
      </c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7">
        <f>IF($A711="","",IFERROR(ROUND($C711*INDEX(tblKurallar[deger_2025],MATCH("SGK-001",tblKurallar[kural_id],0))+$D711*INDEX(tblKurallar[deger_2025],MATCH("SGK-002",tblKurallar[kural_id],0))+$E711*INDEX(tblKurallar[deger_2025],MATCH("SGK-004",tblKurallar[kural_id],0))+$F711*sgk_isverenOran,2),0))</f>
        <v/>
      </c>
      <c r="I711" s="37">
        <f>IF($A711="","",IFERROR(MAX(0,$H711-$G711),0))</f>
        <v/>
      </c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7">
        <f>IF($A712="","",IFERROR(ROUND($C712*INDEX(tblKurallar[deger_2025],MATCH("SGK-001",tblKurallar[kural_id],0))+$D712*INDEX(tblKurallar[deger_2025],MATCH("SGK-002",tblKurallar[kural_id],0))+$E712*INDEX(tblKurallar[deger_2025],MATCH("SGK-004",tblKurallar[kural_id],0))+$F712*sgk_isverenOran,2),0))</f>
        <v/>
      </c>
      <c r="I712" s="37">
        <f>IF($A712="","",IFERROR(MAX(0,$H712-$G712),0))</f>
        <v/>
      </c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7">
        <f>IF($A713="","",IFERROR(ROUND($C713*INDEX(tblKurallar[deger_2025],MATCH("SGK-001",tblKurallar[kural_id],0))+$D713*INDEX(tblKurallar[deger_2025],MATCH("SGK-002",tblKurallar[kural_id],0))+$E713*INDEX(tblKurallar[deger_2025],MATCH("SGK-004",tblKurallar[kural_id],0))+$F713*sgk_isverenOran,2),0))</f>
        <v/>
      </c>
      <c r="I713" s="37">
        <f>IF($A713="","",IFERROR(MAX(0,$H713-$G713),0))</f>
        <v/>
      </c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7">
        <f>IF($A714="","",IFERROR(ROUND($C714*INDEX(tblKurallar[deger_2025],MATCH("SGK-001",tblKurallar[kural_id],0))+$D714*INDEX(tblKurallar[deger_2025],MATCH("SGK-002",tblKurallar[kural_id],0))+$E714*INDEX(tblKurallar[deger_2025],MATCH("SGK-004",tblKurallar[kural_id],0))+$F714*sgk_isverenOran,2),0))</f>
        <v/>
      </c>
      <c r="I714" s="37">
        <f>IF($A714="","",IFERROR(MAX(0,$H714-$G714),0))</f>
        <v/>
      </c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7">
        <f>IF($A715="","",IFERROR(ROUND($C715*INDEX(tblKurallar[deger_2025],MATCH("SGK-001",tblKurallar[kural_id],0))+$D715*INDEX(tblKurallar[deger_2025],MATCH("SGK-002",tblKurallar[kural_id],0))+$E715*INDEX(tblKurallar[deger_2025],MATCH("SGK-004",tblKurallar[kural_id],0))+$F715*sgk_isverenOran,2),0))</f>
        <v/>
      </c>
      <c r="I715" s="37">
        <f>IF($A715="","",IFERROR(MAX(0,$H715-$G715),0))</f>
        <v/>
      </c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7">
        <f>IF($A716="","",IFERROR(ROUND($C716*INDEX(tblKurallar[deger_2025],MATCH("SGK-001",tblKurallar[kural_id],0))+$D716*INDEX(tblKurallar[deger_2025],MATCH("SGK-002",tblKurallar[kural_id],0))+$E716*INDEX(tblKurallar[deger_2025],MATCH("SGK-004",tblKurallar[kural_id],0))+$F716*sgk_isverenOran,2),0))</f>
        <v/>
      </c>
      <c r="I716" s="37">
        <f>IF($A716="","",IFERROR(MAX(0,$H716-$G716),0))</f>
        <v/>
      </c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7">
        <f>IF($A717="","",IFERROR(ROUND($C717*INDEX(tblKurallar[deger_2025],MATCH("SGK-001",tblKurallar[kural_id],0))+$D717*INDEX(tblKurallar[deger_2025],MATCH("SGK-002",tblKurallar[kural_id],0))+$E717*INDEX(tblKurallar[deger_2025],MATCH("SGK-004",tblKurallar[kural_id],0))+$F717*sgk_isverenOran,2),0))</f>
        <v/>
      </c>
      <c r="I717" s="37">
        <f>IF($A717="","",IFERROR(MAX(0,$H717-$G717),0))</f>
        <v/>
      </c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7">
        <f>IF($A718="","",IFERROR(ROUND($C718*INDEX(tblKurallar[deger_2025],MATCH("SGK-001",tblKurallar[kural_id],0))+$D718*INDEX(tblKurallar[deger_2025],MATCH("SGK-002",tblKurallar[kural_id],0))+$E718*INDEX(tblKurallar[deger_2025],MATCH("SGK-004",tblKurallar[kural_id],0))+$F718*sgk_isverenOran,2),0))</f>
        <v/>
      </c>
      <c r="I718" s="37">
        <f>IF($A718="","",IFERROR(MAX(0,$H718-$G718),0))</f>
        <v/>
      </c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7">
        <f>IF($A719="","",IFERROR(ROUND($C719*INDEX(tblKurallar[deger_2025],MATCH("SGK-001",tblKurallar[kural_id],0))+$D719*INDEX(tblKurallar[deger_2025],MATCH("SGK-002",tblKurallar[kural_id],0))+$E719*INDEX(tblKurallar[deger_2025],MATCH("SGK-004",tblKurallar[kural_id],0))+$F719*sgk_isverenOran,2),0))</f>
        <v/>
      </c>
      <c r="I719" s="37">
        <f>IF($A719="","",IFERROR(MAX(0,$H719-$G719),0))</f>
        <v/>
      </c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7">
        <f>IF($A720="","",IFERROR(ROUND($C720*INDEX(tblKurallar[deger_2025],MATCH("SGK-001",tblKurallar[kural_id],0))+$D720*INDEX(tblKurallar[deger_2025],MATCH("SGK-002",tblKurallar[kural_id],0))+$E720*INDEX(tblKurallar[deger_2025],MATCH("SGK-004",tblKurallar[kural_id],0))+$F720*sgk_isverenOran,2),0))</f>
        <v/>
      </c>
      <c r="I720" s="37">
        <f>IF($A720="","",IFERROR(MAX(0,$H720-$G720),0))</f>
        <v/>
      </c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7">
        <f>IF($A721="","",IFERROR(ROUND($C721*INDEX(tblKurallar[deger_2025],MATCH("SGK-001",tblKurallar[kural_id],0))+$D721*INDEX(tblKurallar[deger_2025],MATCH("SGK-002",tblKurallar[kural_id],0))+$E721*INDEX(tblKurallar[deger_2025],MATCH("SGK-004",tblKurallar[kural_id],0))+$F721*sgk_isverenOran,2),0))</f>
        <v/>
      </c>
      <c r="I721" s="37">
        <f>IF($A721="","",IFERROR(MAX(0,$H721-$G721),0))</f>
        <v/>
      </c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7">
        <f>IF($A722="","",IFERROR(ROUND($C722*INDEX(tblKurallar[deger_2025],MATCH("SGK-001",tblKurallar[kural_id],0))+$D722*INDEX(tblKurallar[deger_2025],MATCH("SGK-002",tblKurallar[kural_id],0))+$E722*INDEX(tblKurallar[deger_2025],MATCH("SGK-004",tblKurallar[kural_id],0))+$F722*sgk_isverenOran,2),0))</f>
        <v/>
      </c>
      <c r="I722" s="37">
        <f>IF($A722="","",IFERROR(MAX(0,$H722-$G722),0))</f>
        <v/>
      </c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7">
        <f>IF($A723="","",IFERROR(ROUND($C723*INDEX(tblKurallar[deger_2025],MATCH("SGK-001",tblKurallar[kural_id],0))+$D723*INDEX(tblKurallar[deger_2025],MATCH("SGK-002",tblKurallar[kural_id],0))+$E723*INDEX(tblKurallar[deger_2025],MATCH("SGK-004",tblKurallar[kural_id],0))+$F723*sgk_isverenOran,2),0))</f>
        <v/>
      </c>
      <c r="I723" s="37">
        <f>IF($A723="","",IFERROR(MAX(0,$H723-$G723),0))</f>
        <v/>
      </c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7">
        <f>IF($A724="","",IFERROR(ROUND($C724*INDEX(tblKurallar[deger_2025],MATCH("SGK-001",tblKurallar[kural_id],0))+$D724*INDEX(tblKurallar[deger_2025],MATCH("SGK-002",tblKurallar[kural_id],0))+$E724*INDEX(tblKurallar[deger_2025],MATCH("SGK-004",tblKurallar[kural_id],0))+$F724*sgk_isverenOran,2),0))</f>
        <v/>
      </c>
      <c r="I724" s="37">
        <f>IF($A724="","",IFERROR(MAX(0,$H724-$G724),0))</f>
        <v/>
      </c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7">
        <f>IF($A725="","",IFERROR(ROUND($C725*INDEX(tblKurallar[deger_2025],MATCH("SGK-001",tblKurallar[kural_id],0))+$D725*INDEX(tblKurallar[deger_2025],MATCH("SGK-002",tblKurallar[kural_id],0))+$E725*INDEX(tblKurallar[deger_2025],MATCH("SGK-004",tblKurallar[kural_id],0))+$F725*sgk_isverenOran,2),0))</f>
        <v/>
      </c>
      <c r="I725" s="37">
        <f>IF($A725="","",IFERROR(MAX(0,$H725-$G725),0))</f>
        <v/>
      </c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7">
        <f>IF($A726="","",IFERROR(ROUND($C726*INDEX(tblKurallar[deger_2025],MATCH("SGK-001",tblKurallar[kural_id],0))+$D726*INDEX(tblKurallar[deger_2025],MATCH("SGK-002",tblKurallar[kural_id],0))+$E726*INDEX(tblKurallar[deger_2025],MATCH("SGK-004",tblKurallar[kural_id],0))+$F726*sgk_isverenOran,2),0))</f>
        <v/>
      </c>
      <c r="I726" s="37">
        <f>IF($A726="","",IFERROR(MAX(0,$H726-$G726),0))</f>
        <v/>
      </c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7">
        <f>IF($A727="","",IFERROR(ROUND($C727*INDEX(tblKurallar[deger_2025],MATCH("SGK-001",tblKurallar[kural_id],0))+$D727*INDEX(tblKurallar[deger_2025],MATCH("SGK-002",tblKurallar[kural_id],0))+$E727*INDEX(tblKurallar[deger_2025],MATCH("SGK-004",tblKurallar[kural_id],0))+$F727*sgk_isverenOran,2),0))</f>
        <v/>
      </c>
      <c r="I727" s="37">
        <f>IF($A727="","",IFERROR(MAX(0,$H727-$G727),0))</f>
        <v/>
      </c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7">
        <f>IF($A728="","",IFERROR(ROUND($C728*INDEX(tblKurallar[deger_2025],MATCH("SGK-001",tblKurallar[kural_id],0))+$D728*INDEX(tblKurallar[deger_2025],MATCH("SGK-002",tblKurallar[kural_id],0))+$E728*INDEX(tblKurallar[deger_2025],MATCH("SGK-004",tblKurallar[kural_id],0))+$F728*sgk_isverenOran,2),0))</f>
        <v/>
      </c>
      <c r="I728" s="37">
        <f>IF($A728="","",IFERROR(MAX(0,$H728-$G728),0))</f>
        <v/>
      </c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7">
        <f>IF($A729="","",IFERROR(ROUND($C729*INDEX(tblKurallar[deger_2025],MATCH("SGK-001",tblKurallar[kural_id],0))+$D729*INDEX(tblKurallar[deger_2025],MATCH("SGK-002",tblKurallar[kural_id],0))+$E729*INDEX(tblKurallar[deger_2025],MATCH("SGK-004",tblKurallar[kural_id],0))+$F729*sgk_isverenOran,2),0))</f>
        <v/>
      </c>
      <c r="I729" s="37">
        <f>IF($A729="","",IFERROR(MAX(0,$H729-$G729),0))</f>
        <v/>
      </c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7">
        <f>IF($A730="","",IFERROR(ROUND($C730*INDEX(tblKurallar[deger_2025],MATCH("SGK-001",tblKurallar[kural_id],0))+$D730*INDEX(tblKurallar[deger_2025],MATCH("SGK-002",tblKurallar[kural_id],0))+$E730*INDEX(tblKurallar[deger_2025],MATCH("SGK-004",tblKurallar[kural_id],0))+$F730*sgk_isverenOran,2),0))</f>
        <v/>
      </c>
      <c r="I730" s="37">
        <f>IF($A730="","",IFERROR(MAX(0,$H730-$G730),0))</f>
        <v/>
      </c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7">
        <f>IF($A731="","",IFERROR(ROUND($C731*INDEX(tblKurallar[deger_2025],MATCH("SGK-001",tblKurallar[kural_id],0))+$D731*INDEX(tblKurallar[deger_2025],MATCH("SGK-002",tblKurallar[kural_id],0))+$E731*INDEX(tblKurallar[deger_2025],MATCH("SGK-004",tblKurallar[kural_id],0))+$F731*sgk_isverenOran,2),0))</f>
        <v/>
      </c>
      <c r="I731" s="37">
        <f>IF($A731="","",IFERROR(MAX(0,$H731-$G731),0))</f>
        <v/>
      </c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7">
        <f>IF($A732="","",IFERROR(ROUND($C732*INDEX(tblKurallar[deger_2025],MATCH("SGK-001",tblKurallar[kural_id],0))+$D732*INDEX(tblKurallar[deger_2025],MATCH("SGK-002",tblKurallar[kural_id],0))+$E732*INDEX(tblKurallar[deger_2025],MATCH("SGK-004",tblKurallar[kural_id],0))+$F732*sgk_isverenOran,2),0))</f>
        <v/>
      </c>
      <c r="I732" s="37">
        <f>IF($A732="","",IFERROR(MAX(0,$H732-$G732),0))</f>
        <v/>
      </c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7">
        <f>IF($A733="","",IFERROR(ROUND($C733*INDEX(tblKurallar[deger_2025],MATCH("SGK-001",tblKurallar[kural_id],0))+$D733*INDEX(tblKurallar[deger_2025],MATCH("SGK-002",tblKurallar[kural_id],0))+$E733*INDEX(tblKurallar[deger_2025],MATCH("SGK-004",tblKurallar[kural_id],0))+$F733*sgk_isverenOran,2),0))</f>
        <v/>
      </c>
      <c r="I733" s="37">
        <f>IF($A733="","",IFERROR(MAX(0,$H733-$G733),0))</f>
        <v/>
      </c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7">
        <f>IF($A734="","",IFERROR(ROUND($C734*INDEX(tblKurallar[deger_2025],MATCH("SGK-001",tblKurallar[kural_id],0))+$D734*INDEX(tblKurallar[deger_2025],MATCH("SGK-002",tblKurallar[kural_id],0))+$E734*INDEX(tblKurallar[deger_2025],MATCH("SGK-004",tblKurallar[kural_id],0))+$F734*sgk_isverenOran,2),0))</f>
        <v/>
      </c>
      <c r="I734" s="37">
        <f>IF($A734="","",IFERROR(MAX(0,$H734-$G734),0))</f>
        <v/>
      </c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7">
        <f>IF($A735="","",IFERROR(ROUND($C735*INDEX(tblKurallar[deger_2025],MATCH("SGK-001",tblKurallar[kural_id],0))+$D735*INDEX(tblKurallar[deger_2025],MATCH("SGK-002",tblKurallar[kural_id],0))+$E735*INDEX(tblKurallar[deger_2025],MATCH("SGK-004",tblKurallar[kural_id],0))+$F735*sgk_isverenOran,2),0))</f>
        <v/>
      </c>
      <c r="I735" s="37">
        <f>IF($A735="","",IFERROR(MAX(0,$H735-$G735),0))</f>
        <v/>
      </c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7">
        <f>IF($A736="","",IFERROR(ROUND($C736*INDEX(tblKurallar[deger_2025],MATCH("SGK-001",tblKurallar[kural_id],0))+$D736*INDEX(tblKurallar[deger_2025],MATCH("SGK-002",tblKurallar[kural_id],0))+$E736*INDEX(tblKurallar[deger_2025],MATCH("SGK-004",tblKurallar[kural_id],0))+$F736*sgk_isverenOran,2),0))</f>
        <v/>
      </c>
      <c r="I736" s="37">
        <f>IF($A736="","",IFERROR(MAX(0,$H736-$G736),0))</f>
        <v/>
      </c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7">
        <f>IF($A737="","",IFERROR(ROUND($C737*INDEX(tblKurallar[deger_2025],MATCH("SGK-001",tblKurallar[kural_id],0))+$D737*INDEX(tblKurallar[deger_2025],MATCH("SGK-002",tblKurallar[kural_id],0))+$E737*INDEX(tblKurallar[deger_2025],MATCH("SGK-004",tblKurallar[kural_id],0))+$F737*sgk_isverenOran,2),0))</f>
        <v/>
      </c>
      <c r="I737" s="37">
        <f>IF($A737="","",IFERROR(MAX(0,$H737-$G737),0))</f>
        <v/>
      </c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7">
        <f>IF($A738="","",IFERROR(ROUND($C738*INDEX(tblKurallar[deger_2025],MATCH("SGK-001",tblKurallar[kural_id],0))+$D738*INDEX(tblKurallar[deger_2025],MATCH("SGK-002",tblKurallar[kural_id],0))+$E738*INDEX(tblKurallar[deger_2025],MATCH("SGK-004",tblKurallar[kural_id],0))+$F738*sgk_isverenOran,2),0))</f>
        <v/>
      </c>
      <c r="I738" s="37">
        <f>IF($A738="","",IFERROR(MAX(0,$H738-$G738),0))</f>
        <v/>
      </c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7">
        <f>IF($A739="","",IFERROR(ROUND($C739*INDEX(tblKurallar[deger_2025],MATCH("SGK-001",tblKurallar[kural_id],0))+$D739*INDEX(tblKurallar[deger_2025],MATCH("SGK-002",tblKurallar[kural_id],0))+$E739*INDEX(tblKurallar[deger_2025],MATCH("SGK-004",tblKurallar[kural_id],0))+$F739*sgk_isverenOran,2),0))</f>
        <v/>
      </c>
      <c r="I739" s="37">
        <f>IF($A739="","",IFERROR(MAX(0,$H739-$G739),0))</f>
        <v/>
      </c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7">
        <f>IF($A740="","",IFERROR(ROUND($C740*INDEX(tblKurallar[deger_2025],MATCH("SGK-001",tblKurallar[kural_id],0))+$D740*INDEX(tblKurallar[deger_2025],MATCH("SGK-002",tblKurallar[kural_id],0))+$E740*INDEX(tblKurallar[deger_2025],MATCH("SGK-004",tblKurallar[kural_id],0))+$F740*sgk_isverenOran,2),0))</f>
        <v/>
      </c>
      <c r="I740" s="37">
        <f>IF($A740="","",IFERROR(MAX(0,$H740-$G740),0))</f>
        <v/>
      </c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7">
        <f>IF($A741="","",IFERROR(ROUND($C741*INDEX(tblKurallar[deger_2025],MATCH("SGK-001",tblKurallar[kural_id],0))+$D741*INDEX(tblKurallar[deger_2025],MATCH("SGK-002",tblKurallar[kural_id],0))+$E741*INDEX(tblKurallar[deger_2025],MATCH("SGK-004",tblKurallar[kural_id],0))+$F741*sgk_isverenOran,2),0))</f>
        <v/>
      </c>
      <c r="I741" s="37">
        <f>IF($A741="","",IFERROR(MAX(0,$H741-$G741),0))</f>
        <v/>
      </c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7">
        <f>IF($A742="","",IFERROR(ROUND($C742*INDEX(tblKurallar[deger_2025],MATCH("SGK-001",tblKurallar[kural_id],0))+$D742*INDEX(tblKurallar[deger_2025],MATCH("SGK-002",tblKurallar[kural_id],0))+$E742*INDEX(tblKurallar[deger_2025],MATCH("SGK-004",tblKurallar[kural_id],0))+$F742*sgk_isverenOran,2),0))</f>
        <v/>
      </c>
      <c r="I742" s="37">
        <f>IF($A742="","",IFERROR(MAX(0,$H742-$G742),0))</f>
        <v/>
      </c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7">
        <f>IF($A743="","",IFERROR(ROUND($C743*INDEX(tblKurallar[deger_2025],MATCH("SGK-001",tblKurallar[kural_id],0))+$D743*INDEX(tblKurallar[deger_2025],MATCH("SGK-002",tblKurallar[kural_id],0))+$E743*INDEX(tblKurallar[deger_2025],MATCH("SGK-004",tblKurallar[kural_id],0))+$F743*sgk_isverenOran,2),0))</f>
        <v/>
      </c>
      <c r="I743" s="37">
        <f>IF($A743="","",IFERROR(MAX(0,$H743-$G743),0))</f>
        <v/>
      </c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7">
        <f>IF($A744="","",IFERROR(ROUND($C744*INDEX(tblKurallar[deger_2025],MATCH("SGK-001",tblKurallar[kural_id],0))+$D744*INDEX(tblKurallar[deger_2025],MATCH("SGK-002",tblKurallar[kural_id],0))+$E744*INDEX(tblKurallar[deger_2025],MATCH("SGK-004",tblKurallar[kural_id],0))+$F744*sgk_isverenOran,2),0))</f>
        <v/>
      </c>
      <c r="I744" s="37">
        <f>IF($A744="","",IFERROR(MAX(0,$H744-$G744),0))</f>
        <v/>
      </c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7">
        <f>IF($A745="","",IFERROR(ROUND($C745*INDEX(tblKurallar[deger_2025],MATCH("SGK-001",tblKurallar[kural_id],0))+$D745*INDEX(tblKurallar[deger_2025],MATCH("SGK-002",tblKurallar[kural_id],0))+$E745*INDEX(tblKurallar[deger_2025],MATCH("SGK-004",tblKurallar[kural_id],0))+$F745*sgk_isverenOran,2),0))</f>
        <v/>
      </c>
      <c r="I745" s="37">
        <f>IF($A745="","",IFERROR(MAX(0,$H745-$G745),0))</f>
        <v/>
      </c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7">
        <f>IF($A746="","",IFERROR(ROUND($C746*INDEX(tblKurallar[deger_2025],MATCH("SGK-001",tblKurallar[kural_id],0))+$D746*INDEX(tblKurallar[deger_2025],MATCH("SGK-002",tblKurallar[kural_id],0))+$E746*INDEX(tblKurallar[deger_2025],MATCH("SGK-004",tblKurallar[kural_id],0))+$F746*sgk_isverenOran,2),0))</f>
        <v/>
      </c>
      <c r="I746" s="37">
        <f>IF($A746="","",IFERROR(MAX(0,$H746-$G746),0))</f>
        <v/>
      </c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7">
        <f>IF($A747="","",IFERROR(ROUND($C747*INDEX(tblKurallar[deger_2025],MATCH("SGK-001",tblKurallar[kural_id],0))+$D747*INDEX(tblKurallar[deger_2025],MATCH("SGK-002",tblKurallar[kural_id],0))+$E747*INDEX(tblKurallar[deger_2025],MATCH("SGK-004",tblKurallar[kural_id],0))+$F747*sgk_isverenOran,2),0))</f>
        <v/>
      </c>
      <c r="I747" s="37">
        <f>IF($A747="","",IFERROR(MAX(0,$H747-$G747),0))</f>
        <v/>
      </c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7">
        <f>IF($A748="","",IFERROR(ROUND($C748*INDEX(tblKurallar[deger_2025],MATCH("SGK-001",tblKurallar[kural_id],0))+$D748*INDEX(tblKurallar[deger_2025],MATCH("SGK-002",tblKurallar[kural_id],0))+$E748*INDEX(tblKurallar[deger_2025],MATCH("SGK-004",tblKurallar[kural_id],0))+$F748*sgk_isverenOran,2),0))</f>
        <v/>
      </c>
      <c r="I748" s="37">
        <f>IF($A748="","",IFERROR(MAX(0,$H748-$G748),0))</f>
        <v/>
      </c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7">
        <f>IF($A749="","",IFERROR(ROUND($C749*INDEX(tblKurallar[deger_2025],MATCH("SGK-001",tblKurallar[kural_id],0))+$D749*INDEX(tblKurallar[deger_2025],MATCH("SGK-002",tblKurallar[kural_id],0))+$E749*INDEX(tblKurallar[deger_2025],MATCH("SGK-004",tblKurallar[kural_id],0))+$F749*sgk_isverenOran,2),0))</f>
        <v/>
      </c>
      <c r="I749" s="37">
        <f>IF($A749="","",IFERROR(MAX(0,$H749-$G749),0))</f>
        <v/>
      </c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7">
        <f>IF($A750="","",IFERROR(ROUND($C750*INDEX(tblKurallar[deger_2025],MATCH("SGK-001",tblKurallar[kural_id],0))+$D750*INDEX(tblKurallar[deger_2025],MATCH("SGK-002",tblKurallar[kural_id],0))+$E750*INDEX(tblKurallar[deger_2025],MATCH("SGK-004",tblKurallar[kural_id],0))+$F750*sgk_isverenOran,2),0))</f>
        <v/>
      </c>
      <c r="I750" s="37">
        <f>IF($A750="","",IFERROR(MAX(0,$H750-$G750),0))</f>
        <v/>
      </c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7">
        <f>IF($A751="","",IFERROR(ROUND($C751*INDEX(tblKurallar[deger_2025],MATCH("SGK-001",tblKurallar[kural_id],0))+$D751*INDEX(tblKurallar[deger_2025],MATCH("SGK-002",tblKurallar[kural_id],0))+$E751*INDEX(tblKurallar[deger_2025],MATCH("SGK-004",tblKurallar[kural_id],0))+$F751*sgk_isverenOran,2),0))</f>
        <v/>
      </c>
      <c r="I751" s="37">
        <f>IF($A751="","",IFERROR(MAX(0,$H751-$G751),0))</f>
        <v/>
      </c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7">
        <f>IF($A752="","",IFERROR(ROUND($C752*INDEX(tblKurallar[deger_2025],MATCH("SGK-001",tblKurallar[kural_id],0))+$D752*INDEX(tblKurallar[deger_2025],MATCH("SGK-002",tblKurallar[kural_id],0))+$E752*INDEX(tblKurallar[deger_2025],MATCH("SGK-004",tblKurallar[kural_id],0))+$F752*sgk_isverenOran,2),0))</f>
        <v/>
      </c>
      <c r="I752" s="37">
        <f>IF($A752="","",IFERROR(MAX(0,$H752-$G752),0))</f>
        <v/>
      </c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7">
        <f>IF($A753="","",IFERROR(ROUND($C753*INDEX(tblKurallar[deger_2025],MATCH("SGK-001",tblKurallar[kural_id],0))+$D753*INDEX(tblKurallar[deger_2025],MATCH("SGK-002",tblKurallar[kural_id],0))+$E753*INDEX(tblKurallar[deger_2025],MATCH("SGK-004",tblKurallar[kural_id],0))+$F753*sgk_isverenOran,2),0))</f>
        <v/>
      </c>
      <c r="I753" s="37">
        <f>IF($A753="","",IFERROR(MAX(0,$H753-$G753),0))</f>
        <v/>
      </c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7">
        <f>IF($A754="","",IFERROR(ROUND($C754*INDEX(tblKurallar[deger_2025],MATCH("SGK-001",tblKurallar[kural_id],0))+$D754*INDEX(tblKurallar[deger_2025],MATCH("SGK-002",tblKurallar[kural_id],0))+$E754*INDEX(tblKurallar[deger_2025],MATCH("SGK-004",tblKurallar[kural_id],0))+$F754*sgk_isverenOran,2),0))</f>
        <v/>
      </c>
      <c r="I754" s="37">
        <f>IF($A754="","",IFERROR(MAX(0,$H754-$G754),0))</f>
        <v/>
      </c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7">
        <f>IF($A755="","",IFERROR(ROUND($C755*INDEX(tblKurallar[deger_2025],MATCH("SGK-001",tblKurallar[kural_id],0))+$D755*INDEX(tblKurallar[deger_2025],MATCH("SGK-002",tblKurallar[kural_id],0))+$E755*INDEX(tblKurallar[deger_2025],MATCH("SGK-004",tblKurallar[kural_id],0))+$F755*sgk_isverenOran,2),0))</f>
        <v/>
      </c>
      <c r="I755" s="37">
        <f>IF($A755="","",IFERROR(MAX(0,$H755-$G755),0))</f>
        <v/>
      </c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7">
        <f>IF($A756="","",IFERROR(ROUND($C756*INDEX(tblKurallar[deger_2025],MATCH("SGK-001",tblKurallar[kural_id],0))+$D756*INDEX(tblKurallar[deger_2025],MATCH("SGK-002",tblKurallar[kural_id],0))+$E756*INDEX(tblKurallar[deger_2025],MATCH("SGK-004",tblKurallar[kural_id],0))+$F756*sgk_isverenOran,2),0))</f>
        <v/>
      </c>
      <c r="I756" s="37">
        <f>IF($A756="","",IFERROR(MAX(0,$H756-$G756),0))</f>
        <v/>
      </c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7">
        <f>IF($A757="","",IFERROR(ROUND($C757*INDEX(tblKurallar[deger_2025],MATCH("SGK-001",tblKurallar[kural_id],0))+$D757*INDEX(tblKurallar[deger_2025],MATCH("SGK-002",tblKurallar[kural_id],0))+$E757*INDEX(tblKurallar[deger_2025],MATCH("SGK-004",tblKurallar[kural_id],0))+$F757*sgk_isverenOran,2),0))</f>
        <v/>
      </c>
      <c r="I757" s="37">
        <f>IF($A757="","",IFERROR(MAX(0,$H757-$G757),0))</f>
        <v/>
      </c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7">
        <f>IF($A758="","",IFERROR(ROUND($C758*INDEX(tblKurallar[deger_2025],MATCH("SGK-001",tblKurallar[kural_id],0))+$D758*INDEX(tblKurallar[deger_2025],MATCH("SGK-002",tblKurallar[kural_id],0))+$E758*INDEX(tblKurallar[deger_2025],MATCH("SGK-004",tblKurallar[kural_id],0))+$F758*sgk_isverenOran,2),0))</f>
        <v/>
      </c>
      <c r="I758" s="37">
        <f>IF($A758="","",IFERROR(MAX(0,$H758-$G758),0))</f>
        <v/>
      </c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7">
        <f>IF($A759="","",IFERROR(ROUND($C759*INDEX(tblKurallar[deger_2025],MATCH("SGK-001",tblKurallar[kural_id],0))+$D759*INDEX(tblKurallar[deger_2025],MATCH("SGK-002",tblKurallar[kural_id],0))+$E759*INDEX(tblKurallar[deger_2025],MATCH("SGK-004",tblKurallar[kural_id],0))+$F759*sgk_isverenOran,2),0))</f>
        <v/>
      </c>
      <c r="I759" s="37">
        <f>IF($A759="","",IFERROR(MAX(0,$H759-$G759),0))</f>
        <v/>
      </c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7">
        <f>IF($A760="","",IFERROR(ROUND($C760*INDEX(tblKurallar[deger_2025],MATCH("SGK-001",tblKurallar[kural_id],0))+$D760*INDEX(tblKurallar[deger_2025],MATCH("SGK-002",tblKurallar[kural_id],0))+$E760*INDEX(tblKurallar[deger_2025],MATCH("SGK-004",tblKurallar[kural_id],0))+$F760*sgk_isverenOran,2),0))</f>
        <v/>
      </c>
      <c r="I760" s="37">
        <f>IF($A760="","",IFERROR(MAX(0,$H760-$G760),0))</f>
        <v/>
      </c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7">
        <f>IF($A761="","",IFERROR(ROUND($C761*INDEX(tblKurallar[deger_2025],MATCH("SGK-001",tblKurallar[kural_id],0))+$D761*INDEX(tblKurallar[deger_2025],MATCH("SGK-002",tblKurallar[kural_id],0))+$E761*INDEX(tblKurallar[deger_2025],MATCH("SGK-004",tblKurallar[kural_id],0))+$F761*sgk_isverenOran,2),0))</f>
        <v/>
      </c>
      <c r="I761" s="37">
        <f>IF($A761="","",IFERROR(MAX(0,$H761-$G761),0))</f>
        <v/>
      </c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7">
        <f>IF($A762="","",IFERROR(ROUND($C762*INDEX(tblKurallar[deger_2025],MATCH("SGK-001",tblKurallar[kural_id],0))+$D762*INDEX(tblKurallar[deger_2025],MATCH("SGK-002",tblKurallar[kural_id],0))+$E762*INDEX(tblKurallar[deger_2025],MATCH("SGK-004",tblKurallar[kural_id],0))+$F762*sgk_isverenOran,2),0))</f>
        <v/>
      </c>
      <c r="I762" s="37">
        <f>IF($A762="","",IFERROR(MAX(0,$H762-$G762),0))</f>
        <v/>
      </c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7">
        <f>IF($A763="","",IFERROR(ROUND($C763*INDEX(tblKurallar[deger_2025],MATCH("SGK-001",tblKurallar[kural_id],0))+$D763*INDEX(tblKurallar[deger_2025],MATCH("SGK-002",tblKurallar[kural_id],0))+$E763*INDEX(tblKurallar[deger_2025],MATCH("SGK-004",tblKurallar[kural_id],0))+$F763*sgk_isverenOran,2),0))</f>
        <v/>
      </c>
      <c r="I763" s="37">
        <f>IF($A763="","",IFERROR(MAX(0,$H763-$G763),0))</f>
        <v/>
      </c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7">
        <f>IF($A764="","",IFERROR(ROUND($C764*INDEX(tblKurallar[deger_2025],MATCH("SGK-001",tblKurallar[kural_id],0))+$D764*INDEX(tblKurallar[deger_2025],MATCH("SGK-002",tblKurallar[kural_id],0))+$E764*INDEX(tblKurallar[deger_2025],MATCH("SGK-004",tblKurallar[kural_id],0))+$F764*sgk_isverenOran,2),0))</f>
        <v/>
      </c>
      <c r="I764" s="37">
        <f>IF($A764="","",IFERROR(MAX(0,$H764-$G764),0))</f>
        <v/>
      </c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7">
        <f>IF($A765="","",IFERROR(ROUND($C765*INDEX(tblKurallar[deger_2025],MATCH("SGK-001",tblKurallar[kural_id],0))+$D765*INDEX(tblKurallar[deger_2025],MATCH("SGK-002",tblKurallar[kural_id],0))+$E765*INDEX(tblKurallar[deger_2025],MATCH("SGK-004",tblKurallar[kural_id],0))+$F765*sgk_isverenOran,2),0))</f>
        <v/>
      </c>
      <c r="I765" s="37">
        <f>IF($A765="","",IFERROR(MAX(0,$H765-$G765),0))</f>
        <v/>
      </c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7">
        <f>IF($A766="","",IFERROR(ROUND($C766*INDEX(tblKurallar[deger_2025],MATCH("SGK-001",tblKurallar[kural_id],0))+$D766*INDEX(tblKurallar[deger_2025],MATCH("SGK-002",tblKurallar[kural_id],0))+$E766*INDEX(tblKurallar[deger_2025],MATCH("SGK-004",tblKurallar[kural_id],0))+$F766*sgk_isverenOran,2),0))</f>
        <v/>
      </c>
      <c r="I766" s="37">
        <f>IF($A766="","",IFERROR(MAX(0,$H766-$G766),0))</f>
        <v/>
      </c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7">
        <f>IF($A767="","",IFERROR(ROUND($C767*INDEX(tblKurallar[deger_2025],MATCH("SGK-001",tblKurallar[kural_id],0))+$D767*INDEX(tblKurallar[deger_2025],MATCH("SGK-002",tblKurallar[kural_id],0))+$E767*INDEX(tblKurallar[deger_2025],MATCH("SGK-004",tblKurallar[kural_id],0))+$F767*sgk_isverenOran,2),0))</f>
        <v/>
      </c>
      <c r="I767" s="37">
        <f>IF($A767="","",IFERROR(MAX(0,$H767-$G767),0))</f>
        <v/>
      </c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7">
        <f>IF($A768="","",IFERROR(ROUND($C768*INDEX(tblKurallar[deger_2025],MATCH("SGK-001",tblKurallar[kural_id],0))+$D768*INDEX(tblKurallar[deger_2025],MATCH("SGK-002",tblKurallar[kural_id],0))+$E768*INDEX(tblKurallar[deger_2025],MATCH("SGK-004",tblKurallar[kural_id],0))+$F768*sgk_isverenOran,2),0))</f>
        <v/>
      </c>
      <c r="I768" s="37">
        <f>IF($A768="","",IFERROR(MAX(0,$H768-$G768),0))</f>
        <v/>
      </c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7">
        <f>IF($A769="","",IFERROR(ROUND($C769*INDEX(tblKurallar[deger_2025],MATCH("SGK-001",tblKurallar[kural_id],0))+$D769*INDEX(tblKurallar[deger_2025],MATCH("SGK-002",tblKurallar[kural_id],0))+$E769*INDEX(tblKurallar[deger_2025],MATCH("SGK-004",tblKurallar[kural_id],0))+$F769*sgk_isverenOran,2),0))</f>
        <v/>
      </c>
      <c r="I769" s="37">
        <f>IF($A769="","",IFERROR(MAX(0,$H769-$G769),0))</f>
        <v/>
      </c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7">
        <f>IF($A770="","",IFERROR(ROUND($C770*INDEX(tblKurallar[deger_2025],MATCH("SGK-001",tblKurallar[kural_id],0))+$D770*INDEX(tblKurallar[deger_2025],MATCH("SGK-002",tblKurallar[kural_id],0))+$E770*INDEX(tblKurallar[deger_2025],MATCH("SGK-004",tblKurallar[kural_id],0))+$F770*sgk_isverenOran,2),0))</f>
        <v/>
      </c>
      <c r="I770" s="37">
        <f>IF($A770="","",IFERROR(MAX(0,$H770-$G770),0))</f>
        <v/>
      </c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7">
        <f>IF($A771="","",IFERROR(ROUND($C771*INDEX(tblKurallar[deger_2025],MATCH("SGK-001",tblKurallar[kural_id],0))+$D771*INDEX(tblKurallar[deger_2025],MATCH("SGK-002",tblKurallar[kural_id],0))+$E771*INDEX(tblKurallar[deger_2025],MATCH("SGK-004",tblKurallar[kural_id],0))+$F771*sgk_isverenOran,2),0))</f>
        <v/>
      </c>
      <c r="I771" s="37">
        <f>IF($A771="","",IFERROR(MAX(0,$H771-$G771),0))</f>
        <v/>
      </c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7">
        <f>IF($A772="","",IFERROR(ROUND($C772*INDEX(tblKurallar[deger_2025],MATCH("SGK-001",tblKurallar[kural_id],0))+$D772*INDEX(tblKurallar[deger_2025],MATCH("SGK-002",tblKurallar[kural_id],0))+$E772*INDEX(tblKurallar[deger_2025],MATCH("SGK-004",tblKurallar[kural_id],0))+$F772*sgk_isverenOran,2),0))</f>
        <v/>
      </c>
      <c r="I772" s="37">
        <f>IF($A772="","",IFERROR(MAX(0,$H772-$G772),0))</f>
        <v/>
      </c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7">
        <f>IF($A773="","",IFERROR(ROUND($C773*INDEX(tblKurallar[deger_2025],MATCH("SGK-001",tblKurallar[kural_id],0))+$D773*INDEX(tblKurallar[deger_2025],MATCH("SGK-002",tblKurallar[kural_id],0))+$E773*INDEX(tblKurallar[deger_2025],MATCH("SGK-004",tblKurallar[kural_id],0))+$F773*sgk_isverenOran,2),0))</f>
        <v/>
      </c>
      <c r="I773" s="37">
        <f>IF($A773="","",IFERROR(MAX(0,$H773-$G773),0))</f>
        <v/>
      </c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7">
        <f>IF($A774="","",IFERROR(ROUND($C774*INDEX(tblKurallar[deger_2025],MATCH("SGK-001",tblKurallar[kural_id],0))+$D774*INDEX(tblKurallar[deger_2025],MATCH("SGK-002",tblKurallar[kural_id],0))+$E774*INDEX(tblKurallar[deger_2025],MATCH("SGK-004",tblKurallar[kural_id],0))+$F774*sgk_isverenOran,2),0))</f>
        <v/>
      </c>
      <c r="I774" s="37">
        <f>IF($A774="","",IFERROR(MAX(0,$H774-$G774),0))</f>
        <v/>
      </c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7">
        <f>IF($A775="","",IFERROR(ROUND($C775*INDEX(tblKurallar[deger_2025],MATCH("SGK-001",tblKurallar[kural_id],0))+$D775*INDEX(tblKurallar[deger_2025],MATCH("SGK-002",tblKurallar[kural_id],0))+$E775*INDEX(tblKurallar[deger_2025],MATCH("SGK-004",tblKurallar[kural_id],0))+$F775*sgk_isverenOran,2),0))</f>
        <v/>
      </c>
      <c r="I775" s="37">
        <f>IF($A775="","",IFERROR(MAX(0,$H775-$G775),0))</f>
        <v/>
      </c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7">
        <f>IF($A776="","",IFERROR(ROUND($C776*INDEX(tblKurallar[deger_2025],MATCH("SGK-001",tblKurallar[kural_id],0))+$D776*INDEX(tblKurallar[deger_2025],MATCH("SGK-002",tblKurallar[kural_id],0))+$E776*INDEX(tblKurallar[deger_2025],MATCH("SGK-004",tblKurallar[kural_id],0))+$F776*sgk_isverenOran,2),0))</f>
        <v/>
      </c>
      <c r="I776" s="37">
        <f>IF($A776="","",IFERROR(MAX(0,$H776-$G776),0))</f>
        <v/>
      </c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7">
        <f>IF($A777="","",IFERROR(ROUND($C777*INDEX(tblKurallar[deger_2025],MATCH("SGK-001",tblKurallar[kural_id],0))+$D777*INDEX(tblKurallar[deger_2025],MATCH("SGK-002",tblKurallar[kural_id],0))+$E777*INDEX(tblKurallar[deger_2025],MATCH("SGK-004",tblKurallar[kural_id],0))+$F777*sgk_isverenOran,2),0))</f>
        <v/>
      </c>
      <c r="I777" s="37">
        <f>IF($A777="","",IFERROR(MAX(0,$H777-$G777),0))</f>
        <v/>
      </c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7">
        <f>IF($A778="","",IFERROR(ROUND($C778*INDEX(tblKurallar[deger_2025],MATCH("SGK-001",tblKurallar[kural_id],0))+$D778*INDEX(tblKurallar[deger_2025],MATCH("SGK-002",tblKurallar[kural_id],0))+$E778*INDEX(tblKurallar[deger_2025],MATCH("SGK-004",tblKurallar[kural_id],0))+$F778*sgk_isverenOran,2),0))</f>
        <v/>
      </c>
      <c r="I778" s="37">
        <f>IF($A778="","",IFERROR(MAX(0,$H778-$G778),0))</f>
        <v/>
      </c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7">
        <f>IF($A779="","",IFERROR(ROUND($C779*INDEX(tblKurallar[deger_2025],MATCH("SGK-001",tblKurallar[kural_id],0))+$D779*INDEX(tblKurallar[deger_2025],MATCH("SGK-002",tblKurallar[kural_id],0))+$E779*INDEX(tblKurallar[deger_2025],MATCH("SGK-004",tblKurallar[kural_id],0))+$F779*sgk_isverenOran,2),0))</f>
        <v/>
      </c>
      <c r="I779" s="37">
        <f>IF($A779="","",IFERROR(MAX(0,$H779-$G779),0))</f>
        <v/>
      </c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7">
        <f>IF($A780="","",IFERROR(ROUND($C780*INDEX(tblKurallar[deger_2025],MATCH("SGK-001",tblKurallar[kural_id],0))+$D780*INDEX(tblKurallar[deger_2025],MATCH("SGK-002",tblKurallar[kural_id],0))+$E780*INDEX(tblKurallar[deger_2025],MATCH("SGK-004",tblKurallar[kural_id],0))+$F780*sgk_isverenOran,2),0))</f>
        <v/>
      </c>
      <c r="I780" s="37">
        <f>IF($A780="","",IFERROR(MAX(0,$H780-$G780),0))</f>
        <v/>
      </c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7">
        <f>IF($A781="","",IFERROR(ROUND($C781*INDEX(tblKurallar[deger_2025],MATCH("SGK-001",tblKurallar[kural_id],0))+$D781*INDEX(tblKurallar[deger_2025],MATCH("SGK-002",tblKurallar[kural_id],0))+$E781*INDEX(tblKurallar[deger_2025],MATCH("SGK-004",tblKurallar[kural_id],0))+$F781*sgk_isverenOran,2),0))</f>
        <v/>
      </c>
      <c r="I781" s="37">
        <f>IF($A781="","",IFERROR(MAX(0,$H781-$G781),0))</f>
        <v/>
      </c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7">
        <f>IF($A782="","",IFERROR(ROUND($C782*INDEX(tblKurallar[deger_2025],MATCH("SGK-001",tblKurallar[kural_id],0))+$D782*INDEX(tblKurallar[deger_2025],MATCH("SGK-002",tblKurallar[kural_id],0))+$E782*INDEX(tblKurallar[deger_2025],MATCH("SGK-004",tblKurallar[kural_id],0))+$F782*sgk_isverenOran,2),0))</f>
        <v/>
      </c>
      <c r="I782" s="37">
        <f>IF($A782="","",IFERROR(MAX(0,$H782-$G782),0))</f>
        <v/>
      </c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7">
        <f>IF($A783="","",IFERROR(ROUND($C783*INDEX(tblKurallar[deger_2025],MATCH("SGK-001",tblKurallar[kural_id],0))+$D783*INDEX(tblKurallar[deger_2025],MATCH("SGK-002",tblKurallar[kural_id],0))+$E783*INDEX(tblKurallar[deger_2025],MATCH("SGK-004",tblKurallar[kural_id],0))+$F783*sgk_isverenOran,2),0))</f>
        <v/>
      </c>
      <c r="I783" s="37">
        <f>IF($A783="","",IFERROR(MAX(0,$H783-$G783),0))</f>
        <v/>
      </c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7">
        <f>IF($A784="","",IFERROR(ROUND($C784*INDEX(tblKurallar[deger_2025],MATCH("SGK-001",tblKurallar[kural_id],0))+$D784*INDEX(tblKurallar[deger_2025],MATCH("SGK-002",tblKurallar[kural_id],0))+$E784*INDEX(tblKurallar[deger_2025],MATCH("SGK-004",tblKurallar[kural_id],0))+$F784*sgk_isverenOran,2),0))</f>
        <v/>
      </c>
      <c r="I784" s="37">
        <f>IF($A784="","",IFERROR(MAX(0,$H784-$G784),0))</f>
        <v/>
      </c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7">
        <f>IF($A785="","",IFERROR(ROUND($C785*INDEX(tblKurallar[deger_2025],MATCH("SGK-001",tblKurallar[kural_id],0))+$D785*INDEX(tblKurallar[deger_2025],MATCH("SGK-002",tblKurallar[kural_id],0))+$E785*INDEX(tblKurallar[deger_2025],MATCH("SGK-004",tblKurallar[kural_id],0))+$F785*sgk_isverenOran,2),0))</f>
        <v/>
      </c>
      <c r="I785" s="37">
        <f>IF($A785="","",IFERROR(MAX(0,$H785-$G785),0))</f>
        <v/>
      </c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7">
        <f>IF($A786="","",IFERROR(ROUND($C786*INDEX(tblKurallar[deger_2025],MATCH("SGK-001",tblKurallar[kural_id],0))+$D786*INDEX(tblKurallar[deger_2025],MATCH("SGK-002",tblKurallar[kural_id],0))+$E786*INDEX(tblKurallar[deger_2025],MATCH("SGK-004",tblKurallar[kural_id],0))+$F786*sgk_isverenOran,2),0))</f>
        <v/>
      </c>
      <c r="I786" s="37">
        <f>IF($A786="","",IFERROR(MAX(0,$H786-$G786),0))</f>
        <v/>
      </c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7">
        <f>IF($A787="","",IFERROR(ROUND($C787*INDEX(tblKurallar[deger_2025],MATCH("SGK-001",tblKurallar[kural_id],0))+$D787*INDEX(tblKurallar[deger_2025],MATCH("SGK-002",tblKurallar[kural_id],0))+$E787*INDEX(tblKurallar[deger_2025],MATCH("SGK-004",tblKurallar[kural_id],0))+$F787*sgk_isverenOran,2),0))</f>
        <v/>
      </c>
      <c r="I787" s="37">
        <f>IF($A787="","",IFERROR(MAX(0,$H787-$G787),0))</f>
        <v/>
      </c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7">
        <f>IF($A788="","",IFERROR(ROUND($C788*INDEX(tblKurallar[deger_2025],MATCH("SGK-001",tblKurallar[kural_id],0))+$D788*INDEX(tblKurallar[deger_2025],MATCH("SGK-002",tblKurallar[kural_id],0))+$E788*INDEX(tblKurallar[deger_2025],MATCH("SGK-004",tblKurallar[kural_id],0))+$F788*sgk_isverenOran,2),0))</f>
        <v/>
      </c>
      <c r="I788" s="37">
        <f>IF($A788="","",IFERROR(MAX(0,$H788-$G788),0))</f>
        <v/>
      </c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7">
        <f>IF($A789="","",IFERROR(ROUND($C789*INDEX(tblKurallar[deger_2025],MATCH("SGK-001",tblKurallar[kural_id],0))+$D789*INDEX(tblKurallar[deger_2025],MATCH("SGK-002",tblKurallar[kural_id],0))+$E789*INDEX(tblKurallar[deger_2025],MATCH("SGK-004",tblKurallar[kural_id],0))+$F789*sgk_isverenOran,2),0))</f>
        <v/>
      </c>
      <c r="I789" s="37">
        <f>IF($A789="","",IFERROR(MAX(0,$H789-$G789),0))</f>
        <v/>
      </c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7">
        <f>IF($A790="","",IFERROR(ROUND($C790*INDEX(tblKurallar[deger_2025],MATCH("SGK-001",tblKurallar[kural_id],0))+$D790*INDEX(tblKurallar[deger_2025],MATCH("SGK-002",tblKurallar[kural_id],0))+$E790*INDEX(tblKurallar[deger_2025],MATCH("SGK-004",tblKurallar[kural_id],0))+$F790*sgk_isverenOran,2),0))</f>
        <v/>
      </c>
      <c r="I790" s="37">
        <f>IF($A790="","",IFERROR(MAX(0,$H790-$G790),0))</f>
        <v/>
      </c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7">
        <f>IF($A791="","",IFERROR(ROUND($C791*INDEX(tblKurallar[deger_2025],MATCH("SGK-001",tblKurallar[kural_id],0))+$D791*INDEX(tblKurallar[deger_2025],MATCH("SGK-002",tblKurallar[kural_id],0))+$E791*INDEX(tblKurallar[deger_2025],MATCH("SGK-004",tblKurallar[kural_id],0))+$F791*sgk_isverenOran,2),0))</f>
        <v/>
      </c>
      <c r="I791" s="37">
        <f>IF($A791="","",IFERROR(MAX(0,$H791-$G791),0))</f>
        <v/>
      </c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7">
        <f>IF($A792="","",IFERROR(ROUND($C792*INDEX(tblKurallar[deger_2025],MATCH("SGK-001",tblKurallar[kural_id],0))+$D792*INDEX(tblKurallar[deger_2025],MATCH("SGK-002",tblKurallar[kural_id],0))+$E792*INDEX(tblKurallar[deger_2025],MATCH("SGK-004",tblKurallar[kural_id],0))+$F792*sgk_isverenOran,2),0))</f>
        <v/>
      </c>
      <c r="I792" s="37">
        <f>IF($A792="","",IFERROR(MAX(0,$H792-$G792),0))</f>
        <v/>
      </c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7">
        <f>IF($A793="","",IFERROR(ROUND($C793*INDEX(tblKurallar[deger_2025],MATCH("SGK-001",tblKurallar[kural_id],0))+$D793*INDEX(tblKurallar[deger_2025],MATCH("SGK-002",tblKurallar[kural_id],0))+$E793*INDEX(tblKurallar[deger_2025],MATCH("SGK-004",tblKurallar[kural_id],0))+$F793*sgk_isverenOran,2),0))</f>
        <v/>
      </c>
      <c r="I793" s="37">
        <f>IF($A793="","",IFERROR(MAX(0,$H793-$G793),0))</f>
        <v/>
      </c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7">
        <f>IF($A794="","",IFERROR(ROUND($C794*INDEX(tblKurallar[deger_2025],MATCH("SGK-001",tblKurallar[kural_id],0))+$D794*INDEX(tblKurallar[deger_2025],MATCH("SGK-002",tblKurallar[kural_id],0))+$E794*INDEX(tblKurallar[deger_2025],MATCH("SGK-004",tblKurallar[kural_id],0))+$F794*sgk_isverenOran,2),0))</f>
        <v/>
      </c>
      <c r="I794" s="37">
        <f>IF($A794="","",IFERROR(MAX(0,$H794-$G794),0))</f>
        <v/>
      </c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7">
        <f>IF($A795="","",IFERROR(ROUND($C795*INDEX(tblKurallar[deger_2025],MATCH("SGK-001",tblKurallar[kural_id],0))+$D795*INDEX(tblKurallar[deger_2025],MATCH("SGK-002",tblKurallar[kural_id],0))+$E795*INDEX(tblKurallar[deger_2025],MATCH("SGK-004",tblKurallar[kural_id],0))+$F795*sgk_isverenOran,2),0))</f>
        <v/>
      </c>
      <c r="I795" s="37">
        <f>IF($A795="","",IFERROR(MAX(0,$H795-$G795),0))</f>
        <v/>
      </c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7">
        <f>IF($A796="","",IFERROR(ROUND($C796*INDEX(tblKurallar[deger_2025],MATCH("SGK-001",tblKurallar[kural_id],0))+$D796*INDEX(tblKurallar[deger_2025],MATCH("SGK-002",tblKurallar[kural_id],0))+$E796*INDEX(tblKurallar[deger_2025],MATCH("SGK-004",tblKurallar[kural_id],0))+$F796*sgk_isverenOran,2),0))</f>
        <v/>
      </c>
      <c r="I796" s="37">
        <f>IF($A796="","",IFERROR(MAX(0,$H796-$G796),0))</f>
        <v/>
      </c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7">
        <f>IF($A797="","",IFERROR(ROUND($C797*INDEX(tblKurallar[deger_2025],MATCH("SGK-001",tblKurallar[kural_id],0))+$D797*INDEX(tblKurallar[deger_2025],MATCH("SGK-002",tblKurallar[kural_id],0))+$E797*INDEX(tblKurallar[deger_2025],MATCH("SGK-004",tblKurallar[kural_id],0))+$F797*sgk_isverenOran,2),0))</f>
        <v/>
      </c>
      <c r="I797" s="37">
        <f>IF($A797="","",IFERROR(MAX(0,$H797-$G797),0))</f>
        <v/>
      </c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7">
        <f>IF($A798="","",IFERROR(ROUND($C798*INDEX(tblKurallar[deger_2025],MATCH("SGK-001",tblKurallar[kural_id],0))+$D798*INDEX(tblKurallar[deger_2025],MATCH("SGK-002",tblKurallar[kural_id],0))+$E798*INDEX(tblKurallar[deger_2025],MATCH("SGK-004",tblKurallar[kural_id],0))+$F798*sgk_isverenOran,2),0))</f>
        <v/>
      </c>
      <c r="I798" s="37">
        <f>IF($A798="","",IFERROR(MAX(0,$H798-$G798),0))</f>
        <v/>
      </c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7">
        <f>IF($A799="","",IFERROR(ROUND($C799*INDEX(tblKurallar[deger_2025],MATCH("SGK-001",tblKurallar[kural_id],0))+$D799*INDEX(tblKurallar[deger_2025],MATCH("SGK-002",tblKurallar[kural_id],0))+$E799*INDEX(tblKurallar[deger_2025],MATCH("SGK-004",tblKurallar[kural_id],0))+$F799*sgk_isverenOran,2),0))</f>
        <v/>
      </c>
      <c r="I799" s="37">
        <f>IF($A799="","",IFERROR(MAX(0,$H799-$G799),0))</f>
        <v/>
      </c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7">
        <f>IF($A800="","",IFERROR(ROUND($C800*INDEX(tblKurallar[deger_2025],MATCH("SGK-001",tblKurallar[kural_id],0))+$D800*INDEX(tblKurallar[deger_2025],MATCH("SGK-002",tblKurallar[kural_id],0))+$E800*INDEX(tblKurallar[deger_2025],MATCH("SGK-004",tblKurallar[kural_id],0))+$F800*sgk_isverenOran,2),0))</f>
        <v/>
      </c>
      <c r="I800" s="37">
        <f>IF($A800="","",IFERROR(MAX(0,$H800-$G800),0))</f>
        <v/>
      </c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7">
        <f>IF($A801="","",IFERROR(ROUND($C801*INDEX(tblKurallar[deger_2025],MATCH("SGK-001",tblKurallar[kural_id],0))+$D801*INDEX(tblKurallar[deger_2025],MATCH("SGK-002",tblKurallar[kural_id],0))+$E801*INDEX(tblKurallar[deger_2025],MATCH("SGK-004",tblKurallar[kural_id],0))+$F801*sgk_isverenOran,2),0))</f>
        <v/>
      </c>
      <c r="I801" s="37">
        <f>IF($A801="","",IFERROR(MAX(0,$H801-$G801),0))</f>
        <v/>
      </c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7">
        <f>IF($A802="","",IFERROR(ROUND($C802*INDEX(tblKurallar[deger_2025],MATCH("SGK-001",tblKurallar[kural_id],0))+$D802*INDEX(tblKurallar[deger_2025],MATCH("SGK-002",tblKurallar[kural_id],0))+$E802*INDEX(tblKurallar[deger_2025],MATCH("SGK-004",tblKurallar[kural_id],0))+$F802*sgk_isverenOran,2),0))</f>
        <v/>
      </c>
      <c r="I802" s="37">
        <f>IF($A802="","",IFERROR(MAX(0,$H802-$G802),0))</f>
        <v/>
      </c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7">
        <f>IF($A803="","",IFERROR(ROUND($C803*INDEX(tblKurallar[deger_2025],MATCH("SGK-001",tblKurallar[kural_id],0))+$D803*INDEX(tblKurallar[deger_2025],MATCH("SGK-002",tblKurallar[kural_id],0))+$E803*INDEX(tblKurallar[deger_2025],MATCH("SGK-004",tblKurallar[kural_id],0))+$F803*sgk_isverenOran,2),0))</f>
        <v/>
      </c>
      <c r="I803" s="37">
        <f>IF($A803="","",IFERROR(MAX(0,$H803-$G803),0))</f>
        <v/>
      </c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7">
        <f>IF($A804="","",IFERROR(ROUND($C804*INDEX(tblKurallar[deger_2025],MATCH("SGK-001",tblKurallar[kural_id],0))+$D804*INDEX(tblKurallar[deger_2025],MATCH("SGK-002",tblKurallar[kural_id],0))+$E804*INDEX(tblKurallar[deger_2025],MATCH("SGK-004",tblKurallar[kural_id],0))+$F804*sgk_isverenOran,2),0))</f>
        <v/>
      </c>
      <c r="I804" s="37">
        <f>IF($A804="","",IFERROR(MAX(0,$H804-$G804),0))</f>
        <v/>
      </c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7">
        <f>IF($A805="","",IFERROR(ROUND($C805*INDEX(tblKurallar[deger_2025],MATCH("SGK-001",tblKurallar[kural_id],0))+$D805*INDEX(tblKurallar[deger_2025],MATCH("SGK-002",tblKurallar[kural_id],0))+$E805*INDEX(tblKurallar[deger_2025],MATCH("SGK-004",tblKurallar[kural_id],0))+$F805*sgk_isverenOran,2),0))</f>
        <v/>
      </c>
      <c r="I805" s="37">
        <f>IF($A805="","",IFERROR(MAX(0,$H805-$G805),0))</f>
        <v/>
      </c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7">
        <f>IF($A806="","",IFERROR(ROUND($C806*INDEX(tblKurallar[deger_2025],MATCH("SGK-001",tblKurallar[kural_id],0))+$D806*INDEX(tblKurallar[deger_2025],MATCH("SGK-002",tblKurallar[kural_id],0))+$E806*INDEX(tblKurallar[deger_2025],MATCH("SGK-004",tblKurallar[kural_id],0))+$F806*sgk_isverenOran,2),0))</f>
        <v/>
      </c>
      <c r="I806" s="37">
        <f>IF($A806="","",IFERROR(MAX(0,$H806-$G806),0))</f>
        <v/>
      </c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7">
        <f>IF($A807="","",IFERROR(ROUND($C807*INDEX(tblKurallar[deger_2025],MATCH("SGK-001",tblKurallar[kural_id],0))+$D807*INDEX(tblKurallar[deger_2025],MATCH("SGK-002",tblKurallar[kural_id],0))+$E807*INDEX(tblKurallar[deger_2025],MATCH("SGK-004",tblKurallar[kural_id],0))+$F807*sgk_isverenOran,2),0))</f>
        <v/>
      </c>
      <c r="I807" s="37">
        <f>IF($A807="","",IFERROR(MAX(0,$H807-$G807),0))</f>
        <v/>
      </c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7">
        <f>IF($A808="","",IFERROR(ROUND($C808*INDEX(tblKurallar[deger_2025],MATCH("SGK-001",tblKurallar[kural_id],0))+$D808*INDEX(tblKurallar[deger_2025],MATCH("SGK-002",tblKurallar[kural_id],0))+$E808*INDEX(tblKurallar[deger_2025],MATCH("SGK-004",tblKurallar[kural_id],0))+$F808*sgk_isverenOran,2),0))</f>
        <v/>
      </c>
      <c r="I808" s="37">
        <f>IF($A808="","",IFERROR(MAX(0,$H808-$G808),0))</f>
        <v/>
      </c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7">
        <f>IF($A809="","",IFERROR(ROUND($C809*INDEX(tblKurallar[deger_2025],MATCH("SGK-001",tblKurallar[kural_id],0))+$D809*INDEX(tblKurallar[deger_2025],MATCH("SGK-002",tblKurallar[kural_id],0))+$E809*INDEX(tblKurallar[deger_2025],MATCH("SGK-004",tblKurallar[kural_id],0))+$F809*sgk_isverenOran,2),0))</f>
        <v/>
      </c>
      <c r="I809" s="37">
        <f>IF($A809="","",IFERROR(MAX(0,$H809-$G809),0))</f>
        <v/>
      </c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7">
        <f>IF($A810="","",IFERROR(ROUND($C810*INDEX(tblKurallar[deger_2025],MATCH("SGK-001",tblKurallar[kural_id],0))+$D810*INDEX(tblKurallar[deger_2025],MATCH("SGK-002",tblKurallar[kural_id],0))+$E810*INDEX(tblKurallar[deger_2025],MATCH("SGK-004",tblKurallar[kural_id],0))+$F810*sgk_isverenOran,2),0))</f>
        <v/>
      </c>
      <c r="I810" s="37">
        <f>IF($A810="","",IFERROR(MAX(0,$H810-$G810),0))</f>
        <v/>
      </c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7">
        <f>IF($A811="","",IFERROR(ROUND($C811*INDEX(tblKurallar[deger_2025],MATCH("SGK-001",tblKurallar[kural_id],0))+$D811*INDEX(tblKurallar[deger_2025],MATCH("SGK-002",tblKurallar[kural_id],0))+$E811*INDEX(tblKurallar[deger_2025],MATCH("SGK-004",tblKurallar[kural_id],0))+$F811*sgk_isverenOran,2),0))</f>
        <v/>
      </c>
      <c r="I811" s="37">
        <f>IF($A811="","",IFERROR(MAX(0,$H811-$G811),0))</f>
        <v/>
      </c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7">
        <f>IF($A812="","",IFERROR(ROUND($C812*INDEX(tblKurallar[deger_2025],MATCH("SGK-001",tblKurallar[kural_id],0))+$D812*INDEX(tblKurallar[deger_2025],MATCH("SGK-002",tblKurallar[kural_id],0))+$E812*INDEX(tblKurallar[deger_2025],MATCH("SGK-004",tblKurallar[kural_id],0))+$F812*sgk_isverenOran,2),0))</f>
        <v/>
      </c>
      <c r="I812" s="37">
        <f>IF($A812="","",IFERROR(MAX(0,$H812-$G812),0))</f>
        <v/>
      </c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7">
        <f>IF($A813="","",IFERROR(ROUND($C813*INDEX(tblKurallar[deger_2025],MATCH("SGK-001",tblKurallar[kural_id],0))+$D813*INDEX(tblKurallar[deger_2025],MATCH("SGK-002",tblKurallar[kural_id],0))+$E813*INDEX(tblKurallar[deger_2025],MATCH("SGK-004",tblKurallar[kural_id],0))+$F813*sgk_isverenOran,2),0))</f>
        <v/>
      </c>
      <c r="I813" s="37">
        <f>IF($A813="","",IFERROR(MAX(0,$H813-$G813),0))</f>
        <v/>
      </c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7">
        <f>IF($A814="","",IFERROR(ROUND($C814*INDEX(tblKurallar[deger_2025],MATCH("SGK-001",tblKurallar[kural_id],0))+$D814*INDEX(tblKurallar[deger_2025],MATCH("SGK-002",tblKurallar[kural_id],0))+$E814*INDEX(tblKurallar[deger_2025],MATCH("SGK-004",tblKurallar[kural_id],0))+$F814*sgk_isverenOran,2),0))</f>
        <v/>
      </c>
      <c r="I814" s="37">
        <f>IF($A814="","",IFERROR(MAX(0,$H814-$G814),0))</f>
        <v/>
      </c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7">
        <f>IF($A815="","",IFERROR(ROUND($C815*INDEX(tblKurallar[deger_2025],MATCH("SGK-001",tblKurallar[kural_id],0))+$D815*INDEX(tblKurallar[deger_2025],MATCH("SGK-002",tblKurallar[kural_id],0))+$E815*INDEX(tblKurallar[deger_2025],MATCH("SGK-004",tblKurallar[kural_id],0))+$F815*sgk_isverenOran,2),0))</f>
        <v/>
      </c>
      <c r="I815" s="37">
        <f>IF($A815="","",IFERROR(MAX(0,$H815-$G815),0))</f>
        <v/>
      </c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7">
        <f>IF($A816="","",IFERROR(ROUND($C816*INDEX(tblKurallar[deger_2025],MATCH("SGK-001",tblKurallar[kural_id],0))+$D816*INDEX(tblKurallar[deger_2025],MATCH("SGK-002",tblKurallar[kural_id],0))+$E816*INDEX(tblKurallar[deger_2025],MATCH("SGK-004",tblKurallar[kural_id],0))+$F816*sgk_isverenOran,2),0))</f>
        <v/>
      </c>
      <c r="I816" s="37">
        <f>IF($A816="","",IFERROR(MAX(0,$H816-$G816),0))</f>
        <v/>
      </c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7">
        <f>IF($A817="","",IFERROR(ROUND($C817*INDEX(tblKurallar[deger_2025],MATCH("SGK-001",tblKurallar[kural_id],0))+$D817*INDEX(tblKurallar[deger_2025],MATCH("SGK-002",tblKurallar[kural_id],0))+$E817*INDEX(tblKurallar[deger_2025],MATCH("SGK-004",tblKurallar[kural_id],0))+$F817*sgk_isverenOran,2),0))</f>
        <v/>
      </c>
      <c r="I817" s="37">
        <f>IF($A817="","",IFERROR(MAX(0,$H817-$G817),0))</f>
        <v/>
      </c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7">
        <f>IF($A818="","",IFERROR(ROUND($C818*INDEX(tblKurallar[deger_2025],MATCH("SGK-001",tblKurallar[kural_id],0))+$D818*INDEX(tblKurallar[deger_2025],MATCH("SGK-002",tblKurallar[kural_id],0))+$E818*INDEX(tblKurallar[deger_2025],MATCH("SGK-004",tblKurallar[kural_id],0))+$F818*sgk_isverenOran,2),0))</f>
        <v/>
      </c>
      <c r="I818" s="37">
        <f>IF($A818="","",IFERROR(MAX(0,$H818-$G818),0))</f>
        <v/>
      </c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7">
        <f>IF($A819="","",IFERROR(ROUND($C819*INDEX(tblKurallar[deger_2025],MATCH("SGK-001",tblKurallar[kural_id],0))+$D819*INDEX(tblKurallar[deger_2025],MATCH("SGK-002",tblKurallar[kural_id],0))+$E819*INDEX(tblKurallar[deger_2025],MATCH("SGK-004",tblKurallar[kural_id],0))+$F819*sgk_isverenOran,2),0))</f>
        <v/>
      </c>
      <c r="I819" s="37">
        <f>IF($A819="","",IFERROR(MAX(0,$H819-$G819),0))</f>
        <v/>
      </c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7">
        <f>IF($A820="","",IFERROR(ROUND($C820*INDEX(tblKurallar[deger_2025],MATCH("SGK-001",tblKurallar[kural_id],0))+$D820*INDEX(tblKurallar[deger_2025],MATCH("SGK-002",tblKurallar[kural_id],0))+$E820*INDEX(tblKurallar[deger_2025],MATCH("SGK-004",tblKurallar[kural_id],0))+$F820*sgk_isverenOran,2),0))</f>
        <v/>
      </c>
      <c r="I820" s="37">
        <f>IF($A820="","",IFERROR(MAX(0,$H820-$G820),0))</f>
        <v/>
      </c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7">
        <f>IF($A821="","",IFERROR(ROUND($C821*INDEX(tblKurallar[deger_2025],MATCH("SGK-001",tblKurallar[kural_id],0))+$D821*INDEX(tblKurallar[deger_2025],MATCH("SGK-002",tblKurallar[kural_id],0))+$E821*INDEX(tblKurallar[deger_2025],MATCH("SGK-004",tblKurallar[kural_id],0))+$F821*sgk_isverenOran,2),0))</f>
        <v/>
      </c>
      <c r="I821" s="37">
        <f>IF($A821="","",IFERROR(MAX(0,$H821-$G821),0))</f>
        <v/>
      </c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7">
        <f>IF($A822="","",IFERROR(ROUND($C822*INDEX(tblKurallar[deger_2025],MATCH("SGK-001",tblKurallar[kural_id],0))+$D822*INDEX(tblKurallar[deger_2025],MATCH("SGK-002",tblKurallar[kural_id],0))+$E822*INDEX(tblKurallar[deger_2025],MATCH("SGK-004",tblKurallar[kural_id],0))+$F822*sgk_isverenOran,2),0))</f>
        <v/>
      </c>
      <c r="I822" s="37">
        <f>IF($A822="","",IFERROR(MAX(0,$H822-$G822),0))</f>
        <v/>
      </c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7">
        <f>IF($A823="","",IFERROR(ROUND($C823*INDEX(tblKurallar[deger_2025],MATCH("SGK-001",tblKurallar[kural_id],0))+$D823*INDEX(tblKurallar[deger_2025],MATCH("SGK-002",tblKurallar[kural_id],0))+$E823*INDEX(tblKurallar[deger_2025],MATCH("SGK-004",tblKurallar[kural_id],0))+$F823*sgk_isverenOran,2),0))</f>
        <v/>
      </c>
      <c r="I823" s="37">
        <f>IF($A823="","",IFERROR(MAX(0,$H823-$G823),0))</f>
        <v/>
      </c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7">
        <f>IF($A824="","",IFERROR(ROUND($C824*INDEX(tblKurallar[deger_2025],MATCH("SGK-001",tblKurallar[kural_id],0))+$D824*INDEX(tblKurallar[deger_2025],MATCH("SGK-002",tblKurallar[kural_id],0))+$E824*INDEX(tblKurallar[deger_2025],MATCH("SGK-004",tblKurallar[kural_id],0))+$F824*sgk_isverenOran,2),0))</f>
        <v/>
      </c>
      <c r="I824" s="37">
        <f>IF($A824="","",IFERROR(MAX(0,$H824-$G824),0))</f>
        <v/>
      </c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7">
        <f>IF($A825="","",IFERROR(ROUND($C825*INDEX(tblKurallar[deger_2025],MATCH("SGK-001",tblKurallar[kural_id],0))+$D825*INDEX(tblKurallar[deger_2025],MATCH("SGK-002",tblKurallar[kural_id],0))+$E825*INDEX(tblKurallar[deger_2025],MATCH("SGK-004",tblKurallar[kural_id],0))+$F825*sgk_isverenOran,2),0))</f>
        <v/>
      </c>
      <c r="I825" s="37">
        <f>IF($A825="","",IFERROR(MAX(0,$H825-$G825),0))</f>
        <v/>
      </c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7">
        <f>IF($A826="","",IFERROR(ROUND($C826*INDEX(tblKurallar[deger_2025],MATCH("SGK-001",tblKurallar[kural_id],0))+$D826*INDEX(tblKurallar[deger_2025],MATCH("SGK-002",tblKurallar[kural_id],0))+$E826*INDEX(tblKurallar[deger_2025],MATCH("SGK-004",tblKurallar[kural_id],0))+$F826*sgk_isverenOran,2),0))</f>
        <v/>
      </c>
      <c r="I826" s="37">
        <f>IF($A826="","",IFERROR(MAX(0,$H826-$G826),0))</f>
        <v/>
      </c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7">
        <f>IF($A827="","",IFERROR(ROUND($C827*INDEX(tblKurallar[deger_2025],MATCH("SGK-001",tblKurallar[kural_id],0))+$D827*INDEX(tblKurallar[deger_2025],MATCH("SGK-002",tblKurallar[kural_id],0))+$E827*INDEX(tblKurallar[deger_2025],MATCH("SGK-004",tblKurallar[kural_id],0))+$F827*sgk_isverenOran,2),0))</f>
        <v/>
      </c>
      <c r="I827" s="37">
        <f>IF($A827="","",IFERROR(MAX(0,$H827-$G827),0))</f>
        <v/>
      </c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7">
        <f>IF($A828="","",IFERROR(ROUND($C828*INDEX(tblKurallar[deger_2025],MATCH("SGK-001",tblKurallar[kural_id],0))+$D828*INDEX(tblKurallar[deger_2025],MATCH("SGK-002",tblKurallar[kural_id],0))+$E828*INDEX(tblKurallar[deger_2025],MATCH("SGK-004",tblKurallar[kural_id],0))+$F828*sgk_isverenOran,2),0))</f>
        <v/>
      </c>
      <c r="I828" s="37">
        <f>IF($A828="","",IFERROR(MAX(0,$H828-$G828),0))</f>
        <v/>
      </c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7">
        <f>IF($A829="","",IFERROR(ROUND($C829*INDEX(tblKurallar[deger_2025],MATCH("SGK-001",tblKurallar[kural_id],0))+$D829*INDEX(tblKurallar[deger_2025],MATCH("SGK-002",tblKurallar[kural_id],0))+$E829*INDEX(tblKurallar[deger_2025],MATCH("SGK-004",tblKurallar[kural_id],0))+$F829*sgk_isverenOran,2),0))</f>
        <v/>
      </c>
      <c r="I829" s="37">
        <f>IF($A829="","",IFERROR(MAX(0,$H829-$G829),0))</f>
        <v/>
      </c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7">
        <f>IF($A830="","",IFERROR(ROUND($C830*INDEX(tblKurallar[deger_2025],MATCH("SGK-001",tblKurallar[kural_id],0))+$D830*INDEX(tblKurallar[deger_2025],MATCH("SGK-002",tblKurallar[kural_id],0))+$E830*INDEX(tblKurallar[deger_2025],MATCH("SGK-004",tblKurallar[kural_id],0))+$F830*sgk_isverenOran,2),0))</f>
        <v/>
      </c>
      <c r="I830" s="37">
        <f>IF($A830="","",IFERROR(MAX(0,$H830-$G830),0))</f>
        <v/>
      </c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7">
        <f>IF($A831="","",IFERROR(ROUND($C831*INDEX(tblKurallar[deger_2025],MATCH("SGK-001",tblKurallar[kural_id],0))+$D831*INDEX(tblKurallar[deger_2025],MATCH("SGK-002",tblKurallar[kural_id],0))+$E831*INDEX(tblKurallar[deger_2025],MATCH("SGK-004",tblKurallar[kural_id],0))+$F831*sgk_isverenOran,2),0))</f>
        <v/>
      </c>
      <c r="I831" s="37">
        <f>IF($A831="","",IFERROR(MAX(0,$H831-$G831),0))</f>
        <v/>
      </c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7">
        <f>IF($A832="","",IFERROR(ROUND($C832*INDEX(tblKurallar[deger_2025],MATCH("SGK-001",tblKurallar[kural_id],0))+$D832*INDEX(tblKurallar[deger_2025],MATCH("SGK-002",tblKurallar[kural_id],0))+$E832*INDEX(tblKurallar[deger_2025],MATCH("SGK-004",tblKurallar[kural_id],0))+$F832*sgk_isverenOran,2),0))</f>
        <v/>
      </c>
      <c r="I832" s="37">
        <f>IF($A832="","",IFERROR(MAX(0,$H832-$G832),0))</f>
        <v/>
      </c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7">
        <f>IF($A833="","",IFERROR(ROUND($C833*INDEX(tblKurallar[deger_2025],MATCH("SGK-001",tblKurallar[kural_id],0))+$D833*INDEX(tblKurallar[deger_2025],MATCH("SGK-002",tblKurallar[kural_id],0))+$E833*INDEX(tblKurallar[deger_2025],MATCH("SGK-004",tblKurallar[kural_id],0))+$F833*sgk_isverenOran,2),0))</f>
        <v/>
      </c>
      <c r="I833" s="37">
        <f>IF($A833="","",IFERROR(MAX(0,$H833-$G833),0))</f>
        <v/>
      </c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7">
        <f>IF($A834="","",IFERROR(ROUND($C834*INDEX(tblKurallar[deger_2025],MATCH("SGK-001",tblKurallar[kural_id],0))+$D834*INDEX(tblKurallar[deger_2025],MATCH("SGK-002",tblKurallar[kural_id],0))+$E834*INDEX(tblKurallar[deger_2025],MATCH("SGK-004",tblKurallar[kural_id],0))+$F834*sgk_isverenOran,2),0))</f>
        <v/>
      </c>
      <c r="I834" s="37">
        <f>IF($A834="","",IFERROR(MAX(0,$H834-$G834),0))</f>
        <v/>
      </c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7">
        <f>IF($A835="","",IFERROR(ROUND($C835*INDEX(tblKurallar[deger_2025],MATCH("SGK-001",tblKurallar[kural_id],0))+$D835*INDEX(tblKurallar[deger_2025],MATCH("SGK-002",tblKurallar[kural_id],0))+$E835*INDEX(tblKurallar[deger_2025],MATCH("SGK-004",tblKurallar[kural_id],0))+$F835*sgk_isverenOran,2),0))</f>
        <v/>
      </c>
      <c r="I835" s="37">
        <f>IF($A835="","",IFERROR(MAX(0,$H835-$G835),0))</f>
        <v/>
      </c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7">
        <f>IF($A836="","",IFERROR(ROUND($C836*INDEX(tblKurallar[deger_2025],MATCH("SGK-001",tblKurallar[kural_id],0))+$D836*INDEX(tblKurallar[deger_2025],MATCH("SGK-002",tblKurallar[kural_id],0))+$E836*INDEX(tblKurallar[deger_2025],MATCH("SGK-004",tblKurallar[kural_id],0))+$F836*sgk_isverenOran,2),0))</f>
        <v/>
      </c>
      <c r="I836" s="37">
        <f>IF($A836="","",IFERROR(MAX(0,$H836-$G836),0))</f>
        <v/>
      </c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7">
        <f>IF($A837="","",IFERROR(ROUND($C837*INDEX(tblKurallar[deger_2025],MATCH("SGK-001",tblKurallar[kural_id],0))+$D837*INDEX(tblKurallar[deger_2025],MATCH("SGK-002",tblKurallar[kural_id],0))+$E837*INDEX(tblKurallar[deger_2025],MATCH("SGK-004",tblKurallar[kural_id],0))+$F837*sgk_isverenOran,2),0))</f>
        <v/>
      </c>
      <c r="I837" s="37">
        <f>IF($A837="","",IFERROR(MAX(0,$H837-$G837),0))</f>
        <v/>
      </c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7">
        <f>IF($A838="","",IFERROR(ROUND($C838*INDEX(tblKurallar[deger_2025],MATCH("SGK-001",tblKurallar[kural_id],0))+$D838*INDEX(tblKurallar[deger_2025],MATCH("SGK-002",tblKurallar[kural_id],0))+$E838*INDEX(tblKurallar[deger_2025],MATCH("SGK-004",tblKurallar[kural_id],0))+$F838*sgk_isverenOran,2),0))</f>
        <v/>
      </c>
      <c r="I838" s="37">
        <f>IF($A838="","",IFERROR(MAX(0,$H838-$G838),0))</f>
        <v/>
      </c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7">
        <f>IF($A839="","",IFERROR(ROUND($C839*INDEX(tblKurallar[deger_2025],MATCH("SGK-001",tblKurallar[kural_id],0))+$D839*INDEX(tblKurallar[deger_2025],MATCH("SGK-002",tblKurallar[kural_id],0))+$E839*INDEX(tblKurallar[deger_2025],MATCH("SGK-004",tblKurallar[kural_id],0))+$F839*sgk_isverenOran,2),0))</f>
        <v/>
      </c>
      <c r="I839" s="37">
        <f>IF($A839="","",IFERROR(MAX(0,$H839-$G839),0))</f>
        <v/>
      </c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7">
        <f>IF($A840="","",IFERROR(ROUND($C840*INDEX(tblKurallar[deger_2025],MATCH("SGK-001",tblKurallar[kural_id],0))+$D840*INDEX(tblKurallar[deger_2025],MATCH("SGK-002",tblKurallar[kural_id],0))+$E840*INDEX(tblKurallar[deger_2025],MATCH("SGK-004",tblKurallar[kural_id],0))+$F840*sgk_isverenOran,2),0))</f>
        <v/>
      </c>
      <c r="I840" s="37">
        <f>IF($A840="","",IFERROR(MAX(0,$H840-$G840),0))</f>
        <v/>
      </c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7">
        <f>IF($A841="","",IFERROR(ROUND($C841*INDEX(tblKurallar[deger_2025],MATCH("SGK-001",tblKurallar[kural_id],0))+$D841*INDEX(tblKurallar[deger_2025],MATCH("SGK-002",tblKurallar[kural_id],0))+$E841*INDEX(tblKurallar[deger_2025],MATCH("SGK-004",tblKurallar[kural_id],0))+$F841*sgk_isverenOran,2),0))</f>
        <v/>
      </c>
      <c r="I841" s="37">
        <f>IF($A841="","",IFERROR(MAX(0,$H841-$G841),0))</f>
        <v/>
      </c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7">
        <f>IF($A842="","",IFERROR(ROUND($C842*INDEX(tblKurallar[deger_2025],MATCH("SGK-001",tblKurallar[kural_id],0))+$D842*INDEX(tblKurallar[deger_2025],MATCH("SGK-002",tblKurallar[kural_id],0))+$E842*INDEX(tblKurallar[deger_2025],MATCH("SGK-004",tblKurallar[kural_id],0))+$F842*sgk_isverenOran,2),0))</f>
        <v/>
      </c>
      <c r="I842" s="37">
        <f>IF($A842="","",IFERROR(MAX(0,$H842-$G842),0))</f>
        <v/>
      </c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7">
        <f>IF($A843="","",IFERROR(ROUND($C843*INDEX(tblKurallar[deger_2025],MATCH("SGK-001",tblKurallar[kural_id],0))+$D843*INDEX(tblKurallar[deger_2025],MATCH("SGK-002",tblKurallar[kural_id],0))+$E843*INDEX(tblKurallar[deger_2025],MATCH("SGK-004",tblKurallar[kural_id],0))+$F843*sgk_isverenOran,2),0))</f>
        <v/>
      </c>
      <c r="I843" s="37">
        <f>IF($A843="","",IFERROR(MAX(0,$H843-$G843),0))</f>
        <v/>
      </c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7">
        <f>IF($A844="","",IFERROR(ROUND($C844*INDEX(tblKurallar[deger_2025],MATCH("SGK-001",tblKurallar[kural_id],0))+$D844*INDEX(tblKurallar[deger_2025],MATCH("SGK-002",tblKurallar[kural_id],0))+$E844*INDEX(tblKurallar[deger_2025],MATCH("SGK-004",tblKurallar[kural_id],0))+$F844*sgk_isverenOran,2),0))</f>
        <v/>
      </c>
      <c r="I844" s="37">
        <f>IF($A844="","",IFERROR(MAX(0,$H844-$G844),0))</f>
        <v/>
      </c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7">
        <f>IF($A845="","",IFERROR(ROUND($C845*INDEX(tblKurallar[deger_2025],MATCH("SGK-001",tblKurallar[kural_id],0))+$D845*INDEX(tblKurallar[deger_2025],MATCH("SGK-002",tblKurallar[kural_id],0))+$E845*INDEX(tblKurallar[deger_2025],MATCH("SGK-004",tblKurallar[kural_id],0))+$F845*sgk_isverenOran,2),0))</f>
        <v/>
      </c>
      <c r="I845" s="37">
        <f>IF($A845="","",IFERROR(MAX(0,$H845-$G845),0))</f>
        <v/>
      </c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7">
        <f>IF($A846="","",IFERROR(ROUND($C846*INDEX(tblKurallar[deger_2025],MATCH("SGK-001",tblKurallar[kural_id],0))+$D846*INDEX(tblKurallar[deger_2025],MATCH("SGK-002",tblKurallar[kural_id],0))+$E846*INDEX(tblKurallar[deger_2025],MATCH("SGK-004",tblKurallar[kural_id],0))+$F846*sgk_isverenOran,2),0))</f>
        <v/>
      </c>
      <c r="I846" s="37">
        <f>IF($A846="","",IFERROR(MAX(0,$H846-$G846),0))</f>
        <v/>
      </c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7">
        <f>IF($A847="","",IFERROR(ROUND($C847*INDEX(tblKurallar[deger_2025],MATCH("SGK-001",tblKurallar[kural_id],0))+$D847*INDEX(tblKurallar[deger_2025],MATCH("SGK-002",tblKurallar[kural_id],0))+$E847*INDEX(tblKurallar[deger_2025],MATCH("SGK-004",tblKurallar[kural_id],0))+$F847*sgk_isverenOran,2),0))</f>
        <v/>
      </c>
      <c r="I847" s="37">
        <f>IF($A847="","",IFERROR(MAX(0,$H847-$G847),0))</f>
        <v/>
      </c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7">
        <f>IF($A848="","",IFERROR(ROUND($C848*INDEX(tblKurallar[deger_2025],MATCH("SGK-001",tblKurallar[kural_id],0))+$D848*INDEX(tblKurallar[deger_2025],MATCH("SGK-002",tblKurallar[kural_id],0))+$E848*INDEX(tblKurallar[deger_2025],MATCH("SGK-004",tblKurallar[kural_id],0))+$F848*sgk_isverenOran,2),0))</f>
        <v/>
      </c>
      <c r="I848" s="37">
        <f>IF($A848="","",IFERROR(MAX(0,$H848-$G848),0))</f>
        <v/>
      </c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7">
        <f>IF($A849="","",IFERROR(ROUND($C849*INDEX(tblKurallar[deger_2025],MATCH("SGK-001",tblKurallar[kural_id],0))+$D849*INDEX(tblKurallar[deger_2025],MATCH("SGK-002",tblKurallar[kural_id],0))+$E849*INDEX(tblKurallar[deger_2025],MATCH("SGK-004",tblKurallar[kural_id],0))+$F849*sgk_isverenOran,2),0))</f>
        <v/>
      </c>
      <c r="I849" s="37">
        <f>IF($A849="","",IFERROR(MAX(0,$H849-$G849),0))</f>
        <v/>
      </c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7">
        <f>IF($A850="","",IFERROR(ROUND($C850*INDEX(tblKurallar[deger_2025],MATCH("SGK-001",tblKurallar[kural_id],0))+$D850*INDEX(tblKurallar[deger_2025],MATCH("SGK-002",tblKurallar[kural_id],0))+$E850*INDEX(tblKurallar[deger_2025],MATCH("SGK-004",tblKurallar[kural_id],0))+$F850*sgk_isverenOran,2),0))</f>
        <v/>
      </c>
      <c r="I850" s="37">
        <f>IF($A850="","",IFERROR(MAX(0,$H850-$G850),0))</f>
        <v/>
      </c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7">
        <f>IF($A851="","",IFERROR(ROUND($C851*INDEX(tblKurallar[deger_2025],MATCH("SGK-001",tblKurallar[kural_id],0))+$D851*INDEX(tblKurallar[deger_2025],MATCH("SGK-002",tblKurallar[kural_id],0))+$E851*INDEX(tblKurallar[deger_2025],MATCH("SGK-004",tblKurallar[kural_id],0))+$F851*sgk_isverenOran,2),0))</f>
        <v/>
      </c>
      <c r="I851" s="37">
        <f>IF($A851="","",IFERROR(MAX(0,$H851-$G851),0))</f>
        <v/>
      </c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7">
        <f>IF($A852="","",IFERROR(ROUND($C852*INDEX(tblKurallar[deger_2025],MATCH("SGK-001",tblKurallar[kural_id],0))+$D852*INDEX(tblKurallar[deger_2025],MATCH("SGK-002",tblKurallar[kural_id],0))+$E852*INDEX(tblKurallar[deger_2025],MATCH("SGK-004",tblKurallar[kural_id],0))+$F852*sgk_isverenOran,2),0))</f>
        <v/>
      </c>
      <c r="I852" s="37">
        <f>IF($A852="","",IFERROR(MAX(0,$H852-$G852),0))</f>
        <v/>
      </c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7">
        <f>IF($A853="","",IFERROR(ROUND($C853*INDEX(tblKurallar[deger_2025],MATCH("SGK-001",tblKurallar[kural_id],0))+$D853*INDEX(tblKurallar[deger_2025],MATCH("SGK-002",tblKurallar[kural_id],0))+$E853*INDEX(tblKurallar[deger_2025],MATCH("SGK-004",tblKurallar[kural_id],0))+$F853*sgk_isverenOran,2),0))</f>
        <v/>
      </c>
      <c r="I853" s="37">
        <f>IF($A853="","",IFERROR(MAX(0,$H853-$G853),0))</f>
        <v/>
      </c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7">
        <f>IF($A854="","",IFERROR(ROUND($C854*INDEX(tblKurallar[deger_2025],MATCH("SGK-001",tblKurallar[kural_id],0))+$D854*INDEX(tblKurallar[deger_2025],MATCH("SGK-002",tblKurallar[kural_id],0))+$E854*INDEX(tblKurallar[deger_2025],MATCH("SGK-004",tblKurallar[kural_id],0))+$F854*sgk_isverenOran,2),0))</f>
        <v/>
      </c>
      <c r="I854" s="37">
        <f>IF($A854="","",IFERROR(MAX(0,$H854-$G854),0))</f>
        <v/>
      </c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7">
        <f>IF($A855="","",IFERROR(ROUND($C855*INDEX(tblKurallar[deger_2025],MATCH("SGK-001",tblKurallar[kural_id],0))+$D855*INDEX(tblKurallar[deger_2025],MATCH("SGK-002",tblKurallar[kural_id],0))+$E855*INDEX(tblKurallar[deger_2025],MATCH("SGK-004",tblKurallar[kural_id],0))+$F855*sgk_isverenOran,2),0))</f>
        <v/>
      </c>
      <c r="I855" s="37">
        <f>IF($A855="","",IFERROR(MAX(0,$H855-$G855),0))</f>
        <v/>
      </c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7">
        <f>IF($A856="","",IFERROR(ROUND($C856*INDEX(tblKurallar[deger_2025],MATCH("SGK-001",tblKurallar[kural_id],0))+$D856*INDEX(tblKurallar[deger_2025],MATCH("SGK-002",tblKurallar[kural_id],0))+$E856*INDEX(tblKurallar[deger_2025],MATCH("SGK-004",tblKurallar[kural_id],0))+$F856*sgk_isverenOran,2),0))</f>
        <v/>
      </c>
      <c r="I856" s="37">
        <f>IF($A856="","",IFERROR(MAX(0,$H856-$G856),0))</f>
        <v/>
      </c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7">
        <f>IF($A857="","",IFERROR(ROUND($C857*INDEX(tblKurallar[deger_2025],MATCH("SGK-001",tblKurallar[kural_id],0))+$D857*INDEX(tblKurallar[deger_2025],MATCH("SGK-002",tblKurallar[kural_id],0))+$E857*INDEX(tblKurallar[deger_2025],MATCH("SGK-004",tblKurallar[kural_id],0))+$F857*sgk_isverenOran,2),0))</f>
        <v/>
      </c>
      <c r="I857" s="37">
        <f>IF($A857="","",IFERROR(MAX(0,$H857-$G857),0))</f>
        <v/>
      </c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7">
        <f>IF($A858="","",IFERROR(ROUND($C858*INDEX(tblKurallar[deger_2025],MATCH("SGK-001",tblKurallar[kural_id],0))+$D858*INDEX(tblKurallar[deger_2025],MATCH("SGK-002",tblKurallar[kural_id],0))+$E858*INDEX(tblKurallar[deger_2025],MATCH("SGK-004",tblKurallar[kural_id],0))+$F858*sgk_isverenOran,2),0))</f>
        <v/>
      </c>
      <c r="I858" s="37">
        <f>IF($A858="","",IFERROR(MAX(0,$H858-$G858),0))</f>
        <v/>
      </c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7">
        <f>IF($A859="","",IFERROR(ROUND($C859*INDEX(tblKurallar[deger_2025],MATCH("SGK-001",tblKurallar[kural_id],0))+$D859*INDEX(tblKurallar[deger_2025],MATCH("SGK-002",tblKurallar[kural_id],0))+$E859*INDEX(tblKurallar[deger_2025],MATCH("SGK-004",tblKurallar[kural_id],0))+$F859*sgk_isverenOran,2),0))</f>
        <v/>
      </c>
      <c r="I859" s="37">
        <f>IF($A859="","",IFERROR(MAX(0,$H859-$G859),0))</f>
        <v/>
      </c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7">
        <f>IF($A860="","",IFERROR(ROUND($C860*INDEX(tblKurallar[deger_2025],MATCH("SGK-001",tblKurallar[kural_id],0))+$D860*INDEX(tblKurallar[deger_2025],MATCH("SGK-002",tblKurallar[kural_id],0))+$E860*INDEX(tblKurallar[deger_2025],MATCH("SGK-004",tblKurallar[kural_id],0))+$F860*sgk_isverenOran,2),0))</f>
        <v/>
      </c>
      <c r="I860" s="37">
        <f>IF($A860="","",IFERROR(MAX(0,$H860-$G860),0))</f>
        <v/>
      </c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7">
        <f>IF($A861="","",IFERROR(ROUND($C861*INDEX(tblKurallar[deger_2025],MATCH("SGK-001",tblKurallar[kural_id],0))+$D861*INDEX(tblKurallar[deger_2025],MATCH("SGK-002",tblKurallar[kural_id],0))+$E861*INDEX(tblKurallar[deger_2025],MATCH("SGK-004",tblKurallar[kural_id],0))+$F861*sgk_isverenOran,2),0))</f>
        <v/>
      </c>
      <c r="I861" s="37">
        <f>IF($A861="","",IFERROR(MAX(0,$H861-$G861),0))</f>
        <v/>
      </c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7">
        <f>IF($A862="","",IFERROR(ROUND($C862*INDEX(tblKurallar[deger_2025],MATCH("SGK-001",tblKurallar[kural_id],0))+$D862*INDEX(tblKurallar[deger_2025],MATCH("SGK-002",tblKurallar[kural_id],0))+$E862*INDEX(tblKurallar[deger_2025],MATCH("SGK-004",tblKurallar[kural_id],0))+$F862*sgk_isverenOran,2),0))</f>
        <v/>
      </c>
      <c r="I862" s="37">
        <f>IF($A862="","",IFERROR(MAX(0,$H862-$G862),0))</f>
        <v/>
      </c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7">
        <f>IF($A863="","",IFERROR(ROUND($C863*INDEX(tblKurallar[deger_2025],MATCH("SGK-001",tblKurallar[kural_id],0))+$D863*INDEX(tblKurallar[deger_2025],MATCH("SGK-002",tblKurallar[kural_id],0))+$E863*INDEX(tblKurallar[deger_2025],MATCH("SGK-004",tblKurallar[kural_id],0))+$F863*sgk_isverenOran,2),0))</f>
        <v/>
      </c>
      <c r="I863" s="37">
        <f>IF($A863="","",IFERROR(MAX(0,$H863-$G863),0))</f>
        <v/>
      </c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7">
        <f>IF($A864="","",IFERROR(ROUND($C864*INDEX(tblKurallar[deger_2025],MATCH("SGK-001",tblKurallar[kural_id],0))+$D864*INDEX(tblKurallar[deger_2025],MATCH("SGK-002",tblKurallar[kural_id],0))+$E864*INDEX(tblKurallar[deger_2025],MATCH("SGK-004",tblKurallar[kural_id],0))+$F864*sgk_isverenOran,2),0))</f>
        <v/>
      </c>
      <c r="I864" s="37">
        <f>IF($A864="","",IFERROR(MAX(0,$H864-$G864),0))</f>
        <v/>
      </c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7">
        <f>IF($A865="","",IFERROR(ROUND($C865*INDEX(tblKurallar[deger_2025],MATCH("SGK-001",tblKurallar[kural_id],0))+$D865*INDEX(tblKurallar[deger_2025],MATCH("SGK-002",tblKurallar[kural_id],0))+$E865*INDEX(tblKurallar[deger_2025],MATCH("SGK-004",tblKurallar[kural_id],0))+$F865*sgk_isverenOran,2),0))</f>
        <v/>
      </c>
      <c r="I865" s="37">
        <f>IF($A865="","",IFERROR(MAX(0,$H865-$G865),0))</f>
        <v/>
      </c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7">
        <f>IF($A866="","",IFERROR(ROUND($C866*INDEX(tblKurallar[deger_2025],MATCH("SGK-001",tblKurallar[kural_id],0))+$D866*INDEX(tblKurallar[deger_2025],MATCH("SGK-002",tblKurallar[kural_id],0))+$E866*INDEX(tblKurallar[deger_2025],MATCH("SGK-004",tblKurallar[kural_id],0))+$F866*sgk_isverenOran,2),0))</f>
        <v/>
      </c>
      <c r="I866" s="37">
        <f>IF($A866="","",IFERROR(MAX(0,$H866-$G866),0))</f>
        <v/>
      </c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7">
        <f>IF($A867="","",IFERROR(ROUND($C867*INDEX(tblKurallar[deger_2025],MATCH("SGK-001",tblKurallar[kural_id],0))+$D867*INDEX(tblKurallar[deger_2025],MATCH("SGK-002",tblKurallar[kural_id],0))+$E867*INDEX(tblKurallar[deger_2025],MATCH("SGK-004",tblKurallar[kural_id],0))+$F867*sgk_isverenOran,2),0))</f>
        <v/>
      </c>
      <c r="I867" s="37">
        <f>IF($A867="","",IFERROR(MAX(0,$H867-$G867),0))</f>
        <v/>
      </c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7">
        <f>IF($A868="","",IFERROR(ROUND($C868*INDEX(tblKurallar[deger_2025],MATCH("SGK-001",tblKurallar[kural_id],0))+$D868*INDEX(tblKurallar[deger_2025],MATCH("SGK-002",tblKurallar[kural_id],0))+$E868*INDEX(tblKurallar[deger_2025],MATCH("SGK-004",tblKurallar[kural_id],0))+$F868*sgk_isverenOran,2),0))</f>
        <v/>
      </c>
      <c r="I868" s="37">
        <f>IF($A868="","",IFERROR(MAX(0,$H868-$G868),0))</f>
        <v/>
      </c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7">
        <f>IF($A869="","",IFERROR(ROUND($C869*INDEX(tblKurallar[deger_2025],MATCH("SGK-001",tblKurallar[kural_id],0))+$D869*INDEX(tblKurallar[deger_2025],MATCH("SGK-002",tblKurallar[kural_id],0))+$E869*INDEX(tblKurallar[deger_2025],MATCH("SGK-004",tblKurallar[kural_id],0))+$F869*sgk_isverenOran,2),0))</f>
        <v/>
      </c>
      <c r="I869" s="37">
        <f>IF($A869="","",IFERROR(MAX(0,$H869-$G869),0))</f>
        <v/>
      </c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7">
        <f>IF($A870="","",IFERROR(ROUND($C870*INDEX(tblKurallar[deger_2025],MATCH("SGK-001",tblKurallar[kural_id],0))+$D870*INDEX(tblKurallar[deger_2025],MATCH("SGK-002",tblKurallar[kural_id],0))+$E870*INDEX(tblKurallar[deger_2025],MATCH("SGK-004",tblKurallar[kural_id],0))+$F870*sgk_isverenOran,2),0))</f>
        <v/>
      </c>
      <c r="I870" s="37">
        <f>IF($A870="","",IFERROR(MAX(0,$H870-$G870),0))</f>
        <v/>
      </c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7">
        <f>IF($A871="","",IFERROR(ROUND($C871*INDEX(tblKurallar[deger_2025],MATCH("SGK-001",tblKurallar[kural_id],0))+$D871*INDEX(tblKurallar[deger_2025],MATCH("SGK-002",tblKurallar[kural_id],0))+$E871*INDEX(tblKurallar[deger_2025],MATCH("SGK-004",tblKurallar[kural_id],0))+$F871*sgk_isverenOran,2),0))</f>
        <v/>
      </c>
      <c r="I871" s="37">
        <f>IF($A871="","",IFERROR(MAX(0,$H871-$G871),0))</f>
        <v/>
      </c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7">
        <f>IF($A872="","",IFERROR(ROUND($C872*INDEX(tblKurallar[deger_2025],MATCH("SGK-001",tblKurallar[kural_id],0))+$D872*INDEX(tblKurallar[deger_2025],MATCH("SGK-002",tblKurallar[kural_id],0))+$E872*INDEX(tblKurallar[deger_2025],MATCH("SGK-004",tblKurallar[kural_id],0))+$F872*sgk_isverenOran,2),0))</f>
        <v/>
      </c>
      <c r="I872" s="37">
        <f>IF($A872="","",IFERROR(MAX(0,$H872-$G872),0))</f>
        <v/>
      </c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7">
        <f>IF($A873="","",IFERROR(ROUND($C873*INDEX(tblKurallar[deger_2025],MATCH("SGK-001",tblKurallar[kural_id],0))+$D873*INDEX(tblKurallar[deger_2025],MATCH("SGK-002",tblKurallar[kural_id],0))+$E873*INDEX(tblKurallar[deger_2025],MATCH("SGK-004",tblKurallar[kural_id],0))+$F873*sgk_isverenOran,2),0))</f>
        <v/>
      </c>
      <c r="I873" s="37">
        <f>IF($A873="","",IFERROR(MAX(0,$H873-$G873),0))</f>
        <v/>
      </c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7">
        <f>IF($A874="","",IFERROR(ROUND($C874*INDEX(tblKurallar[deger_2025],MATCH("SGK-001",tblKurallar[kural_id],0))+$D874*INDEX(tblKurallar[deger_2025],MATCH("SGK-002",tblKurallar[kural_id],0))+$E874*INDEX(tblKurallar[deger_2025],MATCH("SGK-004",tblKurallar[kural_id],0))+$F874*sgk_isverenOran,2),0))</f>
        <v/>
      </c>
      <c r="I874" s="37">
        <f>IF($A874="","",IFERROR(MAX(0,$H874-$G874),0))</f>
        <v/>
      </c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7">
        <f>IF($A875="","",IFERROR(ROUND($C875*INDEX(tblKurallar[deger_2025],MATCH("SGK-001",tblKurallar[kural_id],0))+$D875*INDEX(tblKurallar[deger_2025],MATCH("SGK-002",tblKurallar[kural_id],0))+$E875*INDEX(tblKurallar[deger_2025],MATCH("SGK-004",tblKurallar[kural_id],0))+$F875*sgk_isverenOran,2),0))</f>
        <v/>
      </c>
      <c r="I875" s="37">
        <f>IF($A875="","",IFERROR(MAX(0,$H875-$G875),0))</f>
        <v/>
      </c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7">
        <f>IF($A876="","",IFERROR(ROUND($C876*INDEX(tblKurallar[deger_2025],MATCH("SGK-001",tblKurallar[kural_id],0))+$D876*INDEX(tblKurallar[deger_2025],MATCH("SGK-002",tblKurallar[kural_id],0))+$E876*INDEX(tblKurallar[deger_2025],MATCH("SGK-004",tblKurallar[kural_id],0))+$F876*sgk_isverenOran,2),0))</f>
        <v/>
      </c>
      <c r="I876" s="37">
        <f>IF($A876="","",IFERROR(MAX(0,$H876-$G876),0))</f>
        <v/>
      </c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7">
        <f>IF($A877="","",IFERROR(ROUND($C877*INDEX(tblKurallar[deger_2025],MATCH("SGK-001",tblKurallar[kural_id],0))+$D877*INDEX(tblKurallar[deger_2025],MATCH("SGK-002",tblKurallar[kural_id],0))+$E877*INDEX(tblKurallar[deger_2025],MATCH("SGK-004",tblKurallar[kural_id],0))+$F877*sgk_isverenOran,2),0))</f>
        <v/>
      </c>
      <c r="I877" s="37">
        <f>IF($A877="","",IFERROR(MAX(0,$H877-$G877),0))</f>
        <v/>
      </c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7">
        <f>IF($A878="","",IFERROR(ROUND($C878*INDEX(tblKurallar[deger_2025],MATCH("SGK-001",tblKurallar[kural_id],0))+$D878*INDEX(tblKurallar[deger_2025],MATCH("SGK-002",tblKurallar[kural_id],0))+$E878*INDEX(tblKurallar[deger_2025],MATCH("SGK-004",tblKurallar[kural_id],0))+$F878*sgk_isverenOran,2),0))</f>
        <v/>
      </c>
      <c r="I878" s="37">
        <f>IF($A878="","",IFERROR(MAX(0,$H878-$G878),0))</f>
        <v/>
      </c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7">
        <f>IF($A879="","",IFERROR(ROUND($C879*INDEX(tblKurallar[deger_2025],MATCH("SGK-001",tblKurallar[kural_id],0))+$D879*INDEX(tblKurallar[deger_2025],MATCH("SGK-002",tblKurallar[kural_id],0))+$E879*INDEX(tblKurallar[deger_2025],MATCH("SGK-004",tblKurallar[kural_id],0))+$F879*sgk_isverenOran,2),0))</f>
        <v/>
      </c>
      <c r="I879" s="37">
        <f>IF($A879="","",IFERROR(MAX(0,$H879-$G879),0))</f>
        <v/>
      </c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7">
        <f>IF($A880="","",IFERROR(ROUND($C880*INDEX(tblKurallar[deger_2025],MATCH("SGK-001",tblKurallar[kural_id],0))+$D880*INDEX(tblKurallar[deger_2025],MATCH("SGK-002",tblKurallar[kural_id],0))+$E880*INDEX(tblKurallar[deger_2025],MATCH("SGK-004",tblKurallar[kural_id],0))+$F880*sgk_isverenOran,2),0))</f>
        <v/>
      </c>
      <c r="I880" s="37">
        <f>IF($A880="","",IFERROR(MAX(0,$H880-$G880),0))</f>
        <v/>
      </c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7">
        <f>IF($A881="","",IFERROR(ROUND($C881*INDEX(tblKurallar[deger_2025],MATCH("SGK-001",tblKurallar[kural_id],0))+$D881*INDEX(tblKurallar[deger_2025],MATCH("SGK-002",tblKurallar[kural_id],0))+$E881*INDEX(tblKurallar[deger_2025],MATCH("SGK-004",tblKurallar[kural_id],0))+$F881*sgk_isverenOran,2),0))</f>
        <v/>
      </c>
      <c r="I881" s="37">
        <f>IF($A881="","",IFERROR(MAX(0,$H881-$G881),0))</f>
        <v/>
      </c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7">
        <f>IF($A882="","",IFERROR(ROUND($C882*INDEX(tblKurallar[deger_2025],MATCH("SGK-001",tblKurallar[kural_id],0))+$D882*INDEX(tblKurallar[deger_2025],MATCH("SGK-002",tblKurallar[kural_id],0))+$E882*INDEX(tblKurallar[deger_2025],MATCH("SGK-004",tblKurallar[kural_id],0))+$F882*sgk_isverenOran,2),0))</f>
        <v/>
      </c>
      <c r="I882" s="37">
        <f>IF($A882="","",IFERROR(MAX(0,$H882-$G882),0))</f>
        <v/>
      </c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7">
        <f>IF($A883="","",IFERROR(ROUND($C883*INDEX(tblKurallar[deger_2025],MATCH("SGK-001",tblKurallar[kural_id],0))+$D883*INDEX(tblKurallar[deger_2025],MATCH("SGK-002",tblKurallar[kural_id],0))+$E883*INDEX(tblKurallar[deger_2025],MATCH("SGK-004",tblKurallar[kural_id],0))+$F883*sgk_isverenOran,2),0))</f>
        <v/>
      </c>
      <c r="I883" s="37">
        <f>IF($A883="","",IFERROR(MAX(0,$H883-$G883),0))</f>
        <v/>
      </c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7">
        <f>IF($A884="","",IFERROR(ROUND($C884*INDEX(tblKurallar[deger_2025],MATCH("SGK-001",tblKurallar[kural_id],0))+$D884*INDEX(tblKurallar[deger_2025],MATCH("SGK-002",tblKurallar[kural_id],0))+$E884*INDEX(tblKurallar[deger_2025],MATCH("SGK-004",tblKurallar[kural_id],0))+$F884*sgk_isverenOran,2),0))</f>
        <v/>
      </c>
      <c r="I884" s="37">
        <f>IF($A884="","",IFERROR(MAX(0,$H884-$G884),0))</f>
        <v/>
      </c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7">
        <f>IF($A885="","",IFERROR(ROUND($C885*INDEX(tblKurallar[deger_2025],MATCH("SGK-001",tblKurallar[kural_id],0))+$D885*INDEX(tblKurallar[deger_2025],MATCH("SGK-002",tblKurallar[kural_id],0))+$E885*INDEX(tblKurallar[deger_2025],MATCH("SGK-004",tblKurallar[kural_id],0))+$F885*sgk_isverenOran,2),0))</f>
        <v/>
      </c>
      <c r="I885" s="37">
        <f>IF($A885="","",IFERROR(MAX(0,$H885-$G885),0))</f>
        <v/>
      </c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7">
        <f>IF($A886="","",IFERROR(ROUND($C886*INDEX(tblKurallar[deger_2025],MATCH("SGK-001",tblKurallar[kural_id],0))+$D886*INDEX(tblKurallar[deger_2025],MATCH("SGK-002",tblKurallar[kural_id],0))+$E886*INDEX(tblKurallar[deger_2025],MATCH("SGK-004",tblKurallar[kural_id],0))+$F886*sgk_isverenOran,2),0))</f>
        <v/>
      </c>
      <c r="I886" s="37">
        <f>IF($A886="","",IFERROR(MAX(0,$H886-$G886),0))</f>
        <v/>
      </c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7">
        <f>IF($A887="","",IFERROR(ROUND($C887*INDEX(tblKurallar[deger_2025],MATCH("SGK-001",tblKurallar[kural_id],0))+$D887*INDEX(tblKurallar[deger_2025],MATCH("SGK-002",tblKurallar[kural_id],0))+$E887*INDEX(tblKurallar[deger_2025],MATCH("SGK-004",tblKurallar[kural_id],0))+$F887*sgk_isverenOran,2),0))</f>
        <v/>
      </c>
      <c r="I887" s="37">
        <f>IF($A887="","",IFERROR(MAX(0,$H887-$G887),0))</f>
        <v/>
      </c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7">
        <f>IF($A888="","",IFERROR(ROUND($C888*INDEX(tblKurallar[deger_2025],MATCH("SGK-001",tblKurallar[kural_id],0))+$D888*INDEX(tblKurallar[deger_2025],MATCH("SGK-002",tblKurallar[kural_id],0))+$E888*INDEX(tblKurallar[deger_2025],MATCH("SGK-004",tblKurallar[kural_id],0))+$F888*sgk_isverenOran,2),0))</f>
        <v/>
      </c>
      <c r="I888" s="37">
        <f>IF($A888="","",IFERROR(MAX(0,$H888-$G888),0))</f>
        <v/>
      </c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7">
        <f>IF($A889="","",IFERROR(ROUND($C889*INDEX(tblKurallar[deger_2025],MATCH("SGK-001",tblKurallar[kural_id],0))+$D889*INDEX(tblKurallar[deger_2025],MATCH("SGK-002",tblKurallar[kural_id],0))+$E889*INDEX(tblKurallar[deger_2025],MATCH("SGK-004",tblKurallar[kural_id],0))+$F889*sgk_isverenOran,2),0))</f>
        <v/>
      </c>
      <c r="I889" s="37">
        <f>IF($A889="","",IFERROR(MAX(0,$H889-$G889),0))</f>
        <v/>
      </c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7">
        <f>IF($A890="","",IFERROR(ROUND($C890*INDEX(tblKurallar[deger_2025],MATCH("SGK-001",tblKurallar[kural_id],0))+$D890*INDEX(tblKurallar[deger_2025],MATCH("SGK-002",tblKurallar[kural_id],0))+$E890*INDEX(tblKurallar[deger_2025],MATCH("SGK-004",tblKurallar[kural_id],0))+$F890*sgk_isverenOran,2),0))</f>
        <v/>
      </c>
      <c r="I890" s="37">
        <f>IF($A890="","",IFERROR(MAX(0,$H890-$G890),0))</f>
        <v/>
      </c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7">
        <f>IF($A891="","",IFERROR(ROUND($C891*INDEX(tblKurallar[deger_2025],MATCH("SGK-001",tblKurallar[kural_id],0))+$D891*INDEX(tblKurallar[deger_2025],MATCH("SGK-002",tblKurallar[kural_id],0))+$E891*INDEX(tblKurallar[deger_2025],MATCH("SGK-004",tblKurallar[kural_id],0))+$F891*sgk_isverenOran,2),0))</f>
        <v/>
      </c>
      <c r="I891" s="37">
        <f>IF($A891="","",IFERROR(MAX(0,$H891-$G891),0))</f>
        <v/>
      </c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7">
        <f>IF($A892="","",IFERROR(ROUND($C892*INDEX(tblKurallar[deger_2025],MATCH("SGK-001",tblKurallar[kural_id],0))+$D892*INDEX(tblKurallar[deger_2025],MATCH("SGK-002",tblKurallar[kural_id],0))+$E892*INDEX(tblKurallar[deger_2025],MATCH("SGK-004",tblKurallar[kural_id],0))+$F892*sgk_isverenOran,2),0))</f>
        <v/>
      </c>
      <c r="I892" s="37">
        <f>IF($A892="","",IFERROR(MAX(0,$H892-$G892),0))</f>
        <v/>
      </c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7">
        <f>IF($A893="","",IFERROR(ROUND($C893*INDEX(tblKurallar[deger_2025],MATCH("SGK-001",tblKurallar[kural_id],0))+$D893*INDEX(tblKurallar[deger_2025],MATCH("SGK-002",tblKurallar[kural_id],0))+$E893*INDEX(tblKurallar[deger_2025],MATCH("SGK-004",tblKurallar[kural_id],0))+$F893*sgk_isverenOran,2),0))</f>
        <v/>
      </c>
      <c r="I893" s="37">
        <f>IF($A893="","",IFERROR(MAX(0,$H893-$G893),0))</f>
        <v/>
      </c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7">
        <f>IF($A894="","",IFERROR(ROUND($C894*INDEX(tblKurallar[deger_2025],MATCH("SGK-001",tblKurallar[kural_id],0))+$D894*INDEX(tblKurallar[deger_2025],MATCH("SGK-002",tblKurallar[kural_id],0))+$E894*INDEX(tblKurallar[deger_2025],MATCH("SGK-004",tblKurallar[kural_id],0))+$F894*sgk_isverenOran,2),0))</f>
        <v/>
      </c>
      <c r="I894" s="37">
        <f>IF($A894="","",IFERROR(MAX(0,$H894-$G894),0))</f>
        <v/>
      </c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7">
        <f>IF($A895="","",IFERROR(ROUND($C895*INDEX(tblKurallar[deger_2025],MATCH("SGK-001",tblKurallar[kural_id],0))+$D895*INDEX(tblKurallar[deger_2025],MATCH("SGK-002",tblKurallar[kural_id],0))+$E895*INDEX(tblKurallar[deger_2025],MATCH("SGK-004",tblKurallar[kural_id],0))+$F895*sgk_isverenOran,2),0))</f>
        <v/>
      </c>
      <c r="I895" s="37">
        <f>IF($A895="","",IFERROR(MAX(0,$H895-$G895),0))</f>
        <v/>
      </c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7">
        <f>IF($A896="","",IFERROR(ROUND($C896*INDEX(tblKurallar[deger_2025],MATCH("SGK-001",tblKurallar[kural_id],0))+$D896*INDEX(tblKurallar[deger_2025],MATCH("SGK-002",tblKurallar[kural_id],0))+$E896*INDEX(tblKurallar[deger_2025],MATCH("SGK-004",tblKurallar[kural_id],0))+$F896*sgk_isverenOran,2),0))</f>
        <v/>
      </c>
      <c r="I896" s="37">
        <f>IF($A896="","",IFERROR(MAX(0,$H896-$G896),0))</f>
        <v/>
      </c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7">
        <f>IF($A897="","",IFERROR(ROUND($C897*INDEX(tblKurallar[deger_2025],MATCH("SGK-001",tblKurallar[kural_id],0))+$D897*INDEX(tblKurallar[deger_2025],MATCH("SGK-002",tblKurallar[kural_id],0))+$E897*INDEX(tblKurallar[deger_2025],MATCH("SGK-004",tblKurallar[kural_id],0))+$F897*sgk_isverenOran,2),0))</f>
        <v/>
      </c>
      <c r="I897" s="37">
        <f>IF($A897="","",IFERROR(MAX(0,$H897-$G897),0))</f>
        <v/>
      </c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7">
        <f>IF($A898="","",IFERROR(ROUND($C898*INDEX(tblKurallar[deger_2025],MATCH("SGK-001",tblKurallar[kural_id],0))+$D898*INDEX(tblKurallar[deger_2025],MATCH("SGK-002",tblKurallar[kural_id],0))+$E898*INDEX(tblKurallar[deger_2025],MATCH("SGK-004",tblKurallar[kural_id],0))+$F898*sgk_isverenOran,2),0))</f>
        <v/>
      </c>
      <c r="I898" s="37">
        <f>IF($A898="","",IFERROR(MAX(0,$H898-$G898),0))</f>
        <v/>
      </c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7">
        <f>IF($A899="","",IFERROR(ROUND($C899*INDEX(tblKurallar[deger_2025],MATCH("SGK-001",tblKurallar[kural_id],0))+$D899*INDEX(tblKurallar[deger_2025],MATCH("SGK-002",tblKurallar[kural_id],0))+$E899*INDEX(tblKurallar[deger_2025],MATCH("SGK-004",tblKurallar[kural_id],0))+$F899*sgk_isverenOran,2),0))</f>
        <v/>
      </c>
      <c r="I899" s="37">
        <f>IF($A899="","",IFERROR(MAX(0,$H899-$G899),0))</f>
        <v/>
      </c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7">
        <f>IF($A900="","",IFERROR(ROUND($C900*INDEX(tblKurallar[deger_2025],MATCH("SGK-001",tblKurallar[kural_id],0))+$D900*INDEX(tblKurallar[deger_2025],MATCH("SGK-002",tblKurallar[kural_id],0))+$E900*INDEX(tblKurallar[deger_2025],MATCH("SGK-004",tblKurallar[kural_id],0))+$F900*sgk_isverenOran,2),0))</f>
        <v/>
      </c>
      <c r="I900" s="37">
        <f>IF($A900="","",IFERROR(MAX(0,$H900-$G900),0))</f>
        <v/>
      </c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7">
        <f>IF($A901="","",IFERROR(ROUND($C901*INDEX(tblKurallar[deger_2025],MATCH("SGK-001",tblKurallar[kural_id],0))+$D901*INDEX(tblKurallar[deger_2025],MATCH("SGK-002",tblKurallar[kural_id],0))+$E901*INDEX(tblKurallar[deger_2025],MATCH("SGK-004",tblKurallar[kural_id],0))+$F901*sgk_isverenOran,2),0))</f>
        <v/>
      </c>
      <c r="I901" s="37">
        <f>IF($A901="","",IFERROR(MAX(0,$H901-$G901),0))</f>
        <v/>
      </c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7">
        <f>IF($A902="","",IFERROR(ROUND($C902*INDEX(tblKurallar[deger_2025],MATCH("SGK-001",tblKurallar[kural_id],0))+$D902*INDEX(tblKurallar[deger_2025],MATCH("SGK-002",tblKurallar[kural_id],0))+$E902*INDEX(tblKurallar[deger_2025],MATCH("SGK-004",tblKurallar[kural_id],0))+$F902*sgk_isverenOran,2),0))</f>
        <v/>
      </c>
      <c r="I902" s="37">
        <f>IF($A902="","",IFERROR(MAX(0,$H902-$G902),0))</f>
        <v/>
      </c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7">
        <f>IF($A903="","",IFERROR(ROUND($C903*INDEX(tblKurallar[deger_2025],MATCH("SGK-001",tblKurallar[kural_id],0))+$D903*INDEX(tblKurallar[deger_2025],MATCH("SGK-002",tblKurallar[kural_id],0))+$E903*INDEX(tblKurallar[deger_2025],MATCH("SGK-004",tblKurallar[kural_id],0))+$F903*sgk_isverenOran,2),0))</f>
        <v/>
      </c>
      <c r="I903" s="37">
        <f>IF($A903="","",IFERROR(MAX(0,$H903-$G903),0))</f>
        <v/>
      </c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7">
        <f>IF($A904="","",IFERROR(ROUND($C904*INDEX(tblKurallar[deger_2025],MATCH("SGK-001",tblKurallar[kural_id],0))+$D904*INDEX(tblKurallar[deger_2025],MATCH("SGK-002",tblKurallar[kural_id],0))+$E904*INDEX(tblKurallar[deger_2025],MATCH("SGK-004",tblKurallar[kural_id],0))+$F904*sgk_isverenOran,2),0))</f>
        <v/>
      </c>
      <c r="I904" s="37">
        <f>IF($A904="","",IFERROR(MAX(0,$H904-$G904),0))</f>
        <v/>
      </c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7">
        <f>IF($A905="","",IFERROR(ROUND($C905*INDEX(tblKurallar[deger_2025],MATCH("SGK-001",tblKurallar[kural_id],0))+$D905*INDEX(tblKurallar[deger_2025],MATCH("SGK-002",tblKurallar[kural_id],0))+$E905*INDEX(tblKurallar[deger_2025],MATCH("SGK-004",tblKurallar[kural_id],0))+$F905*sgk_isverenOran,2),0))</f>
        <v/>
      </c>
      <c r="I905" s="37">
        <f>IF($A905="","",IFERROR(MAX(0,$H905-$G905),0))</f>
        <v/>
      </c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7">
        <f>IF($A906="","",IFERROR(ROUND($C906*INDEX(tblKurallar[deger_2025],MATCH("SGK-001",tblKurallar[kural_id],0))+$D906*INDEX(tblKurallar[deger_2025],MATCH("SGK-002",tblKurallar[kural_id],0))+$E906*INDEX(tblKurallar[deger_2025],MATCH("SGK-004",tblKurallar[kural_id],0))+$F906*sgk_isverenOran,2),0))</f>
        <v/>
      </c>
      <c r="I906" s="37">
        <f>IF($A906="","",IFERROR(MAX(0,$H906-$G906),0))</f>
        <v/>
      </c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7">
        <f>IF($A907="","",IFERROR(ROUND($C907*INDEX(tblKurallar[deger_2025],MATCH("SGK-001",tblKurallar[kural_id],0))+$D907*INDEX(tblKurallar[deger_2025],MATCH("SGK-002",tblKurallar[kural_id],0))+$E907*INDEX(tblKurallar[deger_2025],MATCH("SGK-004",tblKurallar[kural_id],0))+$F907*sgk_isverenOran,2),0))</f>
        <v/>
      </c>
      <c r="I907" s="37">
        <f>IF($A907="","",IFERROR(MAX(0,$H907-$G907),0))</f>
        <v/>
      </c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7">
        <f>IF($A908="","",IFERROR(ROUND($C908*INDEX(tblKurallar[deger_2025],MATCH("SGK-001",tblKurallar[kural_id],0))+$D908*INDEX(tblKurallar[deger_2025],MATCH("SGK-002",tblKurallar[kural_id],0))+$E908*INDEX(tblKurallar[deger_2025],MATCH("SGK-004",tblKurallar[kural_id],0))+$F908*sgk_isverenOran,2),0))</f>
        <v/>
      </c>
      <c r="I908" s="37">
        <f>IF($A908="","",IFERROR(MAX(0,$H908-$G908),0))</f>
        <v/>
      </c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7">
        <f>IF($A909="","",IFERROR(ROUND($C909*INDEX(tblKurallar[deger_2025],MATCH("SGK-001",tblKurallar[kural_id],0))+$D909*INDEX(tblKurallar[deger_2025],MATCH("SGK-002",tblKurallar[kural_id],0))+$E909*INDEX(tblKurallar[deger_2025],MATCH("SGK-004",tblKurallar[kural_id],0))+$F909*sgk_isverenOran,2),0))</f>
        <v/>
      </c>
      <c r="I909" s="37">
        <f>IF($A909="","",IFERROR(MAX(0,$H909-$G909),0))</f>
        <v/>
      </c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7">
        <f>IF($A910="","",IFERROR(ROUND($C910*INDEX(tblKurallar[deger_2025],MATCH("SGK-001",tblKurallar[kural_id],0))+$D910*INDEX(tblKurallar[deger_2025],MATCH("SGK-002",tblKurallar[kural_id],0))+$E910*INDEX(tblKurallar[deger_2025],MATCH("SGK-004",tblKurallar[kural_id],0))+$F910*sgk_isverenOran,2),0))</f>
        <v/>
      </c>
      <c r="I910" s="37">
        <f>IF($A910="","",IFERROR(MAX(0,$H910-$G910),0))</f>
        <v/>
      </c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7">
        <f>IF($A911="","",IFERROR(ROUND($C911*INDEX(tblKurallar[deger_2025],MATCH("SGK-001",tblKurallar[kural_id],0))+$D911*INDEX(tblKurallar[deger_2025],MATCH("SGK-002",tblKurallar[kural_id],0))+$E911*INDEX(tblKurallar[deger_2025],MATCH("SGK-004",tblKurallar[kural_id],0))+$F911*sgk_isverenOran,2),0))</f>
        <v/>
      </c>
      <c r="I911" s="37">
        <f>IF($A911="","",IFERROR(MAX(0,$H911-$G911),0))</f>
        <v/>
      </c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7">
        <f>IF($A912="","",IFERROR(ROUND($C912*INDEX(tblKurallar[deger_2025],MATCH("SGK-001",tblKurallar[kural_id],0))+$D912*INDEX(tblKurallar[deger_2025],MATCH("SGK-002",tblKurallar[kural_id],0))+$E912*INDEX(tblKurallar[deger_2025],MATCH("SGK-004",tblKurallar[kural_id],0))+$F912*sgk_isverenOran,2),0))</f>
        <v/>
      </c>
      <c r="I912" s="37">
        <f>IF($A912="","",IFERROR(MAX(0,$H912-$G912),0))</f>
        <v/>
      </c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7">
        <f>IF($A913="","",IFERROR(ROUND($C913*INDEX(tblKurallar[deger_2025],MATCH("SGK-001",tblKurallar[kural_id],0))+$D913*INDEX(tblKurallar[deger_2025],MATCH("SGK-002",tblKurallar[kural_id],0))+$E913*INDEX(tblKurallar[deger_2025],MATCH("SGK-004",tblKurallar[kural_id],0))+$F913*sgk_isverenOran,2),0))</f>
        <v/>
      </c>
      <c r="I913" s="37">
        <f>IF($A913="","",IFERROR(MAX(0,$H913-$G913),0))</f>
        <v/>
      </c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7">
        <f>IF($A914="","",IFERROR(ROUND($C914*INDEX(tblKurallar[deger_2025],MATCH("SGK-001",tblKurallar[kural_id],0))+$D914*INDEX(tblKurallar[deger_2025],MATCH("SGK-002",tblKurallar[kural_id],0))+$E914*INDEX(tblKurallar[deger_2025],MATCH("SGK-004",tblKurallar[kural_id],0))+$F914*sgk_isverenOran,2),0))</f>
        <v/>
      </c>
      <c r="I914" s="37">
        <f>IF($A914="","",IFERROR(MAX(0,$H914-$G914),0))</f>
        <v/>
      </c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7">
        <f>IF($A915="","",IFERROR(ROUND($C915*INDEX(tblKurallar[deger_2025],MATCH("SGK-001",tblKurallar[kural_id],0))+$D915*INDEX(tblKurallar[deger_2025],MATCH("SGK-002",tblKurallar[kural_id],0))+$E915*INDEX(tblKurallar[deger_2025],MATCH("SGK-004",tblKurallar[kural_id],0))+$F915*sgk_isverenOran,2),0))</f>
        <v/>
      </c>
      <c r="I915" s="37">
        <f>IF($A915="","",IFERROR(MAX(0,$H915-$G915),0))</f>
        <v/>
      </c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7">
        <f>IF($A916="","",IFERROR(ROUND($C916*INDEX(tblKurallar[deger_2025],MATCH("SGK-001",tblKurallar[kural_id],0))+$D916*INDEX(tblKurallar[deger_2025],MATCH("SGK-002",tblKurallar[kural_id],0))+$E916*INDEX(tblKurallar[deger_2025],MATCH("SGK-004",tblKurallar[kural_id],0))+$F916*sgk_isverenOran,2),0))</f>
        <v/>
      </c>
      <c r="I916" s="37">
        <f>IF($A916="","",IFERROR(MAX(0,$H916-$G916),0))</f>
        <v/>
      </c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7">
        <f>IF($A917="","",IFERROR(ROUND($C917*INDEX(tblKurallar[deger_2025],MATCH("SGK-001",tblKurallar[kural_id],0))+$D917*INDEX(tblKurallar[deger_2025],MATCH("SGK-002",tblKurallar[kural_id],0))+$E917*INDEX(tblKurallar[deger_2025],MATCH("SGK-004",tblKurallar[kural_id],0))+$F917*sgk_isverenOran,2),0))</f>
        <v/>
      </c>
      <c r="I917" s="37">
        <f>IF($A917="","",IFERROR(MAX(0,$H917-$G917),0))</f>
        <v/>
      </c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7">
        <f>IF($A918="","",IFERROR(ROUND($C918*INDEX(tblKurallar[deger_2025],MATCH("SGK-001",tblKurallar[kural_id],0))+$D918*INDEX(tblKurallar[deger_2025],MATCH("SGK-002",tblKurallar[kural_id],0))+$E918*INDEX(tblKurallar[deger_2025],MATCH("SGK-004",tblKurallar[kural_id],0))+$F918*sgk_isverenOran,2),0))</f>
        <v/>
      </c>
      <c r="I918" s="37">
        <f>IF($A918="","",IFERROR(MAX(0,$H918-$G918),0))</f>
        <v/>
      </c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7">
        <f>IF($A919="","",IFERROR(ROUND($C919*INDEX(tblKurallar[deger_2025],MATCH("SGK-001",tblKurallar[kural_id],0))+$D919*INDEX(tblKurallar[deger_2025],MATCH("SGK-002",tblKurallar[kural_id],0))+$E919*INDEX(tblKurallar[deger_2025],MATCH("SGK-004",tblKurallar[kural_id],0))+$F919*sgk_isverenOran,2),0))</f>
        <v/>
      </c>
      <c r="I919" s="37">
        <f>IF($A919="","",IFERROR(MAX(0,$H919-$G919),0))</f>
        <v/>
      </c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7">
        <f>IF($A920="","",IFERROR(ROUND($C920*INDEX(tblKurallar[deger_2025],MATCH("SGK-001",tblKurallar[kural_id],0))+$D920*INDEX(tblKurallar[deger_2025],MATCH("SGK-002",tblKurallar[kural_id],0))+$E920*INDEX(tblKurallar[deger_2025],MATCH("SGK-004",tblKurallar[kural_id],0))+$F920*sgk_isverenOran,2),0))</f>
        <v/>
      </c>
      <c r="I920" s="37">
        <f>IF($A920="","",IFERROR(MAX(0,$H920-$G920),0))</f>
        <v/>
      </c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7">
        <f>IF($A921="","",IFERROR(ROUND($C921*INDEX(tblKurallar[deger_2025],MATCH("SGK-001",tblKurallar[kural_id],0))+$D921*INDEX(tblKurallar[deger_2025],MATCH("SGK-002",tblKurallar[kural_id],0))+$E921*INDEX(tblKurallar[deger_2025],MATCH("SGK-004",tblKurallar[kural_id],0))+$F921*sgk_isverenOran,2),0))</f>
        <v/>
      </c>
      <c r="I921" s="37">
        <f>IF($A921="","",IFERROR(MAX(0,$H921-$G921),0))</f>
        <v/>
      </c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7">
        <f>IF($A922="","",IFERROR(ROUND($C922*INDEX(tblKurallar[deger_2025],MATCH("SGK-001",tblKurallar[kural_id],0))+$D922*INDEX(tblKurallar[deger_2025],MATCH("SGK-002",tblKurallar[kural_id],0))+$E922*INDEX(tblKurallar[deger_2025],MATCH("SGK-004",tblKurallar[kural_id],0))+$F922*sgk_isverenOran,2),0))</f>
        <v/>
      </c>
      <c r="I922" s="37">
        <f>IF($A922="","",IFERROR(MAX(0,$H922-$G922),0))</f>
        <v/>
      </c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7">
        <f>IF($A923="","",IFERROR(ROUND($C923*INDEX(tblKurallar[deger_2025],MATCH("SGK-001",tblKurallar[kural_id],0))+$D923*INDEX(tblKurallar[deger_2025],MATCH("SGK-002",tblKurallar[kural_id],0))+$E923*INDEX(tblKurallar[deger_2025],MATCH("SGK-004",tblKurallar[kural_id],0))+$F923*sgk_isverenOran,2),0))</f>
        <v/>
      </c>
      <c r="I923" s="37">
        <f>IF($A923="","",IFERROR(MAX(0,$H923-$G923),0))</f>
        <v/>
      </c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7">
        <f>IF($A924="","",IFERROR(ROUND($C924*INDEX(tblKurallar[deger_2025],MATCH("SGK-001",tblKurallar[kural_id],0))+$D924*INDEX(tblKurallar[deger_2025],MATCH("SGK-002",tblKurallar[kural_id],0))+$E924*INDEX(tblKurallar[deger_2025],MATCH("SGK-004",tblKurallar[kural_id],0))+$F924*sgk_isverenOran,2),0))</f>
        <v/>
      </c>
      <c r="I924" s="37">
        <f>IF($A924="","",IFERROR(MAX(0,$H924-$G924),0))</f>
        <v/>
      </c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7">
        <f>IF($A925="","",IFERROR(ROUND($C925*INDEX(tblKurallar[deger_2025],MATCH("SGK-001",tblKurallar[kural_id],0))+$D925*INDEX(tblKurallar[deger_2025],MATCH("SGK-002",tblKurallar[kural_id],0))+$E925*INDEX(tblKurallar[deger_2025],MATCH("SGK-004",tblKurallar[kural_id],0))+$F925*sgk_isverenOran,2),0))</f>
        <v/>
      </c>
      <c r="I925" s="37">
        <f>IF($A925="","",IFERROR(MAX(0,$H925-$G925),0))</f>
        <v/>
      </c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7">
        <f>IF($A926="","",IFERROR(ROUND($C926*INDEX(tblKurallar[deger_2025],MATCH("SGK-001",tblKurallar[kural_id],0))+$D926*INDEX(tblKurallar[deger_2025],MATCH("SGK-002",tblKurallar[kural_id],0))+$E926*INDEX(tblKurallar[deger_2025],MATCH("SGK-004",tblKurallar[kural_id],0))+$F926*sgk_isverenOran,2),0))</f>
        <v/>
      </c>
      <c r="I926" s="37">
        <f>IF($A926="","",IFERROR(MAX(0,$H926-$G926),0))</f>
        <v/>
      </c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7">
        <f>IF($A927="","",IFERROR(ROUND($C927*INDEX(tblKurallar[deger_2025],MATCH("SGK-001",tblKurallar[kural_id],0))+$D927*INDEX(tblKurallar[deger_2025],MATCH("SGK-002",tblKurallar[kural_id],0))+$E927*INDEX(tblKurallar[deger_2025],MATCH("SGK-004",tblKurallar[kural_id],0))+$F927*sgk_isverenOran,2),0))</f>
        <v/>
      </c>
      <c r="I927" s="37">
        <f>IF($A927="","",IFERROR(MAX(0,$H927-$G927),0))</f>
        <v/>
      </c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7">
        <f>IF($A928="","",IFERROR(ROUND($C928*INDEX(tblKurallar[deger_2025],MATCH("SGK-001",tblKurallar[kural_id],0))+$D928*INDEX(tblKurallar[deger_2025],MATCH("SGK-002",tblKurallar[kural_id],0))+$E928*INDEX(tblKurallar[deger_2025],MATCH("SGK-004",tblKurallar[kural_id],0))+$F928*sgk_isverenOran,2),0))</f>
        <v/>
      </c>
      <c r="I928" s="37">
        <f>IF($A928="","",IFERROR(MAX(0,$H928-$G928),0))</f>
        <v/>
      </c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7">
        <f>IF($A929="","",IFERROR(ROUND($C929*INDEX(tblKurallar[deger_2025],MATCH("SGK-001",tblKurallar[kural_id],0))+$D929*INDEX(tblKurallar[deger_2025],MATCH("SGK-002",tblKurallar[kural_id],0))+$E929*INDEX(tblKurallar[deger_2025],MATCH("SGK-004",tblKurallar[kural_id],0))+$F929*sgk_isverenOran,2),0))</f>
        <v/>
      </c>
      <c r="I929" s="37">
        <f>IF($A929="","",IFERROR(MAX(0,$H929-$G929),0))</f>
        <v/>
      </c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7">
        <f>IF($A930="","",IFERROR(ROUND($C930*INDEX(tblKurallar[deger_2025],MATCH("SGK-001",tblKurallar[kural_id],0))+$D930*INDEX(tblKurallar[deger_2025],MATCH("SGK-002",tblKurallar[kural_id],0))+$E930*INDEX(tblKurallar[deger_2025],MATCH("SGK-004",tblKurallar[kural_id],0))+$F930*sgk_isverenOran,2),0))</f>
        <v/>
      </c>
      <c r="I930" s="37">
        <f>IF($A930="","",IFERROR(MAX(0,$H930-$G930),0))</f>
        <v/>
      </c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7">
        <f>IF($A931="","",IFERROR(ROUND($C931*INDEX(tblKurallar[deger_2025],MATCH("SGK-001",tblKurallar[kural_id],0))+$D931*INDEX(tblKurallar[deger_2025],MATCH("SGK-002",tblKurallar[kural_id],0))+$E931*INDEX(tblKurallar[deger_2025],MATCH("SGK-004",tblKurallar[kural_id],0))+$F931*sgk_isverenOran,2),0))</f>
        <v/>
      </c>
      <c r="I931" s="37">
        <f>IF($A931="","",IFERROR(MAX(0,$H931-$G931),0))</f>
        <v/>
      </c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7">
        <f>IF($A932="","",IFERROR(ROUND($C932*INDEX(tblKurallar[deger_2025],MATCH("SGK-001",tblKurallar[kural_id],0))+$D932*INDEX(tblKurallar[deger_2025],MATCH("SGK-002",tblKurallar[kural_id],0))+$E932*INDEX(tblKurallar[deger_2025],MATCH("SGK-004",tblKurallar[kural_id],0))+$F932*sgk_isverenOran,2),0))</f>
        <v/>
      </c>
      <c r="I932" s="37">
        <f>IF($A932="","",IFERROR(MAX(0,$H932-$G932),0))</f>
        <v/>
      </c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7">
        <f>IF($A933="","",IFERROR(ROUND($C933*INDEX(tblKurallar[deger_2025],MATCH("SGK-001",tblKurallar[kural_id],0))+$D933*INDEX(tblKurallar[deger_2025],MATCH("SGK-002",tblKurallar[kural_id],0))+$E933*INDEX(tblKurallar[deger_2025],MATCH("SGK-004",tblKurallar[kural_id],0))+$F933*sgk_isverenOran,2),0))</f>
        <v/>
      </c>
      <c r="I933" s="37">
        <f>IF($A933="","",IFERROR(MAX(0,$H933-$G933),0))</f>
        <v/>
      </c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7">
        <f>IF($A934="","",IFERROR(ROUND($C934*INDEX(tblKurallar[deger_2025],MATCH("SGK-001",tblKurallar[kural_id],0))+$D934*INDEX(tblKurallar[deger_2025],MATCH("SGK-002",tblKurallar[kural_id],0))+$E934*INDEX(tblKurallar[deger_2025],MATCH("SGK-004",tblKurallar[kural_id],0))+$F934*sgk_isverenOran,2),0))</f>
        <v/>
      </c>
      <c r="I934" s="37">
        <f>IF($A934="","",IFERROR(MAX(0,$H934-$G934),0))</f>
        <v/>
      </c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7">
        <f>IF($A935="","",IFERROR(ROUND($C935*INDEX(tblKurallar[deger_2025],MATCH("SGK-001",tblKurallar[kural_id],0))+$D935*INDEX(tblKurallar[deger_2025],MATCH("SGK-002",tblKurallar[kural_id],0))+$E935*INDEX(tblKurallar[deger_2025],MATCH("SGK-004",tblKurallar[kural_id],0))+$F935*sgk_isverenOran,2),0))</f>
        <v/>
      </c>
      <c r="I935" s="37">
        <f>IF($A935="","",IFERROR(MAX(0,$H935-$G935),0))</f>
        <v/>
      </c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7">
        <f>IF($A936="","",IFERROR(ROUND($C936*INDEX(tblKurallar[deger_2025],MATCH("SGK-001",tblKurallar[kural_id],0))+$D936*INDEX(tblKurallar[deger_2025],MATCH("SGK-002",tblKurallar[kural_id],0))+$E936*INDEX(tblKurallar[deger_2025],MATCH("SGK-004",tblKurallar[kural_id],0))+$F936*sgk_isverenOran,2),0))</f>
        <v/>
      </c>
      <c r="I936" s="37">
        <f>IF($A936="","",IFERROR(MAX(0,$H936-$G936),0))</f>
        <v/>
      </c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7">
        <f>IF($A937="","",IFERROR(ROUND($C937*INDEX(tblKurallar[deger_2025],MATCH("SGK-001",tblKurallar[kural_id],0))+$D937*INDEX(tblKurallar[deger_2025],MATCH("SGK-002",tblKurallar[kural_id],0))+$E937*INDEX(tblKurallar[deger_2025],MATCH("SGK-004",tblKurallar[kural_id],0))+$F937*sgk_isverenOran,2),0))</f>
        <v/>
      </c>
      <c r="I937" s="37">
        <f>IF($A937="","",IFERROR(MAX(0,$H937-$G937),0))</f>
        <v/>
      </c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7">
        <f>IF($A938="","",IFERROR(ROUND($C938*INDEX(tblKurallar[deger_2025],MATCH("SGK-001",tblKurallar[kural_id],0))+$D938*INDEX(tblKurallar[deger_2025],MATCH("SGK-002",tblKurallar[kural_id],0))+$E938*INDEX(tblKurallar[deger_2025],MATCH("SGK-004",tblKurallar[kural_id],0))+$F938*sgk_isverenOran,2),0))</f>
        <v/>
      </c>
      <c r="I938" s="37">
        <f>IF($A938="","",IFERROR(MAX(0,$H938-$G938),0))</f>
        <v/>
      </c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7">
        <f>IF($A939="","",IFERROR(ROUND($C939*INDEX(tblKurallar[deger_2025],MATCH("SGK-001",tblKurallar[kural_id],0))+$D939*INDEX(tblKurallar[deger_2025],MATCH("SGK-002",tblKurallar[kural_id],0))+$E939*INDEX(tblKurallar[deger_2025],MATCH("SGK-004",tblKurallar[kural_id],0))+$F939*sgk_isverenOran,2),0))</f>
        <v/>
      </c>
      <c r="I939" s="37">
        <f>IF($A939="","",IFERROR(MAX(0,$H939-$G939),0))</f>
        <v/>
      </c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7">
        <f>IF($A940="","",IFERROR(ROUND($C940*INDEX(tblKurallar[deger_2025],MATCH("SGK-001",tblKurallar[kural_id],0))+$D940*INDEX(tblKurallar[deger_2025],MATCH("SGK-002",tblKurallar[kural_id],0))+$E940*INDEX(tblKurallar[deger_2025],MATCH("SGK-004",tblKurallar[kural_id],0))+$F940*sgk_isverenOran,2),0))</f>
        <v/>
      </c>
      <c r="I940" s="37">
        <f>IF($A940="","",IFERROR(MAX(0,$H940-$G940),0))</f>
        <v/>
      </c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7">
        <f>IF($A941="","",IFERROR(ROUND($C941*INDEX(tblKurallar[deger_2025],MATCH("SGK-001",tblKurallar[kural_id],0))+$D941*INDEX(tblKurallar[deger_2025],MATCH("SGK-002",tblKurallar[kural_id],0))+$E941*INDEX(tblKurallar[deger_2025],MATCH("SGK-004",tblKurallar[kural_id],0))+$F941*sgk_isverenOran,2),0))</f>
        <v/>
      </c>
      <c r="I941" s="37">
        <f>IF($A941="","",IFERROR(MAX(0,$H941-$G941),0))</f>
        <v/>
      </c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7">
        <f>IF($A942="","",IFERROR(ROUND($C942*INDEX(tblKurallar[deger_2025],MATCH("SGK-001",tblKurallar[kural_id],0))+$D942*INDEX(tblKurallar[deger_2025],MATCH("SGK-002",tblKurallar[kural_id],0))+$E942*INDEX(tblKurallar[deger_2025],MATCH("SGK-004",tblKurallar[kural_id],0))+$F942*sgk_isverenOran,2),0))</f>
        <v/>
      </c>
      <c r="I942" s="37">
        <f>IF($A942="","",IFERROR(MAX(0,$H942-$G942),0))</f>
        <v/>
      </c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7">
        <f>IF($A943="","",IFERROR(ROUND($C943*INDEX(tblKurallar[deger_2025],MATCH("SGK-001",tblKurallar[kural_id],0))+$D943*INDEX(tblKurallar[deger_2025],MATCH("SGK-002",tblKurallar[kural_id],0))+$E943*INDEX(tblKurallar[deger_2025],MATCH("SGK-004",tblKurallar[kural_id],0))+$F943*sgk_isverenOran,2),0))</f>
        <v/>
      </c>
      <c r="I943" s="37">
        <f>IF($A943="","",IFERROR(MAX(0,$H943-$G943),0))</f>
        <v/>
      </c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7">
        <f>IF($A944="","",IFERROR(ROUND($C944*INDEX(tblKurallar[deger_2025],MATCH("SGK-001",tblKurallar[kural_id],0))+$D944*INDEX(tblKurallar[deger_2025],MATCH("SGK-002",tblKurallar[kural_id],0))+$E944*INDEX(tblKurallar[deger_2025],MATCH("SGK-004",tblKurallar[kural_id],0))+$F944*sgk_isverenOran,2),0))</f>
        <v/>
      </c>
      <c r="I944" s="37">
        <f>IF($A944="","",IFERROR(MAX(0,$H944-$G944),0))</f>
        <v/>
      </c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7">
        <f>IF($A945="","",IFERROR(ROUND($C945*INDEX(tblKurallar[deger_2025],MATCH("SGK-001",tblKurallar[kural_id],0))+$D945*INDEX(tblKurallar[deger_2025],MATCH("SGK-002",tblKurallar[kural_id],0))+$E945*INDEX(tblKurallar[deger_2025],MATCH("SGK-004",tblKurallar[kural_id],0))+$F945*sgk_isverenOran,2),0))</f>
        <v/>
      </c>
      <c r="I945" s="37">
        <f>IF($A945="","",IFERROR(MAX(0,$H945-$G945),0))</f>
        <v/>
      </c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7">
        <f>IF($A946="","",IFERROR(ROUND($C946*INDEX(tblKurallar[deger_2025],MATCH("SGK-001",tblKurallar[kural_id],0))+$D946*INDEX(tblKurallar[deger_2025],MATCH("SGK-002",tblKurallar[kural_id],0))+$E946*INDEX(tblKurallar[deger_2025],MATCH("SGK-004",tblKurallar[kural_id],0))+$F946*sgk_isverenOran,2),0))</f>
        <v/>
      </c>
      <c r="I946" s="37">
        <f>IF($A946="","",IFERROR(MAX(0,$H946-$G946),0))</f>
        <v/>
      </c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7">
        <f>IF($A947="","",IFERROR(ROUND($C947*INDEX(tblKurallar[deger_2025],MATCH("SGK-001",tblKurallar[kural_id],0))+$D947*INDEX(tblKurallar[deger_2025],MATCH("SGK-002",tblKurallar[kural_id],0))+$E947*INDEX(tblKurallar[deger_2025],MATCH("SGK-004",tblKurallar[kural_id],0))+$F947*sgk_isverenOran,2),0))</f>
        <v/>
      </c>
      <c r="I947" s="37">
        <f>IF($A947="","",IFERROR(MAX(0,$H947-$G947),0))</f>
        <v/>
      </c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7">
        <f>IF($A948="","",IFERROR(ROUND($C948*INDEX(tblKurallar[deger_2025],MATCH("SGK-001",tblKurallar[kural_id],0))+$D948*INDEX(tblKurallar[deger_2025],MATCH("SGK-002",tblKurallar[kural_id],0))+$E948*INDEX(tblKurallar[deger_2025],MATCH("SGK-004",tblKurallar[kural_id],0))+$F948*sgk_isverenOran,2),0))</f>
        <v/>
      </c>
      <c r="I948" s="37">
        <f>IF($A948="","",IFERROR(MAX(0,$H948-$G948),0))</f>
        <v/>
      </c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7">
        <f>IF($A949="","",IFERROR(ROUND($C949*INDEX(tblKurallar[deger_2025],MATCH("SGK-001",tblKurallar[kural_id],0))+$D949*INDEX(tblKurallar[deger_2025],MATCH("SGK-002",tblKurallar[kural_id],0))+$E949*INDEX(tblKurallar[deger_2025],MATCH("SGK-004",tblKurallar[kural_id],0))+$F949*sgk_isverenOran,2),0))</f>
        <v/>
      </c>
      <c r="I949" s="37">
        <f>IF($A949="","",IFERROR(MAX(0,$H949-$G949),0))</f>
        <v/>
      </c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7">
        <f>IF($A950="","",IFERROR(ROUND($C950*INDEX(tblKurallar[deger_2025],MATCH("SGK-001",tblKurallar[kural_id],0))+$D950*INDEX(tblKurallar[deger_2025],MATCH("SGK-002",tblKurallar[kural_id],0))+$E950*INDEX(tblKurallar[deger_2025],MATCH("SGK-004",tblKurallar[kural_id],0))+$F950*sgk_isverenOran,2),0))</f>
        <v/>
      </c>
      <c r="I950" s="37">
        <f>IF($A950="","",IFERROR(MAX(0,$H950-$G950),0))</f>
        <v/>
      </c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7">
        <f>IF($A951="","",IFERROR(ROUND($C951*INDEX(tblKurallar[deger_2025],MATCH("SGK-001",tblKurallar[kural_id],0))+$D951*INDEX(tblKurallar[deger_2025],MATCH("SGK-002",tblKurallar[kural_id],0))+$E951*INDEX(tblKurallar[deger_2025],MATCH("SGK-004",tblKurallar[kural_id],0))+$F951*sgk_isverenOran,2),0))</f>
        <v/>
      </c>
      <c r="I951" s="37">
        <f>IF($A951="","",IFERROR(MAX(0,$H951-$G951),0))</f>
        <v/>
      </c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7">
        <f>IF($A952="","",IFERROR(ROUND($C952*INDEX(tblKurallar[deger_2025],MATCH("SGK-001",tblKurallar[kural_id],0))+$D952*INDEX(tblKurallar[deger_2025],MATCH("SGK-002",tblKurallar[kural_id],0))+$E952*INDEX(tblKurallar[deger_2025],MATCH("SGK-004",tblKurallar[kural_id],0))+$F952*sgk_isverenOran,2),0))</f>
        <v/>
      </c>
      <c r="I952" s="37">
        <f>IF($A952="","",IFERROR(MAX(0,$H952-$G952),0))</f>
        <v/>
      </c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7">
        <f>IF($A953="","",IFERROR(ROUND($C953*INDEX(tblKurallar[deger_2025],MATCH("SGK-001",tblKurallar[kural_id],0))+$D953*INDEX(tblKurallar[deger_2025],MATCH("SGK-002",tblKurallar[kural_id],0))+$E953*INDEX(tblKurallar[deger_2025],MATCH("SGK-004",tblKurallar[kural_id],0))+$F953*sgk_isverenOran,2),0))</f>
        <v/>
      </c>
      <c r="I953" s="37">
        <f>IF($A953="","",IFERROR(MAX(0,$H953-$G953),0))</f>
        <v/>
      </c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7">
        <f>IF($A954="","",IFERROR(ROUND($C954*INDEX(tblKurallar[deger_2025],MATCH("SGK-001",tblKurallar[kural_id],0))+$D954*INDEX(tblKurallar[deger_2025],MATCH("SGK-002",tblKurallar[kural_id],0))+$E954*INDEX(tblKurallar[deger_2025],MATCH("SGK-004",tblKurallar[kural_id],0))+$F954*sgk_isverenOran,2),0))</f>
        <v/>
      </c>
      <c r="I954" s="37">
        <f>IF($A954="","",IFERROR(MAX(0,$H954-$G954),0))</f>
        <v/>
      </c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7">
        <f>IF($A955="","",IFERROR(ROUND($C955*INDEX(tblKurallar[deger_2025],MATCH("SGK-001",tblKurallar[kural_id],0))+$D955*INDEX(tblKurallar[deger_2025],MATCH("SGK-002",tblKurallar[kural_id],0))+$E955*INDEX(tblKurallar[deger_2025],MATCH("SGK-004",tblKurallar[kural_id],0))+$F955*sgk_isverenOran,2),0))</f>
        <v/>
      </c>
      <c r="I955" s="37">
        <f>IF($A955="","",IFERROR(MAX(0,$H955-$G955),0))</f>
        <v/>
      </c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7">
        <f>IF($A956="","",IFERROR(ROUND($C956*INDEX(tblKurallar[deger_2025],MATCH("SGK-001",tblKurallar[kural_id],0))+$D956*INDEX(tblKurallar[deger_2025],MATCH("SGK-002",tblKurallar[kural_id],0))+$E956*INDEX(tblKurallar[deger_2025],MATCH("SGK-004",tblKurallar[kural_id],0))+$F956*sgk_isverenOran,2),0))</f>
        <v/>
      </c>
      <c r="I956" s="37">
        <f>IF($A956="","",IFERROR(MAX(0,$H956-$G956),0))</f>
        <v/>
      </c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7">
        <f>IF($A957="","",IFERROR(ROUND($C957*INDEX(tblKurallar[deger_2025],MATCH("SGK-001",tblKurallar[kural_id],0))+$D957*INDEX(tblKurallar[deger_2025],MATCH("SGK-002",tblKurallar[kural_id],0))+$E957*INDEX(tblKurallar[deger_2025],MATCH("SGK-004",tblKurallar[kural_id],0))+$F957*sgk_isverenOran,2),0))</f>
        <v/>
      </c>
      <c r="I957" s="37">
        <f>IF($A957="","",IFERROR(MAX(0,$H957-$G957),0))</f>
        <v/>
      </c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7">
        <f>IF($A958="","",IFERROR(ROUND($C958*INDEX(tblKurallar[deger_2025],MATCH("SGK-001",tblKurallar[kural_id],0))+$D958*INDEX(tblKurallar[deger_2025],MATCH("SGK-002",tblKurallar[kural_id],0))+$E958*INDEX(tblKurallar[deger_2025],MATCH("SGK-004",tblKurallar[kural_id],0))+$F958*sgk_isverenOran,2),0))</f>
        <v/>
      </c>
      <c r="I958" s="37">
        <f>IF($A958="","",IFERROR(MAX(0,$H958-$G958),0))</f>
        <v/>
      </c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7">
        <f>IF($A959="","",IFERROR(ROUND($C959*INDEX(tblKurallar[deger_2025],MATCH("SGK-001",tblKurallar[kural_id],0))+$D959*INDEX(tblKurallar[deger_2025],MATCH("SGK-002",tblKurallar[kural_id],0))+$E959*INDEX(tblKurallar[deger_2025],MATCH("SGK-004",tblKurallar[kural_id],0))+$F959*sgk_isverenOran,2),0))</f>
        <v/>
      </c>
      <c r="I959" s="37">
        <f>IF($A959="","",IFERROR(MAX(0,$H959-$G959),0))</f>
        <v/>
      </c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7">
        <f>IF($A960="","",IFERROR(ROUND($C960*INDEX(tblKurallar[deger_2025],MATCH("SGK-001",tblKurallar[kural_id],0))+$D960*INDEX(tblKurallar[deger_2025],MATCH("SGK-002",tblKurallar[kural_id],0))+$E960*INDEX(tblKurallar[deger_2025],MATCH("SGK-004",tblKurallar[kural_id],0))+$F960*sgk_isverenOran,2),0))</f>
        <v/>
      </c>
      <c r="I960" s="37">
        <f>IF($A960="","",IFERROR(MAX(0,$H960-$G960),0))</f>
        <v/>
      </c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7">
        <f>IF($A961="","",IFERROR(ROUND($C961*INDEX(tblKurallar[deger_2025],MATCH("SGK-001",tblKurallar[kural_id],0))+$D961*INDEX(tblKurallar[deger_2025],MATCH("SGK-002",tblKurallar[kural_id],0))+$E961*INDEX(tblKurallar[deger_2025],MATCH("SGK-004",tblKurallar[kural_id],0))+$F961*sgk_isverenOran,2),0))</f>
        <v/>
      </c>
      <c r="I961" s="37">
        <f>IF($A961="","",IFERROR(MAX(0,$H961-$G961),0))</f>
        <v/>
      </c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7">
        <f>IF($A962="","",IFERROR(ROUND($C962*INDEX(tblKurallar[deger_2025],MATCH("SGK-001",tblKurallar[kural_id],0))+$D962*INDEX(tblKurallar[deger_2025],MATCH("SGK-002",tblKurallar[kural_id],0))+$E962*INDEX(tblKurallar[deger_2025],MATCH("SGK-004",tblKurallar[kural_id],0))+$F962*sgk_isverenOran,2),0))</f>
        <v/>
      </c>
      <c r="I962" s="37">
        <f>IF($A962="","",IFERROR(MAX(0,$H962-$G962),0))</f>
        <v/>
      </c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7">
        <f>IF($A963="","",IFERROR(ROUND($C963*INDEX(tblKurallar[deger_2025],MATCH("SGK-001",tblKurallar[kural_id],0))+$D963*INDEX(tblKurallar[deger_2025],MATCH("SGK-002",tblKurallar[kural_id],0))+$E963*INDEX(tblKurallar[deger_2025],MATCH("SGK-004",tblKurallar[kural_id],0))+$F963*sgk_isverenOran,2),0))</f>
        <v/>
      </c>
      <c r="I963" s="37">
        <f>IF($A963="","",IFERROR(MAX(0,$H963-$G963),0))</f>
        <v/>
      </c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7">
        <f>IF($A964="","",IFERROR(ROUND($C964*INDEX(tblKurallar[deger_2025],MATCH("SGK-001",tblKurallar[kural_id],0))+$D964*INDEX(tblKurallar[deger_2025],MATCH("SGK-002",tblKurallar[kural_id],0))+$E964*INDEX(tblKurallar[deger_2025],MATCH("SGK-004",tblKurallar[kural_id],0))+$F964*sgk_isverenOran,2),0))</f>
        <v/>
      </c>
      <c r="I964" s="37">
        <f>IF($A964="","",IFERROR(MAX(0,$H964-$G964),0))</f>
        <v/>
      </c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7">
        <f>IF($A965="","",IFERROR(ROUND($C965*INDEX(tblKurallar[deger_2025],MATCH("SGK-001",tblKurallar[kural_id],0))+$D965*INDEX(tblKurallar[deger_2025],MATCH("SGK-002",tblKurallar[kural_id],0))+$E965*INDEX(tblKurallar[deger_2025],MATCH("SGK-004",tblKurallar[kural_id],0))+$F965*sgk_isverenOran,2),0))</f>
        <v/>
      </c>
      <c r="I965" s="37">
        <f>IF($A965="","",IFERROR(MAX(0,$H965-$G965),0))</f>
        <v/>
      </c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7">
        <f>IF($A966="","",IFERROR(ROUND($C966*INDEX(tblKurallar[deger_2025],MATCH("SGK-001",tblKurallar[kural_id],0))+$D966*INDEX(tblKurallar[deger_2025],MATCH("SGK-002",tblKurallar[kural_id],0))+$E966*INDEX(tblKurallar[deger_2025],MATCH("SGK-004",tblKurallar[kural_id],0))+$F966*sgk_isverenOran,2),0))</f>
        <v/>
      </c>
      <c r="I966" s="37">
        <f>IF($A966="","",IFERROR(MAX(0,$H966-$G966),0))</f>
        <v/>
      </c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7">
        <f>IF($A967="","",IFERROR(ROUND($C967*INDEX(tblKurallar[deger_2025],MATCH("SGK-001",tblKurallar[kural_id],0))+$D967*INDEX(tblKurallar[deger_2025],MATCH("SGK-002",tblKurallar[kural_id],0))+$E967*INDEX(tblKurallar[deger_2025],MATCH("SGK-004",tblKurallar[kural_id],0))+$F967*sgk_isverenOran,2),0))</f>
        <v/>
      </c>
      <c r="I967" s="37">
        <f>IF($A967="","",IFERROR(MAX(0,$H967-$G967),0))</f>
        <v/>
      </c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7">
        <f>IF($A968="","",IFERROR(ROUND($C968*INDEX(tblKurallar[deger_2025],MATCH("SGK-001",tblKurallar[kural_id],0))+$D968*INDEX(tblKurallar[deger_2025],MATCH("SGK-002",tblKurallar[kural_id],0))+$E968*INDEX(tblKurallar[deger_2025],MATCH("SGK-004",tblKurallar[kural_id],0))+$F968*sgk_isverenOran,2),0))</f>
        <v/>
      </c>
      <c r="I968" s="37">
        <f>IF($A968="","",IFERROR(MAX(0,$H968-$G968),0))</f>
        <v/>
      </c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7">
        <f>IF($A969="","",IFERROR(ROUND($C969*INDEX(tblKurallar[deger_2025],MATCH("SGK-001",tblKurallar[kural_id],0))+$D969*INDEX(tblKurallar[deger_2025],MATCH("SGK-002",tblKurallar[kural_id],0))+$E969*INDEX(tblKurallar[deger_2025],MATCH("SGK-004",tblKurallar[kural_id],0))+$F969*sgk_isverenOran,2),0))</f>
        <v/>
      </c>
      <c r="I969" s="37">
        <f>IF($A969="","",IFERROR(MAX(0,$H969-$G969),0))</f>
        <v/>
      </c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7">
        <f>IF($A970="","",IFERROR(ROUND($C970*INDEX(tblKurallar[deger_2025],MATCH("SGK-001",tblKurallar[kural_id],0))+$D970*INDEX(tblKurallar[deger_2025],MATCH("SGK-002",tblKurallar[kural_id],0))+$E970*INDEX(tblKurallar[deger_2025],MATCH("SGK-004",tblKurallar[kural_id],0))+$F970*sgk_isverenOran,2),0))</f>
        <v/>
      </c>
      <c r="I970" s="37">
        <f>IF($A970="","",IFERROR(MAX(0,$H970-$G970),0))</f>
        <v/>
      </c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7">
        <f>IF($A971="","",IFERROR(ROUND($C971*INDEX(tblKurallar[deger_2025],MATCH("SGK-001",tblKurallar[kural_id],0))+$D971*INDEX(tblKurallar[deger_2025],MATCH("SGK-002",tblKurallar[kural_id],0))+$E971*INDEX(tblKurallar[deger_2025],MATCH("SGK-004",tblKurallar[kural_id],0))+$F971*sgk_isverenOran,2),0))</f>
        <v/>
      </c>
      <c r="I971" s="37">
        <f>IF($A971="","",IFERROR(MAX(0,$H971-$G971),0))</f>
        <v/>
      </c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7">
        <f>IF($A972="","",IFERROR(ROUND($C972*INDEX(tblKurallar[deger_2025],MATCH("SGK-001",tblKurallar[kural_id],0))+$D972*INDEX(tblKurallar[deger_2025],MATCH("SGK-002",tblKurallar[kural_id],0))+$E972*INDEX(tblKurallar[deger_2025],MATCH("SGK-004",tblKurallar[kural_id],0))+$F972*sgk_isverenOran,2),0))</f>
        <v/>
      </c>
      <c r="I972" s="37">
        <f>IF($A972="","",IFERROR(MAX(0,$H972-$G972),0))</f>
        <v/>
      </c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7">
        <f>IF($A973="","",IFERROR(ROUND($C973*INDEX(tblKurallar[deger_2025],MATCH("SGK-001",tblKurallar[kural_id],0))+$D973*INDEX(tblKurallar[deger_2025],MATCH("SGK-002",tblKurallar[kural_id],0))+$E973*INDEX(tblKurallar[deger_2025],MATCH("SGK-004",tblKurallar[kural_id],0))+$F973*sgk_isverenOran,2),0))</f>
        <v/>
      </c>
      <c r="I973" s="37">
        <f>IF($A973="","",IFERROR(MAX(0,$H973-$G973),0))</f>
        <v/>
      </c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7">
        <f>IF($A974="","",IFERROR(ROUND($C974*INDEX(tblKurallar[deger_2025],MATCH("SGK-001",tblKurallar[kural_id],0))+$D974*INDEX(tblKurallar[deger_2025],MATCH("SGK-002",tblKurallar[kural_id],0))+$E974*INDEX(tblKurallar[deger_2025],MATCH("SGK-004",tblKurallar[kural_id],0))+$F974*sgk_isverenOran,2),0))</f>
        <v/>
      </c>
      <c r="I974" s="37">
        <f>IF($A974="","",IFERROR(MAX(0,$H974-$G974),0))</f>
        <v/>
      </c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7">
        <f>IF($A975="","",IFERROR(ROUND($C975*INDEX(tblKurallar[deger_2025],MATCH("SGK-001",tblKurallar[kural_id],0))+$D975*INDEX(tblKurallar[deger_2025],MATCH("SGK-002",tblKurallar[kural_id],0))+$E975*INDEX(tblKurallar[deger_2025],MATCH("SGK-004",tblKurallar[kural_id],0))+$F975*sgk_isverenOran,2),0))</f>
        <v/>
      </c>
      <c r="I975" s="37">
        <f>IF($A975="","",IFERROR(MAX(0,$H975-$G975),0))</f>
        <v/>
      </c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7">
        <f>IF($A976="","",IFERROR(ROUND($C976*INDEX(tblKurallar[deger_2025],MATCH("SGK-001",tblKurallar[kural_id],0))+$D976*INDEX(tblKurallar[deger_2025],MATCH("SGK-002",tblKurallar[kural_id],0))+$E976*INDEX(tblKurallar[deger_2025],MATCH("SGK-004",tblKurallar[kural_id],0))+$F976*sgk_isverenOran,2),0))</f>
        <v/>
      </c>
      <c r="I976" s="37">
        <f>IF($A976="","",IFERROR(MAX(0,$H976-$G976),0))</f>
        <v/>
      </c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7">
        <f>IF($A977="","",IFERROR(ROUND($C977*INDEX(tblKurallar[deger_2025],MATCH("SGK-001",tblKurallar[kural_id],0))+$D977*INDEX(tblKurallar[deger_2025],MATCH("SGK-002",tblKurallar[kural_id],0))+$E977*INDEX(tblKurallar[deger_2025],MATCH("SGK-004",tblKurallar[kural_id],0))+$F977*sgk_isverenOran,2),0))</f>
        <v/>
      </c>
      <c r="I977" s="37">
        <f>IF($A977="","",IFERROR(MAX(0,$H977-$G977),0))</f>
        <v/>
      </c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7">
        <f>IF($A978="","",IFERROR(ROUND($C978*INDEX(tblKurallar[deger_2025],MATCH("SGK-001",tblKurallar[kural_id],0))+$D978*INDEX(tblKurallar[deger_2025],MATCH("SGK-002",tblKurallar[kural_id],0))+$E978*INDEX(tblKurallar[deger_2025],MATCH("SGK-004",tblKurallar[kural_id],0))+$F978*sgk_isverenOran,2),0))</f>
        <v/>
      </c>
      <c r="I978" s="37">
        <f>IF($A978="","",IFERROR(MAX(0,$H978-$G978),0))</f>
        <v/>
      </c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7">
        <f>IF($A979="","",IFERROR(ROUND($C979*INDEX(tblKurallar[deger_2025],MATCH("SGK-001",tblKurallar[kural_id],0))+$D979*INDEX(tblKurallar[deger_2025],MATCH("SGK-002",tblKurallar[kural_id],0))+$E979*INDEX(tblKurallar[deger_2025],MATCH("SGK-004",tblKurallar[kural_id],0))+$F979*sgk_isverenOran,2),0))</f>
        <v/>
      </c>
      <c r="I979" s="37">
        <f>IF($A979="","",IFERROR(MAX(0,$H979-$G979),0))</f>
        <v/>
      </c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7">
        <f>IF($A980="","",IFERROR(ROUND($C980*INDEX(tblKurallar[deger_2025],MATCH("SGK-001",tblKurallar[kural_id],0))+$D980*INDEX(tblKurallar[deger_2025],MATCH("SGK-002",tblKurallar[kural_id],0))+$E980*INDEX(tblKurallar[deger_2025],MATCH("SGK-004",tblKurallar[kural_id],0))+$F980*sgk_isverenOran,2),0))</f>
        <v/>
      </c>
      <c r="I980" s="37">
        <f>IF($A980="","",IFERROR(MAX(0,$H980-$G980),0))</f>
        <v/>
      </c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7">
        <f>IF($A981="","",IFERROR(ROUND($C981*INDEX(tblKurallar[deger_2025],MATCH("SGK-001",tblKurallar[kural_id],0))+$D981*INDEX(tblKurallar[deger_2025],MATCH("SGK-002",tblKurallar[kural_id],0))+$E981*INDEX(tblKurallar[deger_2025],MATCH("SGK-004",tblKurallar[kural_id],0))+$F981*sgk_isverenOran,2),0))</f>
        <v/>
      </c>
      <c r="I981" s="37">
        <f>IF($A981="","",IFERROR(MAX(0,$H981-$G981),0))</f>
        <v/>
      </c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7">
        <f>IF($A982="","",IFERROR(ROUND($C982*INDEX(tblKurallar[deger_2025],MATCH("SGK-001",tblKurallar[kural_id],0))+$D982*INDEX(tblKurallar[deger_2025],MATCH("SGK-002",tblKurallar[kural_id],0))+$E982*INDEX(tblKurallar[deger_2025],MATCH("SGK-004",tblKurallar[kural_id],0))+$F982*sgk_isverenOran,2),0))</f>
        <v/>
      </c>
      <c r="I982" s="37">
        <f>IF($A982="","",IFERROR(MAX(0,$H982-$G982),0))</f>
        <v/>
      </c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7">
        <f>IF($A983="","",IFERROR(ROUND($C983*INDEX(tblKurallar[deger_2025],MATCH("SGK-001",tblKurallar[kural_id],0))+$D983*INDEX(tblKurallar[deger_2025],MATCH("SGK-002",tblKurallar[kural_id],0))+$E983*INDEX(tblKurallar[deger_2025],MATCH("SGK-004",tblKurallar[kural_id],0))+$F983*sgk_isverenOran,2),0))</f>
        <v/>
      </c>
      <c r="I983" s="37">
        <f>IF($A983="","",IFERROR(MAX(0,$H983-$G983),0))</f>
        <v/>
      </c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7">
        <f>IF($A984="","",IFERROR(ROUND($C984*INDEX(tblKurallar[deger_2025],MATCH("SGK-001",tblKurallar[kural_id],0))+$D984*INDEX(tblKurallar[deger_2025],MATCH("SGK-002",tblKurallar[kural_id],0))+$E984*INDEX(tblKurallar[deger_2025],MATCH("SGK-004",tblKurallar[kural_id],0))+$F984*sgk_isverenOran,2),0))</f>
        <v/>
      </c>
      <c r="I984" s="37">
        <f>IF($A984="","",IFERROR(MAX(0,$H984-$G984),0))</f>
        <v/>
      </c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7">
        <f>IF($A985="","",IFERROR(ROUND($C985*INDEX(tblKurallar[deger_2025],MATCH("SGK-001",tblKurallar[kural_id],0))+$D985*INDEX(tblKurallar[deger_2025],MATCH("SGK-002",tblKurallar[kural_id],0))+$E985*INDEX(tblKurallar[deger_2025],MATCH("SGK-004",tblKurallar[kural_id],0))+$F985*sgk_isverenOran,2),0))</f>
        <v/>
      </c>
      <c r="I985" s="37">
        <f>IF($A985="","",IFERROR(MAX(0,$H985-$G985),0))</f>
        <v/>
      </c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7">
        <f>IF($A986="","",IFERROR(ROUND($C986*INDEX(tblKurallar[deger_2025],MATCH("SGK-001",tblKurallar[kural_id],0))+$D986*INDEX(tblKurallar[deger_2025],MATCH("SGK-002",tblKurallar[kural_id],0))+$E986*INDEX(tblKurallar[deger_2025],MATCH("SGK-004",tblKurallar[kural_id],0))+$F986*sgk_isverenOran,2),0))</f>
        <v/>
      </c>
      <c r="I986" s="37">
        <f>IF($A986="","",IFERROR(MAX(0,$H986-$G986),0))</f>
        <v/>
      </c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7">
        <f>IF($A987="","",IFERROR(ROUND($C987*INDEX(tblKurallar[deger_2025],MATCH("SGK-001",tblKurallar[kural_id],0))+$D987*INDEX(tblKurallar[deger_2025],MATCH("SGK-002",tblKurallar[kural_id],0))+$E987*INDEX(tblKurallar[deger_2025],MATCH("SGK-004",tblKurallar[kural_id],0))+$F987*sgk_isverenOran,2),0))</f>
        <v/>
      </c>
      <c r="I987" s="37">
        <f>IF($A987="","",IFERROR(MAX(0,$H987-$G987),0))</f>
        <v/>
      </c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7">
        <f>IF($A988="","",IFERROR(ROUND($C988*INDEX(tblKurallar[deger_2025],MATCH("SGK-001",tblKurallar[kural_id],0))+$D988*INDEX(tblKurallar[deger_2025],MATCH("SGK-002",tblKurallar[kural_id],0))+$E988*INDEX(tblKurallar[deger_2025],MATCH("SGK-004",tblKurallar[kural_id],0))+$F988*sgk_isverenOran,2),0))</f>
        <v/>
      </c>
      <c r="I988" s="37">
        <f>IF($A988="","",IFERROR(MAX(0,$H988-$G988),0))</f>
        <v/>
      </c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7">
        <f>IF($A989="","",IFERROR(ROUND($C989*INDEX(tblKurallar[deger_2025],MATCH("SGK-001",tblKurallar[kural_id],0))+$D989*INDEX(tblKurallar[deger_2025],MATCH("SGK-002",tblKurallar[kural_id],0))+$E989*INDEX(tblKurallar[deger_2025],MATCH("SGK-004",tblKurallar[kural_id],0))+$F989*sgk_isverenOran,2),0))</f>
        <v/>
      </c>
      <c r="I989" s="37">
        <f>IF($A989="","",IFERROR(MAX(0,$H989-$G989),0))</f>
        <v/>
      </c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7">
        <f>IF($A990="","",IFERROR(ROUND($C990*INDEX(tblKurallar[deger_2025],MATCH("SGK-001",tblKurallar[kural_id],0))+$D990*INDEX(tblKurallar[deger_2025],MATCH("SGK-002",tblKurallar[kural_id],0))+$E990*INDEX(tblKurallar[deger_2025],MATCH("SGK-004",tblKurallar[kural_id],0))+$F990*sgk_isverenOran,2),0))</f>
        <v/>
      </c>
      <c r="I990" s="37">
        <f>IF($A990="","",IFERROR(MAX(0,$H990-$G990),0))</f>
        <v/>
      </c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7">
        <f>IF($A991="","",IFERROR(ROUND($C991*INDEX(tblKurallar[deger_2025],MATCH("SGK-001",tblKurallar[kural_id],0))+$D991*INDEX(tblKurallar[deger_2025],MATCH("SGK-002",tblKurallar[kural_id],0))+$E991*INDEX(tblKurallar[deger_2025],MATCH("SGK-004",tblKurallar[kural_id],0))+$F991*sgk_isverenOran,2),0))</f>
        <v/>
      </c>
      <c r="I991" s="37">
        <f>IF($A991="","",IFERROR(MAX(0,$H991-$G991),0))</f>
        <v/>
      </c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7">
        <f>IF($A992="","",IFERROR(ROUND($C992*INDEX(tblKurallar[deger_2025],MATCH("SGK-001",tblKurallar[kural_id],0))+$D992*INDEX(tblKurallar[deger_2025],MATCH("SGK-002",tblKurallar[kural_id],0))+$E992*INDEX(tblKurallar[deger_2025],MATCH("SGK-004",tblKurallar[kural_id],0))+$F992*sgk_isverenOran,2),0))</f>
        <v/>
      </c>
      <c r="I992" s="37">
        <f>IF($A992="","",IFERROR(MAX(0,$H992-$G992),0))</f>
        <v/>
      </c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7">
        <f>IF($A993="","",IFERROR(ROUND($C993*INDEX(tblKurallar[deger_2025],MATCH("SGK-001",tblKurallar[kural_id],0))+$D993*INDEX(tblKurallar[deger_2025],MATCH("SGK-002",tblKurallar[kural_id],0))+$E993*INDEX(tblKurallar[deger_2025],MATCH("SGK-004",tblKurallar[kural_id],0))+$F993*sgk_isverenOran,2),0))</f>
        <v/>
      </c>
      <c r="I993" s="37">
        <f>IF($A993="","",IFERROR(MAX(0,$H993-$G993),0))</f>
        <v/>
      </c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7">
        <f>IF($A994="","",IFERROR(ROUND($C994*INDEX(tblKurallar[deger_2025],MATCH("SGK-001",tblKurallar[kural_id],0))+$D994*INDEX(tblKurallar[deger_2025],MATCH("SGK-002",tblKurallar[kural_id],0))+$E994*INDEX(tblKurallar[deger_2025],MATCH("SGK-004",tblKurallar[kural_id],0))+$F994*sgk_isverenOran,2),0))</f>
        <v/>
      </c>
      <c r="I994" s="37">
        <f>IF($A994="","",IFERROR(MAX(0,$H994-$G994),0))</f>
        <v/>
      </c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7">
        <f>IF($A995="","",IFERROR(ROUND($C995*INDEX(tblKurallar[deger_2025],MATCH("SGK-001",tblKurallar[kural_id],0))+$D995*INDEX(tblKurallar[deger_2025],MATCH("SGK-002",tblKurallar[kural_id],0))+$E995*INDEX(tblKurallar[deger_2025],MATCH("SGK-004",tblKurallar[kural_id],0))+$F995*sgk_isverenOran,2),0))</f>
        <v/>
      </c>
      <c r="I995" s="37">
        <f>IF($A995="","",IFERROR(MAX(0,$H995-$G995),0))</f>
        <v/>
      </c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7">
        <f>IF($A996="","",IFERROR(ROUND($C996*INDEX(tblKurallar[deger_2025],MATCH("SGK-001",tblKurallar[kural_id],0))+$D996*INDEX(tblKurallar[deger_2025],MATCH("SGK-002",tblKurallar[kural_id],0))+$E996*INDEX(tblKurallar[deger_2025],MATCH("SGK-004",tblKurallar[kural_id],0))+$F996*sgk_isverenOran,2),0))</f>
        <v/>
      </c>
      <c r="I996" s="37">
        <f>IF($A996="","",IFERROR(MAX(0,$H996-$G996),0))</f>
        <v/>
      </c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7">
        <f>IF($A997="","",IFERROR(ROUND($C997*INDEX(tblKurallar[deger_2025],MATCH("SGK-001",tblKurallar[kural_id],0))+$D997*INDEX(tblKurallar[deger_2025],MATCH("SGK-002",tblKurallar[kural_id],0))+$E997*INDEX(tblKurallar[deger_2025],MATCH("SGK-004",tblKurallar[kural_id],0))+$F997*sgk_isverenOran,2),0))</f>
        <v/>
      </c>
      <c r="I997" s="37">
        <f>IF($A997="","",IFERROR(MAX(0,$H997-$G997),0))</f>
        <v/>
      </c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7">
        <f>IF($A998="","",IFERROR(ROUND($C998*INDEX(tblKurallar[deger_2025],MATCH("SGK-001",tblKurallar[kural_id],0))+$D998*INDEX(tblKurallar[deger_2025],MATCH("SGK-002",tblKurallar[kural_id],0))+$E998*INDEX(tblKurallar[deger_2025],MATCH("SGK-004",tblKurallar[kural_id],0))+$F998*sgk_isverenOran,2),0))</f>
        <v/>
      </c>
      <c r="I998" s="37">
        <f>IF($A998="","",IFERROR(MAX(0,$H998-$G998),0))</f>
        <v/>
      </c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7">
        <f>IF($A999="","",IFERROR(ROUND($C999*INDEX(tblKurallar[deger_2025],MATCH("SGK-001",tblKurallar[kural_id],0))+$D999*INDEX(tblKurallar[deger_2025],MATCH("SGK-002",tblKurallar[kural_id],0))+$E999*INDEX(tblKurallar[deger_2025],MATCH("SGK-004",tblKurallar[kural_id],0))+$F999*sgk_isverenOran,2),0))</f>
        <v/>
      </c>
      <c r="I999" s="37">
        <f>IF($A999="","",IFERROR(MAX(0,$H999-$G999),0))</f>
        <v/>
      </c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7">
        <f>IF($A1000="","",IFERROR(ROUND($C1000*INDEX(tblKurallar[deger_2025],MATCH("SGK-001",tblKurallar[kural_id],0))+$D1000*INDEX(tblKurallar[deger_2025],MATCH("SGK-002",tblKurallar[kural_id],0))+$E1000*INDEX(tblKurallar[deger_2025],MATCH("SGK-004",tblKurallar[kural_id],0))+$F1000*sgk_isverenOran,2),0))</f>
        <v/>
      </c>
      <c r="I1000" s="37">
        <f>IF($A1000="","",IFERROR(MAX(0,$H1000-$G1000),0))</f>
        <v/>
      </c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7">
        <f>IF($A1001="","",IFERROR(ROUND($C1001*INDEX(tblKurallar[deger_2025],MATCH("SGK-001",tblKurallar[kural_id],0))+$D1001*INDEX(tblKurallar[deger_2025],MATCH("SGK-002",tblKurallar[kural_id],0))+$E1001*INDEX(tblKurallar[deger_2025],MATCH("SGK-004",tblKurallar[kural_id],0))+$F1001*sgk_isverenOran,2),0))</f>
        <v/>
      </c>
      <c r="I1001" s="37">
        <f>IF($A1001="","",IFERROR(MAX(0,$H1001-$G1001),0))</f>
        <v/>
      </c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7">
        <f>IF($A1002="","",IFERROR(ROUND($C1002*INDEX(tblKurallar[deger_2025],MATCH("SGK-001",tblKurallar[kural_id],0))+$D1002*INDEX(tblKurallar[deger_2025],MATCH("SGK-002",tblKurallar[kural_id],0))+$E1002*INDEX(tblKurallar[deger_2025],MATCH("SGK-004",tblKurallar[kural_id],0))+$F1002*sgk_isverenOran,2),0))</f>
        <v/>
      </c>
      <c r="I1002" s="37">
        <f>IF($A1002="","",IFERROR(MAX(0,$H1002-$G1002),0))</f>
        <v/>
      </c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7">
        <f>IF($A1003="","",IFERROR(ROUND($C1003*INDEX(tblKurallar[deger_2025],MATCH("SGK-001",tblKurallar[kural_id],0))+$D1003*INDEX(tblKurallar[deger_2025],MATCH("SGK-002",tblKurallar[kural_id],0))+$E1003*INDEX(tblKurallar[deger_2025],MATCH("SGK-004",tblKurallar[kural_id],0))+$F1003*sgk_isverenOran,2),0))</f>
        <v/>
      </c>
      <c r="I1003" s="37">
        <f>IF($A1003="","",IFERROR(MAX(0,$H1003-$G1003),0))</f>
        <v/>
      </c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7">
        <f>IF($A1004="","",IFERROR(ROUND($C1004*INDEX(tblKurallar[deger_2025],MATCH("SGK-001",tblKurallar[kural_id],0))+$D1004*INDEX(tblKurallar[deger_2025],MATCH("SGK-002",tblKurallar[kural_id],0))+$E1004*INDEX(tblKurallar[deger_2025],MATCH("SGK-004",tblKurallar[kural_id],0))+$F1004*sgk_isverenOran,2),0))</f>
        <v/>
      </c>
      <c r="I1004" s="37">
        <f>IF($A1004="","",IFERROR(MAX(0,$H1004-$G1004),0))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6">
    <dataValidation sqref="B6:B1004" showDropDown="0" showInputMessage="1" showErrorMessage="1" allowBlank="1" errorTitle="Geçersiz" error="0 ile 1e12 arasında." promptTitle="Brüt" prompt="Brüt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5 Puan" prompt="5 Puan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0 ile 1e12 arasında." promptTitle="İlave" prompt="İlave tutarını TL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 ile 1e12 arasında." promptTitle="Kadın/Genç" prompt="Kadın/Genç tutarını TL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0 ile 1e12 arasında." promptTitle="Engelli" prompt="Engelli tutarını TL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0 ile 1e12 arasında." promptTitle="Mevcut" prompt="Mevcut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SGK Prim Teşvikleri Optimizasyon Motoru</t>
        </is>
      </c>
    </row>
    <row r="3">
      <c r="A3" s="10" t="inlineStr">
        <is>
          <t>Doğrulama listeleri</t>
        </is>
      </c>
    </row>
    <row r="5">
      <c r="A5" s="51" t="inlineStr">
        <is>
          <t>Yıllar</t>
        </is>
      </c>
      <c r="C5" s="51" t="inlineStr">
        <is>
          <t>Yorum A/B</t>
        </is>
      </c>
      <c r="E5" s="51" t="inlineStr">
        <is>
          <t>Evet/Hayır</t>
        </is>
      </c>
    </row>
    <row r="6">
      <c r="A6" s="62" t="n">
        <v>2025</v>
      </c>
      <c r="C6" s="60" t="inlineStr">
        <is>
          <t>A</t>
        </is>
      </c>
      <c r="E6" s="60" t="inlineStr">
        <is>
          <t>Evet</t>
        </is>
      </c>
    </row>
    <row r="7">
      <c r="A7" s="62" t="n">
        <v>2026</v>
      </c>
      <c r="C7" s="60" t="inlineStr">
        <is>
          <t>B</t>
        </is>
      </c>
      <c r="E7" s="60" t="inlineStr">
        <is>
          <t>Hayır</t>
        </is>
      </c>
    </row>
    <row r="8">
      <c r="A8" s="62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AD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SGK Prim Teşvikleri Optimizasyon Motoru</t>
        </is>
      </c>
    </row>
    <row r="3">
      <c r="A3" s="9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5" t="n">
        <v>2025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3">
        <f>IF(A6="","",IF(B6="","EKSİK","TAM"))</f>
        <v/>
      </c>
    </row>
    <row r="7">
      <c r="A7" s="7" t="inlineStr">
        <is>
          <t>raporTarihi</t>
        </is>
      </c>
      <c r="B7" s="64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3">
        <f>IF(A7="","",IF(B7="","EKSİK","TAM"))</f>
        <v/>
      </c>
    </row>
    <row r="8">
      <c r="A8" s="7" t="inlineStr">
        <is>
          <t>sgk_tolerans</t>
        </is>
      </c>
      <c r="B8" s="44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3">
        <f>IF(A8="","",IF(B8="","EKSİK","TAM"))</f>
        <v/>
      </c>
    </row>
    <row r="9">
      <c r="A9" s="7" t="inlineStr">
        <is>
          <t>sgk_kacirilanEsik</t>
        </is>
      </c>
      <c r="B9" s="44" t="n">
        <v>15000</v>
      </c>
      <c r="C9" s="7" t="inlineStr">
        <is>
          <t>TL</t>
        </is>
      </c>
      <c r="D9" s="7" t="inlineStr">
        <is>
          <t>PANO kaçırılan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3">
        <f>IF(A9="","",IF(B9="","EKSİK","TAM"))</f>
        <v/>
      </c>
    </row>
    <row r="10">
      <c r="A10" s="7" t="inlineStr">
        <is>
          <t>sgk_senaryoIyi</t>
        </is>
      </c>
      <c r="B10" s="43" t="n">
        <v>0.9</v>
      </c>
      <c r="C10" s="7" t="inlineStr">
        <is>
          <t>çarpan</t>
        </is>
      </c>
      <c r="D10" s="7" t="inlineStr">
        <is>
          <t>İyimser matrah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3">
        <f>IF(A10="","",IF(B10="","EKSİK","TAM"))</f>
        <v/>
      </c>
    </row>
    <row r="11">
      <c r="A11" s="7" t="inlineStr">
        <is>
          <t>sgk_senaryoKotu</t>
        </is>
      </c>
      <c r="B11" s="43" t="n">
        <v>1.1</v>
      </c>
      <c r="C11" s="7" t="inlineStr">
        <is>
          <t>çarpan</t>
        </is>
      </c>
      <c r="D11" s="7" t="inlineStr">
        <is>
          <t>Kötümser matrah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3">
        <f>IF(A11="","",IF(B11="","EKSİK","TAM"))</f>
        <v/>
      </c>
    </row>
    <row r="12">
      <c r="A12" s="7" t="inlineStr">
        <is>
          <t>sgk_oranArtisPuan</t>
        </is>
      </c>
      <c r="B12" s="43" t="n">
        <v>0.01</v>
      </c>
      <c r="C12" s="7" t="inlineStr">
        <is>
          <t>oran</t>
        </is>
      </c>
      <c r="D12" s="7" t="inlineStr">
        <is>
          <t>M-SEN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3">
        <f>IF(A12="","",IF(B12="","EKSİK","TAM"))</f>
        <v/>
      </c>
    </row>
    <row r="13">
      <c r="A13" s="7" t="inlineStr">
        <is>
          <t>sgk_tahminAlt</t>
        </is>
      </c>
      <c r="B13" s="43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3">
        <f>IF(A13="","",IF(B13="","EKSİK","TAM"))</f>
        <v/>
      </c>
    </row>
    <row r="14">
      <c r="A14" s="7" t="inlineStr">
        <is>
          <t>sgk_tahminUst</t>
        </is>
      </c>
      <c r="B14" s="43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3">
        <f>IF(A14="","",IF(B14="","EKSİK","TAM"))</f>
        <v/>
      </c>
    </row>
    <row r="15">
      <c r="A15" s="7" t="inlineStr">
        <is>
          <t>sgk_tornadoMatrah</t>
        </is>
      </c>
      <c r="B15" s="43" t="n">
        <v>1.05</v>
      </c>
      <c r="C15" s="7" t="inlineStr">
        <is>
          <t>çarpan</t>
        </is>
      </c>
      <c r="D15" s="7" t="inlineStr">
        <is>
          <t>Tornado matrah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3">
        <f>IF(A15="","",IF(B15="","EKSİK","TAM"))</f>
        <v/>
      </c>
    </row>
    <row r="16">
      <c r="A16" s="7" t="inlineStr">
        <is>
          <t>sgk_tornadoMevcut</t>
        </is>
      </c>
      <c r="B16" s="43" t="n">
        <v>0.95</v>
      </c>
      <c r="C16" s="7" t="inlineStr">
        <is>
          <t>çarpan</t>
        </is>
      </c>
      <c r="D16" s="7" t="inlineStr">
        <is>
          <t>Tornado mevcut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3">
        <f>IF(A16="","",IF(B16="","EKSİK","TAM"))</f>
        <v/>
      </c>
    </row>
    <row r="17">
      <c r="A17" s="7" t="inlineStr">
        <is>
          <t>sgk_isverenOran</t>
        </is>
      </c>
      <c r="B17" s="43" t="n">
        <v>0.205</v>
      </c>
      <c r="C17" s="7" t="inlineStr">
        <is>
          <t>oran</t>
        </is>
      </c>
      <c r="D17" s="7" t="inlineStr">
        <is>
          <t>İşveren SGK payı (engelli)</t>
        </is>
      </c>
      <c r="E17" s="7" t="inlineStr">
        <is>
          <t>5510 s.K.</t>
        </is>
      </c>
      <c r="F17" s="7" t="inlineStr">
        <is>
          <t>01.01.2025</t>
        </is>
      </c>
      <c r="G17" s="7" t="inlineStr">
        <is>
          <t>11.08.2026</t>
        </is>
      </c>
      <c r="H17" s="63">
        <f>IF(A17="","",IF(B17="","EKSİK","TAM"))</f>
        <v/>
      </c>
    </row>
    <row r="18">
      <c r="A18" s="7" t="inlineStr">
        <is>
          <t>sgk_yuzdelikOran</t>
        </is>
      </c>
      <c r="B18" s="43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3">
        <f>IF(A18="","",IF(B18="","EKSİK","TAM"))</f>
        <v/>
      </c>
    </row>
    <row r="19">
      <c r="A19" s="7" t="inlineStr">
        <is>
          <t>sgk_parmakIzi</t>
        </is>
      </c>
      <c r="B19" s="65" t="inlineStr">
        <is>
          <t>1c2390061c8d81f9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3">
        <f>IF(A19="","",IF(B19="","EKSİK","TAM"))</f>
        <v/>
      </c>
    </row>
    <row r="20">
      <c r="A20" s="7" t="inlineStr">
        <is>
          <t>dosya_surumu</t>
        </is>
      </c>
      <c r="B20" s="65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3">
        <f>IF(A20="","",IF(B20="","EKSİK","TAM"))</f>
        <v/>
      </c>
    </row>
    <row r="21">
      <c r="A21" s="7" t="inlineStr">
        <is>
          <t>sgk_girisBeklenen</t>
        </is>
      </c>
      <c r="B21" s="45" t="n">
        <v>11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3">
        <f>IF(A21="","",IF(B21="","EKSİK","TAM"))</f>
        <v/>
      </c>
    </row>
    <row r="22">
      <c r="A22" s="7" t="inlineStr">
        <is>
          <t>sgk_riskDusuk</t>
        </is>
      </c>
      <c r="B22" s="45" t="n">
        <v>15</v>
      </c>
      <c r="C22" s="7" t="inlineStr">
        <is>
          <t>puan</t>
        </is>
      </c>
      <c r="D22" s="7" t="inlineStr">
        <is>
          <t>Düşük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3">
        <f>IF(A22="","",IF(B22="","EKSİK","TAM"))</f>
        <v/>
      </c>
    </row>
    <row r="23">
      <c r="A23" s="7" t="inlineStr">
        <is>
          <t>sgk_riskOrta</t>
        </is>
      </c>
      <c r="B23" s="45" t="n">
        <v>55</v>
      </c>
      <c r="C23" s="7" t="inlineStr">
        <is>
          <t>puan</t>
        </is>
      </c>
      <c r="D23" s="7" t="inlineStr">
        <is>
          <t>Orta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3">
        <f>IF(A23="","",IF(B23="","EKSİK","TAM"))</f>
        <v/>
      </c>
    </row>
    <row r="24">
      <c r="A24" s="7" t="inlineStr">
        <is>
          <t>sgk_riskYuksek</t>
        </is>
      </c>
      <c r="B24" s="45" t="n">
        <v>85</v>
      </c>
      <c r="C24" s="7" t="inlineStr">
        <is>
          <t>puan</t>
        </is>
      </c>
      <c r="D24" s="7" t="inlineStr">
        <is>
          <t>Yüksek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3">
        <f>IF(A24="","",IF(B24="","EKSİK","TAM"))</f>
        <v/>
      </c>
    </row>
    <row r="25">
      <c r="A25" s="7" t="inlineStr">
        <is>
          <t>sgk_riskEsikOran</t>
        </is>
      </c>
      <c r="B25" s="43" t="n">
        <v>0.5</v>
      </c>
      <c r="C25" s="7" t="inlineStr">
        <is>
          <t>oran</t>
        </is>
      </c>
      <c r="D25" s="7" t="inlineStr">
        <is>
          <t>Yüksek risk kaçırılan/potansiyel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3">
        <f>IF(A25="","",IF(B25="","EKSİK","TAM"))</f>
        <v/>
      </c>
    </row>
    <row r="26">
      <c r="A26" s="7" t="inlineStr">
        <is>
          <t>sgk_yilTaban</t>
        </is>
      </c>
      <c r="B26" s="45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3">
        <f>IF(A26="","",IF(B26="","EKSİK","TAM"))</f>
        <v/>
      </c>
    </row>
    <row r="27">
      <c r="A27" s="7" t="inlineStr">
        <is>
          <t>sgk_yuvarMax</t>
        </is>
      </c>
      <c r="B27" s="45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3">
        <f>IF(A27="","",IF(B27="","EKSİK","TAM"))</f>
        <v/>
      </c>
    </row>
    <row r="28">
      <c r="A28" s="7" t="inlineStr">
        <is>
          <t>vaka_matrah_1</t>
        </is>
      </c>
      <c r="B28" s="44" t="n">
        <v>300000</v>
      </c>
      <c r="C28" s="7" t="inlineStr">
        <is>
          <t>TL</t>
        </is>
      </c>
      <c r="D28" s="7" t="inlineStr">
        <is>
          <t>Vaka1 5 puan matrah</t>
        </is>
      </c>
      <c r="E28" s="7" t="inlineStr">
        <is>
          <t>Tebliğ örneği</t>
        </is>
      </c>
      <c r="F28" s="7" t="inlineStr">
        <is>
          <t>01.01.2025</t>
        </is>
      </c>
      <c r="G28" s="7" t="inlineStr">
        <is>
          <t>11.08.2026</t>
        </is>
      </c>
      <c r="H28" s="63">
        <f>IF(A28="","",IF(B28="","EKSİK","TAM"))</f>
        <v/>
      </c>
    </row>
    <row r="29">
      <c r="A29" s="7" t="inlineStr">
        <is>
          <t>vaka_matrah_2</t>
        </is>
      </c>
      <c r="B29" s="44" t="n">
        <v>100000</v>
      </c>
      <c r="C29" s="7" t="inlineStr">
        <is>
          <t>TL</t>
        </is>
      </c>
      <c r="D29" s="7" t="inlineStr">
        <is>
          <t>Vaka2 ilave matrah</t>
        </is>
      </c>
      <c r="E29" s="7" t="inlineStr">
        <is>
          <t>Tebliğ örneği</t>
        </is>
      </c>
      <c r="F29" s="7" t="inlineStr">
        <is>
          <t>01.01.2025</t>
        </is>
      </c>
      <c r="G29" s="7" t="inlineStr">
        <is>
          <t>11.08.2026</t>
        </is>
      </c>
      <c r="H29" s="63">
        <f>IF(A29="","",IF(B29="","EKSİK","TAM"))</f>
        <v/>
      </c>
    </row>
    <row r="30">
      <c r="A30" s="7" t="inlineStr">
        <is>
          <t>vaka_tavan</t>
        </is>
      </c>
      <c r="B30" s="44" t="n">
        <v>150000</v>
      </c>
      <c r="C30" s="7" t="inlineStr">
        <is>
          <t>TL</t>
        </is>
      </c>
      <c r="D30" s="7" t="inlineStr">
        <is>
          <t>Vaka4 tavan</t>
        </is>
      </c>
      <c r="E30" s="7" t="inlineStr">
        <is>
          <t>Tebliğ örneği</t>
        </is>
      </c>
      <c r="F30" s="7" t="inlineStr">
        <is>
          <t>01.01.2025</t>
        </is>
      </c>
      <c r="G30" s="7" t="inlineStr">
        <is>
          <t>11.08.2026</t>
        </is>
      </c>
      <c r="H30" s="63">
        <f>IF(A30="","",IF(B30="","EKSİK","TAM"))</f>
        <v/>
      </c>
    </row>
    <row r="32">
      <c r="B32" s="66" t="inlineStr">
        <is>
          <t>Parametre satırları yukarıda; ad tanımları B kolonuna bağlı.</t>
        </is>
      </c>
    </row>
    <row r="34">
      <c r="B34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Kaçırılan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SGK Prim Teşvikleri Optimizasyon Motoru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UYGUN / TEŞVİK TAM — mevcut teşvik ≥ potansiyel (kaçırılan = 0).</t>
        </is>
      </c>
    </row>
    <row r="7">
      <c r="A7" s="6" t="inlineStr">
        <is>
          <t>• İNCELE / FIRSAT — kaçırılan &gt; 0 ama eşik altında; gözden geçirin.</t>
        </is>
      </c>
    </row>
    <row r="8">
      <c r="A8" s="6" t="inlineStr">
        <is>
          <t>• OPTİMİZE ET / DİKKAT — kaçırılan ≥ eşik; bordro teşvik kodlarını optimize edin.</t>
        </is>
      </c>
    </row>
    <row r="10">
      <c r="A10" s="67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tesvik_birikim_sirasi</t>
        </is>
      </c>
    </row>
    <row r="13">
      <c r="A13" s="10" t="inlineStr">
        <is>
          <t>Yorum A</t>
        </is>
      </c>
      <c r="B13" s="6" t="inlineStr">
        <is>
          <t>Uygun teşvik kalemleri birikimli toplanır (5 puan + ilave + kadın/genç + engelli). Bu nokta mevzuatta tartışmalıdır; sonuç yorum B ile yan yana okunmalıdır.</t>
        </is>
      </c>
    </row>
    <row r="14">
      <c r="A14" s="10" t="inlineStr">
        <is>
          <t>Yorum B</t>
        </is>
      </c>
      <c r="B14" s="6" t="inlineStr">
        <is>
          <t>Aynı dönemde yalnızca en yüksek tek teşvik kalemi alınır.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2026-08-10T21:35:33Z</dcterms:created>
  <dcterms:modified xmlns:dcterms="http://purl.org/dc/terms/" xmlns:xsi="http://www.w3.org/2001/XMLSchema-instance" xsi:type="dcterms:W3CDTF">2026-09-25T15:14:10Z</dcterms:modified>
</cp:coreProperties>
</file>