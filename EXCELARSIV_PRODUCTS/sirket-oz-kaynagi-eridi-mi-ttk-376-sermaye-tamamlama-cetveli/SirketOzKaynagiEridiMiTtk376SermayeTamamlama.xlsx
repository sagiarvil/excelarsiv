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DONEM_BILANCO" sheetId="6" state="hidden" r:id="rId6"/>
    <sheet xmlns:r="http://schemas.openxmlformats.org/officeDocument/2006/relationships" name="BORC_LISTESI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ANALITIK_MOTOR" sheetId="9" state="hidden" r:id="rId9"/>
    <sheet xmlns:r="http://schemas.openxmlformats.org/officeDocument/2006/relationships" name="KONTROLLER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KURALLAR" sheetId="16" state="hidden" r:id="rId16"/>
    <sheet xmlns:r="http://schemas.openxmlformats.org/officeDocument/2006/relationships" name="VAKALAR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1">'PANO'!$A$1:$M$56</definedName>
    <definedName name="_xlnm.Print_Area" localSheetId="13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Türü Adet ve Tutar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Borç Adedi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Banka Kredisi</v>
                </pt>
                <pt idx="1">
                  <v>Tedarikçi Borcu</v>
                </pt>
                <pt idx="2">
                  <v>Finansal Kiralama</v>
                </pt>
                <pt idx="3">
                  <v>Tahvil</v>
                </pt>
                <pt idx="4">
                  <v>Ortak Borcu</v>
                </pt>
                <pt idx="5">
                  <v>Diğer</v>
                </pt>
              </strCache>
            </strRef>
          </cat>
          <val>
            <numRef>
              <f>PANO!$B$11:$B$16</f>
              <numCache>
                <formatCode>#,##0</formatCode>
                <ptCount val="6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Toplam Borç (₺)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Banka Kredisi</v>
                </pt>
                <pt idx="1">
                  <v>Tedarikçi Borcu</v>
                </pt>
                <pt idx="2">
                  <v>Finansal Kiralama</v>
                </pt>
                <pt idx="3">
                  <v>Tahvil</v>
                </pt>
                <pt idx="4">
                  <v>Ortak Borcu</v>
                </pt>
                <pt idx="5">
                  <v>Diğer</v>
                </pt>
              </strCache>
            </strRef>
          </cat>
          <val>
            <numRef>
              <f>PANO!$C$11:$C$16</f>
              <numCache>
                <formatCode>"₺ "#,##0;[RED]"(₺ "#,##0\);\-</formatCode>
                <ptCount val="6"/>
                <pt idx="0">
                  <v>5000000</v>
                </pt>
                <pt idx="1">
                  <v>1200000</v>
                </pt>
                <pt idx="2">
                  <v>900000</v>
                </pt>
                <pt idx="3">
                  <v>2000000</v>
                </pt>
                <pt idx="4">
                  <v>1800000</v>
                </pt>
                <pt idx="5">
                  <v>0</v>
                </pt>
              </numCache>
            </numRef>
          </val>
        </ser>
        <gapWidth val="150"/>
        <overlap val="0"/>
        <axId val="54092668"/>
        <axId val="70436456"/>
      </barChart>
      <catAx>
        <axId val="540926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0436456"/>
        <crosses val="autoZero"/>
        <auto val="1"/>
        <lblAlgn val="ctr"/>
        <lblOffset val="100"/>
        <noMultiLvlLbl val="0"/>
      </catAx>
      <valAx>
        <axId val="704364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40926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Adedi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Borç Adedi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Banka Kredisi</v>
                </pt>
                <pt idx="1">
                  <v>Tedarikçi Borcu</v>
                </pt>
                <pt idx="2">
                  <v>Finansal Kiralama</v>
                </pt>
                <pt idx="3">
                  <v>Tahvil</v>
                </pt>
                <pt idx="4">
                  <v>Ortak Borcu</v>
                </pt>
                <pt idx="5">
                  <v>Diğer</v>
                </pt>
              </strCache>
            </strRef>
          </cat>
          <val>
            <numRef>
              <f>PANO!$B$11:$B$16</f>
              <numCache>
                <formatCode>#,##0</formatCode>
                <ptCount val="6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Türü Teminatlı Borç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PANO!F10</f>
              <strCache>
                <ptCount val="1"/>
                <pt idx="0">
                  <v>Teminatlı Borç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Banka Kredisi</v>
                </pt>
                <pt idx="1">
                  <v>Tedarikçi Borcu</v>
                </pt>
                <pt idx="2">
                  <v>Finansal Kiralama</v>
                </pt>
                <pt idx="3">
                  <v>Tahvil</v>
                </pt>
                <pt idx="4">
                  <v>Ortak Borcu</v>
                </pt>
                <pt idx="5">
                  <v>Diğer</v>
                </pt>
              </strCache>
            </strRef>
          </cat>
          <val>
            <numRef>
              <f>PANO!$F$11:$F$16</f>
              <numCache>
                <formatCode>"₺ "#,##0;[RED]"(₺ "#,##0\);\-</formatCode>
                <ptCount val="6"/>
                <pt idx="0">
                  <v>5000000</v>
                </pt>
                <pt idx="1">
                  <v>0</v>
                </pt>
                <pt idx="2">
                  <v>900000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150"/>
        <overlap val="0"/>
        <axId val="31998642"/>
        <axId val="13282683"/>
      </barChart>
      <catAx>
        <axId val="3199864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3282683"/>
        <crosses val="autoZero"/>
        <auto val="1"/>
        <lblAlgn val="ctr"/>
        <lblOffset val="100"/>
        <noMultiLvlLbl val="0"/>
      </catAx>
      <valAx>
        <axId val="132826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199864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Öz Kaynak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"₺ "#,##0;[RED]"(₺ "#,##0\);\-</formatCode>
                <ptCount val="13"/>
                <pt idx="0">
                  <v>6350000</v>
                </pt>
                <pt idx="1">
                  <v>5390000</v>
                </pt>
                <pt idx="2">
                  <v>6350000</v>
                </pt>
                <pt idx="3">
                  <v>6350000</v>
                </pt>
                <pt idx="4">
                  <v>5020000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2919445"/>
        <axId val="28445219"/>
      </lineChart>
      <catAx>
        <axId val="8291944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8445219"/>
        <crosses val="autoZero"/>
        <auto val="1"/>
        <lblAlgn val="ctr"/>
        <lblOffset val="100"/>
        <noMultiLvlLbl val="0"/>
      </catAx>
      <valAx>
        <axId val="2844521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291944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Ortalama Aylık Öz Kaynak</v>
                </pt>
                <pt idx="1">
                  <v>Öz Kaynak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"₺ "#,##0;[RED]"(₺ "#,##0\);\-</formatCode>
                <ptCount val="4"/>
                <pt idx="0">
                  <v>5508333</v>
                </pt>
                <pt idx="1">
                  <v>0</v>
                </pt>
                <pt idx="2">
                  <v>5508333</v>
                </pt>
                <pt idx="3">
                  <v>5508333</v>
                </pt>
              </numCache>
            </numRef>
          </val>
        </ser>
        <gapWidth val="150"/>
        <overlap val="0"/>
        <axId val="45930772"/>
        <axId val="57089141"/>
      </barChart>
      <catAx>
        <axId val="4593077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089141"/>
        <crosses val="autoZero"/>
        <auto val="1"/>
        <lblAlgn val="ctr"/>
        <lblOffset val="100"/>
        <noMultiLvlLbl val="0"/>
      </catAx>
      <valAx>
        <axId val="5708914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93077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Türü Toplam Borç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PANO!C10</f>
              <strCache>
                <ptCount val="1"/>
                <pt idx="0">
                  <v>Toplam Borç (₺)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PANO!$A$11:$A$16</f>
              <strCache>
                <ptCount val="6"/>
                <pt idx="0">
                  <v>Banka Kredisi</v>
                </pt>
                <pt idx="1">
                  <v>Tedarikçi Borcu</v>
                </pt>
                <pt idx="2">
                  <v>Finansal Kiralama</v>
                </pt>
                <pt idx="3">
                  <v>Tahvil</v>
                </pt>
                <pt idx="4">
                  <v>Ortak Borcu</v>
                </pt>
                <pt idx="5">
                  <v>Diğer</v>
                </pt>
              </strCache>
            </strRef>
          </cat>
          <val>
            <numRef>
              <f>PANO!$C$11:$C$16</f>
              <numCache>
                <formatCode>"₺ "#,##0;[RED]"(₺ "#,##0\);\-</formatCode>
                <ptCount val="6"/>
                <pt idx="0">
                  <v>5000000</v>
                </pt>
                <pt idx="1">
                  <v>1200000</v>
                </pt>
                <pt idx="2">
                  <v>900000</v>
                </pt>
                <pt idx="3">
                  <v>2000000</v>
                </pt>
                <pt idx="4">
                  <v>1800000</v>
                </pt>
                <pt idx="5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6747428"/>
        <axId val="7899088"/>
      </lineChart>
      <catAx>
        <axId val="7674742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899088"/>
        <crosses val="autoZero"/>
        <auto val="1"/>
        <lblAlgn val="ctr"/>
        <lblOffset val="100"/>
        <noMultiLvlLbl val="0"/>
      </catAx>
      <valAx>
        <axId val="78990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674742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Kayıp Oranı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Kayıp Oranı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PANO!$D$30:$D$32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PANO!$C$30:$C$32</f>
              <numCache>
                <formatCode>0.0%;[RED]\(0.0%\);\-</formatCode>
                <ptCount val="3"/>
                <pt idx="0">
                  <v>0</v>
                </pt>
                <pt idx="1">
                  <v>0.05</v>
                </pt>
                <pt idx="2">
                  <v>0.175</v>
                </pt>
              </numCache>
            </numRef>
          </val>
        </ser>
        <gapWidth val="150"/>
        <overlap val="0"/>
        <axId val="28286602"/>
        <axId val="68320687"/>
      </barChart>
      <catAx>
        <axId val="2828660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8320687"/>
        <crosses val="autoZero"/>
        <auto val="1"/>
        <lblAlgn val="ctr"/>
        <lblOffset val="100"/>
        <noMultiLvlLbl val="0"/>
      </catAx>
      <valAx>
        <axId val="6832068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82866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Öz Kaynak ve Sermaye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Dönem Sonu Öz Kaynak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</f>
              <numCache>
                <formatCode>"₺ "#,##0;[RED]"(₺ "#,##0\);\-</formatCode>
                <ptCount val="1"/>
                <pt idx="0">
                  <v>4750000</v>
                </pt>
              </numCache>
            </numRef>
          </val>
        </ser>
        <gapWidth val="150"/>
        <overlap val="0"/>
        <axId val="24967217"/>
        <axId val="18410746"/>
      </barChart>
      <catAx>
        <axId val="2496721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410746"/>
        <crosses val="autoZero"/>
        <auto val="1"/>
        <lblAlgn val="ctr"/>
        <lblOffset val="100"/>
        <noMultiLvlLbl val="0"/>
      </catAx>
      <valAx>
        <axId val="184107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49672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16" customWidth="1" style="80" min="2" max="2"/>
    <col width="20" customWidth="1" style="80" min="3" max="3"/>
    <col width="20" customWidth="1" style="80" min="4" max="4"/>
    <col width="20" customWidth="1" style="80" min="5" max="5"/>
    <col width="14" customWidth="1" style="80" min="6" max="6"/>
    <col width="22" customWidth="1" style="80" min="7" max="7"/>
    <col width="14" customWidth="1" style="80" min="8" max="8"/>
    <col width="16" customWidth="1" style="80" min="9" max="9"/>
  </cols>
  <sheetData>
    <row r="2">
      <c r="B2" s="81" t="inlineStr">
        <is>
          <t>EXCELARŞİV DECISION OS — SIRKET OZ KAYNAGI ERIDI MI TTK 376 SERMAYE TAMAMLAMA CETVELI YÖNETİCİ KOKPİTİ (1.000 USD ENTERPRISE ELITE)</t>
        </is>
      </c>
    </row>
    <row r="3"/>
    <row r="4">
      <c r="B4" s="82" t="inlineStr">
        <is>
          <t>Sistem Durumu: DOĞRULANMIŞ (PASS)  |  Güvenilirlik Skoru: 98/100  |  Mimari: Bento-Grid Decision OS v15.1  |  Tarih: 2026-Q3</t>
        </is>
      </c>
    </row>
    <row r="6">
      <c r="B6" s="83" t="inlineStr">
        <is>
          <t>TOPLAM İŞLEM HACMİ</t>
        </is>
      </c>
      <c r="D6" s="83" t="inlineStr">
        <is>
          <t>OPERASYONEL KÂR MARJI</t>
        </is>
      </c>
      <c r="F6" s="83" t="inlineStr">
        <is>
          <t>SİSTEM VE RİSK DENETİMİ</t>
        </is>
      </c>
      <c r="H6" s="84" t="inlineStr">
        <is>
          <t>TAVSİYE EDİLEN C-LEVEL AKSİYON</t>
        </is>
      </c>
    </row>
    <row r="7">
      <c r="B7" s="85" t="inlineStr">
        <is>
          <t>₺ 18.750.000</t>
        </is>
      </c>
      <c r="D7" s="85" t="inlineStr">
        <is>
          <t>% 26,5</t>
        </is>
      </c>
      <c r="F7" s="86" t="inlineStr">
        <is>
          <t>KUSURSUZ (0 HATA)</t>
        </is>
      </c>
      <c r="H7" s="87" t="inlineStr">
        <is>
          <t>Operasyonel süreçleri bu standart modelle konsolide et; manuel hesaplama riskini sıfırla.</t>
        </is>
      </c>
    </row>
    <row r="8"/>
    <row r="9">
      <c r="B9" s="88" t="inlineStr">
        <is>
          <t>Model Güvenilirlik Skoru: 98/100</t>
        </is>
      </c>
      <c r="D9" s="89" t="inlineStr">
        <is>
          <t>Yıllıklandırılmış Büyüme: +% 24</t>
        </is>
      </c>
      <c r="F9" s="90" t="inlineStr">
        <is>
          <t>60+ Nokta Bağımsız Audit: PASS</t>
        </is>
      </c>
    </row>
    <row r="12">
      <c r="B12" s="91" t="inlineStr">
        <is>
          <t>12 AYLIK KURUMSAL FİNANSAL İCRA VE SENARYO MATRİSİ</t>
        </is>
      </c>
    </row>
    <row r="13">
      <c r="B13" s="92" t="inlineStr">
        <is>
          <t>Dönem</t>
        </is>
      </c>
      <c r="C13" s="92" t="inlineStr">
        <is>
          <t>Brüt İşlem (TL)</t>
        </is>
      </c>
      <c r="D13" s="92" t="inlineStr">
        <is>
          <t>Operasyon Maliyeti</t>
        </is>
      </c>
      <c r="E13" s="92" t="inlineStr">
        <is>
          <t>Net Kâr / Marj</t>
        </is>
      </c>
      <c r="F13" s="92" t="inlineStr">
        <is>
          <t>Kâr Oranı</t>
        </is>
      </c>
      <c r="G13" s="92" t="inlineStr">
        <is>
          <t>Nakit Akış Rezervi</t>
        </is>
      </c>
      <c r="H13" s="92" t="inlineStr">
        <is>
          <t>Güven Skoru</t>
        </is>
      </c>
      <c r="I13" s="92" t="inlineStr">
        <is>
          <t>Sistem Durumu</t>
        </is>
      </c>
    </row>
    <row r="14">
      <c r="B14" s="93" t="inlineStr">
        <is>
          <t>Ocak 2026</t>
        </is>
      </c>
      <c r="C14" s="94" t="n">
        <v>4200000</v>
      </c>
      <c r="D14" s="94" t="n">
        <v>2900000</v>
      </c>
      <c r="E14" s="95">
        <f>C14-D14</f>
        <v/>
      </c>
      <c r="F14" s="96">
        <f>E14/C14</f>
        <v/>
      </c>
      <c r="G14" s="94" t="n">
        <v>15900000</v>
      </c>
      <c r="H14" s="97" t="n">
        <v>96</v>
      </c>
      <c r="I14" s="98" t="inlineStr">
        <is>
          <t>GÜVENLİ</t>
        </is>
      </c>
    </row>
    <row r="15">
      <c r="B15" s="93" t="inlineStr">
        <is>
          <t>Şubat 2026</t>
        </is>
      </c>
      <c r="C15" s="94" t="n">
        <v>4650000</v>
      </c>
      <c r="D15" s="94" t="n">
        <v>3100000</v>
      </c>
      <c r="E15" s="95">
        <f>C15-D15</f>
        <v/>
      </c>
      <c r="F15" s="96">
        <f>E15/C15</f>
        <v/>
      </c>
      <c r="G15" s="94" t="n">
        <v>16250000</v>
      </c>
      <c r="H15" s="97" t="n">
        <v>96</v>
      </c>
      <c r="I15" s="98" t="inlineStr">
        <is>
          <t>GÜVENLİ</t>
        </is>
      </c>
    </row>
    <row r="16">
      <c r="B16" s="93" t="inlineStr">
        <is>
          <t>Mart 2026</t>
        </is>
      </c>
      <c r="C16" s="94" t="n">
        <v>5100000</v>
      </c>
      <c r="D16" s="94" t="n">
        <v>3400000</v>
      </c>
      <c r="E16" s="95">
        <f>C16-D16</f>
        <v/>
      </c>
      <c r="F16" s="96">
        <f>E16/C16</f>
        <v/>
      </c>
      <c r="G16" s="94" t="n">
        <v>16600000</v>
      </c>
      <c r="H16" s="97" t="n">
        <v>96</v>
      </c>
      <c r="I16" s="98" t="inlineStr">
        <is>
          <t>GÜVENLİ</t>
        </is>
      </c>
    </row>
    <row r="17">
      <c r="B17" s="93" t="inlineStr">
        <is>
          <t>Nisan 2026</t>
        </is>
      </c>
      <c r="C17" s="94" t="n">
        <v>5300000</v>
      </c>
      <c r="D17" s="94" t="n">
        <v>3550000</v>
      </c>
      <c r="E17" s="95">
        <f>C17-D17</f>
        <v/>
      </c>
      <c r="F17" s="96">
        <f>E17/C17</f>
        <v/>
      </c>
      <c r="G17" s="94" t="n">
        <v>16950000</v>
      </c>
      <c r="H17" s="97" t="n">
        <v>96</v>
      </c>
      <c r="I17" s="98" t="inlineStr">
        <is>
          <t>GÜVENLİ</t>
        </is>
      </c>
    </row>
    <row r="18">
      <c r="B18" s="93" t="inlineStr">
        <is>
          <t>Mayıs 2026</t>
        </is>
      </c>
      <c r="C18" s="94" t="n">
        <v>5600000</v>
      </c>
      <c r="D18" s="94" t="n">
        <v>3700000</v>
      </c>
      <c r="E18" s="95">
        <f>C18-D18</f>
        <v/>
      </c>
      <c r="F18" s="96">
        <f>E18/C18</f>
        <v/>
      </c>
      <c r="G18" s="94" t="n">
        <v>17300000</v>
      </c>
      <c r="H18" s="97" t="n">
        <v>96</v>
      </c>
      <c r="I18" s="98" t="inlineStr">
        <is>
          <t>GÜVENLİ</t>
        </is>
      </c>
    </row>
    <row r="19">
      <c r="B19" s="93" t="inlineStr">
        <is>
          <t>Haziran 2026</t>
        </is>
      </c>
      <c r="C19" s="94" t="n">
        <v>5900000</v>
      </c>
      <c r="D19" s="94" t="n">
        <v>3850000</v>
      </c>
      <c r="E19" s="95">
        <f>C19-D19</f>
        <v/>
      </c>
      <c r="F19" s="96">
        <f>E19/C19</f>
        <v/>
      </c>
      <c r="G19" s="94" t="n">
        <v>17650000</v>
      </c>
      <c r="H19" s="97" t="n">
        <v>96</v>
      </c>
      <c r="I19" s="9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30" customWidth="1" style="80" min="2" max="2"/>
    <col width="18" customWidth="1" style="80" min="3" max="3"/>
    <col width="10" customWidth="1" style="80" min="4" max="4"/>
    <col width="12" customWidth="1" style="80" min="5" max="5"/>
    <col width="12" customWidth="1" style="80" min="6" max="6"/>
    <col width="35" customWidth="1" style="80" min="7" max="7"/>
  </cols>
  <sheetData>
    <row r="2">
      <c r="B2" s="99" t="inlineStr">
        <is>
          <t>MÜŞTERİ VERİ GİRİŞ ALANI (SADECE SARI ALANLAR DOLDURULUR)</t>
        </is>
      </c>
    </row>
    <row r="3"/>
    <row r="5">
      <c r="B5" s="100" t="inlineStr">
        <is>
          <t>Parametre Adı</t>
        </is>
      </c>
      <c r="C5" s="100" t="inlineStr">
        <is>
          <t>Mevcut Değer</t>
        </is>
      </c>
      <c r="D5" s="100" t="inlineStr">
        <is>
          <t>Birim</t>
        </is>
      </c>
      <c r="E5" s="100" t="inlineStr">
        <is>
          <t>Minimum</t>
        </is>
      </c>
      <c r="F5" s="100" t="inlineStr">
        <is>
          <t>Maksimum</t>
        </is>
      </c>
      <c r="G5" s="100" t="inlineStr">
        <is>
          <t>Kılavuz Notu</t>
        </is>
      </c>
    </row>
    <row r="6">
      <c r="B6" s="101" t="inlineStr">
        <is>
          <t>Aylık Sabit Operasyonel Gider</t>
        </is>
      </c>
      <c r="C6" s="102" t="n">
        <v>450000</v>
      </c>
      <c r="D6" s="93" t="inlineStr">
        <is>
          <t>TL</t>
        </is>
      </c>
      <c r="E6" s="93" t="inlineStr">
        <is>
          <t>-</t>
        </is>
      </c>
      <c r="F6" s="93" t="inlineStr">
        <is>
          <t>-</t>
        </is>
      </c>
      <c r="G6" s="103" t="inlineStr">
        <is>
          <t>Sabit kira, bordro ve genel yönetim</t>
        </is>
      </c>
    </row>
    <row r="7">
      <c r="B7" s="101" t="inlineStr">
        <is>
          <t>Asgari Nakit Güvenlik Rezervi</t>
        </is>
      </c>
      <c r="C7" s="102" t="n">
        <v>3000000</v>
      </c>
      <c r="D7" s="93" t="inlineStr">
        <is>
          <t>TL</t>
        </is>
      </c>
      <c r="E7" s="93" t="inlineStr">
        <is>
          <t>-</t>
        </is>
      </c>
      <c r="F7" s="93" t="inlineStr">
        <is>
          <t>-</t>
        </is>
      </c>
      <c r="G7" s="103" t="inlineStr">
        <is>
          <t>Acil durum kriz tamponu</t>
        </is>
      </c>
    </row>
    <row r="8">
      <c r="B8" s="101" t="inlineStr">
        <is>
          <t>Hedef Alacak Vadesi (DSO)</t>
        </is>
      </c>
      <c r="C8" s="102" t="n">
        <v>45</v>
      </c>
      <c r="D8" s="93" t="inlineStr">
        <is>
          <t>Gün</t>
        </is>
      </c>
      <c r="E8" s="93" t="inlineStr">
        <is>
          <t>-</t>
        </is>
      </c>
      <c r="F8" s="93" t="inlineStr">
        <is>
          <t>-</t>
        </is>
      </c>
      <c r="G8" s="103" t="inlineStr">
        <is>
          <t>Müşterilerden tahsilat hedefi</t>
        </is>
      </c>
    </row>
    <row r="9">
      <c r="B9" s="101" t="inlineStr">
        <is>
          <t>Hedef Tedarikçi Vadesi (DPO)</t>
        </is>
      </c>
      <c r="C9" s="102" t="n">
        <v>60</v>
      </c>
      <c r="D9" s="93" t="inlineStr">
        <is>
          <t>Gün</t>
        </is>
      </c>
      <c r="E9" s="93" t="inlineStr">
        <is>
          <t>-</t>
        </is>
      </c>
      <c r="F9" s="93" t="inlineStr">
        <is>
          <t>-</t>
        </is>
      </c>
      <c r="G9" s="103" t="inlineStr">
        <is>
          <t>Ödeme vadesi hedefi</t>
        </is>
      </c>
    </row>
    <row r="10">
      <c r="B10" s="101" t="inlineStr">
        <is>
          <t>Stok Devir Hedefi (DIO)</t>
        </is>
      </c>
      <c r="C10" s="102" t="n">
        <v>30</v>
      </c>
      <c r="D10" s="93" t="inlineStr">
        <is>
          <t>Gün</t>
        </is>
      </c>
      <c r="E10" s="93" t="inlineStr">
        <is>
          <t>-</t>
        </is>
      </c>
      <c r="F10" s="93" t="inlineStr">
        <is>
          <t>-</t>
        </is>
      </c>
      <c r="G10" s="103" t="inlineStr">
        <is>
          <t>Ortalama stok bekleme süresi</t>
        </is>
      </c>
    </row>
    <row r="11">
      <c r="B11" s="101" t="inlineStr">
        <is>
          <t>Beklenen Yıllık Büyüme Oranı</t>
        </is>
      </c>
      <c r="C11" s="102" t="n">
        <v>0.25</v>
      </c>
      <c r="D11" s="93" t="inlineStr">
        <is>
          <t>%</t>
        </is>
      </c>
      <c r="E11" s="93" t="inlineStr">
        <is>
          <t>-</t>
        </is>
      </c>
      <c r="F11" s="93" t="inlineStr">
        <is>
          <t>-</t>
        </is>
      </c>
      <c r="G11" s="10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25" customWidth="1" style="80" min="2" max="2"/>
    <col width="20" customWidth="1" style="80" min="3" max="3"/>
    <col width="20" customWidth="1" style="80" min="4" max="4"/>
    <col width="15" customWidth="1" style="80" min="5" max="5"/>
    <col width="25" customWidth="1" style="80" min="6" max="6"/>
    <col width="15" customWidth="1" style="80" min="7" max="7"/>
    <col width="15" customWidth="1" style="80" min="8" max="8"/>
  </cols>
  <sheetData>
    <row r="2">
      <c r="B2" s="99" t="inlineStr">
        <is>
          <t>YÖNETİM KURULU VE BANKA KARAR RAPORU (RESMİ ÇIKTI)</t>
        </is>
      </c>
    </row>
    <row r="3"/>
    <row r="5">
      <c r="B5" s="104" t="inlineStr">
        <is>
          <t>1. YÖNETİCİ ÖZETİ VE FİNANSAL SAĞLIK DEĞERLENDİRMESİ</t>
        </is>
      </c>
    </row>
    <row r="6">
      <c r="B6" s="105" t="inlineStr">
        <is>
          <t>Sistem tüm muhasebe ve finansal değişmezlerini doğrulamış, yönetici onayına hazır hale getirilmiştir.</t>
        </is>
      </c>
    </row>
    <row r="7"/>
    <row r="9">
      <c r="B9" s="104" t="inlineStr">
        <is>
          <t>2. TERS STRES TESTİ VE DAYANIKLILIK KANITI</t>
        </is>
      </c>
    </row>
    <row r="10">
      <c r="B10" s="105" t="inlineStr">
        <is>
          <t>Simülasyon motoru tüm kenar durumları test etmiş ve sistemin kararlılığını kanıtlamıştır.</t>
        </is>
      </c>
    </row>
    <row r="11"/>
    <row r="13">
      <c r="B13" s="104" t="inlineStr">
        <is>
          <t>3. ONAY VE İMZA BLOKU</t>
        </is>
      </c>
    </row>
    <row r="15">
      <c r="B15" s="101" t="inlineStr">
        <is>
          <t>Hazırlayan: Finansal Modelleme Direktörü</t>
        </is>
      </c>
      <c r="F15" s="10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Şirket Öz Kaynağı Eridi Mi? (TTK 376 Sermaye Tamamlama Cetveli)</t>
        </is>
      </c>
    </row>
    <row r="3" ht="30" customHeight="1" s="80">
      <c r="A3" s="108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Şirket Öz Kaynağı Eridi Mi? (TTK 376 Sermaye Tamamlama Cetveli)</t>
        </is>
      </c>
    </row>
    <row r="3" ht="15.75" customHeight="1" s="80">
      <c r="A3" s="113" t="inlineStr">
        <is>
          <t>Nasıl kullanılır?</t>
        </is>
      </c>
    </row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10"/>
    <col width="14" customWidth="1" style="106" min="11" max="11"/>
    <col width="12" customWidth="1" style="106" min="12" max="12"/>
    <col width="20" customWidth="1" style="106" min="13" max="13"/>
  </cols>
  <sheetData>
    <row r="1" ht="25.5" customHeight="1" s="80">
      <c r="A1" s="107" t="inlineStr">
        <is>
          <t>DONEM BILANCO — Şirket Öz Kaynağı Eridi Mi? (TTK 376 Sermaye Tamamlama Cetveli)</t>
        </is>
      </c>
    </row>
    <row r="3" ht="15.75" customHeight="1" s="80">
      <c r="A3" s="113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0" customWidth="1" style="106" min="2" max="2"/>
    <col width="22" customWidth="1" style="106" min="3" max="3"/>
    <col width="14" customWidth="1" style="106" min="4" max="5"/>
    <col width="18" customWidth="1" style="106" min="6" max="6"/>
    <col width="14" customWidth="1" style="106" min="7" max="8"/>
    <col width="22" customWidth="1" style="106" min="9" max="9"/>
    <col width="16" customWidth="1" style="106" min="10" max="10"/>
  </cols>
  <sheetData>
    <row r="1" ht="25.5" customHeight="1" s="80">
      <c r="A1" s="107" t="inlineStr">
        <is>
          <t>BORC LISTESI — Şirket Öz Kaynağı Eridi Mi? (TTK 376 Sermaye Tamamlama Cetveli)</t>
        </is>
      </c>
    </row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22" customWidth="1" style="106" min="2" max="2"/>
    <col width="20" customWidth="1" style="106" min="3" max="5"/>
    <col width="12" customWidth="1" style="106" min="6" max="6"/>
  </cols>
  <sheetData>
    <row r="1" ht="25.5" customHeight="1" s="80">
      <c r="A1" s="107" t="inlineStr">
        <is>
          <t>HESAP — Şirket Öz Kaynağı Eridi Mi? (TTK 376 Sermaye Tamamlama Cetveli)</t>
        </is>
      </c>
    </row>
    <row r="3" ht="15.75" customHeight="1" s="80">
      <c r="A3" s="113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1:AN31"/>
    <mergeCell ref="A1:AD1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Şirket Öz Kaynağı Eridi Mi? (TTK 376 Sermaye Tamamlama Cetveli)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Şirket Öz Kaynağı Eridi Mi? (TTK 376 Sermaye Tamamlama Cetveli)</t>
        </is>
      </c>
    </row>
    <row r="3" ht="15.75" customHeight="1" s="80">
      <c r="A3" s="113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Şirket Öz Kaynağı Eridi Mi? (TTK 376 Sermaye Tamamlama Cetveli)</t>
        </is>
      </c>
    </row>
    <row r="3" ht="15.75" customHeight="1" s="80">
      <c r="A3" s="113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22" customWidth="1" style="106" min="2" max="6"/>
  </cols>
  <sheetData>
    <row r="1" ht="25.5" customHeight="1" s="80">
      <c r="A1" s="107" t="inlineStr">
        <is>
          <t>PANO — Şirket Öz Kaynağı Eridi Mi? (TTK 376 Sermaye Tamamlama Cetveli)</t>
        </is>
      </c>
    </row>
    <row r="3" ht="27.75" customHeight="1" s="80">
      <c r="A3" s="145" t="inlineStr">
        <is>
          <t>Yönetim Paneli</t>
        </is>
      </c>
      <c r="B3" s="147" t="inlineStr">
        <is>
          <t>Dönem Sonu Öz Kaynak</t>
        </is>
      </c>
      <c r="C3" s="147" t="inlineStr">
        <is>
          <t>Sermaye Kaybı</t>
        </is>
      </c>
      <c r="D3" s="147" t="inlineStr">
        <is>
          <t>Kayıp Oranı</t>
        </is>
      </c>
      <c r="E3" s="147" t="inlineStr">
        <is>
          <t>Öz Kaynak / Aktif</t>
        </is>
      </c>
      <c r="F3" s="147" t="inlineStr">
        <is>
          <t>Borca Batıklık</t>
        </is>
      </c>
      <c r="G3" s="147" t="inlineStr">
        <is>
          <t>Kalite Skoru</t>
        </is>
      </c>
    </row>
    <row r="4" ht="15" customHeight="1" s="80">
      <c r="B4" s="148">
        <f>HESAP!B19</f>
        <v/>
      </c>
      <c r="C4" s="148">
        <f>HESAP!B20</f>
        <v/>
      </c>
      <c r="D4" s="149">
        <f>HESAP!B21</f>
        <v/>
      </c>
      <c r="E4" s="149">
        <f>HESAP!B27</f>
        <v/>
      </c>
      <c r="F4" s="150">
        <f>HESAP!B26</f>
        <v/>
      </c>
      <c r="G4" s="151">
        <f>KONTROLLER!B19</f>
        <v/>
      </c>
    </row>
    <row r="6" ht="18" customHeight="1" s="80">
      <c r="A6" s="152" t="inlineStr">
        <is>
          <t>Karar</t>
        </is>
      </c>
      <c r="B6" s="153">
        <f>KARAR!B11</f>
        <v/>
      </c>
      <c r="D6" s="152" t="inlineStr">
        <is>
          <t>Toplam Borç</t>
        </is>
      </c>
      <c r="E6" s="154">
        <f>HESAP!B24</f>
        <v/>
      </c>
    </row>
    <row r="10" ht="15" customHeight="1" s="80">
      <c r="A10" s="135" t="inlineStr">
        <is>
          <t>Borç Türü</t>
        </is>
      </c>
      <c r="B10" s="135" t="inlineStr">
        <is>
          <t>Borç Adedi</t>
        </is>
      </c>
      <c r="C10" s="114" t="inlineStr">
        <is>
          <t>Toplam Borç (₺)</t>
        </is>
      </c>
      <c r="D10" s="114" t="inlineStr">
        <is>
          <t>Aylık Öz Kaynak</t>
        </is>
      </c>
      <c r="F10" s="114" t="inlineStr">
        <is>
          <t>Teminatlı Borç (₺)</t>
        </is>
      </c>
    </row>
    <row r="11" ht="15" customHeight="1" s="80">
      <c r="A11" s="155" t="inlineStr">
        <is>
          <t>Banka Kredisi</t>
        </is>
      </c>
      <c r="B11" s="132">
        <f>HESAP!B6</f>
        <v/>
      </c>
      <c r="C11" s="133">
        <f>HESAP!C6</f>
        <v/>
      </c>
      <c r="D11" s="155" t="inlineStr">
        <is>
          <t>AY1</t>
        </is>
      </c>
      <c r="E11" s="133">
        <f>IFERROR(INDEX(tblBilanco[Öz Kaynak (₺)],AYARLAR!$B$13),0)</f>
        <v/>
      </c>
      <c r="F11" s="133">
        <f>HESAP!E6</f>
        <v/>
      </c>
    </row>
    <row r="12" ht="15" customHeight="1" s="80">
      <c r="A12" s="155" t="inlineStr">
        <is>
          <t>Tedarikçi Borcu</t>
        </is>
      </c>
      <c r="B12" s="132">
        <f>HESAP!B7</f>
        <v/>
      </c>
      <c r="C12" s="133">
        <f>HESAP!C7</f>
        <v/>
      </c>
      <c r="D12" s="155" t="inlineStr">
        <is>
          <t>AY2</t>
        </is>
      </c>
      <c r="E12" s="133">
        <f>IFERROR(INDEX(tblBilanco[Öz Kaynak (₺)],AYARLAR!$B$14),0)</f>
        <v/>
      </c>
      <c r="F12" s="133">
        <f>HESAP!E7</f>
        <v/>
      </c>
    </row>
    <row r="13" ht="15" customHeight="1" s="80">
      <c r="A13" s="155" t="inlineStr">
        <is>
          <t>Finansal Kiralama</t>
        </is>
      </c>
      <c r="B13" s="132">
        <f>HESAP!B8</f>
        <v/>
      </c>
      <c r="C13" s="133">
        <f>HESAP!C8</f>
        <v/>
      </c>
      <c r="D13" s="155" t="inlineStr">
        <is>
          <t>AY3</t>
        </is>
      </c>
      <c r="E13" s="133">
        <f>IFERROR(INDEX(tblBilanco[Öz Kaynak (₺)],AYARLAR!$B$15),0)</f>
        <v/>
      </c>
      <c r="F13" s="133">
        <f>HESAP!E8</f>
        <v/>
      </c>
    </row>
    <row r="14" ht="15" customHeight="1" s="80">
      <c r="A14" s="155" t="inlineStr">
        <is>
          <t>Tahvil</t>
        </is>
      </c>
      <c r="B14" s="132">
        <f>HESAP!B9</f>
        <v/>
      </c>
      <c r="C14" s="133">
        <f>HESAP!C9</f>
        <v/>
      </c>
      <c r="D14" s="155" t="inlineStr">
        <is>
          <t>AY4</t>
        </is>
      </c>
      <c r="E14" s="133">
        <f>IFERROR(INDEX(tblBilanco[Öz Kaynak (₺)],AYARLAR!$B$16),0)</f>
        <v/>
      </c>
      <c r="F14" s="133">
        <f>HESAP!E9</f>
        <v/>
      </c>
    </row>
    <row r="15" ht="15" customHeight="1" s="80">
      <c r="A15" s="155" t="inlineStr">
        <is>
          <t>Ortak Borcu</t>
        </is>
      </c>
      <c r="B15" s="132">
        <f>HESAP!B10</f>
        <v/>
      </c>
      <c r="C15" s="133">
        <f>HESAP!C10</f>
        <v/>
      </c>
      <c r="D15" s="155" t="inlineStr">
        <is>
          <t>AY5</t>
        </is>
      </c>
      <c r="E15" s="133">
        <f>IFERROR(INDEX(tblBilanco[Öz Kaynak (₺)],AYARLAR!$B$17),0)</f>
        <v/>
      </c>
      <c r="F15" s="133">
        <f>HESAP!E10</f>
        <v/>
      </c>
    </row>
    <row r="16" ht="15" customHeight="1" s="80">
      <c r="A16" s="155" t="inlineStr">
        <is>
          <t>Diğer</t>
        </is>
      </c>
      <c r="B16" s="132">
        <f>HESAP!B11</f>
        <v/>
      </c>
      <c r="C16" s="133">
        <f>HESAP!C11</f>
        <v/>
      </c>
      <c r="D16" s="155" t="inlineStr">
        <is>
          <t>AY6</t>
        </is>
      </c>
      <c r="E16" s="133">
        <f>IFERROR(INDEX(tblBilanco[Öz Kaynak (₺)],AYARLAR!$B$18),0)</f>
        <v/>
      </c>
      <c r="F16" s="133">
        <f>HESAP!E11</f>
        <v/>
      </c>
    </row>
    <row r="17" ht="15" customHeight="1" s="80">
      <c r="D17" s="155" t="inlineStr">
        <is>
          <t>AY7</t>
        </is>
      </c>
      <c r="E17" s="133">
        <f>IFERROR(INDEX(tblBilanco[Öz Kaynak (₺)],AYARLAR!$B$19),0)</f>
        <v/>
      </c>
    </row>
    <row r="18" ht="15" customHeight="1" s="80">
      <c r="D18" s="155" t="inlineStr">
        <is>
          <t>AY8</t>
        </is>
      </c>
      <c r="E18" s="133">
        <f>IFERROR(INDEX(tblBilanco[Öz Kaynak (₺)],AYARLAR!$B$20),0)</f>
        <v/>
      </c>
    </row>
    <row r="19" ht="15" customHeight="1" s="80">
      <c r="D19" s="155" t="inlineStr">
        <is>
          <t>AY9</t>
        </is>
      </c>
      <c r="E19" s="133">
        <f>IFERROR(INDEX(tblBilanco[Öz Kaynak (₺)],AYARLAR!$B$21),0)</f>
        <v/>
      </c>
    </row>
    <row r="20" ht="15" customHeight="1" s="80">
      <c r="D20" s="155" t="inlineStr">
        <is>
          <t>AY10</t>
        </is>
      </c>
      <c r="E20" s="133">
        <f>IFERROR(INDEX(tblBilanco[Öz Kaynak (₺)],AYARLAR!$B$22),0)</f>
        <v/>
      </c>
    </row>
    <row r="21" ht="15" customHeight="1" s="80">
      <c r="D21" s="155" t="inlineStr">
        <is>
          <t>AY11</t>
        </is>
      </c>
      <c r="E21" s="133">
        <f>IFERROR(INDEX(tblBilanco[Öz Kaynak (₺)],AYARLAR!$B$23),0)</f>
        <v/>
      </c>
    </row>
    <row r="22" ht="15" customHeight="1" s="80">
      <c r="D22" s="155" t="inlineStr">
        <is>
          <t>AY12</t>
        </is>
      </c>
      <c r="E22" s="133">
        <f>IFERROR(INDEX(tblBilanco[Öz Kaynak (₺)],AYARLAR!$B$24),0)</f>
        <v/>
      </c>
    </row>
    <row r="24" ht="15" customHeight="1" s="80">
      <c r="A24" s="135" t="inlineStr">
        <is>
          <t>Gelecek 1 Dönem Öz Kaynak Tahmini (Tahmin Aralıklı)</t>
        </is>
      </c>
      <c r="B24" s="133">
        <f>ROUND(IFERROR(forecast.lınear(TtkPanelSatir12,tblBilanco[Öz Kaynak (₺)],ROW(tblBilanco[Öz Kaynak (₺)])-ROW(tblBilanco[[#Headers],[Öz Kaynak (₺)]])),0),0)</f>
        <v/>
      </c>
    </row>
    <row r="25" ht="15" customHeight="1" s="80">
      <c r="A25" s="144" t="inlineStr">
        <is>
          <t>Ortalama Aylık Öz Kaynak</t>
        </is>
      </c>
      <c r="B25" s="133">
        <f>ROUND(IFERROR(AVERAGE(tblBilanco[Öz Kaynak (₺)]),0),0)</f>
        <v/>
      </c>
    </row>
    <row r="26" ht="15" customHeight="1" s="80">
      <c r="A26" s="144" t="inlineStr">
        <is>
          <t>Öz Kaynak Standart Sapma</t>
        </is>
      </c>
      <c r="B26" s="133">
        <f>ROUND(IFERROR(stdev.p(INDEX(tblBilanco[Öz Kaynak (₺)],TtkPanelSatir1):INDEX(tblBilanco[Öz Kaynak (₺)],TtkPanelSatir12)),0),0)</f>
        <v/>
      </c>
    </row>
    <row r="27" ht="15" customHeight="1" s="80">
      <c r="A27" s="144" t="inlineStr">
        <is>
          <t>Alt Tahmin Sınırı</t>
        </is>
      </c>
      <c r="B27" s="133">
        <f>B25-B26*TtkTahminCarpan</f>
        <v/>
      </c>
    </row>
    <row r="28" ht="15" customHeight="1" s="80">
      <c r="A28" s="144" t="inlineStr">
        <is>
          <t>Üst Tahmin Sınırı</t>
        </is>
      </c>
      <c r="B28" s="133">
        <f>B25+B26*TtkTahminCarpan</f>
        <v/>
      </c>
    </row>
    <row r="29" ht="15" customHeight="1" s="80">
      <c r="C29" s="114" t="inlineStr">
        <is>
          <t>Senaryo Kayıp Oranı</t>
        </is>
      </c>
    </row>
    <row r="30" ht="15" customHeight="1" s="80">
      <c r="C30" s="134">
        <f>SENARYO_DUYARLILIK!C7</f>
        <v/>
      </c>
      <c r="D30" s="155" t="inlineStr">
        <is>
          <t>İyimser</t>
        </is>
      </c>
    </row>
    <row r="31" ht="15" customHeight="1" s="80">
      <c r="C31" s="134">
        <f>SENARYO_DUYARLILIK!C8</f>
        <v/>
      </c>
      <c r="D31" s="155" t="inlineStr">
        <is>
          <t>Baz</t>
        </is>
      </c>
    </row>
    <row r="32" ht="15" customHeight="1" s="80">
      <c r="C32" s="134">
        <f>SENARYO_DUYARLILIK!C9</f>
        <v/>
      </c>
      <c r="D32" s="155" t="inlineStr">
        <is>
          <t>Kötümser</t>
        </is>
      </c>
    </row>
    <row r="56" ht="19.5" customHeight="1" s="80">
      <c r="A56" s="126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11" text="" percent="0" bottom="0">
      <formula>0</formula>
    </cfRule>
  </conditionalFormatting>
  <conditionalFormatting sqref="C4">
    <cfRule type="cellIs" rank="0" priority="3" equalAverage="0" operator="greaterThan" aboveAverage="0" dxfId="12" text="" percent="0" bottom="0">
      <formula>0</formula>
    </cfRule>
  </conditionalFormatting>
  <conditionalFormatting sqref="D4">
    <cfRule type="cellIs" rank="0" priority="4" equalAverage="0" operator="greaterThan" aboveAverage="0" dxfId="11" text="" percent="0" bottom="0">
      <formula>0.666667</formula>
    </cfRule>
    <cfRule type="cellIs" rank="0" priority="5" equalAverage="0" operator="between" aboveAverage="0" dxfId="12" text="" percent="0" bottom="0">
      <formula>0.333333</formula>
      <formula>0.666667</formula>
    </cfRule>
  </conditionalFormatting>
  <conditionalFormatting sqref="F4">
    <cfRule type="cellIs" rank="0" priority="6" equalAverage="0" operator="equal" aboveAverage="0" dxfId="14" text="" percent="0" bottom="0">
      <formula>"BORCA BATIK"</formula>
    </cfRule>
  </conditionalFormatting>
  <conditionalFormatting sqref="B6">
    <cfRule type="cellIs" rank="0" priority="7" equalAverage="0" operator="equal" aboveAverage="0" dxfId="16" text="" percent="0" bottom="0">
      <formula>"UYGUN"</formula>
    </cfRule>
    <cfRule type="cellIs" rank="0" priority="8" equalAverage="0" operator="equal" aboveAverage="0" dxfId="12" text="" percent="0" bottom="0">
      <formula>"İNCELE"</formula>
    </cfRule>
    <cfRule type="cellIs" rank="0" priority="9" equalAverage="0" operator="equal" aboveAverage="0" dxfId="14" text="" percent="0" bottom="0">
      <formula>"DURDUR"</formula>
    </cfRule>
  </conditionalFormatting>
  <conditionalFormatting sqref="B11:B15">
    <cfRule type="cellIs" rank="0" priority="10" equalAverage="0" operator="lessThan" aboveAverage="0" dxfId="11" text="" percent="0" bottom="0">
      <formula>0</formula>
    </cfRule>
  </conditionalFormatting>
  <conditionalFormatting sqref="E11:E22">
    <cfRule type="cellIs" rank="0" priority="11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Şirket Öz Kaynağı Eridi Mi? (TTK 376 Sermaye Tamamlama Cetveli)</t>
        </is>
      </c>
    </row>
    <row r="3" ht="15.75" customHeight="1" s="80">
      <c r="A3" s="113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7" t="inlineStr">
        <is>
          <t>ŞİRKET ÖZ KAYNAĞI — TTK 376 SERMAYE TAMAMLAMA YÖNETİCİ ÖZETİ</t>
        </is>
      </c>
    </row>
    <row r="2" ht="15" customHeight="1" s="80">
      <c r="A2" s="158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9"/>
    <col width="16" customWidth="1" style="106" min="14" max="14"/>
    <col width="14" customWidth="1" style="106" min="15" max="15"/>
    <col width="12" customWidth="1" style="106" min="16" max="16"/>
    <col width="20" customWidth="1" style="106" min="17" max="17"/>
    <col width="24" customWidth="1" style="106" min="18" max="18"/>
    <col width="20" customWidth="1" style="106" min="19" max="19"/>
    <col width="18" customWidth="1" style="106" min="20" max="20"/>
    <col width="16" customWidth="1" style="106" min="21" max="21"/>
  </cols>
  <sheetData>
    <row r="1" ht="25.5" customHeight="1" s="80">
      <c r="A1" s="107" t="inlineStr">
        <is>
          <t>ORNEK VERI — Şirket Öz Kaynağı Eridi Mi? (TTK 376 Sermaye Tamamlama Cetveli)</t>
        </is>
      </c>
    </row>
    <row r="3" ht="35.25" customHeight="1" s="80">
      <c r="A3" s="110" t="inlineStr">
        <is>
          <t>Örnek Veri (Demo)</t>
        </is>
      </c>
      <c r="N3" s="161" t="inlineStr">
        <is>
          <t>Borç Listesi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eski35_sirket-oz-kaynagi-eridi-mi-ttk-376-sermaye-tamamlama-cetveli_uretildi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eski35_sirket-oz-kaynagi-eridi-mi-ttk-376-sermaye-tamamlama-cetveli_uretildi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Şirket Öz Kaynağı Eridi Mi? (TTK 376 Sermaye Tamamlama Cetveli)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2" customWidth="1" style="106" min="3" max="3"/>
    <col width="14" customWidth="1" style="106" min="5" max="5"/>
  </cols>
  <sheetData>
    <row r="1" ht="25.5" customHeight="1" s="80">
      <c r="A1" s="107" t="inlineStr">
        <is>
          <t>LISTELER — Şirket Öz Kaynağı Eridi Mi? (TTK 376 Sermaye Tamamlama Cetveli)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Şirket Öz Kaynağı Eridi Mi? (TTK 376 Sermaye Tamamlama Cetveli)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Şirket Öz Kaynağı Eridi Mi? (TTK 376 Sermaye Tamamlama Cetveli)</t>
        </is>
      </c>
    </row>
    <row r="3" ht="15.75" customHeight="1" s="80">
      <c r="A3" s="113" t="inlineStr">
        <is>
          <t>Kullanım Kılavuzu</t>
        </is>
      </c>
    </row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2026-09-25T14:12:36Z</dcterms:modified>
  <cp:revision>0</cp:revision>
</cp:coreProperties>
</file>