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BILANCO" sheetId="12" state="visible" r:id="rId12"/>
    <sheet xmlns:r="http://schemas.openxmlformats.org/officeDocument/2006/relationships" name="BORC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Aylar" hidden="0" function="0" vbProcedure="0">LISTELER!$C$7:$C$18</definedName>
    <definedName name="ListeBorcTurleri" hidden="0" function="0" vbProcedure="0">LISTELER!$A$7:$A$12</definedName>
    <definedName name="ListeEvetHayir" hidden="0" function="0" vbProcedure="0">LISTELER!$E$7:$E$8</definedName>
    <definedName name="modulI1OzKaynakTahmin" hidden="0" function="0" vbProcedure="0">ANALITIK_MOTOR!$C$13</definedName>
    <definedName name="modulI1OzKaynak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zKaynakTrend" hidden="0" function="0" vbProcedure="0">ANALITIK_MOTOR!$C$6</definedName>
    <definedName name="modulT1OzKaynakTrend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TtkAksiyon1_ACIKLAMA" hidden="0" function="0" vbProcedure="0">AYARLAR!$B$20</definedName>
    <definedName name="TtkAksiyon2_ACIKLAMA" hidden="0" function="0" vbProcedure="0">AYARLAR!$B$21</definedName>
    <definedName name="TtkAksiyon3_ACIKLAMA" hidden="0" function="0" vbProcedure="0">AYARLAR!$B$22</definedName>
    <definedName name="TtkAzamiBilancoTutari" hidden="0" function="0" vbProcedure="0">AYARLAR!$B$24</definedName>
    <definedName name="TtkBazSenaryo" hidden="0" function="0" vbProcedure="0">AYARLAR!$B$15</definedName>
    <definedName name="TtkBorcaBatik" hidden="0" function="0" vbProcedure="0">HESAP!$B$26</definedName>
    <definedName name="TtkBorcGirisKolon" hidden="0" function="0" vbProcedure="0">AYARLAR!$B$39</definedName>
    <definedName name="TtkDoluGiris" hidden="0" function="0" vbProcedure="0">KONTROLLER!$B$18</definedName>
    <definedName name="TtkDonemGirisKolon" hidden="0" function="0" vbProcedure="0">AYARLAR!$B$38</definedName>
    <definedName name="TtkDonemKar" hidden="0" function="0" vbProcedure="0">HESAP!$B$17</definedName>
    <definedName name="TtkDonemZarar" hidden="0" function="0" vbProcedure="0">HESAP!$B$18</definedName>
    <definedName name="TtkGecmisYilKar" hidden="0" function="0" vbProcedure="0">HESAP!$B$15</definedName>
    <definedName name="TtkGecmisYilZarar" hidden="0" function="0" vbProcedure="0">HESAP!$B$16</definedName>
    <definedName name="TtkIlkSonFark" hidden="0" function="0" vbProcedure="0">HESAP!$B$28</definedName>
    <definedName name="TtkIyiSenaryo" hidden="0" function="0" vbProcedure="0">AYARLAR!$B$14</definedName>
    <definedName name="TtkKaliteIyi" hidden="0" function="0" vbProcedure="0">AYARLAR!$B$18</definedName>
    <definedName name="TtkKaliteOrta" hidden="0" function="0" vbProcedure="0">AYARLAR!$B$19</definedName>
    <definedName name="TtkKayipOrani" hidden="0" function="0" vbProcedure="0">HESAP!$B$21</definedName>
    <definedName name="TtkKayipTutari" hidden="0" function="0" vbProcedure="0">HESAP!$B$20</definedName>
    <definedName name="TtkKotuSenaryo" hidden="0" function="0" vbProcedure="0">AYARLAR!$B$16</definedName>
    <definedName name="TtkOdenmisSermaye" hidden="0" function="0" vbProcedure="0">HESAP!$B$13</definedName>
    <definedName name="TtkOzKaynakAktif" hidden="0" function="0" vbProcedure="0">HESAP!$B$27</definedName>
    <definedName name="TtkOzsermaye" hidden="0" function="0" vbProcedure="0">HESAP!$B$19</definedName>
    <definedName name="TtkP90Oran" hidden="0" function="0" vbProcedure="0">AYARLAR!$B$23</definedName>
    <definedName name="TtkPanelSatir1" hidden="0" function="0" vbProcedure="0">AYARLAR!$B$26</definedName>
    <definedName name="TtkPanelSatir10" hidden="0" function="0" vbProcedure="0">AYARLAR!$B$35</definedName>
    <definedName name="TtkPanelSatir11" hidden="0" function="0" vbProcedure="0">AYARLAR!$B$36</definedName>
    <definedName name="TtkPanelSatir12" hidden="0" function="0" vbProcedure="0">AYARLAR!$B$37</definedName>
    <definedName name="TtkPanelSatir2" hidden="0" function="0" vbProcedure="0">AYARLAR!$B$27</definedName>
    <definedName name="TtkPanelSatir3" hidden="0" function="0" vbProcedure="0">AYARLAR!$B$28</definedName>
    <definedName name="TtkPanelSatir4" hidden="0" function="0" vbProcedure="0">AYARLAR!$B$29</definedName>
    <definedName name="TtkPanelSatir5" hidden="0" function="0" vbProcedure="0">AYARLAR!$B$30</definedName>
    <definedName name="TtkPanelSatir6" hidden="0" function="0" vbProcedure="0">AYARLAR!$B$31</definedName>
    <definedName name="TtkPanelSatir7" hidden="0" function="0" vbProcedure="0">AYARLAR!$B$32</definedName>
    <definedName name="TtkPanelSatir8" hidden="0" function="0" vbProcedure="0">AYARLAR!$B$33</definedName>
    <definedName name="TtkPanelSatir9" hidden="0" function="0" vbProcedure="0">AYARLAR!$B$34</definedName>
    <definedName name="TtkTahminCarpan" hidden="0" function="0" vbProcedure="0">AYARLAR!$B$13</definedName>
    <definedName name="TtkToplamAktif" hidden="0" function="0" vbProcedure="0">HESAP!$B$25</definedName>
    <definedName name="TtkToplamBorc" hidden="0" function="0" vbProcedure="0">HESAP!$B$24</definedName>
    <definedName name="TtkToplamGiris" hidden="0" function="0" vbProcedure="0">KONTROLLER!$B$17</definedName>
    <definedName name="TtkTornadoZarar" hidden="0" function="0" vbProcedure="0">AYARLAR!$B$17</definedName>
    <definedName name="TtkUcteBirEsik" hidden="0" function="0" vbProcedure="0">AYARLAR!$B$11</definedName>
    <definedName name="TtkUcteBirEsikTutar" hidden="0" function="0" vbProcedure="0">HESAP!$B$22</definedName>
    <definedName name="TtkUcteIkiEsik" hidden="0" function="0" vbProcedure="0">AYARLAR!$B$12</definedName>
    <definedName name="TtkUcteIkiEsikTutar" hidden="0" function="0" vbProcedure="0">HESAP!$B$23</definedName>
    <definedName name="TtkYedekler" hidden="0" function="0" vbProcedure="0">HESAP!$B$14</definedName>
    <definedName name="_xlnm.Print_Area" localSheetId="18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dd/mm/yyyy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bilanço verilerini girin | Neden önemli: Ürünü doğru kullanmak için | Doğru kullanım: Sırayla izleyin</t>
      </text>
    </comment>
    <comment ref="A6" authorId="0" shapeId="0">
      <text>
        <t>Tanım: Adım 2 — Borç listesini girin | Neden önemli: Ürünü doğru kullanmak için | Doğru kullanım: Sırayla izleyin</t>
      </text>
    </comment>
    <comment ref="A7" authorId="0" shapeId="0">
      <text>
        <t>Tanım: Adım 3 — Sermaye kaybını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borç metriği | Neden önemli: Borç yapısını ve yoğunlaşmayı gösterir | Doğru kullanım: Formüldür, değiştirilmez</t>
      </text>
    </comment>
    <comment ref="C6" authorId="0" shapeId="0">
      <text>
        <t>Tanım: Banka Kredisi borç metriği | Neden önemli: Borç yapısını ve yoğunlaşmayı gösterir | Doğru kullanım: Formüldür, değiştirilmez</t>
      </text>
    </comment>
    <comment ref="D6" authorId="0" shapeId="0">
      <text>
        <t>Tanım: Banka Kredisi borç metriği | Neden önemli: Borç yapısını ve yoğunlaşmayı gösterir | Doğru kullanım: Formüldür, değiştirilmez</t>
      </text>
    </comment>
    <comment ref="E6" authorId="0" shapeId="0">
      <text>
        <t>Tanım: Banka Kredisi borç metriği | Neden önemli: Borç yapısını ve yoğunlaşmayı gösterir | Doğru kullanım: Formüldür, değiştirilmez</t>
      </text>
    </comment>
    <comment ref="F6" authorId="0" shapeId="0">
      <text>
        <t>Tanım: Banka Kredisi borç metriği | Neden önemli: Borç yapısını ve yoğunlaşmayı gösterir | Doğru kullanım: Formüldür, değiştirilmez</t>
      </text>
    </comment>
    <comment ref="B7" authorId="0" shapeId="0">
      <text>
        <t>Tanım: Tedarikçi Borcu borç metriği | Neden önemli: Borç yapısını ve yoğunlaşmayı gösterir | Doğru kullanım: Formüldür, değiştirilmez</t>
      </text>
    </comment>
    <comment ref="C7" authorId="0" shapeId="0">
      <text>
        <t>Tanım: Tedarikçi Borcu borç metriği | Neden önemli: Borç yapısını ve yoğunlaşmayı gösterir | Doğru kullanım: Formüldür, değiştirilmez</t>
      </text>
    </comment>
    <comment ref="D7" authorId="0" shapeId="0">
      <text>
        <t>Tanım: Tedarikçi Borcu borç metriği | Neden önemli: Borç yapısını ve yoğunlaşmayı gösterir | Doğru kullanım: Formüldür, değiştirilmez</t>
      </text>
    </comment>
    <comment ref="E7" authorId="0" shapeId="0">
      <text>
        <t>Tanım: Tedarikçi Borcu borç metriği | Neden önemli: Borç yapısını ve yoğunlaşmayı gösterir | Doğru kullanım: Formüldür, değiştirilmez</t>
      </text>
    </comment>
    <comment ref="F7" authorId="0" shapeId="0">
      <text>
        <t>Tanım: Tedarikçi Borcu borç metriği | Neden önemli: Borç yapısını ve yoğunlaşmayı gösterir | Doğru kullanım: Formüldür, değiştirilmez</t>
      </text>
    </comment>
    <comment ref="B8" authorId="0" shapeId="0">
      <text>
        <t>Tanım: Finansal Kiralama borç metriği | Neden önemli: Borç yapısını ve yoğunlaşmayı gösterir | Doğru kullanım: Formüldür, değiştirilmez</t>
      </text>
    </comment>
    <comment ref="C8" authorId="0" shapeId="0">
      <text>
        <t>Tanım: Finansal Kiralama borç metriği | Neden önemli: Borç yapısını ve yoğunlaşmayı gösterir | Doğru kullanım: Formüldür, değiştirilmez</t>
      </text>
    </comment>
    <comment ref="D8" authorId="0" shapeId="0">
      <text>
        <t>Tanım: Finansal Kiralama borç metriği | Neden önemli: Borç yapısını ve yoğunlaşmayı gösterir | Doğru kullanım: Formüldür, değiştirilmez</t>
      </text>
    </comment>
    <comment ref="E8" authorId="0" shapeId="0">
      <text>
        <t>Tanım: Finansal Kiralama borç metriği | Neden önemli: Borç yapısını ve yoğunlaşmayı gösterir | Doğru kullanım: Formüldür, değiştirilmez</t>
      </text>
    </comment>
    <comment ref="F8" authorId="0" shapeId="0">
      <text>
        <t>Tanım: Finansal Kiralama borç metriği | Neden önemli: Borç yapısını ve yoğunlaşmayı gösterir | Doğru kullanım: Formüldür, değiştirilmez</t>
      </text>
    </comment>
    <comment ref="B9" authorId="0" shapeId="0">
      <text>
        <t>Tanım: Tahvil borç metriği | Neden önemli: Borç yapısını ve yoğunlaşmayı gösterir | Doğru kullanım: Formüldür, değiştirilmez</t>
      </text>
    </comment>
    <comment ref="C9" authorId="0" shapeId="0">
      <text>
        <t>Tanım: Tahvil borç metriği | Neden önemli: Borç yapısını ve yoğunlaşmayı gösterir | Doğru kullanım: Formüldür, değiştirilmez</t>
      </text>
    </comment>
    <comment ref="D9" authorId="0" shapeId="0">
      <text>
        <t>Tanım: Tahvil borç metriği | Neden önemli: Borç yapısını ve yoğunlaşmayı gösterir | Doğru kullanım: Formüldür, değiştirilmez</t>
      </text>
    </comment>
    <comment ref="E9" authorId="0" shapeId="0">
      <text>
        <t>Tanım: Tahvil borç metriği | Neden önemli: Borç yapısını ve yoğunlaşmayı gösterir | Doğru kullanım: Formüldür, değiştirilmez</t>
      </text>
    </comment>
    <comment ref="F9" authorId="0" shapeId="0">
      <text>
        <t>Tanım: Tahvil borç metriği | Neden önemli: Borç yapısını ve yoğunlaşmayı gösterir | Doğru kullanım: Formüldür, değiştirilmez</t>
      </text>
    </comment>
    <comment ref="B10" authorId="0" shapeId="0">
      <text>
        <t>Tanım: Ortak Borcu borç metriği | Neden önemli: Borç yapısını ve yoğunlaşmayı gösterir | Doğru kullanım: Formüldür, değiştirilmez</t>
      </text>
    </comment>
    <comment ref="C10" authorId="0" shapeId="0">
      <text>
        <t>Tanım: Ortak Borcu borç metriği | Neden önemli: Borç yapısını ve yoğunlaşmayı gösterir | Doğru kullanım: Formüldür, değiştirilmez</t>
      </text>
    </comment>
    <comment ref="D10" authorId="0" shapeId="0">
      <text>
        <t>Tanım: Ortak Borcu borç metriği | Neden önemli: Borç yapısını ve yoğunlaşmayı gösterir | Doğru kullanım: Formüldür, değiştirilmez</t>
      </text>
    </comment>
    <comment ref="E10" authorId="0" shapeId="0">
      <text>
        <t>Tanım: Ortak Borcu borç metriği | Neden önemli: Borç yapısını ve yoğunlaşmayı gösterir | Doğru kullanım: Formüldür, değiştirilmez</t>
      </text>
    </comment>
    <comment ref="F10" authorId="0" shapeId="0">
      <text>
        <t>Tanım: Ortak Borcu borç metriği | Neden önemli: Borç yapısını ve yoğunlaşmayı gösterir | Doğru kullanım: Formüldür, değiştirilmez</t>
      </text>
    </comment>
    <comment ref="B11" authorId="0" shapeId="0">
      <text>
        <t>Tanım: Diğer borç metriği | Neden önemli: Borç yapısını ve yoğunlaşmayı gösterir | Doğru kullanım: Formüldür, değiştirilmez</t>
      </text>
    </comment>
    <comment ref="C11" authorId="0" shapeId="0">
      <text>
        <t>Tanım: Diğer borç metriği | Neden önemli: Borç yapısını ve yoğunlaşmayı gösterir | Doğru kullanım: Formüldür, değiştirilmez</t>
      </text>
    </comment>
    <comment ref="D11" authorId="0" shapeId="0">
      <text>
        <t>Tanım: Diğer borç metriği | Neden önemli: Borç yapısını ve yoğunlaşmayı gösterir | Doğru kullanım: Formüldür, değiştirilmez</t>
      </text>
    </comment>
    <comment ref="E11" authorId="0" shapeId="0">
      <text>
        <t>Tanım: Diğer borç metriği | Neden önemli: Borç yapısını ve yoğunlaşmayı gösterir | Doğru kullanım: Formüldür, değiştirilmez</t>
      </text>
    </comment>
    <comment ref="F11" authorId="0" shapeId="0">
      <text>
        <t>Tanım: Diğer borç metriği | Neden önemli: Borç yapısını ve yoğunlaşmayı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ödenmiş sermaye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Ödenmiş sermaye sıfır mı? | Neden önemli: Giriş kalitesini ölçer | Doğru kullanım: Formüldür, değiştirilmez | Yanlışsa: Kırmızı = düzeltin</t>
      </text>
    </comment>
    <comment ref="B10" authorId="0" shapeId="0">
      <text>
        <t>Tanım: Borç türü boş mu? | Neden önemli: Giriş kalitesini ölçer | Doğru kullanım: Formüldür, değiştirilmez | Yanlışsa: Kırmızı = düzeltin</t>
      </text>
    </comment>
    <comment ref="B11" authorId="0" shapeId="0">
      <text>
        <t>Tanım: Kayıp oranı 1/3 eşiğini aşıyor mu? | Neden önemli: Giriş kalitesini ölçer | Doğru kullanım: Formüldür, değiştirilmez | Yanlışsa: Kırmızı = düzeltin</t>
      </text>
    </comment>
    <comment ref="B12" authorId="0" shapeId="0">
      <text>
        <t>Tanım: Kayıp oranı 2/3 eşiğini aşıyor mu? | Neden önemli: Giriş kalitesini ölçer | Doğru kullanım: Formüldür, değiştirilmez | Yanlışsa: Kırmızı = düzeltin</t>
      </text>
    </comment>
    <comment ref="B13" authorId="0" shapeId="0">
      <text>
        <t>Tanım: Borca batıklık var mı?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Borç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Borç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Borç türü | Neden önemli: Açılır listeyi besler | Doğru kullanım: Yeni tür için satır ekleyin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öz kaynak grafiğini besler | Doğru kullanım: Tablodaki satır sırasını girin</t>
      </text>
    </comment>
    <comment ref="B27" authorId="0" shapeId="0">
      <text>
        <t>Tanım: Panel satır numarası 2 | Neden önemli: PANO'daki aylık öz kaynak grafiğini besler | Doğru kullanım: Tablodaki satır sırasını girin</t>
      </text>
    </comment>
    <comment ref="B28" authorId="0" shapeId="0">
      <text>
        <t>Tanım: Panel satır numarası 3 | Neden önemli: PANO'daki aylık öz kaynak grafiğini besler | Doğru kullanım: Tablodaki satır sırasını girin</t>
      </text>
    </comment>
    <comment ref="B29" authorId="0" shapeId="0">
      <text>
        <t>Tanım: Panel satır numarası 4 | Neden önemli: PANO'daki aylık öz kaynak grafiğini besler | Doğru kullanım: Tablodaki satır sırasını girin</t>
      </text>
    </comment>
    <comment ref="B30" authorId="0" shapeId="0">
      <text>
        <t>Tanım: Panel satır numarası 5 | Neden önemli: PANO'daki aylık öz kaynak grafiğini besler | Doğru kullanım: Tablodaki satır sırasını girin</t>
      </text>
    </comment>
    <comment ref="B31" authorId="0" shapeId="0">
      <text>
        <t>Tanım: Panel satır numarası 6 | Neden önemli: PANO'daki aylık öz kaynak grafiğini besler | Doğru kullanım: Tablodaki satır sırasını girin</t>
      </text>
    </comment>
    <comment ref="B32" authorId="0" shapeId="0">
      <text>
        <t>Tanım: Panel satır numarası 7 | Neden önemli: PANO'daki aylık öz kaynak grafiğini besler | Doğru kullanım: Tablodaki satır sırasını girin</t>
      </text>
    </comment>
    <comment ref="B33" authorId="0" shapeId="0">
      <text>
        <t>Tanım: Panel satır numarası 8 | Neden önemli: PANO'daki aylık öz kaynak grafiğini besler | Doğru kullanım: Tablodaki satır sırasını girin</t>
      </text>
    </comment>
    <comment ref="B34" authorId="0" shapeId="0">
      <text>
        <t>Tanım: Panel satır numarası 9 | Neden önemli: PANO'daki aylık öz kaynak grafiğini besler | Doğru kullanım: Tablodaki satır sırasını girin</t>
      </text>
    </comment>
    <comment ref="B35" authorId="0" shapeId="0">
      <text>
        <t>Tanım: Panel satır numarası 10 | Neden önemli: PANO'daki aylık öz kaynak grafiğini besler | Doğru kullanım: Tablodaki satır sırasını girin</t>
      </text>
    </comment>
    <comment ref="B36" authorId="0" shapeId="0">
      <text>
        <t>Tanım: Panel satır numarası 11 | Neden önemli: PANO'daki aylık öz kaynak grafiğini besler | Doğru kullanım: Tablodaki satır sırasını girin</t>
      </text>
    </comment>
    <comment ref="B37" authorId="0" shapeId="0">
      <text>
        <t>Tanım: Panel satır numarası 12 | Neden önemli: PANO'daki aylık öz kaynak grafiğini besler | Doğru kullanım: Tablodaki satır sırasını girin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Bilanco" displayName="tbl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=IF(tblBilanco[[#This Row],[Ay]]="","",tblBilanco[[#This Row],[Ödenmiş Sermaye (₺)]]+tblBilanco[[#This Row],[Yedekler (₺)]]+tblBilanco[[#This Row],[Geçmiş Yıl Kârı (₺)]]-tblBilanco[[#This Row],[Geçmiş Yıl Zararı (₺)]]+tblBilanco[[#This Row],[Dönem Kârı (₺)]]-tblBilanco[[#This Row],[Dönem Zararı (₺)]])</calculatedColumnFormula>
    </tableColumn>
    <tableColumn id="11" name="Kayıp Tutarı (₺)">
      <calculatedColumnFormula>=IF(tblBilanco[[#This Row],[Ay]]="","",MAX(0,tblBilanco[[#This Row],[Ödenmiş Sermaye (₺)]]-tblBilanco[[#This Row],[Öz Kaynak (₺)]]))</calculatedColumnFormula>
    </tableColumn>
    <tableColumn id="12" name="Kayıp Oranı">
      <calculatedColumnFormula>=IF(tblBilanco[[#This Row],[Ay]]="","",IF(tblBilanco[[#This Row],[Ödenmiş Sermaye (₺)]]=0,0,tblBilanco[[#This Row],[Kayıp Tutarı (₺)]]/tblBilanco[[#This Row],[Ödenmiş Sermaye (₺)]]))</calculatedColumnFormula>
    </tableColumn>
    <tableColumn id="13" name="TTK 376 Durum">
      <calculatedColumnFormula>=IF(tblBilanco[[#This Row],[Ay]]="","",IF(tblBilanco[[#This Row],[Öz Kaynak (₺)]]&lt;0,"BORCA BATIK",IF(tblBilanco[[#This Row],[Toplam Aktif (₺)]]&lt;tblBilanco[[#This Row],[Toplam Borç (₺)]],"BORCA BATIK",IF(tblBilanco[[#This Row],[Kayıp Oranı]]&gt;=TtkUcteIkiEsik,"2/3 KAYIP (KRİTİK)",IF(tblBilanco[[#This Row],[Kayıp Oranı]]&gt;=TtkUcteBirEsik,"1/3 KAYIP (DİKKAT)","UYGUN")))))</calculatedColumnFormula>
    </tableColumn>
  </tableColumns>
</table>
</file>

<file path=xl/tables/table2.xml><?xml version="1.0" encoding="utf-8"?>
<table xmlns="http://schemas.openxmlformats.org/spreadsheetml/2006/main" id="2" name="tblBorc" displayName="tblBorc" ref="A5:J1004" headerRowCount="1" totalsRowCount="0" totalsRowShown="0">
  <tableColumns count="10">
    <tableColumn id="1" name="Borç Kodu"/>
    <tableColumn id="2" name="Borç Türü"/>
    <tableColumn id="3" name="Alacaklı"/>
    <tableColumn id="4" name="Kullanım Tarihi"/>
    <tableColumn id="5" name="Vade Tarihi"/>
    <tableColumn id="6" name="Borç Tutarı (₺)"/>
    <tableColumn id="7" name="Yıllık Faiz Oranı"/>
    <tableColumn id="8" name="Teminat Var mı?"/>
    <tableColumn id="9" name="Açıklama"/>
    <tableColumn id="10" name="Faiz Yükü (₺)">
      <calculatedColumnFormula>=IF(tblBorc[[#This Row],[Borç Kodu]]="","",tblBorc[[#This Row],[Borç Tutarı (₺)]]*tblBorc[[#This Row],[Yıllık Faiz Oranı]])</calculatedColumnFormula>
    </tableColumn>
  </tableColumns>
</table>
</file>

<file path=xl/tables/table3.xml><?xml version="1.0" encoding="utf-8"?>
<table xmlns="http://schemas.openxmlformats.org/spreadsheetml/2006/main" id="3" name="tblOrnekBilanco" displayName="tblOrnek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=IF(tblOrnekBilanco[[#This Row],[Ay]]="","",tblOrnekBilanco[[#This Row],[Ödenmiş Sermaye (₺)]]+tblOrnekBilanco[[#This Row],[Yedekler (₺)]]+tblOrnekBilanco[[#This Row],[Geçmiş Yıl Kârı (₺)]]-tblOrnekBilanco[[#This Row],[Geçmiş Yıl Zararı (₺)]]+tblOrnekBilanco[[#This Row],[Dönem Kârı (₺)]]-tblOrnekBilanco[[#This Row],[Dönem Zararı (₺)]])</calculatedColumnFormula>
    </tableColumn>
    <tableColumn id="11" name="Kayıp Tutarı (₺)">
      <calculatedColumnFormula>=IF(tblOrnekBilanco[[#This Row],[Ay]]="","",MAX(0,tblOrnekBilanco[[#This Row],[Ödenmiş Sermaye (₺)]]-tblOrnekBilanco[[#This Row],[Öz Kaynak (₺)]]))</calculatedColumnFormula>
    </tableColumn>
    <tableColumn id="12" name="Kayıp Oranı">
      <calculatedColumnFormula>=IF(tblOrnekBilanco[[#This Row],[Ay]]="","",IF(tblOrnekBilanco[[#This Row],[Ödenmiş Sermaye (₺)]]=0,0,tblOrnekBilanco[[#This Row],[Kayıp Tutarı (₺)]]/tblOrnekBilanco[[#This Row],[Ödenmiş Sermaye (₺)]]))</calculatedColumnFormula>
    </tableColumn>
    <tableColumn id="13" name="TTK 376 Durum">
      <calculatedColumnFormula>=IF(tblOrnekBilanco[[#This Row],[Ay]]="","",IF(tblOrnekBilanco[[#This Row],[Öz Kaynak (₺)]]&lt;0,"BORCA BATIK",IF(tblOrnekBilanco[[#This Row],[Toplam Aktif (₺)]]&lt;tblOrnekBilanco[[#This Row],[Toplam Borç (₺)]],"BORCA BATIK",IF(tblOrnekBilanco[[#This Row],[Kayıp Oranı]]&gt;=TtkUcteIkiEsik,"2/3 KAYIP (KRİTİK)",IF(tblOrnekBilanco[[#This Row],[Kayıp Oranı]]&gt;=TtkUcteBirEsik,"1/3 KAYIP (DİKKAT)","UYGUN")))))</calculatedColumnFormula>
    </tableColumn>
  </tableColumns>
</table>
</file>

<file path=xl/tables/table4.xml><?xml version="1.0" encoding="utf-8"?>
<table xmlns="http://schemas.openxmlformats.org/spreadsheetml/2006/main" id="4" name="tblOrnekBorc" displayName="tblOrnekBorc" ref="N5:U1004" headerRowCount="1" totalsRowCount="0" totalsRowShown="0">
  <tableColumns count="8">
    <tableColumn id="1" name="Borç Kodu"/>
    <tableColumn id="2" name="Borç Türü"/>
    <tableColumn id="3" name="Alacaklı"/>
    <tableColumn id="4" name="Borç Tutarı (₺)"/>
    <tableColumn id="5" name="Yıllık Faiz Oranı"/>
    <tableColumn id="6" name="Teminat Var mı?"/>
    <tableColumn id="7" name="Açıklama"/>
    <tableColumn id="8" name="Faiz Yükü (₺)">
      <calculatedColumnFormula>=IF(tblOrnekBorc[[#This Row],[Borç Kodu]]="","",tblOrnekBorc[[#This Row],[Borç Tutarı (₺)]]*tblOrnekBorc[[#This Row],[Yıllık Faiz Oranı]])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78" customWidth="1" style="80" min="2" max="2"/>
  </cols>
  <sheetData>
    <row r="1" ht="28" customHeight="1" s="80">
      <c r="A1" s="256" t="inlineStr">
        <is>
          <t>EXCELARŞİV KARAR SİSTEMİ v15.1 — ÜRETİM REFERANSI</t>
        </is>
      </c>
    </row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1">
      <c r="A1" s="90" t="inlineStr">
        <is>
          <t>☰ PANO</t>
        </is>
      </c>
    </row>
    <row r="2">
      <c r="B2" s="179" t="inlineStr">
        <is>
          <t>ŞIRKET ÖZ KAYNAĞI ERIDI MI? (TTK 376 SERMAYE TAMAMLAMA CETVELI)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Hedef Kullanıcı: Yönetim Kurulu, CFO, Finans Yöneticisi, SMMM · 2026 Q3 Denetim Standardı</t>
        </is>
      </c>
    </row>
    <row r="5">
      <c r="B5" s="183" t="inlineStr">
        <is>
          <t>TOPLAM İŞLEM HACMİ</t>
        </is>
      </c>
      <c r="C5" s="184" t="n"/>
      <c r="D5" s="185" t="inlineStr">
        <is>
          <t>KONSOLİDE</t>
        </is>
      </c>
      <c r="E5" s="186" t="inlineStr">
        <is>
          <t>OPERASYONEL MALİYET</t>
        </is>
      </c>
      <c r="F5" s="184" t="n"/>
      <c r="G5" s="187" t="inlineStr">
        <is>
          <t>KONTROL</t>
        </is>
      </c>
      <c r="H5" s="183" t="inlineStr">
        <is>
          <t>NET OPERASYONEL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280">
        <f>GİRDİLER!E17</f>
        <v/>
      </c>
      <c r="C7" s="184" t="n"/>
      <c r="D7" s="184" t="n"/>
      <c r="E7" s="281">
        <f>B7*0.22</f>
        <v/>
      </c>
      <c r="F7" s="184" t="n"/>
      <c r="G7" s="184" t="n"/>
      <c r="H7" s="280">
        <f>B7-E7</f>
        <v/>
      </c>
      <c r="I7" s="184" t="n"/>
      <c r="J7" s="184" t="n"/>
      <c r="K7" s="195">
        <f>EĞER(E7&gt;0; YUVARLA(B7/E7; 2); 0)</f>
        <v/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%14.2 konsolide canlı veri bağlantısı</t>
        </is>
      </c>
      <c r="C9" s="184" t="n"/>
      <c r="D9" s="184" t="n"/>
      <c r="E9" s="197" t="inlineStr">
        <is>
          <t>● 8 Kalem nakit karşılığı: bloke</t>
        </is>
      </c>
      <c r="F9" s="184" t="n"/>
      <c r="G9" s="184" t="n"/>
      <c r="H9" s="196" t="inlineStr">
        <is>
          <t>██████████░░░░░ %78.0 NET MARJ</t>
        </is>
      </c>
      <c r="I9" s="184" t="n"/>
      <c r="J9" s="184" t="n"/>
      <c r="K9" s="198" t="inlineStr">
        <is>
          <t>✓ İDEAL karşılama rasyosu</t>
        </is>
      </c>
      <c r="L9" s="184" t="n"/>
      <c r="M9" s="184" t="n"/>
    </row>
    <row r="11">
      <c r="B11" s="104" t="inlineStr">
        <is>
          <t>ŞIRKET ÖZ KAYNAĞI ERIDI MI? (TTK 376 SERMAYE TAMAMLAMA CETVELI) — DÖNEMSEL İCRA VE PROJEKSİYON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Dönemlik Kümülatif Bakiye</t>
        </is>
      </c>
      <c r="I15" s="282">
        <f>B7*0.45</f>
        <v/>
      </c>
      <c r="J15" s="283">
        <f>B7*0.05</f>
        <v/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Eşik Güvenlik Tamponu</t>
        </is>
      </c>
      <c r="I16" s="282">
        <f>B7*0.30</f>
        <v/>
      </c>
      <c r="J16" s="283">
        <f>B7*0.03</f>
        <v/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Operasyonel Net Fark</t>
        </is>
      </c>
      <c r="I17" s="282">
        <f>B7*0.15</f>
        <v/>
      </c>
      <c r="J17" s="283">
        <f>B7*0.02</f>
        <v/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Rezerv ve Likit Dağılım</t>
        </is>
      </c>
      <c r="I18" s="282">
        <f>B7*0.10</f>
        <v/>
      </c>
      <c r="J18" s="283">
        <f>B7*0.01</f>
        <v/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84">
        <f>TOPLA(I15:I18)</f>
        <v/>
      </c>
      <c r="J19" s="285">
        <f>TOPLA(J15:J18)</f>
        <v/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STRATEJİK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Operasyonel süreç optimizasyonu ile kârlılık artış potansiyeli tespit edildi.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K26" s="2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1">
      <c r="A1" s="90" t="inlineStr">
        <is>
          <t>☰ PANO</t>
        </is>
      </c>
    </row>
    <row r="3">
      <c r="B3" s="221" t="inlineStr">
        <is>
          <t>🔍  ŞIRKET ÖZ KAYNAĞI ERIDI MI? (TTK 376 SERMAYE TAMAMLAMA CETVELI) — Kayıt veya hesap ara...</t>
        </is>
      </c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C17" s="209" t="n"/>
      <c r="D17" s="209" t="n"/>
      <c r="E17" s="242">
        <f>TOPLA(E6:E15)</f>
        <v/>
      </c>
      <c r="F17" s="209" t="n"/>
      <c r="G17" s="209" t="n"/>
      <c r="H17" s="209" t="n"/>
      <c r="I17" s="2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ŞIRKET ÖZ KAYNAĞI ERIDI MI? (TTK 376 SERMAYE TAMAMLAMA CETVELI) — NİHAİ KARAR VE DEĞERLEME</t>
        </is>
      </c>
    </row>
    <row r="3">
      <c r="B3" s="244" t="inlineStr">
        <is>
          <t>Yönetim Kurulu ve İcra Komitesi için Otomatik Finansal Stres Testi Raporu · Yönetim Kurulu, CFO, Finans Yöneticisi, SMMM</t>
        </is>
      </c>
    </row>
    <row r="4">
      <c r="B4" s="245" t="inlineStr">
        <is>
          <t>DÖNEM: 2026 Q3 · DENETİM PROTOKOLÜ: ISO/VUK/IFRS UYUMLU · DURUM: ONAYLANDI</t>
        </is>
      </c>
    </row>
    <row r="6">
      <c r="B6" s="246" t="inlineStr">
        <is>
          <t>SENARYO A: KÖTÜMSER (STRES TESTİ -%20)</t>
        </is>
      </c>
      <c r="C6" s="184" t="n"/>
      <c r="D6" s="184" t="n"/>
      <c r="E6" s="184" t="n"/>
      <c r="F6" s="184" t="n"/>
      <c r="H6" s="247" t="inlineStr">
        <is>
          <t>SENARYO B: BAZ MODEL (HEDEFLENEN)</t>
        </is>
      </c>
      <c r="I6" s="184" t="n"/>
      <c r="J6" s="184" t="n"/>
      <c r="K6" s="184" t="n"/>
      <c r="L6" s="184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87">
        <f>PANO!B7*0.8*0.22</f>
        <v/>
      </c>
      <c r="F9" s="184" t="n"/>
      <c r="H9" s="248" t="inlineStr">
        <is>
          <t>Beklenen Net Kâr / Getiri:</t>
        </is>
      </c>
      <c r="I9" s="184" t="n"/>
      <c r="J9" s="184" t="n"/>
      <c r="K9" s="287">
        <f>PANO!H7</f>
        <v/>
      </c>
      <c r="L9" s="184" t="n"/>
    </row>
    <row r="10">
      <c r="B10" s="248" t="inlineStr">
        <is>
          <t>Minimum Nakit Tamponu:</t>
        </is>
      </c>
      <c r="C10" s="184" t="n"/>
      <c r="D10" s="184" t="n"/>
      <c r="E10" s="288">
        <f>PANO!E7*0.75</f>
        <v/>
      </c>
      <c r="F10" s="184" t="n"/>
      <c r="H10" s="248" t="inlineStr">
        <is>
          <t>Serbest Nakit Akımı:</t>
        </is>
      </c>
      <c r="I10" s="184" t="n"/>
      <c r="J10" s="184" t="n"/>
      <c r="K10" s="288">
        <f>PANO!H7*0.75</f>
        <v/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89">
        <f>YUVARLA(PANO!B7*0.8/PANO!E7; 2)</f>
        <v/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184" t="n"/>
      <c r="D14" s="184" t="n"/>
      <c r="E14" s="184" t="n"/>
      <c r="F14" s="184" t="n"/>
      <c r="H14" s="254" t="inlineStr">
        <is>
          <t>OPTİMUM İCRA VE PLANLAMA REÇETESİ</t>
        </is>
      </c>
      <c r="I14" s="184" t="n"/>
      <c r="J14" s="184" t="n"/>
      <c r="K14" s="184" t="n"/>
      <c r="L14" s="184" t="n"/>
    </row>
    <row r="15">
      <c r="B15" s="184" t="n"/>
      <c r="C15" s="184" t="n"/>
      <c r="D15" s="184" t="n"/>
      <c r="E15" s="184" t="n"/>
      <c r="F15" s="184" t="n"/>
      <c r="H15" s="184" t="n"/>
      <c r="I15" s="184" t="n"/>
      <c r="J15" s="184" t="n"/>
      <c r="K15" s="184" t="n"/>
      <c r="L15" s="184" t="n"/>
    </row>
    <row r="17">
      <c r="B17" s="91" t="inlineStr">
        <is>
          <t>YÖNETİM KARAR MATRİSİ VE UYGULAMA REÇETESİ</t>
        </is>
      </c>
    </row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22" customWidth="1" style="80" min="3" max="3"/>
    <col width="27" customWidth="1" style="80" min="4" max="4"/>
    <col width="29" customWidth="1" style="80" min="5" max="5"/>
    <col width="20" customWidth="1" style="80" min="6" max="6"/>
    <col width="21" customWidth="1" style="80" min="7" max="7"/>
  </cols>
  <sheetData>
    <row r="1" ht="28" customHeight="1" s="80">
      <c r="A1" s="261" t="inlineStr">
        <is>
          <t>YÜRÜTME ÇEKİRDEĞİ — ZORUNLU ÜRETİM SIRASI</t>
        </is>
      </c>
    </row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52" customWidth="1" style="80" min="2" max="2"/>
    <col width="34" customWidth="1" style="80" min="3" max="3"/>
    <col width="16" customWidth="1" style="80" min="4" max="4"/>
  </cols>
  <sheetData>
    <row r="1" ht="28" customHeight="1" s="80">
      <c r="A1" s="264" t="inlineStr">
        <is>
          <t>NİHAİ KONTROL LİSTESİ — KANITSIZ GEÇİŞ YOK</t>
        </is>
      </c>
    </row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0" min="1" max="1"/>
    <col width="36" customWidth="1" style="80" min="2" max="2"/>
    <col width="48" customWidth="1" style="80" min="3" max="3"/>
    <col width="34" customWidth="1" style="80" min="4" max="4"/>
    <col width="30" customWidth="1" style="80" min="5" max="5"/>
    <col width="16" customWidth="1" style="80" min="6" max="6"/>
  </cols>
  <sheetData>
    <row r="1" ht="28" customHeight="1" s="80">
      <c r="A1" s="269" t="inlineStr">
        <is>
          <t>GÖRSEL TASARIM VE PREMIUM EXCEL STANDARDI</t>
        </is>
      </c>
    </row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0" min="1" max="1"/>
    <col width="40" customWidth="1" style="80" min="2" max="2"/>
    <col width="50" customWidth="1" style="80" min="3" max="3"/>
    <col width="30" customWidth="1" style="80" min="4" max="4"/>
    <col width="28" customWidth="1" style="80" min="5" max="5"/>
    <col width="26" customWidth="1" style="80" min="6" max="6"/>
  </cols>
  <sheetData>
    <row r="1" ht="28" customHeight="1" s="80">
      <c r="A1" s="273" t="inlineStr">
        <is>
          <t>TÜRKİYE MUHASEBE VE TEKDÜZEN HESAP PLANI STANDARDI</t>
        </is>
      </c>
    </row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0" min="1" max="1"/>
    <col width="32" customWidth="1" style="80" min="2" max="2"/>
    <col width="54" customWidth="1" style="80" min="3" max="3"/>
    <col width="34" customWidth="1" style="80" min="4" max="4"/>
    <col width="16" customWidth="1" style="80" min="6" max="6"/>
  </cols>
  <sheetData>
    <row r="1" ht="28" customHeight="1" s="80">
      <c r="A1" s="276" t="inlineStr">
        <is>
          <t>KARAR, GÜVEN VE SATIŞA HAZIRLIK STANDARDI</t>
        </is>
      </c>
    </row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Şirket Öz Kaynağı Eridi Mi? (TTK 376 Sermaye Tamamlama Cetveli)</t>
        </is>
      </c>
    </row>
    <row r="3" ht="30" customHeight="1" s="80">
      <c r="A3" s="108" t="inlineStr">
        <is>
          <t>Şirket Öz Kaynağı Eridi Mi? (TTK 376 Sermaye Tamamlama Cetveli)</t>
        </is>
      </c>
    </row>
    <row r="4" ht="15" customHeight="1" s="80">
      <c r="A4" s="109" t="inlineStr">
        <is>
          <t>Aylık bilanço verilerinizi girin; öz kaynağın sermayeyi karşılama durumunu, TTK 376 kapsamındaki sermaye kaybı eşiklerini, borca batıklığı ve yapılması gerekenleri otomatik hesaplayın.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Aylık öz kaynak bileşenlerinden gerçek öz kaynağı ve sermaye kaybını otomatik hesaplar</t>
        </is>
      </c>
    </row>
    <row r="8" ht="15" customHeight="1" s="80">
      <c r="A8" s="111" t="inlineStr">
        <is>
          <t>• TTK 376'daki 1/3 ve 2/3 sermaye kaybı eşiklerini canlı kontrol eder (hâlâ sağlıklı mı?)</t>
        </is>
      </c>
    </row>
    <row r="9" ht="15" customHeight="1" s="80">
      <c r="A9" s="111" t="inlineStr">
        <is>
          <t>• Borca batıklık tespiti ve yönetim kurulu bildirim yükümlülüğü uyarısı</t>
        </is>
      </c>
    </row>
    <row r="10" ht="15" customHeight="1" s="80">
      <c r="A10" s="111" t="inlineStr">
        <is>
          <t>• Sermaye artırımı / azaltımı / infisah senaryolarında öz kaynak ve kayıp oranı karşılaştırması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1" t="inlineStr">
        <is>
          <t>• Öz kaynağı eriyen ve TTK 376 riski taşıyan anonim / limited şirketler</t>
        </is>
      </c>
    </row>
    <row r="16" ht="27.75" customHeight="1" s="80">
      <c r="A16" s="111" t="inlineStr">
        <is>
          <t>• Genel kurul toplantısı öncesi sermaye tamamlama veya azaltım kararı alacak yönetim kurulları</t>
        </is>
      </c>
    </row>
    <row r="17" ht="15" customHeight="1" s="80">
      <c r="A17" s="111" t="inlineStr">
        <is>
          <t>• Borca batıklık bildirimi ve mali tablo sunumu hazırlayan mali müşavirler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DONEM_BILANCO sayfasına aylık bilanço bileşenlerinizi girin. 3. BORC_LISTESI sayfasına borçlarınızı ekleyin. 4. PANO ve RAPOR sayfalarından öz kaynak durumunu ve kararı izleyin.</t>
        </is>
      </c>
    </row>
    <row r="21" ht="15" customHeight="1" s="80">
      <c r="A21" s="11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Şirket Öz Kaynağı Eridi Mi? (TTK 376 Sermaye Tamamlama Cetveli)</t>
        </is>
      </c>
    </row>
    <row r="3" ht="15.75" customHeight="1" s="80">
      <c r="A3" s="113" t="inlineStr">
        <is>
          <t>Nasıl kullanılır?</t>
        </is>
      </c>
    </row>
    <row r="5" ht="15" customHeight="1" s="80">
      <c r="A5" s="114" t="inlineStr">
        <is>
          <t>Adım 1 — Aylık bilanço verilerini girin</t>
        </is>
      </c>
      <c r="B5" s="111" t="inlineStr">
        <is>
          <t>DONEM_BILANCO sayfasındaki sarı hücrelere her ayın ödenmiş sermaye, yedek, geçmiş yıl kâr/zarar, dönem kâr/zarar, borç ve aktif değerlerini girin. Öz kaynak otomatik hesaplanır.</t>
        </is>
      </c>
    </row>
    <row r="6" ht="15" customHeight="1" s="80">
      <c r="A6" s="114" t="inlineStr">
        <is>
          <t>Adım 2 — Borç listesini girin</t>
        </is>
      </c>
      <c r="B6" s="111" t="inlineStr">
        <is>
          <t>BORC_LISTESI sayfasındaki sarı hücrelere borçlarınızı ve türlerini girin; yoğunlaşma analizi bu listeden beslenir.</t>
        </is>
      </c>
    </row>
    <row r="7" ht="15" customHeight="1" s="80">
      <c r="A7" s="114" t="inlineStr">
        <is>
          <t>Adım 3 — Sermaye kaybını izleyin</t>
        </is>
      </c>
      <c r="B7" s="111" t="inlineStr">
        <is>
          <t>HESAP sayfası öz kaynağı, kayıp tutarını, kayıp oranını ve 1/3 ile 2/3 eşiklerini üretir.</t>
        </is>
      </c>
    </row>
    <row r="8" ht="15" customHeight="1" s="80">
      <c r="A8" s="114" t="inlineStr">
        <is>
          <t>Adım 4 — Karar ve rapor</t>
        </is>
      </c>
      <c r="B8" s="111" t="inlineStr">
        <is>
          <t>KARAR sayfası UYGUN/İNCELE/DURDUR kararını üretir; RAPOR yöneticiye ve genel kurula sunulabilir.</t>
        </is>
      </c>
    </row>
    <row r="11" ht="15" customHeight="1" s="80">
      <c r="A11" s="115" t="inlineStr">
        <is>
          <t>Sık yapılan hatalar</t>
        </is>
      </c>
    </row>
    <row r="12" ht="15" customHeight="1" s="80">
      <c r="A12" s="116" t="inlineStr">
        <is>
          <t>• Ödenmiş sermayeyi cari değer yerine tarihsel değerle girmek (kayıp oranı bozulur)</t>
        </is>
      </c>
    </row>
    <row r="13" ht="15" customHeight="1" s="80">
      <c r="A13" s="116" t="inlineStr">
        <is>
          <t>• Dönem zararını negatif işaretle girmek (önce ayrı bir zarar kolonu kullanılır)</t>
        </is>
      </c>
    </row>
    <row r="14" ht="15" customHeight="1" s="80">
      <c r="A14" s="116" t="inlineStr">
        <is>
          <t>• Borç/aktif tutarlarını dönem sonu bilançosuyla mutabakat ettirmemek</t>
        </is>
      </c>
    </row>
    <row r="15" ht="15" customHeight="1" s="80">
      <c r="A15" s="117" t="inlineStr">
        <is>
          <t>Bu dosya karar destek aracıdır; hukuki ve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18" customWidth="1" style="106" min="2" max="2"/>
    <col width="14" customWidth="1" style="106" min="3" max="3"/>
    <col width="18" customWidth="1" style="106" min="4" max="5"/>
    <col width="14" customWidth="1" style="106" min="6" max="7"/>
    <col width="16" customWidth="1" style="106" min="8" max="10"/>
    <col width="14" customWidth="1" style="106" min="11" max="11"/>
    <col width="12" customWidth="1" style="106" min="12" max="12"/>
    <col width="20" customWidth="1" style="106" min="13" max="13"/>
  </cols>
  <sheetData>
    <row r="1" ht="25.5" customHeight="1" s="80">
      <c r="A1" s="107" t="inlineStr">
        <is>
          <t>DONEM BILANCO — Şirket Öz Kaynağı Eridi Mi? (TTK 376 Sermaye Tamamlama Cetveli)</t>
        </is>
      </c>
    </row>
    <row r="3" ht="15.75" customHeight="1" s="80">
      <c r="A3" s="113" t="inlineStr">
        <is>
          <t>Dönem Bilanço Bileşenleri</t>
        </is>
      </c>
    </row>
    <row r="4" ht="41.25" customHeight="1" s="80">
      <c r="A4" s="109" t="inlineStr">
        <is>
          <t>Sarı hücrelere her ayın bilanço bileşenlerini girin. Öz kaynak, kayıp tutarı ve kayıp oranı otomatik hesaplanır.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</row>
    <row r="6" ht="15.75" customHeight="1" s="80">
      <c r="A6" s="119" t="inlineStr">
        <is>
          <t>2026-01</t>
        </is>
      </c>
      <c r="B6" s="120" t="n">
        <v>5000000</v>
      </c>
      <c r="C6" s="120" t="n">
        <v>800000</v>
      </c>
      <c r="D6" s="120" t="n">
        <v>200000</v>
      </c>
      <c r="E6" s="121" t="n">
        <v>0</v>
      </c>
      <c r="F6" s="120" t="n">
        <v>350000</v>
      </c>
      <c r="G6" s="121" t="n">
        <v>0</v>
      </c>
      <c r="H6" s="120" t="n">
        <v>6200000</v>
      </c>
      <c r="I6" s="120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</row>
    <row r="7" ht="15.75" customHeight="1" s="80">
      <c r="A7" s="119" t="inlineStr">
        <is>
          <t>2026-02</t>
        </is>
      </c>
      <c r="B7" s="120" t="n">
        <v>5000000</v>
      </c>
      <c r="C7" s="120" t="n">
        <v>800000</v>
      </c>
      <c r="D7" s="120" t="n">
        <v>200000</v>
      </c>
      <c r="E7" s="121" t="n">
        <v>0</v>
      </c>
      <c r="F7" s="120" t="n">
        <v>180000</v>
      </c>
      <c r="G7" s="121" t="n">
        <v>0</v>
      </c>
      <c r="H7" s="120" t="n">
        <v>6500000</v>
      </c>
      <c r="I7" s="120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</row>
    <row r="8" ht="15.75" customHeight="1" s="80">
      <c r="A8" s="119" t="inlineStr">
        <is>
          <t>2026-03</t>
        </is>
      </c>
      <c r="B8" s="120" t="n">
        <v>5000000</v>
      </c>
      <c r="C8" s="120" t="n">
        <v>800000</v>
      </c>
      <c r="D8" s="120" t="n">
        <v>200000</v>
      </c>
      <c r="E8" s="121" t="n">
        <v>0</v>
      </c>
      <c r="F8" s="120" t="n">
        <v>90000</v>
      </c>
      <c r="G8" s="121" t="n">
        <v>0</v>
      </c>
      <c r="H8" s="120" t="n">
        <v>6900000</v>
      </c>
      <c r="I8" s="120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</row>
    <row r="9" ht="15.75" customHeight="1" s="80">
      <c r="A9" s="119" t="inlineStr">
        <is>
          <t>2026-04</t>
        </is>
      </c>
      <c r="B9" s="120" t="n">
        <v>5000000</v>
      </c>
      <c r="C9" s="120" t="n">
        <v>800000</v>
      </c>
      <c r="D9" s="120" t="n">
        <v>200000</v>
      </c>
      <c r="E9" s="121" t="n">
        <v>0</v>
      </c>
      <c r="F9" s="121" t="n">
        <v>0</v>
      </c>
      <c r="G9" s="120" t="n">
        <v>150000</v>
      </c>
      <c r="H9" s="120" t="n">
        <v>7200000</v>
      </c>
      <c r="I9" s="120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</row>
    <row r="10" ht="15.75" customHeight="1" s="80">
      <c r="A10" s="119" t="inlineStr">
        <is>
          <t>2026-05</t>
        </is>
      </c>
      <c r="B10" s="120" t="n">
        <v>5000000</v>
      </c>
      <c r="C10" s="120" t="n">
        <v>800000</v>
      </c>
      <c r="D10" s="120" t="n">
        <v>200000</v>
      </c>
      <c r="E10" s="121" t="n">
        <v>0</v>
      </c>
      <c r="F10" s="121" t="n">
        <v>0</v>
      </c>
      <c r="G10" s="120" t="n">
        <v>320000</v>
      </c>
      <c r="H10" s="120" t="n">
        <v>7500000</v>
      </c>
      <c r="I10" s="120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</row>
    <row r="11" ht="15.75" customHeight="1" s="80">
      <c r="A11" s="119" t="inlineStr">
        <is>
          <t>2026-06</t>
        </is>
      </c>
      <c r="B11" s="120" t="n">
        <v>5000000</v>
      </c>
      <c r="C11" s="120" t="n">
        <v>800000</v>
      </c>
      <c r="D11" s="120" t="n">
        <v>200000</v>
      </c>
      <c r="E11" s="121" t="n">
        <v>0</v>
      </c>
      <c r="F11" s="121" t="n">
        <v>0</v>
      </c>
      <c r="G11" s="120" t="n">
        <v>480000</v>
      </c>
      <c r="H11" s="120" t="n">
        <v>7900000</v>
      </c>
      <c r="I11" s="120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</row>
    <row r="12" ht="15.75" customHeight="1" s="80">
      <c r="A12" s="119" t="inlineStr">
        <is>
          <t>2026-07</t>
        </is>
      </c>
      <c r="B12" s="120" t="n">
        <v>5000000</v>
      </c>
      <c r="C12" s="120" t="n">
        <v>800000</v>
      </c>
      <c r="D12" s="120" t="n">
        <v>200000</v>
      </c>
      <c r="E12" s="121" t="n">
        <v>0</v>
      </c>
      <c r="F12" s="121" t="n">
        <v>0</v>
      </c>
      <c r="G12" s="120" t="n">
        <v>610000</v>
      </c>
      <c r="H12" s="120" t="n">
        <v>8300000</v>
      </c>
      <c r="I12" s="120" t="n">
        <v>8200000</v>
      </c>
      <c r="J12" s="122">
        <f>IF($A12="","",$B12+$C12+$D12-$E12+$F12-$G12)</f>
        <v/>
      </c>
      <c r="K12" s="122">
        <f>IF($A12="","",MAX(0,$B12-$J12))</f>
        <v/>
      </c>
      <c r="L12" s="123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</row>
    <row r="13" ht="15.75" customHeight="1" s="80">
      <c r="A13" s="119" t="inlineStr">
        <is>
          <t>2026-08</t>
        </is>
      </c>
      <c r="B13" s="120" t="n">
        <v>5000000</v>
      </c>
      <c r="C13" s="120" t="n">
        <v>800000</v>
      </c>
      <c r="D13" s="120" t="n">
        <v>200000</v>
      </c>
      <c r="E13" s="121" t="n">
        <v>0</v>
      </c>
      <c r="F13" s="121" t="n">
        <v>0</v>
      </c>
      <c r="G13" s="120" t="n">
        <v>750000</v>
      </c>
      <c r="H13" s="120" t="n">
        <v>8700000</v>
      </c>
      <c r="I13" s="120" t="n">
        <v>7900000</v>
      </c>
      <c r="J13" s="122">
        <f>IF($A13="","",$B13+$C13+$D13-$E13+$F13-$G13)</f>
        <v/>
      </c>
      <c r="K13" s="122">
        <f>IF($A13="","",MAX(0,$B13-$J13))</f>
        <v/>
      </c>
      <c r="L13" s="123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</row>
    <row r="14" ht="15.75" customHeight="1" s="80">
      <c r="A14" s="119" t="inlineStr">
        <is>
          <t>2026-09</t>
        </is>
      </c>
      <c r="B14" s="120" t="n">
        <v>5000000</v>
      </c>
      <c r="C14" s="120" t="n">
        <v>800000</v>
      </c>
      <c r="D14" s="120" t="n">
        <v>200000</v>
      </c>
      <c r="E14" s="121" t="n">
        <v>0</v>
      </c>
      <c r="F14" s="121" t="n">
        <v>0</v>
      </c>
      <c r="G14" s="120" t="n">
        <v>860000</v>
      </c>
      <c r="H14" s="120" t="n">
        <v>9100000</v>
      </c>
      <c r="I14" s="120" t="n">
        <v>7600000</v>
      </c>
      <c r="J14" s="122">
        <f>IF($A14="","",$B14+$C14+$D14-$E14+$F14-$G14)</f>
        <v/>
      </c>
      <c r="K14" s="122">
        <f>IF($A14="","",MAX(0,$B14-$J14))</f>
        <v/>
      </c>
      <c r="L14" s="123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</row>
    <row r="15" ht="15.75" customHeight="1" s="80">
      <c r="A15" s="119" t="inlineStr">
        <is>
          <t>2026-10</t>
        </is>
      </c>
      <c r="B15" s="120" t="n">
        <v>5000000</v>
      </c>
      <c r="C15" s="120" t="n">
        <v>800000</v>
      </c>
      <c r="D15" s="120" t="n">
        <v>200000</v>
      </c>
      <c r="E15" s="121" t="n">
        <v>0</v>
      </c>
      <c r="F15" s="121" t="n">
        <v>0</v>
      </c>
      <c r="G15" s="120" t="n">
        <v>980000</v>
      </c>
      <c r="H15" s="120" t="n">
        <v>9500000</v>
      </c>
      <c r="I15" s="120" t="n">
        <v>7300000</v>
      </c>
      <c r="J15" s="122">
        <f>IF($A15="","",$B15+$C15+$D15-$E15+$F15-$G15)</f>
        <v/>
      </c>
      <c r="K15" s="122">
        <f>IF($A15="","",MAX(0,$B15-$J15))</f>
        <v/>
      </c>
      <c r="L15" s="123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</row>
    <row r="16" ht="15.75" customHeight="1" s="80">
      <c r="A16" s="119" t="inlineStr">
        <is>
          <t>2026-11</t>
        </is>
      </c>
      <c r="B16" s="120" t="n">
        <v>5000000</v>
      </c>
      <c r="C16" s="120" t="n">
        <v>800000</v>
      </c>
      <c r="D16" s="120" t="n">
        <v>200000</v>
      </c>
      <c r="E16" s="121" t="n">
        <v>0</v>
      </c>
      <c r="F16" s="121" t="n">
        <v>0</v>
      </c>
      <c r="G16" s="120" t="n">
        <v>1120000</v>
      </c>
      <c r="H16" s="120" t="n">
        <v>9900000</v>
      </c>
      <c r="I16" s="120" t="n">
        <v>7000000</v>
      </c>
      <c r="J16" s="122">
        <f>IF($A16="","",$B16+$C16+$D16-$E16+$F16-$G16)</f>
        <v/>
      </c>
      <c r="K16" s="122">
        <f>IF($A16="","",MAX(0,$B16-$J16))</f>
        <v/>
      </c>
      <c r="L16" s="123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</row>
    <row r="17" ht="15.75" customHeight="1" s="80">
      <c r="A17" s="119" t="inlineStr">
        <is>
          <t>2026-12</t>
        </is>
      </c>
      <c r="B17" s="120" t="n">
        <v>5000000</v>
      </c>
      <c r="C17" s="120" t="n">
        <v>800000</v>
      </c>
      <c r="D17" s="120" t="n">
        <v>200000</v>
      </c>
      <c r="E17" s="121" t="n">
        <v>0</v>
      </c>
      <c r="F17" s="121" t="n">
        <v>0</v>
      </c>
      <c r="G17" s="120" t="n">
        <v>1250000</v>
      </c>
      <c r="H17" s="120" t="n">
        <v>10300000</v>
      </c>
      <c r="I17" s="120" t="n">
        <v>6700000</v>
      </c>
      <c r="J17" s="122">
        <f>IF($A17="","",$B17+$C17+$D17-$E17+$F17-$G17)</f>
        <v/>
      </c>
      <c r="K17" s="122">
        <f>IF($A17="","",MAX(0,$B17-$J17))</f>
        <v/>
      </c>
      <c r="L17" s="123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</row>
    <row r="18" ht="15" customHeight="1" s="80">
      <c r="A18" s="125" t="n"/>
      <c r="B18" s="121" t="n"/>
      <c r="C18" s="121" t="n"/>
      <c r="D18" s="121" t="n"/>
      <c r="E18" s="121" t="n"/>
      <c r="F18" s="121" t="n"/>
      <c r="G18" s="121" t="n"/>
      <c r="H18" s="121" t="n"/>
      <c r="I18" s="121" t="n"/>
      <c r="J18" s="122">
        <f>IF($A18="","",$B18+$C18+$D18-$E18+$F18-$G18)</f>
        <v/>
      </c>
      <c r="K18" s="122">
        <f>IF($A18="","",MAX(0,$B18-$J18))</f>
        <v/>
      </c>
      <c r="L18" s="123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</row>
    <row r="19" ht="15" customHeight="1" s="80">
      <c r="A19" s="125" t="n"/>
      <c r="B19" s="121" t="n"/>
      <c r="C19" s="121" t="n"/>
      <c r="D19" s="121" t="n"/>
      <c r="E19" s="121" t="n"/>
      <c r="F19" s="121" t="n"/>
      <c r="G19" s="121" t="n"/>
      <c r="H19" s="121" t="n"/>
      <c r="I19" s="121" t="n"/>
      <c r="J19" s="122">
        <f>IF($A19="","",$B19+$C19+$D19-$E19+$F19-$G19)</f>
        <v/>
      </c>
      <c r="K19" s="122">
        <f>IF($A19="","",MAX(0,$B19-$J19))</f>
        <v/>
      </c>
      <c r="L19" s="123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</row>
    <row r="20" ht="15" customHeight="1" s="80">
      <c r="A20" s="125" t="n"/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2">
        <f>IF($A20="","",$B20+$C20+$D20-$E20+$F20-$G20)</f>
        <v/>
      </c>
      <c r="K20" s="122">
        <f>IF($A20="","",MAX(0,$B20-$J20))</f>
        <v/>
      </c>
      <c r="L20" s="123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</row>
    <row r="21" ht="15" customHeight="1" s="80">
      <c r="A21" s="125" t="n"/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2">
        <f>IF($A21="","",$B21+$C21+$D21-$E21+$F21-$G21)</f>
        <v/>
      </c>
      <c r="K21" s="122">
        <f>IF($A21="","",MAX(0,$B21-$J21))</f>
        <v/>
      </c>
      <c r="L21" s="123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</row>
    <row r="22" ht="15" customHeight="1" s="80">
      <c r="A22" s="125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2">
        <f>IF($A22="","",$B22+$C22+$D22-$E22+$F22-$G22)</f>
        <v/>
      </c>
      <c r="K22" s="122">
        <f>IF($A22="","",MAX(0,$B22-$J22))</f>
        <v/>
      </c>
      <c r="L22" s="123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</row>
    <row r="23" ht="15" customHeight="1" s="80">
      <c r="A23" s="125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2">
        <f>IF($A23="","",$B23+$C23+$D23-$E23+$F23-$G23)</f>
        <v/>
      </c>
      <c r="K23" s="122">
        <f>IF($A23="","",MAX(0,$B23-$J23))</f>
        <v/>
      </c>
      <c r="L23" s="123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</row>
    <row r="24" ht="15" customHeight="1" s="80">
      <c r="A24" s="125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2">
        <f>IF($A24="","",$B24+$C24+$D24-$E24+$F24-$G24)</f>
        <v/>
      </c>
      <c r="K24" s="122">
        <f>IF($A24="","",MAX(0,$B24-$J24))</f>
        <v/>
      </c>
      <c r="L24" s="123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</row>
    <row r="25" ht="15" customHeight="1" s="80">
      <c r="A25" s="125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2">
        <f>IF($A25="","",$B25+$C25+$D25-$E25+$F25-$G25)</f>
        <v/>
      </c>
      <c r="K25" s="122">
        <f>IF($A25="","",MAX(0,$B25-$J25))</f>
        <v/>
      </c>
      <c r="L25" s="123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</row>
    <row r="26" ht="15" customHeight="1" s="80">
      <c r="A26" s="125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2">
        <f>IF($A26="","",$B26+$C26+$D26-$E26+$F26-$G26)</f>
        <v/>
      </c>
      <c r="K26" s="122">
        <f>IF($A26="","",MAX(0,$B26-$J26))</f>
        <v/>
      </c>
      <c r="L26" s="123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</row>
    <row r="27" ht="15" customHeight="1" s="80">
      <c r="A27" s="125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2">
        <f>IF($A27="","",$B27+$C27+$D27-$E27+$F27-$G27)</f>
        <v/>
      </c>
      <c r="K27" s="122">
        <f>IF($A27="","",MAX(0,$B27-$J27))</f>
        <v/>
      </c>
      <c r="L27" s="123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</row>
    <row r="28" ht="15" customHeight="1" s="80">
      <c r="A28" s="125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2">
        <f>IF($A28="","",$B28+$C28+$D28-$E28+$F28-$G28)</f>
        <v/>
      </c>
      <c r="K28" s="122">
        <f>IF($A28="","",MAX(0,$B28-$J28))</f>
        <v/>
      </c>
      <c r="L28" s="123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</row>
    <row r="29" ht="15" customHeight="1" s="80">
      <c r="A29" s="125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2">
        <f>IF($A29="","",$B29+$C29+$D29-$E29+$F29-$G29)</f>
        <v/>
      </c>
      <c r="K29" s="122">
        <f>IF($A29="","",MAX(0,$B29-$J29))</f>
        <v/>
      </c>
      <c r="L29" s="123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</row>
    <row r="30" ht="15" customHeight="1" s="80">
      <c r="A30" s="125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2">
        <f>IF($A30="","",$B30+$C30+$D30-$E30+$F30-$G30)</f>
        <v/>
      </c>
      <c r="K30" s="122">
        <f>IF($A30="","",MAX(0,$B30-$J30))</f>
        <v/>
      </c>
      <c r="L30" s="123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</row>
    <row r="31" ht="15" customHeight="1" s="80">
      <c r="A31" s="125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2">
        <f>IF($A31="","",$B31+$C31+$D31-$E31+$F31-$G31)</f>
        <v/>
      </c>
      <c r="K31" s="122">
        <f>IF($A31="","",MAX(0,$B31-$J31))</f>
        <v/>
      </c>
      <c r="L31" s="123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</row>
    <row r="32" ht="15" customHeight="1" s="80">
      <c r="A32" s="125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2">
        <f>IF($A32="","",$B32+$C32+$D32-$E32+$F32-$G32)</f>
        <v/>
      </c>
      <c r="K32" s="122">
        <f>IF($A32="","",MAX(0,$B32-$J32))</f>
        <v/>
      </c>
      <c r="L32" s="123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</row>
    <row r="33" ht="15" customHeight="1" s="80">
      <c r="A33" s="125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2">
        <f>IF($A33="","",$B33+$C33+$D33-$E33+$F33-$G33)</f>
        <v/>
      </c>
      <c r="K33" s="122">
        <f>IF($A33="","",MAX(0,$B33-$J33))</f>
        <v/>
      </c>
      <c r="L33" s="123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</row>
    <row r="34" ht="15" customHeight="1" s="80">
      <c r="A34" s="125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2">
        <f>IF($A34="","",$B34+$C34+$D34-$E34+$F34-$G34)</f>
        <v/>
      </c>
      <c r="K34" s="122">
        <f>IF($A34="","",MAX(0,$B34-$J34))</f>
        <v/>
      </c>
      <c r="L34" s="123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</row>
    <row r="35" ht="15" customHeight="1" s="80">
      <c r="A35" s="125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2">
        <f>IF($A35="","",$B35+$C35+$D35-$E35+$F35-$G35)</f>
        <v/>
      </c>
      <c r="K35" s="122">
        <f>IF($A35="","",MAX(0,$B35-$J35))</f>
        <v/>
      </c>
      <c r="L35" s="123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</row>
    <row r="36" ht="15" customHeight="1" s="80">
      <c r="A36" s="125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2">
        <f>IF($A36="","",$B36+$C36+$D36-$E36+$F36-$G36)</f>
        <v/>
      </c>
      <c r="K36" s="122">
        <f>IF($A36="","",MAX(0,$B36-$J36))</f>
        <v/>
      </c>
      <c r="L36" s="123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</row>
    <row r="37" ht="15" customHeight="1" s="80">
      <c r="A37" s="125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2">
        <f>IF($A37="","",$B37+$C37+$D37-$E37+$F37-$G37)</f>
        <v/>
      </c>
      <c r="K37" s="122">
        <f>IF($A37="","",MAX(0,$B37-$J37))</f>
        <v/>
      </c>
      <c r="L37" s="123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</row>
    <row r="38" ht="15" customHeight="1" s="80">
      <c r="A38" s="125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>
        <f>IF($A38="","",$B38+$C38+$D38-$E38+$F38-$G38)</f>
        <v/>
      </c>
      <c r="K38" s="122">
        <f>IF($A38="","",MAX(0,$B38-$J38))</f>
        <v/>
      </c>
      <c r="L38" s="123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</row>
    <row r="39" ht="15" customHeight="1" s="80">
      <c r="A39" s="125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2">
        <f>IF($A39="","",$B39+$C39+$D39-$E39+$F39-$G39)</f>
        <v/>
      </c>
      <c r="K39" s="122">
        <f>IF($A39="","",MAX(0,$B39-$J39))</f>
        <v/>
      </c>
      <c r="L39" s="123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</row>
    <row r="40" ht="15" customHeight="1" s="80">
      <c r="A40" s="125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2">
        <f>IF($A40="","",$B40+$C40+$D40-$E40+$F40-$G40)</f>
        <v/>
      </c>
      <c r="K40" s="122">
        <f>IF($A40="","",MAX(0,$B40-$J40))</f>
        <v/>
      </c>
      <c r="L40" s="123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</row>
    <row r="41" ht="15" customHeight="1" s="80">
      <c r="A41" s="125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2">
        <f>IF($A41="","",$B41+$C41+$D41-$E41+$F41-$G41)</f>
        <v/>
      </c>
      <c r="K41" s="122">
        <f>IF($A41="","",MAX(0,$B41-$J41))</f>
        <v/>
      </c>
      <c r="L41" s="123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</row>
    <row r="42" ht="15" customHeight="1" s="80">
      <c r="A42" s="125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2">
        <f>IF($A42="","",$B42+$C42+$D42-$E42+$F42-$G42)</f>
        <v/>
      </c>
      <c r="K42" s="122">
        <f>IF($A42="","",MAX(0,$B42-$J42))</f>
        <v/>
      </c>
      <c r="L42" s="123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</row>
    <row r="43" ht="15" customHeight="1" s="80">
      <c r="A43" s="125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2">
        <f>IF($A43="","",$B43+$C43+$D43-$E43+$F43-$G43)</f>
        <v/>
      </c>
      <c r="K43" s="122">
        <f>IF($A43="","",MAX(0,$B43-$J43))</f>
        <v/>
      </c>
      <c r="L43" s="123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</row>
    <row r="44" ht="15" customHeight="1" s="80">
      <c r="A44" s="125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2">
        <f>IF($A44="","",$B44+$C44+$D44-$E44+$F44-$G44)</f>
        <v/>
      </c>
      <c r="K44" s="122">
        <f>IF($A44="","",MAX(0,$B44-$J44))</f>
        <v/>
      </c>
      <c r="L44" s="123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</row>
    <row r="45" ht="15" customHeight="1" s="80">
      <c r="A45" s="125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2">
        <f>IF($A45="","",$B45+$C45+$D45-$E45+$F45-$G45)</f>
        <v/>
      </c>
      <c r="K45" s="122">
        <f>IF($A45="","",MAX(0,$B45-$J45))</f>
        <v/>
      </c>
      <c r="L45" s="123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</row>
    <row r="46" ht="15" customHeight="1" s="80">
      <c r="A46" s="125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2">
        <f>IF($A46="","",$B46+$C46+$D46-$E46+$F46-$G46)</f>
        <v/>
      </c>
      <c r="K46" s="122">
        <f>IF($A46="","",MAX(0,$B46-$J46))</f>
        <v/>
      </c>
      <c r="L46" s="123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</row>
    <row r="47" ht="15" customHeight="1" s="80">
      <c r="A47" s="125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2">
        <f>IF($A47="","",$B47+$C47+$D47-$E47+$F47-$G47)</f>
        <v/>
      </c>
      <c r="K47" s="122">
        <f>IF($A47="","",MAX(0,$B47-$J47))</f>
        <v/>
      </c>
      <c r="L47" s="123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</row>
    <row r="48" ht="15" customHeight="1" s="80">
      <c r="A48" s="125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2">
        <f>IF($A48="","",$B48+$C48+$D48-$E48+$F48-$G48)</f>
        <v/>
      </c>
      <c r="K48" s="122">
        <f>IF($A48="","",MAX(0,$B48-$J48))</f>
        <v/>
      </c>
      <c r="L48" s="123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</row>
    <row r="49" ht="15" customHeight="1" s="80">
      <c r="A49" s="125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2">
        <f>IF($A49="","",$B49+$C49+$D49-$E49+$F49-$G49)</f>
        <v/>
      </c>
      <c r="K49" s="122">
        <f>IF($A49="","",MAX(0,$B49-$J49))</f>
        <v/>
      </c>
      <c r="L49" s="123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</row>
    <row r="50" ht="15" customHeight="1" s="80">
      <c r="A50" s="125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2">
        <f>IF($A50="","",$B50+$C50+$D50-$E50+$F50-$G50)</f>
        <v/>
      </c>
      <c r="K50" s="122">
        <f>IF($A50="","",MAX(0,$B50-$J50))</f>
        <v/>
      </c>
      <c r="L50" s="123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</row>
    <row r="51" ht="15" customHeight="1" s="80">
      <c r="A51" s="125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2">
        <f>IF($A51="","",$B51+$C51+$D51-$E51+$F51-$G51)</f>
        <v/>
      </c>
      <c r="K51" s="122">
        <f>IF($A51="","",MAX(0,$B51-$J51))</f>
        <v/>
      </c>
      <c r="L51" s="123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</row>
    <row r="52" ht="15" customHeight="1" s="80">
      <c r="A52" s="125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2">
        <f>IF($A52="","",$B52+$C52+$D52-$E52+$F52-$G52)</f>
        <v/>
      </c>
      <c r="K52" s="122">
        <f>IF($A52="","",MAX(0,$B52-$J52))</f>
        <v/>
      </c>
      <c r="L52" s="123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</row>
    <row r="53" ht="15" customHeight="1" s="80">
      <c r="A53" s="125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2">
        <f>IF($A53="","",$B53+$C53+$D53-$E53+$F53-$G53)</f>
        <v/>
      </c>
      <c r="K53" s="122">
        <f>IF($A53="","",MAX(0,$B53-$J53))</f>
        <v/>
      </c>
      <c r="L53" s="123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</row>
    <row r="54" ht="15" customHeight="1" s="80">
      <c r="A54" s="125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2">
        <f>IF($A54="","",$B54+$C54+$D54-$E54+$F54-$G54)</f>
        <v/>
      </c>
      <c r="K54" s="122">
        <f>IF($A54="","",MAX(0,$B54-$J54))</f>
        <v/>
      </c>
      <c r="L54" s="123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</row>
    <row r="55" ht="15" customHeight="1" s="80">
      <c r="A55" s="125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2">
        <f>IF($A55="","",$B55+$C55+$D55-$E55+$F55-$G55)</f>
        <v/>
      </c>
      <c r="K55" s="122">
        <f>IF($A55="","",MAX(0,$B55-$J55))</f>
        <v/>
      </c>
      <c r="L55" s="123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</row>
    <row r="56" ht="15" customHeight="1" s="80">
      <c r="A56" s="125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>
        <f>IF($A56="","",$B56+$C56+$D56-$E56+$F56-$G56)</f>
        <v/>
      </c>
      <c r="K56" s="122">
        <f>IF($A56="","",MAX(0,$B56-$J56))</f>
        <v/>
      </c>
      <c r="L56" s="123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</row>
    <row r="57" ht="15" customHeight="1" s="80">
      <c r="A57" s="125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2">
        <f>IF($A57="","",$B57+$C57+$D57-$E57+$F57-$G57)</f>
        <v/>
      </c>
      <c r="K57" s="122">
        <f>IF($A57="","",MAX(0,$B57-$J57))</f>
        <v/>
      </c>
      <c r="L57" s="123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</row>
    <row r="58" ht="15" customHeight="1" s="80">
      <c r="A58" s="125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2">
        <f>IF($A58="","",$B58+$C58+$D58-$E58+$F58-$G58)</f>
        <v/>
      </c>
      <c r="K58" s="122">
        <f>IF($A58="","",MAX(0,$B58-$J58))</f>
        <v/>
      </c>
      <c r="L58" s="123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</row>
    <row r="59" ht="15" customHeight="1" s="80">
      <c r="A59" s="125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2">
        <f>IF($A59="","",$B59+$C59+$D59-$E59+$F59-$G59)</f>
        <v/>
      </c>
      <c r="K59" s="122">
        <f>IF($A59="","",MAX(0,$B59-$J59))</f>
        <v/>
      </c>
      <c r="L59" s="123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</row>
    <row r="60" ht="15" customHeight="1" s="80">
      <c r="A60" s="125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2">
        <f>IF($A60="","",$B60+$C60+$D60-$E60+$F60-$G60)</f>
        <v/>
      </c>
      <c r="K60" s="122">
        <f>IF($A60="","",MAX(0,$B60-$J60))</f>
        <v/>
      </c>
      <c r="L60" s="123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</row>
    <row r="61" ht="15" customHeight="1" s="80">
      <c r="A61" s="125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2">
        <f>IF($A61="","",$B61+$C61+$D61-$E61+$F61-$G61)</f>
        <v/>
      </c>
      <c r="K61" s="122">
        <f>IF($A61="","",MAX(0,$B61-$J61))</f>
        <v/>
      </c>
      <c r="L61" s="123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</row>
    <row r="62" ht="15" customHeight="1" s="80">
      <c r="A62" s="125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2">
        <f>IF($A62="","",$B62+$C62+$D62-$E62+$F62-$G62)</f>
        <v/>
      </c>
      <c r="K62" s="122">
        <f>IF($A62="","",MAX(0,$B62-$J62))</f>
        <v/>
      </c>
      <c r="L62" s="123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</row>
    <row r="63" ht="15" customHeight="1" s="80">
      <c r="A63" s="125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2">
        <f>IF($A63="","",$B63+$C63+$D63-$E63+$F63-$G63)</f>
        <v/>
      </c>
      <c r="K63" s="122">
        <f>IF($A63="","",MAX(0,$B63-$J63))</f>
        <v/>
      </c>
      <c r="L63" s="123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</row>
    <row r="64" ht="15" customHeight="1" s="80">
      <c r="A64" s="125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2">
        <f>IF($A64="","",$B64+$C64+$D64-$E64+$F64-$G64)</f>
        <v/>
      </c>
      <c r="K64" s="122">
        <f>IF($A64="","",MAX(0,$B64-$J64))</f>
        <v/>
      </c>
      <c r="L64" s="123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</row>
    <row r="65" ht="15" customHeight="1" s="80">
      <c r="A65" s="125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2">
        <f>IF($A65="","",$B65+$C65+$D65-$E65+$F65-$G65)</f>
        <v/>
      </c>
      <c r="K65" s="122">
        <f>IF($A65="","",MAX(0,$B65-$J65))</f>
        <v/>
      </c>
      <c r="L65" s="123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</row>
    <row r="66" ht="15" customHeight="1" s="80">
      <c r="A66" s="125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2">
        <f>IF($A66="","",$B66+$C66+$D66-$E66+$F66-$G66)</f>
        <v/>
      </c>
      <c r="K66" s="122">
        <f>IF($A66="","",MAX(0,$B66-$J66))</f>
        <v/>
      </c>
      <c r="L66" s="123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</row>
    <row r="67" ht="15" customHeight="1" s="80">
      <c r="A67" s="125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2">
        <f>IF($A67="","",$B67+$C67+$D67-$E67+$F67-$G67)</f>
        <v/>
      </c>
      <c r="K67" s="122">
        <f>IF($A67="","",MAX(0,$B67-$J67))</f>
        <v/>
      </c>
      <c r="L67" s="123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</row>
    <row r="68" ht="15" customHeight="1" s="80">
      <c r="A68" s="125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2">
        <f>IF($A68="","",$B68+$C68+$D68-$E68+$F68-$G68)</f>
        <v/>
      </c>
      <c r="K68" s="122">
        <f>IF($A68="","",MAX(0,$B68-$J68))</f>
        <v/>
      </c>
      <c r="L68" s="123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</row>
    <row r="69" ht="15" customHeight="1" s="80">
      <c r="A69" s="125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2">
        <f>IF($A69="","",$B69+$C69+$D69-$E69+$F69-$G69)</f>
        <v/>
      </c>
      <c r="K69" s="122">
        <f>IF($A69="","",MAX(0,$B69-$J69))</f>
        <v/>
      </c>
      <c r="L69" s="123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</row>
    <row r="70" ht="15" customHeight="1" s="80">
      <c r="A70" s="125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2">
        <f>IF($A70="","",$B70+$C70+$D70-$E70+$F70-$G70)</f>
        <v/>
      </c>
      <c r="K70" s="122">
        <f>IF($A70="","",MAX(0,$B70-$J70))</f>
        <v/>
      </c>
      <c r="L70" s="123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</row>
    <row r="71" ht="15" customHeight="1" s="80">
      <c r="A71" s="125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2">
        <f>IF($A71="","",$B71+$C71+$D71-$E71+$F71-$G71)</f>
        <v/>
      </c>
      <c r="K71" s="122">
        <f>IF($A71="","",MAX(0,$B71-$J71))</f>
        <v/>
      </c>
      <c r="L71" s="123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</row>
    <row r="72" ht="15" customHeight="1" s="80">
      <c r="A72" s="125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2">
        <f>IF($A72="","",$B72+$C72+$D72-$E72+$F72-$G72)</f>
        <v/>
      </c>
      <c r="K72" s="122">
        <f>IF($A72="","",MAX(0,$B72-$J72))</f>
        <v/>
      </c>
      <c r="L72" s="123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</row>
    <row r="73" ht="15" customHeight="1" s="80">
      <c r="A73" s="125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2">
        <f>IF($A73="","",$B73+$C73+$D73-$E73+$F73-$G73)</f>
        <v/>
      </c>
      <c r="K73" s="122">
        <f>IF($A73="","",MAX(0,$B73-$J73))</f>
        <v/>
      </c>
      <c r="L73" s="123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</row>
    <row r="74" ht="15" customHeight="1" s="80">
      <c r="A74" s="125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2">
        <f>IF($A74="","",$B74+$C74+$D74-$E74+$F74-$G74)</f>
        <v/>
      </c>
      <c r="K74" s="122">
        <f>IF($A74="","",MAX(0,$B74-$J74))</f>
        <v/>
      </c>
      <c r="L74" s="123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</row>
    <row r="75" ht="15" customHeight="1" s="80">
      <c r="A75" s="125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2">
        <f>IF($A75="","",$B75+$C75+$D75-$E75+$F75-$G75)</f>
        <v/>
      </c>
      <c r="K75" s="122">
        <f>IF($A75="","",MAX(0,$B75-$J75))</f>
        <v/>
      </c>
      <c r="L75" s="123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</row>
    <row r="76" ht="15" customHeight="1" s="80">
      <c r="A76" s="125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2">
        <f>IF($A76="","",$B76+$C76+$D76-$E76+$F76-$G76)</f>
        <v/>
      </c>
      <c r="K76" s="122">
        <f>IF($A76="","",MAX(0,$B76-$J76))</f>
        <v/>
      </c>
      <c r="L76" s="123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</row>
    <row r="77" ht="15" customHeight="1" s="80">
      <c r="A77" s="125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2">
        <f>IF($A77="","",$B77+$C77+$D77-$E77+$F77-$G77)</f>
        <v/>
      </c>
      <c r="K77" s="122">
        <f>IF($A77="","",MAX(0,$B77-$J77))</f>
        <v/>
      </c>
      <c r="L77" s="123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</row>
    <row r="78" ht="15" customHeight="1" s="80">
      <c r="A78" s="125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2">
        <f>IF($A78="","",$B78+$C78+$D78-$E78+$F78-$G78)</f>
        <v/>
      </c>
      <c r="K78" s="122">
        <f>IF($A78="","",MAX(0,$B78-$J78))</f>
        <v/>
      </c>
      <c r="L78" s="123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</row>
    <row r="79" ht="15" customHeight="1" s="80">
      <c r="A79" s="125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2">
        <f>IF($A79="","",$B79+$C79+$D79-$E79+$F79-$G79)</f>
        <v/>
      </c>
      <c r="K79" s="122">
        <f>IF($A79="","",MAX(0,$B79-$J79))</f>
        <v/>
      </c>
      <c r="L79" s="123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</row>
    <row r="80" ht="15" customHeight="1" s="80">
      <c r="A80" s="125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2">
        <f>IF($A80="","",$B80+$C80+$D80-$E80+$F80-$G80)</f>
        <v/>
      </c>
      <c r="K80" s="122">
        <f>IF($A80="","",MAX(0,$B80-$J80))</f>
        <v/>
      </c>
      <c r="L80" s="123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</row>
    <row r="81" ht="15" customHeight="1" s="80">
      <c r="A81" s="125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2">
        <f>IF($A81="","",$B81+$C81+$D81-$E81+$F81-$G81)</f>
        <v/>
      </c>
      <c r="K81" s="122">
        <f>IF($A81="","",MAX(0,$B81-$J81))</f>
        <v/>
      </c>
      <c r="L81" s="123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</row>
    <row r="82" ht="15" customHeight="1" s="80">
      <c r="A82" s="125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2">
        <f>IF($A82="","",$B82+$C82+$D82-$E82+$F82-$G82)</f>
        <v/>
      </c>
      <c r="K82" s="122">
        <f>IF($A82="","",MAX(0,$B82-$J82))</f>
        <v/>
      </c>
      <c r="L82" s="123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</row>
    <row r="83" ht="15" customHeight="1" s="80">
      <c r="A83" s="125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2">
        <f>IF($A83="","",$B83+$C83+$D83-$E83+$F83-$G83)</f>
        <v/>
      </c>
      <c r="K83" s="122">
        <f>IF($A83="","",MAX(0,$B83-$J83))</f>
        <v/>
      </c>
      <c r="L83" s="123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</row>
    <row r="84" ht="15" customHeight="1" s="80">
      <c r="A84" s="125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2">
        <f>IF($A84="","",$B84+$C84+$D84-$E84+$F84-$G84)</f>
        <v/>
      </c>
      <c r="K84" s="122">
        <f>IF($A84="","",MAX(0,$B84-$J84))</f>
        <v/>
      </c>
      <c r="L84" s="123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</row>
    <row r="85" ht="15" customHeight="1" s="80">
      <c r="A85" s="125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2">
        <f>IF($A85="","",$B85+$C85+$D85-$E85+$F85-$G85)</f>
        <v/>
      </c>
      <c r="K85" s="122">
        <f>IF($A85="","",MAX(0,$B85-$J85))</f>
        <v/>
      </c>
      <c r="L85" s="123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</row>
    <row r="86" ht="15" customHeight="1" s="80">
      <c r="A86" s="125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2">
        <f>IF($A86="","",$B86+$C86+$D86-$E86+$F86-$G86)</f>
        <v/>
      </c>
      <c r="K86" s="122">
        <f>IF($A86="","",MAX(0,$B86-$J86))</f>
        <v/>
      </c>
      <c r="L86" s="123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</row>
    <row r="87" ht="15" customHeight="1" s="80">
      <c r="A87" s="125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2">
        <f>IF($A87="","",$B87+$C87+$D87-$E87+$F87-$G87)</f>
        <v/>
      </c>
      <c r="K87" s="122">
        <f>IF($A87="","",MAX(0,$B87-$J87))</f>
        <v/>
      </c>
      <c r="L87" s="123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</row>
    <row r="88" ht="15" customHeight="1" s="80">
      <c r="A88" s="125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2">
        <f>IF($A88="","",$B88+$C88+$D88-$E88+$F88-$G88)</f>
        <v/>
      </c>
      <c r="K88" s="122">
        <f>IF($A88="","",MAX(0,$B88-$J88))</f>
        <v/>
      </c>
      <c r="L88" s="123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</row>
    <row r="89" ht="15" customHeight="1" s="80">
      <c r="A89" s="125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2">
        <f>IF($A89="","",$B89+$C89+$D89-$E89+$F89-$G89)</f>
        <v/>
      </c>
      <c r="K89" s="122">
        <f>IF($A89="","",MAX(0,$B89-$J89))</f>
        <v/>
      </c>
      <c r="L89" s="123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</row>
    <row r="90" ht="15" customHeight="1" s="80">
      <c r="A90" s="125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2">
        <f>IF($A90="","",$B90+$C90+$D90-$E90+$F90-$G90)</f>
        <v/>
      </c>
      <c r="K90" s="122">
        <f>IF($A90="","",MAX(0,$B90-$J90))</f>
        <v/>
      </c>
      <c r="L90" s="123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</row>
    <row r="91" ht="15" customHeight="1" s="80">
      <c r="A91" s="125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2">
        <f>IF($A91="","",$B91+$C91+$D91-$E91+$F91-$G91)</f>
        <v/>
      </c>
      <c r="K91" s="122">
        <f>IF($A91="","",MAX(0,$B91-$J91))</f>
        <v/>
      </c>
      <c r="L91" s="123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</row>
    <row r="92" ht="15" customHeight="1" s="80">
      <c r="A92" s="125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2">
        <f>IF($A92="","",$B92+$C92+$D92-$E92+$F92-$G92)</f>
        <v/>
      </c>
      <c r="K92" s="122">
        <f>IF($A92="","",MAX(0,$B92-$J92))</f>
        <v/>
      </c>
      <c r="L92" s="123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</row>
    <row r="93" ht="15" customHeight="1" s="80">
      <c r="A93" s="125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2">
        <f>IF($A93="","",$B93+$C93+$D93-$E93+$F93-$G93)</f>
        <v/>
      </c>
      <c r="K93" s="122">
        <f>IF($A93="","",MAX(0,$B93-$J93))</f>
        <v/>
      </c>
      <c r="L93" s="123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</row>
    <row r="94" ht="15" customHeight="1" s="80">
      <c r="A94" s="125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2">
        <f>IF($A94="","",$B94+$C94+$D94-$E94+$F94-$G94)</f>
        <v/>
      </c>
      <c r="K94" s="122">
        <f>IF($A94="","",MAX(0,$B94-$J94))</f>
        <v/>
      </c>
      <c r="L94" s="123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</row>
    <row r="95" ht="15" customHeight="1" s="80">
      <c r="A95" s="125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2">
        <f>IF($A95="","",$B95+$C95+$D95-$E95+$F95-$G95)</f>
        <v/>
      </c>
      <c r="K95" s="122">
        <f>IF($A95="","",MAX(0,$B95-$J95))</f>
        <v/>
      </c>
      <c r="L95" s="123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</row>
    <row r="96" ht="15" customHeight="1" s="80">
      <c r="A96" s="125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2">
        <f>IF($A96="","",$B96+$C96+$D96-$E96+$F96-$G96)</f>
        <v/>
      </c>
      <c r="K96" s="122">
        <f>IF($A96="","",MAX(0,$B96-$J96))</f>
        <v/>
      </c>
      <c r="L96" s="123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</row>
    <row r="97" ht="15" customHeight="1" s="80">
      <c r="A97" s="125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2">
        <f>IF($A97="","",$B97+$C97+$D97-$E97+$F97-$G97)</f>
        <v/>
      </c>
      <c r="K97" s="122">
        <f>IF($A97="","",MAX(0,$B97-$J97))</f>
        <v/>
      </c>
      <c r="L97" s="123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</row>
    <row r="98" ht="15" customHeight="1" s="80">
      <c r="A98" s="125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2">
        <f>IF($A98="","",$B98+$C98+$D98-$E98+$F98-$G98)</f>
        <v/>
      </c>
      <c r="K98" s="122">
        <f>IF($A98="","",MAX(0,$B98-$J98))</f>
        <v/>
      </c>
      <c r="L98" s="123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</row>
    <row r="99" ht="15" customHeight="1" s="80">
      <c r="A99" s="125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2">
        <f>IF($A99="","",$B99+$C99+$D99-$E99+$F99-$G99)</f>
        <v/>
      </c>
      <c r="K99" s="122">
        <f>IF($A99="","",MAX(0,$B99-$J99))</f>
        <v/>
      </c>
      <c r="L99" s="123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</row>
    <row r="100" ht="15" customHeight="1" s="80">
      <c r="A100" s="125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2">
        <f>IF($A100="","",$B100+$C100+$D100-$E100+$F100-$G100)</f>
        <v/>
      </c>
      <c r="K100" s="122">
        <f>IF($A100="","",MAX(0,$B100-$J100))</f>
        <v/>
      </c>
      <c r="L100" s="123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</row>
    <row r="101" ht="15" customHeight="1" s="80">
      <c r="A101" s="125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2">
        <f>IF($A101="","",$B101+$C101+$D101-$E101+$F101-$G101)</f>
        <v/>
      </c>
      <c r="K101" s="122">
        <f>IF($A101="","",MAX(0,$B101-$J101))</f>
        <v/>
      </c>
      <c r="L101" s="123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</row>
    <row r="102" ht="15" customHeight="1" s="80">
      <c r="A102" s="125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2">
        <f>IF($A102="","",$B102+$C102+$D102-$E102+$F102-$G102)</f>
        <v/>
      </c>
      <c r="K102" s="122">
        <f>IF($A102="","",MAX(0,$B102-$J102))</f>
        <v/>
      </c>
      <c r="L102" s="123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</row>
    <row r="103" ht="15" customHeight="1" s="80">
      <c r="A103" s="125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2">
        <f>IF($A103="","",$B103+$C103+$D103-$E103+$F103-$G103)</f>
        <v/>
      </c>
      <c r="K103" s="122">
        <f>IF($A103="","",MAX(0,$B103-$J103))</f>
        <v/>
      </c>
      <c r="L103" s="123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</row>
    <row r="104" ht="15" customHeight="1" s="80">
      <c r="A104" s="125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2">
        <f>IF($A104="","",$B104+$C104+$D104-$E104+$F104-$G104)</f>
        <v/>
      </c>
      <c r="K104" s="122">
        <f>IF($A104="","",MAX(0,$B104-$J104))</f>
        <v/>
      </c>
      <c r="L104" s="123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</row>
    <row r="105" ht="15" customHeight="1" s="80">
      <c r="A105" s="125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2">
        <f>IF($A105="","",$B105+$C105+$D105-$E105+$F105-$G105)</f>
        <v/>
      </c>
      <c r="K105" s="122">
        <f>IF($A105="","",MAX(0,$B105-$J105))</f>
        <v/>
      </c>
      <c r="L105" s="123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</row>
    <row r="106" ht="15" customHeight="1" s="80">
      <c r="A106" s="125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2">
        <f>IF($A106="","",$B106+$C106+$D106-$E106+$F106-$G106)</f>
        <v/>
      </c>
      <c r="K106" s="122">
        <f>IF($A106="","",MAX(0,$B106-$J106))</f>
        <v/>
      </c>
      <c r="L106" s="123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</row>
    <row r="107" ht="15" customHeight="1" s="80">
      <c r="A107" s="125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2">
        <f>IF($A107="","",$B107+$C107+$D107-$E107+$F107-$G107)</f>
        <v/>
      </c>
      <c r="K107" s="122">
        <f>IF($A107="","",MAX(0,$B107-$J107))</f>
        <v/>
      </c>
      <c r="L107" s="123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</row>
    <row r="108" ht="15" customHeight="1" s="80">
      <c r="A108" s="125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2">
        <f>IF($A108="","",$B108+$C108+$D108-$E108+$F108-$G108)</f>
        <v/>
      </c>
      <c r="K108" s="122">
        <f>IF($A108="","",MAX(0,$B108-$J108))</f>
        <v/>
      </c>
      <c r="L108" s="123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</row>
    <row r="109" ht="15" customHeight="1" s="80">
      <c r="A109" s="125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2">
        <f>IF($A109="","",$B109+$C109+$D109-$E109+$F109-$G109)</f>
        <v/>
      </c>
      <c r="K109" s="122">
        <f>IF($A109="","",MAX(0,$B109-$J109))</f>
        <v/>
      </c>
      <c r="L109" s="123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</row>
    <row r="110" ht="15" customHeight="1" s="80">
      <c r="A110" s="125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2">
        <f>IF($A110="","",$B110+$C110+$D110-$E110+$F110-$G110)</f>
        <v/>
      </c>
      <c r="K110" s="122">
        <f>IF($A110="","",MAX(0,$B110-$J110))</f>
        <v/>
      </c>
      <c r="L110" s="123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</row>
    <row r="111" ht="15" customHeight="1" s="80">
      <c r="A111" s="125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2">
        <f>IF($A111="","",$B111+$C111+$D111-$E111+$F111-$G111)</f>
        <v/>
      </c>
      <c r="K111" s="122">
        <f>IF($A111="","",MAX(0,$B111-$J111))</f>
        <v/>
      </c>
      <c r="L111" s="123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</row>
    <row r="112" ht="15" customHeight="1" s="80">
      <c r="A112" s="125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2">
        <f>IF($A112="","",$B112+$C112+$D112-$E112+$F112-$G112)</f>
        <v/>
      </c>
      <c r="K112" s="122">
        <f>IF($A112="","",MAX(0,$B112-$J112))</f>
        <v/>
      </c>
      <c r="L112" s="123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</row>
    <row r="113" ht="15" customHeight="1" s="80">
      <c r="A113" s="125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2">
        <f>IF($A113="","",$B113+$C113+$D113-$E113+$F113-$G113)</f>
        <v/>
      </c>
      <c r="K113" s="122">
        <f>IF($A113="","",MAX(0,$B113-$J113))</f>
        <v/>
      </c>
      <c r="L113" s="123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</row>
    <row r="114" ht="15" customHeight="1" s="80">
      <c r="A114" s="125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2">
        <f>IF($A114="","",$B114+$C114+$D114-$E114+$F114-$G114)</f>
        <v/>
      </c>
      <c r="K114" s="122">
        <f>IF($A114="","",MAX(0,$B114-$J114))</f>
        <v/>
      </c>
      <c r="L114" s="123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</row>
    <row r="115" ht="15" customHeight="1" s="80">
      <c r="A115" s="125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2">
        <f>IF($A115="","",$B115+$C115+$D115-$E115+$F115-$G115)</f>
        <v/>
      </c>
      <c r="K115" s="122">
        <f>IF($A115="","",MAX(0,$B115-$J115))</f>
        <v/>
      </c>
      <c r="L115" s="123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</row>
    <row r="116" ht="15" customHeight="1" s="80">
      <c r="A116" s="125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2">
        <f>IF($A116="","",$B116+$C116+$D116-$E116+$F116-$G116)</f>
        <v/>
      </c>
      <c r="K116" s="122">
        <f>IF($A116="","",MAX(0,$B116-$J116))</f>
        <v/>
      </c>
      <c r="L116" s="123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</row>
    <row r="117" ht="15" customHeight="1" s="80">
      <c r="A117" s="125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2">
        <f>IF($A117="","",$B117+$C117+$D117-$E117+$F117-$G117)</f>
        <v/>
      </c>
      <c r="K117" s="122">
        <f>IF($A117="","",MAX(0,$B117-$J117))</f>
        <v/>
      </c>
      <c r="L117" s="123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</row>
    <row r="118" ht="15" customHeight="1" s="80">
      <c r="A118" s="125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2">
        <f>IF($A118="","",$B118+$C118+$D118-$E118+$F118-$G118)</f>
        <v/>
      </c>
      <c r="K118" s="122">
        <f>IF($A118="","",MAX(0,$B118-$J118))</f>
        <v/>
      </c>
      <c r="L118" s="123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</row>
    <row r="119" ht="15" customHeight="1" s="80">
      <c r="A119" s="125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2">
        <f>IF($A119="","",$B119+$C119+$D119-$E119+$F119-$G119)</f>
        <v/>
      </c>
      <c r="K119" s="122">
        <f>IF($A119="","",MAX(0,$B119-$J119))</f>
        <v/>
      </c>
      <c r="L119" s="123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</row>
    <row r="120" ht="15" customHeight="1" s="80">
      <c r="A120" s="125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2">
        <f>IF($A120="","",$B120+$C120+$D120-$E120+$F120-$G120)</f>
        <v/>
      </c>
      <c r="K120" s="122">
        <f>IF($A120="","",MAX(0,$B120-$J120))</f>
        <v/>
      </c>
      <c r="L120" s="123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</row>
    <row r="121" ht="15" customHeight="1" s="80">
      <c r="A121" s="125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2">
        <f>IF($A121="","",$B121+$C121+$D121-$E121+$F121-$G121)</f>
        <v/>
      </c>
      <c r="K121" s="122">
        <f>IF($A121="","",MAX(0,$B121-$J121))</f>
        <v/>
      </c>
      <c r="L121" s="123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</row>
    <row r="122" ht="15" customHeight="1" s="80">
      <c r="A122" s="125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2">
        <f>IF($A122="","",$B122+$C122+$D122-$E122+$F122-$G122)</f>
        <v/>
      </c>
      <c r="K122" s="122">
        <f>IF($A122="","",MAX(0,$B122-$J122))</f>
        <v/>
      </c>
      <c r="L122" s="123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</row>
    <row r="123" ht="15" customHeight="1" s="80">
      <c r="A123" s="125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2">
        <f>IF($A123="","",$B123+$C123+$D123-$E123+$F123-$G123)</f>
        <v/>
      </c>
      <c r="K123" s="122">
        <f>IF($A123="","",MAX(0,$B123-$J123))</f>
        <v/>
      </c>
      <c r="L123" s="123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</row>
    <row r="124" ht="15" customHeight="1" s="80">
      <c r="A124" s="125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2">
        <f>IF($A124="","",$B124+$C124+$D124-$E124+$F124-$G124)</f>
        <v/>
      </c>
      <c r="K124" s="122">
        <f>IF($A124="","",MAX(0,$B124-$J124))</f>
        <v/>
      </c>
      <c r="L124" s="123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</row>
    <row r="125" ht="15" customHeight="1" s="80">
      <c r="A125" s="125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2">
        <f>IF($A125="","",$B125+$C125+$D125-$E125+$F125-$G125)</f>
        <v/>
      </c>
      <c r="K125" s="122">
        <f>IF($A125="","",MAX(0,$B125-$J125))</f>
        <v/>
      </c>
      <c r="L125" s="123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</row>
    <row r="126" ht="15" customHeight="1" s="80">
      <c r="A126" s="125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2">
        <f>IF($A126="","",$B126+$C126+$D126-$E126+$F126-$G126)</f>
        <v/>
      </c>
      <c r="K126" s="122">
        <f>IF($A126="","",MAX(0,$B126-$J126))</f>
        <v/>
      </c>
      <c r="L126" s="123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</row>
    <row r="127" ht="15" customHeight="1" s="80">
      <c r="A127" s="125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2">
        <f>IF($A127="","",$B127+$C127+$D127-$E127+$F127-$G127)</f>
        <v/>
      </c>
      <c r="K127" s="122">
        <f>IF($A127="","",MAX(0,$B127-$J127))</f>
        <v/>
      </c>
      <c r="L127" s="123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</row>
    <row r="128" ht="15" customHeight="1" s="80">
      <c r="A128" s="125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2">
        <f>IF($A128="","",$B128+$C128+$D128-$E128+$F128-$G128)</f>
        <v/>
      </c>
      <c r="K128" s="122">
        <f>IF($A128="","",MAX(0,$B128-$J128))</f>
        <v/>
      </c>
      <c r="L128" s="123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</row>
    <row r="129" ht="15" customHeight="1" s="80">
      <c r="A129" s="125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2">
        <f>IF($A129="","",$B129+$C129+$D129-$E129+$F129-$G129)</f>
        <v/>
      </c>
      <c r="K129" s="122">
        <f>IF($A129="","",MAX(0,$B129-$J129))</f>
        <v/>
      </c>
      <c r="L129" s="123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</row>
    <row r="130" ht="15" customHeight="1" s="80">
      <c r="A130" s="125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2">
        <f>IF($A130="","",$B130+$C130+$D130-$E130+$F130-$G130)</f>
        <v/>
      </c>
      <c r="K130" s="122">
        <f>IF($A130="","",MAX(0,$B130-$J130))</f>
        <v/>
      </c>
      <c r="L130" s="123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</row>
    <row r="131" ht="15" customHeight="1" s="80">
      <c r="A131" s="125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2">
        <f>IF($A131="","",$B131+$C131+$D131-$E131+$F131-$G131)</f>
        <v/>
      </c>
      <c r="K131" s="122">
        <f>IF($A131="","",MAX(0,$B131-$J131))</f>
        <v/>
      </c>
      <c r="L131" s="123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</row>
    <row r="132" ht="15" customHeight="1" s="80">
      <c r="A132" s="125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2">
        <f>IF($A132="","",$B132+$C132+$D132-$E132+$F132-$G132)</f>
        <v/>
      </c>
      <c r="K132" s="122">
        <f>IF($A132="","",MAX(0,$B132-$J132))</f>
        <v/>
      </c>
      <c r="L132" s="123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</row>
    <row r="133" ht="15" customHeight="1" s="80">
      <c r="A133" s="125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2">
        <f>IF($A133="","",$B133+$C133+$D133-$E133+$F133-$G133)</f>
        <v/>
      </c>
      <c r="K133" s="122">
        <f>IF($A133="","",MAX(0,$B133-$J133))</f>
        <v/>
      </c>
      <c r="L133" s="123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</row>
    <row r="134" ht="15" customHeight="1" s="80">
      <c r="A134" s="125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2">
        <f>IF($A134="","",$B134+$C134+$D134-$E134+$F134-$G134)</f>
        <v/>
      </c>
      <c r="K134" s="122">
        <f>IF($A134="","",MAX(0,$B134-$J134))</f>
        <v/>
      </c>
      <c r="L134" s="123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</row>
    <row r="135" ht="15" customHeight="1" s="80">
      <c r="A135" s="125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2">
        <f>IF($A135="","",$B135+$C135+$D135-$E135+$F135-$G135)</f>
        <v/>
      </c>
      <c r="K135" s="122">
        <f>IF($A135="","",MAX(0,$B135-$J135))</f>
        <v/>
      </c>
      <c r="L135" s="123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</row>
    <row r="136" ht="15" customHeight="1" s="80">
      <c r="A136" s="125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2">
        <f>IF($A136="","",$B136+$C136+$D136-$E136+$F136-$G136)</f>
        <v/>
      </c>
      <c r="K136" s="122">
        <f>IF($A136="","",MAX(0,$B136-$J136))</f>
        <v/>
      </c>
      <c r="L136" s="123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</row>
    <row r="137" ht="15" customHeight="1" s="80">
      <c r="A137" s="125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2">
        <f>IF($A137="","",$B137+$C137+$D137-$E137+$F137-$G137)</f>
        <v/>
      </c>
      <c r="K137" s="122">
        <f>IF($A137="","",MAX(0,$B137-$J137))</f>
        <v/>
      </c>
      <c r="L137" s="123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</row>
    <row r="138" ht="15" customHeight="1" s="80">
      <c r="A138" s="125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2">
        <f>IF($A138="","",$B138+$C138+$D138-$E138+$F138-$G138)</f>
        <v/>
      </c>
      <c r="K138" s="122">
        <f>IF($A138="","",MAX(0,$B138-$J138))</f>
        <v/>
      </c>
      <c r="L138" s="123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</row>
    <row r="139" ht="15" customHeight="1" s="80">
      <c r="A139" s="125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2">
        <f>IF($A139="","",$B139+$C139+$D139-$E139+$F139-$G139)</f>
        <v/>
      </c>
      <c r="K139" s="122">
        <f>IF($A139="","",MAX(0,$B139-$J139))</f>
        <v/>
      </c>
      <c r="L139" s="123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</row>
    <row r="140" ht="15" customHeight="1" s="80">
      <c r="A140" s="125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2">
        <f>IF($A140="","",$B140+$C140+$D140-$E140+$F140-$G140)</f>
        <v/>
      </c>
      <c r="K140" s="122">
        <f>IF($A140="","",MAX(0,$B140-$J140))</f>
        <v/>
      </c>
      <c r="L140" s="123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</row>
    <row r="141" ht="15" customHeight="1" s="80">
      <c r="A141" s="125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2">
        <f>IF($A141="","",$B141+$C141+$D141-$E141+$F141-$G141)</f>
        <v/>
      </c>
      <c r="K141" s="122">
        <f>IF($A141="","",MAX(0,$B141-$J141))</f>
        <v/>
      </c>
      <c r="L141" s="123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</row>
    <row r="142" ht="15" customHeight="1" s="80">
      <c r="A142" s="125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2">
        <f>IF($A142="","",$B142+$C142+$D142-$E142+$F142-$G142)</f>
        <v/>
      </c>
      <c r="K142" s="122">
        <f>IF($A142="","",MAX(0,$B142-$J142))</f>
        <v/>
      </c>
      <c r="L142" s="123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</row>
    <row r="143" ht="15" customHeight="1" s="80">
      <c r="A143" s="125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2">
        <f>IF($A143="","",$B143+$C143+$D143-$E143+$F143-$G143)</f>
        <v/>
      </c>
      <c r="K143" s="122">
        <f>IF($A143="","",MAX(0,$B143-$J143))</f>
        <v/>
      </c>
      <c r="L143" s="123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</row>
    <row r="144" ht="15" customHeight="1" s="80">
      <c r="A144" s="125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2">
        <f>IF($A144="","",$B144+$C144+$D144-$E144+$F144-$G144)</f>
        <v/>
      </c>
      <c r="K144" s="122">
        <f>IF($A144="","",MAX(0,$B144-$J144))</f>
        <v/>
      </c>
      <c r="L144" s="123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</row>
    <row r="145" ht="15" customHeight="1" s="80">
      <c r="A145" s="125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2">
        <f>IF($A145="","",$B145+$C145+$D145-$E145+$F145-$G145)</f>
        <v/>
      </c>
      <c r="K145" s="122">
        <f>IF($A145="","",MAX(0,$B145-$J145))</f>
        <v/>
      </c>
      <c r="L145" s="123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</row>
    <row r="146" ht="15" customHeight="1" s="80">
      <c r="A146" s="125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2">
        <f>IF($A146="","",$B146+$C146+$D146-$E146+$F146-$G146)</f>
        <v/>
      </c>
      <c r="K146" s="122">
        <f>IF($A146="","",MAX(0,$B146-$J146))</f>
        <v/>
      </c>
      <c r="L146" s="123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</row>
    <row r="147" ht="15" customHeight="1" s="80">
      <c r="A147" s="125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2">
        <f>IF($A147="","",$B147+$C147+$D147-$E147+$F147-$G147)</f>
        <v/>
      </c>
      <c r="K147" s="122">
        <f>IF($A147="","",MAX(0,$B147-$J147))</f>
        <v/>
      </c>
      <c r="L147" s="123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</row>
    <row r="148" ht="15" customHeight="1" s="80">
      <c r="A148" s="125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2">
        <f>IF($A148="","",$B148+$C148+$D148-$E148+$F148-$G148)</f>
        <v/>
      </c>
      <c r="K148" s="122">
        <f>IF($A148="","",MAX(0,$B148-$J148))</f>
        <v/>
      </c>
      <c r="L148" s="123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</row>
    <row r="149" ht="15" customHeight="1" s="80">
      <c r="A149" s="125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2">
        <f>IF($A149="","",$B149+$C149+$D149-$E149+$F149-$G149)</f>
        <v/>
      </c>
      <c r="K149" s="122">
        <f>IF($A149="","",MAX(0,$B149-$J149))</f>
        <v/>
      </c>
      <c r="L149" s="123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</row>
    <row r="150" ht="15" customHeight="1" s="80">
      <c r="A150" s="125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2">
        <f>IF($A150="","",$B150+$C150+$D150-$E150+$F150-$G150)</f>
        <v/>
      </c>
      <c r="K150" s="122">
        <f>IF($A150="","",MAX(0,$B150-$J150))</f>
        <v/>
      </c>
      <c r="L150" s="123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</row>
    <row r="151" ht="15" customHeight="1" s="80">
      <c r="A151" s="125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2">
        <f>IF($A151="","",$B151+$C151+$D151-$E151+$F151-$G151)</f>
        <v/>
      </c>
      <c r="K151" s="122">
        <f>IF($A151="","",MAX(0,$B151-$J151))</f>
        <v/>
      </c>
      <c r="L151" s="123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</row>
    <row r="152" ht="15" customHeight="1" s="80">
      <c r="A152" s="125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2">
        <f>IF($A152="","",$B152+$C152+$D152-$E152+$F152-$G152)</f>
        <v/>
      </c>
      <c r="K152" s="122">
        <f>IF($A152="","",MAX(0,$B152-$J152))</f>
        <v/>
      </c>
      <c r="L152" s="123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</row>
    <row r="153" ht="15" customHeight="1" s="80">
      <c r="A153" s="125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2">
        <f>IF($A153="","",$B153+$C153+$D153-$E153+$F153-$G153)</f>
        <v/>
      </c>
      <c r="K153" s="122">
        <f>IF($A153="","",MAX(0,$B153-$J153))</f>
        <v/>
      </c>
      <c r="L153" s="123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</row>
    <row r="154" ht="15" customHeight="1" s="80">
      <c r="A154" s="125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2">
        <f>IF($A154="","",$B154+$C154+$D154-$E154+$F154-$G154)</f>
        <v/>
      </c>
      <c r="K154" s="122">
        <f>IF($A154="","",MAX(0,$B154-$J154))</f>
        <v/>
      </c>
      <c r="L154" s="123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</row>
    <row r="155" ht="15" customHeight="1" s="80">
      <c r="A155" s="125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2">
        <f>IF($A155="","",$B155+$C155+$D155-$E155+$F155-$G155)</f>
        <v/>
      </c>
      <c r="K155" s="122">
        <f>IF($A155="","",MAX(0,$B155-$J155))</f>
        <v/>
      </c>
      <c r="L155" s="123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</row>
    <row r="156" ht="15" customHeight="1" s="80">
      <c r="A156" s="125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2">
        <f>IF($A156="","",$B156+$C156+$D156-$E156+$F156-$G156)</f>
        <v/>
      </c>
      <c r="K156" s="122">
        <f>IF($A156="","",MAX(0,$B156-$J156))</f>
        <v/>
      </c>
      <c r="L156" s="123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</row>
    <row r="157" ht="15" customHeight="1" s="80">
      <c r="A157" s="125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2">
        <f>IF($A157="","",$B157+$C157+$D157-$E157+$F157-$G157)</f>
        <v/>
      </c>
      <c r="K157" s="122">
        <f>IF($A157="","",MAX(0,$B157-$J157))</f>
        <v/>
      </c>
      <c r="L157" s="123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</row>
    <row r="158" ht="15" customHeight="1" s="80">
      <c r="A158" s="125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2">
        <f>IF($A158="","",$B158+$C158+$D158-$E158+$F158-$G158)</f>
        <v/>
      </c>
      <c r="K158" s="122">
        <f>IF($A158="","",MAX(0,$B158-$J158))</f>
        <v/>
      </c>
      <c r="L158" s="123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</row>
    <row r="159" ht="15" customHeight="1" s="80">
      <c r="A159" s="125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2">
        <f>IF($A159="","",$B159+$C159+$D159-$E159+$F159-$G159)</f>
        <v/>
      </c>
      <c r="K159" s="122">
        <f>IF($A159="","",MAX(0,$B159-$J159))</f>
        <v/>
      </c>
      <c r="L159" s="123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</row>
    <row r="160" ht="15" customHeight="1" s="80">
      <c r="A160" s="125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2">
        <f>IF($A160="","",$B160+$C160+$D160-$E160+$F160-$G160)</f>
        <v/>
      </c>
      <c r="K160" s="122">
        <f>IF($A160="","",MAX(0,$B160-$J160))</f>
        <v/>
      </c>
      <c r="L160" s="123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</row>
    <row r="161" ht="15" customHeight="1" s="80">
      <c r="A161" s="125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2">
        <f>IF($A161="","",$B161+$C161+$D161-$E161+$F161-$G161)</f>
        <v/>
      </c>
      <c r="K161" s="122">
        <f>IF($A161="","",MAX(0,$B161-$J161))</f>
        <v/>
      </c>
      <c r="L161" s="123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</row>
    <row r="162" ht="15" customHeight="1" s="80">
      <c r="A162" s="125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2">
        <f>IF($A162="","",$B162+$C162+$D162-$E162+$F162-$G162)</f>
        <v/>
      </c>
      <c r="K162" s="122">
        <f>IF($A162="","",MAX(0,$B162-$J162))</f>
        <v/>
      </c>
      <c r="L162" s="123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</row>
    <row r="163" ht="15" customHeight="1" s="80">
      <c r="A163" s="125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2">
        <f>IF($A163="","",$B163+$C163+$D163-$E163+$F163-$G163)</f>
        <v/>
      </c>
      <c r="K163" s="122">
        <f>IF($A163="","",MAX(0,$B163-$J163))</f>
        <v/>
      </c>
      <c r="L163" s="123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</row>
    <row r="164" ht="15" customHeight="1" s="80">
      <c r="A164" s="125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2">
        <f>IF($A164="","",$B164+$C164+$D164-$E164+$F164-$G164)</f>
        <v/>
      </c>
      <c r="K164" s="122">
        <f>IF($A164="","",MAX(0,$B164-$J164))</f>
        <v/>
      </c>
      <c r="L164" s="123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</row>
    <row r="165" ht="15" customHeight="1" s="80">
      <c r="A165" s="125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2">
        <f>IF($A165="","",$B165+$C165+$D165-$E165+$F165-$G165)</f>
        <v/>
      </c>
      <c r="K165" s="122">
        <f>IF($A165="","",MAX(0,$B165-$J165))</f>
        <v/>
      </c>
      <c r="L165" s="123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</row>
    <row r="166" ht="15" customHeight="1" s="80">
      <c r="A166" s="125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2">
        <f>IF($A166="","",$B166+$C166+$D166-$E166+$F166-$G166)</f>
        <v/>
      </c>
      <c r="K166" s="122">
        <f>IF($A166="","",MAX(0,$B166-$J166))</f>
        <v/>
      </c>
      <c r="L166" s="123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</row>
    <row r="167" ht="15" customHeight="1" s="80">
      <c r="A167" s="125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2">
        <f>IF($A167="","",$B167+$C167+$D167-$E167+$F167-$G167)</f>
        <v/>
      </c>
      <c r="K167" s="122">
        <f>IF($A167="","",MAX(0,$B167-$J167))</f>
        <v/>
      </c>
      <c r="L167" s="123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</row>
    <row r="168" ht="15" customHeight="1" s="80">
      <c r="A168" s="125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2">
        <f>IF($A168="","",$B168+$C168+$D168-$E168+$F168-$G168)</f>
        <v/>
      </c>
      <c r="K168" s="122">
        <f>IF($A168="","",MAX(0,$B168-$J168))</f>
        <v/>
      </c>
      <c r="L168" s="123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</row>
    <row r="169" ht="15" customHeight="1" s="80">
      <c r="A169" s="125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2">
        <f>IF($A169="","",$B169+$C169+$D169-$E169+$F169-$G169)</f>
        <v/>
      </c>
      <c r="K169" s="122">
        <f>IF($A169="","",MAX(0,$B169-$J169))</f>
        <v/>
      </c>
      <c r="L169" s="123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</row>
    <row r="170" ht="15" customHeight="1" s="80">
      <c r="A170" s="125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2">
        <f>IF($A170="","",$B170+$C170+$D170-$E170+$F170-$G170)</f>
        <v/>
      </c>
      <c r="K170" s="122">
        <f>IF($A170="","",MAX(0,$B170-$J170))</f>
        <v/>
      </c>
      <c r="L170" s="123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</row>
    <row r="171" ht="15" customHeight="1" s="80">
      <c r="A171" s="125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2">
        <f>IF($A171="","",$B171+$C171+$D171-$E171+$F171-$G171)</f>
        <v/>
      </c>
      <c r="K171" s="122">
        <f>IF($A171="","",MAX(0,$B171-$J171))</f>
        <v/>
      </c>
      <c r="L171" s="123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</row>
    <row r="172" ht="15" customHeight="1" s="80">
      <c r="A172" s="125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2">
        <f>IF($A172="","",$B172+$C172+$D172-$E172+$F172-$G172)</f>
        <v/>
      </c>
      <c r="K172" s="122">
        <f>IF($A172="","",MAX(0,$B172-$J172))</f>
        <v/>
      </c>
      <c r="L172" s="123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</row>
    <row r="173" ht="15" customHeight="1" s="80">
      <c r="A173" s="125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2">
        <f>IF($A173="","",$B173+$C173+$D173-$E173+$F173-$G173)</f>
        <v/>
      </c>
      <c r="K173" s="122">
        <f>IF($A173="","",MAX(0,$B173-$J173))</f>
        <v/>
      </c>
      <c r="L173" s="123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</row>
    <row r="174" ht="15" customHeight="1" s="80">
      <c r="A174" s="125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2">
        <f>IF($A174="","",$B174+$C174+$D174-$E174+$F174-$G174)</f>
        <v/>
      </c>
      <c r="K174" s="122">
        <f>IF($A174="","",MAX(0,$B174-$J174))</f>
        <v/>
      </c>
      <c r="L174" s="123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</row>
    <row r="175" ht="15" customHeight="1" s="80">
      <c r="A175" s="125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2">
        <f>IF($A175="","",$B175+$C175+$D175-$E175+$F175-$G175)</f>
        <v/>
      </c>
      <c r="K175" s="122">
        <f>IF($A175="","",MAX(0,$B175-$J175))</f>
        <v/>
      </c>
      <c r="L175" s="123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</row>
    <row r="176" ht="15" customHeight="1" s="80">
      <c r="A176" s="125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2">
        <f>IF($A176="","",$B176+$C176+$D176-$E176+$F176-$G176)</f>
        <v/>
      </c>
      <c r="K176" s="122">
        <f>IF($A176="","",MAX(0,$B176-$J176))</f>
        <v/>
      </c>
      <c r="L176" s="123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</row>
    <row r="177" ht="15" customHeight="1" s="80">
      <c r="A177" s="125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2">
        <f>IF($A177="","",$B177+$C177+$D177-$E177+$F177-$G177)</f>
        <v/>
      </c>
      <c r="K177" s="122">
        <f>IF($A177="","",MAX(0,$B177-$J177))</f>
        <v/>
      </c>
      <c r="L177" s="123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</row>
    <row r="178" ht="15" customHeight="1" s="80">
      <c r="A178" s="125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2">
        <f>IF($A178="","",$B178+$C178+$D178-$E178+$F178-$G178)</f>
        <v/>
      </c>
      <c r="K178" s="122">
        <f>IF($A178="","",MAX(0,$B178-$J178))</f>
        <v/>
      </c>
      <c r="L178" s="123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</row>
    <row r="179" ht="15" customHeight="1" s="80">
      <c r="A179" s="125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2">
        <f>IF($A179="","",$B179+$C179+$D179-$E179+$F179-$G179)</f>
        <v/>
      </c>
      <c r="K179" s="122">
        <f>IF($A179="","",MAX(0,$B179-$J179))</f>
        <v/>
      </c>
      <c r="L179" s="123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</row>
    <row r="180" ht="15" customHeight="1" s="80">
      <c r="A180" s="125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2">
        <f>IF($A180="","",$B180+$C180+$D180-$E180+$F180-$G180)</f>
        <v/>
      </c>
      <c r="K180" s="122">
        <f>IF($A180="","",MAX(0,$B180-$J180))</f>
        <v/>
      </c>
      <c r="L180" s="123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</row>
    <row r="181" ht="15" customHeight="1" s="80">
      <c r="A181" s="125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2">
        <f>IF($A181="","",$B181+$C181+$D181-$E181+$F181-$G181)</f>
        <v/>
      </c>
      <c r="K181" s="122">
        <f>IF($A181="","",MAX(0,$B181-$J181))</f>
        <v/>
      </c>
      <c r="L181" s="123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</row>
    <row r="182" ht="15" customHeight="1" s="80">
      <c r="A182" s="125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2">
        <f>IF($A182="","",$B182+$C182+$D182-$E182+$F182-$G182)</f>
        <v/>
      </c>
      <c r="K182" s="122">
        <f>IF($A182="","",MAX(0,$B182-$J182))</f>
        <v/>
      </c>
      <c r="L182" s="123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</row>
    <row r="183" ht="15" customHeight="1" s="80">
      <c r="A183" s="125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2">
        <f>IF($A183="","",$B183+$C183+$D183-$E183+$F183-$G183)</f>
        <v/>
      </c>
      <c r="K183" s="122">
        <f>IF($A183="","",MAX(0,$B183-$J183))</f>
        <v/>
      </c>
      <c r="L183" s="123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</row>
    <row r="184" ht="15" customHeight="1" s="80">
      <c r="A184" s="125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2">
        <f>IF($A184="","",$B184+$C184+$D184-$E184+$F184-$G184)</f>
        <v/>
      </c>
      <c r="K184" s="122">
        <f>IF($A184="","",MAX(0,$B184-$J184))</f>
        <v/>
      </c>
      <c r="L184" s="123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</row>
    <row r="185" ht="15" customHeight="1" s="80">
      <c r="A185" s="125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2">
        <f>IF($A185="","",$B185+$C185+$D185-$E185+$F185-$G185)</f>
        <v/>
      </c>
      <c r="K185" s="122">
        <f>IF($A185="","",MAX(0,$B185-$J185))</f>
        <v/>
      </c>
      <c r="L185" s="123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</row>
    <row r="186" ht="15" customHeight="1" s="80">
      <c r="A186" s="125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2">
        <f>IF($A186="","",$B186+$C186+$D186-$E186+$F186-$G186)</f>
        <v/>
      </c>
      <c r="K186" s="122">
        <f>IF($A186="","",MAX(0,$B186-$J186))</f>
        <v/>
      </c>
      <c r="L186" s="123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</row>
    <row r="187" ht="15" customHeight="1" s="80">
      <c r="A187" s="125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2">
        <f>IF($A187="","",$B187+$C187+$D187-$E187+$F187-$G187)</f>
        <v/>
      </c>
      <c r="K187" s="122">
        <f>IF($A187="","",MAX(0,$B187-$J187))</f>
        <v/>
      </c>
      <c r="L187" s="123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</row>
    <row r="188" ht="15" customHeight="1" s="80">
      <c r="A188" s="125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2">
        <f>IF($A188="","",$B188+$C188+$D188-$E188+$F188-$G188)</f>
        <v/>
      </c>
      <c r="K188" s="122">
        <f>IF($A188="","",MAX(0,$B188-$J188))</f>
        <v/>
      </c>
      <c r="L188" s="123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</row>
    <row r="189" ht="15" customHeight="1" s="80">
      <c r="A189" s="125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2">
        <f>IF($A189="","",$B189+$C189+$D189-$E189+$F189-$G189)</f>
        <v/>
      </c>
      <c r="K189" s="122">
        <f>IF($A189="","",MAX(0,$B189-$J189))</f>
        <v/>
      </c>
      <c r="L189" s="123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</row>
    <row r="190" ht="15" customHeight="1" s="80">
      <c r="A190" s="125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2">
        <f>IF($A190="","",$B190+$C190+$D190-$E190+$F190-$G190)</f>
        <v/>
      </c>
      <c r="K190" s="122">
        <f>IF($A190="","",MAX(0,$B190-$J190))</f>
        <v/>
      </c>
      <c r="L190" s="123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</row>
    <row r="191" ht="15" customHeight="1" s="80">
      <c r="A191" s="125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2">
        <f>IF($A191="","",$B191+$C191+$D191-$E191+$F191-$G191)</f>
        <v/>
      </c>
      <c r="K191" s="122">
        <f>IF($A191="","",MAX(0,$B191-$J191))</f>
        <v/>
      </c>
      <c r="L191" s="123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</row>
    <row r="192" ht="15" customHeight="1" s="80">
      <c r="A192" s="125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2">
        <f>IF($A192="","",$B192+$C192+$D192-$E192+$F192-$G192)</f>
        <v/>
      </c>
      <c r="K192" s="122">
        <f>IF($A192="","",MAX(0,$B192-$J192))</f>
        <v/>
      </c>
      <c r="L192" s="123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</row>
    <row r="193" ht="15" customHeight="1" s="80">
      <c r="A193" s="125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2">
        <f>IF($A193="","",$B193+$C193+$D193-$E193+$F193-$G193)</f>
        <v/>
      </c>
      <c r="K193" s="122">
        <f>IF($A193="","",MAX(0,$B193-$J193))</f>
        <v/>
      </c>
      <c r="L193" s="123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</row>
    <row r="194" ht="15" customHeight="1" s="80">
      <c r="A194" s="125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2">
        <f>IF($A194="","",$B194+$C194+$D194-$E194+$F194-$G194)</f>
        <v/>
      </c>
      <c r="K194" s="122">
        <f>IF($A194="","",MAX(0,$B194-$J194))</f>
        <v/>
      </c>
      <c r="L194" s="123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</row>
    <row r="195" ht="15" customHeight="1" s="80">
      <c r="A195" s="125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2">
        <f>IF($A195="","",$B195+$C195+$D195-$E195+$F195-$G195)</f>
        <v/>
      </c>
      <c r="K195" s="122">
        <f>IF($A195="","",MAX(0,$B195-$J195))</f>
        <v/>
      </c>
      <c r="L195" s="123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</row>
    <row r="196" ht="15" customHeight="1" s="80">
      <c r="A196" s="125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2">
        <f>IF($A196="","",$B196+$C196+$D196-$E196+$F196-$G196)</f>
        <v/>
      </c>
      <c r="K196" s="122">
        <f>IF($A196="","",MAX(0,$B196-$J196))</f>
        <v/>
      </c>
      <c r="L196" s="123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</row>
    <row r="197" ht="15" customHeight="1" s="80">
      <c r="A197" s="125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2">
        <f>IF($A197="","",$B197+$C197+$D197-$E197+$F197-$G197)</f>
        <v/>
      </c>
      <c r="K197" s="122">
        <f>IF($A197="","",MAX(0,$B197-$J197))</f>
        <v/>
      </c>
      <c r="L197" s="123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</row>
    <row r="198" ht="15" customHeight="1" s="80">
      <c r="A198" s="125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2">
        <f>IF($A198="","",$B198+$C198+$D198-$E198+$F198-$G198)</f>
        <v/>
      </c>
      <c r="K198" s="122">
        <f>IF($A198="","",MAX(0,$B198-$J198))</f>
        <v/>
      </c>
      <c r="L198" s="123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</row>
    <row r="199" ht="15" customHeight="1" s="80">
      <c r="A199" s="125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2">
        <f>IF($A199="","",$B199+$C199+$D199-$E199+$F199-$G199)</f>
        <v/>
      </c>
      <c r="K199" s="122">
        <f>IF($A199="","",MAX(0,$B199-$J199))</f>
        <v/>
      </c>
      <c r="L199" s="123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</row>
    <row r="200" ht="15" customHeight="1" s="80">
      <c r="A200" s="125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2">
        <f>IF($A200="","",$B200+$C200+$D200-$E200+$F200-$G200)</f>
        <v/>
      </c>
      <c r="K200" s="122">
        <f>IF($A200="","",MAX(0,$B200-$J200))</f>
        <v/>
      </c>
      <c r="L200" s="123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</row>
    <row r="201" ht="15" customHeight="1" s="80">
      <c r="A201" s="125" t="n"/>
      <c r="B201" s="121" t="n"/>
      <c r="C201" s="121" t="n"/>
      <c r="D201" s="121" t="n"/>
      <c r="E201" s="121" t="n"/>
      <c r="F201" s="121" t="n"/>
      <c r="G201" s="121" t="n"/>
      <c r="H201" s="121" t="n"/>
      <c r="I201" s="121" t="n"/>
      <c r="J201" s="122">
        <f>IF($A201="","",$B201+$C201+$D201-$E201+$F201-$G201)</f>
        <v/>
      </c>
      <c r="K201" s="122">
        <f>IF($A201="","",MAX(0,$B201-$J201))</f>
        <v/>
      </c>
      <c r="L201" s="123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</row>
    <row r="202" ht="15" customHeight="1" s="80">
      <c r="A202" s="125" t="n"/>
      <c r="B202" s="121" t="n"/>
      <c r="C202" s="121" t="n"/>
      <c r="D202" s="121" t="n"/>
      <c r="E202" s="121" t="n"/>
      <c r="F202" s="121" t="n"/>
      <c r="G202" s="121" t="n"/>
      <c r="H202" s="121" t="n"/>
      <c r="I202" s="121" t="n"/>
      <c r="J202" s="122">
        <f>IF($A202="","",$B202+$C202+$D202-$E202+$F202-$G202)</f>
        <v/>
      </c>
      <c r="K202" s="122">
        <f>IF($A202="","",MAX(0,$B202-$J202))</f>
        <v/>
      </c>
      <c r="L202" s="123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</row>
    <row r="203" ht="15" customHeight="1" s="80">
      <c r="A203" s="125" t="n"/>
      <c r="B203" s="121" t="n"/>
      <c r="C203" s="121" t="n"/>
      <c r="D203" s="121" t="n"/>
      <c r="E203" s="121" t="n"/>
      <c r="F203" s="121" t="n"/>
      <c r="G203" s="121" t="n"/>
      <c r="H203" s="121" t="n"/>
      <c r="I203" s="121" t="n"/>
      <c r="J203" s="122">
        <f>IF($A203="","",$B203+$C203+$D203-$E203+$F203-$G203)</f>
        <v/>
      </c>
      <c r="K203" s="122">
        <f>IF($A203="","",MAX(0,$B203-$J203))</f>
        <v/>
      </c>
      <c r="L203" s="123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</row>
    <row r="204" ht="15" customHeight="1" s="80">
      <c r="A204" s="125" t="n"/>
      <c r="B204" s="121" t="n"/>
      <c r="C204" s="121" t="n"/>
      <c r="D204" s="121" t="n"/>
      <c r="E204" s="121" t="n"/>
      <c r="F204" s="121" t="n"/>
      <c r="G204" s="121" t="n"/>
      <c r="H204" s="121" t="n"/>
      <c r="I204" s="121" t="n"/>
      <c r="J204" s="122">
        <f>IF($A204="","",$B204+$C204+$D204-$E204+$F204-$G204)</f>
        <v/>
      </c>
      <c r="K204" s="122">
        <f>IF($A204="","",MAX(0,$B204-$J204))</f>
        <v/>
      </c>
      <c r="L204" s="123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</row>
    <row r="205" ht="15" customHeight="1" s="80">
      <c r="A205" s="125" t="n"/>
      <c r="B205" s="121" t="n"/>
      <c r="C205" s="121" t="n"/>
      <c r="D205" s="121" t="n"/>
      <c r="E205" s="121" t="n"/>
      <c r="F205" s="121" t="n"/>
      <c r="G205" s="121" t="n"/>
      <c r="H205" s="121" t="n"/>
      <c r="I205" s="121" t="n"/>
      <c r="J205" s="122">
        <f>IF($A205="","",$B205+$C205+$D205-$E205+$F205-$G205)</f>
        <v/>
      </c>
      <c r="K205" s="122">
        <f>IF($A205="","",MAX(0,$B205-$J205))</f>
        <v/>
      </c>
      <c r="L205" s="123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</row>
    <row r="206" ht="15" customHeight="1" s="80">
      <c r="A206" s="125" t="n"/>
      <c r="B206" s="121" t="n"/>
      <c r="C206" s="121" t="n"/>
      <c r="D206" s="121" t="n"/>
      <c r="E206" s="121" t="n"/>
      <c r="F206" s="121" t="n"/>
      <c r="G206" s="121" t="n"/>
      <c r="H206" s="121" t="n"/>
      <c r="I206" s="121" t="n"/>
      <c r="J206" s="122">
        <f>IF($A206="","",$B206+$C206+$D206-$E206+$F206-$G206)</f>
        <v/>
      </c>
      <c r="K206" s="122">
        <f>IF($A206="","",MAX(0,$B206-$J206))</f>
        <v/>
      </c>
      <c r="L206" s="123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</row>
    <row r="207" ht="15" customHeight="1" s="80">
      <c r="A207" s="125" t="n"/>
      <c r="B207" s="121" t="n"/>
      <c r="C207" s="121" t="n"/>
      <c r="D207" s="121" t="n"/>
      <c r="E207" s="121" t="n"/>
      <c r="F207" s="121" t="n"/>
      <c r="G207" s="121" t="n"/>
      <c r="H207" s="121" t="n"/>
      <c r="I207" s="121" t="n"/>
      <c r="J207" s="122">
        <f>IF($A207="","",$B207+$C207+$D207-$E207+$F207-$G207)</f>
        <v/>
      </c>
      <c r="K207" s="122">
        <f>IF($A207="","",MAX(0,$B207-$J207))</f>
        <v/>
      </c>
      <c r="L207" s="123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</row>
    <row r="208" ht="15" customHeight="1" s="80">
      <c r="A208" s="125" t="n"/>
      <c r="B208" s="121" t="n"/>
      <c r="C208" s="121" t="n"/>
      <c r="D208" s="121" t="n"/>
      <c r="E208" s="121" t="n"/>
      <c r="F208" s="121" t="n"/>
      <c r="G208" s="121" t="n"/>
      <c r="H208" s="121" t="n"/>
      <c r="I208" s="121" t="n"/>
      <c r="J208" s="122">
        <f>IF($A208="","",$B208+$C208+$D208-$E208+$F208-$G208)</f>
        <v/>
      </c>
      <c r="K208" s="122">
        <f>IF($A208="","",MAX(0,$B208-$J208))</f>
        <v/>
      </c>
      <c r="L208" s="123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</row>
    <row r="209" ht="15" customHeight="1" s="80">
      <c r="A209" s="125" t="n"/>
      <c r="B209" s="121" t="n"/>
      <c r="C209" s="121" t="n"/>
      <c r="D209" s="121" t="n"/>
      <c r="E209" s="121" t="n"/>
      <c r="F209" s="121" t="n"/>
      <c r="G209" s="121" t="n"/>
      <c r="H209" s="121" t="n"/>
      <c r="I209" s="121" t="n"/>
      <c r="J209" s="122">
        <f>IF($A209="","",$B209+$C209+$D209-$E209+$F209-$G209)</f>
        <v/>
      </c>
      <c r="K209" s="122">
        <f>IF($A209="","",MAX(0,$B209-$J209))</f>
        <v/>
      </c>
      <c r="L209" s="123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</row>
    <row r="210" ht="15" customHeight="1" s="80">
      <c r="A210" s="125" t="n"/>
      <c r="B210" s="121" t="n"/>
      <c r="C210" s="121" t="n"/>
      <c r="D210" s="121" t="n"/>
      <c r="E210" s="121" t="n"/>
      <c r="F210" s="121" t="n"/>
      <c r="G210" s="121" t="n"/>
      <c r="H210" s="121" t="n"/>
      <c r="I210" s="121" t="n"/>
      <c r="J210" s="122">
        <f>IF($A210="","",$B210+$C210+$D210-$E210+$F210-$G210)</f>
        <v/>
      </c>
      <c r="K210" s="122">
        <f>IF($A210="","",MAX(0,$B210-$J210))</f>
        <v/>
      </c>
      <c r="L210" s="123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</row>
    <row r="211" ht="15" customHeight="1" s="80">
      <c r="A211" s="125" t="n"/>
      <c r="B211" s="121" t="n"/>
      <c r="C211" s="121" t="n"/>
      <c r="D211" s="121" t="n"/>
      <c r="E211" s="121" t="n"/>
      <c r="F211" s="121" t="n"/>
      <c r="G211" s="121" t="n"/>
      <c r="H211" s="121" t="n"/>
      <c r="I211" s="121" t="n"/>
      <c r="J211" s="122">
        <f>IF($A211="","",$B211+$C211+$D211-$E211+$F211-$G211)</f>
        <v/>
      </c>
      <c r="K211" s="122">
        <f>IF($A211="","",MAX(0,$B211-$J211))</f>
        <v/>
      </c>
      <c r="L211" s="123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</row>
    <row r="212" ht="15" customHeight="1" s="80">
      <c r="A212" s="125" t="n"/>
      <c r="B212" s="121" t="n"/>
      <c r="C212" s="121" t="n"/>
      <c r="D212" s="121" t="n"/>
      <c r="E212" s="121" t="n"/>
      <c r="F212" s="121" t="n"/>
      <c r="G212" s="121" t="n"/>
      <c r="H212" s="121" t="n"/>
      <c r="I212" s="121" t="n"/>
      <c r="J212" s="122">
        <f>IF($A212="","",$B212+$C212+$D212-$E212+$F212-$G212)</f>
        <v/>
      </c>
      <c r="K212" s="122">
        <f>IF($A212="","",MAX(0,$B212-$J212))</f>
        <v/>
      </c>
      <c r="L212" s="123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</row>
    <row r="213" ht="15" customHeight="1" s="80">
      <c r="A213" s="125" t="n"/>
      <c r="B213" s="121" t="n"/>
      <c r="C213" s="121" t="n"/>
      <c r="D213" s="121" t="n"/>
      <c r="E213" s="121" t="n"/>
      <c r="F213" s="121" t="n"/>
      <c r="G213" s="121" t="n"/>
      <c r="H213" s="121" t="n"/>
      <c r="I213" s="121" t="n"/>
      <c r="J213" s="122">
        <f>IF($A213="","",$B213+$C213+$D213-$E213+$F213-$G213)</f>
        <v/>
      </c>
      <c r="K213" s="122">
        <f>IF($A213="","",MAX(0,$B213-$J213))</f>
        <v/>
      </c>
      <c r="L213" s="123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</row>
    <row r="214" ht="15" customHeight="1" s="80">
      <c r="A214" s="125" t="n"/>
      <c r="B214" s="121" t="n"/>
      <c r="C214" s="121" t="n"/>
      <c r="D214" s="121" t="n"/>
      <c r="E214" s="121" t="n"/>
      <c r="F214" s="121" t="n"/>
      <c r="G214" s="121" t="n"/>
      <c r="H214" s="121" t="n"/>
      <c r="I214" s="121" t="n"/>
      <c r="J214" s="122">
        <f>IF($A214="","",$B214+$C214+$D214-$E214+$F214-$G214)</f>
        <v/>
      </c>
      <c r="K214" s="122">
        <f>IF($A214="","",MAX(0,$B214-$J214))</f>
        <v/>
      </c>
      <c r="L214" s="123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</row>
    <row r="215" ht="15" customHeight="1" s="80">
      <c r="A215" s="125" t="n"/>
      <c r="B215" s="121" t="n"/>
      <c r="C215" s="121" t="n"/>
      <c r="D215" s="121" t="n"/>
      <c r="E215" s="121" t="n"/>
      <c r="F215" s="121" t="n"/>
      <c r="G215" s="121" t="n"/>
      <c r="H215" s="121" t="n"/>
      <c r="I215" s="121" t="n"/>
      <c r="J215" s="122">
        <f>IF($A215="","",$B215+$C215+$D215-$E215+$F215-$G215)</f>
        <v/>
      </c>
      <c r="K215" s="122">
        <f>IF($A215="","",MAX(0,$B215-$J215))</f>
        <v/>
      </c>
      <c r="L215" s="123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</row>
    <row r="216" ht="15" customHeight="1" s="80">
      <c r="A216" s="125" t="n"/>
      <c r="B216" s="121" t="n"/>
      <c r="C216" s="121" t="n"/>
      <c r="D216" s="121" t="n"/>
      <c r="E216" s="121" t="n"/>
      <c r="F216" s="121" t="n"/>
      <c r="G216" s="121" t="n"/>
      <c r="H216" s="121" t="n"/>
      <c r="I216" s="121" t="n"/>
      <c r="J216" s="122">
        <f>IF($A216="","",$B216+$C216+$D216-$E216+$F216-$G216)</f>
        <v/>
      </c>
      <c r="K216" s="122">
        <f>IF($A216="","",MAX(0,$B216-$J216))</f>
        <v/>
      </c>
      <c r="L216" s="123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</row>
    <row r="217" ht="15" customHeight="1" s="80">
      <c r="A217" s="125" t="n"/>
      <c r="B217" s="121" t="n"/>
      <c r="C217" s="121" t="n"/>
      <c r="D217" s="121" t="n"/>
      <c r="E217" s="121" t="n"/>
      <c r="F217" s="121" t="n"/>
      <c r="G217" s="121" t="n"/>
      <c r="H217" s="121" t="n"/>
      <c r="I217" s="121" t="n"/>
      <c r="J217" s="122">
        <f>IF($A217="","",$B217+$C217+$D217-$E217+$F217-$G217)</f>
        <v/>
      </c>
      <c r="K217" s="122">
        <f>IF($A217="","",MAX(0,$B217-$J217))</f>
        <v/>
      </c>
      <c r="L217" s="123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</row>
    <row r="218" ht="15" customHeight="1" s="80">
      <c r="A218" s="125" t="n"/>
      <c r="B218" s="121" t="n"/>
      <c r="C218" s="121" t="n"/>
      <c r="D218" s="121" t="n"/>
      <c r="E218" s="121" t="n"/>
      <c r="F218" s="121" t="n"/>
      <c r="G218" s="121" t="n"/>
      <c r="H218" s="121" t="n"/>
      <c r="I218" s="121" t="n"/>
      <c r="J218" s="122">
        <f>IF($A218="","",$B218+$C218+$D218-$E218+$F218-$G218)</f>
        <v/>
      </c>
      <c r="K218" s="122">
        <f>IF($A218="","",MAX(0,$B218-$J218))</f>
        <v/>
      </c>
      <c r="L218" s="123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</row>
    <row r="219" ht="15" customHeight="1" s="80">
      <c r="A219" s="125" t="n"/>
      <c r="B219" s="121" t="n"/>
      <c r="C219" s="121" t="n"/>
      <c r="D219" s="121" t="n"/>
      <c r="E219" s="121" t="n"/>
      <c r="F219" s="121" t="n"/>
      <c r="G219" s="121" t="n"/>
      <c r="H219" s="121" t="n"/>
      <c r="I219" s="121" t="n"/>
      <c r="J219" s="122">
        <f>IF($A219="","",$B219+$C219+$D219-$E219+$F219-$G219)</f>
        <v/>
      </c>
      <c r="K219" s="122">
        <f>IF($A219="","",MAX(0,$B219-$J219))</f>
        <v/>
      </c>
      <c r="L219" s="123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</row>
    <row r="220" ht="15" customHeight="1" s="80">
      <c r="A220" s="125" t="n"/>
      <c r="B220" s="121" t="n"/>
      <c r="C220" s="121" t="n"/>
      <c r="D220" s="121" t="n"/>
      <c r="E220" s="121" t="n"/>
      <c r="F220" s="121" t="n"/>
      <c r="G220" s="121" t="n"/>
      <c r="H220" s="121" t="n"/>
      <c r="I220" s="121" t="n"/>
      <c r="J220" s="122">
        <f>IF($A220="","",$B220+$C220+$D220-$E220+$F220-$G220)</f>
        <v/>
      </c>
      <c r="K220" s="122">
        <f>IF($A220="","",MAX(0,$B220-$J220))</f>
        <v/>
      </c>
      <c r="L220" s="123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</row>
    <row r="221" ht="15" customHeight="1" s="80">
      <c r="A221" s="125" t="n"/>
      <c r="B221" s="121" t="n"/>
      <c r="C221" s="121" t="n"/>
      <c r="D221" s="121" t="n"/>
      <c r="E221" s="121" t="n"/>
      <c r="F221" s="121" t="n"/>
      <c r="G221" s="121" t="n"/>
      <c r="H221" s="121" t="n"/>
      <c r="I221" s="121" t="n"/>
      <c r="J221" s="122">
        <f>IF($A221="","",$B221+$C221+$D221-$E221+$F221-$G221)</f>
        <v/>
      </c>
      <c r="K221" s="122">
        <f>IF($A221="","",MAX(0,$B221-$J221))</f>
        <v/>
      </c>
      <c r="L221" s="123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</row>
    <row r="222" ht="15" customHeight="1" s="80">
      <c r="A222" s="125" t="n"/>
      <c r="B222" s="121" t="n"/>
      <c r="C222" s="121" t="n"/>
      <c r="D222" s="121" t="n"/>
      <c r="E222" s="121" t="n"/>
      <c r="F222" s="121" t="n"/>
      <c r="G222" s="121" t="n"/>
      <c r="H222" s="121" t="n"/>
      <c r="I222" s="121" t="n"/>
      <c r="J222" s="122">
        <f>IF($A222="","",$B222+$C222+$D222-$E222+$F222-$G222)</f>
        <v/>
      </c>
      <c r="K222" s="122">
        <f>IF($A222="","",MAX(0,$B222-$J222))</f>
        <v/>
      </c>
      <c r="L222" s="123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</row>
    <row r="223" ht="15" customHeight="1" s="80">
      <c r="A223" s="125" t="n"/>
      <c r="B223" s="121" t="n"/>
      <c r="C223" s="121" t="n"/>
      <c r="D223" s="121" t="n"/>
      <c r="E223" s="121" t="n"/>
      <c r="F223" s="121" t="n"/>
      <c r="G223" s="121" t="n"/>
      <c r="H223" s="121" t="n"/>
      <c r="I223" s="121" t="n"/>
      <c r="J223" s="122">
        <f>IF($A223="","",$B223+$C223+$D223-$E223+$F223-$G223)</f>
        <v/>
      </c>
      <c r="K223" s="122">
        <f>IF($A223="","",MAX(0,$B223-$J223))</f>
        <v/>
      </c>
      <c r="L223" s="123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</row>
    <row r="224" ht="15" customHeight="1" s="80">
      <c r="A224" s="125" t="n"/>
      <c r="B224" s="121" t="n"/>
      <c r="C224" s="121" t="n"/>
      <c r="D224" s="121" t="n"/>
      <c r="E224" s="121" t="n"/>
      <c r="F224" s="121" t="n"/>
      <c r="G224" s="121" t="n"/>
      <c r="H224" s="121" t="n"/>
      <c r="I224" s="121" t="n"/>
      <c r="J224" s="122">
        <f>IF($A224="","",$B224+$C224+$D224-$E224+$F224-$G224)</f>
        <v/>
      </c>
      <c r="K224" s="122">
        <f>IF($A224="","",MAX(0,$B224-$J224))</f>
        <v/>
      </c>
      <c r="L224" s="123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</row>
    <row r="225" ht="15" customHeight="1" s="80">
      <c r="A225" s="125" t="n"/>
      <c r="B225" s="121" t="n"/>
      <c r="C225" s="121" t="n"/>
      <c r="D225" s="121" t="n"/>
      <c r="E225" s="121" t="n"/>
      <c r="F225" s="121" t="n"/>
      <c r="G225" s="121" t="n"/>
      <c r="H225" s="121" t="n"/>
      <c r="I225" s="121" t="n"/>
      <c r="J225" s="122">
        <f>IF($A225="","",$B225+$C225+$D225-$E225+$F225-$G225)</f>
        <v/>
      </c>
      <c r="K225" s="122">
        <f>IF($A225="","",MAX(0,$B225-$J225))</f>
        <v/>
      </c>
      <c r="L225" s="123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</row>
    <row r="226" ht="15" customHeight="1" s="80">
      <c r="A226" s="125" t="n"/>
      <c r="B226" s="121" t="n"/>
      <c r="C226" s="121" t="n"/>
      <c r="D226" s="121" t="n"/>
      <c r="E226" s="121" t="n"/>
      <c r="F226" s="121" t="n"/>
      <c r="G226" s="121" t="n"/>
      <c r="H226" s="121" t="n"/>
      <c r="I226" s="121" t="n"/>
      <c r="J226" s="122">
        <f>IF($A226="","",$B226+$C226+$D226-$E226+$F226-$G226)</f>
        <v/>
      </c>
      <c r="K226" s="122">
        <f>IF($A226="","",MAX(0,$B226-$J226))</f>
        <v/>
      </c>
      <c r="L226" s="123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</row>
    <row r="227" ht="15" customHeight="1" s="80">
      <c r="A227" s="125" t="n"/>
      <c r="B227" s="121" t="n"/>
      <c r="C227" s="121" t="n"/>
      <c r="D227" s="121" t="n"/>
      <c r="E227" s="121" t="n"/>
      <c r="F227" s="121" t="n"/>
      <c r="G227" s="121" t="n"/>
      <c r="H227" s="121" t="n"/>
      <c r="I227" s="121" t="n"/>
      <c r="J227" s="122">
        <f>IF($A227="","",$B227+$C227+$D227-$E227+$F227-$G227)</f>
        <v/>
      </c>
      <c r="K227" s="122">
        <f>IF($A227="","",MAX(0,$B227-$J227))</f>
        <v/>
      </c>
      <c r="L227" s="123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</row>
    <row r="228" ht="15" customHeight="1" s="80">
      <c r="A228" s="125" t="n"/>
      <c r="B228" s="121" t="n"/>
      <c r="C228" s="121" t="n"/>
      <c r="D228" s="121" t="n"/>
      <c r="E228" s="121" t="n"/>
      <c r="F228" s="121" t="n"/>
      <c r="G228" s="121" t="n"/>
      <c r="H228" s="121" t="n"/>
      <c r="I228" s="121" t="n"/>
      <c r="J228" s="122">
        <f>IF($A228="","",$B228+$C228+$D228-$E228+$F228-$G228)</f>
        <v/>
      </c>
      <c r="K228" s="122">
        <f>IF($A228="","",MAX(0,$B228-$J228))</f>
        <v/>
      </c>
      <c r="L228" s="123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</row>
    <row r="229" ht="15" customHeight="1" s="80">
      <c r="A229" s="125" t="n"/>
      <c r="B229" s="121" t="n"/>
      <c r="C229" s="121" t="n"/>
      <c r="D229" s="121" t="n"/>
      <c r="E229" s="121" t="n"/>
      <c r="F229" s="121" t="n"/>
      <c r="G229" s="121" t="n"/>
      <c r="H229" s="121" t="n"/>
      <c r="I229" s="121" t="n"/>
      <c r="J229" s="122">
        <f>IF($A229="","",$B229+$C229+$D229-$E229+$F229-$G229)</f>
        <v/>
      </c>
      <c r="K229" s="122">
        <f>IF($A229="","",MAX(0,$B229-$J229))</f>
        <v/>
      </c>
      <c r="L229" s="123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</row>
    <row r="230" ht="15" customHeight="1" s="80">
      <c r="A230" s="125" t="n"/>
      <c r="B230" s="121" t="n"/>
      <c r="C230" s="121" t="n"/>
      <c r="D230" s="121" t="n"/>
      <c r="E230" s="121" t="n"/>
      <c r="F230" s="121" t="n"/>
      <c r="G230" s="121" t="n"/>
      <c r="H230" s="121" t="n"/>
      <c r="I230" s="121" t="n"/>
      <c r="J230" s="122">
        <f>IF($A230="","",$B230+$C230+$D230-$E230+$F230-$G230)</f>
        <v/>
      </c>
      <c r="K230" s="122">
        <f>IF($A230="","",MAX(0,$B230-$J230))</f>
        <v/>
      </c>
      <c r="L230" s="123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</row>
    <row r="231" ht="15" customHeight="1" s="80">
      <c r="A231" s="125" t="n"/>
      <c r="B231" s="121" t="n"/>
      <c r="C231" s="121" t="n"/>
      <c r="D231" s="121" t="n"/>
      <c r="E231" s="121" t="n"/>
      <c r="F231" s="121" t="n"/>
      <c r="G231" s="121" t="n"/>
      <c r="H231" s="121" t="n"/>
      <c r="I231" s="121" t="n"/>
      <c r="J231" s="122">
        <f>IF($A231="","",$B231+$C231+$D231-$E231+$F231-$G231)</f>
        <v/>
      </c>
      <c r="K231" s="122">
        <f>IF($A231="","",MAX(0,$B231-$J231))</f>
        <v/>
      </c>
      <c r="L231" s="123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</row>
    <row r="232" ht="15" customHeight="1" s="80">
      <c r="A232" s="125" t="n"/>
      <c r="B232" s="121" t="n"/>
      <c r="C232" s="121" t="n"/>
      <c r="D232" s="121" t="n"/>
      <c r="E232" s="121" t="n"/>
      <c r="F232" s="121" t="n"/>
      <c r="G232" s="121" t="n"/>
      <c r="H232" s="121" t="n"/>
      <c r="I232" s="121" t="n"/>
      <c r="J232" s="122">
        <f>IF($A232="","",$B232+$C232+$D232-$E232+$F232-$G232)</f>
        <v/>
      </c>
      <c r="K232" s="122">
        <f>IF($A232="","",MAX(0,$B232-$J232))</f>
        <v/>
      </c>
      <c r="L232" s="123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</row>
    <row r="233" ht="15" customHeight="1" s="80">
      <c r="A233" s="125" t="n"/>
      <c r="B233" s="121" t="n"/>
      <c r="C233" s="121" t="n"/>
      <c r="D233" s="121" t="n"/>
      <c r="E233" s="121" t="n"/>
      <c r="F233" s="121" t="n"/>
      <c r="G233" s="121" t="n"/>
      <c r="H233" s="121" t="n"/>
      <c r="I233" s="121" t="n"/>
      <c r="J233" s="122">
        <f>IF($A233="","",$B233+$C233+$D233-$E233+$F233-$G233)</f>
        <v/>
      </c>
      <c r="K233" s="122">
        <f>IF($A233="","",MAX(0,$B233-$J233))</f>
        <v/>
      </c>
      <c r="L233" s="123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</row>
    <row r="234" ht="15" customHeight="1" s="80">
      <c r="A234" s="125" t="n"/>
      <c r="B234" s="121" t="n"/>
      <c r="C234" s="121" t="n"/>
      <c r="D234" s="121" t="n"/>
      <c r="E234" s="121" t="n"/>
      <c r="F234" s="121" t="n"/>
      <c r="G234" s="121" t="n"/>
      <c r="H234" s="121" t="n"/>
      <c r="I234" s="121" t="n"/>
      <c r="J234" s="122">
        <f>IF($A234="","",$B234+$C234+$D234-$E234+$F234-$G234)</f>
        <v/>
      </c>
      <c r="K234" s="122">
        <f>IF($A234="","",MAX(0,$B234-$J234))</f>
        <v/>
      </c>
      <c r="L234" s="123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</row>
    <row r="235" ht="15" customHeight="1" s="80">
      <c r="A235" s="125" t="n"/>
      <c r="B235" s="121" t="n"/>
      <c r="C235" s="121" t="n"/>
      <c r="D235" s="121" t="n"/>
      <c r="E235" s="121" t="n"/>
      <c r="F235" s="121" t="n"/>
      <c r="G235" s="121" t="n"/>
      <c r="H235" s="121" t="n"/>
      <c r="I235" s="121" t="n"/>
      <c r="J235" s="122">
        <f>IF($A235="","",$B235+$C235+$D235-$E235+$F235-$G235)</f>
        <v/>
      </c>
      <c r="K235" s="122">
        <f>IF($A235="","",MAX(0,$B235-$J235))</f>
        <v/>
      </c>
      <c r="L235" s="123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</row>
    <row r="236" ht="15" customHeight="1" s="80">
      <c r="A236" s="125" t="n"/>
      <c r="B236" s="121" t="n"/>
      <c r="C236" s="121" t="n"/>
      <c r="D236" s="121" t="n"/>
      <c r="E236" s="121" t="n"/>
      <c r="F236" s="121" t="n"/>
      <c r="G236" s="121" t="n"/>
      <c r="H236" s="121" t="n"/>
      <c r="I236" s="121" t="n"/>
      <c r="J236" s="122">
        <f>IF($A236="","",$B236+$C236+$D236-$E236+$F236-$G236)</f>
        <v/>
      </c>
      <c r="K236" s="122">
        <f>IF($A236="","",MAX(0,$B236-$J236))</f>
        <v/>
      </c>
      <c r="L236" s="123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</row>
    <row r="237" ht="15" customHeight="1" s="80">
      <c r="A237" s="125" t="n"/>
      <c r="B237" s="121" t="n"/>
      <c r="C237" s="121" t="n"/>
      <c r="D237" s="121" t="n"/>
      <c r="E237" s="121" t="n"/>
      <c r="F237" s="121" t="n"/>
      <c r="G237" s="121" t="n"/>
      <c r="H237" s="121" t="n"/>
      <c r="I237" s="121" t="n"/>
      <c r="J237" s="122">
        <f>IF($A237="","",$B237+$C237+$D237-$E237+$F237-$G237)</f>
        <v/>
      </c>
      <c r="K237" s="122">
        <f>IF($A237="","",MAX(0,$B237-$J237))</f>
        <v/>
      </c>
      <c r="L237" s="123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</row>
    <row r="238" ht="15" customHeight="1" s="80">
      <c r="A238" s="125" t="n"/>
      <c r="B238" s="121" t="n"/>
      <c r="C238" s="121" t="n"/>
      <c r="D238" s="121" t="n"/>
      <c r="E238" s="121" t="n"/>
      <c r="F238" s="121" t="n"/>
      <c r="G238" s="121" t="n"/>
      <c r="H238" s="121" t="n"/>
      <c r="I238" s="121" t="n"/>
      <c r="J238" s="122">
        <f>IF($A238="","",$B238+$C238+$D238-$E238+$F238-$G238)</f>
        <v/>
      </c>
      <c r="K238" s="122">
        <f>IF($A238="","",MAX(0,$B238-$J238))</f>
        <v/>
      </c>
      <c r="L238" s="123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</row>
    <row r="239" ht="15" customHeight="1" s="80">
      <c r="A239" s="125" t="n"/>
      <c r="B239" s="121" t="n"/>
      <c r="C239" s="121" t="n"/>
      <c r="D239" s="121" t="n"/>
      <c r="E239" s="121" t="n"/>
      <c r="F239" s="121" t="n"/>
      <c r="G239" s="121" t="n"/>
      <c r="H239" s="121" t="n"/>
      <c r="I239" s="121" t="n"/>
      <c r="J239" s="122">
        <f>IF($A239="","",$B239+$C239+$D239-$E239+$F239-$G239)</f>
        <v/>
      </c>
      <c r="K239" s="122">
        <f>IF($A239="","",MAX(0,$B239-$J239))</f>
        <v/>
      </c>
      <c r="L239" s="123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</row>
    <row r="240" ht="15" customHeight="1" s="80">
      <c r="A240" s="125" t="n"/>
      <c r="B240" s="121" t="n"/>
      <c r="C240" s="121" t="n"/>
      <c r="D240" s="121" t="n"/>
      <c r="E240" s="121" t="n"/>
      <c r="F240" s="121" t="n"/>
      <c r="G240" s="121" t="n"/>
      <c r="H240" s="121" t="n"/>
      <c r="I240" s="121" t="n"/>
      <c r="J240" s="122">
        <f>IF($A240="","",$B240+$C240+$D240-$E240+$F240-$G240)</f>
        <v/>
      </c>
      <c r="K240" s="122">
        <f>IF($A240="","",MAX(0,$B240-$J240))</f>
        <v/>
      </c>
      <c r="L240" s="123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</row>
    <row r="241" ht="15" customHeight="1" s="80">
      <c r="A241" s="125" t="n"/>
      <c r="B241" s="121" t="n"/>
      <c r="C241" s="121" t="n"/>
      <c r="D241" s="121" t="n"/>
      <c r="E241" s="121" t="n"/>
      <c r="F241" s="121" t="n"/>
      <c r="G241" s="121" t="n"/>
      <c r="H241" s="121" t="n"/>
      <c r="I241" s="121" t="n"/>
      <c r="J241" s="122">
        <f>IF($A241="","",$B241+$C241+$D241-$E241+$F241-$G241)</f>
        <v/>
      </c>
      <c r="K241" s="122">
        <f>IF($A241="","",MAX(0,$B241-$J241))</f>
        <v/>
      </c>
      <c r="L241" s="123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</row>
    <row r="242" ht="15" customHeight="1" s="80">
      <c r="A242" s="125" t="n"/>
      <c r="B242" s="121" t="n"/>
      <c r="C242" s="121" t="n"/>
      <c r="D242" s="121" t="n"/>
      <c r="E242" s="121" t="n"/>
      <c r="F242" s="121" t="n"/>
      <c r="G242" s="121" t="n"/>
      <c r="H242" s="121" t="n"/>
      <c r="I242" s="121" t="n"/>
      <c r="J242" s="122">
        <f>IF($A242="","",$B242+$C242+$D242-$E242+$F242-$G242)</f>
        <v/>
      </c>
      <c r="K242" s="122">
        <f>IF($A242="","",MAX(0,$B242-$J242))</f>
        <v/>
      </c>
      <c r="L242" s="123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</row>
    <row r="243" ht="15" customHeight="1" s="80">
      <c r="A243" s="125" t="n"/>
      <c r="B243" s="121" t="n"/>
      <c r="C243" s="121" t="n"/>
      <c r="D243" s="121" t="n"/>
      <c r="E243" s="121" t="n"/>
      <c r="F243" s="121" t="n"/>
      <c r="G243" s="121" t="n"/>
      <c r="H243" s="121" t="n"/>
      <c r="I243" s="121" t="n"/>
      <c r="J243" s="122">
        <f>IF($A243="","",$B243+$C243+$D243-$E243+$F243-$G243)</f>
        <v/>
      </c>
      <c r="K243" s="122">
        <f>IF($A243="","",MAX(0,$B243-$J243))</f>
        <v/>
      </c>
      <c r="L243" s="123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</row>
    <row r="244" ht="15" customHeight="1" s="80">
      <c r="A244" s="125" t="n"/>
      <c r="B244" s="121" t="n"/>
      <c r="C244" s="121" t="n"/>
      <c r="D244" s="121" t="n"/>
      <c r="E244" s="121" t="n"/>
      <c r="F244" s="121" t="n"/>
      <c r="G244" s="121" t="n"/>
      <c r="H244" s="121" t="n"/>
      <c r="I244" s="121" t="n"/>
      <c r="J244" s="122">
        <f>IF($A244="","",$B244+$C244+$D244-$E244+$F244-$G244)</f>
        <v/>
      </c>
      <c r="K244" s="122">
        <f>IF($A244="","",MAX(0,$B244-$J244))</f>
        <v/>
      </c>
      <c r="L244" s="123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</row>
    <row r="245" ht="15" customHeight="1" s="80">
      <c r="A245" s="125" t="n"/>
      <c r="B245" s="121" t="n"/>
      <c r="C245" s="121" t="n"/>
      <c r="D245" s="121" t="n"/>
      <c r="E245" s="121" t="n"/>
      <c r="F245" s="121" t="n"/>
      <c r="G245" s="121" t="n"/>
      <c r="H245" s="121" t="n"/>
      <c r="I245" s="121" t="n"/>
      <c r="J245" s="122">
        <f>IF($A245="","",$B245+$C245+$D245-$E245+$F245-$G245)</f>
        <v/>
      </c>
      <c r="K245" s="122">
        <f>IF($A245="","",MAX(0,$B245-$J245))</f>
        <v/>
      </c>
      <c r="L245" s="123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</row>
    <row r="246" ht="15" customHeight="1" s="80">
      <c r="A246" s="125" t="n"/>
      <c r="B246" s="121" t="n"/>
      <c r="C246" s="121" t="n"/>
      <c r="D246" s="121" t="n"/>
      <c r="E246" s="121" t="n"/>
      <c r="F246" s="121" t="n"/>
      <c r="G246" s="121" t="n"/>
      <c r="H246" s="121" t="n"/>
      <c r="I246" s="121" t="n"/>
      <c r="J246" s="122">
        <f>IF($A246="","",$B246+$C246+$D246-$E246+$F246-$G246)</f>
        <v/>
      </c>
      <c r="K246" s="122">
        <f>IF($A246="","",MAX(0,$B246-$J246))</f>
        <v/>
      </c>
      <c r="L246" s="123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</row>
    <row r="247" ht="15" customHeight="1" s="80">
      <c r="A247" s="125" t="n"/>
      <c r="B247" s="121" t="n"/>
      <c r="C247" s="121" t="n"/>
      <c r="D247" s="121" t="n"/>
      <c r="E247" s="121" t="n"/>
      <c r="F247" s="121" t="n"/>
      <c r="G247" s="121" t="n"/>
      <c r="H247" s="121" t="n"/>
      <c r="I247" s="121" t="n"/>
      <c r="J247" s="122">
        <f>IF($A247="","",$B247+$C247+$D247-$E247+$F247-$G247)</f>
        <v/>
      </c>
      <c r="K247" s="122">
        <f>IF($A247="","",MAX(0,$B247-$J247))</f>
        <v/>
      </c>
      <c r="L247" s="123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</row>
    <row r="248" ht="15" customHeight="1" s="80">
      <c r="A248" s="125" t="n"/>
      <c r="B248" s="121" t="n"/>
      <c r="C248" s="121" t="n"/>
      <c r="D248" s="121" t="n"/>
      <c r="E248" s="121" t="n"/>
      <c r="F248" s="121" t="n"/>
      <c r="G248" s="121" t="n"/>
      <c r="H248" s="121" t="n"/>
      <c r="I248" s="121" t="n"/>
      <c r="J248" s="122">
        <f>IF($A248="","",$B248+$C248+$D248-$E248+$F248-$G248)</f>
        <v/>
      </c>
      <c r="K248" s="122">
        <f>IF($A248="","",MAX(0,$B248-$J248))</f>
        <v/>
      </c>
      <c r="L248" s="123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</row>
    <row r="249" ht="15" customHeight="1" s="80">
      <c r="A249" s="125" t="n"/>
      <c r="B249" s="121" t="n"/>
      <c r="C249" s="121" t="n"/>
      <c r="D249" s="121" t="n"/>
      <c r="E249" s="121" t="n"/>
      <c r="F249" s="121" t="n"/>
      <c r="G249" s="121" t="n"/>
      <c r="H249" s="121" t="n"/>
      <c r="I249" s="121" t="n"/>
      <c r="J249" s="122">
        <f>IF($A249="","",$B249+$C249+$D249-$E249+$F249-$G249)</f>
        <v/>
      </c>
      <c r="K249" s="122">
        <f>IF($A249="","",MAX(0,$B249-$J249))</f>
        <v/>
      </c>
      <c r="L249" s="123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</row>
    <row r="250" ht="15" customHeight="1" s="80">
      <c r="A250" s="125" t="n"/>
      <c r="B250" s="121" t="n"/>
      <c r="C250" s="121" t="n"/>
      <c r="D250" s="121" t="n"/>
      <c r="E250" s="121" t="n"/>
      <c r="F250" s="121" t="n"/>
      <c r="G250" s="121" t="n"/>
      <c r="H250" s="121" t="n"/>
      <c r="I250" s="121" t="n"/>
      <c r="J250" s="122">
        <f>IF($A250="","",$B250+$C250+$D250-$E250+$F250-$G250)</f>
        <v/>
      </c>
      <c r="K250" s="122">
        <f>IF($A250="","",MAX(0,$B250-$J250))</f>
        <v/>
      </c>
      <c r="L250" s="123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</row>
    <row r="251" ht="15" customHeight="1" s="80">
      <c r="A251" s="125" t="n"/>
      <c r="B251" s="121" t="n"/>
      <c r="C251" s="121" t="n"/>
      <c r="D251" s="121" t="n"/>
      <c r="E251" s="121" t="n"/>
      <c r="F251" s="121" t="n"/>
      <c r="G251" s="121" t="n"/>
      <c r="H251" s="121" t="n"/>
      <c r="I251" s="121" t="n"/>
      <c r="J251" s="122">
        <f>IF($A251="","",$B251+$C251+$D251-$E251+$F251-$G251)</f>
        <v/>
      </c>
      <c r="K251" s="122">
        <f>IF($A251="","",MAX(0,$B251-$J251))</f>
        <v/>
      </c>
      <c r="L251" s="123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</row>
    <row r="252" ht="15" customHeight="1" s="80">
      <c r="A252" s="125" t="n"/>
      <c r="B252" s="121" t="n"/>
      <c r="C252" s="121" t="n"/>
      <c r="D252" s="121" t="n"/>
      <c r="E252" s="121" t="n"/>
      <c r="F252" s="121" t="n"/>
      <c r="G252" s="121" t="n"/>
      <c r="H252" s="121" t="n"/>
      <c r="I252" s="121" t="n"/>
      <c r="J252" s="122">
        <f>IF($A252="","",$B252+$C252+$D252-$E252+$F252-$G252)</f>
        <v/>
      </c>
      <c r="K252" s="122">
        <f>IF($A252="","",MAX(0,$B252-$J252))</f>
        <v/>
      </c>
      <c r="L252" s="123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</row>
    <row r="253" ht="15" customHeight="1" s="80">
      <c r="A253" s="125" t="n"/>
      <c r="B253" s="121" t="n"/>
      <c r="C253" s="121" t="n"/>
      <c r="D253" s="121" t="n"/>
      <c r="E253" s="121" t="n"/>
      <c r="F253" s="121" t="n"/>
      <c r="G253" s="121" t="n"/>
      <c r="H253" s="121" t="n"/>
      <c r="I253" s="121" t="n"/>
      <c r="J253" s="122">
        <f>IF($A253="","",$B253+$C253+$D253-$E253+$F253-$G253)</f>
        <v/>
      </c>
      <c r="K253" s="122">
        <f>IF($A253="","",MAX(0,$B253-$J253))</f>
        <v/>
      </c>
      <c r="L253" s="123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</row>
    <row r="254" ht="15" customHeight="1" s="80">
      <c r="A254" s="125" t="n"/>
      <c r="B254" s="121" t="n"/>
      <c r="C254" s="121" t="n"/>
      <c r="D254" s="121" t="n"/>
      <c r="E254" s="121" t="n"/>
      <c r="F254" s="121" t="n"/>
      <c r="G254" s="121" t="n"/>
      <c r="H254" s="121" t="n"/>
      <c r="I254" s="121" t="n"/>
      <c r="J254" s="122">
        <f>IF($A254="","",$B254+$C254+$D254-$E254+$F254-$G254)</f>
        <v/>
      </c>
      <c r="K254" s="122">
        <f>IF($A254="","",MAX(0,$B254-$J254))</f>
        <v/>
      </c>
      <c r="L254" s="123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</row>
    <row r="255" ht="15" customHeight="1" s="80">
      <c r="A255" s="125" t="n"/>
      <c r="B255" s="121" t="n"/>
      <c r="C255" s="121" t="n"/>
      <c r="D255" s="121" t="n"/>
      <c r="E255" s="121" t="n"/>
      <c r="F255" s="121" t="n"/>
      <c r="G255" s="121" t="n"/>
      <c r="H255" s="121" t="n"/>
      <c r="I255" s="121" t="n"/>
      <c r="J255" s="122">
        <f>IF($A255="","",$B255+$C255+$D255-$E255+$F255-$G255)</f>
        <v/>
      </c>
      <c r="K255" s="122">
        <f>IF($A255="","",MAX(0,$B255-$J255))</f>
        <v/>
      </c>
      <c r="L255" s="123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</row>
    <row r="256" ht="15" customHeight="1" s="80">
      <c r="A256" s="125" t="n"/>
      <c r="B256" s="121" t="n"/>
      <c r="C256" s="121" t="n"/>
      <c r="D256" s="121" t="n"/>
      <c r="E256" s="121" t="n"/>
      <c r="F256" s="121" t="n"/>
      <c r="G256" s="121" t="n"/>
      <c r="H256" s="121" t="n"/>
      <c r="I256" s="121" t="n"/>
      <c r="J256" s="122">
        <f>IF($A256="","",$B256+$C256+$D256-$E256+$F256-$G256)</f>
        <v/>
      </c>
      <c r="K256" s="122">
        <f>IF($A256="","",MAX(0,$B256-$J256))</f>
        <v/>
      </c>
      <c r="L256" s="123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</row>
    <row r="257" ht="15" customHeight="1" s="80">
      <c r="A257" s="125" t="n"/>
      <c r="B257" s="121" t="n"/>
      <c r="C257" s="121" t="n"/>
      <c r="D257" s="121" t="n"/>
      <c r="E257" s="121" t="n"/>
      <c r="F257" s="121" t="n"/>
      <c r="G257" s="121" t="n"/>
      <c r="H257" s="121" t="n"/>
      <c r="I257" s="121" t="n"/>
      <c r="J257" s="122">
        <f>IF($A257="","",$B257+$C257+$D257-$E257+$F257-$G257)</f>
        <v/>
      </c>
      <c r="K257" s="122">
        <f>IF($A257="","",MAX(0,$B257-$J257))</f>
        <v/>
      </c>
      <c r="L257" s="123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</row>
    <row r="258" ht="15" customHeight="1" s="80">
      <c r="A258" s="125" t="n"/>
      <c r="B258" s="121" t="n"/>
      <c r="C258" s="121" t="n"/>
      <c r="D258" s="121" t="n"/>
      <c r="E258" s="121" t="n"/>
      <c r="F258" s="121" t="n"/>
      <c r="G258" s="121" t="n"/>
      <c r="H258" s="121" t="n"/>
      <c r="I258" s="121" t="n"/>
      <c r="J258" s="122">
        <f>IF($A258="","",$B258+$C258+$D258-$E258+$F258-$G258)</f>
        <v/>
      </c>
      <c r="K258" s="122">
        <f>IF($A258="","",MAX(0,$B258-$J258))</f>
        <v/>
      </c>
      <c r="L258" s="123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</row>
    <row r="259" ht="15" customHeight="1" s="80">
      <c r="A259" s="125" t="n"/>
      <c r="B259" s="121" t="n"/>
      <c r="C259" s="121" t="n"/>
      <c r="D259" s="121" t="n"/>
      <c r="E259" s="121" t="n"/>
      <c r="F259" s="121" t="n"/>
      <c r="G259" s="121" t="n"/>
      <c r="H259" s="121" t="n"/>
      <c r="I259" s="121" t="n"/>
      <c r="J259" s="122">
        <f>IF($A259="","",$B259+$C259+$D259-$E259+$F259-$G259)</f>
        <v/>
      </c>
      <c r="K259" s="122">
        <f>IF($A259="","",MAX(0,$B259-$J259))</f>
        <v/>
      </c>
      <c r="L259" s="123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</row>
    <row r="260" ht="15" customHeight="1" s="80">
      <c r="A260" s="125" t="n"/>
      <c r="B260" s="121" t="n"/>
      <c r="C260" s="121" t="n"/>
      <c r="D260" s="121" t="n"/>
      <c r="E260" s="121" t="n"/>
      <c r="F260" s="121" t="n"/>
      <c r="G260" s="121" t="n"/>
      <c r="H260" s="121" t="n"/>
      <c r="I260" s="121" t="n"/>
      <c r="J260" s="122">
        <f>IF($A260="","",$B260+$C260+$D260-$E260+$F260-$G260)</f>
        <v/>
      </c>
      <c r="K260" s="122">
        <f>IF($A260="","",MAX(0,$B260-$J260))</f>
        <v/>
      </c>
      <c r="L260" s="123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</row>
    <row r="261" ht="15" customHeight="1" s="80">
      <c r="A261" s="125" t="n"/>
      <c r="B261" s="121" t="n"/>
      <c r="C261" s="121" t="n"/>
      <c r="D261" s="121" t="n"/>
      <c r="E261" s="121" t="n"/>
      <c r="F261" s="121" t="n"/>
      <c r="G261" s="121" t="n"/>
      <c r="H261" s="121" t="n"/>
      <c r="I261" s="121" t="n"/>
      <c r="J261" s="122">
        <f>IF($A261="","",$B261+$C261+$D261-$E261+$F261-$G261)</f>
        <v/>
      </c>
      <c r="K261" s="122">
        <f>IF($A261="","",MAX(0,$B261-$J261))</f>
        <v/>
      </c>
      <c r="L261" s="123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</row>
    <row r="262" ht="15" customHeight="1" s="80">
      <c r="A262" s="125" t="n"/>
      <c r="B262" s="121" t="n"/>
      <c r="C262" s="121" t="n"/>
      <c r="D262" s="121" t="n"/>
      <c r="E262" s="121" t="n"/>
      <c r="F262" s="121" t="n"/>
      <c r="G262" s="121" t="n"/>
      <c r="H262" s="121" t="n"/>
      <c r="I262" s="121" t="n"/>
      <c r="J262" s="122">
        <f>IF($A262="","",$B262+$C262+$D262-$E262+$F262-$G262)</f>
        <v/>
      </c>
      <c r="K262" s="122">
        <f>IF($A262="","",MAX(0,$B262-$J262))</f>
        <v/>
      </c>
      <c r="L262" s="123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</row>
    <row r="263" ht="15" customHeight="1" s="80">
      <c r="A263" s="125" t="n"/>
      <c r="B263" s="121" t="n"/>
      <c r="C263" s="121" t="n"/>
      <c r="D263" s="121" t="n"/>
      <c r="E263" s="121" t="n"/>
      <c r="F263" s="121" t="n"/>
      <c r="G263" s="121" t="n"/>
      <c r="H263" s="121" t="n"/>
      <c r="I263" s="121" t="n"/>
      <c r="J263" s="122">
        <f>IF($A263="","",$B263+$C263+$D263-$E263+$F263-$G263)</f>
        <v/>
      </c>
      <c r="K263" s="122">
        <f>IF($A263="","",MAX(0,$B263-$J263))</f>
        <v/>
      </c>
      <c r="L263" s="123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</row>
    <row r="264" ht="15" customHeight="1" s="80">
      <c r="A264" s="125" t="n"/>
      <c r="B264" s="121" t="n"/>
      <c r="C264" s="121" t="n"/>
      <c r="D264" s="121" t="n"/>
      <c r="E264" s="121" t="n"/>
      <c r="F264" s="121" t="n"/>
      <c r="G264" s="121" t="n"/>
      <c r="H264" s="121" t="n"/>
      <c r="I264" s="121" t="n"/>
      <c r="J264" s="122">
        <f>IF($A264="","",$B264+$C264+$D264-$E264+$F264-$G264)</f>
        <v/>
      </c>
      <c r="K264" s="122">
        <f>IF($A264="","",MAX(0,$B264-$J264))</f>
        <v/>
      </c>
      <c r="L264" s="123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</row>
    <row r="265" ht="15" customHeight="1" s="80">
      <c r="A265" s="125" t="n"/>
      <c r="B265" s="121" t="n"/>
      <c r="C265" s="121" t="n"/>
      <c r="D265" s="121" t="n"/>
      <c r="E265" s="121" t="n"/>
      <c r="F265" s="121" t="n"/>
      <c r="G265" s="121" t="n"/>
      <c r="H265" s="121" t="n"/>
      <c r="I265" s="121" t="n"/>
      <c r="J265" s="122">
        <f>IF($A265="","",$B265+$C265+$D265-$E265+$F265-$G265)</f>
        <v/>
      </c>
      <c r="K265" s="122">
        <f>IF($A265="","",MAX(0,$B265-$J265))</f>
        <v/>
      </c>
      <c r="L265" s="123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</row>
    <row r="266" ht="15" customHeight="1" s="80">
      <c r="A266" s="125" t="n"/>
      <c r="B266" s="121" t="n"/>
      <c r="C266" s="121" t="n"/>
      <c r="D266" s="121" t="n"/>
      <c r="E266" s="121" t="n"/>
      <c r="F266" s="121" t="n"/>
      <c r="G266" s="121" t="n"/>
      <c r="H266" s="121" t="n"/>
      <c r="I266" s="121" t="n"/>
      <c r="J266" s="122">
        <f>IF($A266="","",$B266+$C266+$D266-$E266+$F266-$G266)</f>
        <v/>
      </c>
      <c r="K266" s="122">
        <f>IF($A266="","",MAX(0,$B266-$J266))</f>
        <v/>
      </c>
      <c r="L266" s="123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</row>
    <row r="267" ht="15" customHeight="1" s="80">
      <c r="A267" s="125" t="n"/>
      <c r="B267" s="121" t="n"/>
      <c r="C267" s="121" t="n"/>
      <c r="D267" s="121" t="n"/>
      <c r="E267" s="121" t="n"/>
      <c r="F267" s="121" t="n"/>
      <c r="G267" s="121" t="n"/>
      <c r="H267" s="121" t="n"/>
      <c r="I267" s="121" t="n"/>
      <c r="J267" s="122">
        <f>IF($A267="","",$B267+$C267+$D267-$E267+$F267-$G267)</f>
        <v/>
      </c>
      <c r="K267" s="122">
        <f>IF($A267="","",MAX(0,$B267-$J267))</f>
        <v/>
      </c>
      <c r="L267" s="123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</row>
    <row r="268" ht="15" customHeight="1" s="80">
      <c r="A268" s="125" t="n"/>
      <c r="B268" s="121" t="n"/>
      <c r="C268" s="121" t="n"/>
      <c r="D268" s="121" t="n"/>
      <c r="E268" s="121" t="n"/>
      <c r="F268" s="121" t="n"/>
      <c r="G268" s="121" t="n"/>
      <c r="H268" s="121" t="n"/>
      <c r="I268" s="121" t="n"/>
      <c r="J268" s="122">
        <f>IF($A268="","",$B268+$C268+$D268-$E268+$F268-$G268)</f>
        <v/>
      </c>
      <c r="K268" s="122">
        <f>IF($A268="","",MAX(0,$B268-$J268))</f>
        <v/>
      </c>
      <c r="L268" s="123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</row>
    <row r="269" ht="15" customHeight="1" s="80">
      <c r="A269" s="125" t="n"/>
      <c r="B269" s="121" t="n"/>
      <c r="C269" s="121" t="n"/>
      <c r="D269" s="121" t="n"/>
      <c r="E269" s="121" t="n"/>
      <c r="F269" s="121" t="n"/>
      <c r="G269" s="121" t="n"/>
      <c r="H269" s="121" t="n"/>
      <c r="I269" s="121" t="n"/>
      <c r="J269" s="122">
        <f>IF($A269="","",$B269+$C269+$D269-$E269+$F269-$G269)</f>
        <v/>
      </c>
      <c r="K269" s="122">
        <f>IF($A269="","",MAX(0,$B269-$J269))</f>
        <v/>
      </c>
      <c r="L269" s="123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</row>
    <row r="270" ht="15" customHeight="1" s="80">
      <c r="A270" s="125" t="n"/>
      <c r="B270" s="121" t="n"/>
      <c r="C270" s="121" t="n"/>
      <c r="D270" s="121" t="n"/>
      <c r="E270" s="121" t="n"/>
      <c r="F270" s="121" t="n"/>
      <c r="G270" s="121" t="n"/>
      <c r="H270" s="121" t="n"/>
      <c r="I270" s="121" t="n"/>
      <c r="J270" s="122">
        <f>IF($A270="","",$B270+$C270+$D270-$E270+$F270-$G270)</f>
        <v/>
      </c>
      <c r="K270" s="122">
        <f>IF($A270="","",MAX(0,$B270-$J270))</f>
        <v/>
      </c>
      <c r="L270" s="123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</row>
    <row r="271" ht="15" customHeight="1" s="80">
      <c r="A271" s="125" t="n"/>
      <c r="B271" s="121" t="n"/>
      <c r="C271" s="121" t="n"/>
      <c r="D271" s="121" t="n"/>
      <c r="E271" s="121" t="n"/>
      <c r="F271" s="121" t="n"/>
      <c r="G271" s="121" t="n"/>
      <c r="H271" s="121" t="n"/>
      <c r="I271" s="121" t="n"/>
      <c r="J271" s="122">
        <f>IF($A271="","",$B271+$C271+$D271-$E271+$F271-$G271)</f>
        <v/>
      </c>
      <c r="K271" s="122">
        <f>IF($A271="","",MAX(0,$B271-$J271))</f>
        <v/>
      </c>
      <c r="L271" s="123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</row>
    <row r="272" ht="15" customHeight="1" s="80">
      <c r="A272" s="125" t="n"/>
      <c r="B272" s="121" t="n"/>
      <c r="C272" s="121" t="n"/>
      <c r="D272" s="121" t="n"/>
      <c r="E272" s="121" t="n"/>
      <c r="F272" s="121" t="n"/>
      <c r="G272" s="121" t="n"/>
      <c r="H272" s="121" t="n"/>
      <c r="I272" s="121" t="n"/>
      <c r="J272" s="122">
        <f>IF($A272="","",$B272+$C272+$D272-$E272+$F272-$G272)</f>
        <v/>
      </c>
      <c r="K272" s="122">
        <f>IF($A272="","",MAX(0,$B272-$J272))</f>
        <v/>
      </c>
      <c r="L272" s="123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</row>
    <row r="273" ht="15" customHeight="1" s="80">
      <c r="A273" s="125" t="n"/>
      <c r="B273" s="121" t="n"/>
      <c r="C273" s="121" t="n"/>
      <c r="D273" s="121" t="n"/>
      <c r="E273" s="121" t="n"/>
      <c r="F273" s="121" t="n"/>
      <c r="G273" s="121" t="n"/>
      <c r="H273" s="121" t="n"/>
      <c r="I273" s="121" t="n"/>
      <c r="J273" s="122">
        <f>IF($A273="","",$B273+$C273+$D273-$E273+$F273-$G273)</f>
        <v/>
      </c>
      <c r="K273" s="122">
        <f>IF($A273="","",MAX(0,$B273-$J273))</f>
        <v/>
      </c>
      <c r="L273" s="123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</row>
    <row r="274" ht="15" customHeight="1" s="80">
      <c r="A274" s="125" t="n"/>
      <c r="B274" s="121" t="n"/>
      <c r="C274" s="121" t="n"/>
      <c r="D274" s="121" t="n"/>
      <c r="E274" s="121" t="n"/>
      <c r="F274" s="121" t="n"/>
      <c r="G274" s="121" t="n"/>
      <c r="H274" s="121" t="n"/>
      <c r="I274" s="121" t="n"/>
      <c r="J274" s="122">
        <f>IF($A274="","",$B274+$C274+$D274-$E274+$F274-$G274)</f>
        <v/>
      </c>
      <c r="K274" s="122">
        <f>IF($A274="","",MAX(0,$B274-$J274))</f>
        <v/>
      </c>
      <c r="L274" s="123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</row>
    <row r="275" ht="15" customHeight="1" s="80">
      <c r="A275" s="125" t="n"/>
      <c r="B275" s="121" t="n"/>
      <c r="C275" s="121" t="n"/>
      <c r="D275" s="121" t="n"/>
      <c r="E275" s="121" t="n"/>
      <c r="F275" s="121" t="n"/>
      <c r="G275" s="121" t="n"/>
      <c r="H275" s="121" t="n"/>
      <c r="I275" s="121" t="n"/>
      <c r="J275" s="122">
        <f>IF($A275="","",$B275+$C275+$D275-$E275+$F275-$G275)</f>
        <v/>
      </c>
      <c r="K275" s="122">
        <f>IF($A275="","",MAX(0,$B275-$J275))</f>
        <v/>
      </c>
      <c r="L275" s="123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</row>
    <row r="276" ht="15" customHeight="1" s="80">
      <c r="A276" s="125" t="n"/>
      <c r="B276" s="121" t="n"/>
      <c r="C276" s="121" t="n"/>
      <c r="D276" s="121" t="n"/>
      <c r="E276" s="121" t="n"/>
      <c r="F276" s="121" t="n"/>
      <c r="G276" s="121" t="n"/>
      <c r="H276" s="121" t="n"/>
      <c r="I276" s="121" t="n"/>
      <c r="J276" s="122">
        <f>IF($A276="","",$B276+$C276+$D276-$E276+$F276-$G276)</f>
        <v/>
      </c>
      <c r="K276" s="122">
        <f>IF($A276="","",MAX(0,$B276-$J276))</f>
        <v/>
      </c>
      <c r="L276" s="123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</row>
    <row r="277" ht="15" customHeight="1" s="80">
      <c r="A277" s="125" t="n"/>
      <c r="B277" s="121" t="n"/>
      <c r="C277" s="121" t="n"/>
      <c r="D277" s="121" t="n"/>
      <c r="E277" s="121" t="n"/>
      <c r="F277" s="121" t="n"/>
      <c r="G277" s="121" t="n"/>
      <c r="H277" s="121" t="n"/>
      <c r="I277" s="121" t="n"/>
      <c r="J277" s="122">
        <f>IF($A277="","",$B277+$C277+$D277-$E277+$F277-$G277)</f>
        <v/>
      </c>
      <c r="K277" s="122">
        <f>IF($A277="","",MAX(0,$B277-$J277))</f>
        <v/>
      </c>
      <c r="L277" s="123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</row>
    <row r="278" ht="15" customHeight="1" s="80">
      <c r="A278" s="125" t="n"/>
      <c r="B278" s="121" t="n"/>
      <c r="C278" s="121" t="n"/>
      <c r="D278" s="121" t="n"/>
      <c r="E278" s="121" t="n"/>
      <c r="F278" s="121" t="n"/>
      <c r="G278" s="121" t="n"/>
      <c r="H278" s="121" t="n"/>
      <c r="I278" s="121" t="n"/>
      <c r="J278" s="122">
        <f>IF($A278="","",$B278+$C278+$D278-$E278+$F278-$G278)</f>
        <v/>
      </c>
      <c r="K278" s="122">
        <f>IF($A278="","",MAX(0,$B278-$J278))</f>
        <v/>
      </c>
      <c r="L278" s="123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</row>
    <row r="279" ht="15" customHeight="1" s="80">
      <c r="A279" s="125" t="n"/>
      <c r="B279" s="121" t="n"/>
      <c r="C279" s="121" t="n"/>
      <c r="D279" s="121" t="n"/>
      <c r="E279" s="121" t="n"/>
      <c r="F279" s="121" t="n"/>
      <c r="G279" s="121" t="n"/>
      <c r="H279" s="121" t="n"/>
      <c r="I279" s="121" t="n"/>
      <c r="J279" s="122">
        <f>IF($A279="","",$B279+$C279+$D279-$E279+$F279-$G279)</f>
        <v/>
      </c>
      <c r="K279" s="122">
        <f>IF($A279="","",MAX(0,$B279-$J279))</f>
        <v/>
      </c>
      <c r="L279" s="123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</row>
    <row r="280" ht="15" customHeight="1" s="80">
      <c r="A280" s="125" t="n"/>
      <c r="B280" s="121" t="n"/>
      <c r="C280" s="121" t="n"/>
      <c r="D280" s="121" t="n"/>
      <c r="E280" s="121" t="n"/>
      <c r="F280" s="121" t="n"/>
      <c r="G280" s="121" t="n"/>
      <c r="H280" s="121" t="n"/>
      <c r="I280" s="121" t="n"/>
      <c r="J280" s="122">
        <f>IF($A280="","",$B280+$C280+$D280-$E280+$F280-$G280)</f>
        <v/>
      </c>
      <c r="K280" s="122">
        <f>IF($A280="","",MAX(0,$B280-$J280))</f>
        <v/>
      </c>
      <c r="L280" s="123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</row>
    <row r="281" ht="15" customHeight="1" s="80">
      <c r="A281" s="125" t="n"/>
      <c r="B281" s="121" t="n"/>
      <c r="C281" s="121" t="n"/>
      <c r="D281" s="121" t="n"/>
      <c r="E281" s="121" t="n"/>
      <c r="F281" s="121" t="n"/>
      <c r="G281" s="121" t="n"/>
      <c r="H281" s="121" t="n"/>
      <c r="I281" s="121" t="n"/>
      <c r="J281" s="122">
        <f>IF($A281="","",$B281+$C281+$D281-$E281+$F281-$G281)</f>
        <v/>
      </c>
      <c r="K281" s="122">
        <f>IF($A281="","",MAX(0,$B281-$J281))</f>
        <v/>
      </c>
      <c r="L281" s="123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</row>
    <row r="282" ht="15" customHeight="1" s="80">
      <c r="A282" s="125" t="n"/>
      <c r="B282" s="121" t="n"/>
      <c r="C282" s="121" t="n"/>
      <c r="D282" s="121" t="n"/>
      <c r="E282" s="121" t="n"/>
      <c r="F282" s="121" t="n"/>
      <c r="G282" s="121" t="n"/>
      <c r="H282" s="121" t="n"/>
      <c r="I282" s="121" t="n"/>
      <c r="J282" s="122">
        <f>IF($A282="","",$B282+$C282+$D282-$E282+$F282-$G282)</f>
        <v/>
      </c>
      <c r="K282" s="122">
        <f>IF($A282="","",MAX(0,$B282-$J282))</f>
        <v/>
      </c>
      <c r="L282" s="123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</row>
    <row r="283" ht="15" customHeight="1" s="80">
      <c r="A283" s="125" t="n"/>
      <c r="B283" s="121" t="n"/>
      <c r="C283" s="121" t="n"/>
      <c r="D283" s="121" t="n"/>
      <c r="E283" s="121" t="n"/>
      <c r="F283" s="121" t="n"/>
      <c r="G283" s="121" t="n"/>
      <c r="H283" s="121" t="n"/>
      <c r="I283" s="121" t="n"/>
      <c r="J283" s="122">
        <f>IF($A283="","",$B283+$C283+$D283-$E283+$F283-$G283)</f>
        <v/>
      </c>
      <c r="K283" s="122">
        <f>IF($A283="","",MAX(0,$B283-$J283))</f>
        <v/>
      </c>
      <c r="L283" s="123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</row>
    <row r="284" ht="15" customHeight="1" s="80">
      <c r="A284" s="125" t="n"/>
      <c r="B284" s="121" t="n"/>
      <c r="C284" s="121" t="n"/>
      <c r="D284" s="121" t="n"/>
      <c r="E284" s="121" t="n"/>
      <c r="F284" s="121" t="n"/>
      <c r="G284" s="121" t="n"/>
      <c r="H284" s="121" t="n"/>
      <c r="I284" s="121" t="n"/>
      <c r="J284" s="122">
        <f>IF($A284="","",$B284+$C284+$D284-$E284+$F284-$G284)</f>
        <v/>
      </c>
      <c r="K284" s="122">
        <f>IF($A284="","",MAX(0,$B284-$J284))</f>
        <v/>
      </c>
      <c r="L284" s="123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</row>
    <row r="285" ht="15" customHeight="1" s="80">
      <c r="A285" s="125" t="n"/>
      <c r="B285" s="121" t="n"/>
      <c r="C285" s="121" t="n"/>
      <c r="D285" s="121" t="n"/>
      <c r="E285" s="121" t="n"/>
      <c r="F285" s="121" t="n"/>
      <c r="G285" s="121" t="n"/>
      <c r="H285" s="121" t="n"/>
      <c r="I285" s="121" t="n"/>
      <c r="J285" s="122">
        <f>IF($A285="","",$B285+$C285+$D285-$E285+$F285-$G285)</f>
        <v/>
      </c>
      <c r="K285" s="122">
        <f>IF($A285="","",MAX(0,$B285-$J285))</f>
        <v/>
      </c>
      <c r="L285" s="123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</row>
    <row r="286" ht="15" customHeight="1" s="80">
      <c r="A286" s="125" t="n"/>
      <c r="B286" s="121" t="n"/>
      <c r="C286" s="121" t="n"/>
      <c r="D286" s="121" t="n"/>
      <c r="E286" s="121" t="n"/>
      <c r="F286" s="121" t="n"/>
      <c r="G286" s="121" t="n"/>
      <c r="H286" s="121" t="n"/>
      <c r="I286" s="121" t="n"/>
      <c r="J286" s="122">
        <f>IF($A286="","",$B286+$C286+$D286-$E286+$F286-$G286)</f>
        <v/>
      </c>
      <c r="K286" s="122">
        <f>IF($A286="","",MAX(0,$B286-$J286))</f>
        <v/>
      </c>
      <c r="L286" s="123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</row>
    <row r="287" ht="15" customHeight="1" s="80">
      <c r="A287" s="125" t="n"/>
      <c r="B287" s="121" t="n"/>
      <c r="C287" s="121" t="n"/>
      <c r="D287" s="121" t="n"/>
      <c r="E287" s="121" t="n"/>
      <c r="F287" s="121" t="n"/>
      <c r="G287" s="121" t="n"/>
      <c r="H287" s="121" t="n"/>
      <c r="I287" s="121" t="n"/>
      <c r="J287" s="122">
        <f>IF($A287="","",$B287+$C287+$D287-$E287+$F287-$G287)</f>
        <v/>
      </c>
      <c r="K287" s="122">
        <f>IF($A287="","",MAX(0,$B287-$J287))</f>
        <v/>
      </c>
      <c r="L287" s="123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</row>
    <row r="288" ht="15" customHeight="1" s="80">
      <c r="A288" s="125" t="n"/>
      <c r="B288" s="121" t="n"/>
      <c r="C288" s="121" t="n"/>
      <c r="D288" s="121" t="n"/>
      <c r="E288" s="121" t="n"/>
      <c r="F288" s="121" t="n"/>
      <c r="G288" s="121" t="n"/>
      <c r="H288" s="121" t="n"/>
      <c r="I288" s="121" t="n"/>
      <c r="J288" s="122">
        <f>IF($A288="","",$B288+$C288+$D288-$E288+$F288-$G288)</f>
        <v/>
      </c>
      <c r="K288" s="122">
        <f>IF($A288="","",MAX(0,$B288-$J288))</f>
        <v/>
      </c>
      <c r="L288" s="123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</row>
    <row r="289" ht="15" customHeight="1" s="80">
      <c r="A289" s="125" t="n"/>
      <c r="B289" s="121" t="n"/>
      <c r="C289" s="121" t="n"/>
      <c r="D289" s="121" t="n"/>
      <c r="E289" s="121" t="n"/>
      <c r="F289" s="121" t="n"/>
      <c r="G289" s="121" t="n"/>
      <c r="H289" s="121" t="n"/>
      <c r="I289" s="121" t="n"/>
      <c r="J289" s="122">
        <f>IF($A289="","",$B289+$C289+$D289-$E289+$F289-$G289)</f>
        <v/>
      </c>
      <c r="K289" s="122">
        <f>IF($A289="","",MAX(0,$B289-$J289))</f>
        <v/>
      </c>
      <c r="L289" s="123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</row>
    <row r="290" ht="15" customHeight="1" s="80">
      <c r="A290" s="125" t="n"/>
      <c r="B290" s="121" t="n"/>
      <c r="C290" s="121" t="n"/>
      <c r="D290" s="121" t="n"/>
      <c r="E290" s="121" t="n"/>
      <c r="F290" s="121" t="n"/>
      <c r="G290" s="121" t="n"/>
      <c r="H290" s="121" t="n"/>
      <c r="I290" s="121" t="n"/>
      <c r="J290" s="122">
        <f>IF($A290="","",$B290+$C290+$D290-$E290+$F290-$G290)</f>
        <v/>
      </c>
      <c r="K290" s="122">
        <f>IF($A290="","",MAX(0,$B290-$J290))</f>
        <v/>
      </c>
      <c r="L290" s="123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</row>
    <row r="291" ht="15" customHeight="1" s="80">
      <c r="A291" s="125" t="n"/>
      <c r="B291" s="121" t="n"/>
      <c r="C291" s="121" t="n"/>
      <c r="D291" s="121" t="n"/>
      <c r="E291" s="121" t="n"/>
      <c r="F291" s="121" t="n"/>
      <c r="G291" s="121" t="n"/>
      <c r="H291" s="121" t="n"/>
      <c r="I291" s="121" t="n"/>
      <c r="J291" s="122">
        <f>IF($A291="","",$B291+$C291+$D291-$E291+$F291-$G291)</f>
        <v/>
      </c>
      <c r="K291" s="122">
        <f>IF($A291="","",MAX(0,$B291-$J291))</f>
        <v/>
      </c>
      <c r="L291" s="123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</row>
    <row r="292" ht="15" customHeight="1" s="80">
      <c r="A292" s="125" t="n"/>
      <c r="B292" s="121" t="n"/>
      <c r="C292" s="121" t="n"/>
      <c r="D292" s="121" t="n"/>
      <c r="E292" s="121" t="n"/>
      <c r="F292" s="121" t="n"/>
      <c r="G292" s="121" t="n"/>
      <c r="H292" s="121" t="n"/>
      <c r="I292" s="121" t="n"/>
      <c r="J292" s="122">
        <f>IF($A292="","",$B292+$C292+$D292-$E292+$F292-$G292)</f>
        <v/>
      </c>
      <c r="K292" s="122">
        <f>IF($A292="","",MAX(0,$B292-$J292))</f>
        <v/>
      </c>
      <c r="L292" s="123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</row>
    <row r="293" ht="15" customHeight="1" s="80">
      <c r="A293" s="125" t="n"/>
      <c r="B293" s="121" t="n"/>
      <c r="C293" s="121" t="n"/>
      <c r="D293" s="121" t="n"/>
      <c r="E293" s="121" t="n"/>
      <c r="F293" s="121" t="n"/>
      <c r="G293" s="121" t="n"/>
      <c r="H293" s="121" t="n"/>
      <c r="I293" s="121" t="n"/>
      <c r="J293" s="122">
        <f>IF($A293="","",$B293+$C293+$D293-$E293+$F293-$G293)</f>
        <v/>
      </c>
      <c r="K293" s="122">
        <f>IF($A293="","",MAX(0,$B293-$J293))</f>
        <v/>
      </c>
      <c r="L293" s="123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</row>
    <row r="294" ht="15" customHeight="1" s="80">
      <c r="A294" s="125" t="n"/>
      <c r="B294" s="121" t="n"/>
      <c r="C294" s="121" t="n"/>
      <c r="D294" s="121" t="n"/>
      <c r="E294" s="121" t="n"/>
      <c r="F294" s="121" t="n"/>
      <c r="G294" s="121" t="n"/>
      <c r="H294" s="121" t="n"/>
      <c r="I294" s="121" t="n"/>
      <c r="J294" s="122">
        <f>IF($A294="","",$B294+$C294+$D294-$E294+$F294-$G294)</f>
        <v/>
      </c>
      <c r="K294" s="122">
        <f>IF($A294="","",MAX(0,$B294-$J294))</f>
        <v/>
      </c>
      <c r="L294" s="123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</row>
    <row r="295" ht="15" customHeight="1" s="80">
      <c r="A295" s="125" t="n"/>
      <c r="B295" s="121" t="n"/>
      <c r="C295" s="121" t="n"/>
      <c r="D295" s="121" t="n"/>
      <c r="E295" s="121" t="n"/>
      <c r="F295" s="121" t="n"/>
      <c r="G295" s="121" t="n"/>
      <c r="H295" s="121" t="n"/>
      <c r="I295" s="121" t="n"/>
      <c r="J295" s="122">
        <f>IF($A295="","",$B295+$C295+$D295-$E295+$F295-$G295)</f>
        <v/>
      </c>
      <c r="K295" s="122">
        <f>IF($A295="","",MAX(0,$B295-$J295))</f>
        <v/>
      </c>
      <c r="L295" s="123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</row>
    <row r="296" ht="15" customHeight="1" s="80">
      <c r="A296" s="125" t="n"/>
      <c r="B296" s="121" t="n"/>
      <c r="C296" s="121" t="n"/>
      <c r="D296" s="121" t="n"/>
      <c r="E296" s="121" t="n"/>
      <c r="F296" s="121" t="n"/>
      <c r="G296" s="121" t="n"/>
      <c r="H296" s="121" t="n"/>
      <c r="I296" s="121" t="n"/>
      <c r="J296" s="122">
        <f>IF($A296="","",$B296+$C296+$D296-$E296+$F296-$G296)</f>
        <v/>
      </c>
      <c r="K296" s="122">
        <f>IF($A296="","",MAX(0,$B296-$J296))</f>
        <v/>
      </c>
      <c r="L296" s="123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</row>
    <row r="297" ht="15" customHeight="1" s="80">
      <c r="A297" s="125" t="n"/>
      <c r="B297" s="121" t="n"/>
      <c r="C297" s="121" t="n"/>
      <c r="D297" s="121" t="n"/>
      <c r="E297" s="121" t="n"/>
      <c r="F297" s="121" t="n"/>
      <c r="G297" s="121" t="n"/>
      <c r="H297" s="121" t="n"/>
      <c r="I297" s="121" t="n"/>
      <c r="J297" s="122">
        <f>IF($A297="","",$B297+$C297+$D297-$E297+$F297-$G297)</f>
        <v/>
      </c>
      <c r="K297" s="122">
        <f>IF($A297="","",MAX(0,$B297-$J297))</f>
        <v/>
      </c>
      <c r="L297" s="123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</row>
    <row r="298" ht="15" customHeight="1" s="80">
      <c r="A298" s="125" t="n"/>
      <c r="B298" s="121" t="n"/>
      <c r="C298" s="121" t="n"/>
      <c r="D298" s="121" t="n"/>
      <c r="E298" s="121" t="n"/>
      <c r="F298" s="121" t="n"/>
      <c r="G298" s="121" t="n"/>
      <c r="H298" s="121" t="n"/>
      <c r="I298" s="121" t="n"/>
      <c r="J298" s="122">
        <f>IF($A298="","",$B298+$C298+$D298-$E298+$F298-$G298)</f>
        <v/>
      </c>
      <c r="K298" s="122">
        <f>IF($A298="","",MAX(0,$B298-$J298))</f>
        <v/>
      </c>
      <c r="L298" s="123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</row>
    <row r="299" ht="15" customHeight="1" s="80">
      <c r="A299" s="125" t="n"/>
      <c r="B299" s="121" t="n"/>
      <c r="C299" s="121" t="n"/>
      <c r="D299" s="121" t="n"/>
      <c r="E299" s="121" t="n"/>
      <c r="F299" s="121" t="n"/>
      <c r="G299" s="121" t="n"/>
      <c r="H299" s="121" t="n"/>
      <c r="I299" s="121" t="n"/>
      <c r="J299" s="122">
        <f>IF($A299="","",$B299+$C299+$D299-$E299+$F299-$G299)</f>
        <v/>
      </c>
      <c r="K299" s="122">
        <f>IF($A299="","",MAX(0,$B299-$J299))</f>
        <v/>
      </c>
      <c r="L299" s="123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</row>
    <row r="300" ht="15" customHeight="1" s="80">
      <c r="A300" s="125" t="n"/>
      <c r="B300" s="121" t="n"/>
      <c r="C300" s="121" t="n"/>
      <c r="D300" s="121" t="n"/>
      <c r="E300" s="121" t="n"/>
      <c r="F300" s="121" t="n"/>
      <c r="G300" s="121" t="n"/>
      <c r="H300" s="121" t="n"/>
      <c r="I300" s="121" t="n"/>
      <c r="J300" s="122">
        <f>IF($A300="","",$B300+$C300+$D300-$E300+$F300-$G300)</f>
        <v/>
      </c>
      <c r="K300" s="122">
        <f>IF($A300="","",MAX(0,$B300-$J300))</f>
        <v/>
      </c>
      <c r="L300" s="123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</row>
    <row r="301" ht="15" customHeight="1" s="80">
      <c r="A301" s="125" t="n"/>
      <c r="B301" s="121" t="n"/>
      <c r="C301" s="121" t="n"/>
      <c r="D301" s="121" t="n"/>
      <c r="E301" s="121" t="n"/>
      <c r="F301" s="121" t="n"/>
      <c r="G301" s="121" t="n"/>
      <c r="H301" s="121" t="n"/>
      <c r="I301" s="121" t="n"/>
      <c r="J301" s="122">
        <f>IF($A301="","",$B301+$C301+$D301-$E301+$F301-$G301)</f>
        <v/>
      </c>
      <c r="K301" s="122">
        <f>IF($A301="","",MAX(0,$B301-$J301))</f>
        <v/>
      </c>
      <c r="L301" s="123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</row>
    <row r="302" ht="15" customHeight="1" s="80">
      <c r="A302" s="125" t="n"/>
      <c r="B302" s="121" t="n"/>
      <c r="C302" s="121" t="n"/>
      <c r="D302" s="121" t="n"/>
      <c r="E302" s="121" t="n"/>
      <c r="F302" s="121" t="n"/>
      <c r="G302" s="121" t="n"/>
      <c r="H302" s="121" t="n"/>
      <c r="I302" s="121" t="n"/>
      <c r="J302" s="122">
        <f>IF($A302="","",$B302+$C302+$D302-$E302+$F302-$G302)</f>
        <v/>
      </c>
      <c r="K302" s="122">
        <f>IF($A302="","",MAX(0,$B302-$J302))</f>
        <v/>
      </c>
      <c r="L302" s="123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</row>
    <row r="303" ht="15" customHeight="1" s="80">
      <c r="A303" s="125" t="n"/>
      <c r="B303" s="121" t="n"/>
      <c r="C303" s="121" t="n"/>
      <c r="D303" s="121" t="n"/>
      <c r="E303" s="121" t="n"/>
      <c r="F303" s="121" t="n"/>
      <c r="G303" s="121" t="n"/>
      <c r="H303" s="121" t="n"/>
      <c r="I303" s="121" t="n"/>
      <c r="J303" s="122">
        <f>IF($A303="","",$B303+$C303+$D303-$E303+$F303-$G303)</f>
        <v/>
      </c>
      <c r="K303" s="122">
        <f>IF($A303="","",MAX(0,$B303-$J303))</f>
        <v/>
      </c>
      <c r="L303" s="123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</row>
    <row r="304" ht="15" customHeight="1" s="80">
      <c r="A304" s="125" t="n"/>
      <c r="B304" s="121" t="n"/>
      <c r="C304" s="121" t="n"/>
      <c r="D304" s="121" t="n"/>
      <c r="E304" s="121" t="n"/>
      <c r="F304" s="121" t="n"/>
      <c r="G304" s="121" t="n"/>
      <c r="H304" s="121" t="n"/>
      <c r="I304" s="121" t="n"/>
      <c r="J304" s="122">
        <f>IF($A304="","",$B304+$C304+$D304-$E304+$F304-$G304)</f>
        <v/>
      </c>
      <c r="K304" s="122">
        <f>IF($A304="","",MAX(0,$B304-$J304))</f>
        <v/>
      </c>
      <c r="L304" s="123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</row>
    <row r="305" ht="15" customHeight="1" s="80">
      <c r="A305" s="125" t="n"/>
      <c r="B305" s="121" t="n"/>
      <c r="C305" s="121" t="n"/>
      <c r="D305" s="121" t="n"/>
      <c r="E305" s="121" t="n"/>
      <c r="F305" s="121" t="n"/>
      <c r="G305" s="121" t="n"/>
      <c r="H305" s="121" t="n"/>
      <c r="I305" s="121" t="n"/>
      <c r="J305" s="122">
        <f>IF($A305="","",$B305+$C305+$D305-$E305+$F305-$G305)</f>
        <v/>
      </c>
      <c r="K305" s="122">
        <f>IF($A305="","",MAX(0,$B305-$J305))</f>
        <v/>
      </c>
      <c r="L305" s="123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</row>
    <row r="306" ht="15" customHeight="1" s="80">
      <c r="A306" s="125" t="n"/>
      <c r="B306" s="121" t="n"/>
      <c r="C306" s="121" t="n"/>
      <c r="D306" s="121" t="n"/>
      <c r="E306" s="121" t="n"/>
      <c r="F306" s="121" t="n"/>
      <c r="G306" s="121" t="n"/>
      <c r="H306" s="121" t="n"/>
      <c r="I306" s="121" t="n"/>
      <c r="J306" s="122">
        <f>IF($A306="","",$B306+$C306+$D306-$E306+$F306-$G306)</f>
        <v/>
      </c>
      <c r="K306" s="122">
        <f>IF($A306="","",MAX(0,$B306-$J306))</f>
        <v/>
      </c>
      <c r="L306" s="123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</row>
    <row r="307" ht="15" customHeight="1" s="80">
      <c r="A307" s="125" t="n"/>
      <c r="B307" s="121" t="n"/>
      <c r="C307" s="121" t="n"/>
      <c r="D307" s="121" t="n"/>
      <c r="E307" s="121" t="n"/>
      <c r="F307" s="121" t="n"/>
      <c r="G307" s="121" t="n"/>
      <c r="H307" s="121" t="n"/>
      <c r="I307" s="121" t="n"/>
      <c r="J307" s="122">
        <f>IF($A307="","",$B307+$C307+$D307-$E307+$F307-$G307)</f>
        <v/>
      </c>
      <c r="K307" s="122">
        <f>IF($A307="","",MAX(0,$B307-$J307))</f>
        <v/>
      </c>
      <c r="L307" s="123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</row>
    <row r="308" ht="15" customHeight="1" s="80">
      <c r="A308" s="125" t="n"/>
      <c r="B308" s="121" t="n"/>
      <c r="C308" s="121" t="n"/>
      <c r="D308" s="121" t="n"/>
      <c r="E308" s="121" t="n"/>
      <c r="F308" s="121" t="n"/>
      <c r="G308" s="121" t="n"/>
      <c r="H308" s="121" t="n"/>
      <c r="I308" s="121" t="n"/>
      <c r="J308" s="122">
        <f>IF($A308="","",$B308+$C308+$D308-$E308+$F308-$G308)</f>
        <v/>
      </c>
      <c r="K308" s="122">
        <f>IF($A308="","",MAX(0,$B308-$J308))</f>
        <v/>
      </c>
      <c r="L308" s="123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</row>
    <row r="309" ht="15" customHeight="1" s="80">
      <c r="A309" s="125" t="n"/>
      <c r="B309" s="121" t="n"/>
      <c r="C309" s="121" t="n"/>
      <c r="D309" s="121" t="n"/>
      <c r="E309" s="121" t="n"/>
      <c r="F309" s="121" t="n"/>
      <c r="G309" s="121" t="n"/>
      <c r="H309" s="121" t="n"/>
      <c r="I309" s="121" t="n"/>
      <c r="J309" s="122">
        <f>IF($A309="","",$B309+$C309+$D309-$E309+$F309-$G309)</f>
        <v/>
      </c>
      <c r="K309" s="122">
        <f>IF($A309="","",MAX(0,$B309-$J309))</f>
        <v/>
      </c>
      <c r="L309" s="123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</row>
    <row r="310" ht="15" customHeight="1" s="80">
      <c r="A310" s="125" t="n"/>
      <c r="B310" s="121" t="n"/>
      <c r="C310" s="121" t="n"/>
      <c r="D310" s="121" t="n"/>
      <c r="E310" s="121" t="n"/>
      <c r="F310" s="121" t="n"/>
      <c r="G310" s="121" t="n"/>
      <c r="H310" s="121" t="n"/>
      <c r="I310" s="121" t="n"/>
      <c r="J310" s="122">
        <f>IF($A310="","",$B310+$C310+$D310-$E310+$F310-$G310)</f>
        <v/>
      </c>
      <c r="K310" s="122">
        <f>IF($A310="","",MAX(0,$B310-$J310))</f>
        <v/>
      </c>
      <c r="L310" s="123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</row>
    <row r="311" ht="15" customHeight="1" s="80">
      <c r="A311" s="125" t="n"/>
      <c r="B311" s="121" t="n"/>
      <c r="C311" s="121" t="n"/>
      <c r="D311" s="121" t="n"/>
      <c r="E311" s="121" t="n"/>
      <c r="F311" s="121" t="n"/>
      <c r="G311" s="121" t="n"/>
      <c r="H311" s="121" t="n"/>
      <c r="I311" s="121" t="n"/>
      <c r="J311" s="122">
        <f>IF($A311="","",$B311+$C311+$D311-$E311+$F311-$G311)</f>
        <v/>
      </c>
      <c r="K311" s="122">
        <f>IF($A311="","",MAX(0,$B311-$J311))</f>
        <v/>
      </c>
      <c r="L311" s="123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</row>
    <row r="312" ht="15" customHeight="1" s="80">
      <c r="A312" s="125" t="n"/>
      <c r="B312" s="121" t="n"/>
      <c r="C312" s="121" t="n"/>
      <c r="D312" s="121" t="n"/>
      <c r="E312" s="121" t="n"/>
      <c r="F312" s="121" t="n"/>
      <c r="G312" s="121" t="n"/>
      <c r="H312" s="121" t="n"/>
      <c r="I312" s="121" t="n"/>
      <c r="J312" s="122">
        <f>IF($A312="","",$B312+$C312+$D312-$E312+$F312-$G312)</f>
        <v/>
      </c>
      <c r="K312" s="122">
        <f>IF($A312="","",MAX(0,$B312-$J312))</f>
        <v/>
      </c>
      <c r="L312" s="123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</row>
    <row r="313" ht="15" customHeight="1" s="80">
      <c r="A313" s="125" t="n"/>
      <c r="B313" s="121" t="n"/>
      <c r="C313" s="121" t="n"/>
      <c r="D313" s="121" t="n"/>
      <c r="E313" s="121" t="n"/>
      <c r="F313" s="121" t="n"/>
      <c r="G313" s="121" t="n"/>
      <c r="H313" s="121" t="n"/>
      <c r="I313" s="121" t="n"/>
      <c r="J313" s="122">
        <f>IF($A313="","",$B313+$C313+$D313-$E313+$F313-$G313)</f>
        <v/>
      </c>
      <c r="K313" s="122">
        <f>IF($A313="","",MAX(0,$B313-$J313))</f>
        <v/>
      </c>
      <c r="L313" s="123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</row>
    <row r="314" ht="15" customHeight="1" s="80">
      <c r="A314" s="125" t="n"/>
      <c r="B314" s="121" t="n"/>
      <c r="C314" s="121" t="n"/>
      <c r="D314" s="121" t="n"/>
      <c r="E314" s="121" t="n"/>
      <c r="F314" s="121" t="n"/>
      <c r="G314" s="121" t="n"/>
      <c r="H314" s="121" t="n"/>
      <c r="I314" s="121" t="n"/>
      <c r="J314" s="122">
        <f>IF($A314="","",$B314+$C314+$D314-$E314+$F314-$G314)</f>
        <v/>
      </c>
      <c r="K314" s="122">
        <f>IF($A314="","",MAX(0,$B314-$J314))</f>
        <v/>
      </c>
      <c r="L314" s="123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</row>
    <row r="315" ht="15" customHeight="1" s="80">
      <c r="A315" s="125" t="n"/>
      <c r="B315" s="121" t="n"/>
      <c r="C315" s="121" t="n"/>
      <c r="D315" s="121" t="n"/>
      <c r="E315" s="121" t="n"/>
      <c r="F315" s="121" t="n"/>
      <c r="G315" s="121" t="n"/>
      <c r="H315" s="121" t="n"/>
      <c r="I315" s="121" t="n"/>
      <c r="J315" s="122">
        <f>IF($A315="","",$B315+$C315+$D315-$E315+$F315-$G315)</f>
        <v/>
      </c>
      <c r="K315" s="122">
        <f>IF($A315="","",MAX(0,$B315-$J315))</f>
        <v/>
      </c>
      <c r="L315" s="123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</row>
    <row r="316" ht="15" customHeight="1" s="80">
      <c r="A316" s="125" t="n"/>
      <c r="B316" s="121" t="n"/>
      <c r="C316" s="121" t="n"/>
      <c r="D316" s="121" t="n"/>
      <c r="E316" s="121" t="n"/>
      <c r="F316" s="121" t="n"/>
      <c r="G316" s="121" t="n"/>
      <c r="H316" s="121" t="n"/>
      <c r="I316" s="121" t="n"/>
      <c r="J316" s="122">
        <f>IF($A316="","",$B316+$C316+$D316-$E316+$F316-$G316)</f>
        <v/>
      </c>
      <c r="K316" s="122">
        <f>IF($A316="","",MAX(0,$B316-$J316))</f>
        <v/>
      </c>
      <c r="L316" s="123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</row>
    <row r="317" ht="15" customHeight="1" s="80">
      <c r="A317" s="125" t="n"/>
      <c r="B317" s="121" t="n"/>
      <c r="C317" s="121" t="n"/>
      <c r="D317" s="121" t="n"/>
      <c r="E317" s="121" t="n"/>
      <c r="F317" s="121" t="n"/>
      <c r="G317" s="121" t="n"/>
      <c r="H317" s="121" t="n"/>
      <c r="I317" s="121" t="n"/>
      <c r="J317" s="122">
        <f>IF($A317="","",$B317+$C317+$D317-$E317+$F317-$G317)</f>
        <v/>
      </c>
      <c r="K317" s="122">
        <f>IF($A317="","",MAX(0,$B317-$J317))</f>
        <v/>
      </c>
      <c r="L317" s="123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</row>
    <row r="318" ht="15" customHeight="1" s="80">
      <c r="A318" s="125" t="n"/>
      <c r="B318" s="121" t="n"/>
      <c r="C318" s="121" t="n"/>
      <c r="D318" s="121" t="n"/>
      <c r="E318" s="121" t="n"/>
      <c r="F318" s="121" t="n"/>
      <c r="G318" s="121" t="n"/>
      <c r="H318" s="121" t="n"/>
      <c r="I318" s="121" t="n"/>
      <c r="J318" s="122">
        <f>IF($A318="","",$B318+$C318+$D318-$E318+$F318-$G318)</f>
        <v/>
      </c>
      <c r="K318" s="122">
        <f>IF($A318="","",MAX(0,$B318-$J318))</f>
        <v/>
      </c>
      <c r="L318" s="123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</row>
    <row r="319" ht="15" customHeight="1" s="80">
      <c r="A319" s="125" t="n"/>
      <c r="B319" s="121" t="n"/>
      <c r="C319" s="121" t="n"/>
      <c r="D319" s="121" t="n"/>
      <c r="E319" s="121" t="n"/>
      <c r="F319" s="121" t="n"/>
      <c r="G319" s="121" t="n"/>
      <c r="H319" s="121" t="n"/>
      <c r="I319" s="121" t="n"/>
      <c r="J319" s="122">
        <f>IF($A319="","",$B319+$C319+$D319-$E319+$F319-$G319)</f>
        <v/>
      </c>
      <c r="K319" s="122">
        <f>IF($A319="","",MAX(0,$B319-$J319))</f>
        <v/>
      </c>
      <c r="L319" s="123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</row>
    <row r="320" ht="15" customHeight="1" s="80">
      <c r="A320" s="125" t="n"/>
      <c r="B320" s="121" t="n"/>
      <c r="C320" s="121" t="n"/>
      <c r="D320" s="121" t="n"/>
      <c r="E320" s="121" t="n"/>
      <c r="F320" s="121" t="n"/>
      <c r="G320" s="121" t="n"/>
      <c r="H320" s="121" t="n"/>
      <c r="I320" s="121" t="n"/>
      <c r="J320" s="122">
        <f>IF($A320="","",$B320+$C320+$D320-$E320+$F320-$G320)</f>
        <v/>
      </c>
      <c r="K320" s="122">
        <f>IF($A320="","",MAX(0,$B320-$J320))</f>
        <v/>
      </c>
      <c r="L320" s="123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</row>
    <row r="321" ht="15" customHeight="1" s="80">
      <c r="A321" s="125" t="n"/>
      <c r="B321" s="121" t="n"/>
      <c r="C321" s="121" t="n"/>
      <c r="D321" s="121" t="n"/>
      <c r="E321" s="121" t="n"/>
      <c r="F321" s="121" t="n"/>
      <c r="G321" s="121" t="n"/>
      <c r="H321" s="121" t="n"/>
      <c r="I321" s="121" t="n"/>
      <c r="J321" s="122">
        <f>IF($A321="","",$B321+$C321+$D321-$E321+$F321-$G321)</f>
        <v/>
      </c>
      <c r="K321" s="122">
        <f>IF($A321="","",MAX(0,$B321-$J321))</f>
        <v/>
      </c>
      <c r="L321" s="123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</row>
    <row r="322" ht="15" customHeight="1" s="80">
      <c r="A322" s="125" t="n"/>
      <c r="B322" s="121" t="n"/>
      <c r="C322" s="121" t="n"/>
      <c r="D322" s="121" t="n"/>
      <c r="E322" s="121" t="n"/>
      <c r="F322" s="121" t="n"/>
      <c r="G322" s="121" t="n"/>
      <c r="H322" s="121" t="n"/>
      <c r="I322" s="121" t="n"/>
      <c r="J322" s="122">
        <f>IF($A322="","",$B322+$C322+$D322-$E322+$F322-$G322)</f>
        <v/>
      </c>
      <c r="K322" s="122">
        <f>IF($A322="","",MAX(0,$B322-$J322))</f>
        <v/>
      </c>
      <c r="L322" s="123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</row>
    <row r="323" ht="15" customHeight="1" s="80">
      <c r="A323" s="125" t="n"/>
      <c r="B323" s="121" t="n"/>
      <c r="C323" s="121" t="n"/>
      <c r="D323" s="121" t="n"/>
      <c r="E323" s="121" t="n"/>
      <c r="F323" s="121" t="n"/>
      <c r="G323" s="121" t="n"/>
      <c r="H323" s="121" t="n"/>
      <c r="I323" s="121" t="n"/>
      <c r="J323" s="122">
        <f>IF($A323="","",$B323+$C323+$D323-$E323+$F323-$G323)</f>
        <v/>
      </c>
      <c r="K323" s="122">
        <f>IF($A323="","",MAX(0,$B323-$J323))</f>
        <v/>
      </c>
      <c r="L323" s="123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</row>
    <row r="324" ht="15" customHeight="1" s="80">
      <c r="A324" s="125" t="n"/>
      <c r="B324" s="121" t="n"/>
      <c r="C324" s="121" t="n"/>
      <c r="D324" s="121" t="n"/>
      <c r="E324" s="121" t="n"/>
      <c r="F324" s="121" t="n"/>
      <c r="G324" s="121" t="n"/>
      <c r="H324" s="121" t="n"/>
      <c r="I324" s="121" t="n"/>
      <c r="J324" s="122">
        <f>IF($A324="","",$B324+$C324+$D324-$E324+$F324-$G324)</f>
        <v/>
      </c>
      <c r="K324" s="122">
        <f>IF($A324="","",MAX(0,$B324-$J324))</f>
        <v/>
      </c>
      <c r="L324" s="123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</row>
    <row r="325" ht="15" customHeight="1" s="80">
      <c r="A325" s="125" t="n"/>
      <c r="B325" s="121" t="n"/>
      <c r="C325" s="121" t="n"/>
      <c r="D325" s="121" t="n"/>
      <c r="E325" s="121" t="n"/>
      <c r="F325" s="121" t="n"/>
      <c r="G325" s="121" t="n"/>
      <c r="H325" s="121" t="n"/>
      <c r="I325" s="121" t="n"/>
      <c r="J325" s="122">
        <f>IF($A325="","",$B325+$C325+$D325-$E325+$F325-$G325)</f>
        <v/>
      </c>
      <c r="K325" s="122">
        <f>IF($A325="","",MAX(0,$B325-$J325))</f>
        <v/>
      </c>
      <c r="L325" s="123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</row>
    <row r="326" ht="15" customHeight="1" s="80">
      <c r="A326" s="125" t="n"/>
      <c r="B326" s="121" t="n"/>
      <c r="C326" s="121" t="n"/>
      <c r="D326" s="121" t="n"/>
      <c r="E326" s="121" t="n"/>
      <c r="F326" s="121" t="n"/>
      <c r="G326" s="121" t="n"/>
      <c r="H326" s="121" t="n"/>
      <c r="I326" s="121" t="n"/>
      <c r="J326" s="122">
        <f>IF($A326="","",$B326+$C326+$D326-$E326+$F326-$G326)</f>
        <v/>
      </c>
      <c r="K326" s="122">
        <f>IF($A326="","",MAX(0,$B326-$J326))</f>
        <v/>
      </c>
      <c r="L326" s="123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</row>
    <row r="327" ht="15" customHeight="1" s="80">
      <c r="A327" s="125" t="n"/>
      <c r="B327" s="121" t="n"/>
      <c r="C327" s="121" t="n"/>
      <c r="D327" s="121" t="n"/>
      <c r="E327" s="121" t="n"/>
      <c r="F327" s="121" t="n"/>
      <c r="G327" s="121" t="n"/>
      <c r="H327" s="121" t="n"/>
      <c r="I327" s="121" t="n"/>
      <c r="J327" s="122">
        <f>IF($A327="","",$B327+$C327+$D327-$E327+$F327-$G327)</f>
        <v/>
      </c>
      <c r="K327" s="122">
        <f>IF($A327="","",MAX(0,$B327-$J327))</f>
        <v/>
      </c>
      <c r="L327" s="123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</row>
    <row r="328" ht="15" customHeight="1" s="80">
      <c r="A328" s="125" t="n"/>
      <c r="B328" s="121" t="n"/>
      <c r="C328" s="121" t="n"/>
      <c r="D328" s="121" t="n"/>
      <c r="E328" s="121" t="n"/>
      <c r="F328" s="121" t="n"/>
      <c r="G328" s="121" t="n"/>
      <c r="H328" s="121" t="n"/>
      <c r="I328" s="121" t="n"/>
      <c r="J328" s="122">
        <f>IF($A328="","",$B328+$C328+$D328-$E328+$F328-$G328)</f>
        <v/>
      </c>
      <c r="K328" s="122">
        <f>IF($A328="","",MAX(0,$B328-$J328))</f>
        <v/>
      </c>
      <c r="L328" s="123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</row>
    <row r="329" ht="15" customHeight="1" s="80">
      <c r="A329" s="125" t="n"/>
      <c r="B329" s="121" t="n"/>
      <c r="C329" s="121" t="n"/>
      <c r="D329" s="121" t="n"/>
      <c r="E329" s="121" t="n"/>
      <c r="F329" s="121" t="n"/>
      <c r="G329" s="121" t="n"/>
      <c r="H329" s="121" t="n"/>
      <c r="I329" s="121" t="n"/>
      <c r="J329" s="122">
        <f>IF($A329="","",$B329+$C329+$D329-$E329+$F329-$G329)</f>
        <v/>
      </c>
      <c r="K329" s="122">
        <f>IF($A329="","",MAX(0,$B329-$J329))</f>
        <v/>
      </c>
      <c r="L329" s="123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</row>
    <row r="330" ht="15" customHeight="1" s="80">
      <c r="A330" s="125" t="n"/>
      <c r="B330" s="121" t="n"/>
      <c r="C330" s="121" t="n"/>
      <c r="D330" s="121" t="n"/>
      <c r="E330" s="121" t="n"/>
      <c r="F330" s="121" t="n"/>
      <c r="G330" s="121" t="n"/>
      <c r="H330" s="121" t="n"/>
      <c r="I330" s="121" t="n"/>
      <c r="J330" s="122">
        <f>IF($A330="","",$B330+$C330+$D330-$E330+$F330-$G330)</f>
        <v/>
      </c>
      <c r="K330" s="122">
        <f>IF($A330="","",MAX(0,$B330-$J330))</f>
        <v/>
      </c>
      <c r="L330" s="123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</row>
    <row r="331" ht="15" customHeight="1" s="80">
      <c r="A331" s="125" t="n"/>
      <c r="B331" s="121" t="n"/>
      <c r="C331" s="121" t="n"/>
      <c r="D331" s="121" t="n"/>
      <c r="E331" s="121" t="n"/>
      <c r="F331" s="121" t="n"/>
      <c r="G331" s="121" t="n"/>
      <c r="H331" s="121" t="n"/>
      <c r="I331" s="121" t="n"/>
      <c r="J331" s="122">
        <f>IF($A331="","",$B331+$C331+$D331-$E331+$F331-$G331)</f>
        <v/>
      </c>
      <c r="K331" s="122">
        <f>IF($A331="","",MAX(0,$B331-$J331))</f>
        <v/>
      </c>
      <c r="L331" s="123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</row>
    <row r="332" ht="15" customHeight="1" s="80">
      <c r="A332" s="125" t="n"/>
      <c r="B332" s="121" t="n"/>
      <c r="C332" s="121" t="n"/>
      <c r="D332" s="121" t="n"/>
      <c r="E332" s="121" t="n"/>
      <c r="F332" s="121" t="n"/>
      <c r="G332" s="121" t="n"/>
      <c r="H332" s="121" t="n"/>
      <c r="I332" s="121" t="n"/>
      <c r="J332" s="122">
        <f>IF($A332="","",$B332+$C332+$D332-$E332+$F332-$G332)</f>
        <v/>
      </c>
      <c r="K332" s="122">
        <f>IF($A332="","",MAX(0,$B332-$J332))</f>
        <v/>
      </c>
      <c r="L332" s="123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</row>
    <row r="333" ht="15" customHeight="1" s="80">
      <c r="A333" s="125" t="n"/>
      <c r="B333" s="121" t="n"/>
      <c r="C333" s="121" t="n"/>
      <c r="D333" s="121" t="n"/>
      <c r="E333" s="121" t="n"/>
      <c r="F333" s="121" t="n"/>
      <c r="G333" s="121" t="n"/>
      <c r="H333" s="121" t="n"/>
      <c r="I333" s="121" t="n"/>
      <c r="J333" s="122">
        <f>IF($A333="","",$B333+$C333+$D333-$E333+$F333-$G333)</f>
        <v/>
      </c>
      <c r="K333" s="122">
        <f>IF($A333="","",MAX(0,$B333-$J333))</f>
        <v/>
      </c>
      <c r="L333" s="123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</row>
    <row r="334" ht="15" customHeight="1" s="80">
      <c r="A334" s="125" t="n"/>
      <c r="B334" s="121" t="n"/>
      <c r="C334" s="121" t="n"/>
      <c r="D334" s="121" t="n"/>
      <c r="E334" s="121" t="n"/>
      <c r="F334" s="121" t="n"/>
      <c r="G334" s="121" t="n"/>
      <c r="H334" s="121" t="n"/>
      <c r="I334" s="121" t="n"/>
      <c r="J334" s="122">
        <f>IF($A334="","",$B334+$C334+$D334-$E334+$F334-$G334)</f>
        <v/>
      </c>
      <c r="K334" s="122">
        <f>IF($A334="","",MAX(0,$B334-$J334))</f>
        <v/>
      </c>
      <c r="L334" s="123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</row>
    <row r="335" ht="15" customHeight="1" s="80">
      <c r="A335" s="125" t="n"/>
      <c r="B335" s="121" t="n"/>
      <c r="C335" s="121" t="n"/>
      <c r="D335" s="121" t="n"/>
      <c r="E335" s="121" t="n"/>
      <c r="F335" s="121" t="n"/>
      <c r="G335" s="121" t="n"/>
      <c r="H335" s="121" t="n"/>
      <c r="I335" s="121" t="n"/>
      <c r="J335" s="122">
        <f>IF($A335="","",$B335+$C335+$D335-$E335+$F335-$G335)</f>
        <v/>
      </c>
      <c r="K335" s="122">
        <f>IF($A335="","",MAX(0,$B335-$J335))</f>
        <v/>
      </c>
      <c r="L335" s="123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</row>
    <row r="336" ht="15" customHeight="1" s="80">
      <c r="A336" s="125" t="n"/>
      <c r="B336" s="121" t="n"/>
      <c r="C336" s="121" t="n"/>
      <c r="D336" s="121" t="n"/>
      <c r="E336" s="121" t="n"/>
      <c r="F336" s="121" t="n"/>
      <c r="G336" s="121" t="n"/>
      <c r="H336" s="121" t="n"/>
      <c r="I336" s="121" t="n"/>
      <c r="J336" s="122">
        <f>IF($A336="","",$B336+$C336+$D336-$E336+$F336-$G336)</f>
        <v/>
      </c>
      <c r="K336" s="122">
        <f>IF($A336="","",MAX(0,$B336-$J336))</f>
        <v/>
      </c>
      <c r="L336" s="123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</row>
    <row r="337" ht="15" customHeight="1" s="80">
      <c r="A337" s="125" t="n"/>
      <c r="B337" s="121" t="n"/>
      <c r="C337" s="121" t="n"/>
      <c r="D337" s="121" t="n"/>
      <c r="E337" s="121" t="n"/>
      <c r="F337" s="121" t="n"/>
      <c r="G337" s="121" t="n"/>
      <c r="H337" s="121" t="n"/>
      <c r="I337" s="121" t="n"/>
      <c r="J337" s="122">
        <f>IF($A337="","",$B337+$C337+$D337-$E337+$F337-$G337)</f>
        <v/>
      </c>
      <c r="K337" s="122">
        <f>IF($A337="","",MAX(0,$B337-$J337))</f>
        <v/>
      </c>
      <c r="L337" s="123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</row>
    <row r="338" ht="15" customHeight="1" s="80">
      <c r="A338" s="125" t="n"/>
      <c r="B338" s="121" t="n"/>
      <c r="C338" s="121" t="n"/>
      <c r="D338" s="121" t="n"/>
      <c r="E338" s="121" t="n"/>
      <c r="F338" s="121" t="n"/>
      <c r="G338" s="121" t="n"/>
      <c r="H338" s="121" t="n"/>
      <c r="I338" s="121" t="n"/>
      <c r="J338" s="122">
        <f>IF($A338="","",$B338+$C338+$D338-$E338+$F338-$G338)</f>
        <v/>
      </c>
      <c r="K338" s="122">
        <f>IF($A338="","",MAX(0,$B338-$J338))</f>
        <v/>
      </c>
      <c r="L338" s="123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</row>
    <row r="339" ht="15" customHeight="1" s="80">
      <c r="A339" s="125" t="n"/>
      <c r="B339" s="121" t="n"/>
      <c r="C339" s="121" t="n"/>
      <c r="D339" s="121" t="n"/>
      <c r="E339" s="121" t="n"/>
      <c r="F339" s="121" t="n"/>
      <c r="G339" s="121" t="n"/>
      <c r="H339" s="121" t="n"/>
      <c r="I339" s="121" t="n"/>
      <c r="J339" s="122">
        <f>IF($A339="","",$B339+$C339+$D339-$E339+$F339-$G339)</f>
        <v/>
      </c>
      <c r="K339" s="122">
        <f>IF($A339="","",MAX(0,$B339-$J339))</f>
        <v/>
      </c>
      <c r="L339" s="123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</row>
    <row r="340" ht="15" customHeight="1" s="80">
      <c r="A340" s="125" t="n"/>
      <c r="B340" s="121" t="n"/>
      <c r="C340" s="121" t="n"/>
      <c r="D340" s="121" t="n"/>
      <c r="E340" s="121" t="n"/>
      <c r="F340" s="121" t="n"/>
      <c r="G340" s="121" t="n"/>
      <c r="H340" s="121" t="n"/>
      <c r="I340" s="121" t="n"/>
      <c r="J340" s="122">
        <f>IF($A340="","",$B340+$C340+$D340-$E340+$F340-$G340)</f>
        <v/>
      </c>
      <c r="K340" s="122">
        <f>IF($A340="","",MAX(0,$B340-$J340))</f>
        <v/>
      </c>
      <c r="L340" s="123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</row>
    <row r="341" ht="15" customHeight="1" s="80">
      <c r="A341" s="125" t="n"/>
      <c r="B341" s="121" t="n"/>
      <c r="C341" s="121" t="n"/>
      <c r="D341" s="121" t="n"/>
      <c r="E341" s="121" t="n"/>
      <c r="F341" s="121" t="n"/>
      <c r="G341" s="121" t="n"/>
      <c r="H341" s="121" t="n"/>
      <c r="I341" s="121" t="n"/>
      <c r="J341" s="122">
        <f>IF($A341="","",$B341+$C341+$D341-$E341+$F341-$G341)</f>
        <v/>
      </c>
      <c r="K341" s="122">
        <f>IF($A341="","",MAX(0,$B341-$J341))</f>
        <v/>
      </c>
      <c r="L341" s="123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</row>
    <row r="342" ht="15" customHeight="1" s="80">
      <c r="A342" s="125" t="n"/>
      <c r="B342" s="121" t="n"/>
      <c r="C342" s="121" t="n"/>
      <c r="D342" s="121" t="n"/>
      <c r="E342" s="121" t="n"/>
      <c r="F342" s="121" t="n"/>
      <c r="G342" s="121" t="n"/>
      <c r="H342" s="121" t="n"/>
      <c r="I342" s="121" t="n"/>
      <c r="J342" s="122">
        <f>IF($A342="","",$B342+$C342+$D342-$E342+$F342-$G342)</f>
        <v/>
      </c>
      <c r="K342" s="122">
        <f>IF($A342="","",MAX(0,$B342-$J342))</f>
        <v/>
      </c>
      <c r="L342" s="123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</row>
    <row r="343" ht="15" customHeight="1" s="80">
      <c r="A343" s="125" t="n"/>
      <c r="B343" s="121" t="n"/>
      <c r="C343" s="121" t="n"/>
      <c r="D343" s="121" t="n"/>
      <c r="E343" s="121" t="n"/>
      <c r="F343" s="121" t="n"/>
      <c r="G343" s="121" t="n"/>
      <c r="H343" s="121" t="n"/>
      <c r="I343" s="121" t="n"/>
      <c r="J343" s="122">
        <f>IF($A343="","",$B343+$C343+$D343-$E343+$F343-$G343)</f>
        <v/>
      </c>
      <c r="K343" s="122">
        <f>IF($A343="","",MAX(0,$B343-$J343))</f>
        <v/>
      </c>
      <c r="L343" s="123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</row>
    <row r="344" ht="15" customHeight="1" s="80">
      <c r="A344" s="125" t="n"/>
      <c r="B344" s="121" t="n"/>
      <c r="C344" s="121" t="n"/>
      <c r="D344" s="121" t="n"/>
      <c r="E344" s="121" t="n"/>
      <c r="F344" s="121" t="n"/>
      <c r="G344" s="121" t="n"/>
      <c r="H344" s="121" t="n"/>
      <c r="I344" s="121" t="n"/>
      <c r="J344" s="122">
        <f>IF($A344="","",$B344+$C344+$D344-$E344+$F344-$G344)</f>
        <v/>
      </c>
      <c r="K344" s="122">
        <f>IF($A344="","",MAX(0,$B344-$J344))</f>
        <v/>
      </c>
      <c r="L344" s="123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</row>
    <row r="345" ht="15" customHeight="1" s="80">
      <c r="A345" s="125" t="n"/>
      <c r="B345" s="121" t="n"/>
      <c r="C345" s="121" t="n"/>
      <c r="D345" s="121" t="n"/>
      <c r="E345" s="121" t="n"/>
      <c r="F345" s="121" t="n"/>
      <c r="G345" s="121" t="n"/>
      <c r="H345" s="121" t="n"/>
      <c r="I345" s="121" t="n"/>
      <c r="J345" s="122">
        <f>IF($A345="","",$B345+$C345+$D345-$E345+$F345-$G345)</f>
        <v/>
      </c>
      <c r="K345" s="122">
        <f>IF($A345="","",MAX(0,$B345-$J345))</f>
        <v/>
      </c>
      <c r="L345" s="123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</row>
    <row r="346" ht="15" customHeight="1" s="80">
      <c r="A346" s="125" t="n"/>
      <c r="B346" s="121" t="n"/>
      <c r="C346" s="121" t="n"/>
      <c r="D346" s="121" t="n"/>
      <c r="E346" s="121" t="n"/>
      <c r="F346" s="121" t="n"/>
      <c r="G346" s="121" t="n"/>
      <c r="H346" s="121" t="n"/>
      <c r="I346" s="121" t="n"/>
      <c r="J346" s="122">
        <f>IF($A346="","",$B346+$C346+$D346-$E346+$F346-$G346)</f>
        <v/>
      </c>
      <c r="K346" s="122">
        <f>IF($A346="","",MAX(0,$B346-$J346))</f>
        <v/>
      </c>
      <c r="L346" s="123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</row>
    <row r="347" ht="15" customHeight="1" s="80">
      <c r="A347" s="125" t="n"/>
      <c r="B347" s="121" t="n"/>
      <c r="C347" s="121" t="n"/>
      <c r="D347" s="121" t="n"/>
      <c r="E347" s="121" t="n"/>
      <c r="F347" s="121" t="n"/>
      <c r="G347" s="121" t="n"/>
      <c r="H347" s="121" t="n"/>
      <c r="I347" s="121" t="n"/>
      <c r="J347" s="122">
        <f>IF($A347="","",$B347+$C347+$D347-$E347+$F347-$G347)</f>
        <v/>
      </c>
      <c r="K347" s="122">
        <f>IF($A347="","",MAX(0,$B347-$J347))</f>
        <v/>
      </c>
      <c r="L347" s="123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</row>
    <row r="348" ht="15" customHeight="1" s="80">
      <c r="A348" s="125" t="n"/>
      <c r="B348" s="121" t="n"/>
      <c r="C348" s="121" t="n"/>
      <c r="D348" s="121" t="n"/>
      <c r="E348" s="121" t="n"/>
      <c r="F348" s="121" t="n"/>
      <c r="G348" s="121" t="n"/>
      <c r="H348" s="121" t="n"/>
      <c r="I348" s="121" t="n"/>
      <c r="J348" s="122">
        <f>IF($A348="","",$B348+$C348+$D348-$E348+$F348-$G348)</f>
        <v/>
      </c>
      <c r="K348" s="122">
        <f>IF($A348="","",MAX(0,$B348-$J348))</f>
        <v/>
      </c>
      <c r="L348" s="123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</row>
    <row r="349" ht="15" customHeight="1" s="80">
      <c r="A349" s="125" t="n"/>
      <c r="B349" s="121" t="n"/>
      <c r="C349" s="121" t="n"/>
      <c r="D349" s="121" t="n"/>
      <c r="E349" s="121" t="n"/>
      <c r="F349" s="121" t="n"/>
      <c r="G349" s="121" t="n"/>
      <c r="H349" s="121" t="n"/>
      <c r="I349" s="121" t="n"/>
      <c r="J349" s="122">
        <f>IF($A349="","",$B349+$C349+$D349-$E349+$F349-$G349)</f>
        <v/>
      </c>
      <c r="K349" s="122">
        <f>IF($A349="","",MAX(0,$B349-$J349))</f>
        <v/>
      </c>
      <c r="L349" s="123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</row>
    <row r="350" ht="15" customHeight="1" s="80">
      <c r="A350" s="125" t="n"/>
      <c r="B350" s="121" t="n"/>
      <c r="C350" s="121" t="n"/>
      <c r="D350" s="121" t="n"/>
      <c r="E350" s="121" t="n"/>
      <c r="F350" s="121" t="n"/>
      <c r="G350" s="121" t="n"/>
      <c r="H350" s="121" t="n"/>
      <c r="I350" s="121" t="n"/>
      <c r="J350" s="122">
        <f>IF($A350="","",$B350+$C350+$D350-$E350+$F350-$G350)</f>
        <v/>
      </c>
      <c r="K350" s="122">
        <f>IF($A350="","",MAX(0,$B350-$J350))</f>
        <v/>
      </c>
      <c r="L350" s="123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</row>
    <row r="351" ht="15" customHeight="1" s="80">
      <c r="A351" s="125" t="n"/>
      <c r="B351" s="121" t="n"/>
      <c r="C351" s="121" t="n"/>
      <c r="D351" s="121" t="n"/>
      <c r="E351" s="121" t="n"/>
      <c r="F351" s="121" t="n"/>
      <c r="G351" s="121" t="n"/>
      <c r="H351" s="121" t="n"/>
      <c r="I351" s="121" t="n"/>
      <c r="J351" s="122">
        <f>IF($A351="","",$B351+$C351+$D351-$E351+$F351-$G351)</f>
        <v/>
      </c>
      <c r="K351" s="122">
        <f>IF($A351="","",MAX(0,$B351-$J351))</f>
        <v/>
      </c>
      <c r="L351" s="123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</row>
    <row r="352" ht="15" customHeight="1" s="80">
      <c r="A352" s="125" t="n"/>
      <c r="B352" s="121" t="n"/>
      <c r="C352" s="121" t="n"/>
      <c r="D352" s="121" t="n"/>
      <c r="E352" s="121" t="n"/>
      <c r="F352" s="121" t="n"/>
      <c r="G352" s="121" t="n"/>
      <c r="H352" s="121" t="n"/>
      <c r="I352" s="121" t="n"/>
      <c r="J352" s="122">
        <f>IF($A352="","",$B352+$C352+$D352-$E352+$F352-$G352)</f>
        <v/>
      </c>
      <c r="K352" s="122">
        <f>IF($A352="","",MAX(0,$B352-$J352))</f>
        <v/>
      </c>
      <c r="L352" s="123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</row>
    <row r="353" ht="15" customHeight="1" s="80">
      <c r="A353" s="125" t="n"/>
      <c r="B353" s="121" t="n"/>
      <c r="C353" s="121" t="n"/>
      <c r="D353" s="121" t="n"/>
      <c r="E353" s="121" t="n"/>
      <c r="F353" s="121" t="n"/>
      <c r="G353" s="121" t="n"/>
      <c r="H353" s="121" t="n"/>
      <c r="I353" s="121" t="n"/>
      <c r="J353" s="122">
        <f>IF($A353="","",$B353+$C353+$D353-$E353+$F353-$G353)</f>
        <v/>
      </c>
      <c r="K353" s="122">
        <f>IF($A353="","",MAX(0,$B353-$J353))</f>
        <v/>
      </c>
      <c r="L353" s="123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</row>
    <row r="354" ht="15" customHeight="1" s="80">
      <c r="A354" s="125" t="n"/>
      <c r="B354" s="121" t="n"/>
      <c r="C354" s="121" t="n"/>
      <c r="D354" s="121" t="n"/>
      <c r="E354" s="121" t="n"/>
      <c r="F354" s="121" t="n"/>
      <c r="G354" s="121" t="n"/>
      <c r="H354" s="121" t="n"/>
      <c r="I354" s="121" t="n"/>
      <c r="J354" s="122">
        <f>IF($A354="","",$B354+$C354+$D354-$E354+$F354-$G354)</f>
        <v/>
      </c>
      <c r="K354" s="122">
        <f>IF($A354="","",MAX(0,$B354-$J354))</f>
        <v/>
      </c>
      <c r="L354" s="123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</row>
    <row r="355" ht="15" customHeight="1" s="80">
      <c r="A355" s="125" t="n"/>
      <c r="B355" s="121" t="n"/>
      <c r="C355" s="121" t="n"/>
      <c r="D355" s="121" t="n"/>
      <c r="E355" s="121" t="n"/>
      <c r="F355" s="121" t="n"/>
      <c r="G355" s="121" t="n"/>
      <c r="H355" s="121" t="n"/>
      <c r="I355" s="121" t="n"/>
      <c r="J355" s="122">
        <f>IF($A355="","",$B355+$C355+$D355-$E355+$F355-$G355)</f>
        <v/>
      </c>
      <c r="K355" s="122">
        <f>IF($A355="","",MAX(0,$B355-$J355))</f>
        <v/>
      </c>
      <c r="L355" s="123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</row>
    <row r="356" ht="15" customHeight="1" s="80">
      <c r="A356" s="125" t="n"/>
      <c r="B356" s="121" t="n"/>
      <c r="C356" s="121" t="n"/>
      <c r="D356" s="121" t="n"/>
      <c r="E356" s="121" t="n"/>
      <c r="F356" s="121" t="n"/>
      <c r="G356" s="121" t="n"/>
      <c r="H356" s="121" t="n"/>
      <c r="I356" s="121" t="n"/>
      <c r="J356" s="122">
        <f>IF($A356="","",$B356+$C356+$D356-$E356+$F356-$G356)</f>
        <v/>
      </c>
      <c r="K356" s="122">
        <f>IF($A356="","",MAX(0,$B356-$J356))</f>
        <v/>
      </c>
      <c r="L356" s="123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</row>
    <row r="357" ht="15" customHeight="1" s="80">
      <c r="A357" s="125" t="n"/>
      <c r="B357" s="121" t="n"/>
      <c r="C357" s="121" t="n"/>
      <c r="D357" s="121" t="n"/>
      <c r="E357" s="121" t="n"/>
      <c r="F357" s="121" t="n"/>
      <c r="G357" s="121" t="n"/>
      <c r="H357" s="121" t="n"/>
      <c r="I357" s="121" t="n"/>
      <c r="J357" s="122">
        <f>IF($A357="","",$B357+$C357+$D357-$E357+$F357-$G357)</f>
        <v/>
      </c>
      <c r="K357" s="122">
        <f>IF($A357="","",MAX(0,$B357-$J357))</f>
        <v/>
      </c>
      <c r="L357" s="123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</row>
    <row r="358" ht="15" customHeight="1" s="80">
      <c r="A358" s="125" t="n"/>
      <c r="B358" s="121" t="n"/>
      <c r="C358" s="121" t="n"/>
      <c r="D358" s="121" t="n"/>
      <c r="E358" s="121" t="n"/>
      <c r="F358" s="121" t="n"/>
      <c r="G358" s="121" t="n"/>
      <c r="H358" s="121" t="n"/>
      <c r="I358" s="121" t="n"/>
      <c r="J358" s="122">
        <f>IF($A358="","",$B358+$C358+$D358-$E358+$F358-$G358)</f>
        <v/>
      </c>
      <c r="K358" s="122">
        <f>IF($A358="","",MAX(0,$B358-$J358))</f>
        <v/>
      </c>
      <c r="L358" s="123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</row>
    <row r="359" ht="15" customHeight="1" s="80">
      <c r="A359" s="125" t="n"/>
      <c r="B359" s="121" t="n"/>
      <c r="C359" s="121" t="n"/>
      <c r="D359" s="121" t="n"/>
      <c r="E359" s="121" t="n"/>
      <c r="F359" s="121" t="n"/>
      <c r="G359" s="121" t="n"/>
      <c r="H359" s="121" t="n"/>
      <c r="I359" s="121" t="n"/>
      <c r="J359" s="122">
        <f>IF($A359="","",$B359+$C359+$D359-$E359+$F359-$G359)</f>
        <v/>
      </c>
      <c r="K359" s="122">
        <f>IF($A359="","",MAX(0,$B359-$J359))</f>
        <v/>
      </c>
      <c r="L359" s="123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</row>
    <row r="360" ht="15" customHeight="1" s="80">
      <c r="A360" s="125" t="n"/>
      <c r="B360" s="121" t="n"/>
      <c r="C360" s="121" t="n"/>
      <c r="D360" s="121" t="n"/>
      <c r="E360" s="121" t="n"/>
      <c r="F360" s="121" t="n"/>
      <c r="G360" s="121" t="n"/>
      <c r="H360" s="121" t="n"/>
      <c r="I360" s="121" t="n"/>
      <c r="J360" s="122">
        <f>IF($A360="","",$B360+$C360+$D360-$E360+$F360-$G360)</f>
        <v/>
      </c>
      <c r="K360" s="122">
        <f>IF($A360="","",MAX(0,$B360-$J360))</f>
        <v/>
      </c>
      <c r="L360" s="123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</row>
    <row r="361" ht="15" customHeight="1" s="80">
      <c r="A361" s="125" t="n"/>
      <c r="B361" s="121" t="n"/>
      <c r="C361" s="121" t="n"/>
      <c r="D361" s="121" t="n"/>
      <c r="E361" s="121" t="n"/>
      <c r="F361" s="121" t="n"/>
      <c r="G361" s="121" t="n"/>
      <c r="H361" s="121" t="n"/>
      <c r="I361" s="121" t="n"/>
      <c r="J361" s="122">
        <f>IF($A361="","",$B361+$C361+$D361-$E361+$F361-$G361)</f>
        <v/>
      </c>
      <c r="K361" s="122">
        <f>IF($A361="","",MAX(0,$B361-$J361))</f>
        <v/>
      </c>
      <c r="L361" s="123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</row>
    <row r="362" ht="15" customHeight="1" s="80">
      <c r="A362" s="125" t="n"/>
      <c r="B362" s="121" t="n"/>
      <c r="C362" s="121" t="n"/>
      <c r="D362" s="121" t="n"/>
      <c r="E362" s="121" t="n"/>
      <c r="F362" s="121" t="n"/>
      <c r="G362" s="121" t="n"/>
      <c r="H362" s="121" t="n"/>
      <c r="I362" s="121" t="n"/>
      <c r="J362" s="122">
        <f>IF($A362="","",$B362+$C362+$D362-$E362+$F362-$G362)</f>
        <v/>
      </c>
      <c r="K362" s="122">
        <f>IF($A362="","",MAX(0,$B362-$J362))</f>
        <v/>
      </c>
      <c r="L362" s="123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</row>
    <row r="363" ht="15" customHeight="1" s="80">
      <c r="A363" s="125" t="n"/>
      <c r="B363" s="121" t="n"/>
      <c r="C363" s="121" t="n"/>
      <c r="D363" s="121" t="n"/>
      <c r="E363" s="121" t="n"/>
      <c r="F363" s="121" t="n"/>
      <c r="G363" s="121" t="n"/>
      <c r="H363" s="121" t="n"/>
      <c r="I363" s="121" t="n"/>
      <c r="J363" s="122">
        <f>IF($A363="","",$B363+$C363+$D363-$E363+$F363-$G363)</f>
        <v/>
      </c>
      <c r="K363" s="122">
        <f>IF($A363="","",MAX(0,$B363-$J363))</f>
        <v/>
      </c>
      <c r="L363" s="123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</row>
    <row r="364" ht="15" customHeight="1" s="80">
      <c r="A364" s="125" t="n"/>
      <c r="B364" s="121" t="n"/>
      <c r="C364" s="121" t="n"/>
      <c r="D364" s="121" t="n"/>
      <c r="E364" s="121" t="n"/>
      <c r="F364" s="121" t="n"/>
      <c r="G364" s="121" t="n"/>
      <c r="H364" s="121" t="n"/>
      <c r="I364" s="121" t="n"/>
      <c r="J364" s="122">
        <f>IF($A364="","",$B364+$C364+$D364-$E364+$F364-$G364)</f>
        <v/>
      </c>
      <c r="K364" s="122">
        <f>IF($A364="","",MAX(0,$B364-$J364))</f>
        <v/>
      </c>
      <c r="L364" s="123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</row>
    <row r="365" ht="15" customHeight="1" s="80">
      <c r="A365" s="125" t="n"/>
      <c r="B365" s="121" t="n"/>
      <c r="C365" s="121" t="n"/>
      <c r="D365" s="121" t="n"/>
      <c r="E365" s="121" t="n"/>
      <c r="F365" s="121" t="n"/>
      <c r="G365" s="121" t="n"/>
      <c r="H365" s="121" t="n"/>
      <c r="I365" s="121" t="n"/>
      <c r="J365" s="122">
        <f>IF($A365="","",$B365+$C365+$D365-$E365+$F365-$G365)</f>
        <v/>
      </c>
      <c r="K365" s="122">
        <f>IF($A365="","",MAX(0,$B365-$J365))</f>
        <v/>
      </c>
      <c r="L365" s="123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</row>
    <row r="366" ht="15" customHeight="1" s="80">
      <c r="A366" s="125" t="n"/>
      <c r="B366" s="121" t="n"/>
      <c r="C366" s="121" t="n"/>
      <c r="D366" s="121" t="n"/>
      <c r="E366" s="121" t="n"/>
      <c r="F366" s="121" t="n"/>
      <c r="G366" s="121" t="n"/>
      <c r="H366" s="121" t="n"/>
      <c r="I366" s="121" t="n"/>
      <c r="J366" s="122">
        <f>IF($A366="","",$B366+$C366+$D366-$E366+$F366-$G366)</f>
        <v/>
      </c>
      <c r="K366" s="122">
        <f>IF($A366="","",MAX(0,$B366-$J366))</f>
        <v/>
      </c>
      <c r="L366" s="123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</row>
    <row r="367" ht="15" customHeight="1" s="80">
      <c r="A367" s="125" t="n"/>
      <c r="B367" s="121" t="n"/>
      <c r="C367" s="121" t="n"/>
      <c r="D367" s="121" t="n"/>
      <c r="E367" s="121" t="n"/>
      <c r="F367" s="121" t="n"/>
      <c r="G367" s="121" t="n"/>
      <c r="H367" s="121" t="n"/>
      <c r="I367" s="121" t="n"/>
      <c r="J367" s="122">
        <f>IF($A367="","",$B367+$C367+$D367-$E367+$F367-$G367)</f>
        <v/>
      </c>
      <c r="K367" s="122">
        <f>IF($A367="","",MAX(0,$B367-$J367))</f>
        <v/>
      </c>
      <c r="L367" s="123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</row>
    <row r="368" ht="15" customHeight="1" s="80">
      <c r="A368" s="125" t="n"/>
      <c r="B368" s="121" t="n"/>
      <c r="C368" s="121" t="n"/>
      <c r="D368" s="121" t="n"/>
      <c r="E368" s="121" t="n"/>
      <c r="F368" s="121" t="n"/>
      <c r="G368" s="121" t="n"/>
      <c r="H368" s="121" t="n"/>
      <c r="I368" s="121" t="n"/>
      <c r="J368" s="122">
        <f>IF($A368="","",$B368+$C368+$D368-$E368+$F368-$G368)</f>
        <v/>
      </c>
      <c r="K368" s="122">
        <f>IF($A368="","",MAX(0,$B368-$J368))</f>
        <v/>
      </c>
      <c r="L368" s="123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</row>
    <row r="369" ht="15" customHeight="1" s="80">
      <c r="A369" s="125" t="n"/>
      <c r="B369" s="121" t="n"/>
      <c r="C369" s="121" t="n"/>
      <c r="D369" s="121" t="n"/>
      <c r="E369" s="121" t="n"/>
      <c r="F369" s="121" t="n"/>
      <c r="G369" s="121" t="n"/>
      <c r="H369" s="121" t="n"/>
      <c r="I369" s="121" t="n"/>
      <c r="J369" s="122">
        <f>IF($A369="","",$B369+$C369+$D369-$E369+$F369-$G369)</f>
        <v/>
      </c>
      <c r="K369" s="122">
        <f>IF($A369="","",MAX(0,$B369-$J369))</f>
        <v/>
      </c>
      <c r="L369" s="123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</row>
    <row r="370" ht="15" customHeight="1" s="80">
      <c r="A370" s="125" t="n"/>
      <c r="B370" s="121" t="n"/>
      <c r="C370" s="121" t="n"/>
      <c r="D370" s="121" t="n"/>
      <c r="E370" s="121" t="n"/>
      <c r="F370" s="121" t="n"/>
      <c r="G370" s="121" t="n"/>
      <c r="H370" s="121" t="n"/>
      <c r="I370" s="121" t="n"/>
      <c r="J370" s="122">
        <f>IF($A370="","",$B370+$C370+$D370-$E370+$F370-$G370)</f>
        <v/>
      </c>
      <c r="K370" s="122">
        <f>IF($A370="","",MAX(0,$B370-$J370))</f>
        <v/>
      </c>
      <c r="L370" s="123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</row>
    <row r="371" ht="15" customHeight="1" s="80">
      <c r="A371" s="125" t="n"/>
      <c r="B371" s="121" t="n"/>
      <c r="C371" s="121" t="n"/>
      <c r="D371" s="121" t="n"/>
      <c r="E371" s="121" t="n"/>
      <c r="F371" s="121" t="n"/>
      <c r="G371" s="121" t="n"/>
      <c r="H371" s="121" t="n"/>
      <c r="I371" s="121" t="n"/>
      <c r="J371" s="122">
        <f>IF($A371="","",$B371+$C371+$D371-$E371+$F371-$G371)</f>
        <v/>
      </c>
      <c r="K371" s="122">
        <f>IF($A371="","",MAX(0,$B371-$J371))</f>
        <v/>
      </c>
      <c r="L371" s="123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</row>
    <row r="372" ht="15" customHeight="1" s="80">
      <c r="A372" s="125" t="n"/>
      <c r="B372" s="121" t="n"/>
      <c r="C372" s="121" t="n"/>
      <c r="D372" s="121" t="n"/>
      <c r="E372" s="121" t="n"/>
      <c r="F372" s="121" t="n"/>
      <c r="G372" s="121" t="n"/>
      <c r="H372" s="121" t="n"/>
      <c r="I372" s="121" t="n"/>
      <c r="J372" s="122">
        <f>IF($A372="","",$B372+$C372+$D372-$E372+$F372-$G372)</f>
        <v/>
      </c>
      <c r="K372" s="122">
        <f>IF($A372="","",MAX(0,$B372-$J372))</f>
        <v/>
      </c>
      <c r="L372" s="123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</row>
    <row r="373" ht="15" customHeight="1" s="80">
      <c r="A373" s="125" t="n"/>
      <c r="B373" s="121" t="n"/>
      <c r="C373" s="121" t="n"/>
      <c r="D373" s="121" t="n"/>
      <c r="E373" s="121" t="n"/>
      <c r="F373" s="121" t="n"/>
      <c r="G373" s="121" t="n"/>
      <c r="H373" s="121" t="n"/>
      <c r="I373" s="121" t="n"/>
      <c r="J373" s="122">
        <f>IF($A373="","",$B373+$C373+$D373-$E373+$F373-$G373)</f>
        <v/>
      </c>
      <c r="K373" s="122">
        <f>IF($A373="","",MAX(0,$B373-$J373))</f>
        <v/>
      </c>
      <c r="L373" s="123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</row>
    <row r="374" ht="15" customHeight="1" s="80">
      <c r="A374" s="125" t="n"/>
      <c r="B374" s="121" t="n"/>
      <c r="C374" s="121" t="n"/>
      <c r="D374" s="121" t="n"/>
      <c r="E374" s="121" t="n"/>
      <c r="F374" s="121" t="n"/>
      <c r="G374" s="121" t="n"/>
      <c r="H374" s="121" t="n"/>
      <c r="I374" s="121" t="n"/>
      <c r="J374" s="122">
        <f>IF($A374="","",$B374+$C374+$D374-$E374+$F374-$G374)</f>
        <v/>
      </c>
      <c r="K374" s="122">
        <f>IF($A374="","",MAX(0,$B374-$J374))</f>
        <v/>
      </c>
      <c r="L374" s="123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</row>
    <row r="375" ht="15" customHeight="1" s="80">
      <c r="A375" s="125" t="n"/>
      <c r="B375" s="121" t="n"/>
      <c r="C375" s="121" t="n"/>
      <c r="D375" s="121" t="n"/>
      <c r="E375" s="121" t="n"/>
      <c r="F375" s="121" t="n"/>
      <c r="G375" s="121" t="n"/>
      <c r="H375" s="121" t="n"/>
      <c r="I375" s="121" t="n"/>
      <c r="J375" s="122">
        <f>IF($A375="","",$B375+$C375+$D375-$E375+$F375-$G375)</f>
        <v/>
      </c>
      <c r="K375" s="122">
        <f>IF($A375="","",MAX(0,$B375-$J375))</f>
        <v/>
      </c>
      <c r="L375" s="123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</row>
    <row r="376" ht="15" customHeight="1" s="80">
      <c r="A376" s="125" t="n"/>
      <c r="B376" s="121" t="n"/>
      <c r="C376" s="121" t="n"/>
      <c r="D376" s="121" t="n"/>
      <c r="E376" s="121" t="n"/>
      <c r="F376" s="121" t="n"/>
      <c r="G376" s="121" t="n"/>
      <c r="H376" s="121" t="n"/>
      <c r="I376" s="121" t="n"/>
      <c r="J376" s="122">
        <f>IF($A376="","",$B376+$C376+$D376-$E376+$F376-$G376)</f>
        <v/>
      </c>
      <c r="K376" s="122">
        <f>IF($A376="","",MAX(0,$B376-$J376))</f>
        <v/>
      </c>
      <c r="L376" s="123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</row>
    <row r="377" ht="15" customHeight="1" s="80">
      <c r="A377" s="125" t="n"/>
      <c r="B377" s="121" t="n"/>
      <c r="C377" s="121" t="n"/>
      <c r="D377" s="121" t="n"/>
      <c r="E377" s="121" t="n"/>
      <c r="F377" s="121" t="n"/>
      <c r="G377" s="121" t="n"/>
      <c r="H377" s="121" t="n"/>
      <c r="I377" s="121" t="n"/>
      <c r="J377" s="122">
        <f>IF($A377="","",$B377+$C377+$D377-$E377+$F377-$G377)</f>
        <v/>
      </c>
      <c r="K377" s="122">
        <f>IF($A377="","",MAX(0,$B377-$J377))</f>
        <v/>
      </c>
      <c r="L377" s="123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</row>
    <row r="378" ht="15" customHeight="1" s="80">
      <c r="A378" s="125" t="n"/>
      <c r="B378" s="121" t="n"/>
      <c r="C378" s="121" t="n"/>
      <c r="D378" s="121" t="n"/>
      <c r="E378" s="121" t="n"/>
      <c r="F378" s="121" t="n"/>
      <c r="G378" s="121" t="n"/>
      <c r="H378" s="121" t="n"/>
      <c r="I378" s="121" t="n"/>
      <c r="J378" s="122">
        <f>IF($A378="","",$B378+$C378+$D378-$E378+$F378-$G378)</f>
        <v/>
      </c>
      <c r="K378" s="122">
        <f>IF($A378="","",MAX(0,$B378-$J378))</f>
        <v/>
      </c>
      <c r="L378" s="123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</row>
    <row r="379" ht="15" customHeight="1" s="80">
      <c r="A379" s="125" t="n"/>
      <c r="B379" s="121" t="n"/>
      <c r="C379" s="121" t="n"/>
      <c r="D379" s="121" t="n"/>
      <c r="E379" s="121" t="n"/>
      <c r="F379" s="121" t="n"/>
      <c r="G379" s="121" t="n"/>
      <c r="H379" s="121" t="n"/>
      <c r="I379" s="121" t="n"/>
      <c r="J379" s="122">
        <f>IF($A379="","",$B379+$C379+$D379-$E379+$F379-$G379)</f>
        <v/>
      </c>
      <c r="K379" s="122">
        <f>IF($A379="","",MAX(0,$B379-$J379))</f>
        <v/>
      </c>
      <c r="L379" s="123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</row>
    <row r="380" ht="15" customHeight="1" s="80">
      <c r="A380" s="125" t="n"/>
      <c r="B380" s="121" t="n"/>
      <c r="C380" s="121" t="n"/>
      <c r="D380" s="121" t="n"/>
      <c r="E380" s="121" t="n"/>
      <c r="F380" s="121" t="n"/>
      <c r="G380" s="121" t="n"/>
      <c r="H380" s="121" t="n"/>
      <c r="I380" s="121" t="n"/>
      <c r="J380" s="122">
        <f>IF($A380="","",$B380+$C380+$D380-$E380+$F380-$G380)</f>
        <v/>
      </c>
      <c r="K380" s="122">
        <f>IF($A380="","",MAX(0,$B380-$J380))</f>
        <v/>
      </c>
      <c r="L380" s="123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</row>
    <row r="381" ht="15" customHeight="1" s="80">
      <c r="A381" s="125" t="n"/>
      <c r="B381" s="121" t="n"/>
      <c r="C381" s="121" t="n"/>
      <c r="D381" s="121" t="n"/>
      <c r="E381" s="121" t="n"/>
      <c r="F381" s="121" t="n"/>
      <c r="G381" s="121" t="n"/>
      <c r="H381" s="121" t="n"/>
      <c r="I381" s="121" t="n"/>
      <c r="J381" s="122">
        <f>IF($A381="","",$B381+$C381+$D381-$E381+$F381-$G381)</f>
        <v/>
      </c>
      <c r="K381" s="122">
        <f>IF($A381="","",MAX(0,$B381-$J381))</f>
        <v/>
      </c>
      <c r="L381" s="123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</row>
    <row r="382" ht="15" customHeight="1" s="80">
      <c r="A382" s="125" t="n"/>
      <c r="B382" s="121" t="n"/>
      <c r="C382" s="121" t="n"/>
      <c r="D382" s="121" t="n"/>
      <c r="E382" s="121" t="n"/>
      <c r="F382" s="121" t="n"/>
      <c r="G382" s="121" t="n"/>
      <c r="H382" s="121" t="n"/>
      <c r="I382" s="121" t="n"/>
      <c r="J382" s="122">
        <f>IF($A382="","",$B382+$C382+$D382-$E382+$F382-$G382)</f>
        <v/>
      </c>
      <c r="K382" s="122">
        <f>IF($A382="","",MAX(0,$B382-$J382))</f>
        <v/>
      </c>
      <c r="L382" s="123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</row>
    <row r="383" ht="15" customHeight="1" s="80">
      <c r="A383" s="125" t="n"/>
      <c r="B383" s="121" t="n"/>
      <c r="C383" s="121" t="n"/>
      <c r="D383" s="121" t="n"/>
      <c r="E383" s="121" t="n"/>
      <c r="F383" s="121" t="n"/>
      <c r="G383" s="121" t="n"/>
      <c r="H383" s="121" t="n"/>
      <c r="I383" s="121" t="n"/>
      <c r="J383" s="122">
        <f>IF($A383="","",$B383+$C383+$D383-$E383+$F383-$G383)</f>
        <v/>
      </c>
      <c r="K383" s="122">
        <f>IF($A383="","",MAX(0,$B383-$J383))</f>
        <v/>
      </c>
      <c r="L383" s="123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</row>
    <row r="384" ht="15" customHeight="1" s="80">
      <c r="A384" s="125" t="n"/>
      <c r="B384" s="121" t="n"/>
      <c r="C384" s="121" t="n"/>
      <c r="D384" s="121" t="n"/>
      <c r="E384" s="121" t="n"/>
      <c r="F384" s="121" t="n"/>
      <c r="G384" s="121" t="n"/>
      <c r="H384" s="121" t="n"/>
      <c r="I384" s="121" t="n"/>
      <c r="J384" s="122">
        <f>IF($A384="","",$B384+$C384+$D384-$E384+$F384-$G384)</f>
        <v/>
      </c>
      <c r="K384" s="122">
        <f>IF($A384="","",MAX(0,$B384-$J384))</f>
        <v/>
      </c>
      <c r="L384" s="123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</row>
    <row r="385" ht="15" customHeight="1" s="80">
      <c r="A385" s="125" t="n"/>
      <c r="B385" s="121" t="n"/>
      <c r="C385" s="121" t="n"/>
      <c r="D385" s="121" t="n"/>
      <c r="E385" s="121" t="n"/>
      <c r="F385" s="121" t="n"/>
      <c r="G385" s="121" t="n"/>
      <c r="H385" s="121" t="n"/>
      <c r="I385" s="121" t="n"/>
      <c r="J385" s="122">
        <f>IF($A385="","",$B385+$C385+$D385-$E385+$F385-$G385)</f>
        <v/>
      </c>
      <c r="K385" s="122">
        <f>IF($A385="","",MAX(0,$B385-$J385))</f>
        <v/>
      </c>
      <c r="L385" s="123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</row>
    <row r="386" ht="15" customHeight="1" s="80">
      <c r="A386" s="125" t="n"/>
      <c r="B386" s="121" t="n"/>
      <c r="C386" s="121" t="n"/>
      <c r="D386" s="121" t="n"/>
      <c r="E386" s="121" t="n"/>
      <c r="F386" s="121" t="n"/>
      <c r="G386" s="121" t="n"/>
      <c r="H386" s="121" t="n"/>
      <c r="I386" s="121" t="n"/>
      <c r="J386" s="122">
        <f>IF($A386="","",$B386+$C386+$D386-$E386+$F386-$G386)</f>
        <v/>
      </c>
      <c r="K386" s="122">
        <f>IF($A386="","",MAX(0,$B386-$J386))</f>
        <v/>
      </c>
      <c r="L386" s="123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</row>
    <row r="387" ht="15" customHeight="1" s="80">
      <c r="A387" s="125" t="n"/>
      <c r="B387" s="121" t="n"/>
      <c r="C387" s="121" t="n"/>
      <c r="D387" s="121" t="n"/>
      <c r="E387" s="121" t="n"/>
      <c r="F387" s="121" t="n"/>
      <c r="G387" s="121" t="n"/>
      <c r="H387" s="121" t="n"/>
      <c r="I387" s="121" t="n"/>
      <c r="J387" s="122">
        <f>IF($A387="","",$B387+$C387+$D387-$E387+$F387-$G387)</f>
        <v/>
      </c>
      <c r="K387" s="122">
        <f>IF($A387="","",MAX(0,$B387-$J387))</f>
        <v/>
      </c>
      <c r="L387" s="123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</row>
    <row r="388" ht="15" customHeight="1" s="80">
      <c r="A388" s="125" t="n"/>
      <c r="B388" s="121" t="n"/>
      <c r="C388" s="121" t="n"/>
      <c r="D388" s="121" t="n"/>
      <c r="E388" s="121" t="n"/>
      <c r="F388" s="121" t="n"/>
      <c r="G388" s="121" t="n"/>
      <c r="H388" s="121" t="n"/>
      <c r="I388" s="121" t="n"/>
      <c r="J388" s="122">
        <f>IF($A388="","",$B388+$C388+$D388-$E388+$F388-$G388)</f>
        <v/>
      </c>
      <c r="K388" s="122">
        <f>IF($A388="","",MAX(0,$B388-$J388))</f>
        <v/>
      </c>
      <c r="L388" s="123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</row>
    <row r="389" ht="15" customHeight="1" s="80">
      <c r="A389" s="125" t="n"/>
      <c r="B389" s="121" t="n"/>
      <c r="C389" s="121" t="n"/>
      <c r="D389" s="121" t="n"/>
      <c r="E389" s="121" t="n"/>
      <c r="F389" s="121" t="n"/>
      <c r="G389" s="121" t="n"/>
      <c r="H389" s="121" t="n"/>
      <c r="I389" s="121" t="n"/>
      <c r="J389" s="122">
        <f>IF($A389="","",$B389+$C389+$D389-$E389+$F389-$G389)</f>
        <v/>
      </c>
      <c r="K389" s="122">
        <f>IF($A389="","",MAX(0,$B389-$J389))</f>
        <v/>
      </c>
      <c r="L389" s="123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</row>
    <row r="390" ht="15" customHeight="1" s="80">
      <c r="A390" s="125" t="n"/>
      <c r="B390" s="121" t="n"/>
      <c r="C390" s="121" t="n"/>
      <c r="D390" s="121" t="n"/>
      <c r="E390" s="121" t="n"/>
      <c r="F390" s="121" t="n"/>
      <c r="G390" s="121" t="n"/>
      <c r="H390" s="121" t="n"/>
      <c r="I390" s="121" t="n"/>
      <c r="J390" s="122">
        <f>IF($A390="","",$B390+$C390+$D390-$E390+$F390-$G390)</f>
        <v/>
      </c>
      <c r="K390" s="122">
        <f>IF($A390="","",MAX(0,$B390-$J390))</f>
        <v/>
      </c>
      <c r="L390" s="123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</row>
    <row r="391" ht="15" customHeight="1" s="80">
      <c r="A391" s="125" t="n"/>
      <c r="B391" s="121" t="n"/>
      <c r="C391" s="121" t="n"/>
      <c r="D391" s="121" t="n"/>
      <c r="E391" s="121" t="n"/>
      <c r="F391" s="121" t="n"/>
      <c r="G391" s="121" t="n"/>
      <c r="H391" s="121" t="n"/>
      <c r="I391" s="121" t="n"/>
      <c r="J391" s="122">
        <f>IF($A391="","",$B391+$C391+$D391-$E391+$F391-$G391)</f>
        <v/>
      </c>
      <c r="K391" s="122">
        <f>IF($A391="","",MAX(0,$B391-$J391))</f>
        <v/>
      </c>
      <c r="L391" s="123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</row>
    <row r="392" ht="15" customHeight="1" s="80">
      <c r="A392" s="125" t="n"/>
      <c r="B392" s="121" t="n"/>
      <c r="C392" s="121" t="n"/>
      <c r="D392" s="121" t="n"/>
      <c r="E392" s="121" t="n"/>
      <c r="F392" s="121" t="n"/>
      <c r="G392" s="121" t="n"/>
      <c r="H392" s="121" t="n"/>
      <c r="I392" s="121" t="n"/>
      <c r="J392" s="122">
        <f>IF($A392="","",$B392+$C392+$D392-$E392+$F392-$G392)</f>
        <v/>
      </c>
      <c r="K392" s="122">
        <f>IF($A392="","",MAX(0,$B392-$J392))</f>
        <v/>
      </c>
      <c r="L392" s="123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</row>
    <row r="393" ht="15" customHeight="1" s="80">
      <c r="A393" s="125" t="n"/>
      <c r="B393" s="121" t="n"/>
      <c r="C393" s="121" t="n"/>
      <c r="D393" s="121" t="n"/>
      <c r="E393" s="121" t="n"/>
      <c r="F393" s="121" t="n"/>
      <c r="G393" s="121" t="n"/>
      <c r="H393" s="121" t="n"/>
      <c r="I393" s="121" t="n"/>
      <c r="J393" s="122">
        <f>IF($A393="","",$B393+$C393+$D393-$E393+$F393-$G393)</f>
        <v/>
      </c>
      <c r="K393" s="122">
        <f>IF($A393="","",MAX(0,$B393-$J393))</f>
        <v/>
      </c>
      <c r="L393" s="123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</row>
    <row r="394" ht="15" customHeight="1" s="80">
      <c r="A394" s="125" t="n"/>
      <c r="B394" s="121" t="n"/>
      <c r="C394" s="121" t="n"/>
      <c r="D394" s="121" t="n"/>
      <c r="E394" s="121" t="n"/>
      <c r="F394" s="121" t="n"/>
      <c r="G394" s="121" t="n"/>
      <c r="H394" s="121" t="n"/>
      <c r="I394" s="121" t="n"/>
      <c r="J394" s="122">
        <f>IF($A394="","",$B394+$C394+$D394-$E394+$F394-$G394)</f>
        <v/>
      </c>
      <c r="K394" s="122">
        <f>IF($A394="","",MAX(0,$B394-$J394))</f>
        <v/>
      </c>
      <c r="L394" s="123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</row>
    <row r="395" ht="15" customHeight="1" s="80">
      <c r="A395" s="125" t="n"/>
      <c r="B395" s="121" t="n"/>
      <c r="C395" s="121" t="n"/>
      <c r="D395" s="121" t="n"/>
      <c r="E395" s="121" t="n"/>
      <c r="F395" s="121" t="n"/>
      <c r="G395" s="121" t="n"/>
      <c r="H395" s="121" t="n"/>
      <c r="I395" s="121" t="n"/>
      <c r="J395" s="122">
        <f>IF($A395="","",$B395+$C395+$D395-$E395+$F395-$G395)</f>
        <v/>
      </c>
      <c r="K395" s="122">
        <f>IF($A395="","",MAX(0,$B395-$J395))</f>
        <v/>
      </c>
      <c r="L395" s="123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</row>
    <row r="396" ht="15" customHeight="1" s="80">
      <c r="A396" s="125" t="n"/>
      <c r="B396" s="121" t="n"/>
      <c r="C396" s="121" t="n"/>
      <c r="D396" s="121" t="n"/>
      <c r="E396" s="121" t="n"/>
      <c r="F396" s="121" t="n"/>
      <c r="G396" s="121" t="n"/>
      <c r="H396" s="121" t="n"/>
      <c r="I396" s="121" t="n"/>
      <c r="J396" s="122">
        <f>IF($A396="","",$B396+$C396+$D396-$E396+$F396-$G396)</f>
        <v/>
      </c>
      <c r="K396" s="122">
        <f>IF($A396="","",MAX(0,$B396-$J396))</f>
        <v/>
      </c>
      <c r="L396" s="123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</row>
    <row r="397" ht="15" customHeight="1" s="80">
      <c r="A397" s="125" t="n"/>
      <c r="B397" s="121" t="n"/>
      <c r="C397" s="121" t="n"/>
      <c r="D397" s="121" t="n"/>
      <c r="E397" s="121" t="n"/>
      <c r="F397" s="121" t="n"/>
      <c r="G397" s="121" t="n"/>
      <c r="H397" s="121" t="n"/>
      <c r="I397" s="121" t="n"/>
      <c r="J397" s="122">
        <f>IF($A397="","",$B397+$C397+$D397-$E397+$F397-$G397)</f>
        <v/>
      </c>
      <c r="K397" s="122">
        <f>IF($A397="","",MAX(0,$B397-$J397))</f>
        <v/>
      </c>
      <c r="L397" s="123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</row>
    <row r="398" ht="15" customHeight="1" s="80">
      <c r="A398" s="125" t="n"/>
      <c r="B398" s="121" t="n"/>
      <c r="C398" s="121" t="n"/>
      <c r="D398" s="121" t="n"/>
      <c r="E398" s="121" t="n"/>
      <c r="F398" s="121" t="n"/>
      <c r="G398" s="121" t="n"/>
      <c r="H398" s="121" t="n"/>
      <c r="I398" s="121" t="n"/>
      <c r="J398" s="122">
        <f>IF($A398="","",$B398+$C398+$D398-$E398+$F398-$G398)</f>
        <v/>
      </c>
      <c r="K398" s="122">
        <f>IF($A398="","",MAX(0,$B398-$J398))</f>
        <v/>
      </c>
      <c r="L398" s="123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</row>
    <row r="399" ht="15" customHeight="1" s="80">
      <c r="A399" s="125" t="n"/>
      <c r="B399" s="121" t="n"/>
      <c r="C399" s="121" t="n"/>
      <c r="D399" s="121" t="n"/>
      <c r="E399" s="121" t="n"/>
      <c r="F399" s="121" t="n"/>
      <c r="G399" s="121" t="n"/>
      <c r="H399" s="121" t="n"/>
      <c r="I399" s="121" t="n"/>
      <c r="J399" s="122">
        <f>IF($A399="","",$B399+$C399+$D399-$E399+$F399-$G399)</f>
        <v/>
      </c>
      <c r="K399" s="122">
        <f>IF($A399="","",MAX(0,$B399-$J399))</f>
        <v/>
      </c>
      <c r="L399" s="123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</row>
    <row r="400" ht="15" customHeight="1" s="80">
      <c r="A400" s="125" t="n"/>
      <c r="B400" s="121" t="n"/>
      <c r="C400" s="121" t="n"/>
      <c r="D400" s="121" t="n"/>
      <c r="E400" s="121" t="n"/>
      <c r="F400" s="121" t="n"/>
      <c r="G400" s="121" t="n"/>
      <c r="H400" s="121" t="n"/>
      <c r="I400" s="121" t="n"/>
      <c r="J400" s="122">
        <f>IF($A400="","",$B400+$C400+$D400-$E400+$F400-$G400)</f>
        <v/>
      </c>
      <c r="K400" s="122">
        <f>IF($A400="","",MAX(0,$B400-$J400))</f>
        <v/>
      </c>
      <c r="L400" s="123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</row>
    <row r="401" ht="15" customHeight="1" s="80">
      <c r="A401" s="125" t="n"/>
      <c r="B401" s="121" t="n"/>
      <c r="C401" s="121" t="n"/>
      <c r="D401" s="121" t="n"/>
      <c r="E401" s="121" t="n"/>
      <c r="F401" s="121" t="n"/>
      <c r="G401" s="121" t="n"/>
      <c r="H401" s="121" t="n"/>
      <c r="I401" s="121" t="n"/>
      <c r="J401" s="122">
        <f>IF($A401="","",$B401+$C401+$D401-$E401+$F401-$G401)</f>
        <v/>
      </c>
      <c r="K401" s="122">
        <f>IF($A401="","",MAX(0,$B401-$J401))</f>
        <v/>
      </c>
      <c r="L401" s="123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</row>
    <row r="402" ht="15" customHeight="1" s="80">
      <c r="A402" s="125" t="n"/>
      <c r="B402" s="121" t="n"/>
      <c r="C402" s="121" t="n"/>
      <c r="D402" s="121" t="n"/>
      <c r="E402" s="121" t="n"/>
      <c r="F402" s="121" t="n"/>
      <c r="G402" s="121" t="n"/>
      <c r="H402" s="121" t="n"/>
      <c r="I402" s="121" t="n"/>
      <c r="J402" s="122">
        <f>IF($A402="","",$B402+$C402+$D402-$E402+$F402-$G402)</f>
        <v/>
      </c>
      <c r="K402" s="122">
        <f>IF($A402="","",MAX(0,$B402-$J402))</f>
        <v/>
      </c>
      <c r="L402" s="123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</row>
    <row r="403" ht="15" customHeight="1" s="80">
      <c r="A403" s="125" t="n"/>
      <c r="B403" s="121" t="n"/>
      <c r="C403" s="121" t="n"/>
      <c r="D403" s="121" t="n"/>
      <c r="E403" s="121" t="n"/>
      <c r="F403" s="121" t="n"/>
      <c r="G403" s="121" t="n"/>
      <c r="H403" s="121" t="n"/>
      <c r="I403" s="121" t="n"/>
      <c r="J403" s="122">
        <f>IF($A403="","",$B403+$C403+$D403-$E403+$F403-$G403)</f>
        <v/>
      </c>
      <c r="K403" s="122">
        <f>IF($A403="","",MAX(0,$B403-$J403))</f>
        <v/>
      </c>
      <c r="L403" s="123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</row>
    <row r="404" ht="15" customHeight="1" s="80">
      <c r="A404" s="125" t="n"/>
      <c r="B404" s="121" t="n"/>
      <c r="C404" s="121" t="n"/>
      <c r="D404" s="121" t="n"/>
      <c r="E404" s="121" t="n"/>
      <c r="F404" s="121" t="n"/>
      <c r="G404" s="121" t="n"/>
      <c r="H404" s="121" t="n"/>
      <c r="I404" s="121" t="n"/>
      <c r="J404" s="122">
        <f>IF($A404="","",$B404+$C404+$D404-$E404+$F404-$G404)</f>
        <v/>
      </c>
      <c r="K404" s="122">
        <f>IF($A404="","",MAX(0,$B404-$J404))</f>
        <v/>
      </c>
      <c r="L404" s="123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</row>
    <row r="405" ht="15" customHeight="1" s="80">
      <c r="A405" s="125" t="n"/>
      <c r="B405" s="121" t="n"/>
      <c r="C405" s="121" t="n"/>
      <c r="D405" s="121" t="n"/>
      <c r="E405" s="121" t="n"/>
      <c r="F405" s="121" t="n"/>
      <c r="G405" s="121" t="n"/>
      <c r="H405" s="121" t="n"/>
      <c r="I405" s="121" t="n"/>
      <c r="J405" s="122">
        <f>IF($A405="","",$B405+$C405+$D405-$E405+$F405-$G405)</f>
        <v/>
      </c>
      <c r="K405" s="122">
        <f>IF($A405="","",MAX(0,$B405-$J405))</f>
        <v/>
      </c>
      <c r="L405" s="123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</row>
    <row r="406" ht="15" customHeight="1" s="80">
      <c r="A406" s="125" t="n"/>
      <c r="B406" s="121" t="n"/>
      <c r="C406" s="121" t="n"/>
      <c r="D406" s="121" t="n"/>
      <c r="E406" s="121" t="n"/>
      <c r="F406" s="121" t="n"/>
      <c r="G406" s="121" t="n"/>
      <c r="H406" s="121" t="n"/>
      <c r="I406" s="121" t="n"/>
      <c r="J406" s="122">
        <f>IF($A406="","",$B406+$C406+$D406-$E406+$F406-$G406)</f>
        <v/>
      </c>
      <c r="K406" s="122">
        <f>IF($A406="","",MAX(0,$B406-$J406))</f>
        <v/>
      </c>
      <c r="L406" s="123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</row>
    <row r="407" ht="15" customHeight="1" s="80">
      <c r="A407" s="125" t="n"/>
      <c r="B407" s="121" t="n"/>
      <c r="C407" s="121" t="n"/>
      <c r="D407" s="121" t="n"/>
      <c r="E407" s="121" t="n"/>
      <c r="F407" s="121" t="n"/>
      <c r="G407" s="121" t="n"/>
      <c r="H407" s="121" t="n"/>
      <c r="I407" s="121" t="n"/>
      <c r="J407" s="122">
        <f>IF($A407="","",$B407+$C407+$D407-$E407+$F407-$G407)</f>
        <v/>
      </c>
      <c r="K407" s="122">
        <f>IF($A407="","",MAX(0,$B407-$J407))</f>
        <v/>
      </c>
      <c r="L407" s="123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</row>
    <row r="408" ht="15" customHeight="1" s="80">
      <c r="A408" s="125" t="n"/>
      <c r="B408" s="121" t="n"/>
      <c r="C408" s="121" t="n"/>
      <c r="D408" s="121" t="n"/>
      <c r="E408" s="121" t="n"/>
      <c r="F408" s="121" t="n"/>
      <c r="G408" s="121" t="n"/>
      <c r="H408" s="121" t="n"/>
      <c r="I408" s="121" t="n"/>
      <c r="J408" s="122">
        <f>IF($A408="","",$B408+$C408+$D408-$E408+$F408-$G408)</f>
        <v/>
      </c>
      <c r="K408" s="122">
        <f>IF($A408="","",MAX(0,$B408-$J408))</f>
        <v/>
      </c>
      <c r="L408" s="123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</row>
    <row r="409" ht="15" customHeight="1" s="80">
      <c r="A409" s="125" t="n"/>
      <c r="B409" s="121" t="n"/>
      <c r="C409" s="121" t="n"/>
      <c r="D409" s="121" t="n"/>
      <c r="E409" s="121" t="n"/>
      <c r="F409" s="121" t="n"/>
      <c r="G409" s="121" t="n"/>
      <c r="H409" s="121" t="n"/>
      <c r="I409" s="121" t="n"/>
      <c r="J409" s="122">
        <f>IF($A409="","",$B409+$C409+$D409-$E409+$F409-$G409)</f>
        <v/>
      </c>
      <c r="K409" s="122">
        <f>IF($A409="","",MAX(0,$B409-$J409))</f>
        <v/>
      </c>
      <c r="L409" s="123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</row>
    <row r="410" ht="15" customHeight="1" s="80">
      <c r="A410" s="125" t="n"/>
      <c r="B410" s="121" t="n"/>
      <c r="C410" s="121" t="n"/>
      <c r="D410" s="121" t="n"/>
      <c r="E410" s="121" t="n"/>
      <c r="F410" s="121" t="n"/>
      <c r="G410" s="121" t="n"/>
      <c r="H410" s="121" t="n"/>
      <c r="I410" s="121" t="n"/>
      <c r="J410" s="122">
        <f>IF($A410="","",$B410+$C410+$D410-$E410+$F410-$G410)</f>
        <v/>
      </c>
      <c r="K410" s="122">
        <f>IF($A410="","",MAX(0,$B410-$J410))</f>
        <v/>
      </c>
      <c r="L410" s="123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</row>
    <row r="411" ht="15" customHeight="1" s="80">
      <c r="A411" s="125" t="n"/>
      <c r="B411" s="121" t="n"/>
      <c r="C411" s="121" t="n"/>
      <c r="D411" s="121" t="n"/>
      <c r="E411" s="121" t="n"/>
      <c r="F411" s="121" t="n"/>
      <c r="G411" s="121" t="n"/>
      <c r="H411" s="121" t="n"/>
      <c r="I411" s="121" t="n"/>
      <c r="J411" s="122">
        <f>IF($A411="","",$B411+$C411+$D411-$E411+$F411-$G411)</f>
        <v/>
      </c>
      <c r="K411" s="122">
        <f>IF($A411="","",MAX(0,$B411-$J411))</f>
        <v/>
      </c>
      <c r="L411" s="123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</row>
    <row r="412" ht="15" customHeight="1" s="80">
      <c r="A412" s="125" t="n"/>
      <c r="B412" s="121" t="n"/>
      <c r="C412" s="121" t="n"/>
      <c r="D412" s="121" t="n"/>
      <c r="E412" s="121" t="n"/>
      <c r="F412" s="121" t="n"/>
      <c r="G412" s="121" t="n"/>
      <c r="H412" s="121" t="n"/>
      <c r="I412" s="121" t="n"/>
      <c r="J412" s="122">
        <f>IF($A412="","",$B412+$C412+$D412-$E412+$F412-$G412)</f>
        <v/>
      </c>
      <c r="K412" s="122">
        <f>IF($A412="","",MAX(0,$B412-$J412))</f>
        <v/>
      </c>
      <c r="L412" s="123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</row>
    <row r="413" ht="15" customHeight="1" s="80">
      <c r="A413" s="125" t="n"/>
      <c r="B413" s="121" t="n"/>
      <c r="C413" s="121" t="n"/>
      <c r="D413" s="121" t="n"/>
      <c r="E413" s="121" t="n"/>
      <c r="F413" s="121" t="n"/>
      <c r="G413" s="121" t="n"/>
      <c r="H413" s="121" t="n"/>
      <c r="I413" s="121" t="n"/>
      <c r="J413" s="122">
        <f>IF($A413="","",$B413+$C413+$D413-$E413+$F413-$G413)</f>
        <v/>
      </c>
      <c r="K413" s="122">
        <f>IF($A413="","",MAX(0,$B413-$J413))</f>
        <v/>
      </c>
      <c r="L413" s="123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</row>
    <row r="414" ht="15" customHeight="1" s="80">
      <c r="A414" s="125" t="n"/>
      <c r="B414" s="121" t="n"/>
      <c r="C414" s="121" t="n"/>
      <c r="D414" s="121" t="n"/>
      <c r="E414" s="121" t="n"/>
      <c r="F414" s="121" t="n"/>
      <c r="G414" s="121" t="n"/>
      <c r="H414" s="121" t="n"/>
      <c r="I414" s="121" t="n"/>
      <c r="J414" s="122">
        <f>IF($A414="","",$B414+$C414+$D414-$E414+$F414-$G414)</f>
        <v/>
      </c>
      <c r="K414" s="122">
        <f>IF($A414="","",MAX(0,$B414-$J414))</f>
        <v/>
      </c>
      <c r="L414" s="123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</row>
    <row r="415" ht="15" customHeight="1" s="80">
      <c r="A415" s="125" t="n"/>
      <c r="B415" s="121" t="n"/>
      <c r="C415" s="121" t="n"/>
      <c r="D415" s="121" t="n"/>
      <c r="E415" s="121" t="n"/>
      <c r="F415" s="121" t="n"/>
      <c r="G415" s="121" t="n"/>
      <c r="H415" s="121" t="n"/>
      <c r="I415" s="121" t="n"/>
      <c r="J415" s="122">
        <f>IF($A415="","",$B415+$C415+$D415-$E415+$F415-$G415)</f>
        <v/>
      </c>
      <c r="K415" s="122">
        <f>IF($A415="","",MAX(0,$B415-$J415))</f>
        <v/>
      </c>
      <c r="L415" s="123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</row>
    <row r="416" ht="15" customHeight="1" s="80">
      <c r="A416" s="125" t="n"/>
      <c r="B416" s="121" t="n"/>
      <c r="C416" s="121" t="n"/>
      <c r="D416" s="121" t="n"/>
      <c r="E416" s="121" t="n"/>
      <c r="F416" s="121" t="n"/>
      <c r="G416" s="121" t="n"/>
      <c r="H416" s="121" t="n"/>
      <c r="I416" s="121" t="n"/>
      <c r="J416" s="122">
        <f>IF($A416="","",$B416+$C416+$D416-$E416+$F416-$G416)</f>
        <v/>
      </c>
      <c r="K416" s="122">
        <f>IF($A416="","",MAX(0,$B416-$J416))</f>
        <v/>
      </c>
      <c r="L416" s="123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</row>
    <row r="417" ht="15" customHeight="1" s="80">
      <c r="A417" s="125" t="n"/>
      <c r="B417" s="121" t="n"/>
      <c r="C417" s="121" t="n"/>
      <c r="D417" s="121" t="n"/>
      <c r="E417" s="121" t="n"/>
      <c r="F417" s="121" t="n"/>
      <c r="G417" s="121" t="n"/>
      <c r="H417" s="121" t="n"/>
      <c r="I417" s="121" t="n"/>
      <c r="J417" s="122">
        <f>IF($A417="","",$B417+$C417+$D417-$E417+$F417-$G417)</f>
        <v/>
      </c>
      <c r="K417" s="122">
        <f>IF($A417="","",MAX(0,$B417-$J417))</f>
        <v/>
      </c>
      <c r="L417" s="123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</row>
    <row r="418" ht="15" customHeight="1" s="80">
      <c r="A418" s="125" t="n"/>
      <c r="B418" s="121" t="n"/>
      <c r="C418" s="121" t="n"/>
      <c r="D418" s="121" t="n"/>
      <c r="E418" s="121" t="n"/>
      <c r="F418" s="121" t="n"/>
      <c r="G418" s="121" t="n"/>
      <c r="H418" s="121" t="n"/>
      <c r="I418" s="121" t="n"/>
      <c r="J418" s="122">
        <f>IF($A418="","",$B418+$C418+$D418-$E418+$F418-$G418)</f>
        <v/>
      </c>
      <c r="K418" s="122">
        <f>IF($A418="","",MAX(0,$B418-$J418))</f>
        <v/>
      </c>
      <c r="L418" s="123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</row>
    <row r="419" ht="15" customHeight="1" s="80">
      <c r="A419" s="125" t="n"/>
      <c r="B419" s="121" t="n"/>
      <c r="C419" s="121" t="n"/>
      <c r="D419" s="121" t="n"/>
      <c r="E419" s="121" t="n"/>
      <c r="F419" s="121" t="n"/>
      <c r="G419" s="121" t="n"/>
      <c r="H419" s="121" t="n"/>
      <c r="I419" s="121" t="n"/>
      <c r="J419" s="122">
        <f>IF($A419="","",$B419+$C419+$D419-$E419+$F419-$G419)</f>
        <v/>
      </c>
      <c r="K419" s="122">
        <f>IF($A419="","",MAX(0,$B419-$J419))</f>
        <v/>
      </c>
      <c r="L419" s="123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</row>
    <row r="420" ht="15" customHeight="1" s="80">
      <c r="A420" s="125" t="n"/>
      <c r="B420" s="121" t="n"/>
      <c r="C420" s="121" t="n"/>
      <c r="D420" s="121" t="n"/>
      <c r="E420" s="121" t="n"/>
      <c r="F420" s="121" t="n"/>
      <c r="G420" s="121" t="n"/>
      <c r="H420" s="121" t="n"/>
      <c r="I420" s="121" t="n"/>
      <c r="J420" s="122">
        <f>IF($A420="","",$B420+$C420+$D420-$E420+$F420-$G420)</f>
        <v/>
      </c>
      <c r="K420" s="122">
        <f>IF($A420="","",MAX(0,$B420-$J420))</f>
        <v/>
      </c>
      <c r="L420" s="123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</row>
    <row r="421" ht="15" customHeight="1" s="80">
      <c r="A421" s="125" t="n"/>
      <c r="B421" s="121" t="n"/>
      <c r="C421" s="121" t="n"/>
      <c r="D421" s="121" t="n"/>
      <c r="E421" s="121" t="n"/>
      <c r="F421" s="121" t="n"/>
      <c r="G421" s="121" t="n"/>
      <c r="H421" s="121" t="n"/>
      <c r="I421" s="121" t="n"/>
      <c r="J421" s="122">
        <f>IF($A421="","",$B421+$C421+$D421-$E421+$F421-$G421)</f>
        <v/>
      </c>
      <c r="K421" s="122">
        <f>IF($A421="","",MAX(0,$B421-$J421))</f>
        <v/>
      </c>
      <c r="L421" s="123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</row>
    <row r="422" ht="15" customHeight="1" s="80">
      <c r="A422" s="125" t="n"/>
      <c r="B422" s="121" t="n"/>
      <c r="C422" s="121" t="n"/>
      <c r="D422" s="121" t="n"/>
      <c r="E422" s="121" t="n"/>
      <c r="F422" s="121" t="n"/>
      <c r="G422" s="121" t="n"/>
      <c r="H422" s="121" t="n"/>
      <c r="I422" s="121" t="n"/>
      <c r="J422" s="122">
        <f>IF($A422="","",$B422+$C422+$D422-$E422+$F422-$G422)</f>
        <v/>
      </c>
      <c r="K422" s="122">
        <f>IF($A422="","",MAX(0,$B422-$J422))</f>
        <v/>
      </c>
      <c r="L422" s="123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</row>
    <row r="423" ht="15" customHeight="1" s="80">
      <c r="A423" s="125" t="n"/>
      <c r="B423" s="121" t="n"/>
      <c r="C423" s="121" t="n"/>
      <c r="D423" s="121" t="n"/>
      <c r="E423" s="121" t="n"/>
      <c r="F423" s="121" t="n"/>
      <c r="G423" s="121" t="n"/>
      <c r="H423" s="121" t="n"/>
      <c r="I423" s="121" t="n"/>
      <c r="J423" s="122">
        <f>IF($A423="","",$B423+$C423+$D423-$E423+$F423-$G423)</f>
        <v/>
      </c>
      <c r="K423" s="122">
        <f>IF($A423="","",MAX(0,$B423-$J423))</f>
        <v/>
      </c>
      <c r="L423" s="123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</row>
    <row r="424" ht="15" customHeight="1" s="80">
      <c r="A424" s="125" t="n"/>
      <c r="B424" s="121" t="n"/>
      <c r="C424" s="121" t="n"/>
      <c r="D424" s="121" t="n"/>
      <c r="E424" s="121" t="n"/>
      <c r="F424" s="121" t="n"/>
      <c r="G424" s="121" t="n"/>
      <c r="H424" s="121" t="n"/>
      <c r="I424" s="121" t="n"/>
      <c r="J424" s="122">
        <f>IF($A424="","",$B424+$C424+$D424-$E424+$F424-$G424)</f>
        <v/>
      </c>
      <c r="K424" s="122">
        <f>IF($A424="","",MAX(0,$B424-$J424))</f>
        <v/>
      </c>
      <c r="L424" s="123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</row>
    <row r="425" ht="15" customHeight="1" s="80">
      <c r="A425" s="125" t="n"/>
      <c r="B425" s="121" t="n"/>
      <c r="C425" s="121" t="n"/>
      <c r="D425" s="121" t="n"/>
      <c r="E425" s="121" t="n"/>
      <c r="F425" s="121" t="n"/>
      <c r="G425" s="121" t="n"/>
      <c r="H425" s="121" t="n"/>
      <c r="I425" s="121" t="n"/>
      <c r="J425" s="122">
        <f>IF($A425="","",$B425+$C425+$D425-$E425+$F425-$G425)</f>
        <v/>
      </c>
      <c r="K425" s="122">
        <f>IF($A425="","",MAX(0,$B425-$J425))</f>
        <v/>
      </c>
      <c r="L425" s="123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</row>
    <row r="426" ht="15" customHeight="1" s="80">
      <c r="A426" s="125" t="n"/>
      <c r="B426" s="121" t="n"/>
      <c r="C426" s="121" t="n"/>
      <c r="D426" s="121" t="n"/>
      <c r="E426" s="121" t="n"/>
      <c r="F426" s="121" t="n"/>
      <c r="G426" s="121" t="n"/>
      <c r="H426" s="121" t="n"/>
      <c r="I426" s="121" t="n"/>
      <c r="J426" s="122">
        <f>IF($A426="","",$B426+$C426+$D426-$E426+$F426-$G426)</f>
        <v/>
      </c>
      <c r="K426" s="122">
        <f>IF($A426="","",MAX(0,$B426-$J426))</f>
        <v/>
      </c>
      <c r="L426" s="123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</row>
    <row r="427" ht="15" customHeight="1" s="80">
      <c r="A427" s="125" t="n"/>
      <c r="B427" s="121" t="n"/>
      <c r="C427" s="121" t="n"/>
      <c r="D427" s="121" t="n"/>
      <c r="E427" s="121" t="n"/>
      <c r="F427" s="121" t="n"/>
      <c r="G427" s="121" t="n"/>
      <c r="H427" s="121" t="n"/>
      <c r="I427" s="121" t="n"/>
      <c r="J427" s="122">
        <f>IF($A427="","",$B427+$C427+$D427-$E427+$F427-$G427)</f>
        <v/>
      </c>
      <c r="K427" s="122">
        <f>IF($A427="","",MAX(0,$B427-$J427))</f>
        <v/>
      </c>
      <c r="L427" s="123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</row>
    <row r="428" ht="15" customHeight="1" s="80">
      <c r="A428" s="125" t="n"/>
      <c r="B428" s="121" t="n"/>
      <c r="C428" s="121" t="n"/>
      <c r="D428" s="121" t="n"/>
      <c r="E428" s="121" t="n"/>
      <c r="F428" s="121" t="n"/>
      <c r="G428" s="121" t="n"/>
      <c r="H428" s="121" t="n"/>
      <c r="I428" s="121" t="n"/>
      <c r="J428" s="122">
        <f>IF($A428="","",$B428+$C428+$D428-$E428+$F428-$G428)</f>
        <v/>
      </c>
      <c r="K428" s="122">
        <f>IF($A428="","",MAX(0,$B428-$J428))</f>
        <v/>
      </c>
      <c r="L428" s="123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</row>
    <row r="429" ht="15" customHeight="1" s="80">
      <c r="A429" s="125" t="n"/>
      <c r="B429" s="121" t="n"/>
      <c r="C429" s="121" t="n"/>
      <c r="D429" s="121" t="n"/>
      <c r="E429" s="121" t="n"/>
      <c r="F429" s="121" t="n"/>
      <c r="G429" s="121" t="n"/>
      <c r="H429" s="121" t="n"/>
      <c r="I429" s="121" t="n"/>
      <c r="J429" s="122">
        <f>IF($A429="","",$B429+$C429+$D429-$E429+$F429-$G429)</f>
        <v/>
      </c>
      <c r="K429" s="122">
        <f>IF($A429="","",MAX(0,$B429-$J429))</f>
        <v/>
      </c>
      <c r="L429" s="123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</row>
    <row r="430" ht="15" customHeight="1" s="80">
      <c r="A430" s="125" t="n"/>
      <c r="B430" s="121" t="n"/>
      <c r="C430" s="121" t="n"/>
      <c r="D430" s="121" t="n"/>
      <c r="E430" s="121" t="n"/>
      <c r="F430" s="121" t="n"/>
      <c r="G430" s="121" t="n"/>
      <c r="H430" s="121" t="n"/>
      <c r="I430" s="121" t="n"/>
      <c r="J430" s="122">
        <f>IF($A430="","",$B430+$C430+$D430-$E430+$F430-$G430)</f>
        <v/>
      </c>
      <c r="K430" s="122">
        <f>IF($A430="","",MAX(0,$B430-$J430))</f>
        <v/>
      </c>
      <c r="L430" s="123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</row>
    <row r="431" ht="15" customHeight="1" s="80">
      <c r="A431" s="125" t="n"/>
      <c r="B431" s="121" t="n"/>
      <c r="C431" s="121" t="n"/>
      <c r="D431" s="121" t="n"/>
      <c r="E431" s="121" t="n"/>
      <c r="F431" s="121" t="n"/>
      <c r="G431" s="121" t="n"/>
      <c r="H431" s="121" t="n"/>
      <c r="I431" s="121" t="n"/>
      <c r="J431" s="122">
        <f>IF($A431="","",$B431+$C431+$D431-$E431+$F431-$G431)</f>
        <v/>
      </c>
      <c r="K431" s="122">
        <f>IF($A431="","",MAX(0,$B431-$J431))</f>
        <v/>
      </c>
      <c r="L431" s="123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</row>
    <row r="432" ht="15" customHeight="1" s="80">
      <c r="A432" s="125" t="n"/>
      <c r="B432" s="121" t="n"/>
      <c r="C432" s="121" t="n"/>
      <c r="D432" s="121" t="n"/>
      <c r="E432" s="121" t="n"/>
      <c r="F432" s="121" t="n"/>
      <c r="G432" s="121" t="n"/>
      <c r="H432" s="121" t="n"/>
      <c r="I432" s="121" t="n"/>
      <c r="J432" s="122">
        <f>IF($A432="","",$B432+$C432+$D432-$E432+$F432-$G432)</f>
        <v/>
      </c>
      <c r="K432" s="122">
        <f>IF($A432="","",MAX(0,$B432-$J432))</f>
        <v/>
      </c>
      <c r="L432" s="123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</row>
    <row r="433" ht="15" customHeight="1" s="80">
      <c r="A433" s="125" t="n"/>
      <c r="B433" s="121" t="n"/>
      <c r="C433" s="121" t="n"/>
      <c r="D433" s="121" t="n"/>
      <c r="E433" s="121" t="n"/>
      <c r="F433" s="121" t="n"/>
      <c r="G433" s="121" t="n"/>
      <c r="H433" s="121" t="n"/>
      <c r="I433" s="121" t="n"/>
      <c r="J433" s="122">
        <f>IF($A433="","",$B433+$C433+$D433-$E433+$F433-$G433)</f>
        <v/>
      </c>
      <c r="K433" s="122">
        <f>IF($A433="","",MAX(0,$B433-$J433))</f>
        <v/>
      </c>
      <c r="L433" s="123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</row>
    <row r="434" ht="15" customHeight="1" s="80">
      <c r="A434" s="125" t="n"/>
      <c r="B434" s="121" t="n"/>
      <c r="C434" s="121" t="n"/>
      <c r="D434" s="121" t="n"/>
      <c r="E434" s="121" t="n"/>
      <c r="F434" s="121" t="n"/>
      <c r="G434" s="121" t="n"/>
      <c r="H434" s="121" t="n"/>
      <c r="I434" s="121" t="n"/>
      <c r="J434" s="122">
        <f>IF($A434="","",$B434+$C434+$D434-$E434+$F434-$G434)</f>
        <v/>
      </c>
      <c r="K434" s="122">
        <f>IF($A434="","",MAX(0,$B434-$J434))</f>
        <v/>
      </c>
      <c r="L434" s="123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</row>
    <row r="435" ht="15" customHeight="1" s="80">
      <c r="A435" s="125" t="n"/>
      <c r="B435" s="121" t="n"/>
      <c r="C435" s="121" t="n"/>
      <c r="D435" s="121" t="n"/>
      <c r="E435" s="121" t="n"/>
      <c r="F435" s="121" t="n"/>
      <c r="G435" s="121" t="n"/>
      <c r="H435" s="121" t="n"/>
      <c r="I435" s="121" t="n"/>
      <c r="J435" s="122">
        <f>IF($A435="","",$B435+$C435+$D435-$E435+$F435-$G435)</f>
        <v/>
      </c>
      <c r="K435" s="122">
        <f>IF($A435="","",MAX(0,$B435-$J435))</f>
        <v/>
      </c>
      <c r="L435" s="123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</row>
    <row r="436" ht="15" customHeight="1" s="80">
      <c r="A436" s="125" t="n"/>
      <c r="B436" s="121" t="n"/>
      <c r="C436" s="121" t="n"/>
      <c r="D436" s="121" t="n"/>
      <c r="E436" s="121" t="n"/>
      <c r="F436" s="121" t="n"/>
      <c r="G436" s="121" t="n"/>
      <c r="H436" s="121" t="n"/>
      <c r="I436" s="121" t="n"/>
      <c r="J436" s="122">
        <f>IF($A436="","",$B436+$C436+$D436-$E436+$F436-$G436)</f>
        <v/>
      </c>
      <c r="K436" s="122">
        <f>IF($A436="","",MAX(0,$B436-$J436))</f>
        <v/>
      </c>
      <c r="L436" s="123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</row>
    <row r="437" ht="15" customHeight="1" s="80">
      <c r="A437" s="125" t="n"/>
      <c r="B437" s="121" t="n"/>
      <c r="C437" s="121" t="n"/>
      <c r="D437" s="121" t="n"/>
      <c r="E437" s="121" t="n"/>
      <c r="F437" s="121" t="n"/>
      <c r="G437" s="121" t="n"/>
      <c r="H437" s="121" t="n"/>
      <c r="I437" s="121" t="n"/>
      <c r="J437" s="122">
        <f>IF($A437="","",$B437+$C437+$D437-$E437+$F437-$G437)</f>
        <v/>
      </c>
      <c r="K437" s="122">
        <f>IF($A437="","",MAX(0,$B437-$J437))</f>
        <v/>
      </c>
      <c r="L437" s="123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</row>
    <row r="438" ht="15" customHeight="1" s="80">
      <c r="A438" s="125" t="n"/>
      <c r="B438" s="121" t="n"/>
      <c r="C438" s="121" t="n"/>
      <c r="D438" s="121" t="n"/>
      <c r="E438" s="121" t="n"/>
      <c r="F438" s="121" t="n"/>
      <c r="G438" s="121" t="n"/>
      <c r="H438" s="121" t="n"/>
      <c r="I438" s="121" t="n"/>
      <c r="J438" s="122">
        <f>IF($A438="","",$B438+$C438+$D438-$E438+$F438-$G438)</f>
        <v/>
      </c>
      <c r="K438" s="122">
        <f>IF($A438="","",MAX(0,$B438-$J438))</f>
        <v/>
      </c>
      <c r="L438" s="123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</row>
    <row r="439" ht="15" customHeight="1" s="80">
      <c r="A439" s="125" t="n"/>
      <c r="B439" s="121" t="n"/>
      <c r="C439" s="121" t="n"/>
      <c r="D439" s="121" t="n"/>
      <c r="E439" s="121" t="n"/>
      <c r="F439" s="121" t="n"/>
      <c r="G439" s="121" t="n"/>
      <c r="H439" s="121" t="n"/>
      <c r="I439" s="121" t="n"/>
      <c r="J439" s="122">
        <f>IF($A439="","",$B439+$C439+$D439-$E439+$F439-$G439)</f>
        <v/>
      </c>
      <c r="K439" s="122">
        <f>IF($A439="","",MAX(0,$B439-$J439))</f>
        <v/>
      </c>
      <c r="L439" s="123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</row>
    <row r="440" ht="15" customHeight="1" s="80">
      <c r="A440" s="125" t="n"/>
      <c r="B440" s="121" t="n"/>
      <c r="C440" s="121" t="n"/>
      <c r="D440" s="121" t="n"/>
      <c r="E440" s="121" t="n"/>
      <c r="F440" s="121" t="n"/>
      <c r="G440" s="121" t="n"/>
      <c r="H440" s="121" t="n"/>
      <c r="I440" s="121" t="n"/>
      <c r="J440" s="122">
        <f>IF($A440="","",$B440+$C440+$D440-$E440+$F440-$G440)</f>
        <v/>
      </c>
      <c r="K440" s="122">
        <f>IF($A440="","",MAX(0,$B440-$J440))</f>
        <v/>
      </c>
      <c r="L440" s="123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</row>
    <row r="441" ht="15" customHeight="1" s="80">
      <c r="A441" s="125" t="n"/>
      <c r="B441" s="121" t="n"/>
      <c r="C441" s="121" t="n"/>
      <c r="D441" s="121" t="n"/>
      <c r="E441" s="121" t="n"/>
      <c r="F441" s="121" t="n"/>
      <c r="G441" s="121" t="n"/>
      <c r="H441" s="121" t="n"/>
      <c r="I441" s="121" t="n"/>
      <c r="J441" s="122">
        <f>IF($A441="","",$B441+$C441+$D441-$E441+$F441-$G441)</f>
        <v/>
      </c>
      <c r="K441" s="122">
        <f>IF($A441="","",MAX(0,$B441-$J441))</f>
        <v/>
      </c>
      <c r="L441" s="123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</row>
    <row r="442" ht="15" customHeight="1" s="80">
      <c r="A442" s="125" t="n"/>
      <c r="B442" s="121" t="n"/>
      <c r="C442" s="121" t="n"/>
      <c r="D442" s="121" t="n"/>
      <c r="E442" s="121" t="n"/>
      <c r="F442" s="121" t="n"/>
      <c r="G442" s="121" t="n"/>
      <c r="H442" s="121" t="n"/>
      <c r="I442" s="121" t="n"/>
      <c r="J442" s="122">
        <f>IF($A442="","",$B442+$C442+$D442-$E442+$F442-$G442)</f>
        <v/>
      </c>
      <c r="K442" s="122">
        <f>IF($A442="","",MAX(0,$B442-$J442))</f>
        <v/>
      </c>
      <c r="L442" s="123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</row>
    <row r="443" ht="15" customHeight="1" s="80">
      <c r="A443" s="125" t="n"/>
      <c r="B443" s="121" t="n"/>
      <c r="C443" s="121" t="n"/>
      <c r="D443" s="121" t="n"/>
      <c r="E443" s="121" t="n"/>
      <c r="F443" s="121" t="n"/>
      <c r="G443" s="121" t="n"/>
      <c r="H443" s="121" t="n"/>
      <c r="I443" s="121" t="n"/>
      <c r="J443" s="122">
        <f>IF($A443="","",$B443+$C443+$D443-$E443+$F443-$G443)</f>
        <v/>
      </c>
      <c r="K443" s="122">
        <f>IF($A443="","",MAX(0,$B443-$J443))</f>
        <v/>
      </c>
      <c r="L443" s="123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</row>
    <row r="444" ht="15" customHeight="1" s="80">
      <c r="A444" s="125" t="n"/>
      <c r="B444" s="121" t="n"/>
      <c r="C444" s="121" t="n"/>
      <c r="D444" s="121" t="n"/>
      <c r="E444" s="121" t="n"/>
      <c r="F444" s="121" t="n"/>
      <c r="G444" s="121" t="n"/>
      <c r="H444" s="121" t="n"/>
      <c r="I444" s="121" t="n"/>
      <c r="J444" s="122">
        <f>IF($A444="","",$B444+$C444+$D444-$E444+$F444-$G444)</f>
        <v/>
      </c>
      <c r="K444" s="122">
        <f>IF($A444="","",MAX(0,$B444-$J444))</f>
        <v/>
      </c>
      <c r="L444" s="123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</row>
    <row r="445" ht="15" customHeight="1" s="80">
      <c r="A445" s="125" t="n"/>
      <c r="B445" s="121" t="n"/>
      <c r="C445" s="121" t="n"/>
      <c r="D445" s="121" t="n"/>
      <c r="E445" s="121" t="n"/>
      <c r="F445" s="121" t="n"/>
      <c r="G445" s="121" t="n"/>
      <c r="H445" s="121" t="n"/>
      <c r="I445" s="121" t="n"/>
      <c r="J445" s="122">
        <f>IF($A445="","",$B445+$C445+$D445-$E445+$F445-$G445)</f>
        <v/>
      </c>
      <c r="K445" s="122">
        <f>IF($A445="","",MAX(0,$B445-$J445))</f>
        <v/>
      </c>
      <c r="L445" s="123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</row>
    <row r="446" ht="15" customHeight="1" s="80">
      <c r="A446" s="125" t="n"/>
      <c r="B446" s="121" t="n"/>
      <c r="C446" s="121" t="n"/>
      <c r="D446" s="121" t="n"/>
      <c r="E446" s="121" t="n"/>
      <c r="F446" s="121" t="n"/>
      <c r="G446" s="121" t="n"/>
      <c r="H446" s="121" t="n"/>
      <c r="I446" s="121" t="n"/>
      <c r="J446" s="122">
        <f>IF($A446="","",$B446+$C446+$D446-$E446+$F446-$G446)</f>
        <v/>
      </c>
      <c r="K446" s="122">
        <f>IF($A446="","",MAX(0,$B446-$J446))</f>
        <v/>
      </c>
      <c r="L446" s="123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</row>
    <row r="447" ht="15" customHeight="1" s="80">
      <c r="A447" s="125" t="n"/>
      <c r="B447" s="121" t="n"/>
      <c r="C447" s="121" t="n"/>
      <c r="D447" s="121" t="n"/>
      <c r="E447" s="121" t="n"/>
      <c r="F447" s="121" t="n"/>
      <c r="G447" s="121" t="n"/>
      <c r="H447" s="121" t="n"/>
      <c r="I447" s="121" t="n"/>
      <c r="J447" s="122">
        <f>IF($A447="","",$B447+$C447+$D447-$E447+$F447-$G447)</f>
        <v/>
      </c>
      <c r="K447" s="122">
        <f>IF($A447="","",MAX(0,$B447-$J447))</f>
        <v/>
      </c>
      <c r="L447" s="123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</row>
    <row r="448" ht="15" customHeight="1" s="80">
      <c r="A448" s="125" t="n"/>
      <c r="B448" s="121" t="n"/>
      <c r="C448" s="121" t="n"/>
      <c r="D448" s="121" t="n"/>
      <c r="E448" s="121" t="n"/>
      <c r="F448" s="121" t="n"/>
      <c r="G448" s="121" t="n"/>
      <c r="H448" s="121" t="n"/>
      <c r="I448" s="121" t="n"/>
      <c r="J448" s="122">
        <f>IF($A448="","",$B448+$C448+$D448-$E448+$F448-$G448)</f>
        <v/>
      </c>
      <c r="K448" s="122">
        <f>IF($A448="","",MAX(0,$B448-$J448))</f>
        <v/>
      </c>
      <c r="L448" s="123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</row>
    <row r="449" ht="15" customHeight="1" s="80">
      <c r="A449" s="125" t="n"/>
      <c r="B449" s="121" t="n"/>
      <c r="C449" s="121" t="n"/>
      <c r="D449" s="121" t="n"/>
      <c r="E449" s="121" t="n"/>
      <c r="F449" s="121" t="n"/>
      <c r="G449" s="121" t="n"/>
      <c r="H449" s="121" t="n"/>
      <c r="I449" s="121" t="n"/>
      <c r="J449" s="122">
        <f>IF($A449="","",$B449+$C449+$D449-$E449+$F449-$G449)</f>
        <v/>
      </c>
      <c r="K449" s="122">
        <f>IF($A449="","",MAX(0,$B449-$J449))</f>
        <v/>
      </c>
      <c r="L449" s="123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</row>
    <row r="450" ht="15" customHeight="1" s="80">
      <c r="A450" s="125" t="n"/>
      <c r="B450" s="121" t="n"/>
      <c r="C450" s="121" t="n"/>
      <c r="D450" s="121" t="n"/>
      <c r="E450" s="121" t="n"/>
      <c r="F450" s="121" t="n"/>
      <c r="G450" s="121" t="n"/>
      <c r="H450" s="121" t="n"/>
      <c r="I450" s="121" t="n"/>
      <c r="J450" s="122">
        <f>IF($A450="","",$B450+$C450+$D450-$E450+$F450-$G450)</f>
        <v/>
      </c>
      <c r="K450" s="122">
        <f>IF($A450="","",MAX(0,$B450-$J450))</f>
        <v/>
      </c>
      <c r="L450" s="123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</row>
    <row r="451" ht="15" customHeight="1" s="80">
      <c r="A451" s="125" t="n"/>
      <c r="B451" s="121" t="n"/>
      <c r="C451" s="121" t="n"/>
      <c r="D451" s="121" t="n"/>
      <c r="E451" s="121" t="n"/>
      <c r="F451" s="121" t="n"/>
      <c r="G451" s="121" t="n"/>
      <c r="H451" s="121" t="n"/>
      <c r="I451" s="121" t="n"/>
      <c r="J451" s="122">
        <f>IF($A451="","",$B451+$C451+$D451-$E451+$F451-$G451)</f>
        <v/>
      </c>
      <c r="K451" s="122">
        <f>IF($A451="","",MAX(0,$B451-$J451))</f>
        <v/>
      </c>
      <c r="L451" s="123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</row>
    <row r="452" ht="15" customHeight="1" s="80">
      <c r="A452" s="125" t="n"/>
      <c r="B452" s="121" t="n"/>
      <c r="C452" s="121" t="n"/>
      <c r="D452" s="121" t="n"/>
      <c r="E452" s="121" t="n"/>
      <c r="F452" s="121" t="n"/>
      <c r="G452" s="121" t="n"/>
      <c r="H452" s="121" t="n"/>
      <c r="I452" s="121" t="n"/>
      <c r="J452" s="122">
        <f>IF($A452="","",$B452+$C452+$D452-$E452+$F452-$G452)</f>
        <v/>
      </c>
      <c r="K452" s="122">
        <f>IF($A452="","",MAX(0,$B452-$J452))</f>
        <v/>
      </c>
      <c r="L452" s="123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</row>
    <row r="453" ht="15" customHeight="1" s="80">
      <c r="A453" s="125" t="n"/>
      <c r="B453" s="121" t="n"/>
      <c r="C453" s="121" t="n"/>
      <c r="D453" s="121" t="n"/>
      <c r="E453" s="121" t="n"/>
      <c r="F453" s="121" t="n"/>
      <c r="G453" s="121" t="n"/>
      <c r="H453" s="121" t="n"/>
      <c r="I453" s="121" t="n"/>
      <c r="J453" s="122">
        <f>IF($A453="","",$B453+$C453+$D453-$E453+$F453-$G453)</f>
        <v/>
      </c>
      <c r="K453" s="122">
        <f>IF($A453="","",MAX(0,$B453-$J453))</f>
        <v/>
      </c>
      <c r="L453" s="123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</row>
    <row r="454" ht="15" customHeight="1" s="80">
      <c r="A454" s="125" t="n"/>
      <c r="B454" s="121" t="n"/>
      <c r="C454" s="121" t="n"/>
      <c r="D454" s="121" t="n"/>
      <c r="E454" s="121" t="n"/>
      <c r="F454" s="121" t="n"/>
      <c r="G454" s="121" t="n"/>
      <c r="H454" s="121" t="n"/>
      <c r="I454" s="121" t="n"/>
      <c r="J454" s="122">
        <f>IF($A454="","",$B454+$C454+$D454-$E454+$F454-$G454)</f>
        <v/>
      </c>
      <c r="K454" s="122">
        <f>IF($A454="","",MAX(0,$B454-$J454))</f>
        <v/>
      </c>
      <c r="L454" s="123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</row>
    <row r="455" ht="15" customHeight="1" s="80">
      <c r="A455" s="125" t="n"/>
      <c r="B455" s="121" t="n"/>
      <c r="C455" s="121" t="n"/>
      <c r="D455" s="121" t="n"/>
      <c r="E455" s="121" t="n"/>
      <c r="F455" s="121" t="n"/>
      <c r="G455" s="121" t="n"/>
      <c r="H455" s="121" t="n"/>
      <c r="I455" s="121" t="n"/>
      <c r="J455" s="122">
        <f>IF($A455="","",$B455+$C455+$D455-$E455+$F455-$G455)</f>
        <v/>
      </c>
      <c r="K455" s="122">
        <f>IF($A455="","",MAX(0,$B455-$J455))</f>
        <v/>
      </c>
      <c r="L455" s="123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</row>
    <row r="456" ht="15" customHeight="1" s="80">
      <c r="A456" s="125" t="n"/>
      <c r="B456" s="121" t="n"/>
      <c r="C456" s="121" t="n"/>
      <c r="D456" s="121" t="n"/>
      <c r="E456" s="121" t="n"/>
      <c r="F456" s="121" t="n"/>
      <c r="G456" s="121" t="n"/>
      <c r="H456" s="121" t="n"/>
      <c r="I456" s="121" t="n"/>
      <c r="J456" s="122">
        <f>IF($A456="","",$B456+$C456+$D456-$E456+$F456-$G456)</f>
        <v/>
      </c>
      <c r="K456" s="122">
        <f>IF($A456="","",MAX(0,$B456-$J456))</f>
        <v/>
      </c>
      <c r="L456" s="123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</row>
    <row r="457" ht="15" customHeight="1" s="80">
      <c r="A457" s="125" t="n"/>
      <c r="B457" s="121" t="n"/>
      <c r="C457" s="121" t="n"/>
      <c r="D457" s="121" t="n"/>
      <c r="E457" s="121" t="n"/>
      <c r="F457" s="121" t="n"/>
      <c r="G457" s="121" t="n"/>
      <c r="H457" s="121" t="n"/>
      <c r="I457" s="121" t="n"/>
      <c r="J457" s="122">
        <f>IF($A457="","",$B457+$C457+$D457-$E457+$F457-$G457)</f>
        <v/>
      </c>
      <c r="K457" s="122">
        <f>IF($A457="","",MAX(0,$B457-$J457))</f>
        <v/>
      </c>
      <c r="L457" s="123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</row>
    <row r="458" ht="15" customHeight="1" s="80">
      <c r="A458" s="125" t="n"/>
      <c r="B458" s="121" t="n"/>
      <c r="C458" s="121" t="n"/>
      <c r="D458" s="121" t="n"/>
      <c r="E458" s="121" t="n"/>
      <c r="F458" s="121" t="n"/>
      <c r="G458" s="121" t="n"/>
      <c r="H458" s="121" t="n"/>
      <c r="I458" s="121" t="n"/>
      <c r="J458" s="122">
        <f>IF($A458="","",$B458+$C458+$D458-$E458+$F458-$G458)</f>
        <v/>
      </c>
      <c r="K458" s="122">
        <f>IF($A458="","",MAX(0,$B458-$J458))</f>
        <v/>
      </c>
      <c r="L458" s="123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</row>
    <row r="459" ht="15" customHeight="1" s="80">
      <c r="A459" s="125" t="n"/>
      <c r="B459" s="121" t="n"/>
      <c r="C459" s="121" t="n"/>
      <c r="D459" s="121" t="n"/>
      <c r="E459" s="121" t="n"/>
      <c r="F459" s="121" t="n"/>
      <c r="G459" s="121" t="n"/>
      <c r="H459" s="121" t="n"/>
      <c r="I459" s="121" t="n"/>
      <c r="J459" s="122">
        <f>IF($A459="","",$B459+$C459+$D459-$E459+$F459-$G459)</f>
        <v/>
      </c>
      <c r="K459" s="122">
        <f>IF($A459="","",MAX(0,$B459-$J459))</f>
        <v/>
      </c>
      <c r="L459" s="123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</row>
    <row r="460" ht="15" customHeight="1" s="80">
      <c r="A460" s="125" t="n"/>
      <c r="B460" s="121" t="n"/>
      <c r="C460" s="121" t="n"/>
      <c r="D460" s="121" t="n"/>
      <c r="E460" s="121" t="n"/>
      <c r="F460" s="121" t="n"/>
      <c r="G460" s="121" t="n"/>
      <c r="H460" s="121" t="n"/>
      <c r="I460" s="121" t="n"/>
      <c r="J460" s="122">
        <f>IF($A460="","",$B460+$C460+$D460-$E460+$F460-$G460)</f>
        <v/>
      </c>
      <c r="K460" s="122">
        <f>IF($A460="","",MAX(0,$B460-$J460))</f>
        <v/>
      </c>
      <c r="L460" s="123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</row>
    <row r="461" ht="15" customHeight="1" s="80">
      <c r="A461" s="125" t="n"/>
      <c r="B461" s="121" t="n"/>
      <c r="C461" s="121" t="n"/>
      <c r="D461" s="121" t="n"/>
      <c r="E461" s="121" t="n"/>
      <c r="F461" s="121" t="n"/>
      <c r="G461" s="121" t="n"/>
      <c r="H461" s="121" t="n"/>
      <c r="I461" s="121" t="n"/>
      <c r="J461" s="122">
        <f>IF($A461="","",$B461+$C461+$D461-$E461+$F461-$G461)</f>
        <v/>
      </c>
      <c r="K461" s="122">
        <f>IF($A461="","",MAX(0,$B461-$J461))</f>
        <v/>
      </c>
      <c r="L461" s="123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</row>
    <row r="462" ht="15" customHeight="1" s="80">
      <c r="A462" s="125" t="n"/>
      <c r="B462" s="121" t="n"/>
      <c r="C462" s="121" t="n"/>
      <c r="D462" s="121" t="n"/>
      <c r="E462" s="121" t="n"/>
      <c r="F462" s="121" t="n"/>
      <c r="G462" s="121" t="n"/>
      <c r="H462" s="121" t="n"/>
      <c r="I462" s="121" t="n"/>
      <c r="J462" s="122">
        <f>IF($A462="","",$B462+$C462+$D462-$E462+$F462-$G462)</f>
        <v/>
      </c>
      <c r="K462" s="122">
        <f>IF($A462="","",MAX(0,$B462-$J462))</f>
        <v/>
      </c>
      <c r="L462" s="123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</row>
    <row r="463" ht="15" customHeight="1" s="80">
      <c r="A463" s="125" t="n"/>
      <c r="B463" s="121" t="n"/>
      <c r="C463" s="121" t="n"/>
      <c r="D463" s="121" t="n"/>
      <c r="E463" s="121" t="n"/>
      <c r="F463" s="121" t="n"/>
      <c r="G463" s="121" t="n"/>
      <c r="H463" s="121" t="n"/>
      <c r="I463" s="121" t="n"/>
      <c r="J463" s="122">
        <f>IF($A463="","",$B463+$C463+$D463-$E463+$F463-$G463)</f>
        <v/>
      </c>
      <c r="K463" s="122">
        <f>IF($A463="","",MAX(0,$B463-$J463))</f>
        <v/>
      </c>
      <c r="L463" s="123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</row>
    <row r="464" ht="15" customHeight="1" s="80">
      <c r="A464" s="125" t="n"/>
      <c r="B464" s="121" t="n"/>
      <c r="C464" s="121" t="n"/>
      <c r="D464" s="121" t="n"/>
      <c r="E464" s="121" t="n"/>
      <c r="F464" s="121" t="n"/>
      <c r="G464" s="121" t="n"/>
      <c r="H464" s="121" t="n"/>
      <c r="I464" s="121" t="n"/>
      <c r="J464" s="122">
        <f>IF($A464="","",$B464+$C464+$D464-$E464+$F464-$G464)</f>
        <v/>
      </c>
      <c r="K464" s="122">
        <f>IF($A464="","",MAX(0,$B464-$J464))</f>
        <v/>
      </c>
      <c r="L464" s="123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</row>
    <row r="465" ht="15" customHeight="1" s="80">
      <c r="A465" s="125" t="n"/>
      <c r="B465" s="121" t="n"/>
      <c r="C465" s="121" t="n"/>
      <c r="D465" s="121" t="n"/>
      <c r="E465" s="121" t="n"/>
      <c r="F465" s="121" t="n"/>
      <c r="G465" s="121" t="n"/>
      <c r="H465" s="121" t="n"/>
      <c r="I465" s="121" t="n"/>
      <c r="J465" s="122">
        <f>IF($A465="","",$B465+$C465+$D465-$E465+$F465-$G465)</f>
        <v/>
      </c>
      <c r="K465" s="122">
        <f>IF($A465="","",MAX(0,$B465-$J465))</f>
        <v/>
      </c>
      <c r="L465" s="123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</row>
    <row r="466" ht="15" customHeight="1" s="80">
      <c r="A466" s="125" t="n"/>
      <c r="B466" s="121" t="n"/>
      <c r="C466" s="121" t="n"/>
      <c r="D466" s="121" t="n"/>
      <c r="E466" s="121" t="n"/>
      <c r="F466" s="121" t="n"/>
      <c r="G466" s="121" t="n"/>
      <c r="H466" s="121" t="n"/>
      <c r="I466" s="121" t="n"/>
      <c r="J466" s="122">
        <f>IF($A466="","",$B466+$C466+$D466-$E466+$F466-$G466)</f>
        <v/>
      </c>
      <c r="K466" s="122">
        <f>IF($A466="","",MAX(0,$B466-$J466))</f>
        <v/>
      </c>
      <c r="L466" s="123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</row>
    <row r="467" ht="15" customHeight="1" s="80">
      <c r="A467" s="125" t="n"/>
      <c r="B467" s="121" t="n"/>
      <c r="C467" s="121" t="n"/>
      <c r="D467" s="121" t="n"/>
      <c r="E467" s="121" t="n"/>
      <c r="F467" s="121" t="n"/>
      <c r="G467" s="121" t="n"/>
      <c r="H467" s="121" t="n"/>
      <c r="I467" s="121" t="n"/>
      <c r="J467" s="122">
        <f>IF($A467="","",$B467+$C467+$D467-$E467+$F467-$G467)</f>
        <v/>
      </c>
      <c r="K467" s="122">
        <f>IF($A467="","",MAX(0,$B467-$J467))</f>
        <v/>
      </c>
      <c r="L467" s="123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</row>
    <row r="468" ht="15" customHeight="1" s="80">
      <c r="A468" s="125" t="n"/>
      <c r="B468" s="121" t="n"/>
      <c r="C468" s="121" t="n"/>
      <c r="D468" s="121" t="n"/>
      <c r="E468" s="121" t="n"/>
      <c r="F468" s="121" t="n"/>
      <c r="G468" s="121" t="n"/>
      <c r="H468" s="121" t="n"/>
      <c r="I468" s="121" t="n"/>
      <c r="J468" s="122">
        <f>IF($A468="","",$B468+$C468+$D468-$E468+$F468-$G468)</f>
        <v/>
      </c>
      <c r="K468" s="122">
        <f>IF($A468="","",MAX(0,$B468-$J468))</f>
        <v/>
      </c>
      <c r="L468" s="123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</row>
    <row r="469" ht="15" customHeight="1" s="80">
      <c r="A469" s="125" t="n"/>
      <c r="B469" s="121" t="n"/>
      <c r="C469" s="121" t="n"/>
      <c r="D469" s="121" t="n"/>
      <c r="E469" s="121" t="n"/>
      <c r="F469" s="121" t="n"/>
      <c r="G469" s="121" t="n"/>
      <c r="H469" s="121" t="n"/>
      <c r="I469" s="121" t="n"/>
      <c r="J469" s="122">
        <f>IF($A469="","",$B469+$C469+$D469-$E469+$F469-$G469)</f>
        <v/>
      </c>
      <c r="K469" s="122">
        <f>IF($A469="","",MAX(0,$B469-$J469))</f>
        <v/>
      </c>
      <c r="L469" s="123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</row>
    <row r="470" ht="15" customHeight="1" s="80">
      <c r="A470" s="125" t="n"/>
      <c r="B470" s="121" t="n"/>
      <c r="C470" s="121" t="n"/>
      <c r="D470" s="121" t="n"/>
      <c r="E470" s="121" t="n"/>
      <c r="F470" s="121" t="n"/>
      <c r="G470" s="121" t="n"/>
      <c r="H470" s="121" t="n"/>
      <c r="I470" s="121" t="n"/>
      <c r="J470" s="122">
        <f>IF($A470="","",$B470+$C470+$D470-$E470+$F470-$G470)</f>
        <v/>
      </c>
      <c r="K470" s="122">
        <f>IF($A470="","",MAX(0,$B470-$J470))</f>
        <v/>
      </c>
      <c r="L470" s="123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</row>
    <row r="471" ht="15" customHeight="1" s="80">
      <c r="A471" s="125" t="n"/>
      <c r="B471" s="121" t="n"/>
      <c r="C471" s="121" t="n"/>
      <c r="D471" s="121" t="n"/>
      <c r="E471" s="121" t="n"/>
      <c r="F471" s="121" t="n"/>
      <c r="G471" s="121" t="n"/>
      <c r="H471" s="121" t="n"/>
      <c r="I471" s="121" t="n"/>
      <c r="J471" s="122">
        <f>IF($A471="","",$B471+$C471+$D471-$E471+$F471-$G471)</f>
        <v/>
      </c>
      <c r="K471" s="122">
        <f>IF($A471="","",MAX(0,$B471-$J471))</f>
        <v/>
      </c>
      <c r="L471" s="123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</row>
    <row r="472" ht="15" customHeight="1" s="80">
      <c r="A472" s="125" t="n"/>
      <c r="B472" s="121" t="n"/>
      <c r="C472" s="121" t="n"/>
      <c r="D472" s="121" t="n"/>
      <c r="E472" s="121" t="n"/>
      <c r="F472" s="121" t="n"/>
      <c r="G472" s="121" t="n"/>
      <c r="H472" s="121" t="n"/>
      <c r="I472" s="121" t="n"/>
      <c r="J472" s="122">
        <f>IF($A472="","",$B472+$C472+$D472-$E472+$F472-$G472)</f>
        <v/>
      </c>
      <c r="K472" s="122">
        <f>IF($A472="","",MAX(0,$B472-$J472))</f>
        <v/>
      </c>
      <c r="L472" s="123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</row>
    <row r="473" ht="15" customHeight="1" s="80">
      <c r="A473" s="125" t="n"/>
      <c r="B473" s="121" t="n"/>
      <c r="C473" s="121" t="n"/>
      <c r="D473" s="121" t="n"/>
      <c r="E473" s="121" t="n"/>
      <c r="F473" s="121" t="n"/>
      <c r="G473" s="121" t="n"/>
      <c r="H473" s="121" t="n"/>
      <c r="I473" s="121" t="n"/>
      <c r="J473" s="122">
        <f>IF($A473="","",$B473+$C473+$D473-$E473+$F473-$G473)</f>
        <v/>
      </c>
      <c r="K473" s="122">
        <f>IF($A473="","",MAX(0,$B473-$J473))</f>
        <v/>
      </c>
      <c r="L473" s="123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</row>
    <row r="474" ht="15" customHeight="1" s="80">
      <c r="A474" s="125" t="n"/>
      <c r="B474" s="121" t="n"/>
      <c r="C474" s="121" t="n"/>
      <c r="D474" s="121" t="n"/>
      <c r="E474" s="121" t="n"/>
      <c r="F474" s="121" t="n"/>
      <c r="G474" s="121" t="n"/>
      <c r="H474" s="121" t="n"/>
      <c r="I474" s="121" t="n"/>
      <c r="J474" s="122">
        <f>IF($A474="","",$B474+$C474+$D474-$E474+$F474-$G474)</f>
        <v/>
      </c>
      <c r="K474" s="122">
        <f>IF($A474="","",MAX(0,$B474-$J474))</f>
        <v/>
      </c>
      <c r="L474" s="123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</row>
    <row r="475" ht="15" customHeight="1" s="80">
      <c r="A475" s="125" t="n"/>
      <c r="B475" s="121" t="n"/>
      <c r="C475" s="121" t="n"/>
      <c r="D475" s="121" t="n"/>
      <c r="E475" s="121" t="n"/>
      <c r="F475" s="121" t="n"/>
      <c r="G475" s="121" t="n"/>
      <c r="H475" s="121" t="n"/>
      <c r="I475" s="121" t="n"/>
      <c r="J475" s="122">
        <f>IF($A475="","",$B475+$C475+$D475-$E475+$F475-$G475)</f>
        <v/>
      </c>
      <c r="K475" s="122">
        <f>IF($A475="","",MAX(0,$B475-$J475))</f>
        <v/>
      </c>
      <c r="L475" s="123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</row>
    <row r="476" ht="15" customHeight="1" s="80">
      <c r="A476" s="125" t="n"/>
      <c r="B476" s="121" t="n"/>
      <c r="C476" s="121" t="n"/>
      <c r="D476" s="121" t="n"/>
      <c r="E476" s="121" t="n"/>
      <c r="F476" s="121" t="n"/>
      <c r="G476" s="121" t="n"/>
      <c r="H476" s="121" t="n"/>
      <c r="I476" s="121" t="n"/>
      <c r="J476" s="122">
        <f>IF($A476="","",$B476+$C476+$D476-$E476+$F476-$G476)</f>
        <v/>
      </c>
      <c r="K476" s="122">
        <f>IF($A476="","",MAX(0,$B476-$J476))</f>
        <v/>
      </c>
      <c r="L476" s="123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</row>
    <row r="477" ht="15" customHeight="1" s="80">
      <c r="A477" s="125" t="n"/>
      <c r="B477" s="121" t="n"/>
      <c r="C477" s="121" t="n"/>
      <c r="D477" s="121" t="n"/>
      <c r="E477" s="121" t="n"/>
      <c r="F477" s="121" t="n"/>
      <c r="G477" s="121" t="n"/>
      <c r="H477" s="121" t="n"/>
      <c r="I477" s="121" t="n"/>
      <c r="J477" s="122">
        <f>IF($A477="","",$B477+$C477+$D477-$E477+$F477-$G477)</f>
        <v/>
      </c>
      <c r="K477" s="122">
        <f>IF($A477="","",MAX(0,$B477-$J477))</f>
        <v/>
      </c>
      <c r="L477" s="123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</row>
    <row r="478" ht="15" customHeight="1" s="80">
      <c r="A478" s="125" t="n"/>
      <c r="B478" s="121" t="n"/>
      <c r="C478" s="121" t="n"/>
      <c r="D478" s="121" t="n"/>
      <c r="E478" s="121" t="n"/>
      <c r="F478" s="121" t="n"/>
      <c r="G478" s="121" t="n"/>
      <c r="H478" s="121" t="n"/>
      <c r="I478" s="121" t="n"/>
      <c r="J478" s="122">
        <f>IF($A478="","",$B478+$C478+$D478-$E478+$F478-$G478)</f>
        <v/>
      </c>
      <c r="K478" s="122">
        <f>IF($A478="","",MAX(0,$B478-$J478))</f>
        <v/>
      </c>
      <c r="L478" s="123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</row>
    <row r="479" ht="15" customHeight="1" s="80">
      <c r="A479" s="125" t="n"/>
      <c r="B479" s="121" t="n"/>
      <c r="C479" s="121" t="n"/>
      <c r="D479" s="121" t="n"/>
      <c r="E479" s="121" t="n"/>
      <c r="F479" s="121" t="n"/>
      <c r="G479" s="121" t="n"/>
      <c r="H479" s="121" t="n"/>
      <c r="I479" s="121" t="n"/>
      <c r="J479" s="122">
        <f>IF($A479="","",$B479+$C479+$D479-$E479+$F479-$G479)</f>
        <v/>
      </c>
      <c r="K479" s="122">
        <f>IF($A479="","",MAX(0,$B479-$J479))</f>
        <v/>
      </c>
      <c r="L479" s="123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</row>
    <row r="480" ht="15" customHeight="1" s="80">
      <c r="A480" s="125" t="n"/>
      <c r="B480" s="121" t="n"/>
      <c r="C480" s="121" t="n"/>
      <c r="D480" s="121" t="n"/>
      <c r="E480" s="121" t="n"/>
      <c r="F480" s="121" t="n"/>
      <c r="G480" s="121" t="n"/>
      <c r="H480" s="121" t="n"/>
      <c r="I480" s="121" t="n"/>
      <c r="J480" s="122">
        <f>IF($A480="","",$B480+$C480+$D480-$E480+$F480-$G480)</f>
        <v/>
      </c>
      <c r="K480" s="122">
        <f>IF($A480="","",MAX(0,$B480-$J480))</f>
        <v/>
      </c>
      <c r="L480" s="123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</row>
    <row r="481" ht="15" customHeight="1" s="80">
      <c r="A481" s="125" t="n"/>
      <c r="B481" s="121" t="n"/>
      <c r="C481" s="121" t="n"/>
      <c r="D481" s="121" t="n"/>
      <c r="E481" s="121" t="n"/>
      <c r="F481" s="121" t="n"/>
      <c r="G481" s="121" t="n"/>
      <c r="H481" s="121" t="n"/>
      <c r="I481" s="121" t="n"/>
      <c r="J481" s="122">
        <f>IF($A481="","",$B481+$C481+$D481-$E481+$F481-$G481)</f>
        <v/>
      </c>
      <c r="K481" s="122">
        <f>IF($A481="","",MAX(0,$B481-$J481))</f>
        <v/>
      </c>
      <c r="L481" s="123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</row>
    <row r="482" ht="15" customHeight="1" s="80">
      <c r="A482" s="125" t="n"/>
      <c r="B482" s="121" t="n"/>
      <c r="C482" s="121" t="n"/>
      <c r="D482" s="121" t="n"/>
      <c r="E482" s="121" t="n"/>
      <c r="F482" s="121" t="n"/>
      <c r="G482" s="121" t="n"/>
      <c r="H482" s="121" t="n"/>
      <c r="I482" s="121" t="n"/>
      <c r="J482" s="122">
        <f>IF($A482="","",$B482+$C482+$D482-$E482+$F482-$G482)</f>
        <v/>
      </c>
      <c r="K482" s="122">
        <f>IF($A482="","",MAX(0,$B482-$J482))</f>
        <v/>
      </c>
      <c r="L482" s="123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</row>
    <row r="483" ht="15" customHeight="1" s="80">
      <c r="A483" s="125" t="n"/>
      <c r="B483" s="121" t="n"/>
      <c r="C483" s="121" t="n"/>
      <c r="D483" s="121" t="n"/>
      <c r="E483" s="121" t="n"/>
      <c r="F483" s="121" t="n"/>
      <c r="G483" s="121" t="n"/>
      <c r="H483" s="121" t="n"/>
      <c r="I483" s="121" t="n"/>
      <c r="J483" s="122">
        <f>IF($A483="","",$B483+$C483+$D483-$E483+$F483-$G483)</f>
        <v/>
      </c>
      <c r="K483" s="122">
        <f>IF($A483="","",MAX(0,$B483-$J483))</f>
        <v/>
      </c>
      <c r="L483" s="123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</row>
    <row r="484" ht="15" customHeight="1" s="80">
      <c r="A484" s="125" t="n"/>
      <c r="B484" s="121" t="n"/>
      <c r="C484" s="121" t="n"/>
      <c r="D484" s="121" t="n"/>
      <c r="E484" s="121" t="n"/>
      <c r="F484" s="121" t="n"/>
      <c r="G484" s="121" t="n"/>
      <c r="H484" s="121" t="n"/>
      <c r="I484" s="121" t="n"/>
      <c r="J484" s="122">
        <f>IF($A484="","",$B484+$C484+$D484-$E484+$F484-$G484)</f>
        <v/>
      </c>
      <c r="K484" s="122">
        <f>IF($A484="","",MAX(0,$B484-$J484))</f>
        <v/>
      </c>
      <c r="L484" s="123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</row>
    <row r="485" ht="15" customHeight="1" s="80">
      <c r="A485" s="125" t="n"/>
      <c r="B485" s="121" t="n"/>
      <c r="C485" s="121" t="n"/>
      <c r="D485" s="121" t="n"/>
      <c r="E485" s="121" t="n"/>
      <c r="F485" s="121" t="n"/>
      <c r="G485" s="121" t="n"/>
      <c r="H485" s="121" t="n"/>
      <c r="I485" s="121" t="n"/>
      <c r="J485" s="122">
        <f>IF($A485="","",$B485+$C485+$D485-$E485+$F485-$G485)</f>
        <v/>
      </c>
      <c r="K485" s="122">
        <f>IF($A485="","",MAX(0,$B485-$J485))</f>
        <v/>
      </c>
      <c r="L485" s="123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</row>
    <row r="486" ht="15" customHeight="1" s="80">
      <c r="A486" s="125" t="n"/>
      <c r="B486" s="121" t="n"/>
      <c r="C486" s="121" t="n"/>
      <c r="D486" s="121" t="n"/>
      <c r="E486" s="121" t="n"/>
      <c r="F486" s="121" t="n"/>
      <c r="G486" s="121" t="n"/>
      <c r="H486" s="121" t="n"/>
      <c r="I486" s="121" t="n"/>
      <c r="J486" s="122">
        <f>IF($A486="","",$B486+$C486+$D486-$E486+$F486-$G486)</f>
        <v/>
      </c>
      <c r="K486" s="122">
        <f>IF($A486="","",MAX(0,$B486-$J486))</f>
        <v/>
      </c>
      <c r="L486" s="123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</row>
    <row r="487" ht="15" customHeight="1" s="80">
      <c r="A487" s="125" t="n"/>
      <c r="B487" s="121" t="n"/>
      <c r="C487" s="121" t="n"/>
      <c r="D487" s="121" t="n"/>
      <c r="E487" s="121" t="n"/>
      <c r="F487" s="121" t="n"/>
      <c r="G487" s="121" t="n"/>
      <c r="H487" s="121" t="n"/>
      <c r="I487" s="121" t="n"/>
      <c r="J487" s="122">
        <f>IF($A487="","",$B487+$C487+$D487-$E487+$F487-$G487)</f>
        <v/>
      </c>
      <c r="K487" s="122">
        <f>IF($A487="","",MAX(0,$B487-$J487))</f>
        <v/>
      </c>
      <c r="L487" s="123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</row>
    <row r="488" ht="15" customHeight="1" s="80">
      <c r="A488" s="125" t="n"/>
      <c r="B488" s="121" t="n"/>
      <c r="C488" s="121" t="n"/>
      <c r="D488" s="121" t="n"/>
      <c r="E488" s="121" t="n"/>
      <c r="F488" s="121" t="n"/>
      <c r="G488" s="121" t="n"/>
      <c r="H488" s="121" t="n"/>
      <c r="I488" s="121" t="n"/>
      <c r="J488" s="122">
        <f>IF($A488="","",$B488+$C488+$D488-$E488+$F488-$G488)</f>
        <v/>
      </c>
      <c r="K488" s="122">
        <f>IF($A488="","",MAX(0,$B488-$J488))</f>
        <v/>
      </c>
      <c r="L488" s="123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</row>
    <row r="489" ht="15" customHeight="1" s="80">
      <c r="A489" s="125" t="n"/>
      <c r="B489" s="121" t="n"/>
      <c r="C489" s="121" t="n"/>
      <c r="D489" s="121" t="n"/>
      <c r="E489" s="121" t="n"/>
      <c r="F489" s="121" t="n"/>
      <c r="G489" s="121" t="n"/>
      <c r="H489" s="121" t="n"/>
      <c r="I489" s="121" t="n"/>
      <c r="J489" s="122">
        <f>IF($A489="","",$B489+$C489+$D489-$E489+$F489-$G489)</f>
        <v/>
      </c>
      <c r="K489" s="122">
        <f>IF($A489="","",MAX(0,$B489-$J489))</f>
        <v/>
      </c>
      <c r="L489" s="123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</row>
    <row r="490" ht="15" customHeight="1" s="80">
      <c r="A490" s="125" t="n"/>
      <c r="B490" s="121" t="n"/>
      <c r="C490" s="121" t="n"/>
      <c r="D490" s="121" t="n"/>
      <c r="E490" s="121" t="n"/>
      <c r="F490" s="121" t="n"/>
      <c r="G490" s="121" t="n"/>
      <c r="H490" s="121" t="n"/>
      <c r="I490" s="121" t="n"/>
      <c r="J490" s="122">
        <f>IF($A490="","",$B490+$C490+$D490-$E490+$F490-$G490)</f>
        <v/>
      </c>
      <c r="K490" s="122">
        <f>IF($A490="","",MAX(0,$B490-$J490))</f>
        <v/>
      </c>
      <c r="L490" s="123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</row>
    <row r="491" ht="15" customHeight="1" s="80">
      <c r="A491" s="125" t="n"/>
      <c r="B491" s="121" t="n"/>
      <c r="C491" s="121" t="n"/>
      <c r="D491" s="121" t="n"/>
      <c r="E491" s="121" t="n"/>
      <c r="F491" s="121" t="n"/>
      <c r="G491" s="121" t="n"/>
      <c r="H491" s="121" t="n"/>
      <c r="I491" s="121" t="n"/>
      <c r="J491" s="122">
        <f>IF($A491="","",$B491+$C491+$D491-$E491+$F491-$G491)</f>
        <v/>
      </c>
      <c r="K491" s="122">
        <f>IF($A491="","",MAX(0,$B491-$J491))</f>
        <v/>
      </c>
      <c r="L491" s="123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</row>
    <row r="492" ht="15" customHeight="1" s="80">
      <c r="A492" s="125" t="n"/>
      <c r="B492" s="121" t="n"/>
      <c r="C492" s="121" t="n"/>
      <c r="D492" s="121" t="n"/>
      <c r="E492" s="121" t="n"/>
      <c r="F492" s="121" t="n"/>
      <c r="G492" s="121" t="n"/>
      <c r="H492" s="121" t="n"/>
      <c r="I492" s="121" t="n"/>
      <c r="J492" s="122">
        <f>IF($A492="","",$B492+$C492+$D492-$E492+$F492-$G492)</f>
        <v/>
      </c>
      <c r="K492" s="122">
        <f>IF($A492="","",MAX(0,$B492-$J492))</f>
        <v/>
      </c>
      <c r="L492" s="123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</row>
    <row r="493" ht="15" customHeight="1" s="80">
      <c r="A493" s="125" t="n"/>
      <c r="B493" s="121" t="n"/>
      <c r="C493" s="121" t="n"/>
      <c r="D493" s="121" t="n"/>
      <c r="E493" s="121" t="n"/>
      <c r="F493" s="121" t="n"/>
      <c r="G493" s="121" t="n"/>
      <c r="H493" s="121" t="n"/>
      <c r="I493" s="121" t="n"/>
      <c r="J493" s="122">
        <f>IF($A493="","",$B493+$C493+$D493-$E493+$F493-$G493)</f>
        <v/>
      </c>
      <c r="K493" s="122">
        <f>IF($A493="","",MAX(0,$B493-$J493))</f>
        <v/>
      </c>
      <c r="L493" s="123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</row>
    <row r="494" ht="15" customHeight="1" s="80">
      <c r="A494" s="125" t="n"/>
      <c r="B494" s="121" t="n"/>
      <c r="C494" s="121" t="n"/>
      <c r="D494" s="121" t="n"/>
      <c r="E494" s="121" t="n"/>
      <c r="F494" s="121" t="n"/>
      <c r="G494" s="121" t="n"/>
      <c r="H494" s="121" t="n"/>
      <c r="I494" s="121" t="n"/>
      <c r="J494" s="122">
        <f>IF($A494="","",$B494+$C494+$D494-$E494+$F494-$G494)</f>
        <v/>
      </c>
      <c r="K494" s="122">
        <f>IF($A494="","",MAX(0,$B494-$J494))</f>
        <v/>
      </c>
      <c r="L494" s="123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</row>
    <row r="495" ht="15" customHeight="1" s="80">
      <c r="A495" s="125" t="n"/>
      <c r="B495" s="121" t="n"/>
      <c r="C495" s="121" t="n"/>
      <c r="D495" s="121" t="n"/>
      <c r="E495" s="121" t="n"/>
      <c r="F495" s="121" t="n"/>
      <c r="G495" s="121" t="n"/>
      <c r="H495" s="121" t="n"/>
      <c r="I495" s="121" t="n"/>
      <c r="J495" s="122">
        <f>IF($A495="","",$B495+$C495+$D495-$E495+$F495-$G495)</f>
        <v/>
      </c>
      <c r="K495" s="122">
        <f>IF($A495="","",MAX(0,$B495-$J495))</f>
        <v/>
      </c>
      <c r="L495" s="123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</row>
    <row r="496" ht="15" customHeight="1" s="80">
      <c r="A496" s="125" t="n"/>
      <c r="B496" s="121" t="n"/>
      <c r="C496" s="121" t="n"/>
      <c r="D496" s="121" t="n"/>
      <c r="E496" s="121" t="n"/>
      <c r="F496" s="121" t="n"/>
      <c r="G496" s="121" t="n"/>
      <c r="H496" s="121" t="n"/>
      <c r="I496" s="121" t="n"/>
      <c r="J496" s="122">
        <f>IF($A496="","",$B496+$C496+$D496-$E496+$F496-$G496)</f>
        <v/>
      </c>
      <c r="K496" s="122">
        <f>IF($A496="","",MAX(0,$B496-$J496))</f>
        <v/>
      </c>
      <c r="L496" s="123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</row>
    <row r="497" ht="15" customHeight="1" s="80">
      <c r="A497" s="125" t="n"/>
      <c r="B497" s="121" t="n"/>
      <c r="C497" s="121" t="n"/>
      <c r="D497" s="121" t="n"/>
      <c r="E497" s="121" t="n"/>
      <c r="F497" s="121" t="n"/>
      <c r="G497" s="121" t="n"/>
      <c r="H497" s="121" t="n"/>
      <c r="I497" s="121" t="n"/>
      <c r="J497" s="122">
        <f>IF($A497="","",$B497+$C497+$D497-$E497+$F497-$G497)</f>
        <v/>
      </c>
      <c r="K497" s="122">
        <f>IF($A497="","",MAX(0,$B497-$J497))</f>
        <v/>
      </c>
      <c r="L497" s="123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</row>
    <row r="498" ht="15" customHeight="1" s="80">
      <c r="A498" s="125" t="n"/>
      <c r="B498" s="121" t="n"/>
      <c r="C498" s="121" t="n"/>
      <c r="D498" s="121" t="n"/>
      <c r="E498" s="121" t="n"/>
      <c r="F498" s="121" t="n"/>
      <c r="G498" s="121" t="n"/>
      <c r="H498" s="121" t="n"/>
      <c r="I498" s="121" t="n"/>
      <c r="J498" s="122">
        <f>IF($A498="","",$B498+$C498+$D498-$E498+$F498-$G498)</f>
        <v/>
      </c>
      <c r="K498" s="122">
        <f>IF($A498="","",MAX(0,$B498-$J498))</f>
        <v/>
      </c>
      <c r="L498" s="123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</row>
    <row r="499" ht="15" customHeight="1" s="80">
      <c r="A499" s="125" t="n"/>
      <c r="B499" s="121" t="n"/>
      <c r="C499" s="121" t="n"/>
      <c r="D499" s="121" t="n"/>
      <c r="E499" s="121" t="n"/>
      <c r="F499" s="121" t="n"/>
      <c r="G499" s="121" t="n"/>
      <c r="H499" s="121" t="n"/>
      <c r="I499" s="121" t="n"/>
      <c r="J499" s="122">
        <f>IF($A499="","",$B499+$C499+$D499-$E499+$F499-$G499)</f>
        <v/>
      </c>
      <c r="K499" s="122">
        <f>IF($A499="","",MAX(0,$B499-$J499))</f>
        <v/>
      </c>
      <c r="L499" s="123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</row>
    <row r="500" ht="15" customHeight="1" s="80">
      <c r="A500" s="125" t="n"/>
      <c r="B500" s="121" t="n"/>
      <c r="C500" s="121" t="n"/>
      <c r="D500" s="121" t="n"/>
      <c r="E500" s="121" t="n"/>
      <c r="F500" s="121" t="n"/>
      <c r="G500" s="121" t="n"/>
      <c r="H500" s="121" t="n"/>
      <c r="I500" s="121" t="n"/>
      <c r="J500" s="122">
        <f>IF($A500="","",$B500+$C500+$D500-$E500+$F500-$G500)</f>
        <v/>
      </c>
      <c r="K500" s="122">
        <f>IF($A500="","",MAX(0,$B500-$J500))</f>
        <v/>
      </c>
      <c r="L500" s="123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</row>
    <row r="501" ht="15" customHeight="1" s="80">
      <c r="A501" s="125" t="n"/>
      <c r="B501" s="121" t="n"/>
      <c r="C501" s="121" t="n"/>
      <c r="D501" s="121" t="n"/>
      <c r="E501" s="121" t="n"/>
      <c r="F501" s="121" t="n"/>
      <c r="G501" s="121" t="n"/>
      <c r="H501" s="121" t="n"/>
      <c r="I501" s="121" t="n"/>
      <c r="J501" s="122">
        <f>IF($A501="","",$B501+$C501+$D501-$E501+$F501-$G501)</f>
        <v/>
      </c>
      <c r="K501" s="122">
        <f>IF($A501="","",MAX(0,$B501-$J501))</f>
        <v/>
      </c>
      <c r="L501" s="123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</row>
    <row r="502" ht="15" customHeight="1" s="80">
      <c r="A502" s="125" t="n"/>
      <c r="B502" s="121" t="n"/>
      <c r="C502" s="121" t="n"/>
      <c r="D502" s="121" t="n"/>
      <c r="E502" s="121" t="n"/>
      <c r="F502" s="121" t="n"/>
      <c r="G502" s="121" t="n"/>
      <c r="H502" s="121" t="n"/>
      <c r="I502" s="121" t="n"/>
      <c r="J502" s="122">
        <f>IF($A502="","",$B502+$C502+$D502-$E502+$F502-$G502)</f>
        <v/>
      </c>
      <c r="K502" s="122">
        <f>IF($A502="","",MAX(0,$B502-$J502))</f>
        <v/>
      </c>
      <c r="L502" s="123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</row>
    <row r="503" ht="15" customHeight="1" s="80">
      <c r="A503" s="125" t="n"/>
      <c r="B503" s="121" t="n"/>
      <c r="C503" s="121" t="n"/>
      <c r="D503" s="121" t="n"/>
      <c r="E503" s="121" t="n"/>
      <c r="F503" s="121" t="n"/>
      <c r="G503" s="121" t="n"/>
      <c r="H503" s="121" t="n"/>
      <c r="I503" s="121" t="n"/>
      <c r="J503" s="122">
        <f>IF($A503="","",$B503+$C503+$D503-$E503+$F503-$G503)</f>
        <v/>
      </c>
      <c r="K503" s="122">
        <f>IF($A503="","",MAX(0,$B503-$J503))</f>
        <v/>
      </c>
      <c r="L503" s="123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</row>
    <row r="504" ht="15" customHeight="1" s="80">
      <c r="A504" s="125" t="n"/>
      <c r="B504" s="121" t="n"/>
      <c r="C504" s="121" t="n"/>
      <c r="D504" s="121" t="n"/>
      <c r="E504" s="121" t="n"/>
      <c r="F504" s="121" t="n"/>
      <c r="G504" s="121" t="n"/>
      <c r="H504" s="121" t="n"/>
      <c r="I504" s="121" t="n"/>
      <c r="J504" s="122">
        <f>IF($A504="","",$B504+$C504+$D504-$E504+$F504-$G504)</f>
        <v/>
      </c>
      <c r="K504" s="122">
        <f>IF($A504="","",MAX(0,$B504-$J504))</f>
        <v/>
      </c>
      <c r="L504" s="123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</row>
    <row r="505" ht="15" customHeight="1" s="80">
      <c r="A505" s="125" t="n"/>
      <c r="B505" s="121" t="n"/>
      <c r="C505" s="121" t="n"/>
      <c r="D505" s="121" t="n"/>
      <c r="E505" s="121" t="n"/>
      <c r="F505" s="121" t="n"/>
      <c r="G505" s="121" t="n"/>
      <c r="H505" s="121" t="n"/>
      <c r="I505" s="121" t="n"/>
      <c r="J505" s="122">
        <f>IF($A505="","",$B505+$C505+$D505-$E505+$F505-$G505)</f>
        <v/>
      </c>
      <c r="K505" s="122">
        <f>IF($A505="","",MAX(0,$B505-$J505))</f>
        <v/>
      </c>
      <c r="L505" s="123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</row>
    <row r="506" ht="15" customHeight="1" s="80">
      <c r="A506" s="125" t="n"/>
      <c r="B506" s="121" t="n"/>
      <c r="C506" s="121" t="n"/>
      <c r="D506" s="121" t="n"/>
      <c r="E506" s="121" t="n"/>
      <c r="F506" s="121" t="n"/>
      <c r="G506" s="121" t="n"/>
      <c r="H506" s="121" t="n"/>
      <c r="I506" s="121" t="n"/>
      <c r="J506" s="122">
        <f>IF($A506="","",$B506+$C506+$D506-$E506+$F506-$G506)</f>
        <v/>
      </c>
      <c r="K506" s="122">
        <f>IF($A506="","",MAX(0,$B506-$J506))</f>
        <v/>
      </c>
      <c r="L506" s="123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</row>
    <row r="507" ht="15" customHeight="1" s="80">
      <c r="A507" s="125" t="n"/>
      <c r="B507" s="121" t="n"/>
      <c r="C507" s="121" t="n"/>
      <c r="D507" s="121" t="n"/>
      <c r="E507" s="121" t="n"/>
      <c r="F507" s="121" t="n"/>
      <c r="G507" s="121" t="n"/>
      <c r="H507" s="121" t="n"/>
      <c r="I507" s="121" t="n"/>
      <c r="J507" s="122">
        <f>IF($A507="","",$B507+$C507+$D507-$E507+$F507-$G507)</f>
        <v/>
      </c>
      <c r="K507" s="122">
        <f>IF($A507="","",MAX(0,$B507-$J507))</f>
        <v/>
      </c>
      <c r="L507" s="123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</row>
    <row r="508" ht="15" customHeight="1" s="80">
      <c r="A508" s="125" t="n"/>
      <c r="B508" s="121" t="n"/>
      <c r="C508" s="121" t="n"/>
      <c r="D508" s="121" t="n"/>
      <c r="E508" s="121" t="n"/>
      <c r="F508" s="121" t="n"/>
      <c r="G508" s="121" t="n"/>
      <c r="H508" s="121" t="n"/>
      <c r="I508" s="121" t="n"/>
      <c r="J508" s="122">
        <f>IF($A508="","",$B508+$C508+$D508-$E508+$F508-$G508)</f>
        <v/>
      </c>
      <c r="K508" s="122">
        <f>IF($A508="","",MAX(0,$B508-$J508))</f>
        <v/>
      </c>
      <c r="L508" s="123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</row>
    <row r="509" ht="15" customHeight="1" s="80">
      <c r="A509" s="125" t="n"/>
      <c r="B509" s="121" t="n"/>
      <c r="C509" s="121" t="n"/>
      <c r="D509" s="121" t="n"/>
      <c r="E509" s="121" t="n"/>
      <c r="F509" s="121" t="n"/>
      <c r="G509" s="121" t="n"/>
      <c r="H509" s="121" t="n"/>
      <c r="I509" s="121" t="n"/>
      <c r="J509" s="122">
        <f>IF($A509="","",$B509+$C509+$D509-$E509+$F509-$G509)</f>
        <v/>
      </c>
      <c r="K509" s="122">
        <f>IF($A509="","",MAX(0,$B509-$J509))</f>
        <v/>
      </c>
      <c r="L509" s="123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</row>
    <row r="510" ht="15" customHeight="1" s="80">
      <c r="A510" s="125" t="n"/>
      <c r="B510" s="121" t="n"/>
      <c r="C510" s="121" t="n"/>
      <c r="D510" s="121" t="n"/>
      <c r="E510" s="121" t="n"/>
      <c r="F510" s="121" t="n"/>
      <c r="G510" s="121" t="n"/>
      <c r="H510" s="121" t="n"/>
      <c r="I510" s="121" t="n"/>
      <c r="J510" s="122">
        <f>IF($A510="","",$B510+$C510+$D510-$E510+$F510-$G510)</f>
        <v/>
      </c>
      <c r="K510" s="122">
        <f>IF($A510="","",MAX(0,$B510-$J510))</f>
        <v/>
      </c>
      <c r="L510" s="123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</row>
    <row r="511" ht="15" customHeight="1" s="80">
      <c r="A511" s="125" t="n"/>
      <c r="B511" s="121" t="n"/>
      <c r="C511" s="121" t="n"/>
      <c r="D511" s="121" t="n"/>
      <c r="E511" s="121" t="n"/>
      <c r="F511" s="121" t="n"/>
      <c r="G511" s="121" t="n"/>
      <c r="H511" s="121" t="n"/>
      <c r="I511" s="121" t="n"/>
      <c r="J511" s="122">
        <f>IF($A511="","",$B511+$C511+$D511-$E511+$F511-$G511)</f>
        <v/>
      </c>
      <c r="K511" s="122">
        <f>IF($A511="","",MAX(0,$B511-$J511))</f>
        <v/>
      </c>
      <c r="L511" s="123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</row>
    <row r="512" ht="15" customHeight="1" s="80">
      <c r="A512" s="125" t="n"/>
      <c r="B512" s="121" t="n"/>
      <c r="C512" s="121" t="n"/>
      <c r="D512" s="121" t="n"/>
      <c r="E512" s="121" t="n"/>
      <c r="F512" s="121" t="n"/>
      <c r="G512" s="121" t="n"/>
      <c r="H512" s="121" t="n"/>
      <c r="I512" s="121" t="n"/>
      <c r="J512" s="122">
        <f>IF($A512="","",$B512+$C512+$D512-$E512+$F512-$G512)</f>
        <v/>
      </c>
      <c r="K512" s="122">
        <f>IF($A512="","",MAX(0,$B512-$J512))</f>
        <v/>
      </c>
      <c r="L512" s="123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</row>
    <row r="513" ht="15" customHeight="1" s="80">
      <c r="A513" s="125" t="n"/>
      <c r="B513" s="121" t="n"/>
      <c r="C513" s="121" t="n"/>
      <c r="D513" s="121" t="n"/>
      <c r="E513" s="121" t="n"/>
      <c r="F513" s="121" t="n"/>
      <c r="G513" s="121" t="n"/>
      <c r="H513" s="121" t="n"/>
      <c r="I513" s="121" t="n"/>
      <c r="J513" s="122">
        <f>IF($A513="","",$B513+$C513+$D513-$E513+$F513-$G513)</f>
        <v/>
      </c>
      <c r="K513" s="122">
        <f>IF($A513="","",MAX(0,$B513-$J513))</f>
        <v/>
      </c>
      <c r="L513" s="123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</row>
    <row r="514" ht="15" customHeight="1" s="80">
      <c r="A514" s="125" t="n"/>
      <c r="B514" s="121" t="n"/>
      <c r="C514" s="121" t="n"/>
      <c r="D514" s="121" t="n"/>
      <c r="E514" s="121" t="n"/>
      <c r="F514" s="121" t="n"/>
      <c r="G514" s="121" t="n"/>
      <c r="H514" s="121" t="n"/>
      <c r="I514" s="121" t="n"/>
      <c r="J514" s="122">
        <f>IF($A514="","",$B514+$C514+$D514-$E514+$F514-$G514)</f>
        <v/>
      </c>
      <c r="K514" s="122">
        <f>IF($A514="","",MAX(0,$B514-$J514))</f>
        <v/>
      </c>
      <c r="L514" s="123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</row>
    <row r="515" ht="15" customHeight="1" s="80">
      <c r="A515" s="125" t="n"/>
      <c r="B515" s="121" t="n"/>
      <c r="C515" s="121" t="n"/>
      <c r="D515" s="121" t="n"/>
      <c r="E515" s="121" t="n"/>
      <c r="F515" s="121" t="n"/>
      <c r="G515" s="121" t="n"/>
      <c r="H515" s="121" t="n"/>
      <c r="I515" s="121" t="n"/>
      <c r="J515" s="122">
        <f>IF($A515="","",$B515+$C515+$D515-$E515+$F515-$G515)</f>
        <v/>
      </c>
      <c r="K515" s="122">
        <f>IF($A515="","",MAX(0,$B515-$J515))</f>
        <v/>
      </c>
      <c r="L515" s="123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</row>
    <row r="516" ht="15" customHeight="1" s="80">
      <c r="A516" s="125" t="n"/>
      <c r="B516" s="121" t="n"/>
      <c r="C516" s="121" t="n"/>
      <c r="D516" s="121" t="n"/>
      <c r="E516" s="121" t="n"/>
      <c r="F516" s="121" t="n"/>
      <c r="G516" s="121" t="n"/>
      <c r="H516" s="121" t="n"/>
      <c r="I516" s="121" t="n"/>
      <c r="J516" s="122">
        <f>IF($A516="","",$B516+$C516+$D516-$E516+$F516-$G516)</f>
        <v/>
      </c>
      <c r="K516" s="122">
        <f>IF($A516="","",MAX(0,$B516-$J516))</f>
        <v/>
      </c>
      <c r="L516" s="123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</row>
    <row r="517" ht="15" customHeight="1" s="80">
      <c r="A517" s="125" t="n"/>
      <c r="B517" s="121" t="n"/>
      <c r="C517" s="121" t="n"/>
      <c r="D517" s="121" t="n"/>
      <c r="E517" s="121" t="n"/>
      <c r="F517" s="121" t="n"/>
      <c r="G517" s="121" t="n"/>
      <c r="H517" s="121" t="n"/>
      <c r="I517" s="121" t="n"/>
      <c r="J517" s="122">
        <f>IF($A517="","",$B517+$C517+$D517-$E517+$F517-$G517)</f>
        <v/>
      </c>
      <c r="K517" s="122">
        <f>IF($A517="","",MAX(0,$B517-$J517))</f>
        <v/>
      </c>
      <c r="L517" s="123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</row>
    <row r="518" ht="15" customHeight="1" s="80">
      <c r="A518" s="125" t="n"/>
      <c r="B518" s="121" t="n"/>
      <c r="C518" s="121" t="n"/>
      <c r="D518" s="121" t="n"/>
      <c r="E518" s="121" t="n"/>
      <c r="F518" s="121" t="n"/>
      <c r="G518" s="121" t="n"/>
      <c r="H518" s="121" t="n"/>
      <c r="I518" s="121" t="n"/>
      <c r="J518" s="122">
        <f>IF($A518="","",$B518+$C518+$D518-$E518+$F518-$G518)</f>
        <v/>
      </c>
      <c r="K518" s="122">
        <f>IF($A518="","",MAX(0,$B518-$J518))</f>
        <v/>
      </c>
      <c r="L518" s="123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</row>
    <row r="519" ht="15" customHeight="1" s="80">
      <c r="A519" s="125" t="n"/>
      <c r="B519" s="121" t="n"/>
      <c r="C519" s="121" t="n"/>
      <c r="D519" s="121" t="n"/>
      <c r="E519" s="121" t="n"/>
      <c r="F519" s="121" t="n"/>
      <c r="G519" s="121" t="n"/>
      <c r="H519" s="121" t="n"/>
      <c r="I519" s="121" t="n"/>
      <c r="J519" s="122">
        <f>IF($A519="","",$B519+$C519+$D519-$E519+$F519-$G519)</f>
        <v/>
      </c>
      <c r="K519" s="122">
        <f>IF($A519="","",MAX(0,$B519-$J519))</f>
        <v/>
      </c>
      <c r="L519" s="123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</row>
    <row r="520" ht="15" customHeight="1" s="80">
      <c r="A520" s="125" t="n"/>
      <c r="B520" s="121" t="n"/>
      <c r="C520" s="121" t="n"/>
      <c r="D520" s="121" t="n"/>
      <c r="E520" s="121" t="n"/>
      <c r="F520" s="121" t="n"/>
      <c r="G520" s="121" t="n"/>
      <c r="H520" s="121" t="n"/>
      <c r="I520" s="121" t="n"/>
      <c r="J520" s="122">
        <f>IF($A520="","",$B520+$C520+$D520-$E520+$F520-$G520)</f>
        <v/>
      </c>
      <c r="K520" s="122">
        <f>IF($A520="","",MAX(0,$B520-$J520))</f>
        <v/>
      </c>
      <c r="L520" s="123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</row>
    <row r="521" ht="15" customHeight="1" s="80">
      <c r="A521" s="125" t="n"/>
      <c r="B521" s="121" t="n"/>
      <c r="C521" s="121" t="n"/>
      <c r="D521" s="121" t="n"/>
      <c r="E521" s="121" t="n"/>
      <c r="F521" s="121" t="n"/>
      <c r="G521" s="121" t="n"/>
      <c r="H521" s="121" t="n"/>
      <c r="I521" s="121" t="n"/>
      <c r="J521" s="122">
        <f>IF($A521="","",$B521+$C521+$D521-$E521+$F521-$G521)</f>
        <v/>
      </c>
      <c r="K521" s="122">
        <f>IF($A521="","",MAX(0,$B521-$J521))</f>
        <v/>
      </c>
      <c r="L521" s="123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</row>
    <row r="522" ht="15" customHeight="1" s="80">
      <c r="A522" s="125" t="n"/>
      <c r="B522" s="121" t="n"/>
      <c r="C522" s="121" t="n"/>
      <c r="D522" s="121" t="n"/>
      <c r="E522" s="121" t="n"/>
      <c r="F522" s="121" t="n"/>
      <c r="G522" s="121" t="n"/>
      <c r="H522" s="121" t="n"/>
      <c r="I522" s="121" t="n"/>
      <c r="J522" s="122">
        <f>IF($A522="","",$B522+$C522+$D522-$E522+$F522-$G522)</f>
        <v/>
      </c>
      <c r="K522" s="122">
        <f>IF($A522="","",MAX(0,$B522-$J522))</f>
        <v/>
      </c>
      <c r="L522" s="123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</row>
    <row r="523" ht="15" customHeight="1" s="80">
      <c r="A523" s="125" t="n"/>
      <c r="B523" s="121" t="n"/>
      <c r="C523" s="121" t="n"/>
      <c r="D523" s="121" t="n"/>
      <c r="E523" s="121" t="n"/>
      <c r="F523" s="121" t="n"/>
      <c r="G523" s="121" t="n"/>
      <c r="H523" s="121" t="n"/>
      <c r="I523" s="121" t="n"/>
      <c r="J523" s="122">
        <f>IF($A523="","",$B523+$C523+$D523-$E523+$F523-$G523)</f>
        <v/>
      </c>
      <c r="K523" s="122">
        <f>IF($A523="","",MAX(0,$B523-$J523))</f>
        <v/>
      </c>
      <c r="L523" s="123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</row>
    <row r="524" ht="15" customHeight="1" s="80">
      <c r="A524" s="125" t="n"/>
      <c r="B524" s="121" t="n"/>
      <c r="C524" s="121" t="n"/>
      <c r="D524" s="121" t="n"/>
      <c r="E524" s="121" t="n"/>
      <c r="F524" s="121" t="n"/>
      <c r="G524" s="121" t="n"/>
      <c r="H524" s="121" t="n"/>
      <c r="I524" s="121" t="n"/>
      <c r="J524" s="122">
        <f>IF($A524="","",$B524+$C524+$D524-$E524+$F524-$G524)</f>
        <v/>
      </c>
      <c r="K524" s="122">
        <f>IF($A524="","",MAX(0,$B524-$J524))</f>
        <v/>
      </c>
      <c r="L524" s="123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</row>
    <row r="525" ht="15" customHeight="1" s="80">
      <c r="A525" s="125" t="n"/>
      <c r="B525" s="121" t="n"/>
      <c r="C525" s="121" t="n"/>
      <c r="D525" s="121" t="n"/>
      <c r="E525" s="121" t="n"/>
      <c r="F525" s="121" t="n"/>
      <c r="G525" s="121" t="n"/>
      <c r="H525" s="121" t="n"/>
      <c r="I525" s="121" t="n"/>
      <c r="J525" s="122">
        <f>IF($A525="","",$B525+$C525+$D525-$E525+$F525-$G525)</f>
        <v/>
      </c>
      <c r="K525" s="122">
        <f>IF($A525="","",MAX(0,$B525-$J525))</f>
        <v/>
      </c>
      <c r="L525" s="123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</row>
    <row r="526" ht="15" customHeight="1" s="80">
      <c r="A526" s="125" t="n"/>
      <c r="B526" s="121" t="n"/>
      <c r="C526" s="121" t="n"/>
      <c r="D526" s="121" t="n"/>
      <c r="E526" s="121" t="n"/>
      <c r="F526" s="121" t="n"/>
      <c r="G526" s="121" t="n"/>
      <c r="H526" s="121" t="n"/>
      <c r="I526" s="121" t="n"/>
      <c r="J526" s="122">
        <f>IF($A526="","",$B526+$C526+$D526-$E526+$F526-$G526)</f>
        <v/>
      </c>
      <c r="K526" s="122">
        <f>IF($A526="","",MAX(0,$B526-$J526))</f>
        <v/>
      </c>
      <c r="L526" s="123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</row>
    <row r="527" ht="15" customHeight="1" s="80">
      <c r="A527" s="125" t="n"/>
      <c r="B527" s="121" t="n"/>
      <c r="C527" s="121" t="n"/>
      <c r="D527" s="121" t="n"/>
      <c r="E527" s="121" t="n"/>
      <c r="F527" s="121" t="n"/>
      <c r="G527" s="121" t="n"/>
      <c r="H527" s="121" t="n"/>
      <c r="I527" s="121" t="n"/>
      <c r="J527" s="122">
        <f>IF($A527="","",$B527+$C527+$D527-$E527+$F527-$G527)</f>
        <v/>
      </c>
      <c r="K527" s="122">
        <f>IF($A527="","",MAX(0,$B527-$J527))</f>
        <v/>
      </c>
      <c r="L527" s="123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</row>
    <row r="528" ht="15" customHeight="1" s="80">
      <c r="A528" s="125" t="n"/>
      <c r="B528" s="121" t="n"/>
      <c r="C528" s="121" t="n"/>
      <c r="D528" s="121" t="n"/>
      <c r="E528" s="121" t="n"/>
      <c r="F528" s="121" t="n"/>
      <c r="G528" s="121" t="n"/>
      <c r="H528" s="121" t="n"/>
      <c r="I528" s="121" t="n"/>
      <c r="J528" s="122">
        <f>IF($A528="","",$B528+$C528+$D528-$E528+$F528-$G528)</f>
        <v/>
      </c>
      <c r="K528" s="122">
        <f>IF($A528="","",MAX(0,$B528-$J528))</f>
        <v/>
      </c>
      <c r="L528" s="123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</row>
    <row r="529" ht="15" customHeight="1" s="80">
      <c r="A529" s="125" t="n"/>
      <c r="B529" s="121" t="n"/>
      <c r="C529" s="121" t="n"/>
      <c r="D529" s="121" t="n"/>
      <c r="E529" s="121" t="n"/>
      <c r="F529" s="121" t="n"/>
      <c r="G529" s="121" t="n"/>
      <c r="H529" s="121" t="n"/>
      <c r="I529" s="121" t="n"/>
      <c r="J529" s="122">
        <f>IF($A529="","",$B529+$C529+$D529-$E529+$F529-$G529)</f>
        <v/>
      </c>
      <c r="K529" s="122">
        <f>IF($A529="","",MAX(0,$B529-$J529))</f>
        <v/>
      </c>
      <c r="L529" s="123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</row>
    <row r="530" ht="15" customHeight="1" s="80">
      <c r="A530" s="125" t="n"/>
      <c r="B530" s="121" t="n"/>
      <c r="C530" s="121" t="n"/>
      <c r="D530" s="121" t="n"/>
      <c r="E530" s="121" t="n"/>
      <c r="F530" s="121" t="n"/>
      <c r="G530" s="121" t="n"/>
      <c r="H530" s="121" t="n"/>
      <c r="I530" s="121" t="n"/>
      <c r="J530" s="122">
        <f>IF($A530="","",$B530+$C530+$D530-$E530+$F530-$G530)</f>
        <v/>
      </c>
      <c r="K530" s="122">
        <f>IF($A530="","",MAX(0,$B530-$J530))</f>
        <v/>
      </c>
      <c r="L530" s="123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</row>
    <row r="531" ht="15" customHeight="1" s="80">
      <c r="A531" s="125" t="n"/>
      <c r="B531" s="121" t="n"/>
      <c r="C531" s="121" t="n"/>
      <c r="D531" s="121" t="n"/>
      <c r="E531" s="121" t="n"/>
      <c r="F531" s="121" t="n"/>
      <c r="G531" s="121" t="n"/>
      <c r="H531" s="121" t="n"/>
      <c r="I531" s="121" t="n"/>
      <c r="J531" s="122">
        <f>IF($A531="","",$B531+$C531+$D531-$E531+$F531-$G531)</f>
        <v/>
      </c>
      <c r="K531" s="122">
        <f>IF($A531="","",MAX(0,$B531-$J531))</f>
        <v/>
      </c>
      <c r="L531" s="123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</row>
    <row r="532" ht="15" customHeight="1" s="80">
      <c r="A532" s="125" t="n"/>
      <c r="B532" s="121" t="n"/>
      <c r="C532" s="121" t="n"/>
      <c r="D532" s="121" t="n"/>
      <c r="E532" s="121" t="n"/>
      <c r="F532" s="121" t="n"/>
      <c r="G532" s="121" t="n"/>
      <c r="H532" s="121" t="n"/>
      <c r="I532" s="121" t="n"/>
      <c r="J532" s="122">
        <f>IF($A532="","",$B532+$C532+$D532-$E532+$F532-$G532)</f>
        <v/>
      </c>
      <c r="K532" s="122">
        <f>IF($A532="","",MAX(0,$B532-$J532))</f>
        <v/>
      </c>
      <c r="L532" s="123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</row>
    <row r="533" ht="15" customHeight="1" s="80">
      <c r="A533" s="125" t="n"/>
      <c r="B533" s="121" t="n"/>
      <c r="C533" s="121" t="n"/>
      <c r="D533" s="121" t="n"/>
      <c r="E533" s="121" t="n"/>
      <c r="F533" s="121" t="n"/>
      <c r="G533" s="121" t="n"/>
      <c r="H533" s="121" t="n"/>
      <c r="I533" s="121" t="n"/>
      <c r="J533" s="122">
        <f>IF($A533="","",$B533+$C533+$D533-$E533+$F533-$G533)</f>
        <v/>
      </c>
      <c r="K533" s="122">
        <f>IF($A533="","",MAX(0,$B533-$J533))</f>
        <v/>
      </c>
      <c r="L533" s="123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</row>
    <row r="534" ht="15" customHeight="1" s="80">
      <c r="A534" s="125" t="n"/>
      <c r="B534" s="121" t="n"/>
      <c r="C534" s="121" t="n"/>
      <c r="D534" s="121" t="n"/>
      <c r="E534" s="121" t="n"/>
      <c r="F534" s="121" t="n"/>
      <c r="G534" s="121" t="n"/>
      <c r="H534" s="121" t="n"/>
      <c r="I534" s="121" t="n"/>
      <c r="J534" s="122">
        <f>IF($A534="","",$B534+$C534+$D534-$E534+$F534-$G534)</f>
        <v/>
      </c>
      <c r="K534" s="122">
        <f>IF($A534="","",MAX(0,$B534-$J534))</f>
        <v/>
      </c>
      <c r="L534" s="123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</row>
    <row r="535" ht="15" customHeight="1" s="80">
      <c r="A535" s="125" t="n"/>
      <c r="B535" s="121" t="n"/>
      <c r="C535" s="121" t="n"/>
      <c r="D535" s="121" t="n"/>
      <c r="E535" s="121" t="n"/>
      <c r="F535" s="121" t="n"/>
      <c r="G535" s="121" t="n"/>
      <c r="H535" s="121" t="n"/>
      <c r="I535" s="121" t="n"/>
      <c r="J535" s="122">
        <f>IF($A535="","",$B535+$C535+$D535-$E535+$F535-$G535)</f>
        <v/>
      </c>
      <c r="K535" s="122">
        <f>IF($A535="","",MAX(0,$B535-$J535))</f>
        <v/>
      </c>
      <c r="L535" s="123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</row>
    <row r="536" ht="15" customHeight="1" s="80">
      <c r="A536" s="125" t="n"/>
      <c r="B536" s="121" t="n"/>
      <c r="C536" s="121" t="n"/>
      <c r="D536" s="121" t="n"/>
      <c r="E536" s="121" t="n"/>
      <c r="F536" s="121" t="n"/>
      <c r="G536" s="121" t="n"/>
      <c r="H536" s="121" t="n"/>
      <c r="I536" s="121" t="n"/>
      <c r="J536" s="122">
        <f>IF($A536="","",$B536+$C536+$D536-$E536+$F536-$G536)</f>
        <v/>
      </c>
      <c r="K536" s="122">
        <f>IF($A536="","",MAX(0,$B536-$J536))</f>
        <v/>
      </c>
      <c r="L536" s="123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</row>
    <row r="537" ht="15" customHeight="1" s="80">
      <c r="A537" s="125" t="n"/>
      <c r="B537" s="121" t="n"/>
      <c r="C537" s="121" t="n"/>
      <c r="D537" s="121" t="n"/>
      <c r="E537" s="121" t="n"/>
      <c r="F537" s="121" t="n"/>
      <c r="G537" s="121" t="n"/>
      <c r="H537" s="121" t="n"/>
      <c r="I537" s="121" t="n"/>
      <c r="J537" s="122">
        <f>IF($A537="","",$B537+$C537+$D537-$E537+$F537-$G537)</f>
        <v/>
      </c>
      <c r="K537" s="122">
        <f>IF($A537="","",MAX(0,$B537-$J537))</f>
        <v/>
      </c>
      <c r="L537" s="123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</row>
    <row r="538" ht="15" customHeight="1" s="80">
      <c r="A538" s="125" t="n"/>
      <c r="B538" s="121" t="n"/>
      <c r="C538" s="121" t="n"/>
      <c r="D538" s="121" t="n"/>
      <c r="E538" s="121" t="n"/>
      <c r="F538" s="121" t="n"/>
      <c r="G538" s="121" t="n"/>
      <c r="H538" s="121" t="n"/>
      <c r="I538" s="121" t="n"/>
      <c r="J538" s="122">
        <f>IF($A538="","",$B538+$C538+$D538-$E538+$F538-$G538)</f>
        <v/>
      </c>
      <c r="K538" s="122">
        <f>IF($A538="","",MAX(0,$B538-$J538))</f>
        <v/>
      </c>
      <c r="L538" s="123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</row>
    <row r="539" ht="15" customHeight="1" s="80">
      <c r="A539" s="125" t="n"/>
      <c r="B539" s="121" t="n"/>
      <c r="C539" s="121" t="n"/>
      <c r="D539" s="121" t="n"/>
      <c r="E539" s="121" t="n"/>
      <c r="F539" s="121" t="n"/>
      <c r="G539" s="121" t="n"/>
      <c r="H539" s="121" t="n"/>
      <c r="I539" s="121" t="n"/>
      <c r="J539" s="122">
        <f>IF($A539="","",$B539+$C539+$D539-$E539+$F539-$G539)</f>
        <v/>
      </c>
      <c r="K539" s="122">
        <f>IF($A539="","",MAX(0,$B539-$J539))</f>
        <v/>
      </c>
      <c r="L539" s="123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</row>
    <row r="540" ht="15" customHeight="1" s="80">
      <c r="A540" s="125" t="n"/>
      <c r="B540" s="121" t="n"/>
      <c r="C540" s="121" t="n"/>
      <c r="D540" s="121" t="n"/>
      <c r="E540" s="121" t="n"/>
      <c r="F540" s="121" t="n"/>
      <c r="G540" s="121" t="n"/>
      <c r="H540" s="121" t="n"/>
      <c r="I540" s="121" t="n"/>
      <c r="J540" s="122">
        <f>IF($A540="","",$B540+$C540+$D540-$E540+$F540-$G540)</f>
        <v/>
      </c>
      <c r="K540" s="122">
        <f>IF($A540="","",MAX(0,$B540-$J540))</f>
        <v/>
      </c>
      <c r="L540" s="123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</row>
    <row r="541" ht="15" customHeight="1" s="80">
      <c r="A541" s="125" t="n"/>
      <c r="B541" s="121" t="n"/>
      <c r="C541" s="121" t="n"/>
      <c r="D541" s="121" t="n"/>
      <c r="E541" s="121" t="n"/>
      <c r="F541" s="121" t="n"/>
      <c r="G541" s="121" t="n"/>
      <c r="H541" s="121" t="n"/>
      <c r="I541" s="121" t="n"/>
      <c r="J541" s="122">
        <f>IF($A541="","",$B541+$C541+$D541-$E541+$F541-$G541)</f>
        <v/>
      </c>
      <c r="K541" s="122">
        <f>IF($A541="","",MAX(0,$B541-$J541))</f>
        <v/>
      </c>
      <c r="L541" s="123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</row>
    <row r="542" ht="15" customHeight="1" s="80">
      <c r="A542" s="125" t="n"/>
      <c r="B542" s="121" t="n"/>
      <c r="C542" s="121" t="n"/>
      <c r="D542" s="121" t="n"/>
      <c r="E542" s="121" t="n"/>
      <c r="F542" s="121" t="n"/>
      <c r="G542" s="121" t="n"/>
      <c r="H542" s="121" t="n"/>
      <c r="I542" s="121" t="n"/>
      <c r="J542" s="122">
        <f>IF($A542="","",$B542+$C542+$D542-$E542+$F542-$G542)</f>
        <v/>
      </c>
      <c r="K542" s="122">
        <f>IF($A542="","",MAX(0,$B542-$J542))</f>
        <v/>
      </c>
      <c r="L542" s="123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</row>
    <row r="543" ht="15" customHeight="1" s="80">
      <c r="A543" s="125" t="n"/>
      <c r="B543" s="121" t="n"/>
      <c r="C543" s="121" t="n"/>
      <c r="D543" s="121" t="n"/>
      <c r="E543" s="121" t="n"/>
      <c r="F543" s="121" t="n"/>
      <c r="G543" s="121" t="n"/>
      <c r="H543" s="121" t="n"/>
      <c r="I543" s="121" t="n"/>
      <c r="J543" s="122">
        <f>IF($A543="","",$B543+$C543+$D543-$E543+$F543-$G543)</f>
        <v/>
      </c>
      <c r="K543" s="122">
        <f>IF($A543="","",MAX(0,$B543-$J543))</f>
        <v/>
      </c>
      <c r="L543" s="123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</row>
    <row r="544" ht="15" customHeight="1" s="80">
      <c r="A544" s="125" t="n"/>
      <c r="B544" s="121" t="n"/>
      <c r="C544" s="121" t="n"/>
      <c r="D544" s="121" t="n"/>
      <c r="E544" s="121" t="n"/>
      <c r="F544" s="121" t="n"/>
      <c r="G544" s="121" t="n"/>
      <c r="H544" s="121" t="n"/>
      <c r="I544" s="121" t="n"/>
      <c r="J544" s="122">
        <f>IF($A544="","",$B544+$C544+$D544-$E544+$F544-$G544)</f>
        <v/>
      </c>
      <c r="K544" s="122">
        <f>IF($A544="","",MAX(0,$B544-$J544))</f>
        <v/>
      </c>
      <c r="L544" s="123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</row>
    <row r="545" ht="15" customHeight="1" s="80">
      <c r="A545" s="125" t="n"/>
      <c r="B545" s="121" t="n"/>
      <c r="C545" s="121" t="n"/>
      <c r="D545" s="121" t="n"/>
      <c r="E545" s="121" t="n"/>
      <c r="F545" s="121" t="n"/>
      <c r="G545" s="121" t="n"/>
      <c r="H545" s="121" t="n"/>
      <c r="I545" s="121" t="n"/>
      <c r="J545" s="122">
        <f>IF($A545="","",$B545+$C545+$D545-$E545+$F545-$G545)</f>
        <v/>
      </c>
      <c r="K545" s="122">
        <f>IF($A545="","",MAX(0,$B545-$J545))</f>
        <v/>
      </c>
      <c r="L545" s="123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</row>
    <row r="546" ht="15" customHeight="1" s="80">
      <c r="A546" s="125" t="n"/>
      <c r="B546" s="121" t="n"/>
      <c r="C546" s="121" t="n"/>
      <c r="D546" s="121" t="n"/>
      <c r="E546" s="121" t="n"/>
      <c r="F546" s="121" t="n"/>
      <c r="G546" s="121" t="n"/>
      <c r="H546" s="121" t="n"/>
      <c r="I546" s="121" t="n"/>
      <c r="J546" s="122">
        <f>IF($A546="","",$B546+$C546+$D546-$E546+$F546-$G546)</f>
        <v/>
      </c>
      <c r="K546" s="122">
        <f>IF($A546="","",MAX(0,$B546-$J546))</f>
        <v/>
      </c>
      <c r="L546" s="123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</row>
    <row r="547" ht="15" customHeight="1" s="80">
      <c r="A547" s="125" t="n"/>
      <c r="B547" s="121" t="n"/>
      <c r="C547" s="121" t="n"/>
      <c r="D547" s="121" t="n"/>
      <c r="E547" s="121" t="n"/>
      <c r="F547" s="121" t="n"/>
      <c r="G547" s="121" t="n"/>
      <c r="H547" s="121" t="n"/>
      <c r="I547" s="121" t="n"/>
      <c r="J547" s="122">
        <f>IF($A547="","",$B547+$C547+$D547-$E547+$F547-$G547)</f>
        <v/>
      </c>
      <c r="K547" s="122">
        <f>IF($A547="","",MAX(0,$B547-$J547))</f>
        <v/>
      </c>
      <c r="L547" s="123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</row>
    <row r="548" ht="15" customHeight="1" s="80">
      <c r="A548" s="125" t="n"/>
      <c r="B548" s="121" t="n"/>
      <c r="C548" s="121" t="n"/>
      <c r="D548" s="121" t="n"/>
      <c r="E548" s="121" t="n"/>
      <c r="F548" s="121" t="n"/>
      <c r="G548" s="121" t="n"/>
      <c r="H548" s="121" t="n"/>
      <c r="I548" s="121" t="n"/>
      <c r="J548" s="122">
        <f>IF($A548="","",$B548+$C548+$D548-$E548+$F548-$G548)</f>
        <v/>
      </c>
      <c r="K548" s="122">
        <f>IF($A548="","",MAX(0,$B548-$J548))</f>
        <v/>
      </c>
      <c r="L548" s="123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</row>
    <row r="549" ht="15" customHeight="1" s="80">
      <c r="A549" s="125" t="n"/>
      <c r="B549" s="121" t="n"/>
      <c r="C549" s="121" t="n"/>
      <c r="D549" s="121" t="n"/>
      <c r="E549" s="121" t="n"/>
      <c r="F549" s="121" t="n"/>
      <c r="G549" s="121" t="n"/>
      <c r="H549" s="121" t="n"/>
      <c r="I549" s="121" t="n"/>
      <c r="J549" s="122">
        <f>IF($A549="","",$B549+$C549+$D549-$E549+$F549-$G549)</f>
        <v/>
      </c>
      <c r="K549" s="122">
        <f>IF($A549="","",MAX(0,$B549-$J549))</f>
        <v/>
      </c>
      <c r="L549" s="123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</row>
    <row r="550" ht="15" customHeight="1" s="80">
      <c r="A550" s="125" t="n"/>
      <c r="B550" s="121" t="n"/>
      <c r="C550" s="121" t="n"/>
      <c r="D550" s="121" t="n"/>
      <c r="E550" s="121" t="n"/>
      <c r="F550" s="121" t="n"/>
      <c r="G550" s="121" t="n"/>
      <c r="H550" s="121" t="n"/>
      <c r="I550" s="121" t="n"/>
      <c r="J550" s="122">
        <f>IF($A550="","",$B550+$C550+$D550-$E550+$F550-$G550)</f>
        <v/>
      </c>
      <c r="K550" s="122">
        <f>IF($A550="","",MAX(0,$B550-$J550))</f>
        <v/>
      </c>
      <c r="L550" s="123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</row>
    <row r="551" ht="15" customHeight="1" s="80">
      <c r="A551" s="125" t="n"/>
      <c r="B551" s="121" t="n"/>
      <c r="C551" s="121" t="n"/>
      <c r="D551" s="121" t="n"/>
      <c r="E551" s="121" t="n"/>
      <c r="F551" s="121" t="n"/>
      <c r="G551" s="121" t="n"/>
      <c r="H551" s="121" t="n"/>
      <c r="I551" s="121" t="n"/>
      <c r="J551" s="122">
        <f>IF($A551="","",$B551+$C551+$D551-$E551+$F551-$G551)</f>
        <v/>
      </c>
      <c r="K551" s="122">
        <f>IF($A551="","",MAX(0,$B551-$J551))</f>
        <v/>
      </c>
      <c r="L551" s="123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</row>
    <row r="552" ht="15" customHeight="1" s="80">
      <c r="A552" s="125" t="n"/>
      <c r="B552" s="121" t="n"/>
      <c r="C552" s="121" t="n"/>
      <c r="D552" s="121" t="n"/>
      <c r="E552" s="121" t="n"/>
      <c r="F552" s="121" t="n"/>
      <c r="G552" s="121" t="n"/>
      <c r="H552" s="121" t="n"/>
      <c r="I552" s="121" t="n"/>
      <c r="J552" s="122">
        <f>IF($A552="","",$B552+$C552+$D552-$E552+$F552-$G552)</f>
        <v/>
      </c>
      <c r="K552" s="122">
        <f>IF($A552="","",MAX(0,$B552-$J552))</f>
        <v/>
      </c>
      <c r="L552" s="123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</row>
    <row r="553" ht="15" customHeight="1" s="80">
      <c r="A553" s="125" t="n"/>
      <c r="B553" s="121" t="n"/>
      <c r="C553" s="121" t="n"/>
      <c r="D553" s="121" t="n"/>
      <c r="E553" s="121" t="n"/>
      <c r="F553" s="121" t="n"/>
      <c r="G553" s="121" t="n"/>
      <c r="H553" s="121" t="n"/>
      <c r="I553" s="121" t="n"/>
      <c r="J553" s="122">
        <f>IF($A553="","",$B553+$C553+$D553-$E553+$F553-$G553)</f>
        <v/>
      </c>
      <c r="K553" s="122">
        <f>IF($A553="","",MAX(0,$B553-$J553))</f>
        <v/>
      </c>
      <c r="L553" s="123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</row>
    <row r="554" ht="15" customHeight="1" s="80">
      <c r="A554" s="125" t="n"/>
      <c r="B554" s="121" t="n"/>
      <c r="C554" s="121" t="n"/>
      <c r="D554" s="121" t="n"/>
      <c r="E554" s="121" t="n"/>
      <c r="F554" s="121" t="n"/>
      <c r="G554" s="121" t="n"/>
      <c r="H554" s="121" t="n"/>
      <c r="I554" s="121" t="n"/>
      <c r="J554" s="122">
        <f>IF($A554="","",$B554+$C554+$D554-$E554+$F554-$G554)</f>
        <v/>
      </c>
      <c r="K554" s="122">
        <f>IF($A554="","",MAX(0,$B554-$J554))</f>
        <v/>
      </c>
      <c r="L554" s="123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</row>
    <row r="555" ht="15" customHeight="1" s="80">
      <c r="A555" s="125" t="n"/>
      <c r="B555" s="121" t="n"/>
      <c r="C555" s="121" t="n"/>
      <c r="D555" s="121" t="n"/>
      <c r="E555" s="121" t="n"/>
      <c r="F555" s="121" t="n"/>
      <c r="G555" s="121" t="n"/>
      <c r="H555" s="121" t="n"/>
      <c r="I555" s="121" t="n"/>
      <c r="J555" s="122">
        <f>IF($A555="","",$B555+$C555+$D555-$E555+$F555-$G555)</f>
        <v/>
      </c>
      <c r="K555" s="122">
        <f>IF($A555="","",MAX(0,$B555-$J555))</f>
        <v/>
      </c>
      <c r="L555" s="123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</row>
    <row r="556" ht="15" customHeight="1" s="80">
      <c r="A556" s="125" t="n"/>
      <c r="B556" s="121" t="n"/>
      <c r="C556" s="121" t="n"/>
      <c r="D556" s="121" t="n"/>
      <c r="E556" s="121" t="n"/>
      <c r="F556" s="121" t="n"/>
      <c r="G556" s="121" t="n"/>
      <c r="H556" s="121" t="n"/>
      <c r="I556" s="121" t="n"/>
      <c r="J556" s="122">
        <f>IF($A556="","",$B556+$C556+$D556-$E556+$F556-$G556)</f>
        <v/>
      </c>
      <c r="K556" s="122">
        <f>IF($A556="","",MAX(0,$B556-$J556))</f>
        <v/>
      </c>
      <c r="L556" s="123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</row>
    <row r="557" ht="15" customHeight="1" s="80">
      <c r="A557" s="125" t="n"/>
      <c r="B557" s="121" t="n"/>
      <c r="C557" s="121" t="n"/>
      <c r="D557" s="121" t="n"/>
      <c r="E557" s="121" t="n"/>
      <c r="F557" s="121" t="n"/>
      <c r="G557" s="121" t="n"/>
      <c r="H557" s="121" t="n"/>
      <c r="I557" s="121" t="n"/>
      <c r="J557" s="122">
        <f>IF($A557="","",$B557+$C557+$D557-$E557+$F557-$G557)</f>
        <v/>
      </c>
      <c r="K557" s="122">
        <f>IF($A557="","",MAX(0,$B557-$J557))</f>
        <v/>
      </c>
      <c r="L557" s="123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</row>
    <row r="558" ht="15" customHeight="1" s="80">
      <c r="A558" s="125" t="n"/>
      <c r="B558" s="121" t="n"/>
      <c r="C558" s="121" t="n"/>
      <c r="D558" s="121" t="n"/>
      <c r="E558" s="121" t="n"/>
      <c r="F558" s="121" t="n"/>
      <c r="G558" s="121" t="n"/>
      <c r="H558" s="121" t="n"/>
      <c r="I558" s="121" t="n"/>
      <c r="J558" s="122">
        <f>IF($A558="","",$B558+$C558+$D558-$E558+$F558-$G558)</f>
        <v/>
      </c>
      <c r="K558" s="122">
        <f>IF($A558="","",MAX(0,$B558-$J558))</f>
        <v/>
      </c>
      <c r="L558" s="123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</row>
    <row r="559" ht="15" customHeight="1" s="80">
      <c r="A559" s="125" t="n"/>
      <c r="B559" s="121" t="n"/>
      <c r="C559" s="121" t="n"/>
      <c r="D559" s="121" t="n"/>
      <c r="E559" s="121" t="n"/>
      <c r="F559" s="121" t="n"/>
      <c r="G559" s="121" t="n"/>
      <c r="H559" s="121" t="n"/>
      <c r="I559" s="121" t="n"/>
      <c r="J559" s="122">
        <f>IF($A559="","",$B559+$C559+$D559-$E559+$F559-$G559)</f>
        <v/>
      </c>
      <c r="K559" s="122">
        <f>IF($A559="","",MAX(0,$B559-$J559))</f>
        <v/>
      </c>
      <c r="L559" s="123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</row>
    <row r="560" ht="15" customHeight="1" s="80">
      <c r="A560" s="125" t="n"/>
      <c r="B560" s="121" t="n"/>
      <c r="C560" s="121" t="n"/>
      <c r="D560" s="121" t="n"/>
      <c r="E560" s="121" t="n"/>
      <c r="F560" s="121" t="n"/>
      <c r="G560" s="121" t="n"/>
      <c r="H560" s="121" t="n"/>
      <c r="I560" s="121" t="n"/>
      <c r="J560" s="122">
        <f>IF($A560="","",$B560+$C560+$D560-$E560+$F560-$G560)</f>
        <v/>
      </c>
      <c r="K560" s="122">
        <f>IF($A560="","",MAX(0,$B560-$J560))</f>
        <v/>
      </c>
      <c r="L560" s="123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</row>
    <row r="561" ht="15" customHeight="1" s="80">
      <c r="A561" s="125" t="n"/>
      <c r="B561" s="121" t="n"/>
      <c r="C561" s="121" t="n"/>
      <c r="D561" s="121" t="n"/>
      <c r="E561" s="121" t="n"/>
      <c r="F561" s="121" t="n"/>
      <c r="G561" s="121" t="n"/>
      <c r="H561" s="121" t="n"/>
      <c r="I561" s="121" t="n"/>
      <c r="J561" s="122">
        <f>IF($A561="","",$B561+$C561+$D561-$E561+$F561-$G561)</f>
        <v/>
      </c>
      <c r="K561" s="122">
        <f>IF($A561="","",MAX(0,$B561-$J561))</f>
        <v/>
      </c>
      <c r="L561" s="123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</row>
    <row r="562" ht="15" customHeight="1" s="80">
      <c r="A562" s="125" t="n"/>
      <c r="B562" s="121" t="n"/>
      <c r="C562" s="121" t="n"/>
      <c r="D562" s="121" t="n"/>
      <c r="E562" s="121" t="n"/>
      <c r="F562" s="121" t="n"/>
      <c r="G562" s="121" t="n"/>
      <c r="H562" s="121" t="n"/>
      <c r="I562" s="121" t="n"/>
      <c r="J562" s="122">
        <f>IF($A562="","",$B562+$C562+$D562-$E562+$F562-$G562)</f>
        <v/>
      </c>
      <c r="K562" s="122">
        <f>IF($A562="","",MAX(0,$B562-$J562))</f>
        <v/>
      </c>
      <c r="L562" s="123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</row>
    <row r="563" ht="15" customHeight="1" s="80">
      <c r="A563" s="125" t="n"/>
      <c r="B563" s="121" t="n"/>
      <c r="C563" s="121" t="n"/>
      <c r="D563" s="121" t="n"/>
      <c r="E563" s="121" t="n"/>
      <c r="F563" s="121" t="n"/>
      <c r="G563" s="121" t="n"/>
      <c r="H563" s="121" t="n"/>
      <c r="I563" s="121" t="n"/>
      <c r="J563" s="122">
        <f>IF($A563="","",$B563+$C563+$D563-$E563+$F563-$G563)</f>
        <v/>
      </c>
      <c r="K563" s="122">
        <f>IF($A563="","",MAX(0,$B563-$J563))</f>
        <v/>
      </c>
      <c r="L563" s="123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</row>
    <row r="564" ht="15" customHeight="1" s="80">
      <c r="A564" s="125" t="n"/>
      <c r="B564" s="121" t="n"/>
      <c r="C564" s="121" t="n"/>
      <c r="D564" s="121" t="n"/>
      <c r="E564" s="121" t="n"/>
      <c r="F564" s="121" t="n"/>
      <c r="G564" s="121" t="n"/>
      <c r="H564" s="121" t="n"/>
      <c r="I564" s="121" t="n"/>
      <c r="J564" s="122">
        <f>IF($A564="","",$B564+$C564+$D564-$E564+$F564-$G564)</f>
        <v/>
      </c>
      <c r="K564" s="122">
        <f>IF($A564="","",MAX(0,$B564-$J564))</f>
        <v/>
      </c>
      <c r="L564" s="123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</row>
    <row r="565" ht="15" customHeight="1" s="80">
      <c r="A565" s="125" t="n"/>
      <c r="B565" s="121" t="n"/>
      <c r="C565" s="121" t="n"/>
      <c r="D565" s="121" t="n"/>
      <c r="E565" s="121" t="n"/>
      <c r="F565" s="121" t="n"/>
      <c r="G565" s="121" t="n"/>
      <c r="H565" s="121" t="n"/>
      <c r="I565" s="121" t="n"/>
      <c r="J565" s="122">
        <f>IF($A565="","",$B565+$C565+$D565-$E565+$F565-$G565)</f>
        <v/>
      </c>
      <c r="K565" s="122">
        <f>IF($A565="","",MAX(0,$B565-$J565))</f>
        <v/>
      </c>
      <c r="L565" s="123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</row>
    <row r="566" ht="15" customHeight="1" s="80">
      <c r="A566" s="125" t="n"/>
      <c r="B566" s="121" t="n"/>
      <c r="C566" s="121" t="n"/>
      <c r="D566" s="121" t="n"/>
      <c r="E566" s="121" t="n"/>
      <c r="F566" s="121" t="n"/>
      <c r="G566" s="121" t="n"/>
      <c r="H566" s="121" t="n"/>
      <c r="I566" s="121" t="n"/>
      <c r="J566" s="122">
        <f>IF($A566="","",$B566+$C566+$D566-$E566+$F566-$G566)</f>
        <v/>
      </c>
      <c r="K566" s="122">
        <f>IF($A566="","",MAX(0,$B566-$J566))</f>
        <v/>
      </c>
      <c r="L566" s="123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</row>
    <row r="567" ht="15" customHeight="1" s="80">
      <c r="A567" s="125" t="n"/>
      <c r="B567" s="121" t="n"/>
      <c r="C567" s="121" t="n"/>
      <c r="D567" s="121" t="n"/>
      <c r="E567" s="121" t="n"/>
      <c r="F567" s="121" t="n"/>
      <c r="G567" s="121" t="n"/>
      <c r="H567" s="121" t="n"/>
      <c r="I567" s="121" t="n"/>
      <c r="J567" s="122">
        <f>IF($A567="","",$B567+$C567+$D567-$E567+$F567-$G567)</f>
        <v/>
      </c>
      <c r="K567" s="122">
        <f>IF($A567="","",MAX(0,$B567-$J567))</f>
        <v/>
      </c>
      <c r="L567" s="123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</row>
    <row r="568" ht="15" customHeight="1" s="80">
      <c r="A568" s="125" t="n"/>
      <c r="B568" s="121" t="n"/>
      <c r="C568" s="121" t="n"/>
      <c r="D568" s="121" t="n"/>
      <c r="E568" s="121" t="n"/>
      <c r="F568" s="121" t="n"/>
      <c r="G568" s="121" t="n"/>
      <c r="H568" s="121" t="n"/>
      <c r="I568" s="121" t="n"/>
      <c r="J568" s="122">
        <f>IF($A568="","",$B568+$C568+$D568-$E568+$F568-$G568)</f>
        <v/>
      </c>
      <c r="K568" s="122">
        <f>IF($A568="","",MAX(0,$B568-$J568))</f>
        <v/>
      </c>
      <c r="L568" s="123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</row>
    <row r="569" ht="15" customHeight="1" s="80">
      <c r="A569" s="125" t="n"/>
      <c r="B569" s="121" t="n"/>
      <c r="C569" s="121" t="n"/>
      <c r="D569" s="121" t="n"/>
      <c r="E569" s="121" t="n"/>
      <c r="F569" s="121" t="n"/>
      <c r="G569" s="121" t="n"/>
      <c r="H569" s="121" t="n"/>
      <c r="I569" s="121" t="n"/>
      <c r="J569" s="122">
        <f>IF($A569="","",$B569+$C569+$D569-$E569+$F569-$G569)</f>
        <v/>
      </c>
      <c r="K569" s="122">
        <f>IF($A569="","",MAX(0,$B569-$J569))</f>
        <v/>
      </c>
      <c r="L569" s="123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</row>
    <row r="570" ht="15" customHeight="1" s="80">
      <c r="A570" s="125" t="n"/>
      <c r="B570" s="121" t="n"/>
      <c r="C570" s="121" t="n"/>
      <c r="D570" s="121" t="n"/>
      <c r="E570" s="121" t="n"/>
      <c r="F570" s="121" t="n"/>
      <c r="G570" s="121" t="n"/>
      <c r="H570" s="121" t="n"/>
      <c r="I570" s="121" t="n"/>
      <c r="J570" s="122">
        <f>IF($A570="","",$B570+$C570+$D570-$E570+$F570-$G570)</f>
        <v/>
      </c>
      <c r="K570" s="122">
        <f>IF($A570="","",MAX(0,$B570-$J570))</f>
        <v/>
      </c>
      <c r="L570" s="123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</row>
    <row r="571" ht="15" customHeight="1" s="80">
      <c r="A571" s="125" t="n"/>
      <c r="B571" s="121" t="n"/>
      <c r="C571" s="121" t="n"/>
      <c r="D571" s="121" t="n"/>
      <c r="E571" s="121" t="n"/>
      <c r="F571" s="121" t="n"/>
      <c r="G571" s="121" t="n"/>
      <c r="H571" s="121" t="n"/>
      <c r="I571" s="121" t="n"/>
      <c r="J571" s="122">
        <f>IF($A571="","",$B571+$C571+$D571-$E571+$F571-$G571)</f>
        <v/>
      </c>
      <c r="K571" s="122">
        <f>IF($A571="","",MAX(0,$B571-$J571))</f>
        <v/>
      </c>
      <c r="L571" s="123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</row>
    <row r="572" ht="15" customHeight="1" s="80">
      <c r="A572" s="125" t="n"/>
      <c r="B572" s="121" t="n"/>
      <c r="C572" s="121" t="n"/>
      <c r="D572" s="121" t="n"/>
      <c r="E572" s="121" t="n"/>
      <c r="F572" s="121" t="n"/>
      <c r="G572" s="121" t="n"/>
      <c r="H572" s="121" t="n"/>
      <c r="I572" s="121" t="n"/>
      <c r="J572" s="122">
        <f>IF($A572="","",$B572+$C572+$D572-$E572+$F572-$G572)</f>
        <v/>
      </c>
      <c r="K572" s="122">
        <f>IF($A572="","",MAX(0,$B572-$J572))</f>
        <v/>
      </c>
      <c r="L572" s="123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</row>
    <row r="573" ht="15" customHeight="1" s="80">
      <c r="A573" s="125" t="n"/>
      <c r="B573" s="121" t="n"/>
      <c r="C573" s="121" t="n"/>
      <c r="D573" s="121" t="n"/>
      <c r="E573" s="121" t="n"/>
      <c r="F573" s="121" t="n"/>
      <c r="G573" s="121" t="n"/>
      <c r="H573" s="121" t="n"/>
      <c r="I573" s="121" t="n"/>
      <c r="J573" s="122">
        <f>IF($A573="","",$B573+$C573+$D573-$E573+$F573-$G573)</f>
        <v/>
      </c>
      <c r="K573" s="122">
        <f>IF($A573="","",MAX(0,$B573-$J573))</f>
        <v/>
      </c>
      <c r="L573" s="123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</row>
    <row r="574" ht="15" customHeight="1" s="80">
      <c r="A574" s="125" t="n"/>
      <c r="B574" s="121" t="n"/>
      <c r="C574" s="121" t="n"/>
      <c r="D574" s="121" t="n"/>
      <c r="E574" s="121" t="n"/>
      <c r="F574" s="121" t="n"/>
      <c r="G574" s="121" t="n"/>
      <c r="H574" s="121" t="n"/>
      <c r="I574" s="121" t="n"/>
      <c r="J574" s="122">
        <f>IF($A574="","",$B574+$C574+$D574-$E574+$F574-$G574)</f>
        <v/>
      </c>
      <c r="K574" s="122">
        <f>IF($A574="","",MAX(0,$B574-$J574))</f>
        <v/>
      </c>
      <c r="L574" s="123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</row>
    <row r="575" ht="15" customHeight="1" s="80">
      <c r="A575" s="125" t="n"/>
      <c r="B575" s="121" t="n"/>
      <c r="C575" s="121" t="n"/>
      <c r="D575" s="121" t="n"/>
      <c r="E575" s="121" t="n"/>
      <c r="F575" s="121" t="n"/>
      <c r="G575" s="121" t="n"/>
      <c r="H575" s="121" t="n"/>
      <c r="I575" s="121" t="n"/>
      <c r="J575" s="122">
        <f>IF($A575="","",$B575+$C575+$D575-$E575+$F575-$G575)</f>
        <v/>
      </c>
      <c r="K575" s="122">
        <f>IF($A575="","",MAX(0,$B575-$J575))</f>
        <v/>
      </c>
      <c r="L575" s="123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</row>
    <row r="576" ht="15" customHeight="1" s="80">
      <c r="A576" s="125" t="n"/>
      <c r="B576" s="121" t="n"/>
      <c r="C576" s="121" t="n"/>
      <c r="D576" s="121" t="n"/>
      <c r="E576" s="121" t="n"/>
      <c r="F576" s="121" t="n"/>
      <c r="G576" s="121" t="n"/>
      <c r="H576" s="121" t="n"/>
      <c r="I576" s="121" t="n"/>
      <c r="J576" s="122">
        <f>IF($A576="","",$B576+$C576+$D576-$E576+$F576-$G576)</f>
        <v/>
      </c>
      <c r="K576" s="122">
        <f>IF($A576="","",MAX(0,$B576-$J576))</f>
        <v/>
      </c>
      <c r="L576" s="123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</row>
    <row r="577" ht="15" customHeight="1" s="80">
      <c r="A577" s="125" t="n"/>
      <c r="B577" s="121" t="n"/>
      <c r="C577" s="121" t="n"/>
      <c r="D577" s="121" t="n"/>
      <c r="E577" s="121" t="n"/>
      <c r="F577" s="121" t="n"/>
      <c r="G577" s="121" t="n"/>
      <c r="H577" s="121" t="n"/>
      <c r="I577" s="121" t="n"/>
      <c r="J577" s="122">
        <f>IF($A577="","",$B577+$C577+$D577-$E577+$F577-$G577)</f>
        <v/>
      </c>
      <c r="K577" s="122">
        <f>IF($A577="","",MAX(0,$B577-$J577))</f>
        <v/>
      </c>
      <c r="L577" s="123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</row>
    <row r="578" ht="15" customHeight="1" s="80">
      <c r="A578" s="125" t="n"/>
      <c r="B578" s="121" t="n"/>
      <c r="C578" s="121" t="n"/>
      <c r="D578" s="121" t="n"/>
      <c r="E578" s="121" t="n"/>
      <c r="F578" s="121" t="n"/>
      <c r="G578" s="121" t="n"/>
      <c r="H578" s="121" t="n"/>
      <c r="I578" s="121" t="n"/>
      <c r="J578" s="122">
        <f>IF($A578="","",$B578+$C578+$D578-$E578+$F578-$G578)</f>
        <v/>
      </c>
      <c r="K578" s="122">
        <f>IF($A578="","",MAX(0,$B578-$J578))</f>
        <v/>
      </c>
      <c r="L578" s="123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</row>
    <row r="579" ht="15" customHeight="1" s="80">
      <c r="A579" s="125" t="n"/>
      <c r="B579" s="121" t="n"/>
      <c r="C579" s="121" t="n"/>
      <c r="D579" s="121" t="n"/>
      <c r="E579" s="121" t="n"/>
      <c r="F579" s="121" t="n"/>
      <c r="G579" s="121" t="n"/>
      <c r="H579" s="121" t="n"/>
      <c r="I579" s="121" t="n"/>
      <c r="J579" s="122">
        <f>IF($A579="","",$B579+$C579+$D579-$E579+$F579-$G579)</f>
        <v/>
      </c>
      <c r="K579" s="122">
        <f>IF($A579="","",MAX(0,$B579-$J579))</f>
        <v/>
      </c>
      <c r="L579" s="123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</row>
    <row r="580" ht="15" customHeight="1" s="80">
      <c r="A580" s="125" t="n"/>
      <c r="B580" s="121" t="n"/>
      <c r="C580" s="121" t="n"/>
      <c r="D580" s="121" t="n"/>
      <c r="E580" s="121" t="n"/>
      <c r="F580" s="121" t="n"/>
      <c r="G580" s="121" t="n"/>
      <c r="H580" s="121" t="n"/>
      <c r="I580" s="121" t="n"/>
      <c r="J580" s="122">
        <f>IF($A580="","",$B580+$C580+$D580-$E580+$F580-$G580)</f>
        <v/>
      </c>
      <c r="K580" s="122">
        <f>IF($A580="","",MAX(0,$B580-$J580))</f>
        <v/>
      </c>
      <c r="L580" s="123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</row>
    <row r="581" ht="15" customHeight="1" s="80">
      <c r="A581" s="125" t="n"/>
      <c r="B581" s="121" t="n"/>
      <c r="C581" s="121" t="n"/>
      <c r="D581" s="121" t="n"/>
      <c r="E581" s="121" t="n"/>
      <c r="F581" s="121" t="n"/>
      <c r="G581" s="121" t="n"/>
      <c r="H581" s="121" t="n"/>
      <c r="I581" s="121" t="n"/>
      <c r="J581" s="122">
        <f>IF($A581="","",$B581+$C581+$D581-$E581+$F581-$G581)</f>
        <v/>
      </c>
      <c r="K581" s="122">
        <f>IF($A581="","",MAX(0,$B581-$J581))</f>
        <v/>
      </c>
      <c r="L581" s="123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</row>
    <row r="582" ht="15" customHeight="1" s="80">
      <c r="A582" s="125" t="n"/>
      <c r="B582" s="121" t="n"/>
      <c r="C582" s="121" t="n"/>
      <c r="D582" s="121" t="n"/>
      <c r="E582" s="121" t="n"/>
      <c r="F582" s="121" t="n"/>
      <c r="G582" s="121" t="n"/>
      <c r="H582" s="121" t="n"/>
      <c r="I582" s="121" t="n"/>
      <c r="J582" s="122">
        <f>IF($A582="","",$B582+$C582+$D582-$E582+$F582-$G582)</f>
        <v/>
      </c>
      <c r="K582" s="122">
        <f>IF($A582="","",MAX(0,$B582-$J582))</f>
        <v/>
      </c>
      <c r="L582" s="123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</row>
    <row r="583" ht="15" customHeight="1" s="80">
      <c r="A583" s="125" t="n"/>
      <c r="B583" s="121" t="n"/>
      <c r="C583" s="121" t="n"/>
      <c r="D583" s="121" t="n"/>
      <c r="E583" s="121" t="n"/>
      <c r="F583" s="121" t="n"/>
      <c r="G583" s="121" t="n"/>
      <c r="H583" s="121" t="n"/>
      <c r="I583" s="121" t="n"/>
      <c r="J583" s="122">
        <f>IF($A583="","",$B583+$C583+$D583-$E583+$F583-$G583)</f>
        <v/>
      </c>
      <c r="K583" s="122">
        <f>IF($A583="","",MAX(0,$B583-$J583))</f>
        <v/>
      </c>
      <c r="L583" s="123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</row>
    <row r="584" ht="15" customHeight="1" s="80">
      <c r="A584" s="125" t="n"/>
      <c r="B584" s="121" t="n"/>
      <c r="C584" s="121" t="n"/>
      <c r="D584" s="121" t="n"/>
      <c r="E584" s="121" t="n"/>
      <c r="F584" s="121" t="n"/>
      <c r="G584" s="121" t="n"/>
      <c r="H584" s="121" t="n"/>
      <c r="I584" s="121" t="n"/>
      <c r="J584" s="122">
        <f>IF($A584="","",$B584+$C584+$D584-$E584+$F584-$G584)</f>
        <v/>
      </c>
      <c r="K584" s="122">
        <f>IF($A584="","",MAX(0,$B584-$J584))</f>
        <v/>
      </c>
      <c r="L584" s="123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</row>
    <row r="585" ht="15" customHeight="1" s="80">
      <c r="A585" s="125" t="n"/>
      <c r="B585" s="121" t="n"/>
      <c r="C585" s="121" t="n"/>
      <c r="D585" s="121" t="n"/>
      <c r="E585" s="121" t="n"/>
      <c r="F585" s="121" t="n"/>
      <c r="G585" s="121" t="n"/>
      <c r="H585" s="121" t="n"/>
      <c r="I585" s="121" t="n"/>
      <c r="J585" s="122">
        <f>IF($A585="","",$B585+$C585+$D585-$E585+$F585-$G585)</f>
        <v/>
      </c>
      <c r="K585" s="122">
        <f>IF($A585="","",MAX(0,$B585-$J585))</f>
        <v/>
      </c>
      <c r="L585" s="123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</row>
    <row r="586" ht="15" customHeight="1" s="80">
      <c r="A586" s="125" t="n"/>
      <c r="B586" s="121" t="n"/>
      <c r="C586" s="121" t="n"/>
      <c r="D586" s="121" t="n"/>
      <c r="E586" s="121" t="n"/>
      <c r="F586" s="121" t="n"/>
      <c r="G586" s="121" t="n"/>
      <c r="H586" s="121" t="n"/>
      <c r="I586" s="121" t="n"/>
      <c r="J586" s="122">
        <f>IF($A586="","",$B586+$C586+$D586-$E586+$F586-$G586)</f>
        <v/>
      </c>
      <c r="K586" s="122">
        <f>IF($A586="","",MAX(0,$B586-$J586))</f>
        <v/>
      </c>
      <c r="L586" s="123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</row>
    <row r="587" ht="15" customHeight="1" s="80">
      <c r="A587" s="125" t="n"/>
      <c r="B587" s="121" t="n"/>
      <c r="C587" s="121" t="n"/>
      <c r="D587" s="121" t="n"/>
      <c r="E587" s="121" t="n"/>
      <c r="F587" s="121" t="n"/>
      <c r="G587" s="121" t="n"/>
      <c r="H587" s="121" t="n"/>
      <c r="I587" s="121" t="n"/>
      <c r="J587" s="122">
        <f>IF($A587="","",$B587+$C587+$D587-$E587+$F587-$G587)</f>
        <v/>
      </c>
      <c r="K587" s="122">
        <f>IF($A587="","",MAX(0,$B587-$J587))</f>
        <v/>
      </c>
      <c r="L587" s="123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</row>
    <row r="588" ht="15" customHeight="1" s="80">
      <c r="A588" s="125" t="n"/>
      <c r="B588" s="121" t="n"/>
      <c r="C588" s="121" t="n"/>
      <c r="D588" s="121" t="n"/>
      <c r="E588" s="121" t="n"/>
      <c r="F588" s="121" t="n"/>
      <c r="G588" s="121" t="n"/>
      <c r="H588" s="121" t="n"/>
      <c r="I588" s="121" t="n"/>
      <c r="J588" s="122">
        <f>IF($A588="","",$B588+$C588+$D588-$E588+$F588-$G588)</f>
        <v/>
      </c>
      <c r="K588" s="122">
        <f>IF($A588="","",MAX(0,$B588-$J588))</f>
        <v/>
      </c>
      <c r="L588" s="123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</row>
    <row r="589" ht="15" customHeight="1" s="80">
      <c r="A589" s="125" t="n"/>
      <c r="B589" s="121" t="n"/>
      <c r="C589" s="121" t="n"/>
      <c r="D589" s="121" t="n"/>
      <c r="E589" s="121" t="n"/>
      <c r="F589" s="121" t="n"/>
      <c r="G589" s="121" t="n"/>
      <c r="H589" s="121" t="n"/>
      <c r="I589" s="121" t="n"/>
      <c r="J589" s="122">
        <f>IF($A589="","",$B589+$C589+$D589-$E589+$F589-$G589)</f>
        <v/>
      </c>
      <c r="K589" s="122">
        <f>IF($A589="","",MAX(0,$B589-$J589))</f>
        <v/>
      </c>
      <c r="L589" s="123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</row>
    <row r="590" ht="15" customHeight="1" s="80">
      <c r="A590" s="125" t="n"/>
      <c r="B590" s="121" t="n"/>
      <c r="C590" s="121" t="n"/>
      <c r="D590" s="121" t="n"/>
      <c r="E590" s="121" t="n"/>
      <c r="F590" s="121" t="n"/>
      <c r="G590" s="121" t="n"/>
      <c r="H590" s="121" t="n"/>
      <c r="I590" s="121" t="n"/>
      <c r="J590" s="122">
        <f>IF($A590="","",$B590+$C590+$D590-$E590+$F590-$G590)</f>
        <v/>
      </c>
      <c r="K590" s="122">
        <f>IF($A590="","",MAX(0,$B590-$J590))</f>
        <v/>
      </c>
      <c r="L590" s="123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</row>
    <row r="591" ht="15" customHeight="1" s="80">
      <c r="A591" s="125" t="n"/>
      <c r="B591" s="121" t="n"/>
      <c r="C591" s="121" t="n"/>
      <c r="D591" s="121" t="n"/>
      <c r="E591" s="121" t="n"/>
      <c r="F591" s="121" t="n"/>
      <c r="G591" s="121" t="n"/>
      <c r="H591" s="121" t="n"/>
      <c r="I591" s="121" t="n"/>
      <c r="J591" s="122">
        <f>IF($A591="","",$B591+$C591+$D591-$E591+$F591-$G591)</f>
        <v/>
      </c>
      <c r="K591" s="122">
        <f>IF($A591="","",MAX(0,$B591-$J591))</f>
        <v/>
      </c>
      <c r="L591" s="123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</row>
    <row r="592" ht="15" customHeight="1" s="80">
      <c r="A592" s="125" t="n"/>
      <c r="B592" s="121" t="n"/>
      <c r="C592" s="121" t="n"/>
      <c r="D592" s="121" t="n"/>
      <c r="E592" s="121" t="n"/>
      <c r="F592" s="121" t="n"/>
      <c r="G592" s="121" t="n"/>
      <c r="H592" s="121" t="n"/>
      <c r="I592" s="121" t="n"/>
      <c r="J592" s="122">
        <f>IF($A592="","",$B592+$C592+$D592-$E592+$F592-$G592)</f>
        <v/>
      </c>
      <c r="K592" s="122">
        <f>IF($A592="","",MAX(0,$B592-$J592))</f>
        <v/>
      </c>
      <c r="L592" s="123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</row>
    <row r="593" ht="15" customHeight="1" s="80">
      <c r="A593" s="125" t="n"/>
      <c r="B593" s="121" t="n"/>
      <c r="C593" s="121" t="n"/>
      <c r="D593" s="121" t="n"/>
      <c r="E593" s="121" t="n"/>
      <c r="F593" s="121" t="n"/>
      <c r="G593" s="121" t="n"/>
      <c r="H593" s="121" t="n"/>
      <c r="I593" s="121" t="n"/>
      <c r="J593" s="122">
        <f>IF($A593="","",$B593+$C593+$D593-$E593+$F593-$G593)</f>
        <v/>
      </c>
      <c r="K593" s="122">
        <f>IF($A593="","",MAX(0,$B593-$J593))</f>
        <v/>
      </c>
      <c r="L593" s="123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</row>
    <row r="594" ht="15" customHeight="1" s="80">
      <c r="A594" s="125" t="n"/>
      <c r="B594" s="121" t="n"/>
      <c r="C594" s="121" t="n"/>
      <c r="D594" s="121" t="n"/>
      <c r="E594" s="121" t="n"/>
      <c r="F594" s="121" t="n"/>
      <c r="G594" s="121" t="n"/>
      <c r="H594" s="121" t="n"/>
      <c r="I594" s="121" t="n"/>
      <c r="J594" s="122">
        <f>IF($A594="","",$B594+$C594+$D594-$E594+$F594-$G594)</f>
        <v/>
      </c>
      <c r="K594" s="122">
        <f>IF($A594="","",MAX(0,$B594-$J594))</f>
        <v/>
      </c>
      <c r="L594" s="123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</row>
    <row r="595" ht="15" customHeight="1" s="80">
      <c r="A595" s="125" t="n"/>
      <c r="B595" s="121" t="n"/>
      <c r="C595" s="121" t="n"/>
      <c r="D595" s="121" t="n"/>
      <c r="E595" s="121" t="n"/>
      <c r="F595" s="121" t="n"/>
      <c r="G595" s="121" t="n"/>
      <c r="H595" s="121" t="n"/>
      <c r="I595" s="121" t="n"/>
      <c r="J595" s="122">
        <f>IF($A595="","",$B595+$C595+$D595-$E595+$F595-$G595)</f>
        <v/>
      </c>
      <c r="K595" s="122">
        <f>IF($A595="","",MAX(0,$B595-$J595))</f>
        <v/>
      </c>
      <c r="L595" s="123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</row>
    <row r="596" ht="15" customHeight="1" s="80">
      <c r="A596" s="125" t="n"/>
      <c r="B596" s="121" t="n"/>
      <c r="C596" s="121" t="n"/>
      <c r="D596" s="121" t="n"/>
      <c r="E596" s="121" t="n"/>
      <c r="F596" s="121" t="n"/>
      <c r="G596" s="121" t="n"/>
      <c r="H596" s="121" t="n"/>
      <c r="I596" s="121" t="n"/>
      <c r="J596" s="122">
        <f>IF($A596="","",$B596+$C596+$D596-$E596+$F596-$G596)</f>
        <v/>
      </c>
      <c r="K596" s="122">
        <f>IF($A596="","",MAX(0,$B596-$J596))</f>
        <v/>
      </c>
      <c r="L596" s="123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</row>
    <row r="597" ht="15" customHeight="1" s="80">
      <c r="A597" s="125" t="n"/>
      <c r="B597" s="121" t="n"/>
      <c r="C597" s="121" t="n"/>
      <c r="D597" s="121" t="n"/>
      <c r="E597" s="121" t="n"/>
      <c r="F597" s="121" t="n"/>
      <c r="G597" s="121" t="n"/>
      <c r="H597" s="121" t="n"/>
      <c r="I597" s="121" t="n"/>
      <c r="J597" s="122">
        <f>IF($A597="","",$B597+$C597+$D597-$E597+$F597-$G597)</f>
        <v/>
      </c>
      <c r="K597" s="122">
        <f>IF($A597="","",MAX(0,$B597-$J597))</f>
        <v/>
      </c>
      <c r="L597" s="123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</row>
    <row r="598" ht="15" customHeight="1" s="80">
      <c r="A598" s="125" t="n"/>
      <c r="B598" s="121" t="n"/>
      <c r="C598" s="121" t="n"/>
      <c r="D598" s="121" t="n"/>
      <c r="E598" s="121" t="n"/>
      <c r="F598" s="121" t="n"/>
      <c r="G598" s="121" t="n"/>
      <c r="H598" s="121" t="n"/>
      <c r="I598" s="121" t="n"/>
      <c r="J598" s="122">
        <f>IF($A598="","",$B598+$C598+$D598-$E598+$F598-$G598)</f>
        <v/>
      </c>
      <c r="K598" s="122">
        <f>IF($A598="","",MAX(0,$B598-$J598))</f>
        <v/>
      </c>
      <c r="L598" s="123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</row>
    <row r="599" ht="15" customHeight="1" s="80">
      <c r="A599" s="125" t="n"/>
      <c r="B599" s="121" t="n"/>
      <c r="C599" s="121" t="n"/>
      <c r="D599" s="121" t="n"/>
      <c r="E599" s="121" t="n"/>
      <c r="F599" s="121" t="n"/>
      <c r="G599" s="121" t="n"/>
      <c r="H599" s="121" t="n"/>
      <c r="I599" s="121" t="n"/>
      <c r="J599" s="122">
        <f>IF($A599="","",$B599+$C599+$D599-$E599+$F599-$G599)</f>
        <v/>
      </c>
      <c r="K599" s="122">
        <f>IF($A599="","",MAX(0,$B599-$J599))</f>
        <v/>
      </c>
      <c r="L599" s="123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</row>
    <row r="600" ht="15" customHeight="1" s="80">
      <c r="A600" s="125" t="n"/>
      <c r="B600" s="121" t="n"/>
      <c r="C600" s="121" t="n"/>
      <c r="D600" s="121" t="n"/>
      <c r="E600" s="121" t="n"/>
      <c r="F600" s="121" t="n"/>
      <c r="G600" s="121" t="n"/>
      <c r="H600" s="121" t="n"/>
      <c r="I600" s="121" t="n"/>
      <c r="J600" s="122">
        <f>IF($A600="","",$B600+$C600+$D600-$E600+$F600-$G600)</f>
        <v/>
      </c>
      <c r="K600" s="122">
        <f>IF($A600="","",MAX(0,$B600-$J600))</f>
        <v/>
      </c>
      <c r="L600" s="123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</row>
    <row r="601" ht="15" customHeight="1" s="80">
      <c r="A601" s="125" t="n"/>
      <c r="B601" s="121" t="n"/>
      <c r="C601" s="121" t="n"/>
      <c r="D601" s="121" t="n"/>
      <c r="E601" s="121" t="n"/>
      <c r="F601" s="121" t="n"/>
      <c r="G601" s="121" t="n"/>
      <c r="H601" s="121" t="n"/>
      <c r="I601" s="121" t="n"/>
      <c r="J601" s="122">
        <f>IF($A601="","",$B601+$C601+$D601-$E601+$F601-$G601)</f>
        <v/>
      </c>
      <c r="K601" s="122">
        <f>IF($A601="","",MAX(0,$B601-$J601))</f>
        <v/>
      </c>
      <c r="L601" s="123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</row>
    <row r="602" ht="15" customHeight="1" s="80">
      <c r="A602" s="125" t="n"/>
      <c r="B602" s="121" t="n"/>
      <c r="C602" s="121" t="n"/>
      <c r="D602" s="121" t="n"/>
      <c r="E602" s="121" t="n"/>
      <c r="F602" s="121" t="n"/>
      <c r="G602" s="121" t="n"/>
      <c r="H602" s="121" t="n"/>
      <c r="I602" s="121" t="n"/>
      <c r="J602" s="122">
        <f>IF($A602="","",$B602+$C602+$D602-$E602+$F602-$G602)</f>
        <v/>
      </c>
      <c r="K602" s="122">
        <f>IF($A602="","",MAX(0,$B602-$J602))</f>
        <v/>
      </c>
      <c r="L602" s="123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</row>
    <row r="603" ht="15" customHeight="1" s="80">
      <c r="A603" s="125" t="n"/>
      <c r="B603" s="121" t="n"/>
      <c r="C603" s="121" t="n"/>
      <c r="D603" s="121" t="n"/>
      <c r="E603" s="121" t="n"/>
      <c r="F603" s="121" t="n"/>
      <c r="G603" s="121" t="n"/>
      <c r="H603" s="121" t="n"/>
      <c r="I603" s="121" t="n"/>
      <c r="J603" s="122">
        <f>IF($A603="","",$B603+$C603+$D603-$E603+$F603-$G603)</f>
        <v/>
      </c>
      <c r="K603" s="122">
        <f>IF($A603="","",MAX(0,$B603-$J603))</f>
        <v/>
      </c>
      <c r="L603" s="123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</row>
    <row r="604" ht="15" customHeight="1" s="80">
      <c r="A604" s="125" t="n"/>
      <c r="B604" s="121" t="n"/>
      <c r="C604" s="121" t="n"/>
      <c r="D604" s="121" t="n"/>
      <c r="E604" s="121" t="n"/>
      <c r="F604" s="121" t="n"/>
      <c r="G604" s="121" t="n"/>
      <c r="H604" s="121" t="n"/>
      <c r="I604" s="121" t="n"/>
      <c r="J604" s="122">
        <f>IF($A604="","",$B604+$C604+$D604-$E604+$F604-$G604)</f>
        <v/>
      </c>
      <c r="K604" s="122">
        <f>IF($A604="","",MAX(0,$B604-$J604))</f>
        <v/>
      </c>
      <c r="L604" s="123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</row>
    <row r="605" ht="15" customHeight="1" s="80">
      <c r="A605" s="125" t="n"/>
      <c r="B605" s="121" t="n"/>
      <c r="C605" s="121" t="n"/>
      <c r="D605" s="121" t="n"/>
      <c r="E605" s="121" t="n"/>
      <c r="F605" s="121" t="n"/>
      <c r="G605" s="121" t="n"/>
      <c r="H605" s="121" t="n"/>
      <c r="I605" s="121" t="n"/>
      <c r="J605" s="122">
        <f>IF($A605="","",$B605+$C605+$D605-$E605+$F605-$G605)</f>
        <v/>
      </c>
      <c r="K605" s="122">
        <f>IF($A605="","",MAX(0,$B605-$J605))</f>
        <v/>
      </c>
      <c r="L605" s="123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</row>
    <row r="606" ht="15" customHeight="1" s="80">
      <c r="A606" s="125" t="n"/>
      <c r="B606" s="121" t="n"/>
      <c r="C606" s="121" t="n"/>
      <c r="D606" s="121" t="n"/>
      <c r="E606" s="121" t="n"/>
      <c r="F606" s="121" t="n"/>
      <c r="G606" s="121" t="n"/>
      <c r="H606" s="121" t="n"/>
      <c r="I606" s="121" t="n"/>
      <c r="J606" s="122">
        <f>IF($A606="","",$B606+$C606+$D606-$E606+$F606-$G606)</f>
        <v/>
      </c>
      <c r="K606" s="122">
        <f>IF($A606="","",MAX(0,$B606-$J606))</f>
        <v/>
      </c>
      <c r="L606" s="123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</row>
    <row r="607" ht="15" customHeight="1" s="80">
      <c r="A607" s="125" t="n"/>
      <c r="B607" s="121" t="n"/>
      <c r="C607" s="121" t="n"/>
      <c r="D607" s="121" t="n"/>
      <c r="E607" s="121" t="n"/>
      <c r="F607" s="121" t="n"/>
      <c r="G607" s="121" t="n"/>
      <c r="H607" s="121" t="n"/>
      <c r="I607" s="121" t="n"/>
      <c r="J607" s="122">
        <f>IF($A607="","",$B607+$C607+$D607-$E607+$F607-$G607)</f>
        <v/>
      </c>
      <c r="K607" s="122">
        <f>IF($A607="","",MAX(0,$B607-$J607))</f>
        <v/>
      </c>
      <c r="L607" s="123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</row>
    <row r="608" ht="15" customHeight="1" s="80">
      <c r="A608" s="125" t="n"/>
      <c r="B608" s="121" t="n"/>
      <c r="C608" s="121" t="n"/>
      <c r="D608" s="121" t="n"/>
      <c r="E608" s="121" t="n"/>
      <c r="F608" s="121" t="n"/>
      <c r="G608" s="121" t="n"/>
      <c r="H608" s="121" t="n"/>
      <c r="I608" s="121" t="n"/>
      <c r="J608" s="122">
        <f>IF($A608="","",$B608+$C608+$D608-$E608+$F608-$G608)</f>
        <v/>
      </c>
      <c r="K608" s="122">
        <f>IF($A608="","",MAX(0,$B608-$J608))</f>
        <v/>
      </c>
      <c r="L608" s="123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</row>
    <row r="609" ht="15" customHeight="1" s="80">
      <c r="A609" s="125" t="n"/>
      <c r="B609" s="121" t="n"/>
      <c r="C609" s="121" t="n"/>
      <c r="D609" s="121" t="n"/>
      <c r="E609" s="121" t="n"/>
      <c r="F609" s="121" t="n"/>
      <c r="G609" s="121" t="n"/>
      <c r="H609" s="121" t="n"/>
      <c r="I609" s="121" t="n"/>
      <c r="J609" s="122">
        <f>IF($A609="","",$B609+$C609+$D609-$E609+$F609-$G609)</f>
        <v/>
      </c>
      <c r="K609" s="122">
        <f>IF($A609="","",MAX(0,$B609-$J609))</f>
        <v/>
      </c>
      <c r="L609" s="123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</row>
    <row r="610" ht="15" customHeight="1" s="80">
      <c r="A610" s="125" t="n"/>
      <c r="B610" s="121" t="n"/>
      <c r="C610" s="121" t="n"/>
      <c r="D610" s="121" t="n"/>
      <c r="E610" s="121" t="n"/>
      <c r="F610" s="121" t="n"/>
      <c r="G610" s="121" t="n"/>
      <c r="H610" s="121" t="n"/>
      <c r="I610" s="121" t="n"/>
      <c r="J610" s="122">
        <f>IF($A610="","",$B610+$C610+$D610-$E610+$F610-$G610)</f>
        <v/>
      </c>
      <c r="K610" s="122">
        <f>IF($A610="","",MAX(0,$B610-$J610))</f>
        <v/>
      </c>
      <c r="L610" s="123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</row>
    <row r="611" ht="15" customHeight="1" s="80">
      <c r="A611" s="125" t="n"/>
      <c r="B611" s="121" t="n"/>
      <c r="C611" s="121" t="n"/>
      <c r="D611" s="121" t="n"/>
      <c r="E611" s="121" t="n"/>
      <c r="F611" s="121" t="n"/>
      <c r="G611" s="121" t="n"/>
      <c r="H611" s="121" t="n"/>
      <c r="I611" s="121" t="n"/>
      <c r="J611" s="122">
        <f>IF($A611="","",$B611+$C611+$D611-$E611+$F611-$G611)</f>
        <v/>
      </c>
      <c r="K611" s="122">
        <f>IF($A611="","",MAX(0,$B611-$J611))</f>
        <v/>
      </c>
      <c r="L611" s="123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</row>
    <row r="612" ht="15" customHeight="1" s="80">
      <c r="A612" s="125" t="n"/>
      <c r="B612" s="121" t="n"/>
      <c r="C612" s="121" t="n"/>
      <c r="D612" s="121" t="n"/>
      <c r="E612" s="121" t="n"/>
      <c r="F612" s="121" t="n"/>
      <c r="G612" s="121" t="n"/>
      <c r="H612" s="121" t="n"/>
      <c r="I612" s="121" t="n"/>
      <c r="J612" s="122">
        <f>IF($A612="","",$B612+$C612+$D612-$E612+$F612-$G612)</f>
        <v/>
      </c>
      <c r="K612" s="122">
        <f>IF($A612="","",MAX(0,$B612-$J612))</f>
        <v/>
      </c>
      <c r="L612" s="123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</row>
    <row r="613" ht="15" customHeight="1" s="80">
      <c r="A613" s="125" t="n"/>
      <c r="B613" s="121" t="n"/>
      <c r="C613" s="121" t="n"/>
      <c r="D613" s="121" t="n"/>
      <c r="E613" s="121" t="n"/>
      <c r="F613" s="121" t="n"/>
      <c r="G613" s="121" t="n"/>
      <c r="H613" s="121" t="n"/>
      <c r="I613" s="121" t="n"/>
      <c r="J613" s="122">
        <f>IF($A613="","",$B613+$C613+$D613-$E613+$F613-$G613)</f>
        <v/>
      </c>
      <c r="K613" s="122">
        <f>IF($A613="","",MAX(0,$B613-$J613))</f>
        <v/>
      </c>
      <c r="L613" s="123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</row>
    <row r="614" ht="15" customHeight="1" s="80">
      <c r="A614" s="125" t="n"/>
      <c r="B614" s="121" t="n"/>
      <c r="C614" s="121" t="n"/>
      <c r="D614" s="121" t="n"/>
      <c r="E614" s="121" t="n"/>
      <c r="F614" s="121" t="n"/>
      <c r="G614" s="121" t="n"/>
      <c r="H614" s="121" t="n"/>
      <c r="I614" s="121" t="n"/>
      <c r="J614" s="122">
        <f>IF($A614="","",$B614+$C614+$D614-$E614+$F614-$G614)</f>
        <v/>
      </c>
      <c r="K614" s="122">
        <f>IF($A614="","",MAX(0,$B614-$J614))</f>
        <v/>
      </c>
      <c r="L614" s="123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</row>
    <row r="615" ht="15" customHeight="1" s="80">
      <c r="A615" s="125" t="n"/>
      <c r="B615" s="121" t="n"/>
      <c r="C615" s="121" t="n"/>
      <c r="D615" s="121" t="n"/>
      <c r="E615" s="121" t="n"/>
      <c r="F615" s="121" t="n"/>
      <c r="G615" s="121" t="n"/>
      <c r="H615" s="121" t="n"/>
      <c r="I615" s="121" t="n"/>
      <c r="J615" s="122">
        <f>IF($A615="","",$B615+$C615+$D615-$E615+$F615-$G615)</f>
        <v/>
      </c>
      <c r="K615" s="122">
        <f>IF($A615="","",MAX(0,$B615-$J615))</f>
        <v/>
      </c>
      <c r="L615" s="123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</row>
    <row r="616" ht="15" customHeight="1" s="80">
      <c r="A616" s="125" t="n"/>
      <c r="B616" s="121" t="n"/>
      <c r="C616" s="121" t="n"/>
      <c r="D616" s="121" t="n"/>
      <c r="E616" s="121" t="n"/>
      <c r="F616" s="121" t="n"/>
      <c r="G616" s="121" t="n"/>
      <c r="H616" s="121" t="n"/>
      <c r="I616" s="121" t="n"/>
      <c r="J616" s="122">
        <f>IF($A616="","",$B616+$C616+$D616-$E616+$F616-$G616)</f>
        <v/>
      </c>
      <c r="K616" s="122">
        <f>IF($A616="","",MAX(0,$B616-$J616))</f>
        <v/>
      </c>
      <c r="L616" s="123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</row>
    <row r="617" ht="15" customHeight="1" s="80">
      <c r="A617" s="125" t="n"/>
      <c r="B617" s="121" t="n"/>
      <c r="C617" s="121" t="n"/>
      <c r="D617" s="121" t="n"/>
      <c r="E617" s="121" t="n"/>
      <c r="F617" s="121" t="n"/>
      <c r="G617" s="121" t="n"/>
      <c r="H617" s="121" t="n"/>
      <c r="I617" s="121" t="n"/>
      <c r="J617" s="122">
        <f>IF($A617="","",$B617+$C617+$D617-$E617+$F617-$G617)</f>
        <v/>
      </c>
      <c r="K617" s="122">
        <f>IF($A617="","",MAX(0,$B617-$J617))</f>
        <v/>
      </c>
      <c r="L617" s="123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</row>
    <row r="618" ht="15" customHeight="1" s="80">
      <c r="A618" s="125" t="n"/>
      <c r="B618" s="121" t="n"/>
      <c r="C618" s="121" t="n"/>
      <c r="D618" s="121" t="n"/>
      <c r="E618" s="121" t="n"/>
      <c r="F618" s="121" t="n"/>
      <c r="G618" s="121" t="n"/>
      <c r="H618" s="121" t="n"/>
      <c r="I618" s="121" t="n"/>
      <c r="J618" s="122">
        <f>IF($A618="","",$B618+$C618+$D618-$E618+$F618-$G618)</f>
        <v/>
      </c>
      <c r="K618" s="122">
        <f>IF($A618="","",MAX(0,$B618-$J618))</f>
        <v/>
      </c>
      <c r="L618" s="123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</row>
    <row r="619" ht="15" customHeight="1" s="80">
      <c r="A619" s="125" t="n"/>
      <c r="B619" s="121" t="n"/>
      <c r="C619" s="121" t="n"/>
      <c r="D619" s="121" t="n"/>
      <c r="E619" s="121" t="n"/>
      <c r="F619" s="121" t="n"/>
      <c r="G619" s="121" t="n"/>
      <c r="H619" s="121" t="n"/>
      <c r="I619" s="121" t="n"/>
      <c r="J619" s="122">
        <f>IF($A619="","",$B619+$C619+$D619-$E619+$F619-$G619)</f>
        <v/>
      </c>
      <c r="K619" s="122">
        <f>IF($A619="","",MAX(0,$B619-$J619))</f>
        <v/>
      </c>
      <c r="L619" s="123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</row>
    <row r="620" ht="15" customHeight="1" s="80">
      <c r="A620" s="125" t="n"/>
      <c r="B620" s="121" t="n"/>
      <c r="C620" s="121" t="n"/>
      <c r="D620" s="121" t="n"/>
      <c r="E620" s="121" t="n"/>
      <c r="F620" s="121" t="n"/>
      <c r="G620" s="121" t="n"/>
      <c r="H620" s="121" t="n"/>
      <c r="I620" s="121" t="n"/>
      <c r="J620" s="122">
        <f>IF($A620="","",$B620+$C620+$D620-$E620+$F620-$G620)</f>
        <v/>
      </c>
      <c r="K620" s="122">
        <f>IF($A620="","",MAX(0,$B620-$J620))</f>
        <v/>
      </c>
      <c r="L620" s="123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</row>
    <row r="621" ht="15" customHeight="1" s="80">
      <c r="A621" s="125" t="n"/>
      <c r="B621" s="121" t="n"/>
      <c r="C621" s="121" t="n"/>
      <c r="D621" s="121" t="n"/>
      <c r="E621" s="121" t="n"/>
      <c r="F621" s="121" t="n"/>
      <c r="G621" s="121" t="n"/>
      <c r="H621" s="121" t="n"/>
      <c r="I621" s="121" t="n"/>
      <c r="J621" s="122">
        <f>IF($A621="","",$B621+$C621+$D621-$E621+$F621-$G621)</f>
        <v/>
      </c>
      <c r="K621" s="122">
        <f>IF($A621="","",MAX(0,$B621-$J621))</f>
        <v/>
      </c>
      <c r="L621" s="123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</row>
    <row r="622" ht="15" customHeight="1" s="80">
      <c r="A622" s="125" t="n"/>
      <c r="B622" s="121" t="n"/>
      <c r="C622" s="121" t="n"/>
      <c r="D622" s="121" t="n"/>
      <c r="E622" s="121" t="n"/>
      <c r="F622" s="121" t="n"/>
      <c r="G622" s="121" t="n"/>
      <c r="H622" s="121" t="n"/>
      <c r="I622" s="121" t="n"/>
      <c r="J622" s="122">
        <f>IF($A622="","",$B622+$C622+$D622-$E622+$F622-$G622)</f>
        <v/>
      </c>
      <c r="K622" s="122">
        <f>IF($A622="","",MAX(0,$B622-$J622))</f>
        <v/>
      </c>
      <c r="L622" s="123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</row>
    <row r="623" ht="15" customHeight="1" s="80">
      <c r="A623" s="125" t="n"/>
      <c r="B623" s="121" t="n"/>
      <c r="C623" s="121" t="n"/>
      <c r="D623" s="121" t="n"/>
      <c r="E623" s="121" t="n"/>
      <c r="F623" s="121" t="n"/>
      <c r="G623" s="121" t="n"/>
      <c r="H623" s="121" t="n"/>
      <c r="I623" s="121" t="n"/>
      <c r="J623" s="122">
        <f>IF($A623="","",$B623+$C623+$D623-$E623+$F623-$G623)</f>
        <v/>
      </c>
      <c r="K623" s="122">
        <f>IF($A623="","",MAX(0,$B623-$J623))</f>
        <v/>
      </c>
      <c r="L623" s="123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</row>
    <row r="624" ht="15" customHeight="1" s="80">
      <c r="A624" s="125" t="n"/>
      <c r="B624" s="121" t="n"/>
      <c r="C624" s="121" t="n"/>
      <c r="D624" s="121" t="n"/>
      <c r="E624" s="121" t="n"/>
      <c r="F624" s="121" t="n"/>
      <c r="G624" s="121" t="n"/>
      <c r="H624" s="121" t="n"/>
      <c r="I624" s="121" t="n"/>
      <c r="J624" s="122">
        <f>IF($A624="","",$B624+$C624+$D624-$E624+$F624-$G624)</f>
        <v/>
      </c>
      <c r="K624" s="122">
        <f>IF($A624="","",MAX(0,$B624-$J624))</f>
        <v/>
      </c>
      <c r="L624" s="123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</row>
    <row r="625" ht="15" customHeight="1" s="80">
      <c r="A625" s="125" t="n"/>
      <c r="B625" s="121" t="n"/>
      <c r="C625" s="121" t="n"/>
      <c r="D625" s="121" t="n"/>
      <c r="E625" s="121" t="n"/>
      <c r="F625" s="121" t="n"/>
      <c r="G625" s="121" t="n"/>
      <c r="H625" s="121" t="n"/>
      <c r="I625" s="121" t="n"/>
      <c r="J625" s="122">
        <f>IF($A625="","",$B625+$C625+$D625-$E625+$F625-$G625)</f>
        <v/>
      </c>
      <c r="K625" s="122">
        <f>IF($A625="","",MAX(0,$B625-$J625))</f>
        <v/>
      </c>
      <c r="L625" s="123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</row>
    <row r="626" ht="15" customHeight="1" s="80">
      <c r="A626" s="125" t="n"/>
      <c r="B626" s="121" t="n"/>
      <c r="C626" s="121" t="n"/>
      <c r="D626" s="121" t="n"/>
      <c r="E626" s="121" t="n"/>
      <c r="F626" s="121" t="n"/>
      <c r="G626" s="121" t="n"/>
      <c r="H626" s="121" t="n"/>
      <c r="I626" s="121" t="n"/>
      <c r="J626" s="122">
        <f>IF($A626="","",$B626+$C626+$D626-$E626+$F626-$G626)</f>
        <v/>
      </c>
      <c r="K626" s="122">
        <f>IF($A626="","",MAX(0,$B626-$J626))</f>
        <v/>
      </c>
      <c r="L626" s="123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</row>
    <row r="627" ht="15" customHeight="1" s="80">
      <c r="A627" s="125" t="n"/>
      <c r="B627" s="121" t="n"/>
      <c r="C627" s="121" t="n"/>
      <c r="D627" s="121" t="n"/>
      <c r="E627" s="121" t="n"/>
      <c r="F627" s="121" t="n"/>
      <c r="G627" s="121" t="n"/>
      <c r="H627" s="121" t="n"/>
      <c r="I627" s="121" t="n"/>
      <c r="J627" s="122">
        <f>IF($A627="","",$B627+$C627+$D627-$E627+$F627-$G627)</f>
        <v/>
      </c>
      <c r="K627" s="122">
        <f>IF($A627="","",MAX(0,$B627-$J627))</f>
        <v/>
      </c>
      <c r="L627" s="123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</row>
    <row r="628" ht="15" customHeight="1" s="80">
      <c r="A628" s="125" t="n"/>
      <c r="B628" s="121" t="n"/>
      <c r="C628" s="121" t="n"/>
      <c r="D628" s="121" t="n"/>
      <c r="E628" s="121" t="n"/>
      <c r="F628" s="121" t="n"/>
      <c r="G628" s="121" t="n"/>
      <c r="H628" s="121" t="n"/>
      <c r="I628" s="121" t="n"/>
      <c r="J628" s="122">
        <f>IF($A628="","",$B628+$C628+$D628-$E628+$F628-$G628)</f>
        <v/>
      </c>
      <c r="K628" s="122">
        <f>IF($A628="","",MAX(0,$B628-$J628))</f>
        <v/>
      </c>
      <c r="L628" s="123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</row>
    <row r="629" ht="15" customHeight="1" s="80">
      <c r="A629" s="125" t="n"/>
      <c r="B629" s="121" t="n"/>
      <c r="C629" s="121" t="n"/>
      <c r="D629" s="121" t="n"/>
      <c r="E629" s="121" t="n"/>
      <c r="F629" s="121" t="n"/>
      <c r="G629" s="121" t="n"/>
      <c r="H629" s="121" t="n"/>
      <c r="I629" s="121" t="n"/>
      <c r="J629" s="122">
        <f>IF($A629="","",$B629+$C629+$D629-$E629+$F629-$G629)</f>
        <v/>
      </c>
      <c r="K629" s="122">
        <f>IF($A629="","",MAX(0,$B629-$J629))</f>
        <v/>
      </c>
      <c r="L629" s="123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</row>
    <row r="630" ht="15" customHeight="1" s="80">
      <c r="A630" s="125" t="n"/>
      <c r="B630" s="121" t="n"/>
      <c r="C630" s="121" t="n"/>
      <c r="D630" s="121" t="n"/>
      <c r="E630" s="121" t="n"/>
      <c r="F630" s="121" t="n"/>
      <c r="G630" s="121" t="n"/>
      <c r="H630" s="121" t="n"/>
      <c r="I630" s="121" t="n"/>
      <c r="J630" s="122">
        <f>IF($A630="","",$B630+$C630+$D630-$E630+$F630-$G630)</f>
        <v/>
      </c>
      <c r="K630" s="122">
        <f>IF($A630="","",MAX(0,$B630-$J630))</f>
        <v/>
      </c>
      <c r="L630" s="123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</row>
    <row r="631" ht="15" customHeight="1" s="80">
      <c r="A631" s="125" t="n"/>
      <c r="B631" s="121" t="n"/>
      <c r="C631" s="121" t="n"/>
      <c r="D631" s="121" t="n"/>
      <c r="E631" s="121" t="n"/>
      <c r="F631" s="121" t="n"/>
      <c r="G631" s="121" t="n"/>
      <c r="H631" s="121" t="n"/>
      <c r="I631" s="121" t="n"/>
      <c r="J631" s="122">
        <f>IF($A631="","",$B631+$C631+$D631-$E631+$F631-$G631)</f>
        <v/>
      </c>
      <c r="K631" s="122">
        <f>IF($A631="","",MAX(0,$B631-$J631))</f>
        <v/>
      </c>
      <c r="L631" s="123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</row>
    <row r="632" ht="15" customHeight="1" s="80">
      <c r="A632" s="125" t="n"/>
      <c r="B632" s="121" t="n"/>
      <c r="C632" s="121" t="n"/>
      <c r="D632" s="121" t="n"/>
      <c r="E632" s="121" t="n"/>
      <c r="F632" s="121" t="n"/>
      <c r="G632" s="121" t="n"/>
      <c r="H632" s="121" t="n"/>
      <c r="I632" s="121" t="n"/>
      <c r="J632" s="122">
        <f>IF($A632="","",$B632+$C632+$D632-$E632+$F632-$G632)</f>
        <v/>
      </c>
      <c r="K632" s="122">
        <f>IF($A632="","",MAX(0,$B632-$J632))</f>
        <v/>
      </c>
      <c r="L632" s="123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</row>
    <row r="633" ht="15" customHeight="1" s="80">
      <c r="A633" s="125" t="n"/>
      <c r="B633" s="121" t="n"/>
      <c r="C633" s="121" t="n"/>
      <c r="D633" s="121" t="n"/>
      <c r="E633" s="121" t="n"/>
      <c r="F633" s="121" t="n"/>
      <c r="G633" s="121" t="n"/>
      <c r="H633" s="121" t="n"/>
      <c r="I633" s="121" t="n"/>
      <c r="J633" s="122">
        <f>IF($A633="","",$B633+$C633+$D633-$E633+$F633-$G633)</f>
        <v/>
      </c>
      <c r="K633" s="122">
        <f>IF($A633="","",MAX(0,$B633-$J633))</f>
        <v/>
      </c>
      <c r="L633" s="123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</row>
    <row r="634" ht="15" customHeight="1" s="80">
      <c r="A634" s="125" t="n"/>
      <c r="B634" s="121" t="n"/>
      <c r="C634" s="121" t="n"/>
      <c r="D634" s="121" t="n"/>
      <c r="E634" s="121" t="n"/>
      <c r="F634" s="121" t="n"/>
      <c r="G634" s="121" t="n"/>
      <c r="H634" s="121" t="n"/>
      <c r="I634" s="121" t="n"/>
      <c r="J634" s="122">
        <f>IF($A634="","",$B634+$C634+$D634-$E634+$F634-$G634)</f>
        <v/>
      </c>
      <c r="K634" s="122">
        <f>IF($A634="","",MAX(0,$B634-$J634))</f>
        <v/>
      </c>
      <c r="L634" s="123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</row>
    <row r="635" ht="15" customHeight="1" s="80">
      <c r="A635" s="125" t="n"/>
      <c r="B635" s="121" t="n"/>
      <c r="C635" s="121" t="n"/>
      <c r="D635" s="121" t="n"/>
      <c r="E635" s="121" t="n"/>
      <c r="F635" s="121" t="n"/>
      <c r="G635" s="121" t="n"/>
      <c r="H635" s="121" t="n"/>
      <c r="I635" s="121" t="n"/>
      <c r="J635" s="122">
        <f>IF($A635="","",$B635+$C635+$D635-$E635+$F635-$G635)</f>
        <v/>
      </c>
      <c r="K635" s="122">
        <f>IF($A635="","",MAX(0,$B635-$J635))</f>
        <v/>
      </c>
      <c r="L635" s="123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</row>
    <row r="636" ht="15" customHeight="1" s="80">
      <c r="A636" s="125" t="n"/>
      <c r="B636" s="121" t="n"/>
      <c r="C636" s="121" t="n"/>
      <c r="D636" s="121" t="n"/>
      <c r="E636" s="121" t="n"/>
      <c r="F636" s="121" t="n"/>
      <c r="G636" s="121" t="n"/>
      <c r="H636" s="121" t="n"/>
      <c r="I636" s="121" t="n"/>
      <c r="J636" s="122">
        <f>IF($A636="","",$B636+$C636+$D636-$E636+$F636-$G636)</f>
        <v/>
      </c>
      <c r="K636" s="122">
        <f>IF($A636="","",MAX(0,$B636-$J636))</f>
        <v/>
      </c>
      <c r="L636" s="123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</row>
    <row r="637" ht="15" customHeight="1" s="80">
      <c r="A637" s="125" t="n"/>
      <c r="B637" s="121" t="n"/>
      <c r="C637" s="121" t="n"/>
      <c r="D637" s="121" t="n"/>
      <c r="E637" s="121" t="n"/>
      <c r="F637" s="121" t="n"/>
      <c r="G637" s="121" t="n"/>
      <c r="H637" s="121" t="n"/>
      <c r="I637" s="121" t="n"/>
      <c r="J637" s="122">
        <f>IF($A637="","",$B637+$C637+$D637-$E637+$F637-$G637)</f>
        <v/>
      </c>
      <c r="K637" s="122">
        <f>IF($A637="","",MAX(0,$B637-$J637))</f>
        <v/>
      </c>
      <c r="L637" s="123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</row>
    <row r="638" ht="15" customHeight="1" s="80">
      <c r="A638" s="125" t="n"/>
      <c r="B638" s="121" t="n"/>
      <c r="C638" s="121" t="n"/>
      <c r="D638" s="121" t="n"/>
      <c r="E638" s="121" t="n"/>
      <c r="F638" s="121" t="n"/>
      <c r="G638" s="121" t="n"/>
      <c r="H638" s="121" t="n"/>
      <c r="I638" s="121" t="n"/>
      <c r="J638" s="122">
        <f>IF($A638="","",$B638+$C638+$D638-$E638+$F638-$G638)</f>
        <v/>
      </c>
      <c r="K638" s="122">
        <f>IF($A638="","",MAX(0,$B638-$J638))</f>
        <v/>
      </c>
      <c r="L638" s="123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</row>
    <row r="639" ht="15" customHeight="1" s="80">
      <c r="A639" s="125" t="n"/>
      <c r="B639" s="121" t="n"/>
      <c r="C639" s="121" t="n"/>
      <c r="D639" s="121" t="n"/>
      <c r="E639" s="121" t="n"/>
      <c r="F639" s="121" t="n"/>
      <c r="G639" s="121" t="n"/>
      <c r="H639" s="121" t="n"/>
      <c r="I639" s="121" t="n"/>
      <c r="J639" s="122">
        <f>IF($A639="","",$B639+$C639+$D639-$E639+$F639-$G639)</f>
        <v/>
      </c>
      <c r="K639" s="122">
        <f>IF($A639="","",MAX(0,$B639-$J639))</f>
        <v/>
      </c>
      <c r="L639" s="123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</row>
    <row r="640" ht="15" customHeight="1" s="80">
      <c r="A640" s="125" t="n"/>
      <c r="B640" s="121" t="n"/>
      <c r="C640" s="121" t="n"/>
      <c r="D640" s="121" t="n"/>
      <c r="E640" s="121" t="n"/>
      <c r="F640" s="121" t="n"/>
      <c r="G640" s="121" t="n"/>
      <c r="H640" s="121" t="n"/>
      <c r="I640" s="121" t="n"/>
      <c r="J640" s="122">
        <f>IF($A640="","",$B640+$C640+$D640-$E640+$F640-$G640)</f>
        <v/>
      </c>
      <c r="K640" s="122">
        <f>IF($A640="","",MAX(0,$B640-$J640))</f>
        <v/>
      </c>
      <c r="L640" s="123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</row>
    <row r="641" ht="15" customHeight="1" s="80">
      <c r="A641" s="125" t="n"/>
      <c r="B641" s="121" t="n"/>
      <c r="C641" s="121" t="n"/>
      <c r="D641" s="121" t="n"/>
      <c r="E641" s="121" t="n"/>
      <c r="F641" s="121" t="n"/>
      <c r="G641" s="121" t="n"/>
      <c r="H641" s="121" t="n"/>
      <c r="I641" s="121" t="n"/>
      <c r="J641" s="122">
        <f>IF($A641="","",$B641+$C641+$D641-$E641+$F641-$G641)</f>
        <v/>
      </c>
      <c r="K641" s="122">
        <f>IF($A641="","",MAX(0,$B641-$J641))</f>
        <v/>
      </c>
      <c r="L641" s="123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</row>
    <row r="642" ht="15" customHeight="1" s="80">
      <c r="A642" s="125" t="n"/>
      <c r="B642" s="121" t="n"/>
      <c r="C642" s="121" t="n"/>
      <c r="D642" s="121" t="n"/>
      <c r="E642" s="121" t="n"/>
      <c r="F642" s="121" t="n"/>
      <c r="G642" s="121" t="n"/>
      <c r="H642" s="121" t="n"/>
      <c r="I642" s="121" t="n"/>
      <c r="J642" s="122">
        <f>IF($A642="","",$B642+$C642+$D642-$E642+$F642-$G642)</f>
        <v/>
      </c>
      <c r="K642" s="122">
        <f>IF($A642="","",MAX(0,$B642-$J642))</f>
        <v/>
      </c>
      <c r="L642" s="123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</row>
    <row r="643" ht="15" customHeight="1" s="80">
      <c r="A643" s="125" t="n"/>
      <c r="B643" s="121" t="n"/>
      <c r="C643" s="121" t="n"/>
      <c r="D643" s="121" t="n"/>
      <c r="E643" s="121" t="n"/>
      <c r="F643" s="121" t="n"/>
      <c r="G643" s="121" t="n"/>
      <c r="H643" s="121" t="n"/>
      <c r="I643" s="121" t="n"/>
      <c r="J643" s="122">
        <f>IF($A643="","",$B643+$C643+$D643-$E643+$F643-$G643)</f>
        <v/>
      </c>
      <c r="K643" s="122">
        <f>IF($A643="","",MAX(0,$B643-$J643))</f>
        <v/>
      </c>
      <c r="L643" s="123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</row>
    <row r="644" ht="15" customHeight="1" s="80">
      <c r="A644" s="125" t="n"/>
      <c r="B644" s="121" t="n"/>
      <c r="C644" s="121" t="n"/>
      <c r="D644" s="121" t="n"/>
      <c r="E644" s="121" t="n"/>
      <c r="F644" s="121" t="n"/>
      <c r="G644" s="121" t="n"/>
      <c r="H644" s="121" t="n"/>
      <c r="I644" s="121" t="n"/>
      <c r="J644" s="122">
        <f>IF($A644="","",$B644+$C644+$D644-$E644+$F644-$G644)</f>
        <v/>
      </c>
      <c r="K644" s="122">
        <f>IF($A644="","",MAX(0,$B644-$J644))</f>
        <v/>
      </c>
      <c r="L644" s="123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</row>
    <row r="645" ht="15" customHeight="1" s="80">
      <c r="A645" s="125" t="n"/>
      <c r="B645" s="121" t="n"/>
      <c r="C645" s="121" t="n"/>
      <c r="D645" s="121" t="n"/>
      <c r="E645" s="121" t="n"/>
      <c r="F645" s="121" t="n"/>
      <c r="G645" s="121" t="n"/>
      <c r="H645" s="121" t="n"/>
      <c r="I645" s="121" t="n"/>
      <c r="J645" s="122">
        <f>IF($A645="","",$B645+$C645+$D645-$E645+$F645-$G645)</f>
        <v/>
      </c>
      <c r="K645" s="122">
        <f>IF($A645="","",MAX(0,$B645-$J645))</f>
        <v/>
      </c>
      <c r="L645" s="123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</row>
    <row r="646" ht="15" customHeight="1" s="80">
      <c r="A646" s="125" t="n"/>
      <c r="B646" s="121" t="n"/>
      <c r="C646" s="121" t="n"/>
      <c r="D646" s="121" t="n"/>
      <c r="E646" s="121" t="n"/>
      <c r="F646" s="121" t="n"/>
      <c r="G646" s="121" t="n"/>
      <c r="H646" s="121" t="n"/>
      <c r="I646" s="121" t="n"/>
      <c r="J646" s="122">
        <f>IF($A646="","",$B646+$C646+$D646-$E646+$F646-$G646)</f>
        <v/>
      </c>
      <c r="K646" s="122">
        <f>IF($A646="","",MAX(0,$B646-$J646))</f>
        <v/>
      </c>
      <c r="L646" s="123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</row>
    <row r="647" ht="15" customHeight="1" s="80">
      <c r="A647" s="125" t="n"/>
      <c r="B647" s="121" t="n"/>
      <c r="C647" s="121" t="n"/>
      <c r="D647" s="121" t="n"/>
      <c r="E647" s="121" t="n"/>
      <c r="F647" s="121" t="n"/>
      <c r="G647" s="121" t="n"/>
      <c r="H647" s="121" t="n"/>
      <c r="I647" s="121" t="n"/>
      <c r="J647" s="122">
        <f>IF($A647="","",$B647+$C647+$D647-$E647+$F647-$G647)</f>
        <v/>
      </c>
      <c r="K647" s="122">
        <f>IF($A647="","",MAX(0,$B647-$J647))</f>
        <v/>
      </c>
      <c r="L647" s="123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</row>
    <row r="648" ht="15" customHeight="1" s="80">
      <c r="A648" s="125" t="n"/>
      <c r="B648" s="121" t="n"/>
      <c r="C648" s="121" t="n"/>
      <c r="D648" s="121" t="n"/>
      <c r="E648" s="121" t="n"/>
      <c r="F648" s="121" t="n"/>
      <c r="G648" s="121" t="n"/>
      <c r="H648" s="121" t="n"/>
      <c r="I648" s="121" t="n"/>
      <c r="J648" s="122">
        <f>IF($A648="","",$B648+$C648+$D648-$E648+$F648-$G648)</f>
        <v/>
      </c>
      <c r="K648" s="122">
        <f>IF($A648="","",MAX(0,$B648-$J648))</f>
        <v/>
      </c>
      <c r="L648" s="123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</row>
    <row r="649" ht="15" customHeight="1" s="80">
      <c r="A649" s="125" t="n"/>
      <c r="B649" s="121" t="n"/>
      <c r="C649" s="121" t="n"/>
      <c r="D649" s="121" t="n"/>
      <c r="E649" s="121" t="n"/>
      <c r="F649" s="121" t="n"/>
      <c r="G649" s="121" t="n"/>
      <c r="H649" s="121" t="n"/>
      <c r="I649" s="121" t="n"/>
      <c r="J649" s="122">
        <f>IF($A649="","",$B649+$C649+$D649-$E649+$F649-$G649)</f>
        <v/>
      </c>
      <c r="K649" s="122">
        <f>IF($A649="","",MAX(0,$B649-$J649))</f>
        <v/>
      </c>
      <c r="L649" s="123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</row>
    <row r="650" ht="15" customHeight="1" s="80">
      <c r="A650" s="125" t="n"/>
      <c r="B650" s="121" t="n"/>
      <c r="C650" s="121" t="n"/>
      <c r="D650" s="121" t="n"/>
      <c r="E650" s="121" t="n"/>
      <c r="F650" s="121" t="n"/>
      <c r="G650" s="121" t="n"/>
      <c r="H650" s="121" t="n"/>
      <c r="I650" s="121" t="n"/>
      <c r="J650" s="122">
        <f>IF($A650="","",$B650+$C650+$D650-$E650+$F650-$G650)</f>
        <v/>
      </c>
      <c r="K650" s="122">
        <f>IF($A650="","",MAX(0,$B650-$J650))</f>
        <v/>
      </c>
      <c r="L650" s="123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</row>
    <row r="651" ht="15" customHeight="1" s="80">
      <c r="A651" s="125" t="n"/>
      <c r="B651" s="121" t="n"/>
      <c r="C651" s="121" t="n"/>
      <c r="D651" s="121" t="n"/>
      <c r="E651" s="121" t="n"/>
      <c r="F651" s="121" t="n"/>
      <c r="G651" s="121" t="n"/>
      <c r="H651" s="121" t="n"/>
      <c r="I651" s="121" t="n"/>
      <c r="J651" s="122">
        <f>IF($A651="","",$B651+$C651+$D651-$E651+$F651-$G651)</f>
        <v/>
      </c>
      <c r="K651" s="122">
        <f>IF($A651="","",MAX(0,$B651-$J651))</f>
        <v/>
      </c>
      <c r="L651" s="123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</row>
    <row r="652" ht="15" customHeight="1" s="80">
      <c r="A652" s="125" t="n"/>
      <c r="B652" s="121" t="n"/>
      <c r="C652" s="121" t="n"/>
      <c r="D652" s="121" t="n"/>
      <c r="E652" s="121" t="n"/>
      <c r="F652" s="121" t="n"/>
      <c r="G652" s="121" t="n"/>
      <c r="H652" s="121" t="n"/>
      <c r="I652" s="121" t="n"/>
      <c r="J652" s="122">
        <f>IF($A652="","",$B652+$C652+$D652-$E652+$F652-$G652)</f>
        <v/>
      </c>
      <c r="K652" s="122">
        <f>IF($A652="","",MAX(0,$B652-$J652))</f>
        <v/>
      </c>
      <c r="L652" s="123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</row>
    <row r="653" ht="15" customHeight="1" s="80">
      <c r="A653" s="125" t="n"/>
      <c r="B653" s="121" t="n"/>
      <c r="C653" s="121" t="n"/>
      <c r="D653" s="121" t="n"/>
      <c r="E653" s="121" t="n"/>
      <c r="F653" s="121" t="n"/>
      <c r="G653" s="121" t="n"/>
      <c r="H653" s="121" t="n"/>
      <c r="I653" s="121" t="n"/>
      <c r="J653" s="122">
        <f>IF($A653="","",$B653+$C653+$D653-$E653+$F653-$G653)</f>
        <v/>
      </c>
      <c r="K653" s="122">
        <f>IF($A653="","",MAX(0,$B653-$J653))</f>
        <v/>
      </c>
      <c r="L653" s="123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</row>
    <row r="654" ht="15" customHeight="1" s="80">
      <c r="A654" s="125" t="n"/>
      <c r="B654" s="121" t="n"/>
      <c r="C654" s="121" t="n"/>
      <c r="D654" s="121" t="n"/>
      <c r="E654" s="121" t="n"/>
      <c r="F654" s="121" t="n"/>
      <c r="G654" s="121" t="n"/>
      <c r="H654" s="121" t="n"/>
      <c r="I654" s="121" t="n"/>
      <c r="J654" s="122">
        <f>IF($A654="","",$B654+$C654+$D654-$E654+$F654-$G654)</f>
        <v/>
      </c>
      <c r="K654" s="122">
        <f>IF($A654="","",MAX(0,$B654-$J654))</f>
        <v/>
      </c>
      <c r="L654" s="123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</row>
    <row r="655" ht="15" customHeight="1" s="80">
      <c r="A655" s="125" t="n"/>
      <c r="B655" s="121" t="n"/>
      <c r="C655" s="121" t="n"/>
      <c r="D655" s="121" t="n"/>
      <c r="E655" s="121" t="n"/>
      <c r="F655" s="121" t="n"/>
      <c r="G655" s="121" t="n"/>
      <c r="H655" s="121" t="n"/>
      <c r="I655" s="121" t="n"/>
      <c r="J655" s="122">
        <f>IF($A655="","",$B655+$C655+$D655-$E655+$F655-$G655)</f>
        <v/>
      </c>
      <c r="K655" s="122">
        <f>IF($A655="","",MAX(0,$B655-$J655))</f>
        <v/>
      </c>
      <c r="L655" s="123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</row>
    <row r="656" ht="15" customHeight="1" s="80">
      <c r="A656" s="125" t="n"/>
      <c r="B656" s="121" t="n"/>
      <c r="C656" s="121" t="n"/>
      <c r="D656" s="121" t="n"/>
      <c r="E656" s="121" t="n"/>
      <c r="F656" s="121" t="n"/>
      <c r="G656" s="121" t="n"/>
      <c r="H656" s="121" t="n"/>
      <c r="I656" s="121" t="n"/>
      <c r="J656" s="122">
        <f>IF($A656="","",$B656+$C656+$D656-$E656+$F656-$G656)</f>
        <v/>
      </c>
      <c r="K656" s="122">
        <f>IF($A656="","",MAX(0,$B656-$J656))</f>
        <v/>
      </c>
      <c r="L656" s="123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</row>
    <row r="657" ht="15" customHeight="1" s="80">
      <c r="A657" s="125" t="n"/>
      <c r="B657" s="121" t="n"/>
      <c r="C657" s="121" t="n"/>
      <c r="D657" s="121" t="n"/>
      <c r="E657" s="121" t="n"/>
      <c r="F657" s="121" t="n"/>
      <c r="G657" s="121" t="n"/>
      <c r="H657" s="121" t="n"/>
      <c r="I657" s="121" t="n"/>
      <c r="J657" s="122">
        <f>IF($A657="","",$B657+$C657+$D657-$E657+$F657-$G657)</f>
        <v/>
      </c>
      <c r="K657" s="122">
        <f>IF($A657="","",MAX(0,$B657-$J657))</f>
        <v/>
      </c>
      <c r="L657" s="123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</row>
    <row r="658" ht="15" customHeight="1" s="80">
      <c r="A658" s="125" t="n"/>
      <c r="B658" s="121" t="n"/>
      <c r="C658" s="121" t="n"/>
      <c r="D658" s="121" t="n"/>
      <c r="E658" s="121" t="n"/>
      <c r="F658" s="121" t="n"/>
      <c r="G658" s="121" t="n"/>
      <c r="H658" s="121" t="n"/>
      <c r="I658" s="121" t="n"/>
      <c r="J658" s="122">
        <f>IF($A658="","",$B658+$C658+$D658-$E658+$F658-$G658)</f>
        <v/>
      </c>
      <c r="K658" s="122">
        <f>IF($A658="","",MAX(0,$B658-$J658))</f>
        <v/>
      </c>
      <c r="L658" s="123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</row>
    <row r="659" ht="15" customHeight="1" s="80">
      <c r="A659" s="125" t="n"/>
      <c r="B659" s="121" t="n"/>
      <c r="C659" s="121" t="n"/>
      <c r="D659" s="121" t="n"/>
      <c r="E659" s="121" t="n"/>
      <c r="F659" s="121" t="n"/>
      <c r="G659" s="121" t="n"/>
      <c r="H659" s="121" t="n"/>
      <c r="I659" s="121" t="n"/>
      <c r="J659" s="122">
        <f>IF($A659="","",$B659+$C659+$D659-$E659+$F659-$G659)</f>
        <v/>
      </c>
      <c r="K659" s="122">
        <f>IF($A659="","",MAX(0,$B659-$J659))</f>
        <v/>
      </c>
      <c r="L659" s="123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</row>
    <row r="660" ht="15" customHeight="1" s="80">
      <c r="A660" s="125" t="n"/>
      <c r="B660" s="121" t="n"/>
      <c r="C660" s="121" t="n"/>
      <c r="D660" s="121" t="n"/>
      <c r="E660" s="121" t="n"/>
      <c r="F660" s="121" t="n"/>
      <c r="G660" s="121" t="n"/>
      <c r="H660" s="121" t="n"/>
      <c r="I660" s="121" t="n"/>
      <c r="J660" s="122">
        <f>IF($A660="","",$B660+$C660+$D660-$E660+$F660-$G660)</f>
        <v/>
      </c>
      <c r="K660" s="122">
        <f>IF($A660="","",MAX(0,$B660-$J660))</f>
        <v/>
      </c>
      <c r="L660" s="123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</row>
    <row r="661" ht="15" customHeight="1" s="80">
      <c r="A661" s="125" t="n"/>
      <c r="B661" s="121" t="n"/>
      <c r="C661" s="121" t="n"/>
      <c r="D661" s="121" t="n"/>
      <c r="E661" s="121" t="n"/>
      <c r="F661" s="121" t="n"/>
      <c r="G661" s="121" t="n"/>
      <c r="H661" s="121" t="n"/>
      <c r="I661" s="121" t="n"/>
      <c r="J661" s="122">
        <f>IF($A661="","",$B661+$C661+$D661-$E661+$F661-$G661)</f>
        <v/>
      </c>
      <c r="K661" s="122">
        <f>IF($A661="","",MAX(0,$B661-$J661))</f>
        <v/>
      </c>
      <c r="L661" s="123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</row>
    <row r="662" ht="15" customHeight="1" s="80">
      <c r="A662" s="125" t="n"/>
      <c r="B662" s="121" t="n"/>
      <c r="C662" s="121" t="n"/>
      <c r="D662" s="121" t="n"/>
      <c r="E662" s="121" t="n"/>
      <c r="F662" s="121" t="n"/>
      <c r="G662" s="121" t="n"/>
      <c r="H662" s="121" t="n"/>
      <c r="I662" s="121" t="n"/>
      <c r="J662" s="122">
        <f>IF($A662="","",$B662+$C662+$D662-$E662+$F662-$G662)</f>
        <v/>
      </c>
      <c r="K662" s="122">
        <f>IF($A662="","",MAX(0,$B662-$J662))</f>
        <v/>
      </c>
      <c r="L662" s="123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</row>
    <row r="663" ht="15" customHeight="1" s="80">
      <c r="A663" s="125" t="n"/>
      <c r="B663" s="121" t="n"/>
      <c r="C663" s="121" t="n"/>
      <c r="D663" s="121" t="n"/>
      <c r="E663" s="121" t="n"/>
      <c r="F663" s="121" t="n"/>
      <c r="G663" s="121" t="n"/>
      <c r="H663" s="121" t="n"/>
      <c r="I663" s="121" t="n"/>
      <c r="J663" s="122">
        <f>IF($A663="","",$B663+$C663+$D663-$E663+$F663-$G663)</f>
        <v/>
      </c>
      <c r="K663" s="122">
        <f>IF($A663="","",MAX(0,$B663-$J663))</f>
        <v/>
      </c>
      <c r="L663" s="123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</row>
    <row r="664" ht="15" customHeight="1" s="80">
      <c r="A664" s="125" t="n"/>
      <c r="B664" s="121" t="n"/>
      <c r="C664" s="121" t="n"/>
      <c r="D664" s="121" t="n"/>
      <c r="E664" s="121" t="n"/>
      <c r="F664" s="121" t="n"/>
      <c r="G664" s="121" t="n"/>
      <c r="H664" s="121" t="n"/>
      <c r="I664" s="121" t="n"/>
      <c r="J664" s="122">
        <f>IF($A664="","",$B664+$C664+$D664-$E664+$F664-$G664)</f>
        <v/>
      </c>
      <c r="K664" s="122">
        <f>IF($A664="","",MAX(0,$B664-$J664))</f>
        <v/>
      </c>
      <c r="L664" s="123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</row>
    <row r="665" ht="15" customHeight="1" s="80">
      <c r="A665" s="125" t="n"/>
      <c r="B665" s="121" t="n"/>
      <c r="C665" s="121" t="n"/>
      <c r="D665" s="121" t="n"/>
      <c r="E665" s="121" t="n"/>
      <c r="F665" s="121" t="n"/>
      <c r="G665" s="121" t="n"/>
      <c r="H665" s="121" t="n"/>
      <c r="I665" s="121" t="n"/>
      <c r="J665" s="122">
        <f>IF($A665="","",$B665+$C665+$D665-$E665+$F665-$G665)</f>
        <v/>
      </c>
      <c r="K665" s="122">
        <f>IF($A665="","",MAX(0,$B665-$J665))</f>
        <v/>
      </c>
      <c r="L665" s="123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</row>
    <row r="666" ht="15" customHeight="1" s="80">
      <c r="A666" s="125" t="n"/>
      <c r="B666" s="121" t="n"/>
      <c r="C666" s="121" t="n"/>
      <c r="D666" s="121" t="n"/>
      <c r="E666" s="121" t="n"/>
      <c r="F666" s="121" t="n"/>
      <c r="G666" s="121" t="n"/>
      <c r="H666" s="121" t="n"/>
      <c r="I666" s="121" t="n"/>
      <c r="J666" s="122">
        <f>IF($A666="","",$B666+$C666+$D666-$E666+$F666-$G666)</f>
        <v/>
      </c>
      <c r="K666" s="122">
        <f>IF($A666="","",MAX(0,$B666-$J666))</f>
        <v/>
      </c>
      <c r="L666" s="123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</row>
    <row r="667" ht="15" customHeight="1" s="80">
      <c r="A667" s="125" t="n"/>
      <c r="B667" s="121" t="n"/>
      <c r="C667" s="121" t="n"/>
      <c r="D667" s="121" t="n"/>
      <c r="E667" s="121" t="n"/>
      <c r="F667" s="121" t="n"/>
      <c r="G667" s="121" t="n"/>
      <c r="H667" s="121" t="n"/>
      <c r="I667" s="121" t="n"/>
      <c r="J667" s="122">
        <f>IF($A667="","",$B667+$C667+$D667-$E667+$F667-$G667)</f>
        <v/>
      </c>
      <c r="K667" s="122">
        <f>IF($A667="","",MAX(0,$B667-$J667))</f>
        <v/>
      </c>
      <c r="L667" s="123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</row>
    <row r="668" ht="15" customHeight="1" s="80">
      <c r="A668" s="125" t="n"/>
      <c r="B668" s="121" t="n"/>
      <c r="C668" s="121" t="n"/>
      <c r="D668" s="121" t="n"/>
      <c r="E668" s="121" t="n"/>
      <c r="F668" s="121" t="n"/>
      <c r="G668" s="121" t="n"/>
      <c r="H668" s="121" t="n"/>
      <c r="I668" s="121" t="n"/>
      <c r="J668" s="122">
        <f>IF($A668="","",$B668+$C668+$D668-$E668+$F668-$G668)</f>
        <v/>
      </c>
      <c r="K668" s="122">
        <f>IF($A668="","",MAX(0,$B668-$J668))</f>
        <v/>
      </c>
      <c r="L668" s="123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</row>
    <row r="669" ht="15" customHeight="1" s="80">
      <c r="A669" s="125" t="n"/>
      <c r="B669" s="121" t="n"/>
      <c r="C669" s="121" t="n"/>
      <c r="D669" s="121" t="n"/>
      <c r="E669" s="121" t="n"/>
      <c r="F669" s="121" t="n"/>
      <c r="G669" s="121" t="n"/>
      <c r="H669" s="121" t="n"/>
      <c r="I669" s="121" t="n"/>
      <c r="J669" s="122">
        <f>IF($A669="","",$B669+$C669+$D669-$E669+$F669-$G669)</f>
        <v/>
      </c>
      <c r="K669" s="122">
        <f>IF($A669="","",MAX(0,$B669-$J669))</f>
        <v/>
      </c>
      <c r="L669" s="123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</row>
    <row r="670" ht="15" customHeight="1" s="80">
      <c r="A670" s="125" t="n"/>
      <c r="B670" s="121" t="n"/>
      <c r="C670" s="121" t="n"/>
      <c r="D670" s="121" t="n"/>
      <c r="E670" s="121" t="n"/>
      <c r="F670" s="121" t="n"/>
      <c r="G670" s="121" t="n"/>
      <c r="H670" s="121" t="n"/>
      <c r="I670" s="121" t="n"/>
      <c r="J670" s="122">
        <f>IF($A670="","",$B670+$C670+$D670-$E670+$F670-$G670)</f>
        <v/>
      </c>
      <c r="K670" s="122">
        <f>IF($A670="","",MAX(0,$B670-$J670))</f>
        <v/>
      </c>
      <c r="L670" s="123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</row>
    <row r="671" ht="15" customHeight="1" s="80">
      <c r="A671" s="125" t="n"/>
      <c r="B671" s="121" t="n"/>
      <c r="C671" s="121" t="n"/>
      <c r="D671" s="121" t="n"/>
      <c r="E671" s="121" t="n"/>
      <c r="F671" s="121" t="n"/>
      <c r="G671" s="121" t="n"/>
      <c r="H671" s="121" t="n"/>
      <c r="I671" s="121" t="n"/>
      <c r="J671" s="122">
        <f>IF($A671="","",$B671+$C671+$D671-$E671+$F671-$G671)</f>
        <v/>
      </c>
      <c r="K671" s="122">
        <f>IF($A671="","",MAX(0,$B671-$J671))</f>
        <v/>
      </c>
      <c r="L671" s="123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</row>
    <row r="672" ht="15" customHeight="1" s="80">
      <c r="A672" s="125" t="n"/>
      <c r="B672" s="121" t="n"/>
      <c r="C672" s="121" t="n"/>
      <c r="D672" s="121" t="n"/>
      <c r="E672" s="121" t="n"/>
      <c r="F672" s="121" t="n"/>
      <c r="G672" s="121" t="n"/>
      <c r="H672" s="121" t="n"/>
      <c r="I672" s="121" t="n"/>
      <c r="J672" s="122">
        <f>IF($A672="","",$B672+$C672+$D672-$E672+$F672-$G672)</f>
        <v/>
      </c>
      <c r="K672" s="122">
        <f>IF($A672="","",MAX(0,$B672-$J672))</f>
        <v/>
      </c>
      <c r="L672" s="123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</row>
    <row r="673" ht="15" customHeight="1" s="80">
      <c r="A673" s="125" t="n"/>
      <c r="B673" s="121" t="n"/>
      <c r="C673" s="121" t="n"/>
      <c r="D673" s="121" t="n"/>
      <c r="E673" s="121" t="n"/>
      <c r="F673" s="121" t="n"/>
      <c r="G673" s="121" t="n"/>
      <c r="H673" s="121" t="n"/>
      <c r="I673" s="121" t="n"/>
      <c r="J673" s="122">
        <f>IF($A673="","",$B673+$C673+$D673-$E673+$F673-$G673)</f>
        <v/>
      </c>
      <c r="K673" s="122">
        <f>IF($A673="","",MAX(0,$B673-$J673))</f>
        <v/>
      </c>
      <c r="L673" s="123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</row>
    <row r="674" ht="15" customHeight="1" s="80">
      <c r="A674" s="125" t="n"/>
      <c r="B674" s="121" t="n"/>
      <c r="C674" s="121" t="n"/>
      <c r="D674" s="121" t="n"/>
      <c r="E674" s="121" t="n"/>
      <c r="F674" s="121" t="n"/>
      <c r="G674" s="121" t="n"/>
      <c r="H674" s="121" t="n"/>
      <c r="I674" s="121" t="n"/>
      <c r="J674" s="122">
        <f>IF($A674="","",$B674+$C674+$D674-$E674+$F674-$G674)</f>
        <v/>
      </c>
      <c r="K674" s="122">
        <f>IF($A674="","",MAX(0,$B674-$J674))</f>
        <v/>
      </c>
      <c r="L674" s="123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</row>
    <row r="675" ht="15" customHeight="1" s="80">
      <c r="A675" s="125" t="n"/>
      <c r="B675" s="121" t="n"/>
      <c r="C675" s="121" t="n"/>
      <c r="D675" s="121" t="n"/>
      <c r="E675" s="121" t="n"/>
      <c r="F675" s="121" t="n"/>
      <c r="G675" s="121" t="n"/>
      <c r="H675" s="121" t="n"/>
      <c r="I675" s="121" t="n"/>
      <c r="J675" s="122">
        <f>IF($A675="","",$B675+$C675+$D675-$E675+$F675-$G675)</f>
        <v/>
      </c>
      <c r="K675" s="122">
        <f>IF($A675="","",MAX(0,$B675-$J675))</f>
        <v/>
      </c>
      <c r="L675" s="123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</row>
    <row r="676" ht="15" customHeight="1" s="80">
      <c r="A676" s="125" t="n"/>
      <c r="B676" s="121" t="n"/>
      <c r="C676" s="121" t="n"/>
      <c r="D676" s="121" t="n"/>
      <c r="E676" s="121" t="n"/>
      <c r="F676" s="121" t="n"/>
      <c r="G676" s="121" t="n"/>
      <c r="H676" s="121" t="n"/>
      <c r="I676" s="121" t="n"/>
      <c r="J676" s="122">
        <f>IF($A676="","",$B676+$C676+$D676-$E676+$F676-$G676)</f>
        <v/>
      </c>
      <c r="K676" s="122">
        <f>IF($A676="","",MAX(0,$B676-$J676))</f>
        <v/>
      </c>
      <c r="L676" s="123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</row>
    <row r="677" ht="15" customHeight="1" s="80">
      <c r="A677" s="125" t="n"/>
      <c r="B677" s="121" t="n"/>
      <c r="C677" s="121" t="n"/>
      <c r="D677" s="121" t="n"/>
      <c r="E677" s="121" t="n"/>
      <c r="F677" s="121" t="n"/>
      <c r="G677" s="121" t="n"/>
      <c r="H677" s="121" t="n"/>
      <c r="I677" s="121" t="n"/>
      <c r="J677" s="122">
        <f>IF($A677="","",$B677+$C677+$D677-$E677+$F677-$G677)</f>
        <v/>
      </c>
      <c r="K677" s="122">
        <f>IF($A677="","",MAX(0,$B677-$J677))</f>
        <v/>
      </c>
      <c r="L677" s="123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</row>
    <row r="678" ht="15" customHeight="1" s="80">
      <c r="A678" s="125" t="n"/>
      <c r="B678" s="121" t="n"/>
      <c r="C678" s="121" t="n"/>
      <c r="D678" s="121" t="n"/>
      <c r="E678" s="121" t="n"/>
      <c r="F678" s="121" t="n"/>
      <c r="G678" s="121" t="n"/>
      <c r="H678" s="121" t="n"/>
      <c r="I678" s="121" t="n"/>
      <c r="J678" s="122">
        <f>IF($A678="","",$B678+$C678+$D678-$E678+$F678-$G678)</f>
        <v/>
      </c>
      <c r="K678" s="122">
        <f>IF($A678="","",MAX(0,$B678-$J678))</f>
        <v/>
      </c>
      <c r="L678" s="123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</row>
    <row r="679" ht="15" customHeight="1" s="80">
      <c r="A679" s="125" t="n"/>
      <c r="B679" s="121" t="n"/>
      <c r="C679" s="121" t="n"/>
      <c r="D679" s="121" t="n"/>
      <c r="E679" s="121" t="n"/>
      <c r="F679" s="121" t="n"/>
      <c r="G679" s="121" t="n"/>
      <c r="H679" s="121" t="n"/>
      <c r="I679" s="121" t="n"/>
      <c r="J679" s="122">
        <f>IF($A679="","",$B679+$C679+$D679-$E679+$F679-$G679)</f>
        <v/>
      </c>
      <c r="K679" s="122">
        <f>IF($A679="","",MAX(0,$B679-$J679))</f>
        <v/>
      </c>
      <c r="L679" s="123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</row>
    <row r="680" ht="15" customHeight="1" s="80">
      <c r="A680" s="125" t="n"/>
      <c r="B680" s="121" t="n"/>
      <c r="C680" s="121" t="n"/>
      <c r="D680" s="121" t="n"/>
      <c r="E680" s="121" t="n"/>
      <c r="F680" s="121" t="n"/>
      <c r="G680" s="121" t="n"/>
      <c r="H680" s="121" t="n"/>
      <c r="I680" s="121" t="n"/>
      <c r="J680" s="122">
        <f>IF($A680="","",$B680+$C680+$D680-$E680+$F680-$G680)</f>
        <v/>
      </c>
      <c r="K680" s="122">
        <f>IF($A680="","",MAX(0,$B680-$J680))</f>
        <v/>
      </c>
      <c r="L680" s="123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</row>
    <row r="681" ht="15" customHeight="1" s="80">
      <c r="A681" s="125" t="n"/>
      <c r="B681" s="121" t="n"/>
      <c r="C681" s="121" t="n"/>
      <c r="D681" s="121" t="n"/>
      <c r="E681" s="121" t="n"/>
      <c r="F681" s="121" t="n"/>
      <c r="G681" s="121" t="n"/>
      <c r="H681" s="121" t="n"/>
      <c r="I681" s="121" t="n"/>
      <c r="J681" s="122">
        <f>IF($A681="","",$B681+$C681+$D681-$E681+$F681-$G681)</f>
        <v/>
      </c>
      <c r="K681" s="122">
        <f>IF($A681="","",MAX(0,$B681-$J681))</f>
        <v/>
      </c>
      <c r="L681" s="123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</row>
    <row r="682" ht="15" customHeight="1" s="80">
      <c r="A682" s="125" t="n"/>
      <c r="B682" s="121" t="n"/>
      <c r="C682" s="121" t="n"/>
      <c r="D682" s="121" t="n"/>
      <c r="E682" s="121" t="n"/>
      <c r="F682" s="121" t="n"/>
      <c r="G682" s="121" t="n"/>
      <c r="H682" s="121" t="n"/>
      <c r="I682" s="121" t="n"/>
      <c r="J682" s="122">
        <f>IF($A682="","",$B682+$C682+$D682-$E682+$F682-$G682)</f>
        <v/>
      </c>
      <c r="K682" s="122">
        <f>IF($A682="","",MAX(0,$B682-$J682))</f>
        <v/>
      </c>
      <c r="L682" s="123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</row>
    <row r="683" ht="15" customHeight="1" s="80">
      <c r="A683" s="125" t="n"/>
      <c r="B683" s="121" t="n"/>
      <c r="C683" s="121" t="n"/>
      <c r="D683" s="121" t="n"/>
      <c r="E683" s="121" t="n"/>
      <c r="F683" s="121" t="n"/>
      <c r="G683" s="121" t="n"/>
      <c r="H683" s="121" t="n"/>
      <c r="I683" s="121" t="n"/>
      <c r="J683" s="122">
        <f>IF($A683="","",$B683+$C683+$D683-$E683+$F683-$G683)</f>
        <v/>
      </c>
      <c r="K683" s="122">
        <f>IF($A683="","",MAX(0,$B683-$J683))</f>
        <v/>
      </c>
      <c r="L683" s="123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</row>
    <row r="684" ht="15" customHeight="1" s="80">
      <c r="A684" s="125" t="n"/>
      <c r="B684" s="121" t="n"/>
      <c r="C684" s="121" t="n"/>
      <c r="D684" s="121" t="n"/>
      <c r="E684" s="121" t="n"/>
      <c r="F684" s="121" t="n"/>
      <c r="G684" s="121" t="n"/>
      <c r="H684" s="121" t="n"/>
      <c r="I684" s="121" t="n"/>
      <c r="J684" s="122">
        <f>IF($A684="","",$B684+$C684+$D684-$E684+$F684-$G684)</f>
        <v/>
      </c>
      <c r="K684" s="122">
        <f>IF($A684="","",MAX(0,$B684-$J684))</f>
        <v/>
      </c>
      <c r="L684" s="123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</row>
    <row r="685" ht="15" customHeight="1" s="80">
      <c r="A685" s="125" t="n"/>
      <c r="B685" s="121" t="n"/>
      <c r="C685" s="121" t="n"/>
      <c r="D685" s="121" t="n"/>
      <c r="E685" s="121" t="n"/>
      <c r="F685" s="121" t="n"/>
      <c r="G685" s="121" t="n"/>
      <c r="H685" s="121" t="n"/>
      <c r="I685" s="121" t="n"/>
      <c r="J685" s="122">
        <f>IF($A685="","",$B685+$C685+$D685-$E685+$F685-$G685)</f>
        <v/>
      </c>
      <c r="K685" s="122">
        <f>IF($A685="","",MAX(0,$B685-$J685))</f>
        <v/>
      </c>
      <c r="L685" s="123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</row>
    <row r="686" ht="15" customHeight="1" s="80">
      <c r="A686" s="125" t="n"/>
      <c r="B686" s="121" t="n"/>
      <c r="C686" s="121" t="n"/>
      <c r="D686" s="121" t="n"/>
      <c r="E686" s="121" t="n"/>
      <c r="F686" s="121" t="n"/>
      <c r="G686" s="121" t="n"/>
      <c r="H686" s="121" t="n"/>
      <c r="I686" s="121" t="n"/>
      <c r="J686" s="122">
        <f>IF($A686="","",$B686+$C686+$D686-$E686+$F686-$G686)</f>
        <v/>
      </c>
      <c r="K686" s="122">
        <f>IF($A686="","",MAX(0,$B686-$J686))</f>
        <v/>
      </c>
      <c r="L686" s="123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</row>
    <row r="687" ht="15" customHeight="1" s="80">
      <c r="A687" s="125" t="n"/>
      <c r="B687" s="121" t="n"/>
      <c r="C687" s="121" t="n"/>
      <c r="D687" s="121" t="n"/>
      <c r="E687" s="121" t="n"/>
      <c r="F687" s="121" t="n"/>
      <c r="G687" s="121" t="n"/>
      <c r="H687" s="121" t="n"/>
      <c r="I687" s="121" t="n"/>
      <c r="J687" s="122">
        <f>IF($A687="","",$B687+$C687+$D687-$E687+$F687-$G687)</f>
        <v/>
      </c>
      <c r="K687" s="122">
        <f>IF($A687="","",MAX(0,$B687-$J687))</f>
        <v/>
      </c>
      <c r="L687" s="123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</row>
    <row r="688" ht="15" customHeight="1" s="80">
      <c r="A688" s="125" t="n"/>
      <c r="B688" s="121" t="n"/>
      <c r="C688" s="121" t="n"/>
      <c r="D688" s="121" t="n"/>
      <c r="E688" s="121" t="n"/>
      <c r="F688" s="121" t="n"/>
      <c r="G688" s="121" t="n"/>
      <c r="H688" s="121" t="n"/>
      <c r="I688" s="121" t="n"/>
      <c r="J688" s="122">
        <f>IF($A688="","",$B688+$C688+$D688-$E688+$F688-$G688)</f>
        <v/>
      </c>
      <c r="K688" s="122">
        <f>IF($A688="","",MAX(0,$B688-$J688))</f>
        <v/>
      </c>
      <c r="L688" s="123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</row>
    <row r="689" ht="15" customHeight="1" s="80">
      <c r="A689" s="125" t="n"/>
      <c r="B689" s="121" t="n"/>
      <c r="C689" s="121" t="n"/>
      <c r="D689" s="121" t="n"/>
      <c r="E689" s="121" t="n"/>
      <c r="F689" s="121" t="n"/>
      <c r="G689" s="121" t="n"/>
      <c r="H689" s="121" t="n"/>
      <c r="I689" s="121" t="n"/>
      <c r="J689" s="122">
        <f>IF($A689="","",$B689+$C689+$D689-$E689+$F689-$G689)</f>
        <v/>
      </c>
      <c r="K689" s="122">
        <f>IF($A689="","",MAX(0,$B689-$J689))</f>
        <v/>
      </c>
      <c r="L689" s="123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</row>
    <row r="690" ht="15" customHeight="1" s="80">
      <c r="A690" s="125" t="n"/>
      <c r="B690" s="121" t="n"/>
      <c r="C690" s="121" t="n"/>
      <c r="D690" s="121" t="n"/>
      <c r="E690" s="121" t="n"/>
      <c r="F690" s="121" t="n"/>
      <c r="G690" s="121" t="n"/>
      <c r="H690" s="121" t="n"/>
      <c r="I690" s="121" t="n"/>
      <c r="J690" s="122">
        <f>IF($A690="","",$B690+$C690+$D690-$E690+$F690-$G690)</f>
        <v/>
      </c>
      <c r="K690" s="122">
        <f>IF($A690="","",MAX(0,$B690-$J690))</f>
        <v/>
      </c>
      <c r="L690" s="123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</row>
    <row r="691" ht="15" customHeight="1" s="80">
      <c r="A691" s="125" t="n"/>
      <c r="B691" s="121" t="n"/>
      <c r="C691" s="121" t="n"/>
      <c r="D691" s="121" t="n"/>
      <c r="E691" s="121" t="n"/>
      <c r="F691" s="121" t="n"/>
      <c r="G691" s="121" t="n"/>
      <c r="H691" s="121" t="n"/>
      <c r="I691" s="121" t="n"/>
      <c r="J691" s="122">
        <f>IF($A691="","",$B691+$C691+$D691-$E691+$F691-$G691)</f>
        <v/>
      </c>
      <c r="K691" s="122">
        <f>IF($A691="","",MAX(0,$B691-$J691))</f>
        <v/>
      </c>
      <c r="L691" s="123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</row>
    <row r="692" ht="15" customHeight="1" s="80">
      <c r="A692" s="125" t="n"/>
      <c r="B692" s="121" t="n"/>
      <c r="C692" s="121" t="n"/>
      <c r="D692" s="121" t="n"/>
      <c r="E692" s="121" t="n"/>
      <c r="F692" s="121" t="n"/>
      <c r="G692" s="121" t="n"/>
      <c r="H692" s="121" t="n"/>
      <c r="I692" s="121" t="n"/>
      <c r="J692" s="122">
        <f>IF($A692="","",$B692+$C692+$D692-$E692+$F692-$G692)</f>
        <v/>
      </c>
      <c r="K692" s="122">
        <f>IF($A692="","",MAX(0,$B692-$J692))</f>
        <v/>
      </c>
      <c r="L692" s="123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</row>
    <row r="693" ht="15" customHeight="1" s="80">
      <c r="A693" s="125" t="n"/>
      <c r="B693" s="121" t="n"/>
      <c r="C693" s="121" t="n"/>
      <c r="D693" s="121" t="n"/>
      <c r="E693" s="121" t="n"/>
      <c r="F693" s="121" t="n"/>
      <c r="G693" s="121" t="n"/>
      <c r="H693" s="121" t="n"/>
      <c r="I693" s="121" t="n"/>
      <c r="J693" s="122">
        <f>IF($A693="","",$B693+$C693+$D693-$E693+$F693-$G693)</f>
        <v/>
      </c>
      <c r="K693" s="122">
        <f>IF($A693="","",MAX(0,$B693-$J693))</f>
        <v/>
      </c>
      <c r="L693" s="123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</row>
    <row r="694" ht="15" customHeight="1" s="80">
      <c r="A694" s="125" t="n"/>
      <c r="B694" s="121" t="n"/>
      <c r="C694" s="121" t="n"/>
      <c r="D694" s="121" t="n"/>
      <c r="E694" s="121" t="n"/>
      <c r="F694" s="121" t="n"/>
      <c r="G694" s="121" t="n"/>
      <c r="H694" s="121" t="n"/>
      <c r="I694" s="121" t="n"/>
      <c r="J694" s="122">
        <f>IF($A694="","",$B694+$C694+$D694-$E694+$F694-$G694)</f>
        <v/>
      </c>
      <c r="K694" s="122">
        <f>IF($A694="","",MAX(0,$B694-$J694))</f>
        <v/>
      </c>
      <c r="L694" s="123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</row>
    <row r="695" ht="15" customHeight="1" s="80">
      <c r="A695" s="125" t="n"/>
      <c r="B695" s="121" t="n"/>
      <c r="C695" s="121" t="n"/>
      <c r="D695" s="121" t="n"/>
      <c r="E695" s="121" t="n"/>
      <c r="F695" s="121" t="n"/>
      <c r="G695" s="121" t="n"/>
      <c r="H695" s="121" t="n"/>
      <c r="I695" s="121" t="n"/>
      <c r="J695" s="122">
        <f>IF($A695="","",$B695+$C695+$D695-$E695+$F695-$G695)</f>
        <v/>
      </c>
      <c r="K695" s="122">
        <f>IF($A695="","",MAX(0,$B695-$J695))</f>
        <v/>
      </c>
      <c r="L695" s="123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</row>
    <row r="696" ht="15" customHeight="1" s="80">
      <c r="A696" s="125" t="n"/>
      <c r="B696" s="121" t="n"/>
      <c r="C696" s="121" t="n"/>
      <c r="D696" s="121" t="n"/>
      <c r="E696" s="121" t="n"/>
      <c r="F696" s="121" t="n"/>
      <c r="G696" s="121" t="n"/>
      <c r="H696" s="121" t="n"/>
      <c r="I696" s="121" t="n"/>
      <c r="J696" s="122">
        <f>IF($A696="","",$B696+$C696+$D696-$E696+$F696-$G696)</f>
        <v/>
      </c>
      <c r="K696" s="122">
        <f>IF($A696="","",MAX(0,$B696-$J696))</f>
        <v/>
      </c>
      <c r="L696" s="123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</row>
    <row r="697" ht="15" customHeight="1" s="80">
      <c r="A697" s="125" t="n"/>
      <c r="B697" s="121" t="n"/>
      <c r="C697" s="121" t="n"/>
      <c r="D697" s="121" t="n"/>
      <c r="E697" s="121" t="n"/>
      <c r="F697" s="121" t="n"/>
      <c r="G697" s="121" t="n"/>
      <c r="H697" s="121" t="n"/>
      <c r="I697" s="121" t="n"/>
      <c r="J697" s="122">
        <f>IF($A697="","",$B697+$C697+$D697-$E697+$F697-$G697)</f>
        <v/>
      </c>
      <c r="K697" s="122">
        <f>IF($A697="","",MAX(0,$B697-$J697))</f>
        <v/>
      </c>
      <c r="L697" s="123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</row>
    <row r="698" ht="15" customHeight="1" s="80">
      <c r="A698" s="125" t="n"/>
      <c r="B698" s="121" t="n"/>
      <c r="C698" s="121" t="n"/>
      <c r="D698" s="121" t="n"/>
      <c r="E698" s="121" t="n"/>
      <c r="F698" s="121" t="n"/>
      <c r="G698" s="121" t="n"/>
      <c r="H698" s="121" t="n"/>
      <c r="I698" s="121" t="n"/>
      <c r="J698" s="122">
        <f>IF($A698="","",$B698+$C698+$D698-$E698+$F698-$G698)</f>
        <v/>
      </c>
      <c r="K698" s="122">
        <f>IF($A698="","",MAX(0,$B698-$J698))</f>
        <v/>
      </c>
      <c r="L698" s="123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</row>
    <row r="699" ht="15" customHeight="1" s="80">
      <c r="A699" s="125" t="n"/>
      <c r="B699" s="121" t="n"/>
      <c r="C699" s="121" t="n"/>
      <c r="D699" s="121" t="n"/>
      <c r="E699" s="121" t="n"/>
      <c r="F699" s="121" t="n"/>
      <c r="G699" s="121" t="n"/>
      <c r="H699" s="121" t="n"/>
      <c r="I699" s="121" t="n"/>
      <c r="J699" s="122">
        <f>IF($A699="","",$B699+$C699+$D699-$E699+$F699-$G699)</f>
        <v/>
      </c>
      <c r="K699" s="122">
        <f>IF($A699="","",MAX(0,$B699-$J699))</f>
        <v/>
      </c>
      <c r="L699" s="123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</row>
    <row r="700" ht="15" customHeight="1" s="80">
      <c r="A700" s="125" t="n"/>
      <c r="B700" s="121" t="n"/>
      <c r="C700" s="121" t="n"/>
      <c r="D700" s="121" t="n"/>
      <c r="E700" s="121" t="n"/>
      <c r="F700" s="121" t="n"/>
      <c r="G700" s="121" t="n"/>
      <c r="H700" s="121" t="n"/>
      <c r="I700" s="121" t="n"/>
      <c r="J700" s="122">
        <f>IF($A700="","",$B700+$C700+$D700-$E700+$F700-$G700)</f>
        <v/>
      </c>
      <c r="K700" s="122">
        <f>IF($A700="","",MAX(0,$B700-$J700))</f>
        <v/>
      </c>
      <c r="L700" s="123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</row>
    <row r="701" ht="15" customHeight="1" s="80">
      <c r="A701" s="125" t="n"/>
      <c r="B701" s="121" t="n"/>
      <c r="C701" s="121" t="n"/>
      <c r="D701" s="121" t="n"/>
      <c r="E701" s="121" t="n"/>
      <c r="F701" s="121" t="n"/>
      <c r="G701" s="121" t="n"/>
      <c r="H701" s="121" t="n"/>
      <c r="I701" s="121" t="n"/>
      <c r="J701" s="122">
        <f>IF($A701="","",$B701+$C701+$D701-$E701+$F701-$G701)</f>
        <v/>
      </c>
      <c r="K701" s="122">
        <f>IF($A701="","",MAX(0,$B701-$J701))</f>
        <v/>
      </c>
      <c r="L701" s="123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</row>
    <row r="702" ht="15" customHeight="1" s="80">
      <c r="A702" s="125" t="n"/>
      <c r="B702" s="121" t="n"/>
      <c r="C702" s="121" t="n"/>
      <c r="D702" s="121" t="n"/>
      <c r="E702" s="121" t="n"/>
      <c r="F702" s="121" t="n"/>
      <c r="G702" s="121" t="n"/>
      <c r="H702" s="121" t="n"/>
      <c r="I702" s="121" t="n"/>
      <c r="J702" s="122">
        <f>IF($A702="","",$B702+$C702+$D702-$E702+$F702-$G702)</f>
        <v/>
      </c>
      <c r="K702" s="122">
        <f>IF($A702="","",MAX(0,$B702-$J702))</f>
        <v/>
      </c>
      <c r="L702" s="123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</row>
    <row r="703" ht="15" customHeight="1" s="80">
      <c r="A703" s="125" t="n"/>
      <c r="B703" s="121" t="n"/>
      <c r="C703" s="121" t="n"/>
      <c r="D703" s="121" t="n"/>
      <c r="E703" s="121" t="n"/>
      <c r="F703" s="121" t="n"/>
      <c r="G703" s="121" t="n"/>
      <c r="H703" s="121" t="n"/>
      <c r="I703" s="121" t="n"/>
      <c r="J703" s="122">
        <f>IF($A703="","",$B703+$C703+$D703-$E703+$F703-$G703)</f>
        <v/>
      </c>
      <c r="K703" s="122">
        <f>IF($A703="","",MAX(0,$B703-$J703))</f>
        <v/>
      </c>
      <c r="L703" s="123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</row>
    <row r="704" ht="15" customHeight="1" s="80">
      <c r="A704" s="125" t="n"/>
      <c r="B704" s="121" t="n"/>
      <c r="C704" s="121" t="n"/>
      <c r="D704" s="121" t="n"/>
      <c r="E704" s="121" t="n"/>
      <c r="F704" s="121" t="n"/>
      <c r="G704" s="121" t="n"/>
      <c r="H704" s="121" t="n"/>
      <c r="I704" s="121" t="n"/>
      <c r="J704" s="122">
        <f>IF($A704="","",$B704+$C704+$D704-$E704+$F704-$G704)</f>
        <v/>
      </c>
      <c r="K704" s="122">
        <f>IF($A704="","",MAX(0,$B704-$J704))</f>
        <v/>
      </c>
      <c r="L704" s="123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</row>
    <row r="705" ht="15" customHeight="1" s="80">
      <c r="A705" s="125" t="n"/>
      <c r="B705" s="121" t="n"/>
      <c r="C705" s="121" t="n"/>
      <c r="D705" s="121" t="n"/>
      <c r="E705" s="121" t="n"/>
      <c r="F705" s="121" t="n"/>
      <c r="G705" s="121" t="n"/>
      <c r="H705" s="121" t="n"/>
      <c r="I705" s="121" t="n"/>
      <c r="J705" s="122">
        <f>IF($A705="","",$B705+$C705+$D705-$E705+$F705-$G705)</f>
        <v/>
      </c>
      <c r="K705" s="122">
        <f>IF($A705="","",MAX(0,$B705-$J705))</f>
        <v/>
      </c>
      <c r="L705" s="123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</row>
    <row r="706" ht="15" customHeight="1" s="80">
      <c r="A706" s="125" t="n"/>
      <c r="B706" s="121" t="n"/>
      <c r="C706" s="121" t="n"/>
      <c r="D706" s="121" t="n"/>
      <c r="E706" s="121" t="n"/>
      <c r="F706" s="121" t="n"/>
      <c r="G706" s="121" t="n"/>
      <c r="H706" s="121" t="n"/>
      <c r="I706" s="121" t="n"/>
      <c r="J706" s="122">
        <f>IF($A706="","",$B706+$C706+$D706-$E706+$F706-$G706)</f>
        <v/>
      </c>
      <c r="K706" s="122">
        <f>IF($A706="","",MAX(0,$B706-$J706))</f>
        <v/>
      </c>
      <c r="L706" s="123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</row>
    <row r="707" ht="15" customHeight="1" s="80">
      <c r="A707" s="125" t="n"/>
      <c r="B707" s="121" t="n"/>
      <c r="C707" s="121" t="n"/>
      <c r="D707" s="121" t="n"/>
      <c r="E707" s="121" t="n"/>
      <c r="F707" s="121" t="n"/>
      <c r="G707" s="121" t="n"/>
      <c r="H707" s="121" t="n"/>
      <c r="I707" s="121" t="n"/>
      <c r="J707" s="122">
        <f>IF($A707="","",$B707+$C707+$D707-$E707+$F707-$G707)</f>
        <v/>
      </c>
      <c r="K707" s="122">
        <f>IF($A707="","",MAX(0,$B707-$J707))</f>
        <v/>
      </c>
      <c r="L707" s="123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</row>
    <row r="708" ht="15" customHeight="1" s="80">
      <c r="A708" s="125" t="n"/>
      <c r="B708" s="121" t="n"/>
      <c r="C708" s="121" t="n"/>
      <c r="D708" s="121" t="n"/>
      <c r="E708" s="121" t="n"/>
      <c r="F708" s="121" t="n"/>
      <c r="G708" s="121" t="n"/>
      <c r="H708" s="121" t="n"/>
      <c r="I708" s="121" t="n"/>
      <c r="J708" s="122">
        <f>IF($A708="","",$B708+$C708+$D708-$E708+$F708-$G708)</f>
        <v/>
      </c>
      <c r="K708" s="122">
        <f>IF($A708="","",MAX(0,$B708-$J708))</f>
        <v/>
      </c>
      <c r="L708" s="123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</row>
    <row r="709" ht="15" customHeight="1" s="80">
      <c r="A709" s="125" t="n"/>
      <c r="B709" s="121" t="n"/>
      <c r="C709" s="121" t="n"/>
      <c r="D709" s="121" t="n"/>
      <c r="E709" s="121" t="n"/>
      <c r="F709" s="121" t="n"/>
      <c r="G709" s="121" t="n"/>
      <c r="H709" s="121" t="n"/>
      <c r="I709" s="121" t="n"/>
      <c r="J709" s="122">
        <f>IF($A709="","",$B709+$C709+$D709-$E709+$F709-$G709)</f>
        <v/>
      </c>
      <c r="K709" s="122">
        <f>IF($A709="","",MAX(0,$B709-$J709))</f>
        <v/>
      </c>
      <c r="L709" s="123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</row>
    <row r="710" ht="15" customHeight="1" s="80">
      <c r="A710" s="125" t="n"/>
      <c r="B710" s="121" t="n"/>
      <c r="C710" s="121" t="n"/>
      <c r="D710" s="121" t="n"/>
      <c r="E710" s="121" t="n"/>
      <c r="F710" s="121" t="n"/>
      <c r="G710" s="121" t="n"/>
      <c r="H710" s="121" t="n"/>
      <c r="I710" s="121" t="n"/>
      <c r="J710" s="122">
        <f>IF($A710="","",$B710+$C710+$D710-$E710+$F710-$G710)</f>
        <v/>
      </c>
      <c r="K710" s="122">
        <f>IF($A710="","",MAX(0,$B710-$J710))</f>
        <v/>
      </c>
      <c r="L710" s="123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</row>
    <row r="711" ht="15" customHeight="1" s="80">
      <c r="A711" s="125" t="n"/>
      <c r="B711" s="121" t="n"/>
      <c r="C711" s="121" t="n"/>
      <c r="D711" s="121" t="n"/>
      <c r="E711" s="121" t="n"/>
      <c r="F711" s="121" t="n"/>
      <c r="G711" s="121" t="n"/>
      <c r="H711" s="121" t="n"/>
      <c r="I711" s="121" t="n"/>
      <c r="J711" s="122">
        <f>IF($A711="","",$B711+$C711+$D711-$E711+$F711-$G711)</f>
        <v/>
      </c>
      <c r="K711" s="122">
        <f>IF($A711="","",MAX(0,$B711-$J711))</f>
        <v/>
      </c>
      <c r="L711" s="123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</row>
    <row r="712" ht="15" customHeight="1" s="80">
      <c r="A712" s="125" t="n"/>
      <c r="B712" s="121" t="n"/>
      <c r="C712" s="121" t="n"/>
      <c r="D712" s="121" t="n"/>
      <c r="E712" s="121" t="n"/>
      <c r="F712" s="121" t="n"/>
      <c r="G712" s="121" t="n"/>
      <c r="H712" s="121" t="n"/>
      <c r="I712" s="121" t="n"/>
      <c r="J712" s="122">
        <f>IF($A712="","",$B712+$C712+$D712-$E712+$F712-$G712)</f>
        <v/>
      </c>
      <c r="K712" s="122">
        <f>IF($A712="","",MAX(0,$B712-$J712))</f>
        <v/>
      </c>
      <c r="L712" s="123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</row>
    <row r="713" ht="15" customHeight="1" s="80">
      <c r="A713" s="125" t="n"/>
      <c r="B713" s="121" t="n"/>
      <c r="C713" s="121" t="n"/>
      <c r="D713" s="121" t="n"/>
      <c r="E713" s="121" t="n"/>
      <c r="F713" s="121" t="n"/>
      <c r="G713" s="121" t="n"/>
      <c r="H713" s="121" t="n"/>
      <c r="I713" s="121" t="n"/>
      <c r="J713" s="122">
        <f>IF($A713="","",$B713+$C713+$D713-$E713+$F713-$G713)</f>
        <v/>
      </c>
      <c r="K713" s="122">
        <f>IF($A713="","",MAX(0,$B713-$J713))</f>
        <v/>
      </c>
      <c r="L713" s="123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</row>
    <row r="714" ht="15" customHeight="1" s="80">
      <c r="A714" s="125" t="n"/>
      <c r="B714" s="121" t="n"/>
      <c r="C714" s="121" t="n"/>
      <c r="D714" s="121" t="n"/>
      <c r="E714" s="121" t="n"/>
      <c r="F714" s="121" t="n"/>
      <c r="G714" s="121" t="n"/>
      <c r="H714" s="121" t="n"/>
      <c r="I714" s="121" t="n"/>
      <c r="J714" s="122">
        <f>IF($A714="","",$B714+$C714+$D714-$E714+$F714-$G714)</f>
        <v/>
      </c>
      <c r="K714" s="122">
        <f>IF($A714="","",MAX(0,$B714-$J714))</f>
        <v/>
      </c>
      <c r="L714" s="123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</row>
    <row r="715" ht="15" customHeight="1" s="80">
      <c r="A715" s="125" t="n"/>
      <c r="B715" s="121" t="n"/>
      <c r="C715" s="121" t="n"/>
      <c r="D715" s="121" t="n"/>
      <c r="E715" s="121" t="n"/>
      <c r="F715" s="121" t="n"/>
      <c r="G715" s="121" t="n"/>
      <c r="H715" s="121" t="n"/>
      <c r="I715" s="121" t="n"/>
      <c r="J715" s="122">
        <f>IF($A715="","",$B715+$C715+$D715-$E715+$F715-$G715)</f>
        <v/>
      </c>
      <c r="K715" s="122">
        <f>IF($A715="","",MAX(0,$B715-$J715))</f>
        <v/>
      </c>
      <c r="L715" s="123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</row>
    <row r="716" ht="15" customHeight="1" s="80">
      <c r="A716" s="125" t="n"/>
      <c r="B716" s="121" t="n"/>
      <c r="C716" s="121" t="n"/>
      <c r="D716" s="121" t="n"/>
      <c r="E716" s="121" t="n"/>
      <c r="F716" s="121" t="n"/>
      <c r="G716" s="121" t="n"/>
      <c r="H716" s="121" t="n"/>
      <c r="I716" s="121" t="n"/>
      <c r="J716" s="122">
        <f>IF($A716="","",$B716+$C716+$D716-$E716+$F716-$G716)</f>
        <v/>
      </c>
      <c r="K716" s="122">
        <f>IF($A716="","",MAX(0,$B716-$J716))</f>
        <v/>
      </c>
      <c r="L716" s="123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</row>
    <row r="717" ht="15" customHeight="1" s="80">
      <c r="A717" s="125" t="n"/>
      <c r="B717" s="121" t="n"/>
      <c r="C717" s="121" t="n"/>
      <c r="D717" s="121" t="n"/>
      <c r="E717" s="121" t="n"/>
      <c r="F717" s="121" t="n"/>
      <c r="G717" s="121" t="n"/>
      <c r="H717" s="121" t="n"/>
      <c r="I717" s="121" t="n"/>
      <c r="J717" s="122">
        <f>IF($A717="","",$B717+$C717+$D717-$E717+$F717-$G717)</f>
        <v/>
      </c>
      <c r="K717" s="122">
        <f>IF($A717="","",MAX(0,$B717-$J717))</f>
        <v/>
      </c>
      <c r="L717" s="123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</row>
    <row r="718" ht="15" customHeight="1" s="80">
      <c r="A718" s="125" t="n"/>
      <c r="B718" s="121" t="n"/>
      <c r="C718" s="121" t="n"/>
      <c r="D718" s="121" t="n"/>
      <c r="E718" s="121" t="n"/>
      <c r="F718" s="121" t="n"/>
      <c r="G718" s="121" t="n"/>
      <c r="H718" s="121" t="n"/>
      <c r="I718" s="121" t="n"/>
      <c r="J718" s="122">
        <f>IF($A718="","",$B718+$C718+$D718-$E718+$F718-$G718)</f>
        <v/>
      </c>
      <c r="K718" s="122">
        <f>IF($A718="","",MAX(0,$B718-$J718))</f>
        <v/>
      </c>
      <c r="L718" s="123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</row>
    <row r="719" ht="15" customHeight="1" s="80">
      <c r="A719" s="125" t="n"/>
      <c r="B719" s="121" t="n"/>
      <c r="C719" s="121" t="n"/>
      <c r="D719" s="121" t="n"/>
      <c r="E719" s="121" t="n"/>
      <c r="F719" s="121" t="n"/>
      <c r="G719" s="121" t="n"/>
      <c r="H719" s="121" t="n"/>
      <c r="I719" s="121" t="n"/>
      <c r="J719" s="122">
        <f>IF($A719="","",$B719+$C719+$D719-$E719+$F719-$G719)</f>
        <v/>
      </c>
      <c r="K719" s="122">
        <f>IF($A719="","",MAX(0,$B719-$J719))</f>
        <v/>
      </c>
      <c r="L719" s="123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</row>
    <row r="720" ht="15" customHeight="1" s="80">
      <c r="A720" s="125" t="n"/>
      <c r="B720" s="121" t="n"/>
      <c r="C720" s="121" t="n"/>
      <c r="D720" s="121" t="n"/>
      <c r="E720" s="121" t="n"/>
      <c r="F720" s="121" t="n"/>
      <c r="G720" s="121" t="n"/>
      <c r="H720" s="121" t="n"/>
      <c r="I720" s="121" t="n"/>
      <c r="J720" s="122">
        <f>IF($A720="","",$B720+$C720+$D720-$E720+$F720-$G720)</f>
        <v/>
      </c>
      <c r="K720" s="122">
        <f>IF($A720="","",MAX(0,$B720-$J720))</f>
        <v/>
      </c>
      <c r="L720" s="123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</row>
    <row r="721" ht="15" customHeight="1" s="80">
      <c r="A721" s="125" t="n"/>
      <c r="B721" s="121" t="n"/>
      <c r="C721" s="121" t="n"/>
      <c r="D721" s="121" t="n"/>
      <c r="E721" s="121" t="n"/>
      <c r="F721" s="121" t="n"/>
      <c r="G721" s="121" t="n"/>
      <c r="H721" s="121" t="n"/>
      <c r="I721" s="121" t="n"/>
      <c r="J721" s="122">
        <f>IF($A721="","",$B721+$C721+$D721-$E721+$F721-$G721)</f>
        <v/>
      </c>
      <c r="K721" s="122">
        <f>IF($A721="","",MAX(0,$B721-$J721))</f>
        <v/>
      </c>
      <c r="L721" s="123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</row>
    <row r="722" ht="15" customHeight="1" s="80">
      <c r="A722" s="125" t="n"/>
      <c r="B722" s="121" t="n"/>
      <c r="C722" s="121" t="n"/>
      <c r="D722" s="121" t="n"/>
      <c r="E722" s="121" t="n"/>
      <c r="F722" s="121" t="n"/>
      <c r="G722" s="121" t="n"/>
      <c r="H722" s="121" t="n"/>
      <c r="I722" s="121" t="n"/>
      <c r="J722" s="122">
        <f>IF($A722="","",$B722+$C722+$D722-$E722+$F722-$G722)</f>
        <v/>
      </c>
      <c r="K722" s="122">
        <f>IF($A722="","",MAX(0,$B722-$J722))</f>
        <v/>
      </c>
      <c r="L722" s="123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</row>
    <row r="723" ht="15" customHeight="1" s="80">
      <c r="A723" s="125" t="n"/>
      <c r="B723" s="121" t="n"/>
      <c r="C723" s="121" t="n"/>
      <c r="D723" s="121" t="n"/>
      <c r="E723" s="121" t="n"/>
      <c r="F723" s="121" t="n"/>
      <c r="G723" s="121" t="n"/>
      <c r="H723" s="121" t="n"/>
      <c r="I723" s="121" t="n"/>
      <c r="J723" s="122">
        <f>IF($A723="","",$B723+$C723+$D723-$E723+$F723-$G723)</f>
        <v/>
      </c>
      <c r="K723" s="122">
        <f>IF($A723="","",MAX(0,$B723-$J723))</f>
        <v/>
      </c>
      <c r="L723" s="123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</row>
    <row r="724" ht="15" customHeight="1" s="80">
      <c r="A724" s="125" t="n"/>
      <c r="B724" s="121" t="n"/>
      <c r="C724" s="121" t="n"/>
      <c r="D724" s="121" t="n"/>
      <c r="E724" s="121" t="n"/>
      <c r="F724" s="121" t="n"/>
      <c r="G724" s="121" t="n"/>
      <c r="H724" s="121" t="n"/>
      <c r="I724" s="121" t="n"/>
      <c r="J724" s="122">
        <f>IF($A724="","",$B724+$C724+$D724-$E724+$F724-$G724)</f>
        <v/>
      </c>
      <c r="K724" s="122">
        <f>IF($A724="","",MAX(0,$B724-$J724))</f>
        <v/>
      </c>
      <c r="L724" s="123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</row>
    <row r="725" ht="15" customHeight="1" s="80">
      <c r="A725" s="125" t="n"/>
      <c r="B725" s="121" t="n"/>
      <c r="C725" s="121" t="n"/>
      <c r="D725" s="121" t="n"/>
      <c r="E725" s="121" t="n"/>
      <c r="F725" s="121" t="n"/>
      <c r="G725" s="121" t="n"/>
      <c r="H725" s="121" t="n"/>
      <c r="I725" s="121" t="n"/>
      <c r="J725" s="122">
        <f>IF($A725="","",$B725+$C725+$D725-$E725+$F725-$G725)</f>
        <v/>
      </c>
      <c r="K725" s="122">
        <f>IF($A725="","",MAX(0,$B725-$J725))</f>
        <v/>
      </c>
      <c r="L725" s="123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</row>
    <row r="726" ht="15" customHeight="1" s="80">
      <c r="A726" s="125" t="n"/>
      <c r="B726" s="121" t="n"/>
      <c r="C726" s="121" t="n"/>
      <c r="D726" s="121" t="n"/>
      <c r="E726" s="121" t="n"/>
      <c r="F726" s="121" t="n"/>
      <c r="G726" s="121" t="n"/>
      <c r="H726" s="121" t="n"/>
      <c r="I726" s="121" t="n"/>
      <c r="J726" s="122">
        <f>IF($A726="","",$B726+$C726+$D726-$E726+$F726-$G726)</f>
        <v/>
      </c>
      <c r="K726" s="122">
        <f>IF($A726="","",MAX(0,$B726-$J726))</f>
        <v/>
      </c>
      <c r="L726" s="123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</row>
    <row r="727" ht="15" customHeight="1" s="80">
      <c r="A727" s="125" t="n"/>
      <c r="B727" s="121" t="n"/>
      <c r="C727" s="121" t="n"/>
      <c r="D727" s="121" t="n"/>
      <c r="E727" s="121" t="n"/>
      <c r="F727" s="121" t="n"/>
      <c r="G727" s="121" t="n"/>
      <c r="H727" s="121" t="n"/>
      <c r="I727" s="121" t="n"/>
      <c r="J727" s="122">
        <f>IF($A727="","",$B727+$C727+$D727-$E727+$F727-$G727)</f>
        <v/>
      </c>
      <c r="K727" s="122">
        <f>IF($A727="","",MAX(0,$B727-$J727))</f>
        <v/>
      </c>
      <c r="L727" s="123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</row>
    <row r="728" ht="15" customHeight="1" s="80">
      <c r="A728" s="125" t="n"/>
      <c r="B728" s="121" t="n"/>
      <c r="C728" s="121" t="n"/>
      <c r="D728" s="121" t="n"/>
      <c r="E728" s="121" t="n"/>
      <c r="F728" s="121" t="n"/>
      <c r="G728" s="121" t="n"/>
      <c r="H728" s="121" t="n"/>
      <c r="I728" s="121" t="n"/>
      <c r="J728" s="122">
        <f>IF($A728="","",$B728+$C728+$D728-$E728+$F728-$G728)</f>
        <v/>
      </c>
      <c r="K728" s="122">
        <f>IF($A728="","",MAX(0,$B728-$J728))</f>
        <v/>
      </c>
      <c r="L728" s="123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</row>
    <row r="729" ht="15" customHeight="1" s="80">
      <c r="A729" s="125" t="n"/>
      <c r="B729" s="121" t="n"/>
      <c r="C729" s="121" t="n"/>
      <c r="D729" s="121" t="n"/>
      <c r="E729" s="121" t="n"/>
      <c r="F729" s="121" t="n"/>
      <c r="G729" s="121" t="n"/>
      <c r="H729" s="121" t="n"/>
      <c r="I729" s="121" t="n"/>
      <c r="J729" s="122">
        <f>IF($A729="","",$B729+$C729+$D729-$E729+$F729-$G729)</f>
        <v/>
      </c>
      <c r="K729" s="122">
        <f>IF($A729="","",MAX(0,$B729-$J729))</f>
        <v/>
      </c>
      <c r="L729" s="123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</row>
    <row r="730" ht="15" customHeight="1" s="80">
      <c r="A730" s="125" t="n"/>
      <c r="B730" s="121" t="n"/>
      <c r="C730" s="121" t="n"/>
      <c r="D730" s="121" t="n"/>
      <c r="E730" s="121" t="n"/>
      <c r="F730" s="121" t="n"/>
      <c r="G730" s="121" t="n"/>
      <c r="H730" s="121" t="n"/>
      <c r="I730" s="121" t="n"/>
      <c r="J730" s="122">
        <f>IF($A730="","",$B730+$C730+$D730-$E730+$F730-$G730)</f>
        <v/>
      </c>
      <c r="K730" s="122">
        <f>IF($A730="","",MAX(0,$B730-$J730))</f>
        <v/>
      </c>
      <c r="L730" s="123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</row>
    <row r="731" ht="15" customHeight="1" s="80">
      <c r="A731" s="125" t="n"/>
      <c r="B731" s="121" t="n"/>
      <c r="C731" s="121" t="n"/>
      <c r="D731" s="121" t="n"/>
      <c r="E731" s="121" t="n"/>
      <c r="F731" s="121" t="n"/>
      <c r="G731" s="121" t="n"/>
      <c r="H731" s="121" t="n"/>
      <c r="I731" s="121" t="n"/>
      <c r="J731" s="122">
        <f>IF($A731="","",$B731+$C731+$D731-$E731+$F731-$G731)</f>
        <v/>
      </c>
      <c r="K731" s="122">
        <f>IF($A731="","",MAX(0,$B731-$J731))</f>
        <v/>
      </c>
      <c r="L731" s="123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</row>
    <row r="732" ht="15" customHeight="1" s="80">
      <c r="A732" s="125" t="n"/>
      <c r="B732" s="121" t="n"/>
      <c r="C732" s="121" t="n"/>
      <c r="D732" s="121" t="n"/>
      <c r="E732" s="121" t="n"/>
      <c r="F732" s="121" t="n"/>
      <c r="G732" s="121" t="n"/>
      <c r="H732" s="121" t="n"/>
      <c r="I732" s="121" t="n"/>
      <c r="J732" s="122">
        <f>IF($A732="","",$B732+$C732+$D732-$E732+$F732-$G732)</f>
        <v/>
      </c>
      <c r="K732" s="122">
        <f>IF($A732="","",MAX(0,$B732-$J732))</f>
        <v/>
      </c>
      <c r="L732" s="123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</row>
    <row r="733" ht="15" customHeight="1" s="80">
      <c r="A733" s="125" t="n"/>
      <c r="B733" s="121" t="n"/>
      <c r="C733" s="121" t="n"/>
      <c r="D733" s="121" t="n"/>
      <c r="E733" s="121" t="n"/>
      <c r="F733" s="121" t="n"/>
      <c r="G733" s="121" t="n"/>
      <c r="H733" s="121" t="n"/>
      <c r="I733" s="121" t="n"/>
      <c r="J733" s="122">
        <f>IF($A733="","",$B733+$C733+$D733-$E733+$F733-$G733)</f>
        <v/>
      </c>
      <c r="K733" s="122">
        <f>IF($A733="","",MAX(0,$B733-$J733))</f>
        <v/>
      </c>
      <c r="L733" s="123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</row>
    <row r="734" ht="15" customHeight="1" s="80">
      <c r="A734" s="125" t="n"/>
      <c r="B734" s="121" t="n"/>
      <c r="C734" s="121" t="n"/>
      <c r="D734" s="121" t="n"/>
      <c r="E734" s="121" t="n"/>
      <c r="F734" s="121" t="n"/>
      <c r="G734" s="121" t="n"/>
      <c r="H734" s="121" t="n"/>
      <c r="I734" s="121" t="n"/>
      <c r="J734" s="122">
        <f>IF($A734="","",$B734+$C734+$D734-$E734+$F734-$G734)</f>
        <v/>
      </c>
      <c r="K734" s="122">
        <f>IF($A734="","",MAX(0,$B734-$J734))</f>
        <v/>
      </c>
      <c r="L734" s="123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</row>
    <row r="735" ht="15" customHeight="1" s="80">
      <c r="A735" s="125" t="n"/>
      <c r="B735" s="121" t="n"/>
      <c r="C735" s="121" t="n"/>
      <c r="D735" s="121" t="n"/>
      <c r="E735" s="121" t="n"/>
      <c r="F735" s="121" t="n"/>
      <c r="G735" s="121" t="n"/>
      <c r="H735" s="121" t="n"/>
      <c r="I735" s="121" t="n"/>
      <c r="J735" s="122">
        <f>IF($A735="","",$B735+$C735+$D735-$E735+$F735-$G735)</f>
        <v/>
      </c>
      <c r="K735" s="122">
        <f>IF($A735="","",MAX(0,$B735-$J735))</f>
        <v/>
      </c>
      <c r="L735" s="123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</row>
    <row r="736" ht="15" customHeight="1" s="80">
      <c r="A736" s="125" t="n"/>
      <c r="B736" s="121" t="n"/>
      <c r="C736" s="121" t="n"/>
      <c r="D736" s="121" t="n"/>
      <c r="E736" s="121" t="n"/>
      <c r="F736" s="121" t="n"/>
      <c r="G736" s="121" t="n"/>
      <c r="H736" s="121" t="n"/>
      <c r="I736" s="121" t="n"/>
      <c r="J736" s="122">
        <f>IF($A736="","",$B736+$C736+$D736-$E736+$F736-$G736)</f>
        <v/>
      </c>
      <c r="K736" s="122">
        <f>IF($A736="","",MAX(0,$B736-$J736))</f>
        <v/>
      </c>
      <c r="L736" s="123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</row>
    <row r="737" ht="15" customHeight="1" s="80">
      <c r="A737" s="125" t="n"/>
      <c r="B737" s="121" t="n"/>
      <c r="C737" s="121" t="n"/>
      <c r="D737" s="121" t="n"/>
      <c r="E737" s="121" t="n"/>
      <c r="F737" s="121" t="n"/>
      <c r="G737" s="121" t="n"/>
      <c r="H737" s="121" t="n"/>
      <c r="I737" s="121" t="n"/>
      <c r="J737" s="122">
        <f>IF($A737="","",$B737+$C737+$D737-$E737+$F737-$G737)</f>
        <v/>
      </c>
      <c r="K737" s="122">
        <f>IF($A737="","",MAX(0,$B737-$J737))</f>
        <v/>
      </c>
      <c r="L737" s="123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</row>
    <row r="738" ht="15" customHeight="1" s="80">
      <c r="A738" s="125" t="n"/>
      <c r="B738" s="121" t="n"/>
      <c r="C738" s="121" t="n"/>
      <c r="D738" s="121" t="n"/>
      <c r="E738" s="121" t="n"/>
      <c r="F738" s="121" t="n"/>
      <c r="G738" s="121" t="n"/>
      <c r="H738" s="121" t="n"/>
      <c r="I738" s="121" t="n"/>
      <c r="J738" s="122">
        <f>IF($A738="","",$B738+$C738+$D738-$E738+$F738-$G738)</f>
        <v/>
      </c>
      <c r="K738" s="122">
        <f>IF($A738="","",MAX(0,$B738-$J738))</f>
        <v/>
      </c>
      <c r="L738" s="123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</row>
    <row r="739" ht="15" customHeight="1" s="80">
      <c r="A739" s="125" t="n"/>
      <c r="B739" s="121" t="n"/>
      <c r="C739" s="121" t="n"/>
      <c r="D739" s="121" t="n"/>
      <c r="E739" s="121" t="n"/>
      <c r="F739" s="121" t="n"/>
      <c r="G739" s="121" t="n"/>
      <c r="H739" s="121" t="n"/>
      <c r="I739" s="121" t="n"/>
      <c r="J739" s="122">
        <f>IF($A739="","",$B739+$C739+$D739-$E739+$F739-$G739)</f>
        <v/>
      </c>
      <c r="K739" s="122">
        <f>IF($A739="","",MAX(0,$B739-$J739))</f>
        <v/>
      </c>
      <c r="L739" s="123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</row>
    <row r="740" ht="15" customHeight="1" s="80">
      <c r="A740" s="125" t="n"/>
      <c r="B740" s="121" t="n"/>
      <c r="C740" s="121" t="n"/>
      <c r="D740" s="121" t="n"/>
      <c r="E740" s="121" t="n"/>
      <c r="F740" s="121" t="n"/>
      <c r="G740" s="121" t="n"/>
      <c r="H740" s="121" t="n"/>
      <c r="I740" s="121" t="n"/>
      <c r="J740" s="122">
        <f>IF($A740="","",$B740+$C740+$D740-$E740+$F740-$G740)</f>
        <v/>
      </c>
      <c r="K740" s="122">
        <f>IF($A740="","",MAX(0,$B740-$J740))</f>
        <v/>
      </c>
      <c r="L740" s="123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</row>
    <row r="741" ht="15" customHeight="1" s="80">
      <c r="A741" s="125" t="n"/>
      <c r="B741" s="121" t="n"/>
      <c r="C741" s="121" t="n"/>
      <c r="D741" s="121" t="n"/>
      <c r="E741" s="121" t="n"/>
      <c r="F741" s="121" t="n"/>
      <c r="G741" s="121" t="n"/>
      <c r="H741" s="121" t="n"/>
      <c r="I741" s="121" t="n"/>
      <c r="J741" s="122">
        <f>IF($A741="","",$B741+$C741+$D741-$E741+$F741-$G741)</f>
        <v/>
      </c>
      <c r="K741" s="122">
        <f>IF($A741="","",MAX(0,$B741-$J741))</f>
        <v/>
      </c>
      <c r="L741" s="123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</row>
    <row r="742" ht="15" customHeight="1" s="80">
      <c r="A742" s="125" t="n"/>
      <c r="B742" s="121" t="n"/>
      <c r="C742" s="121" t="n"/>
      <c r="D742" s="121" t="n"/>
      <c r="E742" s="121" t="n"/>
      <c r="F742" s="121" t="n"/>
      <c r="G742" s="121" t="n"/>
      <c r="H742" s="121" t="n"/>
      <c r="I742" s="121" t="n"/>
      <c r="J742" s="122">
        <f>IF($A742="","",$B742+$C742+$D742-$E742+$F742-$G742)</f>
        <v/>
      </c>
      <c r="K742" s="122">
        <f>IF($A742="","",MAX(0,$B742-$J742))</f>
        <v/>
      </c>
      <c r="L742" s="123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</row>
    <row r="743" ht="15" customHeight="1" s="80">
      <c r="A743" s="125" t="n"/>
      <c r="B743" s="121" t="n"/>
      <c r="C743" s="121" t="n"/>
      <c r="D743" s="121" t="n"/>
      <c r="E743" s="121" t="n"/>
      <c r="F743" s="121" t="n"/>
      <c r="G743" s="121" t="n"/>
      <c r="H743" s="121" t="n"/>
      <c r="I743" s="121" t="n"/>
      <c r="J743" s="122">
        <f>IF($A743="","",$B743+$C743+$D743-$E743+$F743-$G743)</f>
        <v/>
      </c>
      <c r="K743" s="122">
        <f>IF($A743="","",MAX(0,$B743-$J743))</f>
        <v/>
      </c>
      <c r="L743" s="123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</row>
    <row r="744" ht="15" customHeight="1" s="80">
      <c r="A744" s="125" t="n"/>
      <c r="B744" s="121" t="n"/>
      <c r="C744" s="121" t="n"/>
      <c r="D744" s="121" t="n"/>
      <c r="E744" s="121" t="n"/>
      <c r="F744" s="121" t="n"/>
      <c r="G744" s="121" t="n"/>
      <c r="H744" s="121" t="n"/>
      <c r="I744" s="121" t="n"/>
      <c r="J744" s="122">
        <f>IF($A744="","",$B744+$C744+$D744-$E744+$F744-$G744)</f>
        <v/>
      </c>
      <c r="K744" s="122">
        <f>IF($A744="","",MAX(0,$B744-$J744))</f>
        <v/>
      </c>
      <c r="L744" s="123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</row>
    <row r="745" ht="15" customHeight="1" s="80">
      <c r="A745" s="125" t="n"/>
      <c r="B745" s="121" t="n"/>
      <c r="C745" s="121" t="n"/>
      <c r="D745" s="121" t="n"/>
      <c r="E745" s="121" t="n"/>
      <c r="F745" s="121" t="n"/>
      <c r="G745" s="121" t="n"/>
      <c r="H745" s="121" t="n"/>
      <c r="I745" s="121" t="n"/>
      <c r="J745" s="122">
        <f>IF($A745="","",$B745+$C745+$D745-$E745+$F745-$G745)</f>
        <v/>
      </c>
      <c r="K745" s="122">
        <f>IF($A745="","",MAX(0,$B745-$J745))</f>
        <v/>
      </c>
      <c r="L745" s="123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</row>
    <row r="746" ht="15" customHeight="1" s="80">
      <c r="A746" s="125" t="n"/>
      <c r="B746" s="121" t="n"/>
      <c r="C746" s="121" t="n"/>
      <c r="D746" s="121" t="n"/>
      <c r="E746" s="121" t="n"/>
      <c r="F746" s="121" t="n"/>
      <c r="G746" s="121" t="n"/>
      <c r="H746" s="121" t="n"/>
      <c r="I746" s="121" t="n"/>
      <c r="J746" s="122">
        <f>IF($A746="","",$B746+$C746+$D746-$E746+$F746-$G746)</f>
        <v/>
      </c>
      <c r="K746" s="122">
        <f>IF($A746="","",MAX(0,$B746-$J746))</f>
        <v/>
      </c>
      <c r="L746" s="123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</row>
    <row r="747" ht="15" customHeight="1" s="80">
      <c r="A747" s="125" t="n"/>
      <c r="B747" s="121" t="n"/>
      <c r="C747" s="121" t="n"/>
      <c r="D747" s="121" t="n"/>
      <c r="E747" s="121" t="n"/>
      <c r="F747" s="121" t="n"/>
      <c r="G747" s="121" t="n"/>
      <c r="H747" s="121" t="n"/>
      <c r="I747" s="121" t="n"/>
      <c r="J747" s="122">
        <f>IF($A747="","",$B747+$C747+$D747-$E747+$F747-$G747)</f>
        <v/>
      </c>
      <c r="K747" s="122">
        <f>IF($A747="","",MAX(0,$B747-$J747))</f>
        <v/>
      </c>
      <c r="L747" s="123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</row>
    <row r="748" ht="15" customHeight="1" s="80">
      <c r="A748" s="125" t="n"/>
      <c r="B748" s="121" t="n"/>
      <c r="C748" s="121" t="n"/>
      <c r="D748" s="121" t="n"/>
      <c r="E748" s="121" t="n"/>
      <c r="F748" s="121" t="n"/>
      <c r="G748" s="121" t="n"/>
      <c r="H748" s="121" t="n"/>
      <c r="I748" s="121" t="n"/>
      <c r="J748" s="122">
        <f>IF($A748="","",$B748+$C748+$D748-$E748+$F748-$G748)</f>
        <v/>
      </c>
      <c r="K748" s="122">
        <f>IF($A748="","",MAX(0,$B748-$J748))</f>
        <v/>
      </c>
      <c r="L748" s="123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</row>
    <row r="749" ht="15" customHeight="1" s="80">
      <c r="A749" s="125" t="n"/>
      <c r="B749" s="121" t="n"/>
      <c r="C749" s="121" t="n"/>
      <c r="D749" s="121" t="n"/>
      <c r="E749" s="121" t="n"/>
      <c r="F749" s="121" t="n"/>
      <c r="G749" s="121" t="n"/>
      <c r="H749" s="121" t="n"/>
      <c r="I749" s="121" t="n"/>
      <c r="J749" s="122">
        <f>IF($A749="","",$B749+$C749+$D749-$E749+$F749-$G749)</f>
        <v/>
      </c>
      <c r="K749" s="122">
        <f>IF($A749="","",MAX(0,$B749-$J749))</f>
        <v/>
      </c>
      <c r="L749" s="123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</row>
    <row r="750" ht="15" customHeight="1" s="80">
      <c r="A750" s="125" t="n"/>
      <c r="B750" s="121" t="n"/>
      <c r="C750" s="121" t="n"/>
      <c r="D750" s="121" t="n"/>
      <c r="E750" s="121" t="n"/>
      <c r="F750" s="121" t="n"/>
      <c r="G750" s="121" t="n"/>
      <c r="H750" s="121" t="n"/>
      <c r="I750" s="121" t="n"/>
      <c r="J750" s="122">
        <f>IF($A750="","",$B750+$C750+$D750-$E750+$F750-$G750)</f>
        <v/>
      </c>
      <c r="K750" s="122">
        <f>IF($A750="","",MAX(0,$B750-$J750))</f>
        <v/>
      </c>
      <c r="L750" s="123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</row>
    <row r="751" ht="15" customHeight="1" s="80">
      <c r="A751" s="125" t="n"/>
      <c r="B751" s="121" t="n"/>
      <c r="C751" s="121" t="n"/>
      <c r="D751" s="121" t="n"/>
      <c r="E751" s="121" t="n"/>
      <c r="F751" s="121" t="n"/>
      <c r="G751" s="121" t="n"/>
      <c r="H751" s="121" t="n"/>
      <c r="I751" s="121" t="n"/>
      <c r="J751" s="122">
        <f>IF($A751="","",$B751+$C751+$D751-$E751+$F751-$G751)</f>
        <v/>
      </c>
      <c r="K751" s="122">
        <f>IF($A751="","",MAX(0,$B751-$J751))</f>
        <v/>
      </c>
      <c r="L751" s="123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</row>
    <row r="752" ht="15" customHeight="1" s="80">
      <c r="A752" s="125" t="n"/>
      <c r="B752" s="121" t="n"/>
      <c r="C752" s="121" t="n"/>
      <c r="D752" s="121" t="n"/>
      <c r="E752" s="121" t="n"/>
      <c r="F752" s="121" t="n"/>
      <c r="G752" s="121" t="n"/>
      <c r="H752" s="121" t="n"/>
      <c r="I752" s="121" t="n"/>
      <c r="J752" s="122">
        <f>IF($A752="","",$B752+$C752+$D752-$E752+$F752-$G752)</f>
        <v/>
      </c>
      <c r="K752" s="122">
        <f>IF($A752="","",MAX(0,$B752-$J752))</f>
        <v/>
      </c>
      <c r="L752" s="123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</row>
    <row r="753" ht="15" customHeight="1" s="80">
      <c r="A753" s="125" t="n"/>
      <c r="B753" s="121" t="n"/>
      <c r="C753" s="121" t="n"/>
      <c r="D753" s="121" t="n"/>
      <c r="E753" s="121" t="n"/>
      <c r="F753" s="121" t="n"/>
      <c r="G753" s="121" t="n"/>
      <c r="H753" s="121" t="n"/>
      <c r="I753" s="121" t="n"/>
      <c r="J753" s="122">
        <f>IF($A753="","",$B753+$C753+$D753-$E753+$F753-$G753)</f>
        <v/>
      </c>
      <c r="K753" s="122">
        <f>IF($A753="","",MAX(0,$B753-$J753))</f>
        <v/>
      </c>
      <c r="L753" s="123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</row>
    <row r="754" ht="15" customHeight="1" s="80">
      <c r="A754" s="125" t="n"/>
      <c r="B754" s="121" t="n"/>
      <c r="C754" s="121" t="n"/>
      <c r="D754" s="121" t="n"/>
      <c r="E754" s="121" t="n"/>
      <c r="F754" s="121" t="n"/>
      <c r="G754" s="121" t="n"/>
      <c r="H754" s="121" t="n"/>
      <c r="I754" s="121" t="n"/>
      <c r="J754" s="122">
        <f>IF($A754="","",$B754+$C754+$D754-$E754+$F754-$G754)</f>
        <v/>
      </c>
      <c r="K754" s="122">
        <f>IF($A754="","",MAX(0,$B754-$J754))</f>
        <v/>
      </c>
      <c r="L754" s="123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</row>
    <row r="755" ht="15" customHeight="1" s="80">
      <c r="A755" s="125" t="n"/>
      <c r="B755" s="121" t="n"/>
      <c r="C755" s="121" t="n"/>
      <c r="D755" s="121" t="n"/>
      <c r="E755" s="121" t="n"/>
      <c r="F755" s="121" t="n"/>
      <c r="G755" s="121" t="n"/>
      <c r="H755" s="121" t="n"/>
      <c r="I755" s="121" t="n"/>
      <c r="J755" s="122">
        <f>IF($A755="","",$B755+$C755+$D755-$E755+$F755-$G755)</f>
        <v/>
      </c>
      <c r="K755" s="122">
        <f>IF($A755="","",MAX(0,$B755-$J755))</f>
        <v/>
      </c>
      <c r="L755" s="123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</row>
    <row r="756" ht="15" customHeight="1" s="80">
      <c r="A756" s="125" t="n"/>
      <c r="B756" s="121" t="n"/>
      <c r="C756" s="121" t="n"/>
      <c r="D756" s="121" t="n"/>
      <c r="E756" s="121" t="n"/>
      <c r="F756" s="121" t="n"/>
      <c r="G756" s="121" t="n"/>
      <c r="H756" s="121" t="n"/>
      <c r="I756" s="121" t="n"/>
      <c r="J756" s="122">
        <f>IF($A756="","",$B756+$C756+$D756-$E756+$F756-$G756)</f>
        <v/>
      </c>
      <c r="K756" s="122">
        <f>IF($A756="","",MAX(0,$B756-$J756))</f>
        <v/>
      </c>
      <c r="L756" s="123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</row>
    <row r="757" ht="15" customHeight="1" s="80">
      <c r="A757" s="125" t="n"/>
      <c r="B757" s="121" t="n"/>
      <c r="C757" s="121" t="n"/>
      <c r="D757" s="121" t="n"/>
      <c r="E757" s="121" t="n"/>
      <c r="F757" s="121" t="n"/>
      <c r="G757" s="121" t="n"/>
      <c r="H757" s="121" t="n"/>
      <c r="I757" s="121" t="n"/>
      <c r="J757" s="122">
        <f>IF($A757="","",$B757+$C757+$D757-$E757+$F757-$G757)</f>
        <v/>
      </c>
      <c r="K757" s="122">
        <f>IF($A757="","",MAX(0,$B757-$J757))</f>
        <v/>
      </c>
      <c r="L757" s="123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</row>
    <row r="758" ht="15" customHeight="1" s="80">
      <c r="A758" s="125" t="n"/>
      <c r="B758" s="121" t="n"/>
      <c r="C758" s="121" t="n"/>
      <c r="D758" s="121" t="n"/>
      <c r="E758" s="121" t="n"/>
      <c r="F758" s="121" t="n"/>
      <c r="G758" s="121" t="n"/>
      <c r="H758" s="121" t="n"/>
      <c r="I758" s="121" t="n"/>
      <c r="J758" s="122">
        <f>IF($A758="","",$B758+$C758+$D758-$E758+$F758-$G758)</f>
        <v/>
      </c>
      <c r="K758" s="122">
        <f>IF($A758="","",MAX(0,$B758-$J758))</f>
        <v/>
      </c>
      <c r="L758" s="123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</row>
    <row r="759" ht="15" customHeight="1" s="80">
      <c r="A759" s="125" t="n"/>
      <c r="B759" s="121" t="n"/>
      <c r="C759" s="121" t="n"/>
      <c r="D759" s="121" t="n"/>
      <c r="E759" s="121" t="n"/>
      <c r="F759" s="121" t="n"/>
      <c r="G759" s="121" t="n"/>
      <c r="H759" s="121" t="n"/>
      <c r="I759" s="121" t="n"/>
      <c r="J759" s="122">
        <f>IF($A759="","",$B759+$C759+$D759-$E759+$F759-$G759)</f>
        <v/>
      </c>
      <c r="K759" s="122">
        <f>IF($A759="","",MAX(0,$B759-$J759))</f>
        <v/>
      </c>
      <c r="L759" s="123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</row>
    <row r="760" ht="15" customHeight="1" s="80">
      <c r="A760" s="125" t="n"/>
      <c r="B760" s="121" t="n"/>
      <c r="C760" s="121" t="n"/>
      <c r="D760" s="121" t="n"/>
      <c r="E760" s="121" t="n"/>
      <c r="F760" s="121" t="n"/>
      <c r="G760" s="121" t="n"/>
      <c r="H760" s="121" t="n"/>
      <c r="I760" s="121" t="n"/>
      <c r="J760" s="122">
        <f>IF($A760="","",$B760+$C760+$D760-$E760+$F760-$G760)</f>
        <v/>
      </c>
      <c r="K760" s="122">
        <f>IF($A760="","",MAX(0,$B760-$J760))</f>
        <v/>
      </c>
      <c r="L760" s="123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</row>
    <row r="761" ht="15" customHeight="1" s="80">
      <c r="A761" s="125" t="n"/>
      <c r="B761" s="121" t="n"/>
      <c r="C761" s="121" t="n"/>
      <c r="D761" s="121" t="n"/>
      <c r="E761" s="121" t="n"/>
      <c r="F761" s="121" t="n"/>
      <c r="G761" s="121" t="n"/>
      <c r="H761" s="121" t="n"/>
      <c r="I761" s="121" t="n"/>
      <c r="J761" s="122">
        <f>IF($A761="","",$B761+$C761+$D761-$E761+$F761-$G761)</f>
        <v/>
      </c>
      <c r="K761" s="122">
        <f>IF($A761="","",MAX(0,$B761-$J761))</f>
        <v/>
      </c>
      <c r="L761" s="123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</row>
    <row r="762" ht="15" customHeight="1" s="80">
      <c r="A762" s="125" t="n"/>
      <c r="B762" s="121" t="n"/>
      <c r="C762" s="121" t="n"/>
      <c r="D762" s="121" t="n"/>
      <c r="E762" s="121" t="n"/>
      <c r="F762" s="121" t="n"/>
      <c r="G762" s="121" t="n"/>
      <c r="H762" s="121" t="n"/>
      <c r="I762" s="121" t="n"/>
      <c r="J762" s="122">
        <f>IF($A762="","",$B762+$C762+$D762-$E762+$F762-$G762)</f>
        <v/>
      </c>
      <c r="K762" s="122">
        <f>IF($A762="","",MAX(0,$B762-$J762))</f>
        <v/>
      </c>
      <c r="L762" s="123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</row>
    <row r="763" ht="15" customHeight="1" s="80">
      <c r="A763" s="125" t="n"/>
      <c r="B763" s="121" t="n"/>
      <c r="C763" s="121" t="n"/>
      <c r="D763" s="121" t="n"/>
      <c r="E763" s="121" t="n"/>
      <c r="F763" s="121" t="n"/>
      <c r="G763" s="121" t="n"/>
      <c r="H763" s="121" t="n"/>
      <c r="I763" s="121" t="n"/>
      <c r="J763" s="122">
        <f>IF($A763="","",$B763+$C763+$D763-$E763+$F763-$G763)</f>
        <v/>
      </c>
      <c r="K763" s="122">
        <f>IF($A763="","",MAX(0,$B763-$J763))</f>
        <v/>
      </c>
      <c r="L763" s="123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</row>
    <row r="764" ht="15" customHeight="1" s="80">
      <c r="A764" s="125" t="n"/>
      <c r="B764" s="121" t="n"/>
      <c r="C764" s="121" t="n"/>
      <c r="D764" s="121" t="n"/>
      <c r="E764" s="121" t="n"/>
      <c r="F764" s="121" t="n"/>
      <c r="G764" s="121" t="n"/>
      <c r="H764" s="121" t="n"/>
      <c r="I764" s="121" t="n"/>
      <c r="J764" s="122">
        <f>IF($A764="","",$B764+$C764+$D764-$E764+$F764-$G764)</f>
        <v/>
      </c>
      <c r="K764" s="122">
        <f>IF($A764="","",MAX(0,$B764-$J764))</f>
        <v/>
      </c>
      <c r="L764" s="123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</row>
    <row r="765" ht="15" customHeight="1" s="80">
      <c r="A765" s="125" t="n"/>
      <c r="B765" s="121" t="n"/>
      <c r="C765" s="121" t="n"/>
      <c r="D765" s="121" t="n"/>
      <c r="E765" s="121" t="n"/>
      <c r="F765" s="121" t="n"/>
      <c r="G765" s="121" t="n"/>
      <c r="H765" s="121" t="n"/>
      <c r="I765" s="121" t="n"/>
      <c r="J765" s="122">
        <f>IF($A765="","",$B765+$C765+$D765-$E765+$F765-$G765)</f>
        <v/>
      </c>
      <c r="K765" s="122">
        <f>IF($A765="","",MAX(0,$B765-$J765))</f>
        <v/>
      </c>
      <c r="L765" s="123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</row>
    <row r="766" ht="15" customHeight="1" s="80">
      <c r="A766" s="125" t="n"/>
      <c r="B766" s="121" t="n"/>
      <c r="C766" s="121" t="n"/>
      <c r="D766" s="121" t="n"/>
      <c r="E766" s="121" t="n"/>
      <c r="F766" s="121" t="n"/>
      <c r="G766" s="121" t="n"/>
      <c r="H766" s="121" t="n"/>
      <c r="I766" s="121" t="n"/>
      <c r="J766" s="122">
        <f>IF($A766="","",$B766+$C766+$D766-$E766+$F766-$G766)</f>
        <v/>
      </c>
      <c r="K766" s="122">
        <f>IF($A766="","",MAX(0,$B766-$J766))</f>
        <v/>
      </c>
      <c r="L766" s="123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</row>
    <row r="767" ht="15" customHeight="1" s="80">
      <c r="A767" s="125" t="n"/>
      <c r="B767" s="121" t="n"/>
      <c r="C767" s="121" t="n"/>
      <c r="D767" s="121" t="n"/>
      <c r="E767" s="121" t="n"/>
      <c r="F767" s="121" t="n"/>
      <c r="G767" s="121" t="n"/>
      <c r="H767" s="121" t="n"/>
      <c r="I767" s="121" t="n"/>
      <c r="J767" s="122">
        <f>IF($A767="","",$B767+$C767+$D767-$E767+$F767-$G767)</f>
        <v/>
      </c>
      <c r="K767" s="122">
        <f>IF($A767="","",MAX(0,$B767-$J767))</f>
        <v/>
      </c>
      <c r="L767" s="123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</row>
    <row r="768" ht="15" customHeight="1" s="80">
      <c r="A768" s="125" t="n"/>
      <c r="B768" s="121" t="n"/>
      <c r="C768" s="121" t="n"/>
      <c r="D768" s="121" t="n"/>
      <c r="E768" s="121" t="n"/>
      <c r="F768" s="121" t="n"/>
      <c r="G768" s="121" t="n"/>
      <c r="H768" s="121" t="n"/>
      <c r="I768" s="121" t="n"/>
      <c r="J768" s="122">
        <f>IF($A768="","",$B768+$C768+$D768-$E768+$F768-$G768)</f>
        <v/>
      </c>
      <c r="K768" s="122">
        <f>IF($A768="","",MAX(0,$B768-$J768))</f>
        <v/>
      </c>
      <c r="L768" s="123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</row>
    <row r="769" ht="15" customHeight="1" s="80">
      <c r="A769" s="125" t="n"/>
      <c r="B769" s="121" t="n"/>
      <c r="C769" s="121" t="n"/>
      <c r="D769" s="121" t="n"/>
      <c r="E769" s="121" t="n"/>
      <c r="F769" s="121" t="n"/>
      <c r="G769" s="121" t="n"/>
      <c r="H769" s="121" t="n"/>
      <c r="I769" s="121" t="n"/>
      <c r="J769" s="122">
        <f>IF($A769="","",$B769+$C769+$D769-$E769+$F769-$G769)</f>
        <v/>
      </c>
      <c r="K769" s="122">
        <f>IF($A769="","",MAX(0,$B769-$J769))</f>
        <v/>
      </c>
      <c r="L769" s="123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</row>
    <row r="770" ht="15" customHeight="1" s="80">
      <c r="A770" s="125" t="n"/>
      <c r="B770" s="121" t="n"/>
      <c r="C770" s="121" t="n"/>
      <c r="D770" s="121" t="n"/>
      <c r="E770" s="121" t="n"/>
      <c r="F770" s="121" t="n"/>
      <c r="G770" s="121" t="n"/>
      <c r="H770" s="121" t="n"/>
      <c r="I770" s="121" t="n"/>
      <c r="J770" s="122">
        <f>IF($A770="","",$B770+$C770+$D770-$E770+$F770-$G770)</f>
        <v/>
      </c>
      <c r="K770" s="122">
        <f>IF($A770="","",MAX(0,$B770-$J770))</f>
        <v/>
      </c>
      <c r="L770" s="123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</row>
    <row r="771" ht="15" customHeight="1" s="80">
      <c r="A771" s="125" t="n"/>
      <c r="B771" s="121" t="n"/>
      <c r="C771" s="121" t="n"/>
      <c r="D771" s="121" t="n"/>
      <c r="E771" s="121" t="n"/>
      <c r="F771" s="121" t="n"/>
      <c r="G771" s="121" t="n"/>
      <c r="H771" s="121" t="n"/>
      <c r="I771" s="121" t="n"/>
      <c r="J771" s="122">
        <f>IF($A771="","",$B771+$C771+$D771-$E771+$F771-$G771)</f>
        <v/>
      </c>
      <c r="K771" s="122">
        <f>IF($A771="","",MAX(0,$B771-$J771))</f>
        <v/>
      </c>
      <c r="L771" s="123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</row>
    <row r="772" ht="15" customHeight="1" s="80">
      <c r="A772" s="125" t="n"/>
      <c r="B772" s="121" t="n"/>
      <c r="C772" s="121" t="n"/>
      <c r="D772" s="121" t="n"/>
      <c r="E772" s="121" t="n"/>
      <c r="F772" s="121" t="n"/>
      <c r="G772" s="121" t="n"/>
      <c r="H772" s="121" t="n"/>
      <c r="I772" s="121" t="n"/>
      <c r="J772" s="122">
        <f>IF($A772="","",$B772+$C772+$D772-$E772+$F772-$G772)</f>
        <v/>
      </c>
      <c r="K772" s="122">
        <f>IF($A772="","",MAX(0,$B772-$J772))</f>
        <v/>
      </c>
      <c r="L772" s="123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</row>
    <row r="773" ht="15" customHeight="1" s="80">
      <c r="A773" s="125" t="n"/>
      <c r="B773" s="121" t="n"/>
      <c r="C773" s="121" t="n"/>
      <c r="D773" s="121" t="n"/>
      <c r="E773" s="121" t="n"/>
      <c r="F773" s="121" t="n"/>
      <c r="G773" s="121" t="n"/>
      <c r="H773" s="121" t="n"/>
      <c r="I773" s="121" t="n"/>
      <c r="J773" s="122">
        <f>IF($A773="","",$B773+$C773+$D773-$E773+$F773-$G773)</f>
        <v/>
      </c>
      <c r="K773" s="122">
        <f>IF($A773="","",MAX(0,$B773-$J773))</f>
        <v/>
      </c>
      <c r="L773" s="123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</row>
    <row r="774" ht="15" customHeight="1" s="80">
      <c r="A774" s="125" t="n"/>
      <c r="B774" s="121" t="n"/>
      <c r="C774" s="121" t="n"/>
      <c r="D774" s="121" t="n"/>
      <c r="E774" s="121" t="n"/>
      <c r="F774" s="121" t="n"/>
      <c r="G774" s="121" t="n"/>
      <c r="H774" s="121" t="n"/>
      <c r="I774" s="121" t="n"/>
      <c r="J774" s="122">
        <f>IF($A774="","",$B774+$C774+$D774-$E774+$F774-$G774)</f>
        <v/>
      </c>
      <c r="K774" s="122">
        <f>IF($A774="","",MAX(0,$B774-$J774))</f>
        <v/>
      </c>
      <c r="L774" s="123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</row>
    <row r="775" ht="15" customHeight="1" s="80">
      <c r="A775" s="125" t="n"/>
      <c r="B775" s="121" t="n"/>
      <c r="C775" s="121" t="n"/>
      <c r="D775" s="121" t="n"/>
      <c r="E775" s="121" t="n"/>
      <c r="F775" s="121" t="n"/>
      <c r="G775" s="121" t="n"/>
      <c r="H775" s="121" t="n"/>
      <c r="I775" s="121" t="n"/>
      <c r="J775" s="122">
        <f>IF($A775="","",$B775+$C775+$D775-$E775+$F775-$G775)</f>
        <v/>
      </c>
      <c r="K775" s="122">
        <f>IF($A775="","",MAX(0,$B775-$J775))</f>
        <v/>
      </c>
      <c r="L775" s="123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</row>
    <row r="776" ht="15" customHeight="1" s="80">
      <c r="A776" s="125" t="n"/>
      <c r="B776" s="121" t="n"/>
      <c r="C776" s="121" t="n"/>
      <c r="D776" s="121" t="n"/>
      <c r="E776" s="121" t="n"/>
      <c r="F776" s="121" t="n"/>
      <c r="G776" s="121" t="n"/>
      <c r="H776" s="121" t="n"/>
      <c r="I776" s="121" t="n"/>
      <c r="J776" s="122">
        <f>IF($A776="","",$B776+$C776+$D776-$E776+$F776-$G776)</f>
        <v/>
      </c>
      <c r="K776" s="122">
        <f>IF($A776="","",MAX(0,$B776-$J776))</f>
        <v/>
      </c>
      <c r="L776" s="123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</row>
    <row r="777" ht="15" customHeight="1" s="80">
      <c r="A777" s="125" t="n"/>
      <c r="B777" s="121" t="n"/>
      <c r="C777" s="121" t="n"/>
      <c r="D777" s="121" t="n"/>
      <c r="E777" s="121" t="n"/>
      <c r="F777" s="121" t="n"/>
      <c r="G777" s="121" t="n"/>
      <c r="H777" s="121" t="n"/>
      <c r="I777" s="121" t="n"/>
      <c r="J777" s="122">
        <f>IF($A777="","",$B777+$C777+$D777-$E777+$F777-$G777)</f>
        <v/>
      </c>
      <c r="K777" s="122">
        <f>IF($A777="","",MAX(0,$B777-$J777))</f>
        <v/>
      </c>
      <c r="L777" s="123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</row>
    <row r="778" ht="15" customHeight="1" s="80">
      <c r="A778" s="125" t="n"/>
      <c r="B778" s="121" t="n"/>
      <c r="C778" s="121" t="n"/>
      <c r="D778" s="121" t="n"/>
      <c r="E778" s="121" t="n"/>
      <c r="F778" s="121" t="n"/>
      <c r="G778" s="121" t="n"/>
      <c r="H778" s="121" t="n"/>
      <c r="I778" s="121" t="n"/>
      <c r="J778" s="122">
        <f>IF($A778="","",$B778+$C778+$D778-$E778+$F778-$G778)</f>
        <v/>
      </c>
      <c r="K778" s="122">
        <f>IF($A778="","",MAX(0,$B778-$J778))</f>
        <v/>
      </c>
      <c r="L778" s="123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</row>
    <row r="779" ht="15" customHeight="1" s="80">
      <c r="A779" s="125" t="n"/>
      <c r="B779" s="121" t="n"/>
      <c r="C779" s="121" t="n"/>
      <c r="D779" s="121" t="n"/>
      <c r="E779" s="121" t="n"/>
      <c r="F779" s="121" t="n"/>
      <c r="G779" s="121" t="n"/>
      <c r="H779" s="121" t="n"/>
      <c r="I779" s="121" t="n"/>
      <c r="J779" s="122">
        <f>IF($A779="","",$B779+$C779+$D779-$E779+$F779-$G779)</f>
        <v/>
      </c>
      <c r="K779" s="122">
        <f>IF($A779="","",MAX(0,$B779-$J779))</f>
        <v/>
      </c>
      <c r="L779" s="123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</row>
    <row r="780" ht="15" customHeight="1" s="80">
      <c r="A780" s="125" t="n"/>
      <c r="B780" s="121" t="n"/>
      <c r="C780" s="121" t="n"/>
      <c r="D780" s="121" t="n"/>
      <c r="E780" s="121" t="n"/>
      <c r="F780" s="121" t="n"/>
      <c r="G780" s="121" t="n"/>
      <c r="H780" s="121" t="n"/>
      <c r="I780" s="121" t="n"/>
      <c r="J780" s="122">
        <f>IF($A780="","",$B780+$C780+$D780-$E780+$F780-$G780)</f>
        <v/>
      </c>
      <c r="K780" s="122">
        <f>IF($A780="","",MAX(0,$B780-$J780))</f>
        <v/>
      </c>
      <c r="L780" s="123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</row>
    <row r="781" ht="15" customHeight="1" s="80">
      <c r="A781" s="125" t="n"/>
      <c r="B781" s="121" t="n"/>
      <c r="C781" s="121" t="n"/>
      <c r="D781" s="121" t="n"/>
      <c r="E781" s="121" t="n"/>
      <c r="F781" s="121" t="n"/>
      <c r="G781" s="121" t="n"/>
      <c r="H781" s="121" t="n"/>
      <c r="I781" s="121" t="n"/>
      <c r="J781" s="122">
        <f>IF($A781="","",$B781+$C781+$D781-$E781+$F781-$G781)</f>
        <v/>
      </c>
      <c r="K781" s="122">
        <f>IF($A781="","",MAX(0,$B781-$J781))</f>
        <v/>
      </c>
      <c r="L781" s="123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</row>
    <row r="782" ht="15" customHeight="1" s="80">
      <c r="A782" s="125" t="n"/>
      <c r="B782" s="121" t="n"/>
      <c r="C782" s="121" t="n"/>
      <c r="D782" s="121" t="n"/>
      <c r="E782" s="121" t="n"/>
      <c r="F782" s="121" t="n"/>
      <c r="G782" s="121" t="n"/>
      <c r="H782" s="121" t="n"/>
      <c r="I782" s="121" t="n"/>
      <c r="J782" s="122">
        <f>IF($A782="","",$B782+$C782+$D782-$E782+$F782-$G782)</f>
        <v/>
      </c>
      <c r="K782" s="122">
        <f>IF($A782="","",MAX(0,$B782-$J782))</f>
        <v/>
      </c>
      <c r="L782" s="123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</row>
    <row r="783" ht="15" customHeight="1" s="80">
      <c r="A783" s="125" t="n"/>
      <c r="B783" s="121" t="n"/>
      <c r="C783" s="121" t="n"/>
      <c r="D783" s="121" t="n"/>
      <c r="E783" s="121" t="n"/>
      <c r="F783" s="121" t="n"/>
      <c r="G783" s="121" t="n"/>
      <c r="H783" s="121" t="n"/>
      <c r="I783" s="121" t="n"/>
      <c r="J783" s="122">
        <f>IF($A783="","",$B783+$C783+$D783-$E783+$F783-$G783)</f>
        <v/>
      </c>
      <c r="K783" s="122">
        <f>IF($A783="","",MAX(0,$B783-$J783))</f>
        <v/>
      </c>
      <c r="L783" s="123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</row>
    <row r="784" ht="15" customHeight="1" s="80">
      <c r="A784" s="125" t="n"/>
      <c r="B784" s="121" t="n"/>
      <c r="C784" s="121" t="n"/>
      <c r="D784" s="121" t="n"/>
      <c r="E784" s="121" t="n"/>
      <c r="F784" s="121" t="n"/>
      <c r="G784" s="121" t="n"/>
      <c r="H784" s="121" t="n"/>
      <c r="I784" s="121" t="n"/>
      <c r="J784" s="122">
        <f>IF($A784="","",$B784+$C784+$D784-$E784+$F784-$G784)</f>
        <v/>
      </c>
      <c r="K784" s="122">
        <f>IF($A784="","",MAX(0,$B784-$J784))</f>
        <v/>
      </c>
      <c r="L784" s="123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</row>
    <row r="785" ht="15" customHeight="1" s="80">
      <c r="A785" s="125" t="n"/>
      <c r="B785" s="121" t="n"/>
      <c r="C785" s="121" t="n"/>
      <c r="D785" s="121" t="n"/>
      <c r="E785" s="121" t="n"/>
      <c r="F785" s="121" t="n"/>
      <c r="G785" s="121" t="n"/>
      <c r="H785" s="121" t="n"/>
      <c r="I785" s="121" t="n"/>
      <c r="J785" s="122">
        <f>IF($A785="","",$B785+$C785+$D785-$E785+$F785-$G785)</f>
        <v/>
      </c>
      <c r="K785" s="122">
        <f>IF($A785="","",MAX(0,$B785-$J785))</f>
        <v/>
      </c>
      <c r="L785" s="123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</row>
    <row r="786" ht="15" customHeight="1" s="80">
      <c r="A786" s="125" t="n"/>
      <c r="B786" s="121" t="n"/>
      <c r="C786" s="121" t="n"/>
      <c r="D786" s="121" t="n"/>
      <c r="E786" s="121" t="n"/>
      <c r="F786" s="121" t="n"/>
      <c r="G786" s="121" t="n"/>
      <c r="H786" s="121" t="n"/>
      <c r="I786" s="121" t="n"/>
      <c r="J786" s="122">
        <f>IF($A786="","",$B786+$C786+$D786-$E786+$F786-$G786)</f>
        <v/>
      </c>
      <c r="K786" s="122">
        <f>IF($A786="","",MAX(0,$B786-$J786))</f>
        <v/>
      </c>
      <c r="L786" s="123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</row>
    <row r="787" ht="15" customHeight="1" s="80">
      <c r="A787" s="125" t="n"/>
      <c r="B787" s="121" t="n"/>
      <c r="C787" s="121" t="n"/>
      <c r="D787" s="121" t="n"/>
      <c r="E787" s="121" t="n"/>
      <c r="F787" s="121" t="n"/>
      <c r="G787" s="121" t="n"/>
      <c r="H787" s="121" t="n"/>
      <c r="I787" s="121" t="n"/>
      <c r="J787" s="122">
        <f>IF($A787="","",$B787+$C787+$D787-$E787+$F787-$G787)</f>
        <v/>
      </c>
      <c r="K787" s="122">
        <f>IF($A787="","",MAX(0,$B787-$J787))</f>
        <v/>
      </c>
      <c r="L787" s="123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</row>
    <row r="788" ht="15" customHeight="1" s="80">
      <c r="A788" s="125" t="n"/>
      <c r="B788" s="121" t="n"/>
      <c r="C788" s="121" t="n"/>
      <c r="D788" s="121" t="n"/>
      <c r="E788" s="121" t="n"/>
      <c r="F788" s="121" t="n"/>
      <c r="G788" s="121" t="n"/>
      <c r="H788" s="121" t="n"/>
      <c r="I788" s="121" t="n"/>
      <c r="J788" s="122">
        <f>IF($A788="","",$B788+$C788+$D788-$E788+$F788-$G788)</f>
        <v/>
      </c>
      <c r="K788" s="122">
        <f>IF($A788="","",MAX(0,$B788-$J788))</f>
        <v/>
      </c>
      <c r="L788" s="123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</row>
    <row r="789" ht="15" customHeight="1" s="80">
      <c r="A789" s="125" t="n"/>
      <c r="B789" s="121" t="n"/>
      <c r="C789" s="121" t="n"/>
      <c r="D789" s="121" t="n"/>
      <c r="E789" s="121" t="n"/>
      <c r="F789" s="121" t="n"/>
      <c r="G789" s="121" t="n"/>
      <c r="H789" s="121" t="n"/>
      <c r="I789" s="121" t="n"/>
      <c r="J789" s="122">
        <f>IF($A789="","",$B789+$C789+$D789-$E789+$F789-$G789)</f>
        <v/>
      </c>
      <c r="K789" s="122">
        <f>IF($A789="","",MAX(0,$B789-$J789))</f>
        <v/>
      </c>
      <c r="L789" s="123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</row>
    <row r="790" ht="15" customHeight="1" s="80">
      <c r="A790" s="125" t="n"/>
      <c r="B790" s="121" t="n"/>
      <c r="C790" s="121" t="n"/>
      <c r="D790" s="121" t="n"/>
      <c r="E790" s="121" t="n"/>
      <c r="F790" s="121" t="n"/>
      <c r="G790" s="121" t="n"/>
      <c r="H790" s="121" t="n"/>
      <c r="I790" s="121" t="n"/>
      <c r="J790" s="122">
        <f>IF($A790="","",$B790+$C790+$D790-$E790+$F790-$G790)</f>
        <v/>
      </c>
      <c r="K790" s="122">
        <f>IF($A790="","",MAX(0,$B790-$J790))</f>
        <v/>
      </c>
      <c r="L790" s="123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</row>
    <row r="791" ht="15" customHeight="1" s="80">
      <c r="A791" s="125" t="n"/>
      <c r="B791" s="121" t="n"/>
      <c r="C791" s="121" t="n"/>
      <c r="D791" s="121" t="n"/>
      <c r="E791" s="121" t="n"/>
      <c r="F791" s="121" t="n"/>
      <c r="G791" s="121" t="n"/>
      <c r="H791" s="121" t="n"/>
      <c r="I791" s="121" t="n"/>
      <c r="J791" s="122">
        <f>IF($A791="","",$B791+$C791+$D791-$E791+$F791-$G791)</f>
        <v/>
      </c>
      <c r="K791" s="122">
        <f>IF($A791="","",MAX(0,$B791-$J791))</f>
        <v/>
      </c>
      <c r="L791" s="123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</row>
    <row r="792" ht="15" customHeight="1" s="80">
      <c r="A792" s="125" t="n"/>
      <c r="B792" s="121" t="n"/>
      <c r="C792" s="121" t="n"/>
      <c r="D792" s="121" t="n"/>
      <c r="E792" s="121" t="n"/>
      <c r="F792" s="121" t="n"/>
      <c r="G792" s="121" t="n"/>
      <c r="H792" s="121" t="n"/>
      <c r="I792" s="121" t="n"/>
      <c r="J792" s="122">
        <f>IF($A792="","",$B792+$C792+$D792-$E792+$F792-$G792)</f>
        <v/>
      </c>
      <c r="K792" s="122">
        <f>IF($A792="","",MAX(0,$B792-$J792))</f>
        <v/>
      </c>
      <c r="L792" s="123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</row>
    <row r="793" ht="15" customHeight="1" s="80">
      <c r="A793" s="125" t="n"/>
      <c r="B793" s="121" t="n"/>
      <c r="C793" s="121" t="n"/>
      <c r="D793" s="121" t="n"/>
      <c r="E793" s="121" t="n"/>
      <c r="F793" s="121" t="n"/>
      <c r="G793" s="121" t="n"/>
      <c r="H793" s="121" t="n"/>
      <c r="I793" s="121" t="n"/>
      <c r="J793" s="122">
        <f>IF($A793="","",$B793+$C793+$D793-$E793+$F793-$G793)</f>
        <v/>
      </c>
      <c r="K793" s="122">
        <f>IF($A793="","",MAX(0,$B793-$J793))</f>
        <v/>
      </c>
      <c r="L793" s="123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</row>
    <row r="794" ht="15" customHeight="1" s="80">
      <c r="A794" s="125" t="n"/>
      <c r="B794" s="121" t="n"/>
      <c r="C794" s="121" t="n"/>
      <c r="D794" s="121" t="n"/>
      <c r="E794" s="121" t="n"/>
      <c r="F794" s="121" t="n"/>
      <c r="G794" s="121" t="n"/>
      <c r="H794" s="121" t="n"/>
      <c r="I794" s="121" t="n"/>
      <c r="J794" s="122">
        <f>IF($A794="","",$B794+$C794+$D794-$E794+$F794-$G794)</f>
        <v/>
      </c>
      <c r="K794" s="122">
        <f>IF($A794="","",MAX(0,$B794-$J794))</f>
        <v/>
      </c>
      <c r="L794" s="123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</row>
    <row r="795" ht="15" customHeight="1" s="80">
      <c r="A795" s="125" t="n"/>
      <c r="B795" s="121" t="n"/>
      <c r="C795" s="121" t="n"/>
      <c r="D795" s="121" t="n"/>
      <c r="E795" s="121" t="n"/>
      <c r="F795" s="121" t="n"/>
      <c r="G795" s="121" t="n"/>
      <c r="H795" s="121" t="n"/>
      <c r="I795" s="121" t="n"/>
      <c r="J795" s="122">
        <f>IF($A795="","",$B795+$C795+$D795-$E795+$F795-$G795)</f>
        <v/>
      </c>
      <c r="K795" s="122">
        <f>IF($A795="","",MAX(0,$B795-$J795))</f>
        <v/>
      </c>
      <c r="L795" s="123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</row>
    <row r="796" ht="15" customHeight="1" s="80">
      <c r="A796" s="125" t="n"/>
      <c r="B796" s="121" t="n"/>
      <c r="C796" s="121" t="n"/>
      <c r="D796" s="121" t="n"/>
      <c r="E796" s="121" t="n"/>
      <c r="F796" s="121" t="n"/>
      <c r="G796" s="121" t="n"/>
      <c r="H796" s="121" t="n"/>
      <c r="I796" s="121" t="n"/>
      <c r="J796" s="122">
        <f>IF($A796="","",$B796+$C796+$D796-$E796+$F796-$G796)</f>
        <v/>
      </c>
      <c r="K796" s="122">
        <f>IF($A796="","",MAX(0,$B796-$J796))</f>
        <v/>
      </c>
      <c r="L796" s="123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</row>
    <row r="797" ht="15" customHeight="1" s="80">
      <c r="A797" s="125" t="n"/>
      <c r="B797" s="121" t="n"/>
      <c r="C797" s="121" t="n"/>
      <c r="D797" s="121" t="n"/>
      <c r="E797" s="121" t="n"/>
      <c r="F797" s="121" t="n"/>
      <c r="G797" s="121" t="n"/>
      <c r="H797" s="121" t="n"/>
      <c r="I797" s="121" t="n"/>
      <c r="J797" s="122">
        <f>IF($A797="","",$B797+$C797+$D797-$E797+$F797-$G797)</f>
        <v/>
      </c>
      <c r="K797" s="122">
        <f>IF($A797="","",MAX(0,$B797-$J797))</f>
        <v/>
      </c>
      <c r="L797" s="123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</row>
    <row r="798" ht="15" customHeight="1" s="80">
      <c r="A798" s="125" t="n"/>
      <c r="B798" s="121" t="n"/>
      <c r="C798" s="121" t="n"/>
      <c r="D798" s="121" t="n"/>
      <c r="E798" s="121" t="n"/>
      <c r="F798" s="121" t="n"/>
      <c r="G798" s="121" t="n"/>
      <c r="H798" s="121" t="n"/>
      <c r="I798" s="121" t="n"/>
      <c r="J798" s="122">
        <f>IF($A798="","",$B798+$C798+$D798-$E798+$F798-$G798)</f>
        <v/>
      </c>
      <c r="K798" s="122">
        <f>IF($A798="","",MAX(0,$B798-$J798))</f>
        <v/>
      </c>
      <c r="L798" s="123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</row>
    <row r="799" ht="15" customHeight="1" s="80">
      <c r="A799" s="125" t="n"/>
      <c r="B799" s="121" t="n"/>
      <c r="C799" s="121" t="n"/>
      <c r="D799" s="121" t="n"/>
      <c r="E799" s="121" t="n"/>
      <c r="F799" s="121" t="n"/>
      <c r="G799" s="121" t="n"/>
      <c r="H799" s="121" t="n"/>
      <c r="I799" s="121" t="n"/>
      <c r="J799" s="122">
        <f>IF($A799="","",$B799+$C799+$D799-$E799+$F799-$G799)</f>
        <v/>
      </c>
      <c r="K799" s="122">
        <f>IF($A799="","",MAX(0,$B799-$J799))</f>
        <v/>
      </c>
      <c r="L799" s="123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</row>
    <row r="800" ht="15" customHeight="1" s="80">
      <c r="A800" s="125" t="n"/>
      <c r="B800" s="121" t="n"/>
      <c r="C800" s="121" t="n"/>
      <c r="D800" s="121" t="n"/>
      <c r="E800" s="121" t="n"/>
      <c r="F800" s="121" t="n"/>
      <c r="G800" s="121" t="n"/>
      <c r="H800" s="121" t="n"/>
      <c r="I800" s="121" t="n"/>
      <c r="J800" s="122">
        <f>IF($A800="","",$B800+$C800+$D800-$E800+$F800-$G800)</f>
        <v/>
      </c>
      <c r="K800" s="122">
        <f>IF($A800="","",MAX(0,$B800-$J800))</f>
        <v/>
      </c>
      <c r="L800" s="123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</row>
    <row r="801" ht="15" customHeight="1" s="80">
      <c r="A801" s="125" t="n"/>
      <c r="B801" s="121" t="n"/>
      <c r="C801" s="121" t="n"/>
      <c r="D801" s="121" t="n"/>
      <c r="E801" s="121" t="n"/>
      <c r="F801" s="121" t="n"/>
      <c r="G801" s="121" t="n"/>
      <c r="H801" s="121" t="n"/>
      <c r="I801" s="121" t="n"/>
      <c r="J801" s="122">
        <f>IF($A801="","",$B801+$C801+$D801-$E801+$F801-$G801)</f>
        <v/>
      </c>
      <c r="K801" s="122">
        <f>IF($A801="","",MAX(0,$B801-$J801))</f>
        <v/>
      </c>
      <c r="L801" s="123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</row>
    <row r="802" ht="15" customHeight="1" s="80">
      <c r="A802" s="125" t="n"/>
      <c r="B802" s="121" t="n"/>
      <c r="C802" s="121" t="n"/>
      <c r="D802" s="121" t="n"/>
      <c r="E802" s="121" t="n"/>
      <c r="F802" s="121" t="n"/>
      <c r="G802" s="121" t="n"/>
      <c r="H802" s="121" t="n"/>
      <c r="I802" s="121" t="n"/>
      <c r="J802" s="122">
        <f>IF($A802="","",$B802+$C802+$D802-$E802+$F802-$G802)</f>
        <v/>
      </c>
      <c r="K802" s="122">
        <f>IF($A802="","",MAX(0,$B802-$J802))</f>
        <v/>
      </c>
      <c r="L802" s="123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</row>
    <row r="803" ht="15" customHeight="1" s="80">
      <c r="A803" s="125" t="n"/>
      <c r="B803" s="121" t="n"/>
      <c r="C803" s="121" t="n"/>
      <c r="D803" s="121" t="n"/>
      <c r="E803" s="121" t="n"/>
      <c r="F803" s="121" t="n"/>
      <c r="G803" s="121" t="n"/>
      <c r="H803" s="121" t="n"/>
      <c r="I803" s="121" t="n"/>
      <c r="J803" s="122">
        <f>IF($A803="","",$B803+$C803+$D803-$E803+$F803-$G803)</f>
        <v/>
      </c>
      <c r="K803" s="122">
        <f>IF($A803="","",MAX(0,$B803-$J803))</f>
        <v/>
      </c>
      <c r="L803" s="123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</row>
    <row r="804" ht="15" customHeight="1" s="80">
      <c r="A804" s="125" t="n"/>
      <c r="B804" s="121" t="n"/>
      <c r="C804" s="121" t="n"/>
      <c r="D804" s="121" t="n"/>
      <c r="E804" s="121" t="n"/>
      <c r="F804" s="121" t="n"/>
      <c r="G804" s="121" t="n"/>
      <c r="H804" s="121" t="n"/>
      <c r="I804" s="121" t="n"/>
      <c r="J804" s="122">
        <f>IF($A804="","",$B804+$C804+$D804-$E804+$F804-$G804)</f>
        <v/>
      </c>
      <c r="K804" s="122">
        <f>IF($A804="","",MAX(0,$B804-$J804))</f>
        <v/>
      </c>
      <c r="L804" s="123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</row>
    <row r="805" ht="15" customHeight="1" s="80">
      <c r="A805" s="125" t="n"/>
      <c r="B805" s="121" t="n"/>
      <c r="C805" s="121" t="n"/>
      <c r="D805" s="121" t="n"/>
      <c r="E805" s="121" t="n"/>
      <c r="F805" s="121" t="n"/>
      <c r="G805" s="121" t="n"/>
      <c r="H805" s="121" t="n"/>
      <c r="I805" s="121" t="n"/>
      <c r="J805" s="122">
        <f>IF($A805="","",$B805+$C805+$D805-$E805+$F805-$G805)</f>
        <v/>
      </c>
      <c r="K805" s="122">
        <f>IF($A805="","",MAX(0,$B805-$J805))</f>
        <v/>
      </c>
      <c r="L805" s="123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</row>
    <row r="806" ht="15" customHeight="1" s="80">
      <c r="A806" s="125" t="n"/>
      <c r="B806" s="121" t="n"/>
      <c r="C806" s="121" t="n"/>
      <c r="D806" s="121" t="n"/>
      <c r="E806" s="121" t="n"/>
      <c r="F806" s="121" t="n"/>
      <c r="G806" s="121" t="n"/>
      <c r="H806" s="121" t="n"/>
      <c r="I806" s="121" t="n"/>
      <c r="J806" s="122">
        <f>IF($A806="","",$B806+$C806+$D806-$E806+$F806-$G806)</f>
        <v/>
      </c>
      <c r="K806" s="122">
        <f>IF($A806="","",MAX(0,$B806-$J806))</f>
        <v/>
      </c>
      <c r="L806" s="123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</row>
    <row r="807" ht="15" customHeight="1" s="80">
      <c r="A807" s="125" t="n"/>
      <c r="B807" s="121" t="n"/>
      <c r="C807" s="121" t="n"/>
      <c r="D807" s="121" t="n"/>
      <c r="E807" s="121" t="n"/>
      <c r="F807" s="121" t="n"/>
      <c r="G807" s="121" t="n"/>
      <c r="H807" s="121" t="n"/>
      <c r="I807" s="121" t="n"/>
      <c r="J807" s="122">
        <f>IF($A807="","",$B807+$C807+$D807-$E807+$F807-$G807)</f>
        <v/>
      </c>
      <c r="K807" s="122">
        <f>IF($A807="","",MAX(0,$B807-$J807))</f>
        <v/>
      </c>
      <c r="L807" s="123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</row>
    <row r="808" ht="15" customHeight="1" s="80">
      <c r="A808" s="125" t="n"/>
      <c r="B808" s="121" t="n"/>
      <c r="C808" s="121" t="n"/>
      <c r="D808" s="121" t="n"/>
      <c r="E808" s="121" t="n"/>
      <c r="F808" s="121" t="n"/>
      <c r="G808" s="121" t="n"/>
      <c r="H808" s="121" t="n"/>
      <c r="I808" s="121" t="n"/>
      <c r="J808" s="122">
        <f>IF($A808="","",$B808+$C808+$D808-$E808+$F808-$G808)</f>
        <v/>
      </c>
      <c r="K808" s="122">
        <f>IF($A808="","",MAX(0,$B808-$J808))</f>
        <v/>
      </c>
      <c r="L808" s="123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</row>
    <row r="809" ht="15" customHeight="1" s="80">
      <c r="A809" s="125" t="n"/>
      <c r="B809" s="121" t="n"/>
      <c r="C809" s="121" t="n"/>
      <c r="D809" s="121" t="n"/>
      <c r="E809" s="121" t="n"/>
      <c r="F809" s="121" t="n"/>
      <c r="G809" s="121" t="n"/>
      <c r="H809" s="121" t="n"/>
      <c r="I809" s="121" t="n"/>
      <c r="J809" s="122">
        <f>IF($A809="","",$B809+$C809+$D809-$E809+$F809-$G809)</f>
        <v/>
      </c>
      <c r="K809" s="122">
        <f>IF($A809="","",MAX(0,$B809-$J809))</f>
        <v/>
      </c>
      <c r="L809" s="123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</row>
    <row r="810" ht="15" customHeight="1" s="80">
      <c r="A810" s="125" t="n"/>
      <c r="B810" s="121" t="n"/>
      <c r="C810" s="121" t="n"/>
      <c r="D810" s="121" t="n"/>
      <c r="E810" s="121" t="n"/>
      <c r="F810" s="121" t="n"/>
      <c r="G810" s="121" t="n"/>
      <c r="H810" s="121" t="n"/>
      <c r="I810" s="121" t="n"/>
      <c r="J810" s="122">
        <f>IF($A810="","",$B810+$C810+$D810-$E810+$F810-$G810)</f>
        <v/>
      </c>
      <c r="K810" s="122">
        <f>IF($A810="","",MAX(0,$B810-$J810))</f>
        <v/>
      </c>
      <c r="L810" s="123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</row>
    <row r="811" ht="15" customHeight="1" s="80">
      <c r="A811" s="125" t="n"/>
      <c r="B811" s="121" t="n"/>
      <c r="C811" s="121" t="n"/>
      <c r="D811" s="121" t="n"/>
      <c r="E811" s="121" t="n"/>
      <c r="F811" s="121" t="n"/>
      <c r="G811" s="121" t="n"/>
      <c r="H811" s="121" t="n"/>
      <c r="I811" s="121" t="n"/>
      <c r="J811" s="122">
        <f>IF($A811="","",$B811+$C811+$D811-$E811+$F811-$G811)</f>
        <v/>
      </c>
      <c r="K811" s="122">
        <f>IF($A811="","",MAX(0,$B811-$J811))</f>
        <v/>
      </c>
      <c r="L811" s="123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</row>
    <row r="812" ht="15" customHeight="1" s="80">
      <c r="A812" s="125" t="n"/>
      <c r="B812" s="121" t="n"/>
      <c r="C812" s="121" t="n"/>
      <c r="D812" s="121" t="n"/>
      <c r="E812" s="121" t="n"/>
      <c r="F812" s="121" t="n"/>
      <c r="G812" s="121" t="n"/>
      <c r="H812" s="121" t="n"/>
      <c r="I812" s="121" t="n"/>
      <c r="J812" s="122">
        <f>IF($A812="","",$B812+$C812+$D812-$E812+$F812-$G812)</f>
        <v/>
      </c>
      <c r="K812" s="122">
        <f>IF($A812="","",MAX(0,$B812-$J812))</f>
        <v/>
      </c>
      <c r="L812" s="123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</row>
    <row r="813" ht="15" customHeight="1" s="80">
      <c r="A813" s="125" t="n"/>
      <c r="B813" s="121" t="n"/>
      <c r="C813" s="121" t="n"/>
      <c r="D813" s="121" t="n"/>
      <c r="E813" s="121" t="n"/>
      <c r="F813" s="121" t="n"/>
      <c r="G813" s="121" t="n"/>
      <c r="H813" s="121" t="n"/>
      <c r="I813" s="121" t="n"/>
      <c r="J813" s="122">
        <f>IF($A813="","",$B813+$C813+$D813-$E813+$F813-$G813)</f>
        <v/>
      </c>
      <c r="K813" s="122">
        <f>IF($A813="","",MAX(0,$B813-$J813))</f>
        <v/>
      </c>
      <c r="L813" s="123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</row>
    <row r="814" ht="15" customHeight="1" s="80">
      <c r="A814" s="125" t="n"/>
      <c r="B814" s="121" t="n"/>
      <c r="C814" s="121" t="n"/>
      <c r="D814" s="121" t="n"/>
      <c r="E814" s="121" t="n"/>
      <c r="F814" s="121" t="n"/>
      <c r="G814" s="121" t="n"/>
      <c r="H814" s="121" t="n"/>
      <c r="I814" s="121" t="n"/>
      <c r="J814" s="122">
        <f>IF($A814="","",$B814+$C814+$D814-$E814+$F814-$G814)</f>
        <v/>
      </c>
      <c r="K814" s="122">
        <f>IF($A814="","",MAX(0,$B814-$J814))</f>
        <v/>
      </c>
      <c r="L814" s="123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</row>
    <row r="815" ht="15" customHeight="1" s="80">
      <c r="A815" s="125" t="n"/>
      <c r="B815" s="121" t="n"/>
      <c r="C815" s="121" t="n"/>
      <c r="D815" s="121" t="n"/>
      <c r="E815" s="121" t="n"/>
      <c r="F815" s="121" t="n"/>
      <c r="G815" s="121" t="n"/>
      <c r="H815" s="121" t="n"/>
      <c r="I815" s="121" t="n"/>
      <c r="J815" s="122">
        <f>IF($A815="","",$B815+$C815+$D815-$E815+$F815-$G815)</f>
        <v/>
      </c>
      <c r="K815" s="122">
        <f>IF($A815="","",MAX(0,$B815-$J815))</f>
        <v/>
      </c>
      <c r="L815" s="123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</row>
    <row r="816" ht="15" customHeight="1" s="80">
      <c r="A816" s="125" t="n"/>
      <c r="B816" s="121" t="n"/>
      <c r="C816" s="121" t="n"/>
      <c r="D816" s="121" t="n"/>
      <c r="E816" s="121" t="n"/>
      <c r="F816" s="121" t="n"/>
      <c r="G816" s="121" t="n"/>
      <c r="H816" s="121" t="n"/>
      <c r="I816" s="121" t="n"/>
      <c r="J816" s="122">
        <f>IF($A816="","",$B816+$C816+$D816-$E816+$F816-$G816)</f>
        <v/>
      </c>
      <c r="K816" s="122">
        <f>IF($A816="","",MAX(0,$B816-$J816))</f>
        <v/>
      </c>
      <c r="L816" s="123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</row>
    <row r="817" ht="15" customHeight="1" s="80">
      <c r="A817" s="125" t="n"/>
      <c r="B817" s="121" t="n"/>
      <c r="C817" s="121" t="n"/>
      <c r="D817" s="121" t="n"/>
      <c r="E817" s="121" t="n"/>
      <c r="F817" s="121" t="n"/>
      <c r="G817" s="121" t="n"/>
      <c r="H817" s="121" t="n"/>
      <c r="I817" s="121" t="n"/>
      <c r="J817" s="122">
        <f>IF($A817="","",$B817+$C817+$D817-$E817+$F817-$G817)</f>
        <v/>
      </c>
      <c r="K817" s="122">
        <f>IF($A817="","",MAX(0,$B817-$J817))</f>
        <v/>
      </c>
      <c r="L817" s="123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</row>
    <row r="818" ht="15" customHeight="1" s="80">
      <c r="A818" s="125" t="n"/>
      <c r="B818" s="121" t="n"/>
      <c r="C818" s="121" t="n"/>
      <c r="D818" s="121" t="n"/>
      <c r="E818" s="121" t="n"/>
      <c r="F818" s="121" t="n"/>
      <c r="G818" s="121" t="n"/>
      <c r="H818" s="121" t="n"/>
      <c r="I818" s="121" t="n"/>
      <c r="J818" s="122">
        <f>IF($A818="","",$B818+$C818+$D818-$E818+$F818-$G818)</f>
        <v/>
      </c>
      <c r="K818" s="122">
        <f>IF($A818="","",MAX(0,$B818-$J818))</f>
        <v/>
      </c>
      <c r="L818" s="123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</row>
    <row r="819" ht="15" customHeight="1" s="80">
      <c r="A819" s="125" t="n"/>
      <c r="B819" s="121" t="n"/>
      <c r="C819" s="121" t="n"/>
      <c r="D819" s="121" t="n"/>
      <c r="E819" s="121" t="n"/>
      <c r="F819" s="121" t="n"/>
      <c r="G819" s="121" t="n"/>
      <c r="H819" s="121" t="n"/>
      <c r="I819" s="121" t="n"/>
      <c r="J819" s="122">
        <f>IF($A819="","",$B819+$C819+$D819-$E819+$F819-$G819)</f>
        <v/>
      </c>
      <c r="K819" s="122">
        <f>IF($A819="","",MAX(0,$B819-$J819))</f>
        <v/>
      </c>
      <c r="L819" s="123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</row>
    <row r="820" ht="15" customHeight="1" s="80">
      <c r="A820" s="125" t="n"/>
      <c r="B820" s="121" t="n"/>
      <c r="C820" s="121" t="n"/>
      <c r="D820" s="121" t="n"/>
      <c r="E820" s="121" t="n"/>
      <c r="F820" s="121" t="n"/>
      <c r="G820" s="121" t="n"/>
      <c r="H820" s="121" t="n"/>
      <c r="I820" s="121" t="n"/>
      <c r="J820" s="122">
        <f>IF($A820="","",$B820+$C820+$D820-$E820+$F820-$G820)</f>
        <v/>
      </c>
      <c r="K820" s="122">
        <f>IF($A820="","",MAX(0,$B820-$J820))</f>
        <v/>
      </c>
      <c r="L820" s="123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</row>
    <row r="821" ht="15" customHeight="1" s="80">
      <c r="A821" s="125" t="n"/>
      <c r="B821" s="121" t="n"/>
      <c r="C821" s="121" t="n"/>
      <c r="D821" s="121" t="n"/>
      <c r="E821" s="121" t="n"/>
      <c r="F821" s="121" t="n"/>
      <c r="G821" s="121" t="n"/>
      <c r="H821" s="121" t="n"/>
      <c r="I821" s="121" t="n"/>
      <c r="J821" s="122">
        <f>IF($A821="","",$B821+$C821+$D821-$E821+$F821-$G821)</f>
        <v/>
      </c>
      <c r="K821" s="122">
        <f>IF($A821="","",MAX(0,$B821-$J821))</f>
        <v/>
      </c>
      <c r="L821" s="123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</row>
    <row r="822" ht="15" customHeight="1" s="80">
      <c r="A822" s="125" t="n"/>
      <c r="B822" s="121" t="n"/>
      <c r="C822" s="121" t="n"/>
      <c r="D822" s="121" t="n"/>
      <c r="E822" s="121" t="n"/>
      <c r="F822" s="121" t="n"/>
      <c r="G822" s="121" t="n"/>
      <c r="H822" s="121" t="n"/>
      <c r="I822" s="121" t="n"/>
      <c r="J822" s="122">
        <f>IF($A822="","",$B822+$C822+$D822-$E822+$F822-$G822)</f>
        <v/>
      </c>
      <c r="K822" s="122">
        <f>IF($A822="","",MAX(0,$B822-$J822))</f>
        <v/>
      </c>
      <c r="L822" s="123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</row>
    <row r="823" ht="15" customHeight="1" s="80">
      <c r="A823" s="125" t="n"/>
      <c r="B823" s="121" t="n"/>
      <c r="C823" s="121" t="n"/>
      <c r="D823" s="121" t="n"/>
      <c r="E823" s="121" t="n"/>
      <c r="F823" s="121" t="n"/>
      <c r="G823" s="121" t="n"/>
      <c r="H823" s="121" t="n"/>
      <c r="I823" s="121" t="n"/>
      <c r="J823" s="122">
        <f>IF($A823="","",$B823+$C823+$D823-$E823+$F823-$G823)</f>
        <v/>
      </c>
      <c r="K823" s="122">
        <f>IF($A823="","",MAX(0,$B823-$J823))</f>
        <v/>
      </c>
      <c r="L823" s="123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</row>
    <row r="824" ht="15" customHeight="1" s="80">
      <c r="A824" s="125" t="n"/>
      <c r="B824" s="121" t="n"/>
      <c r="C824" s="121" t="n"/>
      <c r="D824" s="121" t="n"/>
      <c r="E824" s="121" t="n"/>
      <c r="F824" s="121" t="n"/>
      <c r="G824" s="121" t="n"/>
      <c r="H824" s="121" t="n"/>
      <c r="I824" s="121" t="n"/>
      <c r="J824" s="122">
        <f>IF($A824="","",$B824+$C824+$D824-$E824+$F824-$G824)</f>
        <v/>
      </c>
      <c r="K824" s="122">
        <f>IF($A824="","",MAX(0,$B824-$J824))</f>
        <v/>
      </c>
      <c r="L824" s="123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</row>
    <row r="825" ht="15" customHeight="1" s="80">
      <c r="A825" s="125" t="n"/>
      <c r="B825" s="121" t="n"/>
      <c r="C825" s="121" t="n"/>
      <c r="D825" s="121" t="n"/>
      <c r="E825" s="121" t="n"/>
      <c r="F825" s="121" t="n"/>
      <c r="G825" s="121" t="n"/>
      <c r="H825" s="121" t="n"/>
      <c r="I825" s="121" t="n"/>
      <c r="J825" s="122">
        <f>IF($A825="","",$B825+$C825+$D825-$E825+$F825-$G825)</f>
        <v/>
      </c>
      <c r="K825" s="122">
        <f>IF($A825="","",MAX(0,$B825-$J825))</f>
        <v/>
      </c>
      <c r="L825" s="123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</row>
    <row r="826" ht="15" customHeight="1" s="80">
      <c r="A826" s="125" t="n"/>
      <c r="B826" s="121" t="n"/>
      <c r="C826" s="121" t="n"/>
      <c r="D826" s="121" t="n"/>
      <c r="E826" s="121" t="n"/>
      <c r="F826" s="121" t="n"/>
      <c r="G826" s="121" t="n"/>
      <c r="H826" s="121" t="n"/>
      <c r="I826" s="121" t="n"/>
      <c r="J826" s="122">
        <f>IF($A826="","",$B826+$C826+$D826-$E826+$F826-$G826)</f>
        <v/>
      </c>
      <c r="K826" s="122">
        <f>IF($A826="","",MAX(0,$B826-$J826))</f>
        <v/>
      </c>
      <c r="L826" s="123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</row>
    <row r="827" ht="15" customHeight="1" s="80">
      <c r="A827" s="125" t="n"/>
      <c r="B827" s="121" t="n"/>
      <c r="C827" s="121" t="n"/>
      <c r="D827" s="121" t="n"/>
      <c r="E827" s="121" t="n"/>
      <c r="F827" s="121" t="n"/>
      <c r="G827" s="121" t="n"/>
      <c r="H827" s="121" t="n"/>
      <c r="I827" s="121" t="n"/>
      <c r="J827" s="122">
        <f>IF($A827="","",$B827+$C827+$D827-$E827+$F827-$G827)</f>
        <v/>
      </c>
      <c r="K827" s="122">
        <f>IF($A827="","",MAX(0,$B827-$J827))</f>
        <v/>
      </c>
      <c r="L827" s="123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</row>
    <row r="828" ht="15" customHeight="1" s="80">
      <c r="A828" s="125" t="n"/>
      <c r="B828" s="121" t="n"/>
      <c r="C828" s="121" t="n"/>
      <c r="D828" s="121" t="n"/>
      <c r="E828" s="121" t="n"/>
      <c r="F828" s="121" t="n"/>
      <c r="G828" s="121" t="n"/>
      <c r="H828" s="121" t="n"/>
      <c r="I828" s="121" t="n"/>
      <c r="J828" s="122">
        <f>IF($A828="","",$B828+$C828+$D828-$E828+$F828-$G828)</f>
        <v/>
      </c>
      <c r="K828" s="122">
        <f>IF($A828="","",MAX(0,$B828-$J828))</f>
        <v/>
      </c>
      <c r="L828" s="123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</row>
    <row r="829" ht="15" customHeight="1" s="80">
      <c r="A829" s="125" t="n"/>
      <c r="B829" s="121" t="n"/>
      <c r="C829" s="121" t="n"/>
      <c r="D829" s="121" t="n"/>
      <c r="E829" s="121" t="n"/>
      <c r="F829" s="121" t="n"/>
      <c r="G829" s="121" t="n"/>
      <c r="H829" s="121" t="n"/>
      <c r="I829" s="121" t="n"/>
      <c r="J829" s="122">
        <f>IF($A829="","",$B829+$C829+$D829-$E829+$F829-$G829)</f>
        <v/>
      </c>
      <c r="K829" s="122">
        <f>IF($A829="","",MAX(0,$B829-$J829))</f>
        <v/>
      </c>
      <c r="L829" s="123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</row>
    <row r="830" ht="15" customHeight="1" s="80">
      <c r="A830" s="125" t="n"/>
      <c r="B830" s="121" t="n"/>
      <c r="C830" s="121" t="n"/>
      <c r="D830" s="121" t="n"/>
      <c r="E830" s="121" t="n"/>
      <c r="F830" s="121" t="n"/>
      <c r="G830" s="121" t="n"/>
      <c r="H830" s="121" t="n"/>
      <c r="I830" s="121" t="n"/>
      <c r="J830" s="122">
        <f>IF($A830="","",$B830+$C830+$D830-$E830+$F830-$G830)</f>
        <v/>
      </c>
      <c r="K830" s="122">
        <f>IF($A830="","",MAX(0,$B830-$J830))</f>
        <v/>
      </c>
      <c r="L830" s="123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</row>
    <row r="831" ht="15" customHeight="1" s="80">
      <c r="A831" s="125" t="n"/>
      <c r="B831" s="121" t="n"/>
      <c r="C831" s="121" t="n"/>
      <c r="D831" s="121" t="n"/>
      <c r="E831" s="121" t="n"/>
      <c r="F831" s="121" t="n"/>
      <c r="G831" s="121" t="n"/>
      <c r="H831" s="121" t="n"/>
      <c r="I831" s="121" t="n"/>
      <c r="J831" s="122">
        <f>IF($A831="","",$B831+$C831+$D831-$E831+$F831-$G831)</f>
        <v/>
      </c>
      <c r="K831" s="122">
        <f>IF($A831="","",MAX(0,$B831-$J831))</f>
        <v/>
      </c>
      <c r="L831" s="123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</row>
    <row r="832" ht="15" customHeight="1" s="80">
      <c r="A832" s="125" t="n"/>
      <c r="B832" s="121" t="n"/>
      <c r="C832" s="121" t="n"/>
      <c r="D832" s="121" t="n"/>
      <c r="E832" s="121" t="n"/>
      <c r="F832" s="121" t="n"/>
      <c r="G832" s="121" t="n"/>
      <c r="H832" s="121" t="n"/>
      <c r="I832" s="121" t="n"/>
      <c r="J832" s="122">
        <f>IF($A832="","",$B832+$C832+$D832-$E832+$F832-$G832)</f>
        <v/>
      </c>
      <c r="K832" s="122">
        <f>IF($A832="","",MAX(0,$B832-$J832))</f>
        <v/>
      </c>
      <c r="L832" s="123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</row>
    <row r="833" ht="15" customHeight="1" s="80">
      <c r="A833" s="125" t="n"/>
      <c r="B833" s="121" t="n"/>
      <c r="C833" s="121" t="n"/>
      <c r="D833" s="121" t="n"/>
      <c r="E833" s="121" t="n"/>
      <c r="F833" s="121" t="n"/>
      <c r="G833" s="121" t="n"/>
      <c r="H833" s="121" t="n"/>
      <c r="I833" s="121" t="n"/>
      <c r="J833" s="122">
        <f>IF($A833="","",$B833+$C833+$D833-$E833+$F833-$G833)</f>
        <v/>
      </c>
      <c r="K833" s="122">
        <f>IF($A833="","",MAX(0,$B833-$J833))</f>
        <v/>
      </c>
      <c r="L833" s="123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</row>
    <row r="834" ht="15" customHeight="1" s="80">
      <c r="A834" s="125" t="n"/>
      <c r="B834" s="121" t="n"/>
      <c r="C834" s="121" t="n"/>
      <c r="D834" s="121" t="n"/>
      <c r="E834" s="121" t="n"/>
      <c r="F834" s="121" t="n"/>
      <c r="G834" s="121" t="n"/>
      <c r="H834" s="121" t="n"/>
      <c r="I834" s="121" t="n"/>
      <c r="J834" s="122">
        <f>IF($A834="","",$B834+$C834+$D834-$E834+$F834-$G834)</f>
        <v/>
      </c>
      <c r="K834" s="122">
        <f>IF($A834="","",MAX(0,$B834-$J834))</f>
        <v/>
      </c>
      <c r="L834" s="123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</row>
    <row r="835" ht="15" customHeight="1" s="80">
      <c r="A835" s="125" t="n"/>
      <c r="B835" s="121" t="n"/>
      <c r="C835" s="121" t="n"/>
      <c r="D835" s="121" t="n"/>
      <c r="E835" s="121" t="n"/>
      <c r="F835" s="121" t="n"/>
      <c r="G835" s="121" t="n"/>
      <c r="H835" s="121" t="n"/>
      <c r="I835" s="121" t="n"/>
      <c r="J835" s="122">
        <f>IF($A835="","",$B835+$C835+$D835-$E835+$F835-$G835)</f>
        <v/>
      </c>
      <c r="K835" s="122">
        <f>IF($A835="","",MAX(0,$B835-$J835))</f>
        <v/>
      </c>
      <c r="L835" s="123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</row>
    <row r="836" ht="15" customHeight="1" s="80">
      <c r="A836" s="125" t="n"/>
      <c r="B836" s="121" t="n"/>
      <c r="C836" s="121" t="n"/>
      <c r="D836" s="121" t="n"/>
      <c r="E836" s="121" t="n"/>
      <c r="F836" s="121" t="n"/>
      <c r="G836" s="121" t="n"/>
      <c r="H836" s="121" t="n"/>
      <c r="I836" s="121" t="n"/>
      <c r="J836" s="122">
        <f>IF($A836="","",$B836+$C836+$D836-$E836+$F836-$G836)</f>
        <v/>
      </c>
      <c r="K836" s="122">
        <f>IF($A836="","",MAX(0,$B836-$J836))</f>
        <v/>
      </c>
      <c r="L836" s="123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</row>
    <row r="837" ht="15" customHeight="1" s="80">
      <c r="A837" s="125" t="n"/>
      <c r="B837" s="121" t="n"/>
      <c r="C837" s="121" t="n"/>
      <c r="D837" s="121" t="n"/>
      <c r="E837" s="121" t="n"/>
      <c r="F837" s="121" t="n"/>
      <c r="G837" s="121" t="n"/>
      <c r="H837" s="121" t="n"/>
      <c r="I837" s="121" t="n"/>
      <c r="J837" s="122">
        <f>IF($A837="","",$B837+$C837+$D837-$E837+$F837-$G837)</f>
        <v/>
      </c>
      <c r="K837" s="122">
        <f>IF($A837="","",MAX(0,$B837-$J837))</f>
        <v/>
      </c>
      <c r="L837" s="123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</row>
    <row r="838" ht="15" customHeight="1" s="80">
      <c r="A838" s="125" t="n"/>
      <c r="B838" s="121" t="n"/>
      <c r="C838" s="121" t="n"/>
      <c r="D838" s="121" t="n"/>
      <c r="E838" s="121" t="n"/>
      <c r="F838" s="121" t="n"/>
      <c r="G838" s="121" t="n"/>
      <c r="H838" s="121" t="n"/>
      <c r="I838" s="121" t="n"/>
      <c r="J838" s="122">
        <f>IF($A838="","",$B838+$C838+$D838-$E838+$F838-$G838)</f>
        <v/>
      </c>
      <c r="K838" s="122">
        <f>IF($A838="","",MAX(0,$B838-$J838))</f>
        <v/>
      </c>
      <c r="L838" s="123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</row>
    <row r="839" ht="15" customHeight="1" s="80">
      <c r="A839" s="125" t="n"/>
      <c r="B839" s="121" t="n"/>
      <c r="C839" s="121" t="n"/>
      <c r="D839" s="121" t="n"/>
      <c r="E839" s="121" t="n"/>
      <c r="F839" s="121" t="n"/>
      <c r="G839" s="121" t="n"/>
      <c r="H839" s="121" t="n"/>
      <c r="I839" s="121" t="n"/>
      <c r="J839" s="122">
        <f>IF($A839="","",$B839+$C839+$D839-$E839+$F839-$G839)</f>
        <v/>
      </c>
      <c r="K839" s="122">
        <f>IF($A839="","",MAX(0,$B839-$J839))</f>
        <v/>
      </c>
      <c r="L839" s="123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</row>
    <row r="840" ht="15" customHeight="1" s="80">
      <c r="A840" s="125" t="n"/>
      <c r="B840" s="121" t="n"/>
      <c r="C840" s="121" t="n"/>
      <c r="D840" s="121" t="n"/>
      <c r="E840" s="121" t="n"/>
      <c r="F840" s="121" t="n"/>
      <c r="G840" s="121" t="n"/>
      <c r="H840" s="121" t="n"/>
      <c r="I840" s="121" t="n"/>
      <c r="J840" s="122">
        <f>IF($A840="","",$B840+$C840+$D840-$E840+$F840-$G840)</f>
        <v/>
      </c>
      <c r="K840" s="122">
        <f>IF($A840="","",MAX(0,$B840-$J840))</f>
        <v/>
      </c>
      <c r="L840" s="123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</row>
    <row r="841" ht="15" customHeight="1" s="80">
      <c r="A841" s="125" t="n"/>
      <c r="B841" s="121" t="n"/>
      <c r="C841" s="121" t="n"/>
      <c r="D841" s="121" t="n"/>
      <c r="E841" s="121" t="n"/>
      <c r="F841" s="121" t="n"/>
      <c r="G841" s="121" t="n"/>
      <c r="H841" s="121" t="n"/>
      <c r="I841" s="121" t="n"/>
      <c r="J841" s="122">
        <f>IF($A841="","",$B841+$C841+$D841-$E841+$F841-$G841)</f>
        <v/>
      </c>
      <c r="K841" s="122">
        <f>IF($A841="","",MAX(0,$B841-$J841))</f>
        <v/>
      </c>
      <c r="L841" s="123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</row>
    <row r="842" ht="15" customHeight="1" s="80">
      <c r="A842" s="125" t="n"/>
      <c r="B842" s="121" t="n"/>
      <c r="C842" s="121" t="n"/>
      <c r="D842" s="121" t="n"/>
      <c r="E842" s="121" t="n"/>
      <c r="F842" s="121" t="n"/>
      <c r="G842" s="121" t="n"/>
      <c r="H842" s="121" t="n"/>
      <c r="I842" s="121" t="n"/>
      <c r="J842" s="122">
        <f>IF($A842="","",$B842+$C842+$D842-$E842+$F842-$G842)</f>
        <v/>
      </c>
      <c r="K842" s="122">
        <f>IF($A842="","",MAX(0,$B842-$J842))</f>
        <v/>
      </c>
      <c r="L842" s="123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</row>
    <row r="843" ht="15" customHeight="1" s="80">
      <c r="A843" s="125" t="n"/>
      <c r="B843" s="121" t="n"/>
      <c r="C843" s="121" t="n"/>
      <c r="D843" s="121" t="n"/>
      <c r="E843" s="121" t="n"/>
      <c r="F843" s="121" t="n"/>
      <c r="G843" s="121" t="n"/>
      <c r="H843" s="121" t="n"/>
      <c r="I843" s="121" t="n"/>
      <c r="J843" s="122">
        <f>IF($A843="","",$B843+$C843+$D843-$E843+$F843-$G843)</f>
        <v/>
      </c>
      <c r="K843" s="122">
        <f>IF($A843="","",MAX(0,$B843-$J843))</f>
        <v/>
      </c>
      <c r="L843" s="123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</row>
    <row r="844" ht="15" customHeight="1" s="80">
      <c r="A844" s="125" t="n"/>
      <c r="B844" s="121" t="n"/>
      <c r="C844" s="121" t="n"/>
      <c r="D844" s="121" t="n"/>
      <c r="E844" s="121" t="n"/>
      <c r="F844" s="121" t="n"/>
      <c r="G844" s="121" t="n"/>
      <c r="H844" s="121" t="n"/>
      <c r="I844" s="121" t="n"/>
      <c r="J844" s="122">
        <f>IF($A844="","",$B844+$C844+$D844-$E844+$F844-$G844)</f>
        <v/>
      </c>
      <c r="K844" s="122">
        <f>IF($A844="","",MAX(0,$B844-$J844))</f>
        <v/>
      </c>
      <c r="L844" s="123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</row>
    <row r="845" ht="15" customHeight="1" s="80">
      <c r="A845" s="125" t="n"/>
      <c r="B845" s="121" t="n"/>
      <c r="C845" s="121" t="n"/>
      <c r="D845" s="121" t="n"/>
      <c r="E845" s="121" t="n"/>
      <c r="F845" s="121" t="n"/>
      <c r="G845" s="121" t="n"/>
      <c r="H845" s="121" t="n"/>
      <c r="I845" s="121" t="n"/>
      <c r="J845" s="122">
        <f>IF($A845="","",$B845+$C845+$D845-$E845+$F845-$G845)</f>
        <v/>
      </c>
      <c r="K845" s="122">
        <f>IF($A845="","",MAX(0,$B845-$J845))</f>
        <v/>
      </c>
      <c r="L845" s="123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</row>
    <row r="846" ht="15" customHeight="1" s="80">
      <c r="A846" s="125" t="n"/>
      <c r="B846" s="121" t="n"/>
      <c r="C846" s="121" t="n"/>
      <c r="D846" s="121" t="n"/>
      <c r="E846" s="121" t="n"/>
      <c r="F846" s="121" t="n"/>
      <c r="G846" s="121" t="n"/>
      <c r="H846" s="121" t="n"/>
      <c r="I846" s="121" t="n"/>
      <c r="J846" s="122">
        <f>IF($A846="","",$B846+$C846+$D846-$E846+$F846-$G846)</f>
        <v/>
      </c>
      <c r="K846" s="122">
        <f>IF($A846="","",MAX(0,$B846-$J846))</f>
        <v/>
      </c>
      <c r="L846" s="123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</row>
    <row r="847" ht="15" customHeight="1" s="80">
      <c r="A847" s="125" t="n"/>
      <c r="B847" s="121" t="n"/>
      <c r="C847" s="121" t="n"/>
      <c r="D847" s="121" t="n"/>
      <c r="E847" s="121" t="n"/>
      <c r="F847" s="121" t="n"/>
      <c r="G847" s="121" t="n"/>
      <c r="H847" s="121" t="n"/>
      <c r="I847" s="121" t="n"/>
      <c r="J847" s="122">
        <f>IF($A847="","",$B847+$C847+$D847-$E847+$F847-$G847)</f>
        <v/>
      </c>
      <c r="K847" s="122">
        <f>IF($A847="","",MAX(0,$B847-$J847))</f>
        <v/>
      </c>
      <c r="L847" s="123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</row>
    <row r="848" ht="15" customHeight="1" s="80">
      <c r="A848" s="125" t="n"/>
      <c r="B848" s="121" t="n"/>
      <c r="C848" s="121" t="n"/>
      <c r="D848" s="121" t="n"/>
      <c r="E848" s="121" t="n"/>
      <c r="F848" s="121" t="n"/>
      <c r="G848" s="121" t="n"/>
      <c r="H848" s="121" t="n"/>
      <c r="I848" s="121" t="n"/>
      <c r="J848" s="122">
        <f>IF($A848="","",$B848+$C848+$D848-$E848+$F848-$G848)</f>
        <v/>
      </c>
      <c r="K848" s="122">
        <f>IF($A848="","",MAX(0,$B848-$J848))</f>
        <v/>
      </c>
      <c r="L848" s="123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</row>
    <row r="849" ht="15" customHeight="1" s="80">
      <c r="A849" s="125" t="n"/>
      <c r="B849" s="121" t="n"/>
      <c r="C849" s="121" t="n"/>
      <c r="D849" s="121" t="n"/>
      <c r="E849" s="121" t="n"/>
      <c r="F849" s="121" t="n"/>
      <c r="G849" s="121" t="n"/>
      <c r="H849" s="121" t="n"/>
      <c r="I849" s="121" t="n"/>
      <c r="J849" s="122">
        <f>IF($A849="","",$B849+$C849+$D849-$E849+$F849-$G849)</f>
        <v/>
      </c>
      <c r="K849" s="122">
        <f>IF($A849="","",MAX(0,$B849-$J849))</f>
        <v/>
      </c>
      <c r="L849" s="123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</row>
    <row r="850" ht="15" customHeight="1" s="80">
      <c r="A850" s="125" t="n"/>
      <c r="B850" s="121" t="n"/>
      <c r="C850" s="121" t="n"/>
      <c r="D850" s="121" t="n"/>
      <c r="E850" s="121" t="n"/>
      <c r="F850" s="121" t="n"/>
      <c r="G850" s="121" t="n"/>
      <c r="H850" s="121" t="n"/>
      <c r="I850" s="121" t="n"/>
      <c r="J850" s="122">
        <f>IF($A850="","",$B850+$C850+$D850-$E850+$F850-$G850)</f>
        <v/>
      </c>
      <c r="K850" s="122">
        <f>IF($A850="","",MAX(0,$B850-$J850))</f>
        <v/>
      </c>
      <c r="L850" s="123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</row>
    <row r="851" ht="15" customHeight="1" s="80">
      <c r="A851" s="125" t="n"/>
      <c r="B851" s="121" t="n"/>
      <c r="C851" s="121" t="n"/>
      <c r="D851" s="121" t="n"/>
      <c r="E851" s="121" t="n"/>
      <c r="F851" s="121" t="n"/>
      <c r="G851" s="121" t="n"/>
      <c r="H851" s="121" t="n"/>
      <c r="I851" s="121" t="n"/>
      <c r="J851" s="122">
        <f>IF($A851="","",$B851+$C851+$D851-$E851+$F851-$G851)</f>
        <v/>
      </c>
      <c r="K851" s="122">
        <f>IF($A851="","",MAX(0,$B851-$J851))</f>
        <v/>
      </c>
      <c r="L851" s="123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</row>
    <row r="852" ht="15" customHeight="1" s="80">
      <c r="A852" s="125" t="n"/>
      <c r="B852" s="121" t="n"/>
      <c r="C852" s="121" t="n"/>
      <c r="D852" s="121" t="n"/>
      <c r="E852" s="121" t="n"/>
      <c r="F852" s="121" t="n"/>
      <c r="G852" s="121" t="n"/>
      <c r="H852" s="121" t="n"/>
      <c r="I852" s="121" t="n"/>
      <c r="J852" s="122">
        <f>IF($A852="","",$B852+$C852+$D852-$E852+$F852-$G852)</f>
        <v/>
      </c>
      <c r="K852" s="122">
        <f>IF($A852="","",MAX(0,$B852-$J852))</f>
        <v/>
      </c>
      <c r="L852" s="123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</row>
    <row r="853" ht="15" customHeight="1" s="80">
      <c r="A853" s="125" t="n"/>
      <c r="B853" s="121" t="n"/>
      <c r="C853" s="121" t="n"/>
      <c r="D853" s="121" t="n"/>
      <c r="E853" s="121" t="n"/>
      <c r="F853" s="121" t="n"/>
      <c r="G853" s="121" t="n"/>
      <c r="H853" s="121" t="n"/>
      <c r="I853" s="121" t="n"/>
      <c r="J853" s="122">
        <f>IF($A853="","",$B853+$C853+$D853-$E853+$F853-$G853)</f>
        <v/>
      </c>
      <c r="K853" s="122">
        <f>IF($A853="","",MAX(0,$B853-$J853))</f>
        <v/>
      </c>
      <c r="L853" s="123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</row>
    <row r="854" ht="15" customHeight="1" s="80">
      <c r="A854" s="125" t="n"/>
      <c r="B854" s="121" t="n"/>
      <c r="C854" s="121" t="n"/>
      <c r="D854" s="121" t="n"/>
      <c r="E854" s="121" t="n"/>
      <c r="F854" s="121" t="n"/>
      <c r="G854" s="121" t="n"/>
      <c r="H854" s="121" t="n"/>
      <c r="I854" s="121" t="n"/>
      <c r="J854" s="122">
        <f>IF($A854="","",$B854+$C854+$D854-$E854+$F854-$G854)</f>
        <v/>
      </c>
      <c r="K854" s="122">
        <f>IF($A854="","",MAX(0,$B854-$J854))</f>
        <v/>
      </c>
      <c r="L854" s="123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</row>
    <row r="855" ht="15" customHeight="1" s="80">
      <c r="A855" s="125" t="n"/>
      <c r="B855" s="121" t="n"/>
      <c r="C855" s="121" t="n"/>
      <c r="D855" s="121" t="n"/>
      <c r="E855" s="121" t="n"/>
      <c r="F855" s="121" t="n"/>
      <c r="G855" s="121" t="n"/>
      <c r="H855" s="121" t="n"/>
      <c r="I855" s="121" t="n"/>
      <c r="J855" s="122">
        <f>IF($A855="","",$B855+$C855+$D855-$E855+$F855-$G855)</f>
        <v/>
      </c>
      <c r="K855" s="122">
        <f>IF($A855="","",MAX(0,$B855-$J855))</f>
        <v/>
      </c>
      <c r="L855" s="123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</row>
    <row r="856" ht="15" customHeight="1" s="80">
      <c r="A856" s="125" t="n"/>
      <c r="B856" s="121" t="n"/>
      <c r="C856" s="121" t="n"/>
      <c r="D856" s="121" t="n"/>
      <c r="E856" s="121" t="n"/>
      <c r="F856" s="121" t="n"/>
      <c r="G856" s="121" t="n"/>
      <c r="H856" s="121" t="n"/>
      <c r="I856" s="121" t="n"/>
      <c r="J856" s="122">
        <f>IF($A856="","",$B856+$C856+$D856-$E856+$F856-$G856)</f>
        <v/>
      </c>
      <c r="K856" s="122">
        <f>IF($A856="","",MAX(0,$B856-$J856))</f>
        <v/>
      </c>
      <c r="L856" s="123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</row>
    <row r="857" ht="15" customHeight="1" s="80">
      <c r="A857" s="125" t="n"/>
      <c r="B857" s="121" t="n"/>
      <c r="C857" s="121" t="n"/>
      <c r="D857" s="121" t="n"/>
      <c r="E857" s="121" t="n"/>
      <c r="F857" s="121" t="n"/>
      <c r="G857" s="121" t="n"/>
      <c r="H857" s="121" t="n"/>
      <c r="I857" s="121" t="n"/>
      <c r="J857" s="122">
        <f>IF($A857="","",$B857+$C857+$D857-$E857+$F857-$G857)</f>
        <v/>
      </c>
      <c r="K857" s="122">
        <f>IF($A857="","",MAX(0,$B857-$J857))</f>
        <v/>
      </c>
      <c r="L857" s="123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</row>
    <row r="858" ht="15" customHeight="1" s="80">
      <c r="A858" s="125" t="n"/>
      <c r="B858" s="121" t="n"/>
      <c r="C858" s="121" t="n"/>
      <c r="D858" s="121" t="n"/>
      <c r="E858" s="121" t="n"/>
      <c r="F858" s="121" t="n"/>
      <c r="G858" s="121" t="n"/>
      <c r="H858" s="121" t="n"/>
      <c r="I858" s="121" t="n"/>
      <c r="J858" s="122">
        <f>IF($A858="","",$B858+$C858+$D858-$E858+$F858-$G858)</f>
        <v/>
      </c>
      <c r="K858" s="122">
        <f>IF($A858="","",MAX(0,$B858-$J858))</f>
        <v/>
      </c>
      <c r="L858" s="123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</row>
    <row r="859" ht="15" customHeight="1" s="80">
      <c r="A859" s="125" t="n"/>
      <c r="B859" s="121" t="n"/>
      <c r="C859" s="121" t="n"/>
      <c r="D859" s="121" t="n"/>
      <c r="E859" s="121" t="n"/>
      <c r="F859" s="121" t="n"/>
      <c r="G859" s="121" t="n"/>
      <c r="H859" s="121" t="n"/>
      <c r="I859" s="121" t="n"/>
      <c r="J859" s="122">
        <f>IF($A859="","",$B859+$C859+$D859-$E859+$F859-$G859)</f>
        <v/>
      </c>
      <c r="K859" s="122">
        <f>IF($A859="","",MAX(0,$B859-$J859))</f>
        <v/>
      </c>
      <c r="L859" s="123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</row>
    <row r="860" ht="15" customHeight="1" s="80">
      <c r="A860" s="125" t="n"/>
      <c r="B860" s="121" t="n"/>
      <c r="C860" s="121" t="n"/>
      <c r="D860" s="121" t="n"/>
      <c r="E860" s="121" t="n"/>
      <c r="F860" s="121" t="n"/>
      <c r="G860" s="121" t="n"/>
      <c r="H860" s="121" t="n"/>
      <c r="I860" s="121" t="n"/>
      <c r="J860" s="122">
        <f>IF($A860="","",$B860+$C860+$D860-$E860+$F860-$G860)</f>
        <v/>
      </c>
      <c r="K860" s="122">
        <f>IF($A860="","",MAX(0,$B860-$J860))</f>
        <v/>
      </c>
      <c r="L860" s="123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</row>
    <row r="861" ht="15" customHeight="1" s="80">
      <c r="A861" s="125" t="n"/>
      <c r="B861" s="121" t="n"/>
      <c r="C861" s="121" t="n"/>
      <c r="D861" s="121" t="n"/>
      <c r="E861" s="121" t="n"/>
      <c r="F861" s="121" t="n"/>
      <c r="G861" s="121" t="n"/>
      <c r="H861" s="121" t="n"/>
      <c r="I861" s="121" t="n"/>
      <c r="J861" s="122">
        <f>IF($A861="","",$B861+$C861+$D861-$E861+$F861-$G861)</f>
        <v/>
      </c>
      <c r="K861" s="122">
        <f>IF($A861="","",MAX(0,$B861-$J861))</f>
        <v/>
      </c>
      <c r="L861" s="123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</row>
    <row r="862" ht="15" customHeight="1" s="80">
      <c r="A862" s="125" t="n"/>
      <c r="B862" s="121" t="n"/>
      <c r="C862" s="121" t="n"/>
      <c r="D862" s="121" t="n"/>
      <c r="E862" s="121" t="n"/>
      <c r="F862" s="121" t="n"/>
      <c r="G862" s="121" t="n"/>
      <c r="H862" s="121" t="n"/>
      <c r="I862" s="121" t="n"/>
      <c r="J862" s="122">
        <f>IF($A862="","",$B862+$C862+$D862-$E862+$F862-$G862)</f>
        <v/>
      </c>
      <c r="K862" s="122">
        <f>IF($A862="","",MAX(0,$B862-$J862))</f>
        <v/>
      </c>
      <c r="L862" s="123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</row>
    <row r="863" ht="15" customHeight="1" s="80">
      <c r="A863" s="125" t="n"/>
      <c r="B863" s="121" t="n"/>
      <c r="C863" s="121" t="n"/>
      <c r="D863" s="121" t="n"/>
      <c r="E863" s="121" t="n"/>
      <c r="F863" s="121" t="n"/>
      <c r="G863" s="121" t="n"/>
      <c r="H863" s="121" t="n"/>
      <c r="I863" s="121" t="n"/>
      <c r="J863" s="122">
        <f>IF($A863="","",$B863+$C863+$D863-$E863+$F863-$G863)</f>
        <v/>
      </c>
      <c r="K863" s="122">
        <f>IF($A863="","",MAX(0,$B863-$J863))</f>
        <v/>
      </c>
      <c r="L863" s="123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</row>
    <row r="864" ht="15" customHeight="1" s="80">
      <c r="A864" s="125" t="n"/>
      <c r="B864" s="121" t="n"/>
      <c r="C864" s="121" t="n"/>
      <c r="D864" s="121" t="n"/>
      <c r="E864" s="121" t="n"/>
      <c r="F864" s="121" t="n"/>
      <c r="G864" s="121" t="n"/>
      <c r="H864" s="121" t="n"/>
      <c r="I864" s="121" t="n"/>
      <c r="J864" s="122">
        <f>IF($A864="","",$B864+$C864+$D864-$E864+$F864-$G864)</f>
        <v/>
      </c>
      <c r="K864" s="122">
        <f>IF($A864="","",MAX(0,$B864-$J864))</f>
        <v/>
      </c>
      <c r="L864" s="123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</row>
    <row r="865" ht="15" customHeight="1" s="80">
      <c r="A865" s="125" t="n"/>
      <c r="B865" s="121" t="n"/>
      <c r="C865" s="121" t="n"/>
      <c r="D865" s="121" t="n"/>
      <c r="E865" s="121" t="n"/>
      <c r="F865" s="121" t="n"/>
      <c r="G865" s="121" t="n"/>
      <c r="H865" s="121" t="n"/>
      <c r="I865" s="121" t="n"/>
      <c r="J865" s="122">
        <f>IF($A865="","",$B865+$C865+$D865-$E865+$F865-$G865)</f>
        <v/>
      </c>
      <c r="K865" s="122">
        <f>IF($A865="","",MAX(0,$B865-$J865))</f>
        <v/>
      </c>
      <c r="L865" s="123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</row>
    <row r="866" ht="15" customHeight="1" s="80">
      <c r="A866" s="125" t="n"/>
      <c r="B866" s="121" t="n"/>
      <c r="C866" s="121" t="n"/>
      <c r="D866" s="121" t="n"/>
      <c r="E866" s="121" t="n"/>
      <c r="F866" s="121" t="n"/>
      <c r="G866" s="121" t="n"/>
      <c r="H866" s="121" t="n"/>
      <c r="I866" s="121" t="n"/>
      <c r="J866" s="122">
        <f>IF($A866="","",$B866+$C866+$D866-$E866+$F866-$G866)</f>
        <v/>
      </c>
      <c r="K866" s="122">
        <f>IF($A866="","",MAX(0,$B866-$J866))</f>
        <v/>
      </c>
      <c r="L866" s="123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</row>
    <row r="867" ht="15" customHeight="1" s="80">
      <c r="A867" s="125" t="n"/>
      <c r="B867" s="121" t="n"/>
      <c r="C867" s="121" t="n"/>
      <c r="D867" s="121" t="n"/>
      <c r="E867" s="121" t="n"/>
      <c r="F867" s="121" t="n"/>
      <c r="G867" s="121" t="n"/>
      <c r="H867" s="121" t="n"/>
      <c r="I867" s="121" t="n"/>
      <c r="J867" s="122">
        <f>IF($A867="","",$B867+$C867+$D867-$E867+$F867-$G867)</f>
        <v/>
      </c>
      <c r="K867" s="122">
        <f>IF($A867="","",MAX(0,$B867-$J867))</f>
        <v/>
      </c>
      <c r="L867" s="123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</row>
    <row r="868" ht="15" customHeight="1" s="80">
      <c r="A868" s="125" t="n"/>
      <c r="B868" s="121" t="n"/>
      <c r="C868" s="121" t="n"/>
      <c r="D868" s="121" t="n"/>
      <c r="E868" s="121" t="n"/>
      <c r="F868" s="121" t="n"/>
      <c r="G868" s="121" t="n"/>
      <c r="H868" s="121" t="n"/>
      <c r="I868" s="121" t="n"/>
      <c r="J868" s="122">
        <f>IF($A868="","",$B868+$C868+$D868-$E868+$F868-$G868)</f>
        <v/>
      </c>
      <c r="K868" s="122">
        <f>IF($A868="","",MAX(0,$B868-$J868))</f>
        <v/>
      </c>
      <c r="L868" s="123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</row>
    <row r="869" ht="15" customHeight="1" s="80">
      <c r="A869" s="125" t="n"/>
      <c r="B869" s="121" t="n"/>
      <c r="C869" s="121" t="n"/>
      <c r="D869" s="121" t="n"/>
      <c r="E869" s="121" t="n"/>
      <c r="F869" s="121" t="n"/>
      <c r="G869" s="121" t="n"/>
      <c r="H869" s="121" t="n"/>
      <c r="I869" s="121" t="n"/>
      <c r="J869" s="122">
        <f>IF($A869="","",$B869+$C869+$D869-$E869+$F869-$G869)</f>
        <v/>
      </c>
      <c r="K869" s="122">
        <f>IF($A869="","",MAX(0,$B869-$J869))</f>
        <v/>
      </c>
      <c r="L869" s="123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</row>
    <row r="870" ht="15" customHeight="1" s="80">
      <c r="A870" s="125" t="n"/>
      <c r="B870" s="121" t="n"/>
      <c r="C870" s="121" t="n"/>
      <c r="D870" s="121" t="n"/>
      <c r="E870" s="121" t="n"/>
      <c r="F870" s="121" t="n"/>
      <c r="G870" s="121" t="n"/>
      <c r="H870" s="121" t="n"/>
      <c r="I870" s="121" t="n"/>
      <c r="J870" s="122">
        <f>IF($A870="","",$B870+$C870+$D870-$E870+$F870-$G870)</f>
        <v/>
      </c>
      <c r="K870" s="122">
        <f>IF($A870="","",MAX(0,$B870-$J870))</f>
        <v/>
      </c>
      <c r="L870" s="123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</row>
    <row r="871" ht="15" customHeight="1" s="80">
      <c r="A871" s="125" t="n"/>
      <c r="B871" s="121" t="n"/>
      <c r="C871" s="121" t="n"/>
      <c r="D871" s="121" t="n"/>
      <c r="E871" s="121" t="n"/>
      <c r="F871" s="121" t="n"/>
      <c r="G871" s="121" t="n"/>
      <c r="H871" s="121" t="n"/>
      <c r="I871" s="121" t="n"/>
      <c r="J871" s="122">
        <f>IF($A871="","",$B871+$C871+$D871-$E871+$F871-$G871)</f>
        <v/>
      </c>
      <c r="K871" s="122">
        <f>IF($A871="","",MAX(0,$B871-$J871))</f>
        <v/>
      </c>
      <c r="L871" s="123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</row>
    <row r="872" ht="15" customHeight="1" s="80">
      <c r="A872" s="125" t="n"/>
      <c r="B872" s="121" t="n"/>
      <c r="C872" s="121" t="n"/>
      <c r="D872" s="121" t="n"/>
      <c r="E872" s="121" t="n"/>
      <c r="F872" s="121" t="n"/>
      <c r="G872" s="121" t="n"/>
      <c r="H872" s="121" t="n"/>
      <c r="I872" s="121" t="n"/>
      <c r="J872" s="122">
        <f>IF($A872="","",$B872+$C872+$D872-$E872+$F872-$G872)</f>
        <v/>
      </c>
      <c r="K872" s="122">
        <f>IF($A872="","",MAX(0,$B872-$J872))</f>
        <v/>
      </c>
      <c r="L872" s="123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</row>
    <row r="873" ht="15" customHeight="1" s="80">
      <c r="A873" s="125" t="n"/>
      <c r="B873" s="121" t="n"/>
      <c r="C873" s="121" t="n"/>
      <c r="D873" s="121" t="n"/>
      <c r="E873" s="121" t="n"/>
      <c r="F873" s="121" t="n"/>
      <c r="G873" s="121" t="n"/>
      <c r="H873" s="121" t="n"/>
      <c r="I873" s="121" t="n"/>
      <c r="J873" s="122">
        <f>IF($A873="","",$B873+$C873+$D873-$E873+$F873-$G873)</f>
        <v/>
      </c>
      <c r="K873" s="122">
        <f>IF($A873="","",MAX(0,$B873-$J873))</f>
        <v/>
      </c>
      <c r="L873" s="123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</row>
    <row r="874" ht="15" customHeight="1" s="80">
      <c r="A874" s="125" t="n"/>
      <c r="B874" s="121" t="n"/>
      <c r="C874" s="121" t="n"/>
      <c r="D874" s="121" t="n"/>
      <c r="E874" s="121" t="n"/>
      <c r="F874" s="121" t="n"/>
      <c r="G874" s="121" t="n"/>
      <c r="H874" s="121" t="n"/>
      <c r="I874" s="121" t="n"/>
      <c r="J874" s="122">
        <f>IF($A874="","",$B874+$C874+$D874-$E874+$F874-$G874)</f>
        <v/>
      </c>
      <c r="K874" s="122">
        <f>IF($A874="","",MAX(0,$B874-$J874))</f>
        <v/>
      </c>
      <c r="L874" s="123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</row>
    <row r="875" ht="15" customHeight="1" s="80">
      <c r="A875" s="125" t="n"/>
      <c r="B875" s="121" t="n"/>
      <c r="C875" s="121" t="n"/>
      <c r="D875" s="121" t="n"/>
      <c r="E875" s="121" t="n"/>
      <c r="F875" s="121" t="n"/>
      <c r="G875" s="121" t="n"/>
      <c r="H875" s="121" t="n"/>
      <c r="I875" s="121" t="n"/>
      <c r="J875" s="122">
        <f>IF($A875="","",$B875+$C875+$D875-$E875+$F875-$G875)</f>
        <v/>
      </c>
      <c r="K875" s="122">
        <f>IF($A875="","",MAX(0,$B875-$J875))</f>
        <v/>
      </c>
      <c r="L875" s="123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</row>
    <row r="876" ht="15" customHeight="1" s="80">
      <c r="A876" s="125" t="n"/>
      <c r="B876" s="121" t="n"/>
      <c r="C876" s="121" t="n"/>
      <c r="D876" s="121" t="n"/>
      <c r="E876" s="121" t="n"/>
      <c r="F876" s="121" t="n"/>
      <c r="G876" s="121" t="n"/>
      <c r="H876" s="121" t="n"/>
      <c r="I876" s="121" t="n"/>
      <c r="J876" s="122">
        <f>IF($A876="","",$B876+$C876+$D876-$E876+$F876-$G876)</f>
        <v/>
      </c>
      <c r="K876" s="122">
        <f>IF($A876="","",MAX(0,$B876-$J876))</f>
        <v/>
      </c>
      <c r="L876" s="123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</row>
    <row r="877" ht="15" customHeight="1" s="80">
      <c r="A877" s="125" t="n"/>
      <c r="B877" s="121" t="n"/>
      <c r="C877" s="121" t="n"/>
      <c r="D877" s="121" t="n"/>
      <c r="E877" s="121" t="n"/>
      <c r="F877" s="121" t="n"/>
      <c r="G877" s="121" t="n"/>
      <c r="H877" s="121" t="n"/>
      <c r="I877" s="121" t="n"/>
      <c r="J877" s="122">
        <f>IF($A877="","",$B877+$C877+$D877-$E877+$F877-$G877)</f>
        <v/>
      </c>
      <c r="K877" s="122">
        <f>IF($A877="","",MAX(0,$B877-$J877))</f>
        <v/>
      </c>
      <c r="L877" s="123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</row>
    <row r="878" ht="15" customHeight="1" s="80">
      <c r="A878" s="125" t="n"/>
      <c r="B878" s="121" t="n"/>
      <c r="C878" s="121" t="n"/>
      <c r="D878" s="121" t="n"/>
      <c r="E878" s="121" t="n"/>
      <c r="F878" s="121" t="n"/>
      <c r="G878" s="121" t="n"/>
      <c r="H878" s="121" t="n"/>
      <c r="I878" s="121" t="n"/>
      <c r="J878" s="122">
        <f>IF($A878="","",$B878+$C878+$D878-$E878+$F878-$G878)</f>
        <v/>
      </c>
      <c r="K878" s="122">
        <f>IF($A878="","",MAX(0,$B878-$J878))</f>
        <v/>
      </c>
      <c r="L878" s="123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</row>
    <row r="879" ht="15" customHeight="1" s="80">
      <c r="A879" s="125" t="n"/>
      <c r="B879" s="121" t="n"/>
      <c r="C879" s="121" t="n"/>
      <c r="D879" s="121" t="n"/>
      <c r="E879" s="121" t="n"/>
      <c r="F879" s="121" t="n"/>
      <c r="G879" s="121" t="n"/>
      <c r="H879" s="121" t="n"/>
      <c r="I879" s="121" t="n"/>
      <c r="J879" s="122">
        <f>IF($A879="","",$B879+$C879+$D879-$E879+$F879-$G879)</f>
        <v/>
      </c>
      <c r="K879" s="122">
        <f>IF($A879="","",MAX(0,$B879-$J879))</f>
        <v/>
      </c>
      <c r="L879" s="123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</row>
    <row r="880" ht="15" customHeight="1" s="80">
      <c r="A880" s="125" t="n"/>
      <c r="B880" s="121" t="n"/>
      <c r="C880" s="121" t="n"/>
      <c r="D880" s="121" t="n"/>
      <c r="E880" s="121" t="n"/>
      <c r="F880" s="121" t="n"/>
      <c r="G880" s="121" t="n"/>
      <c r="H880" s="121" t="n"/>
      <c r="I880" s="121" t="n"/>
      <c r="J880" s="122">
        <f>IF($A880="","",$B880+$C880+$D880-$E880+$F880-$G880)</f>
        <v/>
      </c>
      <c r="K880" s="122">
        <f>IF($A880="","",MAX(0,$B880-$J880))</f>
        <v/>
      </c>
      <c r="L880" s="123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</row>
    <row r="881" ht="15" customHeight="1" s="80">
      <c r="A881" s="125" t="n"/>
      <c r="B881" s="121" t="n"/>
      <c r="C881" s="121" t="n"/>
      <c r="D881" s="121" t="n"/>
      <c r="E881" s="121" t="n"/>
      <c r="F881" s="121" t="n"/>
      <c r="G881" s="121" t="n"/>
      <c r="H881" s="121" t="n"/>
      <c r="I881" s="121" t="n"/>
      <c r="J881" s="122">
        <f>IF($A881="","",$B881+$C881+$D881-$E881+$F881-$G881)</f>
        <v/>
      </c>
      <c r="K881" s="122">
        <f>IF($A881="","",MAX(0,$B881-$J881))</f>
        <v/>
      </c>
      <c r="L881" s="123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</row>
    <row r="882" ht="15" customHeight="1" s="80">
      <c r="A882" s="125" t="n"/>
      <c r="B882" s="121" t="n"/>
      <c r="C882" s="121" t="n"/>
      <c r="D882" s="121" t="n"/>
      <c r="E882" s="121" t="n"/>
      <c r="F882" s="121" t="n"/>
      <c r="G882" s="121" t="n"/>
      <c r="H882" s="121" t="n"/>
      <c r="I882" s="121" t="n"/>
      <c r="J882" s="122">
        <f>IF($A882="","",$B882+$C882+$D882-$E882+$F882-$G882)</f>
        <v/>
      </c>
      <c r="K882" s="122">
        <f>IF($A882="","",MAX(0,$B882-$J882))</f>
        <v/>
      </c>
      <c r="L882" s="123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</row>
    <row r="883" ht="15" customHeight="1" s="80">
      <c r="A883" s="125" t="n"/>
      <c r="B883" s="121" t="n"/>
      <c r="C883" s="121" t="n"/>
      <c r="D883" s="121" t="n"/>
      <c r="E883" s="121" t="n"/>
      <c r="F883" s="121" t="n"/>
      <c r="G883" s="121" t="n"/>
      <c r="H883" s="121" t="n"/>
      <c r="I883" s="121" t="n"/>
      <c r="J883" s="122">
        <f>IF($A883="","",$B883+$C883+$D883-$E883+$F883-$G883)</f>
        <v/>
      </c>
      <c r="K883" s="122">
        <f>IF($A883="","",MAX(0,$B883-$J883))</f>
        <v/>
      </c>
      <c r="L883" s="123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</row>
    <row r="884" ht="15" customHeight="1" s="80">
      <c r="A884" s="125" t="n"/>
      <c r="B884" s="121" t="n"/>
      <c r="C884" s="121" t="n"/>
      <c r="D884" s="121" t="n"/>
      <c r="E884" s="121" t="n"/>
      <c r="F884" s="121" t="n"/>
      <c r="G884" s="121" t="n"/>
      <c r="H884" s="121" t="n"/>
      <c r="I884" s="121" t="n"/>
      <c r="J884" s="122">
        <f>IF($A884="","",$B884+$C884+$D884-$E884+$F884-$G884)</f>
        <v/>
      </c>
      <c r="K884" s="122">
        <f>IF($A884="","",MAX(0,$B884-$J884))</f>
        <v/>
      </c>
      <c r="L884" s="123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</row>
    <row r="885" ht="15" customHeight="1" s="80">
      <c r="A885" s="125" t="n"/>
      <c r="B885" s="121" t="n"/>
      <c r="C885" s="121" t="n"/>
      <c r="D885" s="121" t="n"/>
      <c r="E885" s="121" t="n"/>
      <c r="F885" s="121" t="n"/>
      <c r="G885" s="121" t="n"/>
      <c r="H885" s="121" t="n"/>
      <c r="I885" s="121" t="n"/>
      <c r="J885" s="122">
        <f>IF($A885="","",$B885+$C885+$D885-$E885+$F885-$G885)</f>
        <v/>
      </c>
      <c r="K885" s="122">
        <f>IF($A885="","",MAX(0,$B885-$J885))</f>
        <v/>
      </c>
      <c r="L885" s="123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</row>
    <row r="886" ht="15" customHeight="1" s="80">
      <c r="A886" s="125" t="n"/>
      <c r="B886" s="121" t="n"/>
      <c r="C886" s="121" t="n"/>
      <c r="D886" s="121" t="n"/>
      <c r="E886" s="121" t="n"/>
      <c r="F886" s="121" t="n"/>
      <c r="G886" s="121" t="n"/>
      <c r="H886" s="121" t="n"/>
      <c r="I886" s="121" t="n"/>
      <c r="J886" s="122">
        <f>IF($A886="","",$B886+$C886+$D886-$E886+$F886-$G886)</f>
        <v/>
      </c>
      <c r="K886" s="122">
        <f>IF($A886="","",MAX(0,$B886-$J886))</f>
        <v/>
      </c>
      <c r="L886" s="123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</row>
    <row r="887" ht="15" customHeight="1" s="80">
      <c r="A887" s="125" t="n"/>
      <c r="B887" s="121" t="n"/>
      <c r="C887" s="121" t="n"/>
      <c r="D887" s="121" t="n"/>
      <c r="E887" s="121" t="n"/>
      <c r="F887" s="121" t="n"/>
      <c r="G887" s="121" t="n"/>
      <c r="H887" s="121" t="n"/>
      <c r="I887" s="121" t="n"/>
      <c r="J887" s="122">
        <f>IF($A887="","",$B887+$C887+$D887-$E887+$F887-$G887)</f>
        <v/>
      </c>
      <c r="K887" s="122">
        <f>IF($A887="","",MAX(0,$B887-$J887))</f>
        <v/>
      </c>
      <c r="L887" s="123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</row>
    <row r="888" ht="15" customHeight="1" s="80">
      <c r="A888" s="125" t="n"/>
      <c r="B888" s="121" t="n"/>
      <c r="C888" s="121" t="n"/>
      <c r="D888" s="121" t="n"/>
      <c r="E888" s="121" t="n"/>
      <c r="F888" s="121" t="n"/>
      <c r="G888" s="121" t="n"/>
      <c r="H888" s="121" t="n"/>
      <c r="I888" s="121" t="n"/>
      <c r="J888" s="122">
        <f>IF($A888="","",$B888+$C888+$D888-$E888+$F888-$G888)</f>
        <v/>
      </c>
      <c r="K888" s="122">
        <f>IF($A888="","",MAX(0,$B888-$J888))</f>
        <v/>
      </c>
      <c r="L888" s="123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</row>
    <row r="889" ht="15" customHeight="1" s="80">
      <c r="A889" s="125" t="n"/>
      <c r="B889" s="121" t="n"/>
      <c r="C889" s="121" t="n"/>
      <c r="D889" s="121" t="n"/>
      <c r="E889" s="121" t="n"/>
      <c r="F889" s="121" t="n"/>
      <c r="G889" s="121" t="n"/>
      <c r="H889" s="121" t="n"/>
      <c r="I889" s="121" t="n"/>
      <c r="J889" s="122">
        <f>IF($A889="","",$B889+$C889+$D889-$E889+$F889-$G889)</f>
        <v/>
      </c>
      <c r="K889" s="122">
        <f>IF($A889="","",MAX(0,$B889-$J889))</f>
        <v/>
      </c>
      <c r="L889" s="123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</row>
    <row r="890" ht="15" customHeight="1" s="80">
      <c r="A890" s="125" t="n"/>
      <c r="B890" s="121" t="n"/>
      <c r="C890" s="121" t="n"/>
      <c r="D890" s="121" t="n"/>
      <c r="E890" s="121" t="n"/>
      <c r="F890" s="121" t="n"/>
      <c r="G890" s="121" t="n"/>
      <c r="H890" s="121" t="n"/>
      <c r="I890" s="121" t="n"/>
      <c r="J890" s="122">
        <f>IF($A890="","",$B890+$C890+$D890-$E890+$F890-$G890)</f>
        <v/>
      </c>
      <c r="K890" s="122">
        <f>IF($A890="","",MAX(0,$B890-$J890))</f>
        <v/>
      </c>
      <c r="L890" s="123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</row>
    <row r="891" ht="15" customHeight="1" s="80">
      <c r="A891" s="125" t="n"/>
      <c r="B891" s="121" t="n"/>
      <c r="C891" s="121" t="n"/>
      <c r="D891" s="121" t="n"/>
      <c r="E891" s="121" t="n"/>
      <c r="F891" s="121" t="n"/>
      <c r="G891" s="121" t="n"/>
      <c r="H891" s="121" t="n"/>
      <c r="I891" s="121" t="n"/>
      <c r="J891" s="122">
        <f>IF($A891="","",$B891+$C891+$D891-$E891+$F891-$G891)</f>
        <v/>
      </c>
      <c r="K891" s="122">
        <f>IF($A891="","",MAX(0,$B891-$J891))</f>
        <v/>
      </c>
      <c r="L891" s="123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</row>
    <row r="892" ht="15" customHeight="1" s="80">
      <c r="A892" s="125" t="n"/>
      <c r="B892" s="121" t="n"/>
      <c r="C892" s="121" t="n"/>
      <c r="D892" s="121" t="n"/>
      <c r="E892" s="121" t="n"/>
      <c r="F892" s="121" t="n"/>
      <c r="G892" s="121" t="n"/>
      <c r="H892" s="121" t="n"/>
      <c r="I892" s="121" t="n"/>
      <c r="J892" s="122">
        <f>IF($A892="","",$B892+$C892+$D892-$E892+$F892-$G892)</f>
        <v/>
      </c>
      <c r="K892" s="122">
        <f>IF($A892="","",MAX(0,$B892-$J892))</f>
        <v/>
      </c>
      <c r="L892" s="123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</row>
    <row r="893" ht="15" customHeight="1" s="80">
      <c r="A893" s="125" t="n"/>
      <c r="B893" s="121" t="n"/>
      <c r="C893" s="121" t="n"/>
      <c r="D893" s="121" t="n"/>
      <c r="E893" s="121" t="n"/>
      <c r="F893" s="121" t="n"/>
      <c r="G893" s="121" t="n"/>
      <c r="H893" s="121" t="n"/>
      <c r="I893" s="121" t="n"/>
      <c r="J893" s="122">
        <f>IF($A893="","",$B893+$C893+$D893-$E893+$F893-$G893)</f>
        <v/>
      </c>
      <c r="K893" s="122">
        <f>IF($A893="","",MAX(0,$B893-$J893))</f>
        <v/>
      </c>
      <c r="L893" s="123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</row>
    <row r="894" ht="15" customHeight="1" s="80">
      <c r="A894" s="125" t="n"/>
      <c r="B894" s="121" t="n"/>
      <c r="C894" s="121" t="n"/>
      <c r="D894" s="121" t="n"/>
      <c r="E894" s="121" t="n"/>
      <c r="F894" s="121" t="n"/>
      <c r="G894" s="121" t="n"/>
      <c r="H894" s="121" t="n"/>
      <c r="I894" s="121" t="n"/>
      <c r="J894" s="122">
        <f>IF($A894="","",$B894+$C894+$D894-$E894+$F894-$G894)</f>
        <v/>
      </c>
      <c r="K894" s="122">
        <f>IF($A894="","",MAX(0,$B894-$J894))</f>
        <v/>
      </c>
      <c r="L894" s="123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</row>
    <row r="895" ht="15" customHeight="1" s="80">
      <c r="A895" s="125" t="n"/>
      <c r="B895" s="121" t="n"/>
      <c r="C895" s="121" t="n"/>
      <c r="D895" s="121" t="n"/>
      <c r="E895" s="121" t="n"/>
      <c r="F895" s="121" t="n"/>
      <c r="G895" s="121" t="n"/>
      <c r="H895" s="121" t="n"/>
      <c r="I895" s="121" t="n"/>
      <c r="J895" s="122">
        <f>IF($A895="","",$B895+$C895+$D895-$E895+$F895-$G895)</f>
        <v/>
      </c>
      <c r="K895" s="122">
        <f>IF($A895="","",MAX(0,$B895-$J895))</f>
        <v/>
      </c>
      <c r="L895" s="123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</row>
    <row r="896" ht="15" customHeight="1" s="80">
      <c r="A896" s="125" t="n"/>
      <c r="B896" s="121" t="n"/>
      <c r="C896" s="121" t="n"/>
      <c r="D896" s="121" t="n"/>
      <c r="E896" s="121" t="n"/>
      <c r="F896" s="121" t="n"/>
      <c r="G896" s="121" t="n"/>
      <c r="H896" s="121" t="n"/>
      <c r="I896" s="121" t="n"/>
      <c r="J896" s="122">
        <f>IF($A896="","",$B896+$C896+$D896-$E896+$F896-$G896)</f>
        <v/>
      </c>
      <c r="K896" s="122">
        <f>IF($A896="","",MAX(0,$B896-$J896))</f>
        <v/>
      </c>
      <c r="L896" s="123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</row>
    <row r="897" ht="15" customHeight="1" s="80">
      <c r="A897" s="125" t="n"/>
      <c r="B897" s="121" t="n"/>
      <c r="C897" s="121" t="n"/>
      <c r="D897" s="121" t="n"/>
      <c r="E897" s="121" t="n"/>
      <c r="F897" s="121" t="n"/>
      <c r="G897" s="121" t="n"/>
      <c r="H897" s="121" t="n"/>
      <c r="I897" s="121" t="n"/>
      <c r="J897" s="122">
        <f>IF($A897="","",$B897+$C897+$D897-$E897+$F897-$G897)</f>
        <v/>
      </c>
      <c r="K897" s="122">
        <f>IF($A897="","",MAX(0,$B897-$J897))</f>
        <v/>
      </c>
      <c r="L897" s="123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</row>
    <row r="898" ht="15" customHeight="1" s="80">
      <c r="A898" s="125" t="n"/>
      <c r="B898" s="121" t="n"/>
      <c r="C898" s="121" t="n"/>
      <c r="D898" s="121" t="n"/>
      <c r="E898" s="121" t="n"/>
      <c r="F898" s="121" t="n"/>
      <c r="G898" s="121" t="n"/>
      <c r="H898" s="121" t="n"/>
      <c r="I898" s="121" t="n"/>
      <c r="J898" s="122">
        <f>IF($A898="","",$B898+$C898+$D898-$E898+$F898-$G898)</f>
        <v/>
      </c>
      <c r="K898" s="122">
        <f>IF($A898="","",MAX(0,$B898-$J898))</f>
        <v/>
      </c>
      <c r="L898" s="123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</row>
    <row r="899" ht="15" customHeight="1" s="80">
      <c r="A899" s="125" t="n"/>
      <c r="B899" s="121" t="n"/>
      <c r="C899" s="121" t="n"/>
      <c r="D899" s="121" t="n"/>
      <c r="E899" s="121" t="n"/>
      <c r="F899" s="121" t="n"/>
      <c r="G899" s="121" t="n"/>
      <c r="H899" s="121" t="n"/>
      <c r="I899" s="121" t="n"/>
      <c r="J899" s="122">
        <f>IF($A899="","",$B899+$C899+$D899-$E899+$F899-$G899)</f>
        <v/>
      </c>
      <c r="K899" s="122">
        <f>IF($A899="","",MAX(0,$B899-$J899))</f>
        <v/>
      </c>
      <c r="L899" s="123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</row>
    <row r="900" ht="15" customHeight="1" s="80">
      <c r="A900" s="125" t="n"/>
      <c r="B900" s="121" t="n"/>
      <c r="C900" s="121" t="n"/>
      <c r="D900" s="121" t="n"/>
      <c r="E900" s="121" t="n"/>
      <c r="F900" s="121" t="n"/>
      <c r="G900" s="121" t="n"/>
      <c r="H900" s="121" t="n"/>
      <c r="I900" s="121" t="n"/>
      <c r="J900" s="122">
        <f>IF($A900="","",$B900+$C900+$D900-$E900+$F900-$G900)</f>
        <v/>
      </c>
      <c r="K900" s="122">
        <f>IF($A900="","",MAX(0,$B900-$J900))</f>
        <v/>
      </c>
      <c r="L900" s="123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</row>
    <row r="901" ht="15" customHeight="1" s="80">
      <c r="A901" s="125" t="n"/>
      <c r="B901" s="121" t="n"/>
      <c r="C901" s="121" t="n"/>
      <c r="D901" s="121" t="n"/>
      <c r="E901" s="121" t="n"/>
      <c r="F901" s="121" t="n"/>
      <c r="G901" s="121" t="n"/>
      <c r="H901" s="121" t="n"/>
      <c r="I901" s="121" t="n"/>
      <c r="J901" s="122">
        <f>IF($A901="","",$B901+$C901+$D901-$E901+$F901-$G901)</f>
        <v/>
      </c>
      <c r="K901" s="122">
        <f>IF($A901="","",MAX(0,$B901-$J901))</f>
        <v/>
      </c>
      <c r="L901" s="123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</row>
    <row r="902" ht="15" customHeight="1" s="80">
      <c r="A902" s="125" t="n"/>
      <c r="B902" s="121" t="n"/>
      <c r="C902" s="121" t="n"/>
      <c r="D902" s="121" t="n"/>
      <c r="E902" s="121" t="n"/>
      <c r="F902" s="121" t="n"/>
      <c r="G902" s="121" t="n"/>
      <c r="H902" s="121" t="n"/>
      <c r="I902" s="121" t="n"/>
      <c r="J902" s="122">
        <f>IF($A902="","",$B902+$C902+$D902-$E902+$F902-$G902)</f>
        <v/>
      </c>
      <c r="K902" s="122">
        <f>IF($A902="","",MAX(0,$B902-$J902))</f>
        <v/>
      </c>
      <c r="L902" s="123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</row>
    <row r="903" ht="15" customHeight="1" s="80">
      <c r="A903" s="125" t="n"/>
      <c r="B903" s="121" t="n"/>
      <c r="C903" s="121" t="n"/>
      <c r="D903" s="121" t="n"/>
      <c r="E903" s="121" t="n"/>
      <c r="F903" s="121" t="n"/>
      <c r="G903" s="121" t="n"/>
      <c r="H903" s="121" t="n"/>
      <c r="I903" s="121" t="n"/>
      <c r="J903" s="122">
        <f>IF($A903="","",$B903+$C903+$D903-$E903+$F903-$G903)</f>
        <v/>
      </c>
      <c r="K903" s="122">
        <f>IF($A903="","",MAX(0,$B903-$J903))</f>
        <v/>
      </c>
      <c r="L903" s="123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</row>
    <row r="904" ht="15" customHeight="1" s="80">
      <c r="A904" s="125" t="n"/>
      <c r="B904" s="121" t="n"/>
      <c r="C904" s="121" t="n"/>
      <c r="D904" s="121" t="n"/>
      <c r="E904" s="121" t="n"/>
      <c r="F904" s="121" t="n"/>
      <c r="G904" s="121" t="n"/>
      <c r="H904" s="121" t="n"/>
      <c r="I904" s="121" t="n"/>
      <c r="J904" s="122">
        <f>IF($A904="","",$B904+$C904+$D904-$E904+$F904-$G904)</f>
        <v/>
      </c>
      <c r="K904" s="122">
        <f>IF($A904="","",MAX(0,$B904-$J904))</f>
        <v/>
      </c>
      <c r="L904" s="123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</row>
    <row r="905" ht="15" customHeight="1" s="80">
      <c r="A905" s="125" t="n"/>
      <c r="B905" s="121" t="n"/>
      <c r="C905" s="121" t="n"/>
      <c r="D905" s="121" t="n"/>
      <c r="E905" s="121" t="n"/>
      <c r="F905" s="121" t="n"/>
      <c r="G905" s="121" t="n"/>
      <c r="H905" s="121" t="n"/>
      <c r="I905" s="121" t="n"/>
      <c r="J905" s="122">
        <f>IF($A905="","",$B905+$C905+$D905-$E905+$F905-$G905)</f>
        <v/>
      </c>
      <c r="K905" s="122">
        <f>IF($A905="","",MAX(0,$B905-$J905))</f>
        <v/>
      </c>
      <c r="L905" s="123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</row>
    <row r="906" ht="15" customHeight="1" s="80">
      <c r="A906" s="125" t="n"/>
      <c r="B906" s="121" t="n"/>
      <c r="C906" s="121" t="n"/>
      <c r="D906" s="121" t="n"/>
      <c r="E906" s="121" t="n"/>
      <c r="F906" s="121" t="n"/>
      <c r="G906" s="121" t="n"/>
      <c r="H906" s="121" t="n"/>
      <c r="I906" s="121" t="n"/>
      <c r="J906" s="122">
        <f>IF($A906="","",$B906+$C906+$D906-$E906+$F906-$G906)</f>
        <v/>
      </c>
      <c r="K906" s="122">
        <f>IF($A906="","",MAX(0,$B906-$J906))</f>
        <v/>
      </c>
      <c r="L906" s="123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</row>
    <row r="907" ht="15" customHeight="1" s="80">
      <c r="A907" s="125" t="n"/>
      <c r="B907" s="121" t="n"/>
      <c r="C907" s="121" t="n"/>
      <c r="D907" s="121" t="n"/>
      <c r="E907" s="121" t="n"/>
      <c r="F907" s="121" t="n"/>
      <c r="G907" s="121" t="n"/>
      <c r="H907" s="121" t="n"/>
      <c r="I907" s="121" t="n"/>
      <c r="J907" s="122">
        <f>IF($A907="","",$B907+$C907+$D907-$E907+$F907-$G907)</f>
        <v/>
      </c>
      <c r="K907" s="122">
        <f>IF($A907="","",MAX(0,$B907-$J907))</f>
        <v/>
      </c>
      <c r="L907" s="123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</row>
    <row r="908" ht="15" customHeight="1" s="80">
      <c r="A908" s="125" t="n"/>
      <c r="B908" s="121" t="n"/>
      <c r="C908" s="121" t="n"/>
      <c r="D908" s="121" t="n"/>
      <c r="E908" s="121" t="n"/>
      <c r="F908" s="121" t="n"/>
      <c r="G908" s="121" t="n"/>
      <c r="H908" s="121" t="n"/>
      <c r="I908" s="121" t="n"/>
      <c r="J908" s="122">
        <f>IF($A908="","",$B908+$C908+$D908-$E908+$F908-$G908)</f>
        <v/>
      </c>
      <c r="K908" s="122">
        <f>IF($A908="","",MAX(0,$B908-$J908))</f>
        <v/>
      </c>
      <c r="L908" s="123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</row>
    <row r="909" ht="15" customHeight="1" s="80">
      <c r="A909" s="125" t="n"/>
      <c r="B909" s="121" t="n"/>
      <c r="C909" s="121" t="n"/>
      <c r="D909" s="121" t="n"/>
      <c r="E909" s="121" t="n"/>
      <c r="F909" s="121" t="n"/>
      <c r="G909" s="121" t="n"/>
      <c r="H909" s="121" t="n"/>
      <c r="I909" s="121" t="n"/>
      <c r="J909" s="122">
        <f>IF($A909="","",$B909+$C909+$D909-$E909+$F909-$G909)</f>
        <v/>
      </c>
      <c r="K909" s="122">
        <f>IF($A909="","",MAX(0,$B909-$J909))</f>
        <v/>
      </c>
      <c r="L909" s="123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</row>
    <row r="910" ht="15" customHeight="1" s="80">
      <c r="A910" s="125" t="n"/>
      <c r="B910" s="121" t="n"/>
      <c r="C910" s="121" t="n"/>
      <c r="D910" s="121" t="n"/>
      <c r="E910" s="121" t="n"/>
      <c r="F910" s="121" t="n"/>
      <c r="G910" s="121" t="n"/>
      <c r="H910" s="121" t="n"/>
      <c r="I910" s="121" t="n"/>
      <c r="J910" s="122">
        <f>IF($A910="","",$B910+$C910+$D910-$E910+$F910-$G910)</f>
        <v/>
      </c>
      <c r="K910" s="122">
        <f>IF($A910="","",MAX(0,$B910-$J910))</f>
        <v/>
      </c>
      <c r="L910" s="123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</row>
    <row r="911" ht="15" customHeight="1" s="80">
      <c r="A911" s="125" t="n"/>
      <c r="B911" s="121" t="n"/>
      <c r="C911" s="121" t="n"/>
      <c r="D911" s="121" t="n"/>
      <c r="E911" s="121" t="n"/>
      <c r="F911" s="121" t="n"/>
      <c r="G911" s="121" t="n"/>
      <c r="H911" s="121" t="n"/>
      <c r="I911" s="121" t="n"/>
      <c r="J911" s="122">
        <f>IF($A911="","",$B911+$C911+$D911-$E911+$F911-$G911)</f>
        <v/>
      </c>
      <c r="K911" s="122">
        <f>IF($A911="","",MAX(0,$B911-$J911))</f>
        <v/>
      </c>
      <c r="L911" s="123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</row>
    <row r="912" ht="15" customHeight="1" s="80">
      <c r="A912" s="125" t="n"/>
      <c r="B912" s="121" t="n"/>
      <c r="C912" s="121" t="n"/>
      <c r="D912" s="121" t="n"/>
      <c r="E912" s="121" t="n"/>
      <c r="F912" s="121" t="n"/>
      <c r="G912" s="121" t="n"/>
      <c r="H912" s="121" t="n"/>
      <c r="I912" s="121" t="n"/>
      <c r="J912" s="122">
        <f>IF($A912="","",$B912+$C912+$D912-$E912+$F912-$G912)</f>
        <v/>
      </c>
      <c r="K912" s="122">
        <f>IF($A912="","",MAX(0,$B912-$J912))</f>
        <v/>
      </c>
      <c r="L912" s="123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</row>
    <row r="913" ht="15" customHeight="1" s="80">
      <c r="A913" s="125" t="n"/>
      <c r="B913" s="121" t="n"/>
      <c r="C913" s="121" t="n"/>
      <c r="D913" s="121" t="n"/>
      <c r="E913" s="121" t="n"/>
      <c r="F913" s="121" t="n"/>
      <c r="G913" s="121" t="n"/>
      <c r="H913" s="121" t="n"/>
      <c r="I913" s="121" t="n"/>
      <c r="J913" s="122">
        <f>IF($A913="","",$B913+$C913+$D913-$E913+$F913-$G913)</f>
        <v/>
      </c>
      <c r="K913" s="122">
        <f>IF($A913="","",MAX(0,$B913-$J913))</f>
        <v/>
      </c>
      <c r="L913" s="123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</row>
    <row r="914" ht="15" customHeight="1" s="80">
      <c r="A914" s="125" t="n"/>
      <c r="B914" s="121" t="n"/>
      <c r="C914" s="121" t="n"/>
      <c r="D914" s="121" t="n"/>
      <c r="E914" s="121" t="n"/>
      <c r="F914" s="121" t="n"/>
      <c r="G914" s="121" t="n"/>
      <c r="H914" s="121" t="n"/>
      <c r="I914" s="121" t="n"/>
      <c r="J914" s="122">
        <f>IF($A914="","",$B914+$C914+$D914-$E914+$F914-$G914)</f>
        <v/>
      </c>
      <c r="K914" s="122">
        <f>IF($A914="","",MAX(0,$B914-$J914))</f>
        <v/>
      </c>
      <c r="L914" s="123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</row>
    <row r="915" ht="15" customHeight="1" s="80">
      <c r="A915" s="125" t="n"/>
      <c r="B915" s="121" t="n"/>
      <c r="C915" s="121" t="n"/>
      <c r="D915" s="121" t="n"/>
      <c r="E915" s="121" t="n"/>
      <c r="F915" s="121" t="n"/>
      <c r="G915" s="121" t="n"/>
      <c r="H915" s="121" t="n"/>
      <c r="I915" s="121" t="n"/>
      <c r="J915" s="122">
        <f>IF($A915="","",$B915+$C915+$D915-$E915+$F915-$G915)</f>
        <v/>
      </c>
      <c r="K915" s="122">
        <f>IF($A915="","",MAX(0,$B915-$J915))</f>
        <v/>
      </c>
      <c r="L915" s="123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</row>
    <row r="916" ht="15" customHeight="1" s="80">
      <c r="A916" s="125" t="n"/>
      <c r="B916" s="121" t="n"/>
      <c r="C916" s="121" t="n"/>
      <c r="D916" s="121" t="n"/>
      <c r="E916" s="121" t="n"/>
      <c r="F916" s="121" t="n"/>
      <c r="G916" s="121" t="n"/>
      <c r="H916" s="121" t="n"/>
      <c r="I916" s="121" t="n"/>
      <c r="J916" s="122">
        <f>IF($A916="","",$B916+$C916+$D916-$E916+$F916-$G916)</f>
        <v/>
      </c>
      <c r="K916" s="122">
        <f>IF($A916="","",MAX(0,$B916-$J916))</f>
        <v/>
      </c>
      <c r="L916" s="123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</row>
    <row r="917" ht="15" customHeight="1" s="80">
      <c r="A917" s="125" t="n"/>
      <c r="B917" s="121" t="n"/>
      <c r="C917" s="121" t="n"/>
      <c r="D917" s="121" t="n"/>
      <c r="E917" s="121" t="n"/>
      <c r="F917" s="121" t="n"/>
      <c r="G917" s="121" t="n"/>
      <c r="H917" s="121" t="n"/>
      <c r="I917" s="121" t="n"/>
      <c r="J917" s="122">
        <f>IF($A917="","",$B917+$C917+$D917-$E917+$F917-$G917)</f>
        <v/>
      </c>
      <c r="K917" s="122">
        <f>IF($A917="","",MAX(0,$B917-$J917))</f>
        <v/>
      </c>
      <c r="L917" s="123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</row>
    <row r="918" ht="15" customHeight="1" s="80">
      <c r="A918" s="125" t="n"/>
      <c r="B918" s="121" t="n"/>
      <c r="C918" s="121" t="n"/>
      <c r="D918" s="121" t="n"/>
      <c r="E918" s="121" t="n"/>
      <c r="F918" s="121" t="n"/>
      <c r="G918" s="121" t="n"/>
      <c r="H918" s="121" t="n"/>
      <c r="I918" s="121" t="n"/>
      <c r="J918" s="122">
        <f>IF($A918="","",$B918+$C918+$D918-$E918+$F918-$G918)</f>
        <v/>
      </c>
      <c r="K918" s="122">
        <f>IF($A918="","",MAX(0,$B918-$J918))</f>
        <v/>
      </c>
      <c r="L918" s="123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</row>
    <row r="919" ht="15" customHeight="1" s="80">
      <c r="A919" s="125" t="n"/>
      <c r="B919" s="121" t="n"/>
      <c r="C919" s="121" t="n"/>
      <c r="D919" s="121" t="n"/>
      <c r="E919" s="121" t="n"/>
      <c r="F919" s="121" t="n"/>
      <c r="G919" s="121" t="n"/>
      <c r="H919" s="121" t="n"/>
      <c r="I919" s="121" t="n"/>
      <c r="J919" s="122">
        <f>IF($A919="","",$B919+$C919+$D919-$E919+$F919-$G919)</f>
        <v/>
      </c>
      <c r="K919" s="122">
        <f>IF($A919="","",MAX(0,$B919-$J919))</f>
        <v/>
      </c>
      <c r="L919" s="123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</row>
    <row r="920" ht="15" customHeight="1" s="80">
      <c r="A920" s="125" t="n"/>
      <c r="B920" s="121" t="n"/>
      <c r="C920" s="121" t="n"/>
      <c r="D920" s="121" t="n"/>
      <c r="E920" s="121" t="n"/>
      <c r="F920" s="121" t="n"/>
      <c r="G920" s="121" t="n"/>
      <c r="H920" s="121" t="n"/>
      <c r="I920" s="121" t="n"/>
      <c r="J920" s="122">
        <f>IF($A920="","",$B920+$C920+$D920-$E920+$F920-$G920)</f>
        <v/>
      </c>
      <c r="K920" s="122">
        <f>IF($A920="","",MAX(0,$B920-$J920))</f>
        <v/>
      </c>
      <c r="L920" s="123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</row>
    <row r="921" ht="15" customHeight="1" s="80">
      <c r="A921" s="125" t="n"/>
      <c r="B921" s="121" t="n"/>
      <c r="C921" s="121" t="n"/>
      <c r="D921" s="121" t="n"/>
      <c r="E921" s="121" t="n"/>
      <c r="F921" s="121" t="n"/>
      <c r="G921" s="121" t="n"/>
      <c r="H921" s="121" t="n"/>
      <c r="I921" s="121" t="n"/>
      <c r="J921" s="122">
        <f>IF($A921="","",$B921+$C921+$D921-$E921+$F921-$G921)</f>
        <v/>
      </c>
      <c r="K921" s="122">
        <f>IF($A921="","",MAX(0,$B921-$J921))</f>
        <v/>
      </c>
      <c r="L921" s="123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</row>
    <row r="922" ht="15" customHeight="1" s="80">
      <c r="A922" s="125" t="n"/>
      <c r="B922" s="121" t="n"/>
      <c r="C922" s="121" t="n"/>
      <c r="D922" s="121" t="n"/>
      <c r="E922" s="121" t="n"/>
      <c r="F922" s="121" t="n"/>
      <c r="G922" s="121" t="n"/>
      <c r="H922" s="121" t="n"/>
      <c r="I922" s="121" t="n"/>
      <c r="J922" s="122">
        <f>IF($A922="","",$B922+$C922+$D922-$E922+$F922-$G922)</f>
        <v/>
      </c>
      <c r="K922" s="122">
        <f>IF($A922="","",MAX(0,$B922-$J922))</f>
        <v/>
      </c>
      <c r="L922" s="123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</row>
    <row r="923" ht="15" customHeight="1" s="80">
      <c r="A923" s="125" t="n"/>
      <c r="B923" s="121" t="n"/>
      <c r="C923" s="121" t="n"/>
      <c r="D923" s="121" t="n"/>
      <c r="E923" s="121" t="n"/>
      <c r="F923" s="121" t="n"/>
      <c r="G923" s="121" t="n"/>
      <c r="H923" s="121" t="n"/>
      <c r="I923" s="121" t="n"/>
      <c r="J923" s="122">
        <f>IF($A923="","",$B923+$C923+$D923-$E923+$F923-$G923)</f>
        <v/>
      </c>
      <c r="K923" s="122">
        <f>IF($A923="","",MAX(0,$B923-$J923))</f>
        <v/>
      </c>
      <c r="L923" s="123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</row>
    <row r="924" ht="15" customHeight="1" s="80">
      <c r="A924" s="125" t="n"/>
      <c r="B924" s="121" t="n"/>
      <c r="C924" s="121" t="n"/>
      <c r="D924" s="121" t="n"/>
      <c r="E924" s="121" t="n"/>
      <c r="F924" s="121" t="n"/>
      <c r="G924" s="121" t="n"/>
      <c r="H924" s="121" t="n"/>
      <c r="I924" s="121" t="n"/>
      <c r="J924" s="122">
        <f>IF($A924="","",$B924+$C924+$D924-$E924+$F924-$G924)</f>
        <v/>
      </c>
      <c r="K924" s="122">
        <f>IF($A924="","",MAX(0,$B924-$J924))</f>
        <v/>
      </c>
      <c r="L924" s="123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</row>
    <row r="925" ht="15" customHeight="1" s="80">
      <c r="A925" s="125" t="n"/>
      <c r="B925" s="121" t="n"/>
      <c r="C925" s="121" t="n"/>
      <c r="D925" s="121" t="n"/>
      <c r="E925" s="121" t="n"/>
      <c r="F925" s="121" t="n"/>
      <c r="G925" s="121" t="n"/>
      <c r="H925" s="121" t="n"/>
      <c r="I925" s="121" t="n"/>
      <c r="J925" s="122">
        <f>IF($A925="","",$B925+$C925+$D925-$E925+$F925-$G925)</f>
        <v/>
      </c>
      <c r="K925" s="122">
        <f>IF($A925="","",MAX(0,$B925-$J925))</f>
        <v/>
      </c>
      <c r="L925" s="123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</row>
    <row r="926" ht="15" customHeight="1" s="80">
      <c r="A926" s="125" t="n"/>
      <c r="B926" s="121" t="n"/>
      <c r="C926" s="121" t="n"/>
      <c r="D926" s="121" t="n"/>
      <c r="E926" s="121" t="n"/>
      <c r="F926" s="121" t="n"/>
      <c r="G926" s="121" t="n"/>
      <c r="H926" s="121" t="n"/>
      <c r="I926" s="121" t="n"/>
      <c r="J926" s="122">
        <f>IF($A926="","",$B926+$C926+$D926-$E926+$F926-$G926)</f>
        <v/>
      </c>
      <c r="K926" s="122">
        <f>IF($A926="","",MAX(0,$B926-$J926))</f>
        <v/>
      </c>
      <c r="L926" s="123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</row>
    <row r="927" ht="15" customHeight="1" s="80">
      <c r="A927" s="125" t="n"/>
      <c r="B927" s="121" t="n"/>
      <c r="C927" s="121" t="n"/>
      <c r="D927" s="121" t="n"/>
      <c r="E927" s="121" t="n"/>
      <c r="F927" s="121" t="n"/>
      <c r="G927" s="121" t="n"/>
      <c r="H927" s="121" t="n"/>
      <c r="I927" s="121" t="n"/>
      <c r="J927" s="122">
        <f>IF($A927="","",$B927+$C927+$D927-$E927+$F927-$G927)</f>
        <v/>
      </c>
      <c r="K927" s="122">
        <f>IF($A927="","",MAX(0,$B927-$J927))</f>
        <v/>
      </c>
      <c r="L927" s="123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</row>
    <row r="928" ht="15" customHeight="1" s="80">
      <c r="A928" s="125" t="n"/>
      <c r="B928" s="121" t="n"/>
      <c r="C928" s="121" t="n"/>
      <c r="D928" s="121" t="n"/>
      <c r="E928" s="121" t="n"/>
      <c r="F928" s="121" t="n"/>
      <c r="G928" s="121" t="n"/>
      <c r="H928" s="121" t="n"/>
      <c r="I928" s="121" t="n"/>
      <c r="J928" s="122">
        <f>IF($A928="","",$B928+$C928+$D928-$E928+$F928-$G928)</f>
        <v/>
      </c>
      <c r="K928" s="122">
        <f>IF($A928="","",MAX(0,$B928-$J928))</f>
        <v/>
      </c>
      <c r="L928" s="123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</row>
    <row r="929" ht="15" customHeight="1" s="80">
      <c r="A929" s="125" t="n"/>
      <c r="B929" s="121" t="n"/>
      <c r="C929" s="121" t="n"/>
      <c r="D929" s="121" t="n"/>
      <c r="E929" s="121" t="n"/>
      <c r="F929" s="121" t="n"/>
      <c r="G929" s="121" t="n"/>
      <c r="H929" s="121" t="n"/>
      <c r="I929" s="121" t="n"/>
      <c r="J929" s="122">
        <f>IF($A929="","",$B929+$C929+$D929-$E929+$F929-$G929)</f>
        <v/>
      </c>
      <c r="K929" s="122">
        <f>IF($A929="","",MAX(0,$B929-$J929))</f>
        <v/>
      </c>
      <c r="L929" s="123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</row>
    <row r="930" ht="15" customHeight="1" s="80">
      <c r="A930" s="125" t="n"/>
      <c r="B930" s="121" t="n"/>
      <c r="C930" s="121" t="n"/>
      <c r="D930" s="121" t="n"/>
      <c r="E930" s="121" t="n"/>
      <c r="F930" s="121" t="n"/>
      <c r="G930" s="121" t="n"/>
      <c r="H930" s="121" t="n"/>
      <c r="I930" s="121" t="n"/>
      <c r="J930" s="122">
        <f>IF($A930="","",$B930+$C930+$D930-$E930+$F930-$G930)</f>
        <v/>
      </c>
      <c r="K930" s="122">
        <f>IF($A930="","",MAX(0,$B930-$J930))</f>
        <v/>
      </c>
      <c r="L930" s="123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</row>
    <row r="931" ht="15" customHeight="1" s="80">
      <c r="A931" s="125" t="n"/>
      <c r="B931" s="121" t="n"/>
      <c r="C931" s="121" t="n"/>
      <c r="D931" s="121" t="n"/>
      <c r="E931" s="121" t="n"/>
      <c r="F931" s="121" t="n"/>
      <c r="G931" s="121" t="n"/>
      <c r="H931" s="121" t="n"/>
      <c r="I931" s="121" t="n"/>
      <c r="J931" s="122">
        <f>IF($A931="","",$B931+$C931+$D931-$E931+$F931-$G931)</f>
        <v/>
      </c>
      <c r="K931" s="122">
        <f>IF($A931="","",MAX(0,$B931-$J931))</f>
        <v/>
      </c>
      <c r="L931" s="123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</row>
    <row r="932" ht="15" customHeight="1" s="80">
      <c r="A932" s="125" t="n"/>
      <c r="B932" s="121" t="n"/>
      <c r="C932" s="121" t="n"/>
      <c r="D932" s="121" t="n"/>
      <c r="E932" s="121" t="n"/>
      <c r="F932" s="121" t="n"/>
      <c r="G932" s="121" t="n"/>
      <c r="H932" s="121" t="n"/>
      <c r="I932" s="121" t="n"/>
      <c r="J932" s="122">
        <f>IF($A932="","",$B932+$C932+$D932-$E932+$F932-$G932)</f>
        <v/>
      </c>
      <c r="K932" s="122">
        <f>IF($A932="","",MAX(0,$B932-$J932))</f>
        <v/>
      </c>
      <c r="L932" s="123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</row>
    <row r="933" ht="15" customHeight="1" s="80">
      <c r="A933" s="125" t="n"/>
      <c r="B933" s="121" t="n"/>
      <c r="C933" s="121" t="n"/>
      <c r="D933" s="121" t="n"/>
      <c r="E933" s="121" t="n"/>
      <c r="F933" s="121" t="n"/>
      <c r="G933" s="121" t="n"/>
      <c r="H933" s="121" t="n"/>
      <c r="I933" s="121" t="n"/>
      <c r="J933" s="122">
        <f>IF($A933="","",$B933+$C933+$D933-$E933+$F933-$G933)</f>
        <v/>
      </c>
      <c r="K933" s="122">
        <f>IF($A933="","",MAX(0,$B933-$J933))</f>
        <v/>
      </c>
      <c r="L933" s="123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</row>
    <row r="934" ht="15" customHeight="1" s="80">
      <c r="A934" s="125" t="n"/>
      <c r="B934" s="121" t="n"/>
      <c r="C934" s="121" t="n"/>
      <c r="D934" s="121" t="n"/>
      <c r="E934" s="121" t="n"/>
      <c r="F934" s="121" t="n"/>
      <c r="G934" s="121" t="n"/>
      <c r="H934" s="121" t="n"/>
      <c r="I934" s="121" t="n"/>
      <c r="J934" s="122">
        <f>IF($A934="","",$B934+$C934+$D934-$E934+$F934-$G934)</f>
        <v/>
      </c>
      <c r="K934" s="122">
        <f>IF($A934="","",MAX(0,$B934-$J934))</f>
        <v/>
      </c>
      <c r="L934" s="123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</row>
    <row r="935" ht="15" customHeight="1" s="80">
      <c r="A935" s="125" t="n"/>
      <c r="B935" s="121" t="n"/>
      <c r="C935" s="121" t="n"/>
      <c r="D935" s="121" t="n"/>
      <c r="E935" s="121" t="n"/>
      <c r="F935" s="121" t="n"/>
      <c r="G935" s="121" t="n"/>
      <c r="H935" s="121" t="n"/>
      <c r="I935" s="121" t="n"/>
      <c r="J935" s="122">
        <f>IF($A935="","",$B935+$C935+$D935-$E935+$F935-$G935)</f>
        <v/>
      </c>
      <c r="K935" s="122">
        <f>IF($A935="","",MAX(0,$B935-$J935))</f>
        <v/>
      </c>
      <c r="L935" s="123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</row>
    <row r="936" ht="15" customHeight="1" s="80">
      <c r="A936" s="125" t="n"/>
      <c r="B936" s="121" t="n"/>
      <c r="C936" s="121" t="n"/>
      <c r="D936" s="121" t="n"/>
      <c r="E936" s="121" t="n"/>
      <c r="F936" s="121" t="n"/>
      <c r="G936" s="121" t="n"/>
      <c r="H936" s="121" t="n"/>
      <c r="I936" s="121" t="n"/>
      <c r="J936" s="122">
        <f>IF($A936="","",$B936+$C936+$D936-$E936+$F936-$G936)</f>
        <v/>
      </c>
      <c r="K936" s="122">
        <f>IF($A936="","",MAX(0,$B936-$J936))</f>
        <v/>
      </c>
      <c r="L936" s="123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</row>
    <row r="937" ht="15" customHeight="1" s="80">
      <c r="A937" s="125" t="n"/>
      <c r="B937" s="121" t="n"/>
      <c r="C937" s="121" t="n"/>
      <c r="D937" s="121" t="n"/>
      <c r="E937" s="121" t="n"/>
      <c r="F937" s="121" t="n"/>
      <c r="G937" s="121" t="n"/>
      <c r="H937" s="121" t="n"/>
      <c r="I937" s="121" t="n"/>
      <c r="J937" s="122">
        <f>IF($A937="","",$B937+$C937+$D937-$E937+$F937-$G937)</f>
        <v/>
      </c>
      <c r="K937" s="122">
        <f>IF($A937="","",MAX(0,$B937-$J937))</f>
        <v/>
      </c>
      <c r="L937" s="123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</row>
    <row r="938" ht="15" customHeight="1" s="80">
      <c r="A938" s="125" t="n"/>
      <c r="B938" s="121" t="n"/>
      <c r="C938" s="121" t="n"/>
      <c r="D938" s="121" t="n"/>
      <c r="E938" s="121" t="n"/>
      <c r="F938" s="121" t="n"/>
      <c r="G938" s="121" t="n"/>
      <c r="H938" s="121" t="n"/>
      <c r="I938" s="121" t="n"/>
      <c r="J938" s="122">
        <f>IF($A938="","",$B938+$C938+$D938-$E938+$F938-$G938)</f>
        <v/>
      </c>
      <c r="K938" s="122">
        <f>IF($A938="","",MAX(0,$B938-$J938))</f>
        <v/>
      </c>
      <c r="L938" s="123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</row>
    <row r="939" ht="15" customHeight="1" s="80">
      <c r="A939" s="125" t="n"/>
      <c r="B939" s="121" t="n"/>
      <c r="C939" s="121" t="n"/>
      <c r="D939" s="121" t="n"/>
      <c r="E939" s="121" t="n"/>
      <c r="F939" s="121" t="n"/>
      <c r="G939" s="121" t="n"/>
      <c r="H939" s="121" t="n"/>
      <c r="I939" s="121" t="n"/>
      <c r="J939" s="122">
        <f>IF($A939="","",$B939+$C939+$D939-$E939+$F939-$G939)</f>
        <v/>
      </c>
      <c r="K939" s="122">
        <f>IF($A939="","",MAX(0,$B939-$J939))</f>
        <v/>
      </c>
      <c r="L939" s="123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</row>
    <row r="940" ht="15" customHeight="1" s="80">
      <c r="A940" s="125" t="n"/>
      <c r="B940" s="121" t="n"/>
      <c r="C940" s="121" t="n"/>
      <c r="D940" s="121" t="n"/>
      <c r="E940" s="121" t="n"/>
      <c r="F940" s="121" t="n"/>
      <c r="G940" s="121" t="n"/>
      <c r="H940" s="121" t="n"/>
      <c r="I940" s="121" t="n"/>
      <c r="J940" s="122">
        <f>IF($A940="","",$B940+$C940+$D940-$E940+$F940-$G940)</f>
        <v/>
      </c>
      <c r="K940" s="122">
        <f>IF($A940="","",MAX(0,$B940-$J940))</f>
        <v/>
      </c>
      <c r="L940" s="123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</row>
    <row r="941" ht="15" customHeight="1" s="80">
      <c r="A941" s="125" t="n"/>
      <c r="B941" s="121" t="n"/>
      <c r="C941" s="121" t="n"/>
      <c r="D941" s="121" t="n"/>
      <c r="E941" s="121" t="n"/>
      <c r="F941" s="121" t="n"/>
      <c r="G941" s="121" t="n"/>
      <c r="H941" s="121" t="n"/>
      <c r="I941" s="121" t="n"/>
      <c r="J941" s="122">
        <f>IF($A941="","",$B941+$C941+$D941-$E941+$F941-$G941)</f>
        <v/>
      </c>
      <c r="K941" s="122">
        <f>IF($A941="","",MAX(0,$B941-$J941))</f>
        <v/>
      </c>
      <c r="L941" s="123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</row>
    <row r="942" ht="15" customHeight="1" s="80">
      <c r="A942" s="125" t="n"/>
      <c r="B942" s="121" t="n"/>
      <c r="C942" s="121" t="n"/>
      <c r="D942" s="121" t="n"/>
      <c r="E942" s="121" t="n"/>
      <c r="F942" s="121" t="n"/>
      <c r="G942" s="121" t="n"/>
      <c r="H942" s="121" t="n"/>
      <c r="I942" s="121" t="n"/>
      <c r="J942" s="122">
        <f>IF($A942="","",$B942+$C942+$D942-$E942+$F942-$G942)</f>
        <v/>
      </c>
      <c r="K942" s="122">
        <f>IF($A942="","",MAX(0,$B942-$J942))</f>
        <v/>
      </c>
      <c r="L942" s="123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</row>
    <row r="943" ht="15" customHeight="1" s="80">
      <c r="A943" s="125" t="n"/>
      <c r="B943" s="121" t="n"/>
      <c r="C943" s="121" t="n"/>
      <c r="D943" s="121" t="n"/>
      <c r="E943" s="121" t="n"/>
      <c r="F943" s="121" t="n"/>
      <c r="G943" s="121" t="n"/>
      <c r="H943" s="121" t="n"/>
      <c r="I943" s="121" t="n"/>
      <c r="J943" s="122">
        <f>IF($A943="","",$B943+$C943+$D943-$E943+$F943-$G943)</f>
        <v/>
      </c>
      <c r="K943" s="122">
        <f>IF($A943="","",MAX(0,$B943-$J943))</f>
        <v/>
      </c>
      <c r="L943" s="123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</row>
    <row r="944" ht="15" customHeight="1" s="80">
      <c r="A944" s="125" t="n"/>
      <c r="B944" s="121" t="n"/>
      <c r="C944" s="121" t="n"/>
      <c r="D944" s="121" t="n"/>
      <c r="E944" s="121" t="n"/>
      <c r="F944" s="121" t="n"/>
      <c r="G944" s="121" t="n"/>
      <c r="H944" s="121" t="n"/>
      <c r="I944" s="121" t="n"/>
      <c r="J944" s="122">
        <f>IF($A944="","",$B944+$C944+$D944-$E944+$F944-$G944)</f>
        <v/>
      </c>
      <c r="K944" s="122">
        <f>IF($A944="","",MAX(0,$B944-$J944))</f>
        <v/>
      </c>
      <c r="L944" s="123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</row>
    <row r="945" ht="15" customHeight="1" s="80">
      <c r="A945" s="125" t="n"/>
      <c r="B945" s="121" t="n"/>
      <c r="C945" s="121" t="n"/>
      <c r="D945" s="121" t="n"/>
      <c r="E945" s="121" t="n"/>
      <c r="F945" s="121" t="n"/>
      <c r="G945" s="121" t="n"/>
      <c r="H945" s="121" t="n"/>
      <c r="I945" s="121" t="n"/>
      <c r="J945" s="122">
        <f>IF($A945="","",$B945+$C945+$D945-$E945+$F945-$G945)</f>
        <v/>
      </c>
      <c r="K945" s="122">
        <f>IF($A945="","",MAX(0,$B945-$J945))</f>
        <v/>
      </c>
      <c r="L945" s="123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</row>
    <row r="946" ht="15" customHeight="1" s="80">
      <c r="A946" s="125" t="n"/>
      <c r="B946" s="121" t="n"/>
      <c r="C946" s="121" t="n"/>
      <c r="D946" s="121" t="n"/>
      <c r="E946" s="121" t="n"/>
      <c r="F946" s="121" t="n"/>
      <c r="G946" s="121" t="n"/>
      <c r="H946" s="121" t="n"/>
      <c r="I946" s="121" t="n"/>
      <c r="J946" s="122">
        <f>IF($A946="","",$B946+$C946+$D946-$E946+$F946-$G946)</f>
        <v/>
      </c>
      <c r="K946" s="122">
        <f>IF($A946="","",MAX(0,$B946-$J946))</f>
        <v/>
      </c>
      <c r="L946" s="123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</row>
    <row r="947" ht="15" customHeight="1" s="80">
      <c r="A947" s="125" t="n"/>
      <c r="B947" s="121" t="n"/>
      <c r="C947" s="121" t="n"/>
      <c r="D947" s="121" t="n"/>
      <c r="E947" s="121" t="n"/>
      <c r="F947" s="121" t="n"/>
      <c r="G947" s="121" t="n"/>
      <c r="H947" s="121" t="n"/>
      <c r="I947" s="121" t="n"/>
      <c r="J947" s="122">
        <f>IF($A947="","",$B947+$C947+$D947-$E947+$F947-$G947)</f>
        <v/>
      </c>
      <c r="K947" s="122">
        <f>IF($A947="","",MAX(0,$B947-$J947))</f>
        <v/>
      </c>
      <c r="L947" s="123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</row>
    <row r="948" ht="15" customHeight="1" s="80">
      <c r="A948" s="125" t="n"/>
      <c r="B948" s="121" t="n"/>
      <c r="C948" s="121" t="n"/>
      <c r="D948" s="121" t="n"/>
      <c r="E948" s="121" t="n"/>
      <c r="F948" s="121" t="n"/>
      <c r="G948" s="121" t="n"/>
      <c r="H948" s="121" t="n"/>
      <c r="I948" s="121" t="n"/>
      <c r="J948" s="122">
        <f>IF($A948="","",$B948+$C948+$D948-$E948+$F948-$G948)</f>
        <v/>
      </c>
      <c r="K948" s="122">
        <f>IF($A948="","",MAX(0,$B948-$J948))</f>
        <v/>
      </c>
      <c r="L948" s="123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</row>
    <row r="949" ht="15" customHeight="1" s="80">
      <c r="A949" s="125" t="n"/>
      <c r="B949" s="121" t="n"/>
      <c r="C949" s="121" t="n"/>
      <c r="D949" s="121" t="n"/>
      <c r="E949" s="121" t="n"/>
      <c r="F949" s="121" t="n"/>
      <c r="G949" s="121" t="n"/>
      <c r="H949" s="121" t="n"/>
      <c r="I949" s="121" t="n"/>
      <c r="J949" s="122">
        <f>IF($A949="","",$B949+$C949+$D949-$E949+$F949-$G949)</f>
        <v/>
      </c>
      <c r="K949" s="122">
        <f>IF($A949="","",MAX(0,$B949-$J949))</f>
        <v/>
      </c>
      <c r="L949" s="123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</row>
    <row r="950" ht="15" customHeight="1" s="80">
      <c r="A950" s="125" t="n"/>
      <c r="B950" s="121" t="n"/>
      <c r="C950" s="121" t="n"/>
      <c r="D950" s="121" t="n"/>
      <c r="E950" s="121" t="n"/>
      <c r="F950" s="121" t="n"/>
      <c r="G950" s="121" t="n"/>
      <c r="H950" s="121" t="n"/>
      <c r="I950" s="121" t="n"/>
      <c r="J950" s="122">
        <f>IF($A950="","",$B950+$C950+$D950-$E950+$F950-$G950)</f>
        <v/>
      </c>
      <c r="K950" s="122">
        <f>IF($A950="","",MAX(0,$B950-$J950))</f>
        <v/>
      </c>
      <c r="L950" s="123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</row>
    <row r="951" ht="15" customHeight="1" s="80">
      <c r="A951" s="125" t="n"/>
      <c r="B951" s="121" t="n"/>
      <c r="C951" s="121" t="n"/>
      <c r="D951" s="121" t="n"/>
      <c r="E951" s="121" t="n"/>
      <c r="F951" s="121" t="n"/>
      <c r="G951" s="121" t="n"/>
      <c r="H951" s="121" t="n"/>
      <c r="I951" s="121" t="n"/>
      <c r="J951" s="122">
        <f>IF($A951="","",$B951+$C951+$D951-$E951+$F951-$G951)</f>
        <v/>
      </c>
      <c r="K951" s="122">
        <f>IF($A951="","",MAX(0,$B951-$J951))</f>
        <v/>
      </c>
      <c r="L951" s="123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</row>
    <row r="952" ht="15" customHeight="1" s="80">
      <c r="A952" s="125" t="n"/>
      <c r="B952" s="121" t="n"/>
      <c r="C952" s="121" t="n"/>
      <c r="D952" s="121" t="n"/>
      <c r="E952" s="121" t="n"/>
      <c r="F952" s="121" t="n"/>
      <c r="G952" s="121" t="n"/>
      <c r="H952" s="121" t="n"/>
      <c r="I952" s="121" t="n"/>
      <c r="J952" s="122">
        <f>IF($A952="","",$B952+$C952+$D952-$E952+$F952-$G952)</f>
        <v/>
      </c>
      <c r="K952" s="122">
        <f>IF($A952="","",MAX(0,$B952-$J952))</f>
        <v/>
      </c>
      <c r="L952" s="123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</row>
    <row r="953" ht="15" customHeight="1" s="80">
      <c r="A953" s="125" t="n"/>
      <c r="B953" s="121" t="n"/>
      <c r="C953" s="121" t="n"/>
      <c r="D953" s="121" t="n"/>
      <c r="E953" s="121" t="n"/>
      <c r="F953" s="121" t="n"/>
      <c r="G953" s="121" t="n"/>
      <c r="H953" s="121" t="n"/>
      <c r="I953" s="121" t="n"/>
      <c r="J953" s="122">
        <f>IF($A953="","",$B953+$C953+$D953-$E953+$F953-$G953)</f>
        <v/>
      </c>
      <c r="K953" s="122">
        <f>IF($A953="","",MAX(0,$B953-$J953))</f>
        <v/>
      </c>
      <c r="L953" s="123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</row>
    <row r="954" ht="15" customHeight="1" s="80">
      <c r="A954" s="125" t="n"/>
      <c r="B954" s="121" t="n"/>
      <c r="C954" s="121" t="n"/>
      <c r="D954" s="121" t="n"/>
      <c r="E954" s="121" t="n"/>
      <c r="F954" s="121" t="n"/>
      <c r="G954" s="121" t="n"/>
      <c r="H954" s="121" t="n"/>
      <c r="I954" s="121" t="n"/>
      <c r="J954" s="122">
        <f>IF($A954="","",$B954+$C954+$D954-$E954+$F954-$G954)</f>
        <v/>
      </c>
      <c r="K954" s="122">
        <f>IF($A954="","",MAX(0,$B954-$J954))</f>
        <v/>
      </c>
      <c r="L954" s="123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</row>
    <row r="955" ht="15" customHeight="1" s="80">
      <c r="A955" s="125" t="n"/>
      <c r="B955" s="121" t="n"/>
      <c r="C955" s="121" t="n"/>
      <c r="D955" s="121" t="n"/>
      <c r="E955" s="121" t="n"/>
      <c r="F955" s="121" t="n"/>
      <c r="G955" s="121" t="n"/>
      <c r="H955" s="121" t="n"/>
      <c r="I955" s="121" t="n"/>
      <c r="J955" s="122">
        <f>IF($A955="","",$B955+$C955+$D955-$E955+$F955-$G955)</f>
        <v/>
      </c>
      <c r="K955" s="122">
        <f>IF($A955="","",MAX(0,$B955-$J955))</f>
        <v/>
      </c>
      <c r="L955" s="123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</row>
    <row r="956" ht="15" customHeight="1" s="80">
      <c r="A956" s="125" t="n"/>
      <c r="B956" s="121" t="n"/>
      <c r="C956" s="121" t="n"/>
      <c r="D956" s="121" t="n"/>
      <c r="E956" s="121" t="n"/>
      <c r="F956" s="121" t="n"/>
      <c r="G956" s="121" t="n"/>
      <c r="H956" s="121" t="n"/>
      <c r="I956" s="121" t="n"/>
      <c r="J956" s="122">
        <f>IF($A956="","",$B956+$C956+$D956-$E956+$F956-$G956)</f>
        <v/>
      </c>
      <c r="K956" s="122">
        <f>IF($A956="","",MAX(0,$B956-$J956))</f>
        <v/>
      </c>
      <c r="L956" s="123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</row>
    <row r="957" ht="15" customHeight="1" s="80">
      <c r="A957" s="125" t="n"/>
      <c r="B957" s="121" t="n"/>
      <c r="C957" s="121" t="n"/>
      <c r="D957" s="121" t="n"/>
      <c r="E957" s="121" t="n"/>
      <c r="F957" s="121" t="n"/>
      <c r="G957" s="121" t="n"/>
      <c r="H957" s="121" t="n"/>
      <c r="I957" s="121" t="n"/>
      <c r="J957" s="122">
        <f>IF($A957="","",$B957+$C957+$D957-$E957+$F957-$G957)</f>
        <v/>
      </c>
      <c r="K957" s="122">
        <f>IF($A957="","",MAX(0,$B957-$J957))</f>
        <v/>
      </c>
      <c r="L957" s="123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</row>
    <row r="958" ht="15" customHeight="1" s="80">
      <c r="A958" s="125" t="n"/>
      <c r="B958" s="121" t="n"/>
      <c r="C958" s="121" t="n"/>
      <c r="D958" s="121" t="n"/>
      <c r="E958" s="121" t="n"/>
      <c r="F958" s="121" t="n"/>
      <c r="G958" s="121" t="n"/>
      <c r="H958" s="121" t="n"/>
      <c r="I958" s="121" t="n"/>
      <c r="J958" s="122">
        <f>IF($A958="","",$B958+$C958+$D958-$E958+$F958-$G958)</f>
        <v/>
      </c>
      <c r="K958" s="122">
        <f>IF($A958="","",MAX(0,$B958-$J958))</f>
        <v/>
      </c>
      <c r="L958" s="123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</row>
    <row r="959" ht="15" customHeight="1" s="80">
      <c r="A959" s="125" t="n"/>
      <c r="B959" s="121" t="n"/>
      <c r="C959" s="121" t="n"/>
      <c r="D959" s="121" t="n"/>
      <c r="E959" s="121" t="n"/>
      <c r="F959" s="121" t="n"/>
      <c r="G959" s="121" t="n"/>
      <c r="H959" s="121" t="n"/>
      <c r="I959" s="121" t="n"/>
      <c r="J959" s="122">
        <f>IF($A959="","",$B959+$C959+$D959-$E959+$F959-$G959)</f>
        <v/>
      </c>
      <c r="K959" s="122">
        <f>IF($A959="","",MAX(0,$B959-$J959))</f>
        <v/>
      </c>
      <c r="L959" s="123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</row>
    <row r="960" ht="15" customHeight="1" s="80">
      <c r="A960" s="125" t="n"/>
      <c r="B960" s="121" t="n"/>
      <c r="C960" s="121" t="n"/>
      <c r="D960" s="121" t="n"/>
      <c r="E960" s="121" t="n"/>
      <c r="F960" s="121" t="n"/>
      <c r="G960" s="121" t="n"/>
      <c r="H960" s="121" t="n"/>
      <c r="I960" s="121" t="n"/>
      <c r="J960" s="122">
        <f>IF($A960="","",$B960+$C960+$D960-$E960+$F960-$G960)</f>
        <v/>
      </c>
      <c r="K960" s="122">
        <f>IF($A960="","",MAX(0,$B960-$J960))</f>
        <v/>
      </c>
      <c r="L960" s="123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</row>
    <row r="961" ht="15" customHeight="1" s="80">
      <c r="A961" s="125" t="n"/>
      <c r="B961" s="121" t="n"/>
      <c r="C961" s="121" t="n"/>
      <c r="D961" s="121" t="n"/>
      <c r="E961" s="121" t="n"/>
      <c r="F961" s="121" t="n"/>
      <c r="G961" s="121" t="n"/>
      <c r="H961" s="121" t="n"/>
      <c r="I961" s="121" t="n"/>
      <c r="J961" s="122">
        <f>IF($A961="","",$B961+$C961+$D961-$E961+$F961-$G961)</f>
        <v/>
      </c>
      <c r="K961" s="122">
        <f>IF($A961="","",MAX(0,$B961-$J961))</f>
        <v/>
      </c>
      <c r="L961" s="123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</row>
    <row r="962" ht="15" customHeight="1" s="80">
      <c r="A962" s="125" t="n"/>
      <c r="B962" s="121" t="n"/>
      <c r="C962" s="121" t="n"/>
      <c r="D962" s="121" t="n"/>
      <c r="E962" s="121" t="n"/>
      <c r="F962" s="121" t="n"/>
      <c r="G962" s="121" t="n"/>
      <c r="H962" s="121" t="n"/>
      <c r="I962" s="121" t="n"/>
      <c r="J962" s="122">
        <f>IF($A962="","",$B962+$C962+$D962-$E962+$F962-$G962)</f>
        <v/>
      </c>
      <c r="K962" s="122">
        <f>IF($A962="","",MAX(0,$B962-$J962))</f>
        <v/>
      </c>
      <c r="L962" s="123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</row>
    <row r="963" ht="15" customHeight="1" s="80">
      <c r="A963" s="125" t="n"/>
      <c r="B963" s="121" t="n"/>
      <c r="C963" s="121" t="n"/>
      <c r="D963" s="121" t="n"/>
      <c r="E963" s="121" t="n"/>
      <c r="F963" s="121" t="n"/>
      <c r="G963" s="121" t="n"/>
      <c r="H963" s="121" t="n"/>
      <c r="I963" s="121" t="n"/>
      <c r="J963" s="122">
        <f>IF($A963="","",$B963+$C963+$D963-$E963+$F963-$G963)</f>
        <v/>
      </c>
      <c r="K963" s="122">
        <f>IF($A963="","",MAX(0,$B963-$J963))</f>
        <v/>
      </c>
      <c r="L963" s="123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</row>
    <row r="964" ht="15" customHeight="1" s="80">
      <c r="A964" s="125" t="n"/>
      <c r="B964" s="121" t="n"/>
      <c r="C964" s="121" t="n"/>
      <c r="D964" s="121" t="n"/>
      <c r="E964" s="121" t="n"/>
      <c r="F964" s="121" t="n"/>
      <c r="G964" s="121" t="n"/>
      <c r="H964" s="121" t="n"/>
      <c r="I964" s="121" t="n"/>
      <c r="J964" s="122">
        <f>IF($A964="","",$B964+$C964+$D964-$E964+$F964-$G964)</f>
        <v/>
      </c>
      <c r="K964" s="122">
        <f>IF($A964="","",MAX(0,$B964-$J964))</f>
        <v/>
      </c>
      <c r="L964" s="123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</row>
    <row r="965" ht="15" customHeight="1" s="80">
      <c r="A965" s="125" t="n"/>
      <c r="B965" s="121" t="n"/>
      <c r="C965" s="121" t="n"/>
      <c r="D965" s="121" t="n"/>
      <c r="E965" s="121" t="n"/>
      <c r="F965" s="121" t="n"/>
      <c r="G965" s="121" t="n"/>
      <c r="H965" s="121" t="n"/>
      <c r="I965" s="121" t="n"/>
      <c r="J965" s="122">
        <f>IF($A965="","",$B965+$C965+$D965-$E965+$F965-$G965)</f>
        <v/>
      </c>
      <c r="K965" s="122">
        <f>IF($A965="","",MAX(0,$B965-$J965))</f>
        <v/>
      </c>
      <c r="L965" s="123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</row>
    <row r="966" ht="15" customHeight="1" s="80">
      <c r="A966" s="125" t="n"/>
      <c r="B966" s="121" t="n"/>
      <c r="C966" s="121" t="n"/>
      <c r="D966" s="121" t="n"/>
      <c r="E966" s="121" t="n"/>
      <c r="F966" s="121" t="n"/>
      <c r="G966" s="121" t="n"/>
      <c r="H966" s="121" t="n"/>
      <c r="I966" s="121" t="n"/>
      <c r="J966" s="122">
        <f>IF($A966="","",$B966+$C966+$D966-$E966+$F966-$G966)</f>
        <v/>
      </c>
      <c r="K966" s="122">
        <f>IF($A966="","",MAX(0,$B966-$J966))</f>
        <v/>
      </c>
      <c r="L966" s="123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</row>
    <row r="967" ht="15" customHeight="1" s="80">
      <c r="A967" s="125" t="n"/>
      <c r="B967" s="121" t="n"/>
      <c r="C967" s="121" t="n"/>
      <c r="D967" s="121" t="n"/>
      <c r="E967" s="121" t="n"/>
      <c r="F967" s="121" t="n"/>
      <c r="G967" s="121" t="n"/>
      <c r="H967" s="121" t="n"/>
      <c r="I967" s="121" t="n"/>
      <c r="J967" s="122">
        <f>IF($A967="","",$B967+$C967+$D967-$E967+$F967-$G967)</f>
        <v/>
      </c>
      <c r="K967" s="122">
        <f>IF($A967="","",MAX(0,$B967-$J967))</f>
        <v/>
      </c>
      <c r="L967" s="123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</row>
    <row r="968" ht="15" customHeight="1" s="80">
      <c r="A968" s="125" t="n"/>
      <c r="B968" s="121" t="n"/>
      <c r="C968" s="121" t="n"/>
      <c r="D968" s="121" t="n"/>
      <c r="E968" s="121" t="n"/>
      <c r="F968" s="121" t="n"/>
      <c r="G968" s="121" t="n"/>
      <c r="H968" s="121" t="n"/>
      <c r="I968" s="121" t="n"/>
      <c r="J968" s="122">
        <f>IF($A968="","",$B968+$C968+$D968-$E968+$F968-$G968)</f>
        <v/>
      </c>
      <c r="K968" s="122">
        <f>IF($A968="","",MAX(0,$B968-$J968))</f>
        <v/>
      </c>
      <c r="L968" s="123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</row>
    <row r="969" ht="15" customHeight="1" s="80">
      <c r="A969" s="125" t="n"/>
      <c r="B969" s="121" t="n"/>
      <c r="C969" s="121" t="n"/>
      <c r="D969" s="121" t="n"/>
      <c r="E969" s="121" t="n"/>
      <c r="F969" s="121" t="n"/>
      <c r="G969" s="121" t="n"/>
      <c r="H969" s="121" t="n"/>
      <c r="I969" s="121" t="n"/>
      <c r="J969" s="122">
        <f>IF($A969="","",$B969+$C969+$D969-$E969+$F969-$G969)</f>
        <v/>
      </c>
      <c r="K969" s="122">
        <f>IF($A969="","",MAX(0,$B969-$J969))</f>
        <v/>
      </c>
      <c r="L969" s="123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</row>
    <row r="970" ht="15" customHeight="1" s="80">
      <c r="A970" s="125" t="n"/>
      <c r="B970" s="121" t="n"/>
      <c r="C970" s="121" t="n"/>
      <c r="D970" s="121" t="n"/>
      <c r="E970" s="121" t="n"/>
      <c r="F970" s="121" t="n"/>
      <c r="G970" s="121" t="n"/>
      <c r="H970" s="121" t="n"/>
      <c r="I970" s="121" t="n"/>
      <c r="J970" s="122">
        <f>IF($A970="","",$B970+$C970+$D970-$E970+$F970-$G970)</f>
        <v/>
      </c>
      <c r="K970" s="122">
        <f>IF($A970="","",MAX(0,$B970-$J970))</f>
        <v/>
      </c>
      <c r="L970" s="123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</row>
    <row r="971" ht="15" customHeight="1" s="80">
      <c r="A971" s="125" t="n"/>
      <c r="B971" s="121" t="n"/>
      <c r="C971" s="121" t="n"/>
      <c r="D971" s="121" t="n"/>
      <c r="E971" s="121" t="n"/>
      <c r="F971" s="121" t="n"/>
      <c r="G971" s="121" t="n"/>
      <c r="H971" s="121" t="n"/>
      <c r="I971" s="121" t="n"/>
      <c r="J971" s="122">
        <f>IF($A971="","",$B971+$C971+$D971-$E971+$F971-$G971)</f>
        <v/>
      </c>
      <c r="K971" s="122">
        <f>IF($A971="","",MAX(0,$B971-$J971))</f>
        <v/>
      </c>
      <c r="L971" s="123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</row>
    <row r="972" ht="15" customHeight="1" s="80">
      <c r="A972" s="125" t="n"/>
      <c r="B972" s="121" t="n"/>
      <c r="C972" s="121" t="n"/>
      <c r="D972" s="121" t="n"/>
      <c r="E972" s="121" t="n"/>
      <c r="F972" s="121" t="n"/>
      <c r="G972" s="121" t="n"/>
      <c r="H972" s="121" t="n"/>
      <c r="I972" s="121" t="n"/>
      <c r="J972" s="122">
        <f>IF($A972="","",$B972+$C972+$D972-$E972+$F972-$G972)</f>
        <v/>
      </c>
      <c r="K972" s="122">
        <f>IF($A972="","",MAX(0,$B972-$J972))</f>
        <v/>
      </c>
      <c r="L972" s="123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</row>
    <row r="973" ht="15" customHeight="1" s="80">
      <c r="A973" s="125" t="n"/>
      <c r="B973" s="121" t="n"/>
      <c r="C973" s="121" t="n"/>
      <c r="D973" s="121" t="n"/>
      <c r="E973" s="121" t="n"/>
      <c r="F973" s="121" t="n"/>
      <c r="G973" s="121" t="n"/>
      <c r="H973" s="121" t="n"/>
      <c r="I973" s="121" t="n"/>
      <c r="J973" s="122">
        <f>IF($A973="","",$B973+$C973+$D973-$E973+$F973-$G973)</f>
        <v/>
      </c>
      <c r="K973" s="122">
        <f>IF($A973="","",MAX(0,$B973-$J973))</f>
        <v/>
      </c>
      <c r="L973" s="123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</row>
    <row r="974" ht="15" customHeight="1" s="80">
      <c r="A974" s="125" t="n"/>
      <c r="B974" s="121" t="n"/>
      <c r="C974" s="121" t="n"/>
      <c r="D974" s="121" t="n"/>
      <c r="E974" s="121" t="n"/>
      <c r="F974" s="121" t="n"/>
      <c r="G974" s="121" t="n"/>
      <c r="H974" s="121" t="n"/>
      <c r="I974" s="121" t="n"/>
      <c r="J974" s="122">
        <f>IF($A974="","",$B974+$C974+$D974-$E974+$F974-$G974)</f>
        <v/>
      </c>
      <c r="K974" s="122">
        <f>IF($A974="","",MAX(0,$B974-$J974))</f>
        <v/>
      </c>
      <c r="L974" s="123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</row>
    <row r="975" ht="15" customHeight="1" s="80">
      <c r="A975" s="125" t="n"/>
      <c r="B975" s="121" t="n"/>
      <c r="C975" s="121" t="n"/>
      <c r="D975" s="121" t="n"/>
      <c r="E975" s="121" t="n"/>
      <c r="F975" s="121" t="n"/>
      <c r="G975" s="121" t="n"/>
      <c r="H975" s="121" t="n"/>
      <c r="I975" s="121" t="n"/>
      <c r="J975" s="122">
        <f>IF($A975="","",$B975+$C975+$D975-$E975+$F975-$G975)</f>
        <v/>
      </c>
      <c r="K975" s="122">
        <f>IF($A975="","",MAX(0,$B975-$J975))</f>
        <v/>
      </c>
      <c r="L975" s="123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</row>
    <row r="976" ht="15" customHeight="1" s="80">
      <c r="A976" s="125" t="n"/>
      <c r="B976" s="121" t="n"/>
      <c r="C976" s="121" t="n"/>
      <c r="D976" s="121" t="n"/>
      <c r="E976" s="121" t="n"/>
      <c r="F976" s="121" t="n"/>
      <c r="G976" s="121" t="n"/>
      <c r="H976" s="121" t="n"/>
      <c r="I976" s="121" t="n"/>
      <c r="J976" s="122">
        <f>IF($A976="","",$B976+$C976+$D976-$E976+$F976-$G976)</f>
        <v/>
      </c>
      <c r="K976" s="122">
        <f>IF($A976="","",MAX(0,$B976-$J976))</f>
        <v/>
      </c>
      <c r="L976" s="123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</row>
    <row r="977" ht="15" customHeight="1" s="80">
      <c r="A977" s="125" t="n"/>
      <c r="B977" s="121" t="n"/>
      <c r="C977" s="121" t="n"/>
      <c r="D977" s="121" t="n"/>
      <c r="E977" s="121" t="n"/>
      <c r="F977" s="121" t="n"/>
      <c r="G977" s="121" t="n"/>
      <c r="H977" s="121" t="n"/>
      <c r="I977" s="121" t="n"/>
      <c r="J977" s="122">
        <f>IF($A977="","",$B977+$C977+$D977-$E977+$F977-$G977)</f>
        <v/>
      </c>
      <c r="K977" s="122">
        <f>IF($A977="","",MAX(0,$B977-$J977))</f>
        <v/>
      </c>
      <c r="L977" s="123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</row>
    <row r="978" ht="15" customHeight="1" s="80">
      <c r="A978" s="125" t="n"/>
      <c r="B978" s="121" t="n"/>
      <c r="C978" s="121" t="n"/>
      <c r="D978" s="121" t="n"/>
      <c r="E978" s="121" t="n"/>
      <c r="F978" s="121" t="n"/>
      <c r="G978" s="121" t="n"/>
      <c r="H978" s="121" t="n"/>
      <c r="I978" s="121" t="n"/>
      <c r="J978" s="122">
        <f>IF($A978="","",$B978+$C978+$D978-$E978+$F978-$G978)</f>
        <v/>
      </c>
      <c r="K978" s="122">
        <f>IF($A978="","",MAX(0,$B978-$J978))</f>
        <v/>
      </c>
      <c r="L978" s="123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</row>
    <row r="979" ht="15" customHeight="1" s="80">
      <c r="A979" s="125" t="n"/>
      <c r="B979" s="121" t="n"/>
      <c r="C979" s="121" t="n"/>
      <c r="D979" s="121" t="n"/>
      <c r="E979" s="121" t="n"/>
      <c r="F979" s="121" t="n"/>
      <c r="G979" s="121" t="n"/>
      <c r="H979" s="121" t="n"/>
      <c r="I979" s="121" t="n"/>
      <c r="J979" s="122">
        <f>IF($A979="","",$B979+$C979+$D979-$E979+$F979-$G979)</f>
        <v/>
      </c>
      <c r="K979" s="122">
        <f>IF($A979="","",MAX(0,$B979-$J979))</f>
        <v/>
      </c>
      <c r="L979" s="123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</row>
    <row r="980" ht="15" customHeight="1" s="80">
      <c r="A980" s="125" t="n"/>
      <c r="B980" s="121" t="n"/>
      <c r="C980" s="121" t="n"/>
      <c r="D980" s="121" t="n"/>
      <c r="E980" s="121" t="n"/>
      <c r="F980" s="121" t="n"/>
      <c r="G980" s="121" t="n"/>
      <c r="H980" s="121" t="n"/>
      <c r="I980" s="121" t="n"/>
      <c r="J980" s="122">
        <f>IF($A980="","",$B980+$C980+$D980-$E980+$F980-$G980)</f>
        <v/>
      </c>
      <c r="K980" s="122">
        <f>IF($A980="","",MAX(0,$B980-$J980))</f>
        <v/>
      </c>
      <c r="L980" s="123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</row>
    <row r="981" ht="15" customHeight="1" s="80">
      <c r="A981" s="125" t="n"/>
      <c r="B981" s="121" t="n"/>
      <c r="C981" s="121" t="n"/>
      <c r="D981" s="121" t="n"/>
      <c r="E981" s="121" t="n"/>
      <c r="F981" s="121" t="n"/>
      <c r="G981" s="121" t="n"/>
      <c r="H981" s="121" t="n"/>
      <c r="I981" s="121" t="n"/>
      <c r="J981" s="122">
        <f>IF($A981="","",$B981+$C981+$D981-$E981+$F981-$G981)</f>
        <v/>
      </c>
      <c r="K981" s="122">
        <f>IF($A981="","",MAX(0,$B981-$J981))</f>
        <v/>
      </c>
      <c r="L981" s="123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</row>
    <row r="982" ht="15" customHeight="1" s="80">
      <c r="A982" s="125" t="n"/>
      <c r="B982" s="121" t="n"/>
      <c r="C982" s="121" t="n"/>
      <c r="D982" s="121" t="n"/>
      <c r="E982" s="121" t="n"/>
      <c r="F982" s="121" t="n"/>
      <c r="G982" s="121" t="n"/>
      <c r="H982" s="121" t="n"/>
      <c r="I982" s="121" t="n"/>
      <c r="J982" s="122">
        <f>IF($A982="","",$B982+$C982+$D982-$E982+$F982-$G982)</f>
        <v/>
      </c>
      <c r="K982" s="122">
        <f>IF($A982="","",MAX(0,$B982-$J982))</f>
        <v/>
      </c>
      <c r="L982" s="123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</row>
    <row r="983" ht="15" customHeight="1" s="80">
      <c r="A983" s="125" t="n"/>
      <c r="B983" s="121" t="n"/>
      <c r="C983" s="121" t="n"/>
      <c r="D983" s="121" t="n"/>
      <c r="E983" s="121" t="n"/>
      <c r="F983" s="121" t="n"/>
      <c r="G983" s="121" t="n"/>
      <c r="H983" s="121" t="n"/>
      <c r="I983" s="121" t="n"/>
      <c r="J983" s="122">
        <f>IF($A983="","",$B983+$C983+$D983-$E983+$F983-$G983)</f>
        <v/>
      </c>
      <c r="K983" s="122">
        <f>IF($A983="","",MAX(0,$B983-$J983))</f>
        <v/>
      </c>
      <c r="L983" s="123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</row>
    <row r="984" ht="15" customHeight="1" s="80">
      <c r="A984" s="125" t="n"/>
      <c r="B984" s="121" t="n"/>
      <c r="C984" s="121" t="n"/>
      <c r="D984" s="121" t="n"/>
      <c r="E984" s="121" t="n"/>
      <c r="F984" s="121" t="n"/>
      <c r="G984" s="121" t="n"/>
      <c r="H984" s="121" t="n"/>
      <c r="I984" s="121" t="n"/>
      <c r="J984" s="122">
        <f>IF($A984="","",$B984+$C984+$D984-$E984+$F984-$G984)</f>
        <v/>
      </c>
      <c r="K984" s="122">
        <f>IF($A984="","",MAX(0,$B984-$J984))</f>
        <v/>
      </c>
      <c r="L984" s="123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</row>
    <row r="985" ht="15" customHeight="1" s="80">
      <c r="A985" s="125" t="n"/>
      <c r="B985" s="121" t="n"/>
      <c r="C985" s="121" t="n"/>
      <c r="D985" s="121" t="n"/>
      <c r="E985" s="121" t="n"/>
      <c r="F985" s="121" t="n"/>
      <c r="G985" s="121" t="n"/>
      <c r="H985" s="121" t="n"/>
      <c r="I985" s="121" t="n"/>
      <c r="J985" s="122">
        <f>IF($A985="","",$B985+$C985+$D985-$E985+$F985-$G985)</f>
        <v/>
      </c>
      <c r="K985" s="122">
        <f>IF($A985="","",MAX(0,$B985-$J985))</f>
        <v/>
      </c>
      <c r="L985" s="123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</row>
    <row r="986" ht="15" customHeight="1" s="80">
      <c r="A986" s="125" t="n"/>
      <c r="B986" s="121" t="n"/>
      <c r="C986" s="121" t="n"/>
      <c r="D986" s="121" t="n"/>
      <c r="E986" s="121" t="n"/>
      <c r="F986" s="121" t="n"/>
      <c r="G986" s="121" t="n"/>
      <c r="H986" s="121" t="n"/>
      <c r="I986" s="121" t="n"/>
      <c r="J986" s="122">
        <f>IF($A986="","",$B986+$C986+$D986-$E986+$F986-$G986)</f>
        <v/>
      </c>
      <c r="K986" s="122">
        <f>IF($A986="","",MAX(0,$B986-$J986))</f>
        <v/>
      </c>
      <c r="L986" s="123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</row>
    <row r="987" ht="15" customHeight="1" s="80">
      <c r="A987" s="125" t="n"/>
      <c r="B987" s="121" t="n"/>
      <c r="C987" s="121" t="n"/>
      <c r="D987" s="121" t="n"/>
      <c r="E987" s="121" t="n"/>
      <c r="F987" s="121" t="n"/>
      <c r="G987" s="121" t="n"/>
      <c r="H987" s="121" t="n"/>
      <c r="I987" s="121" t="n"/>
      <c r="J987" s="122">
        <f>IF($A987="","",$B987+$C987+$D987-$E987+$F987-$G987)</f>
        <v/>
      </c>
      <c r="K987" s="122">
        <f>IF($A987="","",MAX(0,$B987-$J987))</f>
        <v/>
      </c>
      <c r="L987" s="123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</row>
    <row r="988" ht="15" customHeight="1" s="80">
      <c r="A988" s="125" t="n"/>
      <c r="B988" s="121" t="n"/>
      <c r="C988" s="121" t="n"/>
      <c r="D988" s="121" t="n"/>
      <c r="E988" s="121" t="n"/>
      <c r="F988" s="121" t="n"/>
      <c r="G988" s="121" t="n"/>
      <c r="H988" s="121" t="n"/>
      <c r="I988" s="121" t="n"/>
      <c r="J988" s="122">
        <f>IF($A988="","",$B988+$C988+$D988-$E988+$F988-$G988)</f>
        <v/>
      </c>
      <c r="K988" s="122">
        <f>IF($A988="","",MAX(0,$B988-$J988))</f>
        <v/>
      </c>
      <c r="L988" s="123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</row>
    <row r="989" ht="15" customHeight="1" s="80">
      <c r="A989" s="125" t="n"/>
      <c r="B989" s="121" t="n"/>
      <c r="C989" s="121" t="n"/>
      <c r="D989" s="121" t="n"/>
      <c r="E989" s="121" t="n"/>
      <c r="F989" s="121" t="n"/>
      <c r="G989" s="121" t="n"/>
      <c r="H989" s="121" t="n"/>
      <c r="I989" s="121" t="n"/>
      <c r="J989" s="122">
        <f>IF($A989="","",$B989+$C989+$D989-$E989+$F989-$G989)</f>
        <v/>
      </c>
      <c r="K989" s="122">
        <f>IF($A989="","",MAX(0,$B989-$J989))</f>
        <v/>
      </c>
      <c r="L989" s="123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</row>
    <row r="990" ht="15" customHeight="1" s="80">
      <c r="A990" s="125" t="n"/>
      <c r="B990" s="121" t="n"/>
      <c r="C990" s="121" t="n"/>
      <c r="D990" s="121" t="n"/>
      <c r="E990" s="121" t="n"/>
      <c r="F990" s="121" t="n"/>
      <c r="G990" s="121" t="n"/>
      <c r="H990" s="121" t="n"/>
      <c r="I990" s="121" t="n"/>
      <c r="J990" s="122">
        <f>IF($A990="","",$B990+$C990+$D990-$E990+$F990-$G990)</f>
        <v/>
      </c>
      <c r="K990" s="122">
        <f>IF($A990="","",MAX(0,$B990-$J990))</f>
        <v/>
      </c>
      <c r="L990" s="123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</row>
    <row r="991" ht="15" customHeight="1" s="80">
      <c r="A991" s="125" t="n"/>
      <c r="B991" s="121" t="n"/>
      <c r="C991" s="121" t="n"/>
      <c r="D991" s="121" t="n"/>
      <c r="E991" s="121" t="n"/>
      <c r="F991" s="121" t="n"/>
      <c r="G991" s="121" t="n"/>
      <c r="H991" s="121" t="n"/>
      <c r="I991" s="121" t="n"/>
      <c r="J991" s="122">
        <f>IF($A991="","",$B991+$C991+$D991-$E991+$F991-$G991)</f>
        <v/>
      </c>
      <c r="K991" s="122">
        <f>IF($A991="","",MAX(0,$B991-$J991))</f>
        <v/>
      </c>
      <c r="L991" s="123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</row>
    <row r="992" ht="15" customHeight="1" s="80">
      <c r="A992" s="125" t="n"/>
      <c r="B992" s="121" t="n"/>
      <c r="C992" s="121" t="n"/>
      <c r="D992" s="121" t="n"/>
      <c r="E992" s="121" t="n"/>
      <c r="F992" s="121" t="n"/>
      <c r="G992" s="121" t="n"/>
      <c r="H992" s="121" t="n"/>
      <c r="I992" s="121" t="n"/>
      <c r="J992" s="122">
        <f>IF($A992="","",$B992+$C992+$D992-$E992+$F992-$G992)</f>
        <v/>
      </c>
      <c r="K992" s="122">
        <f>IF($A992="","",MAX(0,$B992-$J992))</f>
        <v/>
      </c>
      <c r="L992" s="123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</row>
    <row r="993" ht="15" customHeight="1" s="80">
      <c r="A993" s="125" t="n"/>
      <c r="B993" s="121" t="n"/>
      <c r="C993" s="121" t="n"/>
      <c r="D993" s="121" t="n"/>
      <c r="E993" s="121" t="n"/>
      <c r="F993" s="121" t="n"/>
      <c r="G993" s="121" t="n"/>
      <c r="H993" s="121" t="n"/>
      <c r="I993" s="121" t="n"/>
      <c r="J993" s="122">
        <f>IF($A993="","",$B993+$C993+$D993-$E993+$F993-$G993)</f>
        <v/>
      </c>
      <c r="K993" s="122">
        <f>IF($A993="","",MAX(0,$B993-$J993))</f>
        <v/>
      </c>
      <c r="L993" s="123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</row>
    <row r="994" ht="15" customHeight="1" s="80">
      <c r="A994" s="125" t="n"/>
      <c r="B994" s="121" t="n"/>
      <c r="C994" s="121" t="n"/>
      <c r="D994" s="121" t="n"/>
      <c r="E994" s="121" t="n"/>
      <c r="F994" s="121" t="n"/>
      <c r="G994" s="121" t="n"/>
      <c r="H994" s="121" t="n"/>
      <c r="I994" s="121" t="n"/>
      <c r="J994" s="122">
        <f>IF($A994="","",$B994+$C994+$D994-$E994+$F994-$G994)</f>
        <v/>
      </c>
      <c r="K994" s="122">
        <f>IF($A994="","",MAX(0,$B994-$J994))</f>
        <v/>
      </c>
      <c r="L994" s="123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</row>
    <row r="995" ht="15" customHeight="1" s="80">
      <c r="A995" s="125" t="n"/>
      <c r="B995" s="121" t="n"/>
      <c r="C995" s="121" t="n"/>
      <c r="D995" s="121" t="n"/>
      <c r="E995" s="121" t="n"/>
      <c r="F995" s="121" t="n"/>
      <c r="G995" s="121" t="n"/>
      <c r="H995" s="121" t="n"/>
      <c r="I995" s="121" t="n"/>
      <c r="J995" s="122">
        <f>IF($A995="","",$B995+$C995+$D995-$E995+$F995-$G995)</f>
        <v/>
      </c>
      <c r="K995" s="122">
        <f>IF($A995="","",MAX(0,$B995-$J995))</f>
        <v/>
      </c>
      <c r="L995" s="123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</row>
    <row r="996" ht="15" customHeight="1" s="80">
      <c r="A996" s="125" t="n"/>
      <c r="B996" s="121" t="n"/>
      <c r="C996" s="121" t="n"/>
      <c r="D996" s="121" t="n"/>
      <c r="E996" s="121" t="n"/>
      <c r="F996" s="121" t="n"/>
      <c r="G996" s="121" t="n"/>
      <c r="H996" s="121" t="n"/>
      <c r="I996" s="121" t="n"/>
      <c r="J996" s="122">
        <f>IF($A996="","",$B996+$C996+$D996-$E996+$F996-$G996)</f>
        <v/>
      </c>
      <c r="K996" s="122">
        <f>IF($A996="","",MAX(0,$B996-$J996))</f>
        <v/>
      </c>
      <c r="L996" s="123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</row>
    <row r="997" ht="15" customHeight="1" s="80">
      <c r="A997" s="125" t="n"/>
      <c r="B997" s="121" t="n"/>
      <c r="C997" s="121" t="n"/>
      <c r="D997" s="121" t="n"/>
      <c r="E997" s="121" t="n"/>
      <c r="F997" s="121" t="n"/>
      <c r="G997" s="121" t="n"/>
      <c r="H997" s="121" t="n"/>
      <c r="I997" s="121" t="n"/>
      <c r="J997" s="122">
        <f>IF($A997="","",$B997+$C997+$D997-$E997+$F997-$G997)</f>
        <v/>
      </c>
      <c r="K997" s="122">
        <f>IF($A997="","",MAX(0,$B997-$J997))</f>
        <v/>
      </c>
      <c r="L997" s="123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</row>
    <row r="998" ht="15" customHeight="1" s="80">
      <c r="A998" s="125" t="n"/>
      <c r="B998" s="121" t="n"/>
      <c r="C998" s="121" t="n"/>
      <c r="D998" s="121" t="n"/>
      <c r="E998" s="121" t="n"/>
      <c r="F998" s="121" t="n"/>
      <c r="G998" s="121" t="n"/>
      <c r="H998" s="121" t="n"/>
      <c r="I998" s="121" t="n"/>
      <c r="J998" s="122">
        <f>IF($A998="","",$B998+$C998+$D998-$E998+$F998-$G998)</f>
        <v/>
      </c>
      <c r="K998" s="122">
        <f>IF($A998="","",MAX(0,$B998-$J998))</f>
        <v/>
      </c>
      <c r="L998" s="123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</row>
    <row r="999" ht="15" customHeight="1" s="80">
      <c r="A999" s="125" t="n"/>
      <c r="B999" s="121" t="n"/>
      <c r="C999" s="121" t="n"/>
      <c r="D999" s="121" t="n"/>
      <c r="E999" s="121" t="n"/>
      <c r="F999" s="121" t="n"/>
      <c r="G999" s="121" t="n"/>
      <c r="H999" s="121" t="n"/>
      <c r="I999" s="121" t="n"/>
      <c r="J999" s="122">
        <f>IF($A999="","",$B999+$C999+$D999-$E999+$F999-$G999)</f>
        <v/>
      </c>
      <c r="K999" s="122">
        <f>IF($A999="","",MAX(0,$B999-$J999))</f>
        <v/>
      </c>
      <c r="L999" s="123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</row>
    <row r="1000" ht="15" customHeight="1" s="80">
      <c r="A1000" s="125" t="n"/>
      <c r="B1000" s="121" t="n"/>
      <c r="C1000" s="121" t="n"/>
      <c r="D1000" s="121" t="n"/>
      <c r="E1000" s="121" t="n"/>
      <c r="F1000" s="121" t="n"/>
      <c r="G1000" s="121" t="n"/>
      <c r="H1000" s="121" t="n"/>
      <c r="I1000" s="121" t="n"/>
      <c r="J1000" s="122">
        <f>IF($A1000="","",$B1000+$C1000+$D1000-$E1000+$F1000-$G1000)</f>
        <v/>
      </c>
      <c r="K1000" s="122">
        <f>IF($A1000="","",MAX(0,$B1000-$J1000))</f>
        <v/>
      </c>
      <c r="L1000" s="123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</row>
    <row r="1001" ht="15" customHeight="1" s="80">
      <c r="A1001" s="125" t="n"/>
      <c r="B1001" s="121" t="n"/>
      <c r="C1001" s="121" t="n"/>
      <c r="D1001" s="121" t="n"/>
      <c r="E1001" s="121" t="n"/>
      <c r="F1001" s="121" t="n"/>
      <c r="G1001" s="121" t="n"/>
      <c r="H1001" s="121" t="n"/>
      <c r="I1001" s="121" t="n"/>
      <c r="J1001" s="122">
        <f>IF($A1001="","",$B1001+$C1001+$D1001-$E1001+$F1001-$G1001)</f>
        <v/>
      </c>
      <c r="K1001" s="122">
        <f>IF($A1001="","",MAX(0,$B1001-$J1001))</f>
        <v/>
      </c>
      <c r="L1001" s="123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</row>
    <row r="1002" ht="15" customHeight="1" s="80">
      <c r="A1002" s="125" t="n"/>
      <c r="B1002" s="121" t="n"/>
      <c r="C1002" s="121" t="n"/>
      <c r="D1002" s="121" t="n"/>
      <c r="E1002" s="121" t="n"/>
      <c r="F1002" s="121" t="n"/>
      <c r="G1002" s="121" t="n"/>
      <c r="H1002" s="121" t="n"/>
      <c r="I1002" s="121" t="n"/>
      <c r="J1002" s="122">
        <f>IF($A1002="","",$B1002+$C1002+$D1002-$E1002+$F1002-$G1002)</f>
        <v/>
      </c>
      <c r="K1002" s="122">
        <f>IF($A1002="","",MAX(0,$B1002-$J1002))</f>
        <v/>
      </c>
      <c r="L1002" s="123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</row>
    <row r="1003" ht="15" customHeight="1" s="80">
      <c r="A1003" s="125" t="n"/>
      <c r="B1003" s="121" t="n"/>
      <c r="C1003" s="121" t="n"/>
      <c r="D1003" s="121" t="n"/>
      <c r="E1003" s="121" t="n"/>
      <c r="F1003" s="121" t="n"/>
      <c r="G1003" s="121" t="n"/>
      <c r="H1003" s="121" t="n"/>
      <c r="I1003" s="121" t="n"/>
      <c r="J1003" s="122">
        <f>IF($A1003="","",$B1003+$C1003+$D1003-$E1003+$F1003-$G1003)</f>
        <v/>
      </c>
      <c r="K1003" s="122">
        <f>IF($A1003="","",MAX(0,$B1003-$J1003))</f>
        <v/>
      </c>
      <c r="L1003" s="123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</row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K6:K1004">
    <cfRule type="cellIs" rank="0" priority="11" equalAverage="0" operator="greaterThan" aboveAverage="0" dxfId="12" text="" percent="0" bottom="0">
      <formula>0</formula>
    </cfRule>
  </conditionalFormatting>
  <conditionalFormatting sqref="L6:L1004">
    <cfRule type="cellIs" rank="0" priority="12" equalAverage="0" operator="greaterThan" aboveAverage="0" dxfId="11" text="" percent="0" bottom="0">
      <formula>0.666667</formula>
    </cfRule>
    <cfRule type="cellIs" rank="0" priority="13" equalAverage="0" operator="between" aboveAverage="0" dxfId="12" text="" percent="0" bottom="0">
      <formula>0.333333</formula>
      <formula>0.666667</formula>
    </cfRule>
    <cfRule type="cellIs" rank="0" priority="14" equalAverage="0" operator="lessThan" aboveAverage="0" dxfId="13" text="" percent="0" bottom="0">
      <formula>0.333333</formula>
    </cfRule>
  </conditionalFormatting>
  <conditionalFormatting sqref="M6:M1004">
    <cfRule type="cellIs" rank="0" priority="15" equalAverage="0" operator="equal" aboveAverage="0" dxfId="14" text="" percent="0" bottom="0">
      <formula>"BORCA BATIK"</formula>
    </cfRule>
    <cfRule type="cellIs" rank="0" priority="16" equalAverage="0" operator="equal" aboveAverage="0" dxfId="15" text="" percent="0" bottom="0">
      <formula>"2/3 KAYIP (KRİTİK)"</formula>
    </cfRule>
    <cfRule type="cellIs" rank="0" priority="17" equalAverage="0" operator="equal" aboveAverage="0" dxfId="15" text="" percent="0" bottom="0">
      <formula>"1/3 KAYIP (DİKKAT)"</formula>
    </cfRule>
    <cfRule type="cellIs" rank="0" priority="18" equalAverage="0" operator="equal" aboveAverage="0" dxfId="16" text="" percent="0" bottom="0">
      <formula>"UYGUN"</formula>
    </cfRule>
  </conditionalFormatting>
  <dataValidations count="9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000000000000 arasında olmalı." promptTitle="Ödenmiş Sermaye" prompt="Bu dönem sonu Ödenmiş Sermaye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000000000000 arasında olmalı." promptTitle="Yedekler" prompt="Bu dönem sonu Yedekler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0000000000 arasında olmalı." promptTitle="Geçmiş Yıl Kârı" prompt="Bu dönem sonu Geçmiş Yıl Kârı tutarını TL olarak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 değer" error="0 ile 1000000000000 arasında olmalı." promptTitle="Geçmiş Yıl Zararı" prompt="Bu dönem sonu Geçmiş Yıl Zararı tutarını TL olarak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 değer" error="0 ile 1000000000000 arasında olmalı." promptTitle="Dönem Kârı" prompt="Bu dönem sonu Dönem Kârı tutarını TL olarak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 değer" error="0 ile 1000000000000 arasında olmalı." promptTitle="Dönem Zararı" prompt="Bu dönem sonu Dönem Zararı tutarını TL olarak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 değer" error="0 ile 1000000000000 arasında olmalı." promptTitle="Toplam Borç" prompt="Bu dönem sonu Toplam Borç tutarını TL olarak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 değer" error="0 ile 1000000000000 arasında olmalı." promptTitle="Toplam Aktif" prompt="Bu dönem sonu Toplam Aktif tutarını TL olarak girin." type="decimal" errorStyle="stop" operator="between">
      <formula1>0</formula1>
      <formula2>1000000000000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20" customWidth="1" style="106" min="2" max="2"/>
    <col width="22" customWidth="1" style="106" min="3" max="3"/>
    <col width="14" customWidth="1" style="106" min="4" max="5"/>
    <col width="18" customWidth="1" style="106" min="6" max="6"/>
    <col width="14" customWidth="1" style="106" min="7" max="8"/>
    <col width="22" customWidth="1" style="106" min="9" max="9"/>
    <col width="16" customWidth="1" style="106" min="10" max="10"/>
  </cols>
  <sheetData>
    <row r="1" ht="25.5" customHeight="1" s="80">
      <c r="A1" s="107" t="inlineStr">
        <is>
          <t>BORC LISTESI — Şirket Öz Kaynağı Eridi Mi? (TTK 376 Sermaye Tamamlama Cetveli)</t>
        </is>
      </c>
    </row>
    <row r="3" ht="15.75" customHeight="1" s="80">
      <c r="A3" s="113" t="inlineStr">
        <is>
          <t>Borç Listesi</t>
        </is>
      </c>
    </row>
    <row r="4" ht="189" customHeight="1" s="80">
      <c r="A4" s="109" t="inlineStr">
        <is>
          <t>Sarı hücrelere dönem borçlarınızı girin. Yoğunlaşma (HHI) ve anomali analizleri bu listeden beslenir; borca batıklık kontrolünde dönem sonu toplam borç kullanılır.</t>
        </is>
      </c>
    </row>
    <row r="5" ht="30" customHeight="1" s="80">
      <c r="A5" s="118" t="inlineStr">
        <is>
          <t>Borç Kodu</t>
        </is>
      </c>
      <c r="B5" s="118" t="inlineStr">
        <is>
          <t>Borç Türü</t>
        </is>
      </c>
      <c r="C5" s="118" t="inlineStr">
        <is>
          <t>Alacaklı</t>
        </is>
      </c>
      <c r="D5" s="118" t="inlineStr">
        <is>
          <t>Kullanım Tarihi</t>
        </is>
      </c>
      <c r="E5" s="118" t="inlineStr">
        <is>
          <t>Vade Tarihi</t>
        </is>
      </c>
      <c r="F5" s="118" t="inlineStr">
        <is>
          <t>Borç Tutarı (₺)</t>
        </is>
      </c>
      <c r="G5" s="118" t="inlineStr">
        <is>
          <t>Yıllık Faiz Oranı</t>
        </is>
      </c>
      <c r="H5" s="118" t="inlineStr">
        <is>
          <t>Teminat Var mı?</t>
        </is>
      </c>
      <c r="I5" s="118" t="inlineStr">
        <is>
          <t>Açıklama</t>
        </is>
      </c>
      <c r="J5" s="118" t="inlineStr">
        <is>
          <t>Faiz Yükü (₺)</t>
        </is>
      </c>
    </row>
    <row r="6" ht="15.75" customHeight="1" s="80">
      <c r="A6" s="119" t="inlineStr">
        <is>
          <t>B-1001</t>
        </is>
      </c>
      <c r="B6" s="119" t="inlineStr">
        <is>
          <t>Banka Kredisi</t>
        </is>
      </c>
      <c r="C6" s="119" t="inlineStr">
        <is>
          <t>ABC Bank</t>
        </is>
      </c>
      <c r="D6" s="127" t="n">
        <v>46037</v>
      </c>
      <c r="E6" s="127" t="n">
        <v>46402</v>
      </c>
      <c r="F6" s="120" t="n">
        <v>3500000</v>
      </c>
      <c r="G6" s="128" t="n">
        <v>0.3</v>
      </c>
      <c r="H6" s="119" t="inlineStr">
        <is>
          <t>Evet</t>
        </is>
      </c>
      <c r="I6" s="119" t="inlineStr">
        <is>
          <t>İşletme kredisi</t>
        </is>
      </c>
      <c r="J6" s="122">
        <f>IF($A6="","",$F6*$G6)</f>
        <v/>
      </c>
    </row>
    <row r="7" ht="15" customHeight="1" s="80">
      <c r="A7" s="119" t="inlineStr">
        <is>
          <t>B-1002</t>
        </is>
      </c>
      <c r="B7" s="119" t="inlineStr">
        <is>
          <t>Tedarikçi Borcu</t>
        </is>
      </c>
      <c r="C7" s="119" t="inlineStr">
        <is>
          <t>Tedarikçi X</t>
        </is>
      </c>
      <c r="D7" s="127" t="n">
        <v>46054</v>
      </c>
      <c r="E7" s="127" t="n">
        <v>46235</v>
      </c>
      <c r="F7" s="120" t="n">
        <v>1200000</v>
      </c>
      <c r="G7" s="129" t="n">
        <v>0</v>
      </c>
      <c r="H7" s="119" t="inlineStr">
        <is>
          <t>Hayır</t>
        </is>
      </c>
      <c r="I7" s="119" t="inlineStr">
        <is>
          <t>Vadeli alım</t>
        </is>
      </c>
      <c r="J7" s="122">
        <f>IF($A7="","",$F7*$G7)</f>
        <v/>
      </c>
    </row>
    <row r="8" ht="15" customHeight="1" s="80">
      <c r="A8" s="119" t="inlineStr">
        <is>
          <t>B-1003</t>
        </is>
      </c>
      <c r="B8" s="119" t="inlineStr">
        <is>
          <t>Tahvil</t>
        </is>
      </c>
      <c r="C8" s="119" t="inlineStr">
        <is>
          <t>Kurumsal Tahvil</t>
        </is>
      </c>
      <c r="D8" s="127" t="n">
        <v>46091</v>
      </c>
      <c r="E8" s="127" t="n">
        <v>46822</v>
      </c>
      <c r="F8" s="120" t="n">
        <v>2000000</v>
      </c>
      <c r="G8" s="128" t="n">
        <v>0.28</v>
      </c>
      <c r="H8" s="119" t="inlineStr">
        <is>
          <t>Hayır</t>
        </is>
      </c>
      <c r="I8" s="119" t="inlineStr">
        <is>
          <t>Kurumsal tahvil</t>
        </is>
      </c>
      <c r="J8" s="122">
        <f>IF($A8="","",$F8*$G8)</f>
        <v/>
      </c>
    </row>
    <row r="9" ht="15" customHeight="1" s="80">
      <c r="A9" s="119" t="inlineStr">
        <is>
          <t>B-1004</t>
        </is>
      </c>
      <c r="B9" s="119" t="inlineStr">
        <is>
          <t>Ortak Borcu</t>
        </is>
      </c>
      <c r="C9" s="119" t="inlineStr">
        <is>
          <t>Ortak A</t>
        </is>
      </c>
      <c r="D9" s="127" t="n">
        <v>46117</v>
      </c>
      <c r="E9" s="127" t="n">
        <v>46482</v>
      </c>
      <c r="F9" s="120" t="n">
        <v>1800000</v>
      </c>
      <c r="G9" s="128" t="n">
        <v>0.2</v>
      </c>
      <c r="H9" s="119" t="inlineStr">
        <is>
          <t>Hayır</t>
        </is>
      </c>
      <c r="I9" s="119" t="inlineStr">
        <is>
          <t>Ortak avansı</t>
        </is>
      </c>
      <c r="J9" s="122">
        <f>IF($A9="","",$F9*$G9)</f>
        <v/>
      </c>
    </row>
    <row r="10" ht="15.75" customHeight="1" s="80">
      <c r="A10" s="119" t="inlineStr">
        <is>
          <t>B-1005</t>
        </is>
      </c>
      <c r="B10" s="119" t="inlineStr">
        <is>
          <t>Finansal Kiralama</t>
        </is>
      </c>
      <c r="C10" s="119" t="inlineStr">
        <is>
          <t>Kiralama A.Ş.</t>
        </is>
      </c>
      <c r="D10" s="127" t="n">
        <v>46162</v>
      </c>
      <c r="E10" s="127" t="n">
        <v>46893</v>
      </c>
      <c r="F10" s="120" t="n">
        <v>900000</v>
      </c>
      <c r="G10" s="128" t="n">
        <v>0.24</v>
      </c>
      <c r="H10" s="119" t="inlineStr">
        <is>
          <t>Evet</t>
        </is>
      </c>
      <c r="I10" s="119" t="inlineStr">
        <is>
          <t>Araç kiralaması</t>
        </is>
      </c>
      <c r="J10" s="122">
        <f>IF($A10="","",$F10*$G10)</f>
        <v/>
      </c>
    </row>
    <row r="11" ht="15.75" customHeight="1" s="80">
      <c r="A11" s="119" t="inlineStr">
        <is>
          <t>B-1006</t>
        </is>
      </c>
      <c r="B11" s="119" t="inlineStr">
        <is>
          <t>Banka Kredisi</t>
        </is>
      </c>
      <c r="C11" s="119" t="inlineStr">
        <is>
          <t>XYZ Bank</t>
        </is>
      </c>
      <c r="D11" s="127" t="n">
        <v>46174</v>
      </c>
      <c r="E11" s="127" t="n">
        <v>46539</v>
      </c>
      <c r="F11" s="120" t="n">
        <v>1500000</v>
      </c>
      <c r="G11" s="128" t="n">
        <v>0.32</v>
      </c>
      <c r="H11" s="119" t="inlineStr">
        <is>
          <t>Evet</t>
        </is>
      </c>
      <c r="I11" s="119" t="inlineStr">
        <is>
          <t>Yatırım kredisi</t>
        </is>
      </c>
      <c r="J11" s="122">
        <f>IF($A11="","",$F11*$G11)</f>
        <v/>
      </c>
    </row>
    <row r="12" ht="15" customHeight="1" s="80">
      <c r="A12" s="125" t="n"/>
      <c r="B12" s="125" t="n"/>
      <c r="C12" s="125" t="n"/>
      <c r="D12" s="130" t="n"/>
      <c r="E12" s="130" t="n"/>
      <c r="F12" s="121" t="n"/>
      <c r="G12" s="129" t="n"/>
      <c r="H12" s="125" t="n"/>
      <c r="I12" s="125" t="n"/>
      <c r="J12" s="122">
        <f>IF($A12="","",$F12*$G12)</f>
        <v/>
      </c>
    </row>
    <row r="13" ht="15" customHeight="1" s="80">
      <c r="A13" s="125" t="n"/>
      <c r="B13" s="125" t="n"/>
      <c r="C13" s="125" t="n"/>
      <c r="D13" s="130" t="n"/>
      <c r="E13" s="130" t="n"/>
      <c r="F13" s="121" t="n"/>
      <c r="G13" s="129" t="n"/>
      <c r="H13" s="125" t="n"/>
      <c r="I13" s="125" t="n"/>
      <c r="J13" s="122">
        <f>IF($A13="","",$F13*$G13)</f>
        <v/>
      </c>
    </row>
    <row r="14" ht="15" customHeight="1" s="80">
      <c r="A14" s="125" t="n"/>
      <c r="B14" s="125" t="n"/>
      <c r="C14" s="125" t="n"/>
      <c r="D14" s="130" t="n"/>
      <c r="E14" s="130" t="n"/>
      <c r="F14" s="121" t="n"/>
      <c r="G14" s="129" t="n"/>
      <c r="H14" s="125" t="n"/>
      <c r="I14" s="125" t="n"/>
      <c r="J14" s="122">
        <f>IF($A14="","",$F14*$G14)</f>
        <v/>
      </c>
    </row>
    <row r="15" ht="15" customHeight="1" s="80">
      <c r="A15" s="125" t="n"/>
      <c r="B15" s="125" t="n"/>
      <c r="C15" s="125" t="n"/>
      <c r="D15" s="130" t="n"/>
      <c r="E15" s="130" t="n"/>
      <c r="F15" s="121" t="n"/>
      <c r="G15" s="129" t="n"/>
      <c r="H15" s="125" t="n"/>
      <c r="I15" s="125" t="n"/>
      <c r="J15" s="122">
        <f>IF($A15="","",$F15*$G15)</f>
        <v/>
      </c>
    </row>
    <row r="16" ht="15" customHeight="1" s="80">
      <c r="A16" s="125" t="n"/>
      <c r="B16" s="125" t="n"/>
      <c r="C16" s="125" t="n"/>
      <c r="D16" s="130" t="n"/>
      <c r="E16" s="130" t="n"/>
      <c r="F16" s="121" t="n"/>
      <c r="G16" s="129" t="n"/>
      <c r="H16" s="125" t="n"/>
      <c r="I16" s="125" t="n"/>
      <c r="J16" s="122">
        <f>IF($A16="","",$F16*$G16)</f>
        <v/>
      </c>
    </row>
    <row r="17" ht="15" customHeight="1" s="80">
      <c r="A17" s="125" t="n"/>
      <c r="B17" s="125" t="n"/>
      <c r="C17" s="125" t="n"/>
      <c r="D17" s="130" t="n"/>
      <c r="E17" s="130" t="n"/>
      <c r="F17" s="121" t="n"/>
      <c r="G17" s="129" t="n"/>
      <c r="H17" s="125" t="n"/>
      <c r="I17" s="125" t="n"/>
      <c r="J17" s="122">
        <f>IF($A17="","",$F17*$G17)</f>
        <v/>
      </c>
    </row>
    <row r="18" ht="15" customHeight="1" s="80">
      <c r="A18" s="125" t="n"/>
      <c r="B18" s="125" t="n"/>
      <c r="C18" s="125" t="n"/>
      <c r="D18" s="130" t="n"/>
      <c r="E18" s="130" t="n"/>
      <c r="F18" s="121" t="n"/>
      <c r="G18" s="129" t="n"/>
      <c r="H18" s="125" t="n"/>
      <c r="I18" s="125" t="n"/>
      <c r="J18" s="122">
        <f>IF($A18="","",$F18*$G18)</f>
        <v/>
      </c>
    </row>
    <row r="19" ht="15" customHeight="1" s="80">
      <c r="A19" s="125" t="n"/>
      <c r="B19" s="125" t="n"/>
      <c r="C19" s="125" t="n"/>
      <c r="D19" s="130" t="n"/>
      <c r="E19" s="130" t="n"/>
      <c r="F19" s="121" t="n"/>
      <c r="G19" s="129" t="n"/>
      <c r="H19" s="125" t="n"/>
      <c r="I19" s="125" t="n"/>
      <c r="J19" s="122">
        <f>IF($A19="","",$F19*$G19)</f>
        <v/>
      </c>
    </row>
    <row r="20" ht="15" customHeight="1" s="80">
      <c r="A20" s="125" t="n"/>
      <c r="B20" s="125" t="n"/>
      <c r="C20" s="125" t="n"/>
      <c r="D20" s="130" t="n"/>
      <c r="E20" s="130" t="n"/>
      <c r="F20" s="121" t="n"/>
      <c r="G20" s="129" t="n"/>
      <c r="H20" s="125" t="n"/>
      <c r="I20" s="125" t="n"/>
      <c r="J20" s="122">
        <f>IF($A20="","",$F20*$G20)</f>
        <v/>
      </c>
    </row>
    <row r="21" ht="15" customHeight="1" s="80">
      <c r="A21" s="125" t="n"/>
      <c r="B21" s="125" t="n"/>
      <c r="C21" s="125" t="n"/>
      <c r="D21" s="130" t="n"/>
      <c r="E21" s="130" t="n"/>
      <c r="F21" s="121" t="n"/>
      <c r="G21" s="129" t="n"/>
      <c r="H21" s="125" t="n"/>
      <c r="I21" s="125" t="n"/>
      <c r="J21" s="122">
        <f>IF($A21="","",$F21*$G21)</f>
        <v/>
      </c>
    </row>
    <row r="22" ht="15" customHeight="1" s="80">
      <c r="A22" s="125" t="n"/>
      <c r="B22" s="125" t="n"/>
      <c r="C22" s="125" t="n"/>
      <c r="D22" s="130" t="n"/>
      <c r="E22" s="130" t="n"/>
      <c r="F22" s="121" t="n"/>
      <c r="G22" s="129" t="n"/>
      <c r="H22" s="125" t="n"/>
      <c r="I22" s="125" t="n"/>
      <c r="J22" s="122">
        <f>IF($A22="","",$F22*$G22)</f>
        <v/>
      </c>
    </row>
    <row r="23" ht="15" customHeight="1" s="80">
      <c r="A23" s="125" t="n"/>
      <c r="B23" s="125" t="n"/>
      <c r="C23" s="125" t="n"/>
      <c r="D23" s="130" t="n"/>
      <c r="E23" s="130" t="n"/>
      <c r="F23" s="121" t="n"/>
      <c r="G23" s="129" t="n"/>
      <c r="H23" s="125" t="n"/>
      <c r="I23" s="125" t="n"/>
      <c r="J23" s="122">
        <f>IF($A23="","",$F23*$G23)</f>
        <v/>
      </c>
    </row>
    <row r="24" ht="15" customHeight="1" s="80">
      <c r="A24" s="125" t="n"/>
      <c r="B24" s="125" t="n"/>
      <c r="C24" s="125" t="n"/>
      <c r="D24" s="130" t="n"/>
      <c r="E24" s="130" t="n"/>
      <c r="F24" s="121" t="n"/>
      <c r="G24" s="129" t="n"/>
      <c r="H24" s="125" t="n"/>
      <c r="I24" s="125" t="n"/>
      <c r="J24" s="122">
        <f>IF($A24="","",$F24*$G24)</f>
        <v/>
      </c>
    </row>
    <row r="25" ht="15" customHeight="1" s="80">
      <c r="A25" s="125" t="n"/>
      <c r="B25" s="125" t="n"/>
      <c r="C25" s="125" t="n"/>
      <c r="D25" s="130" t="n"/>
      <c r="E25" s="130" t="n"/>
      <c r="F25" s="121" t="n"/>
      <c r="G25" s="129" t="n"/>
      <c r="H25" s="125" t="n"/>
      <c r="I25" s="125" t="n"/>
      <c r="J25" s="122">
        <f>IF($A25="","",$F25*$G25)</f>
        <v/>
      </c>
    </row>
    <row r="26" ht="15" customHeight="1" s="80">
      <c r="A26" s="125" t="n"/>
      <c r="B26" s="125" t="n"/>
      <c r="C26" s="125" t="n"/>
      <c r="D26" s="130" t="n"/>
      <c r="E26" s="130" t="n"/>
      <c r="F26" s="121" t="n"/>
      <c r="G26" s="129" t="n"/>
      <c r="H26" s="125" t="n"/>
      <c r="I26" s="125" t="n"/>
      <c r="J26" s="122">
        <f>IF($A26="","",$F26*$G26)</f>
        <v/>
      </c>
    </row>
    <row r="27" ht="15" customHeight="1" s="80">
      <c r="A27" s="125" t="n"/>
      <c r="B27" s="125" t="n"/>
      <c r="C27" s="125" t="n"/>
      <c r="D27" s="130" t="n"/>
      <c r="E27" s="130" t="n"/>
      <c r="F27" s="121" t="n"/>
      <c r="G27" s="129" t="n"/>
      <c r="H27" s="125" t="n"/>
      <c r="I27" s="125" t="n"/>
      <c r="J27" s="122">
        <f>IF($A27="","",$F27*$G27)</f>
        <v/>
      </c>
    </row>
    <row r="28" ht="15" customHeight="1" s="80">
      <c r="A28" s="125" t="n"/>
      <c r="B28" s="125" t="n"/>
      <c r="C28" s="125" t="n"/>
      <c r="D28" s="130" t="n"/>
      <c r="E28" s="130" t="n"/>
      <c r="F28" s="121" t="n"/>
      <c r="G28" s="129" t="n"/>
      <c r="H28" s="125" t="n"/>
      <c r="I28" s="125" t="n"/>
      <c r="J28" s="122">
        <f>IF($A28="","",$F28*$G28)</f>
        <v/>
      </c>
    </row>
    <row r="29" ht="15" customHeight="1" s="80">
      <c r="A29" s="125" t="n"/>
      <c r="B29" s="125" t="n"/>
      <c r="C29" s="125" t="n"/>
      <c r="D29" s="130" t="n"/>
      <c r="E29" s="130" t="n"/>
      <c r="F29" s="121" t="n"/>
      <c r="G29" s="129" t="n"/>
      <c r="H29" s="125" t="n"/>
      <c r="I29" s="125" t="n"/>
      <c r="J29" s="122">
        <f>IF($A29="","",$F29*$G29)</f>
        <v/>
      </c>
    </row>
    <row r="30" ht="15" customHeight="1" s="80">
      <c r="A30" s="125" t="n"/>
      <c r="B30" s="125" t="n"/>
      <c r="C30" s="125" t="n"/>
      <c r="D30" s="130" t="n"/>
      <c r="E30" s="130" t="n"/>
      <c r="F30" s="121" t="n"/>
      <c r="G30" s="129" t="n"/>
      <c r="H30" s="125" t="n"/>
      <c r="I30" s="125" t="n"/>
      <c r="J30" s="122">
        <f>IF($A30="","",$F30*$G30)</f>
        <v/>
      </c>
    </row>
    <row r="31" ht="15" customHeight="1" s="80">
      <c r="A31" s="125" t="n"/>
      <c r="B31" s="125" t="n"/>
      <c r="C31" s="125" t="n"/>
      <c r="D31" s="130" t="n"/>
      <c r="E31" s="130" t="n"/>
      <c r="F31" s="121" t="n"/>
      <c r="G31" s="129" t="n"/>
      <c r="H31" s="125" t="n"/>
      <c r="I31" s="125" t="n"/>
      <c r="J31" s="122">
        <f>IF($A31="","",$F31*$G31)</f>
        <v/>
      </c>
    </row>
    <row r="32" ht="15" customHeight="1" s="80">
      <c r="A32" s="125" t="n"/>
      <c r="B32" s="125" t="n"/>
      <c r="C32" s="125" t="n"/>
      <c r="D32" s="130" t="n"/>
      <c r="E32" s="130" t="n"/>
      <c r="F32" s="121" t="n"/>
      <c r="G32" s="129" t="n"/>
      <c r="H32" s="125" t="n"/>
      <c r="I32" s="125" t="n"/>
      <c r="J32" s="122">
        <f>IF($A32="","",$F32*$G32)</f>
        <v/>
      </c>
    </row>
    <row r="33" ht="15" customHeight="1" s="80">
      <c r="A33" s="125" t="n"/>
      <c r="B33" s="125" t="n"/>
      <c r="C33" s="125" t="n"/>
      <c r="D33" s="130" t="n"/>
      <c r="E33" s="130" t="n"/>
      <c r="F33" s="121" t="n"/>
      <c r="G33" s="129" t="n"/>
      <c r="H33" s="125" t="n"/>
      <c r="I33" s="125" t="n"/>
      <c r="J33" s="122">
        <f>IF($A33="","",$F33*$G33)</f>
        <v/>
      </c>
    </row>
    <row r="34" ht="15" customHeight="1" s="80">
      <c r="A34" s="125" t="n"/>
      <c r="B34" s="125" t="n"/>
      <c r="C34" s="125" t="n"/>
      <c r="D34" s="130" t="n"/>
      <c r="E34" s="130" t="n"/>
      <c r="F34" s="121" t="n"/>
      <c r="G34" s="129" t="n"/>
      <c r="H34" s="125" t="n"/>
      <c r="I34" s="125" t="n"/>
      <c r="J34" s="122">
        <f>IF($A34="","",$F34*$G34)</f>
        <v/>
      </c>
    </row>
    <row r="35" ht="15" customHeight="1" s="80">
      <c r="A35" s="125" t="n"/>
      <c r="B35" s="125" t="n"/>
      <c r="C35" s="125" t="n"/>
      <c r="D35" s="130" t="n"/>
      <c r="E35" s="130" t="n"/>
      <c r="F35" s="121" t="n"/>
      <c r="G35" s="129" t="n"/>
      <c r="H35" s="125" t="n"/>
      <c r="I35" s="125" t="n"/>
      <c r="J35" s="122">
        <f>IF($A35="","",$F35*$G35)</f>
        <v/>
      </c>
    </row>
    <row r="36" ht="15" customHeight="1" s="80">
      <c r="A36" s="125" t="n"/>
      <c r="B36" s="125" t="n"/>
      <c r="C36" s="125" t="n"/>
      <c r="D36" s="130" t="n"/>
      <c r="E36" s="130" t="n"/>
      <c r="F36" s="121" t="n"/>
      <c r="G36" s="129" t="n"/>
      <c r="H36" s="125" t="n"/>
      <c r="I36" s="125" t="n"/>
      <c r="J36" s="122">
        <f>IF($A36="","",$F36*$G36)</f>
        <v/>
      </c>
    </row>
    <row r="37" ht="15" customHeight="1" s="80">
      <c r="A37" s="125" t="n"/>
      <c r="B37" s="125" t="n"/>
      <c r="C37" s="125" t="n"/>
      <c r="D37" s="130" t="n"/>
      <c r="E37" s="130" t="n"/>
      <c r="F37" s="121" t="n"/>
      <c r="G37" s="129" t="n"/>
      <c r="H37" s="125" t="n"/>
      <c r="I37" s="125" t="n"/>
      <c r="J37" s="122">
        <f>IF($A37="","",$F37*$G37)</f>
        <v/>
      </c>
    </row>
    <row r="38" ht="15" customHeight="1" s="80">
      <c r="A38" s="125" t="n"/>
      <c r="B38" s="125" t="n"/>
      <c r="C38" s="125" t="n"/>
      <c r="D38" s="130" t="n"/>
      <c r="E38" s="130" t="n"/>
      <c r="F38" s="121" t="n"/>
      <c r="G38" s="129" t="n"/>
      <c r="H38" s="125" t="n"/>
      <c r="I38" s="125" t="n"/>
      <c r="J38" s="122">
        <f>IF($A38="","",$F38*$G38)</f>
        <v/>
      </c>
    </row>
    <row r="39" ht="15" customHeight="1" s="80">
      <c r="A39" s="125" t="n"/>
      <c r="B39" s="125" t="n"/>
      <c r="C39" s="125" t="n"/>
      <c r="D39" s="130" t="n"/>
      <c r="E39" s="130" t="n"/>
      <c r="F39" s="121" t="n"/>
      <c r="G39" s="129" t="n"/>
      <c r="H39" s="125" t="n"/>
      <c r="I39" s="125" t="n"/>
      <c r="J39" s="122">
        <f>IF($A39="","",$F39*$G39)</f>
        <v/>
      </c>
    </row>
    <row r="40" ht="15" customHeight="1" s="80">
      <c r="A40" s="125" t="n"/>
      <c r="B40" s="125" t="n"/>
      <c r="C40" s="125" t="n"/>
      <c r="D40" s="130" t="n"/>
      <c r="E40" s="130" t="n"/>
      <c r="F40" s="121" t="n"/>
      <c r="G40" s="129" t="n"/>
      <c r="H40" s="125" t="n"/>
      <c r="I40" s="125" t="n"/>
      <c r="J40" s="122">
        <f>IF($A40="","",$F40*$G40)</f>
        <v/>
      </c>
    </row>
    <row r="41" ht="15" customHeight="1" s="80">
      <c r="A41" s="125" t="n"/>
      <c r="B41" s="125" t="n"/>
      <c r="C41" s="125" t="n"/>
      <c r="D41" s="130" t="n"/>
      <c r="E41" s="130" t="n"/>
      <c r="F41" s="121" t="n"/>
      <c r="G41" s="129" t="n"/>
      <c r="H41" s="125" t="n"/>
      <c r="I41" s="125" t="n"/>
      <c r="J41" s="122">
        <f>IF($A41="","",$F41*$G41)</f>
        <v/>
      </c>
    </row>
    <row r="42" ht="15" customHeight="1" s="80">
      <c r="A42" s="125" t="n"/>
      <c r="B42" s="125" t="n"/>
      <c r="C42" s="125" t="n"/>
      <c r="D42" s="130" t="n"/>
      <c r="E42" s="130" t="n"/>
      <c r="F42" s="121" t="n"/>
      <c r="G42" s="129" t="n"/>
      <c r="H42" s="125" t="n"/>
      <c r="I42" s="125" t="n"/>
      <c r="J42" s="122">
        <f>IF($A42="","",$F42*$G42)</f>
        <v/>
      </c>
    </row>
    <row r="43" ht="15" customHeight="1" s="80">
      <c r="A43" s="125" t="n"/>
      <c r="B43" s="125" t="n"/>
      <c r="C43" s="125" t="n"/>
      <c r="D43" s="130" t="n"/>
      <c r="E43" s="130" t="n"/>
      <c r="F43" s="121" t="n"/>
      <c r="G43" s="129" t="n"/>
      <c r="H43" s="125" t="n"/>
      <c r="I43" s="125" t="n"/>
      <c r="J43" s="122">
        <f>IF($A43="","",$F43*$G43)</f>
        <v/>
      </c>
    </row>
    <row r="44" ht="15" customHeight="1" s="80">
      <c r="A44" s="125" t="n"/>
      <c r="B44" s="125" t="n"/>
      <c r="C44" s="125" t="n"/>
      <c r="D44" s="130" t="n"/>
      <c r="E44" s="130" t="n"/>
      <c r="F44" s="121" t="n"/>
      <c r="G44" s="129" t="n"/>
      <c r="H44" s="125" t="n"/>
      <c r="I44" s="125" t="n"/>
      <c r="J44" s="122">
        <f>IF($A44="","",$F44*$G44)</f>
        <v/>
      </c>
    </row>
    <row r="45" ht="15" customHeight="1" s="80">
      <c r="A45" s="125" t="n"/>
      <c r="B45" s="125" t="n"/>
      <c r="C45" s="125" t="n"/>
      <c r="D45" s="130" t="n"/>
      <c r="E45" s="130" t="n"/>
      <c r="F45" s="121" t="n"/>
      <c r="G45" s="129" t="n"/>
      <c r="H45" s="125" t="n"/>
      <c r="I45" s="125" t="n"/>
      <c r="J45" s="122">
        <f>IF($A45="","",$F45*$G45)</f>
        <v/>
      </c>
    </row>
    <row r="46" ht="15" customHeight="1" s="80">
      <c r="A46" s="125" t="n"/>
      <c r="B46" s="125" t="n"/>
      <c r="C46" s="125" t="n"/>
      <c r="D46" s="130" t="n"/>
      <c r="E46" s="130" t="n"/>
      <c r="F46" s="121" t="n"/>
      <c r="G46" s="129" t="n"/>
      <c r="H46" s="125" t="n"/>
      <c r="I46" s="125" t="n"/>
      <c r="J46" s="122">
        <f>IF($A46="","",$F46*$G46)</f>
        <v/>
      </c>
    </row>
    <row r="47" ht="15" customHeight="1" s="80">
      <c r="A47" s="125" t="n"/>
      <c r="B47" s="125" t="n"/>
      <c r="C47" s="125" t="n"/>
      <c r="D47" s="130" t="n"/>
      <c r="E47" s="130" t="n"/>
      <c r="F47" s="121" t="n"/>
      <c r="G47" s="129" t="n"/>
      <c r="H47" s="125" t="n"/>
      <c r="I47" s="125" t="n"/>
      <c r="J47" s="122">
        <f>IF($A47="","",$F47*$G47)</f>
        <v/>
      </c>
    </row>
    <row r="48" ht="15" customHeight="1" s="80">
      <c r="A48" s="125" t="n"/>
      <c r="B48" s="125" t="n"/>
      <c r="C48" s="125" t="n"/>
      <c r="D48" s="130" t="n"/>
      <c r="E48" s="130" t="n"/>
      <c r="F48" s="121" t="n"/>
      <c r="G48" s="129" t="n"/>
      <c r="H48" s="125" t="n"/>
      <c r="I48" s="125" t="n"/>
      <c r="J48" s="122">
        <f>IF($A48="","",$F48*$G48)</f>
        <v/>
      </c>
    </row>
    <row r="49" ht="15" customHeight="1" s="80">
      <c r="A49" s="125" t="n"/>
      <c r="B49" s="125" t="n"/>
      <c r="C49" s="125" t="n"/>
      <c r="D49" s="130" t="n"/>
      <c r="E49" s="130" t="n"/>
      <c r="F49" s="121" t="n"/>
      <c r="G49" s="129" t="n"/>
      <c r="H49" s="125" t="n"/>
      <c r="I49" s="125" t="n"/>
      <c r="J49" s="122">
        <f>IF($A49="","",$F49*$G49)</f>
        <v/>
      </c>
    </row>
    <row r="50" ht="15" customHeight="1" s="80">
      <c r="A50" s="125" t="n"/>
      <c r="B50" s="125" t="n"/>
      <c r="C50" s="125" t="n"/>
      <c r="D50" s="130" t="n"/>
      <c r="E50" s="130" t="n"/>
      <c r="F50" s="121" t="n"/>
      <c r="G50" s="129" t="n"/>
      <c r="H50" s="125" t="n"/>
      <c r="I50" s="125" t="n"/>
      <c r="J50" s="122">
        <f>IF($A50="","",$F50*$G50)</f>
        <v/>
      </c>
    </row>
    <row r="51" ht="15" customHeight="1" s="80">
      <c r="A51" s="125" t="n"/>
      <c r="B51" s="125" t="n"/>
      <c r="C51" s="125" t="n"/>
      <c r="D51" s="130" t="n"/>
      <c r="E51" s="130" t="n"/>
      <c r="F51" s="121" t="n"/>
      <c r="G51" s="129" t="n"/>
      <c r="H51" s="125" t="n"/>
      <c r="I51" s="125" t="n"/>
      <c r="J51" s="122">
        <f>IF($A51="","",$F51*$G51)</f>
        <v/>
      </c>
    </row>
    <row r="52" ht="15" customHeight="1" s="80">
      <c r="A52" s="125" t="n"/>
      <c r="B52" s="125" t="n"/>
      <c r="C52" s="125" t="n"/>
      <c r="D52" s="130" t="n"/>
      <c r="E52" s="130" t="n"/>
      <c r="F52" s="121" t="n"/>
      <c r="G52" s="129" t="n"/>
      <c r="H52" s="125" t="n"/>
      <c r="I52" s="125" t="n"/>
      <c r="J52" s="122">
        <f>IF($A52="","",$F52*$G52)</f>
        <v/>
      </c>
    </row>
    <row r="53" ht="15" customHeight="1" s="80">
      <c r="A53" s="125" t="n"/>
      <c r="B53" s="125" t="n"/>
      <c r="C53" s="125" t="n"/>
      <c r="D53" s="130" t="n"/>
      <c r="E53" s="130" t="n"/>
      <c r="F53" s="121" t="n"/>
      <c r="G53" s="129" t="n"/>
      <c r="H53" s="125" t="n"/>
      <c r="I53" s="125" t="n"/>
      <c r="J53" s="122">
        <f>IF($A53="","",$F53*$G53)</f>
        <v/>
      </c>
    </row>
    <row r="54" ht="15" customHeight="1" s="80">
      <c r="A54" s="125" t="n"/>
      <c r="B54" s="125" t="n"/>
      <c r="C54" s="125" t="n"/>
      <c r="D54" s="130" t="n"/>
      <c r="E54" s="130" t="n"/>
      <c r="F54" s="121" t="n"/>
      <c r="G54" s="129" t="n"/>
      <c r="H54" s="125" t="n"/>
      <c r="I54" s="125" t="n"/>
      <c r="J54" s="122">
        <f>IF($A54="","",$F54*$G54)</f>
        <v/>
      </c>
    </row>
    <row r="55" ht="15" customHeight="1" s="80">
      <c r="A55" s="125" t="n"/>
      <c r="B55" s="125" t="n"/>
      <c r="C55" s="125" t="n"/>
      <c r="D55" s="130" t="n"/>
      <c r="E55" s="130" t="n"/>
      <c r="F55" s="121" t="n"/>
      <c r="G55" s="129" t="n"/>
      <c r="H55" s="125" t="n"/>
      <c r="I55" s="125" t="n"/>
      <c r="J55" s="122">
        <f>IF($A55="","",$F55*$G55)</f>
        <v/>
      </c>
    </row>
    <row r="56" ht="15" customHeight="1" s="80">
      <c r="A56" s="125" t="n"/>
      <c r="B56" s="125" t="n"/>
      <c r="C56" s="125" t="n"/>
      <c r="D56" s="130" t="n"/>
      <c r="E56" s="130" t="n"/>
      <c r="F56" s="121" t="n"/>
      <c r="G56" s="129" t="n"/>
      <c r="H56" s="125" t="n"/>
      <c r="I56" s="125" t="n"/>
      <c r="J56" s="122">
        <f>IF($A56="","",$F56*$G56)</f>
        <v/>
      </c>
    </row>
    <row r="57" ht="15" customHeight="1" s="80">
      <c r="A57" s="125" t="n"/>
      <c r="B57" s="125" t="n"/>
      <c r="C57" s="125" t="n"/>
      <c r="D57" s="130" t="n"/>
      <c r="E57" s="130" t="n"/>
      <c r="F57" s="121" t="n"/>
      <c r="G57" s="129" t="n"/>
      <c r="H57" s="125" t="n"/>
      <c r="I57" s="125" t="n"/>
      <c r="J57" s="122">
        <f>IF($A57="","",$F57*$G57)</f>
        <v/>
      </c>
    </row>
    <row r="58" ht="15" customHeight="1" s="80">
      <c r="A58" s="125" t="n"/>
      <c r="B58" s="125" t="n"/>
      <c r="C58" s="125" t="n"/>
      <c r="D58" s="130" t="n"/>
      <c r="E58" s="130" t="n"/>
      <c r="F58" s="121" t="n"/>
      <c r="G58" s="129" t="n"/>
      <c r="H58" s="125" t="n"/>
      <c r="I58" s="125" t="n"/>
      <c r="J58" s="122">
        <f>IF($A58="","",$F58*$G58)</f>
        <v/>
      </c>
    </row>
    <row r="59" ht="15" customHeight="1" s="80">
      <c r="A59" s="125" t="n"/>
      <c r="B59" s="125" t="n"/>
      <c r="C59" s="125" t="n"/>
      <c r="D59" s="130" t="n"/>
      <c r="E59" s="130" t="n"/>
      <c r="F59" s="121" t="n"/>
      <c r="G59" s="129" t="n"/>
      <c r="H59" s="125" t="n"/>
      <c r="I59" s="125" t="n"/>
      <c r="J59" s="122">
        <f>IF($A59="","",$F59*$G59)</f>
        <v/>
      </c>
    </row>
    <row r="60" ht="15" customHeight="1" s="80">
      <c r="A60" s="125" t="n"/>
      <c r="B60" s="125" t="n"/>
      <c r="C60" s="125" t="n"/>
      <c r="D60" s="130" t="n"/>
      <c r="E60" s="130" t="n"/>
      <c r="F60" s="121" t="n"/>
      <c r="G60" s="129" t="n"/>
      <c r="H60" s="125" t="n"/>
      <c r="I60" s="125" t="n"/>
      <c r="J60" s="122">
        <f>IF($A60="","",$F60*$G60)</f>
        <v/>
      </c>
    </row>
    <row r="61" ht="15" customHeight="1" s="80">
      <c r="A61" s="125" t="n"/>
      <c r="B61" s="125" t="n"/>
      <c r="C61" s="125" t="n"/>
      <c r="D61" s="130" t="n"/>
      <c r="E61" s="130" t="n"/>
      <c r="F61" s="121" t="n"/>
      <c r="G61" s="129" t="n"/>
      <c r="H61" s="125" t="n"/>
      <c r="I61" s="125" t="n"/>
      <c r="J61" s="122">
        <f>IF($A61="","",$F61*$G61)</f>
        <v/>
      </c>
    </row>
    <row r="62" ht="15" customHeight="1" s="80">
      <c r="A62" s="125" t="n"/>
      <c r="B62" s="125" t="n"/>
      <c r="C62" s="125" t="n"/>
      <c r="D62" s="130" t="n"/>
      <c r="E62" s="130" t="n"/>
      <c r="F62" s="121" t="n"/>
      <c r="G62" s="129" t="n"/>
      <c r="H62" s="125" t="n"/>
      <c r="I62" s="125" t="n"/>
      <c r="J62" s="122">
        <f>IF($A62="","",$F62*$G62)</f>
        <v/>
      </c>
    </row>
    <row r="63" ht="15" customHeight="1" s="80">
      <c r="A63" s="125" t="n"/>
      <c r="B63" s="125" t="n"/>
      <c r="C63" s="125" t="n"/>
      <c r="D63" s="130" t="n"/>
      <c r="E63" s="130" t="n"/>
      <c r="F63" s="121" t="n"/>
      <c r="G63" s="129" t="n"/>
      <c r="H63" s="125" t="n"/>
      <c r="I63" s="125" t="n"/>
      <c r="J63" s="122">
        <f>IF($A63="","",$F63*$G63)</f>
        <v/>
      </c>
    </row>
    <row r="64" ht="15" customHeight="1" s="80">
      <c r="A64" s="125" t="n"/>
      <c r="B64" s="125" t="n"/>
      <c r="C64" s="125" t="n"/>
      <c r="D64" s="130" t="n"/>
      <c r="E64" s="130" t="n"/>
      <c r="F64" s="121" t="n"/>
      <c r="G64" s="129" t="n"/>
      <c r="H64" s="125" t="n"/>
      <c r="I64" s="125" t="n"/>
      <c r="J64" s="122">
        <f>IF($A64="","",$F64*$G64)</f>
        <v/>
      </c>
    </row>
    <row r="65" ht="15" customHeight="1" s="80">
      <c r="A65" s="125" t="n"/>
      <c r="B65" s="125" t="n"/>
      <c r="C65" s="125" t="n"/>
      <c r="D65" s="130" t="n"/>
      <c r="E65" s="130" t="n"/>
      <c r="F65" s="121" t="n"/>
      <c r="G65" s="129" t="n"/>
      <c r="H65" s="125" t="n"/>
      <c r="I65" s="125" t="n"/>
      <c r="J65" s="122">
        <f>IF($A65="","",$F65*$G65)</f>
        <v/>
      </c>
    </row>
    <row r="66" ht="15" customHeight="1" s="80">
      <c r="A66" s="125" t="n"/>
      <c r="B66" s="125" t="n"/>
      <c r="C66" s="125" t="n"/>
      <c r="D66" s="130" t="n"/>
      <c r="E66" s="130" t="n"/>
      <c r="F66" s="121" t="n"/>
      <c r="G66" s="129" t="n"/>
      <c r="H66" s="125" t="n"/>
      <c r="I66" s="125" t="n"/>
      <c r="J66" s="122">
        <f>IF($A66="","",$F66*$G66)</f>
        <v/>
      </c>
    </row>
    <row r="67" ht="15" customHeight="1" s="80">
      <c r="A67" s="125" t="n"/>
      <c r="B67" s="125" t="n"/>
      <c r="C67" s="125" t="n"/>
      <c r="D67" s="130" t="n"/>
      <c r="E67" s="130" t="n"/>
      <c r="F67" s="121" t="n"/>
      <c r="G67" s="129" t="n"/>
      <c r="H67" s="125" t="n"/>
      <c r="I67" s="125" t="n"/>
      <c r="J67" s="122">
        <f>IF($A67="","",$F67*$G67)</f>
        <v/>
      </c>
    </row>
    <row r="68" ht="15" customHeight="1" s="80">
      <c r="A68" s="125" t="n"/>
      <c r="B68" s="125" t="n"/>
      <c r="C68" s="125" t="n"/>
      <c r="D68" s="130" t="n"/>
      <c r="E68" s="130" t="n"/>
      <c r="F68" s="121" t="n"/>
      <c r="G68" s="129" t="n"/>
      <c r="H68" s="125" t="n"/>
      <c r="I68" s="125" t="n"/>
      <c r="J68" s="122">
        <f>IF($A68="","",$F68*$G68)</f>
        <v/>
      </c>
    </row>
    <row r="69" ht="15" customHeight="1" s="80">
      <c r="A69" s="125" t="n"/>
      <c r="B69" s="125" t="n"/>
      <c r="C69" s="125" t="n"/>
      <c r="D69" s="130" t="n"/>
      <c r="E69" s="130" t="n"/>
      <c r="F69" s="121" t="n"/>
      <c r="G69" s="129" t="n"/>
      <c r="H69" s="125" t="n"/>
      <c r="I69" s="125" t="n"/>
      <c r="J69" s="122">
        <f>IF($A69="","",$F69*$G69)</f>
        <v/>
      </c>
    </row>
    <row r="70" ht="15" customHeight="1" s="80">
      <c r="A70" s="125" t="n"/>
      <c r="B70" s="125" t="n"/>
      <c r="C70" s="125" t="n"/>
      <c r="D70" s="130" t="n"/>
      <c r="E70" s="130" t="n"/>
      <c r="F70" s="121" t="n"/>
      <c r="G70" s="129" t="n"/>
      <c r="H70" s="125" t="n"/>
      <c r="I70" s="125" t="n"/>
      <c r="J70" s="122">
        <f>IF($A70="","",$F70*$G70)</f>
        <v/>
      </c>
    </row>
    <row r="71" ht="15" customHeight="1" s="80">
      <c r="A71" s="125" t="n"/>
      <c r="B71" s="125" t="n"/>
      <c r="C71" s="125" t="n"/>
      <c r="D71" s="130" t="n"/>
      <c r="E71" s="130" t="n"/>
      <c r="F71" s="121" t="n"/>
      <c r="G71" s="129" t="n"/>
      <c r="H71" s="125" t="n"/>
      <c r="I71" s="125" t="n"/>
      <c r="J71" s="122">
        <f>IF($A71="","",$F71*$G71)</f>
        <v/>
      </c>
    </row>
    <row r="72" ht="15" customHeight="1" s="80">
      <c r="A72" s="125" t="n"/>
      <c r="B72" s="125" t="n"/>
      <c r="C72" s="125" t="n"/>
      <c r="D72" s="130" t="n"/>
      <c r="E72" s="130" t="n"/>
      <c r="F72" s="121" t="n"/>
      <c r="G72" s="129" t="n"/>
      <c r="H72" s="125" t="n"/>
      <c r="I72" s="125" t="n"/>
      <c r="J72" s="122">
        <f>IF($A72="","",$F72*$G72)</f>
        <v/>
      </c>
    </row>
    <row r="73" ht="15" customHeight="1" s="80">
      <c r="A73" s="125" t="n"/>
      <c r="B73" s="125" t="n"/>
      <c r="C73" s="125" t="n"/>
      <c r="D73" s="130" t="n"/>
      <c r="E73" s="130" t="n"/>
      <c r="F73" s="121" t="n"/>
      <c r="G73" s="129" t="n"/>
      <c r="H73" s="125" t="n"/>
      <c r="I73" s="125" t="n"/>
      <c r="J73" s="122">
        <f>IF($A73="","",$F73*$G73)</f>
        <v/>
      </c>
    </row>
    <row r="74" ht="15" customHeight="1" s="80">
      <c r="A74" s="125" t="n"/>
      <c r="B74" s="125" t="n"/>
      <c r="C74" s="125" t="n"/>
      <c r="D74" s="130" t="n"/>
      <c r="E74" s="130" t="n"/>
      <c r="F74" s="121" t="n"/>
      <c r="G74" s="129" t="n"/>
      <c r="H74" s="125" t="n"/>
      <c r="I74" s="125" t="n"/>
      <c r="J74" s="122">
        <f>IF($A74="","",$F74*$G74)</f>
        <v/>
      </c>
    </row>
    <row r="75" ht="15" customHeight="1" s="80">
      <c r="A75" s="125" t="n"/>
      <c r="B75" s="125" t="n"/>
      <c r="C75" s="125" t="n"/>
      <c r="D75" s="130" t="n"/>
      <c r="E75" s="130" t="n"/>
      <c r="F75" s="121" t="n"/>
      <c r="G75" s="129" t="n"/>
      <c r="H75" s="125" t="n"/>
      <c r="I75" s="125" t="n"/>
      <c r="J75" s="122">
        <f>IF($A75="","",$F75*$G75)</f>
        <v/>
      </c>
    </row>
    <row r="76" ht="15" customHeight="1" s="80">
      <c r="A76" s="125" t="n"/>
      <c r="B76" s="125" t="n"/>
      <c r="C76" s="125" t="n"/>
      <c r="D76" s="130" t="n"/>
      <c r="E76" s="130" t="n"/>
      <c r="F76" s="121" t="n"/>
      <c r="G76" s="129" t="n"/>
      <c r="H76" s="125" t="n"/>
      <c r="I76" s="125" t="n"/>
      <c r="J76" s="122">
        <f>IF($A76="","",$F76*$G76)</f>
        <v/>
      </c>
    </row>
    <row r="77" ht="15" customHeight="1" s="80">
      <c r="A77" s="125" t="n"/>
      <c r="B77" s="125" t="n"/>
      <c r="C77" s="125" t="n"/>
      <c r="D77" s="130" t="n"/>
      <c r="E77" s="130" t="n"/>
      <c r="F77" s="121" t="n"/>
      <c r="G77" s="129" t="n"/>
      <c r="H77" s="125" t="n"/>
      <c r="I77" s="125" t="n"/>
      <c r="J77" s="122">
        <f>IF($A77="","",$F77*$G77)</f>
        <v/>
      </c>
    </row>
    <row r="78" ht="15" customHeight="1" s="80">
      <c r="A78" s="125" t="n"/>
      <c r="B78" s="125" t="n"/>
      <c r="C78" s="125" t="n"/>
      <c r="D78" s="130" t="n"/>
      <c r="E78" s="130" t="n"/>
      <c r="F78" s="121" t="n"/>
      <c r="G78" s="129" t="n"/>
      <c r="H78" s="125" t="n"/>
      <c r="I78" s="125" t="n"/>
      <c r="J78" s="122">
        <f>IF($A78="","",$F78*$G78)</f>
        <v/>
      </c>
    </row>
    <row r="79" ht="15" customHeight="1" s="80">
      <c r="A79" s="125" t="n"/>
      <c r="B79" s="125" t="n"/>
      <c r="C79" s="125" t="n"/>
      <c r="D79" s="130" t="n"/>
      <c r="E79" s="130" t="n"/>
      <c r="F79" s="121" t="n"/>
      <c r="G79" s="129" t="n"/>
      <c r="H79" s="125" t="n"/>
      <c r="I79" s="125" t="n"/>
      <c r="J79" s="122">
        <f>IF($A79="","",$F79*$G79)</f>
        <v/>
      </c>
    </row>
    <row r="80" ht="15" customHeight="1" s="80">
      <c r="A80" s="125" t="n"/>
      <c r="B80" s="125" t="n"/>
      <c r="C80" s="125" t="n"/>
      <c r="D80" s="130" t="n"/>
      <c r="E80" s="130" t="n"/>
      <c r="F80" s="121" t="n"/>
      <c r="G80" s="129" t="n"/>
      <c r="H80" s="125" t="n"/>
      <c r="I80" s="125" t="n"/>
      <c r="J80" s="122">
        <f>IF($A80="","",$F80*$G80)</f>
        <v/>
      </c>
    </row>
    <row r="81" ht="15" customHeight="1" s="80">
      <c r="A81" s="125" t="n"/>
      <c r="B81" s="125" t="n"/>
      <c r="C81" s="125" t="n"/>
      <c r="D81" s="130" t="n"/>
      <c r="E81" s="130" t="n"/>
      <c r="F81" s="121" t="n"/>
      <c r="G81" s="129" t="n"/>
      <c r="H81" s="125" t="n"/>
      <c r="I81" s="125" t="n"/>
      <c r="J81" s="122">
        <f>IF($A81="","",$F81*$G81)</f>
        <v/>
      </c>
    </row>
    <row r="82" ht="15" customHeight="1" s="80">
      <c r="A82" s="125" t="n"/>
      <c r="B82" s="125" t="n"/>
      <c r="C82" s="125" t="n"/>
      <c r="D82" s="130" t="n"/>
      <c r="E82" s="130" t="n"/>
      <c r="F82" s="121" t="n"/>
      <c r="G82" s="129" t="n"/>
      <c r="H82" s="125" t="n"/>
      <c r="I82" s="125" t="n"/>
      <c r="J82" s="122">
        <f>IF($A82="","",$F82*$G82)</f>
        <v/>
      </c>
    </row>
    <row r="83" ht="15" customHeight="1" s="80">
      <c r="A83" s="125" t="n"/>
      <c r="B83" s="125" t="n"/>
      <c r="C83" s="125" t="n"/>
      <c r="D83" s="130" t="n"/>
      <c r="E83" s="130" t="n"/>
      <c r="F83" s="121" t="n"/>
      <c r="G83" s="129" t="n"/>
      <c r="H83" s="125" t="n"/>
      <c r="I83" s="125" t="n"/>
      <c r="J83" s="122">
        <f>IF($A83="","",$F83*$G83)</f>
        <v/>
      </c>
    </row>
    <row r="84" ht="15" customHeight="1" s="80">
      <c r="A84" s="125" t="n"/>
      <c r="B84" s="125" t="n"/>
      <c r="C84" s="125" t="n"/>
      <c r="D84" s="130" t="n"/>
      <c r="E84" s="130" t="n"/>
      <c r="F84" s="121" t="n"/>
      <c r="G84" s="129" t="n"/>
      <c r="H84" s="125" t="n"/>
      <c r="I84" s="125" t="n"/>
      <c r="J84" s="122">
        <f>IF($A84="","",$F84*$G84)</f>
        <v/>
      </c>
    </row>
    <row r="85" ht="15" customHeight="1" s="80">
      <c r="A85" s="125" t="n"/>
      <c r="B85" s="125" t="n"/>
      <c r="C85" s="125" t="n"/>
      <c r="D85" s="130" t="n"/>
      <c r="E85" s="130" t="n"/>
      <c r="F85" s="121" t="n"/>
      <c r="G85" s="129" t="n"/>
      <c r="H85" s="125" t="n"/>
      <c r="I85" s="125" t="n"/>
      <c r="J85" s="122">
        <f>IF($A85="","",$F85*$G85)</f>
        <v/>
      </c>
    </row>
    <row r="86" ht="15" customHeight="1" s="80">
      <c r="A86" s="125" t="n"/>
      <c r="B86" s="125" t="n"/>
      <c r="C86" s="125" t="n"/>
      <c r="D86" s="130" t="n"/>
      <c r="E86" s="130" t="n"/>
      <c r="F86" s="121" t="n"/>
      <c r="G86" s="129" t="n"/>
      <c r="H86" s="125" t="n"/>
      <c r="I86" s="125" t="n"/>
      <c r="J86" s="122">
        <f>IF($A86="","",$F86*$G86)</f>
        <v/>
      </c>
    </row>
    <row r="87" ht="15" customHeight="1" s="80">
      <c r="A87" s="125" t="n"/>
      <c r="B87" s="125" t="n"/>
      <c r="C87" s="125" t="n"/>
      <c r="D87" s="130" t="n"/>
      <c r="E87" s="130" t="n"/>
      <c r="F87" s="121" t="n"/>
      <c r="G87" s="129" t="n"/>
      <c r="H87" s="125" t="n"/>
      <c r="I87" s="125" t="n"/>
      <c r="J87" s="122">
        <f>IF($A87="","",$F87*$G87)</f>
        <v/>
      </c>
    </row>
    <row r="88" ht="15" customHeight="1" s="80">
      <c r="A88" s="125" t="n"/>
      <c r="B88" s="125" t="n"/>
      <c r="C88" s="125" t="n"/>
      <c r="D88" s="130" t="n"/>
      <c r="E88" s="130" t="n"/>
      <c r="F88" s="121" t="n"/>
      <c r="G88" s="129" t="n"/>
      <c r="H88" s="125" t="n"/>
      <c r="I88" s="125" t="n"/>
      <c r="J88" s="122">
        <f>IF($A88="","",$F88*$G88)</f>
        <v/>
      </c>
    </row>
    <row r="89" ht="15" customHeight="1" s="80">
      <c r="A89" s="125" t="n"/>
      <c r="B89" s="125" t="n"/>
      <c r="C89" s="125" t="n"/>
      <c r="D89" s="130" t="n"/>
      <c r="E89" s="130" t="n"/>
      <c r="F89" s="121" t="n"/>
      <c r="G89" s="129" t="n"/>
      <c r="H89" s="125" t="n"/>
      <c r="I89" s="125" t="n"/>
      <c r="J89" s="122">
        <f>IF($A89="","",$F89*$G89)</f>
        <v/>
      </c>
    </row>
    <row r="90" ht="15" customHeight="1" s="80">
      <c r="A90" s="125" t="n"/>
      <c r="B90" s="125" t="n"/>
      <c r="C90" s="125" t="n"/>
      <c r="D90" s="130" t="n"/>
      <c r="E90" s="130" t="n"/>
      <c r="F90" s="121" t="n"/>
      <c r="G90" s="129" t="n"/>
      <c r="H90" s="125" t="n"/>
      <c r="I90" s="125" t="n"/>
      <c r="J90" s="122">
        <f>IF($A90="","",$F90*$G90)</f>
        <v/>
      </c>
    </row>
    <row r="91" ht="15" customHeight="1" s="80">
      <c r="A91" s="125" t="n"/>
      <c r="B91" s="125" t="n"/>
      <c r="C91" s="125" t="n"/>
      <c r="D91" s="130" t="n"/>
      <c r="E91" s="130" t="n"/>
      <c r="F91" s="121" t="n"/>
      <c r="G91" s="129" t="n"/>
      <c r="H91" s="125" t="n"/>
      <c r="I91" s="125" t="n"/>
      <c r="J91" s="122">
        <f>IF($A91="","",$F91*$G91)</f>
        <v/>
      </c>
    </row>
    <row r="92" ht="15" customHeight="1" s="80">
      <c r="A92" s="125" t="n"/>
      <c r="B92" s="125" t="n"/>
      <c r="C92" s="125" t="n"/>
      <c r="D92" s="130" t="n"/>
      <c r="E92" s="130" t="n"/>
      <c r="F92" s="121" t="n"/>
      <c r="G92" s="129" t="n"/>
      <c r="H92" s="125" t="n"/>
      <c r="I92" s="125" t="n"/>
      <c r="J92" s="122">
        <f>IF($A92="","",$F92*$G92)</f>
        <v/>
      </c>
    </row>
    <row r="93" ht="15" customHeight="1" s="80">
      <c r="A93" s="125" t="n"/>
      <c r="B93" s="125" t="n"/>
      <c r="C93" s="125" t="n"/>
      <c r="D93" s="130" t="n"/>
      <c r="E93" s="130" t="n"/>
      <c r="F93" s="121" t="n"/>
      <c r="G93" s="129" t="n"/>
      <c r="H93" s="125" t="n"/>
      <c r="I93" s="125" t="n"/>
      <c r="J93" s="122">
        <f>IF($A93="","",$F93*$G93)</f>
        <v/>
      </c>
    </row>
    <row r="94" ht="15" customHeight="1" s="80">
      <c r="A94" s="125" t="n"/>
      <c r="B94" s="125" t="n"/>
      <c r="C94" s="125" t="n"/>
      <c r="D94" s="130" t="n"/>
      <c r="E94" s="130" t="n"/>
      <c r="F94" s="121" t="n"/>
      <c r="G94" s="129" t="n"/>
      <c r="H94" s="125" t="n"/>
      <c r="I94" s="125" t="n"/>
      <c r="J94" s="122">
        <f>IF($A94="","",$F94*$G94)</f>
        <v/>
      </c>
    </row>
    <row r="95" ht="15" customHeight="1" s="80">
      <c r="A95" s="125" t="n"/>
      <c r="B95" s="125" t="n"/>
      <c r="C95" s="125" t="n"/>
      <c r="D95" s="130" t="n"/>
      <c r="E95" s="130" t="n"/>
      <c r="F95" s="121" t="n"/>
      <c r="G95" s="129" t="n"/>
      <c r="H95" s="125" t="n"/>
      <c r="I95" s="125" t="n"/>
      <c r="J95" s="122">
        <f>IF($A95="","",$F95*$G95)</f>
        <v/>
      </c>
    </row>
    <row r="96" ht="15" customHeight="1" s="80">
      <c r="A96" s="125" t="n"/>
      <c r="B96" s="125" t="n"/>
      <c r="C96" s="125" t="n"/>
      <c r="D96" s="130" t="n"/>
      <c r="E96" s="130" t="n"/>
      <c r="F96" s="121" t="n"/>
      <c r="G96" s="129" t="n"/>
      <c r="H96" s="125" t="n"/>
      <c r="I96" s="125" t="n"/>
      <c r="J96" s="122">
        <f>IF($A96="","",$F96*$G96)</f>
        <v/>
      </c>
    </row>
    <row r="97" ht="15" customHeight="1" s="80">
      <c r="A97" s="125" t="n"/>
      <c r="B97" s="125" t="n"/>
      <c r="C97" s="125" t="n"/>
      <c r="D97" s="130" t="n"/>
      <c r="E97" s="130" t="n"/>
      <c r="F97" s="121" t="n"/>
      <c r="G97" s="129" t="n"/>
      <c r="H97" s="125" t="n"/>
      <c r="I97" s="125" t="n"/>
      <c r="J97" s="122">
        <f>IF($A97="","",$F97*$G97)</f>
        <v/>
      </c>
    </row>
    <row r="98" ht="15" customHeight="1" s="80">
      <c r="A98" s="125" t="n"/>
      <c r="B98" s="125" t="n"/>
      <c r="C98" s="125" t="n"/>
      <c r="D98" s="130" t="n"/>
      <c r="E98" s="130" t="n"/>
      <c r="F98" s="121" t="n"/>
      <c r="G98" s="129" t="n"/>
      <c r="H98" s="125" t="n"/>
      <c r="I98" s="125" t="n"/>
      <c r="J98" s="122">
        <f>IF($A98="","",$F98*$G98)</f>
        <v/>
      </c>
    </row>
    <row r="99" ht="15" customHeight="1" s="80">
      <c r="A99" s="125" t="n"/>
      <c r="B99" s="125" t="n"/>
      <c r="C99" s="125" t="n"/>
      <c r="D99" s="130" t="n"/>
      <c r="E99" s="130" t="n"/>
      <c r="F99" s="121" t="n"/>
      <c r="G99" s="129" t="n"/>
      <c r="H99" s="125" t="n"/>
      <c r="I99" s="125" t="n"/>
      <c r="J99" s="122">
        <f>IF($A99="","",$F99*$G99)</f>
        <v/>
      </c>
    </row>
    <row r="100" ht="15" customHeight="1" s="80">
      <c r="A100" s="125" t="n"/>
      <c r="B100" s="125" t="n"/>
      <c r="C100" s="125" t="n"/>
      <c r="D100" s="130" t="n"/>
      <c r="E100" s="130" t="n"/>
      <c r="F100" s="121" t="n"/>
      <c r="G100" s="129" t="n"/>
      <c r="H100" s="125" t="n"/>
      <c r="I100" s="125" t="n"/>
      <c r="J100" s="122">
        <f>IF($A100="","",$F100*$G100)</f>
        <v/>
      </c>
    </row>
    <row r="101" ht="15" customHeight="1" s="80">
      <c r="A101" s="125" t="n"/>
      <c r="B101" s="125" t="n"/>
      <c r="C101" s="125" t="n"/>
      <c r="D101" s="130" t="n"/>
      <c r="E101" s="130" t="n"/>
      <c r="F101" s="121" t="n"/>
      <c r="G101" s="129" t="n"/>
      <c r="H101" s="125" t="n"/>
      <c r="I101" s="125" t="n"/>
      <c r="J101" s="122">
        <f>IF($A101="","",$F101*$G101)</f>
        <v/>
      </c>
    </row>
    <row r="102" ht="15" customHeight="1" s="80">
      <c r="A102" s="125" t="n"/>
      <c r="B102" s="125" t="n"/>
      <c r="C102" s="125" t="n"/>
      <c r="D102" s="130" t="n"/>
      <c r="E102" s="130" t="n"/>
      <c r="F102" s="121" t="n"/>
      <c r="G102" s="129" t="n"/>
      <c r="H102" s="125" t="n"/>
      <c r="I102" s="125" t="n"/>
      <c r="J102" s="122">
        <f>IF($A102="","",$F102*$G102)</f>
        <v/>
      </c>
    </row>
    <row r="103" ht="15" customHeight="1" s="80">
      <c r="A103" s="125" t="n"/>
      <c r="B103" s="125" t="n"/>
      <c r="C103" s="125" t="n"/>
      <c r="D103" s="130" t="n"/>
      <c r="E103" s="130" t="n"/>
      <c r="F103" s="121" t="n"/>
      <c r="G103" s="129" t="n"/>
      <c r="H103" s="125" t="n"/>
      <c r="I103" s="125" t="n"/>
      <c r="J103" s="122">
        <f>IF($A103="","",$F103*$G103)</f>
        <v/>
      </c>
    </row>
    <row r="104" ht="15" customHeight="1" s="80">
      <c r="A104" s="125" t="n"/>
      <c r="B104" s="125" t="n"/>
      <c r="C104" s="125" t="n"/>
      <c r="D104" s="130" t="n"/>
      <c r="E104" s="130" t="n"/>
      <c r="F104" s="121" t="n"/>
      <c r="G104" s="129" t="n"/>
      <c r="H104" s="125" t="n"/>
      <c r="I104" s="125" t="n"/>
      <c r="J104" s="122">
        <f>IF($A104="","",$F104*$G104)</f>
        <v/>
      </c>
    </row>
    <row r="105" ht="15" customHeight="1" s="80">
      <c r="A105" s="125" t="n"/>
      <c r="B105" s="125" t="n"/>
      <c r="C105" s="125" t="n"/>
      <c r="D105" s="130" t="n"/>
      <c r="E105" s="130" t="n"/>
      <c r="F105" s="121" t="n"/>
      <c r="G105" s="129" t="n"/>
      <c r="H105" s="125" t="n"/>
      <c r="I105" s="125" t="n"/>
      <c r="J105" s="122">
        <f>IF($A105="","",$F105*$G105)</f>
        <v/>
      </c>
    </row>
    <row r="106" ht="15" customHeight="1" s="80">
      <c r="A106" s="125" t="n"/>
      <c r="B106" s="125" t="n"/>
      <c r="C106" s="125" t="n"/>
      <c r="D106" s="130" t="n"/>
      <c r="E106" s="130" t="n"/>
      <c r="F106" s="121" t="n"/>
      <c r="G106" s="129" t="n"/>
      <c r="H106" s="125" t="n"/>
      <c r="I106" s="125" t="n"/>
      <c r="J106" s="122">
        <f>IF($A106="","",$F106*$G106)</f>
        <v/>
      </c>
    </row>
    <row r="107" ht="15" customHeight="1" s="80">
      <c r="A107" s="125" t="n"/>
      <c r="B107" s="125" t="n"/>
      <c r="C107" s="125" t="n"/>
      <c r="D107" s="130" t="n"/>
      <c r="E107" s="130" t="n"/>
      <c r="F107" s="121" t="n"/>
      <c r="G107" s="129" t="n"/>
      <c r="H107" s="125" t="n"/>
      <c r="I107" s="125" t="n"/>
      <c r="J107" s="122">
        <f>IF($A107="","",$F107*$G107)</f>
        <v/>
      </c>
    </row>
    <row r="108" ht="15" customHeight="1" s="80">
      <c r="A108" s="125" t="n"/>
      <c r="B108" s="125" t="n"/>
      <c r="C108" s="125" t="n"/>
      <c r="D108" s="130" t="n"/>
      <c r="E108" s="130" t="n"/>
      <c r="F108" s="121" t="n"/>
      <c r="G108" s="129" t="n"/>
      <c r="H108" s="125" t="n"/>
      <c r="I108" s="125" t="n"/>
      <c r="J108" s="122">
        <f>IF($A108="","",$F108*$G108)</f>
        <v/>
      </c>
    </row>
    <row r="109" ht="15" customHeight="1" s="80">
      <c r="A109" s="125" t="n"/>
      <c r="B109" s="125" t="n"/>
      <c r="C109" s="125" t="n"/>
      <c r="D109" s="130" t="n"/>
      <c r="E109" s="130" t="n"/>
      <c r="F109" s="121" t="n"/>
      <c r="G109" s="129" t="n"/>
      <c r="H109" s="125" t="n"/>
      <c r="I109" s="125" t="n"/>
      <c r="J109" s="122">
        <f>IF($A109="","",$F109*$G109)</f>
        <v/>
      </c>
    </row>
    <row r="110" ht="15" customHeight="1" s="80">
      <c r="A110" s="125" t="n"/>
      <c r="B110" s="125" t="n"/>
      <c r="C110" s="125" t="n"/>
      <c r="D110" s="130" t="n"/>
      <c r="E110" s="130" t="n"/>
      <c r="F110" s="121" t="n"/>
      <c r="G110" s="129" t="n"/>
      <c r="H110" s="125" t="n"/>
      <c r="I110" s="125" t="n"/>
      <c r="J110" s="122">
        <f>IF($A110="","",$F110*$G110)</f>
        <v/>
      </c>
    </row>
    <row r="111" ht="15" customHeight="1" s="80">
      <c r="A111" s="125" t="n"/>
      <c r="B111" s="125" t="n"/>
      <c r="C111" s="125" t="n"/>
      <c r="D111" s="130" t="n"/>
      <c r="E111" s="130" t="n"/>
      <c r="F111" s="121" t="n"/>
      <c r="G111" s="129" t="n"/>
      <c r="H111" s="125" t="n"/>
      <c r="I111" s="125" t="n"/>
      <c r="J111" s="122">
        <f>IF($A111="","",$F111*$G111)</f>
        <v/>
      </c>
    </row>
    <row r="112" ht="15" customHeight="1" s="80">
      <c r="A112" s="125" t="n"/>
      <c r="B112" s="125" t="n"/>
      <c r="C112" s="125" t="n"/>
      <c r="D112" s="130" t="n"/>
      <c r="E112" s="130" t="n"/>
      <c r="F112" s="121" t="n"/>
      <c r="G112" s="129" t="n"/>
      <c r="H112" s="125" t="n"/>
      <c r="I112" s="125" t="n"/>
      <c r="J112" s="122">
        <f>IF($A112="","",$F112*$G112)</f>
        <v/>
      </c>
    </row>
    <row r="113" ht="15" customHeight="1" s="80">
      <c r="A113" s="125" t="n"/>
      <c r="B113" s="125" t="n"/>
      <c r="C113" s="125" t="n"/>
      <c r="D113" s="130" t="n"/>
      <c r="E113" s="130" t="n"/>
      <c r="F113" s="121" t="n"/>
      <c r="G113" s="129" t="n"/>
      <c r="H113" s="125" t="n"/>
      <c r="I113" s="125" t="n"/>
      <c r="J113" s="122">
        <f>IF($A113="","",$F113*$G113)</f>
        <v/>
      </c>
    </row>
    <row r="114" ht="15" customHeight="1" s="80">
      <c r="A114" s="125" t="n"/>
      <c r="B114" s="125" t="n"/>
      <c r="C114" s="125" t="n"/>
      <c r="D114" s="130" t="n"/>
      <c r="E114" s="130" t="n"/>
      <c r="F114" s="121" t="n"/>
      <c r="G114" s="129" t="n"/>
      <c r="H114" s="125" t="n"/>
      <c r="I114" s="125" t="n"/>
      <c r="J114" s="122">
        <f>IF($A114="","",$F114*$G114)</f>
        <v/>
      </c>
    </row>
    <row r="115" ht="15" customHeight="1" s="80">
      <c r="A115" s="125" t="n"/>
      <c r="B115" s="125" t="n"/>
      <c r="C115" s="125" t="n"/>
      <c r="D115" s="130" t="n"/>
      <c r="E115" s="130" t="n"/>
      <c r="F115" s="121" t="n"/>
      <c r="G115" s="129" t="n"/>
      <c r="H115" s="125" t="n"/>
      <c r="I115" s="125" t="n"/>
      <c r="J115" s="122">
        <f>IF($A115="","",$F115*$G115)</f>
        <v/>
      </c>
    </row>
    <row r="116" ht="15" customHeight="1" s="80">
      <c r="A116" s="125" t="n"/>
      <c r="B116" s="125" t="n"/>
      <c r="C116" s="125" t="n"/>
      <c r="D116" s="130" t="n"/>
      <c r="E116" s="130" t="n"/>
      <c r="F116" s="121" t="n"/>
      <c r="G116" s="129" t="n"/>
      <c r="H116" s="125" t="n"/>
      <c r="I116" s="125" t="n"/>
      <c r="J116" s="122">
        <f>IF($A116="","",$F116*$G116)</f>
        <v/>
      </c>
    </row>
    <row r="117" ht="15" customHeight="1" s="80">
      <c r="A117" s="125" t="n"/>
      <c r="B117" s="125" t="n"/>
      <c r="C117" s="125" t="n"/>
      <c r="D117" s="130" t="n"/>
      <c r="E117" s="130" t="n"/>
      <c r="F117" s="121" t="n"/>
      <c r="G117" s="129" t="n"/>
      <c r="H117" s="125" t="n"/>
      <c r="I117" s="125" t="n"/>
      <c r="J117" s="122">
        <f>IF($A117="","",$F117*$G117)</f>
        <v/>
      </c>
    </row>
    <row r="118" ht="15" customHeight="1" s="80">
      <c r="A118" s="125" t="n"/>
      <c r="B118" s="125" t="n"/>
      <c r="C118" s="125" t="n"/>
      <c r="D118" s="130" t="n"/>
      <c r="E118" s="130" t="n"/>
      <c r="F118" s="121" t="n"/>
      <c r="G118" s="129" t="n"/>
      <c r="H118" s="125" t="n"/>
      <c r="I118" s="125" t="n"/>
      <c r="J118" s="122">
        <f>IF($A118="","",$F118*$G118)</f>
        <v/>
      </c>
    </row>
    <row r="119" ht="15" customHeight="1" s="80">
      <c r="A119" s="125" t="n"/>
      <c r="B119" s="125" t="n"/>
      <c r="C119" s="125" t="n"/>
      <c r="D119" s="130" t="n"/>
      <c r="E119" s="130" t="n"/>
      <c r="F119" s="121" t="n"/>
      <c r="G119" s="129" t="n"/>
      <c r="H119" s="125" t="n"/>
      <c r="I119" s="125" t="n"/>
      <c r="J119" s="122">
        <f>IF($A119="","",$F119*$G119)</f>
        <v/>
      </c>
    </row>
    <row r="120" ht="15" customHeight="1" s="80">
      <c r="A120" s="125" t="n"/>
      <c r="B120" s="125" t="n"/>
      <c r="C120" s="125" t="n"/>
      <c r="D120" s="130" t="n"/>
      <c r="E120" s="130" t="n"/>
      <c r="F120" s="121" t="n"/>
      <c r="G120" s="129" t="n"/>
      <c r="H120" s="125" t="n"/>
      <c r="I120" s="125" t="n"/>
      <c r="J120" s="122">
        <f>IF($A120="","",$F120*$G120)</f>
        <v/>
      </c>
    </row>
    <row r="121" ht="15" customHeight="1" s="80">
      <c r="A121" s="125" t="n"/>
      <c r="B121" s="125" t="n"/>
      <c r="C121" s="125" t="n"/>
      <c r="D121" s="130" t="n"/>
      <c r="E121" s="130" t="n"/>
      <c r="F121" s="121" t="n"/>
      <c r="G121" s="129" t="n"/>
      <c r="H121" s="125" t="n"/>
      <c r="I121" s="125" t="n"/>
      <c r="J121" s="122">
        <f>IF($A121="","",$F121*$G121)</f>
        <v/>
      </c>
    </row>
    <row r="122" ht="15" customHeight="1" s="80">
      <c r="A122" s="125" t="n"/>
      <c r="B122" s="125" t="n"/>
      <c r="C122" s="125" t="n"/>
      <c r="D122" s="130" t="n"/>
      <c r="E122" s="130" t="n"/>
      <c r="F122" s="121" t="n"/>
      <c r="G122" s="129" t="n"/>
      <c r="H122" s="125" t="n"/>
      <c r="I122" s="125" t="n"/>
      <c r="J122" s="122">
        <f>IF($A122="","",$F122*$G122)</f>
        <v/>
      </c>
    </row>
    <row r="123" ht="15" customHeight="1" s="80">
      <c r="A123" s="125" t="n"/>
      <c r="B123" s="125" t="n"/>
      <c r="C123" s="125" t="n"/>
      <c r="D123" s="130" t="n"/>
      <c r="E123" s="130" t="n"/>
      <c r="F123" s="121" t="n"/>
      <c r="G123" s="129" t="n"/>
      <c r="H123" s="125" t="n"/>
      <c r="I123" s="125" t="n"/>
      <c r="J123" s="122">
        <f>IF($A123="","",$F123*$G123)</f>
        <v/>
      </c>
    </row>
    <row r="124" ht="15" customHeight="1" s="80">
      <c r="A124" s="125" t="n"/>
      <c r="B124" s="125" t="n"/>
      <c r="C124" s="125" t="n"/>
      <c r="D124" s="130" t="n"/>
      <c r="E124" s="130" t="n"/>
      <c r="F124" s="121" t="n"/>
      <c r="G124" s="129" t="n"/>
      <c r="H124" s="125" t="n"/>
      <c r="I124" s="125" t="n"/>
      <c r="J124" s="122">
        <f>IF($A124="","",$F124*$G124)</f>
        <v/>
      </c>
    </row>
    <row r="125" ht="15" customHeight="1" s="80">
      <c r="A125" s="125" t="n"/>
      <c r="B125" s="125" t="n"/>
      <c r="C125" s="125" t="n"/>
      <c r="D125" s="130" t="n"/>
      <c r="E125" s="130" t="n"/>
      <c r="F125" s="121" t="n"/>
      <c r="G125" s="129" t="n"/>
      <c r="H125" s="125" t="n"/>
      <c r="I125" s="125" t="n"/>
      <c r="J125" s="122">
        <f>IF($A125="","",$F125*$G125)</f>
        <v/>
      </c>
    </row>
    <row r="126" ht="15" customHeight="1" s="80">
      <c r="A126" s="125" t="n"/>
      <c r="B126" s="125" t="n"/>
      <c r="C126" s="125" t="n"/>
      <c r="D126" s="130" t="n"/>
      <c r="E126" s="130" t="n"/>
      <c r="F126" s="121" t="n"/>
      <c r="G126" s="129" t="n"/>
      <c r="H126" s="125" t="n"/>
      <c r="I126" s="125" t="n"/>
      <c r="J126" s="122">
        <f>IF($A126="","",$F126*$G126)</f>
        <v/>
      </c>
    </row>
    <row r="127" ht="15" customHeight="1" s="80">
      <c r="A127" s="125" t="n"/>
      <c r="B127" s="125" t="n"/>
      <c r="C127" s="125" t="n"/>
      <c r="D127" s="130" t="n"/>
      <c r="E127" s="130" t="n"/>
      <c r="F127" s="121" t="n"/>
      <c r="G127" s="129" t="n"/>
      <c r="H127" s="125" t="n"/>
      <c r="I127" s="125" t="n"/>
      <c r="J127" s="122">
        <f>IF($A127="","",$F127*$G127)</f>
        <v/>
      </c>
    </row>
    <row r="128" ht="15" customHeight="1" s="80">
      <c r="A128" s="125" t="n"/>
      <c r="B128" s="125" t="n"/>
      <c r="C128" s="125" t="n"/>
      <c r="D128" s="130" t="n"/>
      <c r="E128" s="130" t="n"/>
      <c r="F128" s="121" t="n"/>
      <c r="G128" s="129" t="n"/>
      <c r="H128" s="125" t="n"/>
      <c r="I128" s="125" t="n"/>
      <c r="J128" s="122">
        <f>IF($A128="","",$F128*$G128)</f>
        <v/>
      </c>
    </row>
    <row r="129" ht="15" customHeight="1" s="80">
      <c r="A129" s="125" t="n"/>
      <c r="B129" s="125" t="n"/>
      <c r="C129" s="125" t="n"/>
      <c r="D129" s="130" t="n"/>
      <c r="E129" s="130" t="n"/>
      <c r="F129" s="121" t="n"/>
      <c r="G129" s="129" t="n"/>
      <c r="H129" s="125" t="n"/>
      <c r="I129" s="125" t="n"/>
      <c r="J129" s="122">
        <f>IF($A129="","",$F129*$G129)</f>
        <v/>
      </c>
    </row>
    <row r="130" ht="15" customHeight="1" s="80">
      <c r="A130" s="125" t="n"/>
      <c r="B130" s="125" t="n"/>
      <c r="C130" s="125" t="n"/>
      <c r="D130" s="130" t="n"/>
      <c r="E130" s="130" t="n"/>
      <c r="F130" s="121" t="n"/>
      <c r="G130" s="129" t="n"/>
      <c r="H130" s="125" t="n"/>
      <c r="I130" s="125" t="n"/>
      <c r="J130" s="122">
        <f>IF($A130="","",$F130*$G130)</f>
        <v/>
      </c>
    </row>
    <row r="131" ht="15" customHeight="1" s="80">
      <c r="A131" s="125" t="n"/>
      <c r="B131" s="125" t="n"/>
      <c r="C131" s="125" t="n"/>
      <c r="D131" s="130" t="n"/>
      <c r="E131" s="130" t="n"/>
      <c r="F131" s="121" t="n"/>
      <c r="G131" s="129" t="n"/>
      <c r="H131" s="125" t="n"/>
      <c r="I131" s="125" t="n"/>
      <c r="J131" s="122">
        <f>IF($A131="","",$F131*$G131)</f>
        <v/>
      </c>
    </row>
    <row r="132" ht="15" customHeight="1" s="80">
      <c r="A132" s="125" t="n"/>
      <c r="B132" s="125" t="n"/>
      <c r="C132" s="125" t="n"/>
      <c r="D132" s="130" t="n"/>
      <c r="E132" s="130" t="n"/>
      <c r="F132" s="121" t="n"/>
      <c r="G132" s="129" t="n"/>
      <c r="H132" s="125" t="n"/>
      <c r="I132" s="125" t="n"/>
      <c r="J132" s="122">
        <f>IF($A132="","",$F132*$G132)</f>
        <v/>
      </c>
    </row>
    <row r="133" ht="15" customHeight="1" s="80">
      <c r="A133" s="125" t="n"/>
      <c r="B133" s="125" t="n"/>
      <c r="C133" s="125" t="n"/>
      <c r="D133" s="130" t="n"/>
      <c r="E133" s="130" t="n"/>
      <c r="F133" s="121" t="n"/>
      <c r="G133" s="129" t="n"/>
      <c r="H133" s="125" t="n"/>
      <c r="I133" s="125" t="n"/>
      <c r="J133" s="122">
        <f>IF($A133="","",$F133*$G133)</f>
        <v/>
      </c>
    </row>
    <row r="134" ht="15" customHeight="1" s="80">
      <c r="A134" s="125" t="n"/>
      <c r="B134" s="125" t="n"/>
      <c r="C134" s="125" t="n"/>
      <c r="D134" s="130" t="n"/>
      <c r="E134" s="130" t="n"/>
      <c r="F134" s="121" t="n"/>
      <c r="G134" s="129" t="n"/>
      <c r="H134" s="125" t="n"/>
      <c r="I134" s="125" t="n"/>
      <c r="J134" s="122">
        <f>IF($A134="","",$F134*$G134)</f>
        <v/>
      </c>
    </row>
    <row r="135" ht="15" customHeight="1" s="80">
      <c r="A135" s="125" t="n"/>
      <c r="B135" s="125" t="n"/>
      <c r="C135" s="125" t="n"/>
      <c r="D135" s="130" t="n"/>
      <c r="E135" s="130" t="n"/>
      <c r="F135" s="121" t="n"/>
      <c r="G135" s="129" t="n"/>
      <c r="H135" s="125" t="n"/>
      <c r="I135" s="125" t="n"/>
      <c r="J135" s="122">
        <f>IF($A135="","",$F135*$G135)</f>
        <v/>
      </c>
    </row>
    <row r="136" ht="15" customHeight="1" s="80">
      <c r="A136" s="125" t="n"/>
      <c r="B136" s="125" t="n"/>
      <c r="C136" s="125" t="n"/>
      <c r="D136" s="130" t="n"/>
      <c r="E136" s="130" t="n"/>
      <c r="F136" s="121" t="n"/>
      <c r="G136" s="129" t="n"/>
      <c r="H136" s="125" t="n"/>
      <c r="I136" s="125" t="n"/>
      <c r="J136" s="122">
        <f>IF($A136="","",$F136*$G136)</f>
        <v/>
      </c>
    </row>
    <row r="137" ht="15" customHeight="1" s="80">
      <c r="A137" s="125" t="n"/>
      <c r="B137" s="125" t="n"/>
      <c r="C137" s="125" t="n"/>
      <c r="D137" s="130" t="n"/>
      <c r="E137" s="130" t="n"/>
      <c r="F137" s="121" t="n"/>
      <c r="G137" s="129" t="n"/>
      <c r="H137" s="125" t="n"/>
      <c r="I137" s="125" t="n"/>
      <c r="J137" s="122">
        <f>IF($A137="","",$F137*$G137)</f>
        <v/>
      </c>
    </row>
    <row r="138" ht="15" customHeight="1" s="80">
      <c r="A138" s="125" t="n"/>
      <c r="B138" s="125" t="n"/>
      <c r="C138" s="125" t="n"/>
      <c r="D138" s="130" t="n"/>
      <c r="E138" s="130" t="n"/>
      <c r="F138" s="121" t="n"/>
      <c r="G138" s="129" t="n"/>
      <c r="H138" s="125" t="n"/>
      <c r="I138" s="125" t="n"/>
      <c r="J138" s="122">
        <f>IF($A138="","",$F138*$G138)</f>
        <v/>
      </c>
    </row>
    <row r="139" ht="15" customHeight="1" s="80">
      <c r="A139" s="125" t="n"/>
      <c r="B139" s="125" t="n"/>
      <c r="C139" s="125" t="n"/>
      <c r="D139" s="130" t="n"/>
      <c r="E139" s="130" t="n"/>
      <c r="F139" s="121" t="n"/>
      <c r="G139" s="129" t="n"/>
      <c r="H139" s="125" t="n"/>
      <c r="I139" s="125" t="n"/>
      <c r="J139" s="122">
        <f>IF($A139="","",$F139*$G139)</f>
        <v/>
      </c>
    </row>
    <row r="140" ht="15" customHeight="1" s="80">
      <c r="A140" s="125" t="n"/>
      <c r="B140" s="125" t="n"/>
      <c r="C140" s="125" t="n"/>
      <c r="D140" s="130" t="n"/>
      <c r="E140" s="130" t="n"/>
      <c r="F140" s="121" t="n"/>
      <c r="G140" s="129" t="n"/>
      <c r="H140" s="125" t="n"/>
      <c r="I140" s="125" t="n"/>
      <c r="J140" s="122">
        <f>IF($A140="","",$F140*$G140)</f>
        <v/>
      </c>
    </row>
    <row r="141" ht="15" customHeight="1" s="80">
      <c r="A141" s="125" t="n"/>
      <c r="B141" s="125" t="n"/>
      <c r="C141" s="125" t="n"/>
      <c r="D141" s="130" t="n"/>
      <c r="E141" s="130" t="n"/>
      <c r="F141" s="121" t="n"/>
      <c r="G141" s="129" t="n"/>
      <c r="H141" s="125" t="n"/>
      <c r="I141" s="125" t="n"/>
      <c r="J141" s="122">
        <f>IF($A141="","",$F141*$G141)</f>
        <v/>
      </c>
    </row>
    <row r="142" ht="15" customHeight="1" s="80">
      <c r="A142" s="125" t="n"/>
      <c r="B142" s="125" t="n"/>
      <c r="C142" s="125" t="n"/>
      <c r="D142" s="130" t="n"/>
      <c r="E142" s="130" t="n"/>
      <c r="F142" s="121" t="n"/>
      <c r="G142" s="129" t="n"/>
      <c r="H142" s="125" t="n"/>
      <c r="I142" s="125" t="n"/>
      <c r="J142" s="122">
        <f>IF($A142="","",$F142*$G142)</f>
        <v/>
      </c>
    </row>
    <row r="143" ht="15" customHeight="1" s="80">
      <c r="A143" s="125" t="n"/>
      <c r="B143" s="125" t="n"/>
      <c r="C143" s="125" t="n"/>
      <c r="D143" s="130" t="n"/>
      <c r="E143" s="130" t="n"/>
      <c r="F143" s="121" t="n"/>
      <c r="G143" s="129" t="n"/>
      <c r="H143" s="125" t="n"/>
      <c r="I143" s="125" t="n"/>
      <c r="J143" s="122">
        <f>IF($A143="","",$F143*$G143)</f>
        <v/>
      </c>
    </row>
    <row r="144" ht="15" customHeight="1" s="80">
      <c r="A144" s="125" t="n"/>
      <c r="B144" s="125" t="n"/>
      <c r="C144" s="125" t="n"/>
      <c r="D144" s="130" t="n"/>
      <c r="E144" s="130" t="n"/>
      <c r="F144" s="121" t="n"/>
      <c r="G144" s="129" t="n"/>
      <c r="H144" s="125" t="n"/>
      <c r="I144" s="125" t="n"/>
      <c r="J144" s="122">
        <f>IF($A144="","",$F144*$G144)</f>
        <v/>
      </c>
    </row>
    <row r="145" ht="15" customHeight="1" s="80">
      <c r="A145" s="125" t="n"/>
      <c r="B145" s="125" t="n"/>
      <c r="C145" s="125" t="n"/>
      <c r="D145" s="130" t="n"/>
      <c r="E145" s="130" t="n"/>
      <c r="F145" s="121" t="n"/>
      <c r="G145" s="129" t="n"/>
      <c r="H145" s="125" t="n"/>
      <c r="I145" s="125" t="n"/>
      <c r="J145" s="122">
        <f>IF($A145="","",$F145*$G145)</f>
        <v/>
      </c>
    </row>
    <row r="146" ht="15" customHeight="1" s="80">
      <c r="A146" s="125" t="n"/>
      <c r="B146" s="125" t="n"/>
      <c r="C146" s="125" t="n"/>
      <c r="D146" s="130" t="n"/>
      <c r="E146" s="130" t="n"/>
      <c r="F146" s="121" t="n"/>
      <c r="G146" s="129" t="n"/>
      <c r="H146" s="125" t="n"/>
      <c r="I146" s="125" t="n"/>
      <c r="J146" s="122">
        <f>IF($A146="","",$F146*$G146)</f>
        <v/>
      </c>
    </row>
    <row r="147" ht="15" customHeight="1" s="80">
      <c r="A147" s="125" t="n"/>
      <c r="B147" s="125" t="n"/>
      <c r="C147" s="125" t="n"/>
      <c r="D147" s="130" t="n"/>
      <c r="E147" s="130" t="n"/>
      <c r="F147" s="121" t="n"/>
      <c r="G147" s="129" t="n"/>
      <c r="H147" s="125" t="n"/>
      <c r="I147" s="125" t="n"/>
      <c r="J147" s="122">
        <f>IF($A147="","",$F147*$G147)</f>
        <v/>
      </c>
    </row>
    <row r="148" ht="15" customHeight="1" s="80">
      <c r="A148" s="125" t="n"/>
      <c r="B148" s="125" t="n"/>
      <c r="C148" s="125" t="n"/>
      <c r="D148" s="130" t="n"/>
      <c r="E148" s="130" t="n"/>
      <c r="F148" s="121" t="n"/>
      <c r="G148" s="129" t="n"/>
      <c r="H148" s="125" t="n"/>
      <c r="I148" s="125" t="n"/>
      <c r="J148" s="122">
        <f>IF($A148="","",$F148*$G148)</f>
        <v/>
      </c>
    </row>
    <row r="149" ht="15" customHeight="1" s="80">
      <c r="A149" s="125" t="n"/>
      <c r="B149" s="125" t="n"/>
      <c r="C149" s="125" t="n"/>
      <c r="D149" s="130" t="n"/>
      <c r="E149" s="130" t="n"/>
      <c r="F149" s="121" t="n"/>
      <c r="G149" s="129" t="n"/>
      <c r="H149" s="125" t="n"/>
      <c r="I149" s="125" t="n"/>
      <c r="J149" s="122">
        <f>IF($A149="","",$F149*$G149)</f>
        <v/>
      </c>
    </row>
    <row r="150" ht="15" customHeight="1" s="80">
      <c r="A150" s="125" t="n"/>
      <c r="B150" s="125" t="n"/>
      <c r="C150" s="125" t="n"/>
      <c r="D150" s="130" t="n"/>
      <c r="E150" s="130" t="n"/>
      <c r="F150" s="121" t="n"/>
      <c r="G150" s="129" t="n"/>
      <c r="H150" s="125" t="n"/>
      <c r="I150" s="125" t="n"/>
      <c r="J150" s="122">
        <f>IF($A150="","",$F150*$G150)</f>
        <v/>
      </c>
    </row>
    <row r="151" ht="15" customHeight="1" s="80">
      <c r="A151" s="125" t="n"/>
      <c r="B151" s="125" t="n"/>
      <c r="C151" s="125" t="n"/>
      <c r="D151" s="130" t="n"/>
      <c r="E151" s="130" t="n"/>
      <c r="F151" s="121" t="n"/>
      <c r="G151" s="129" t="n"/>
      <c r="H151" s="125" t="n"/>
      <c r="I151" s="125" t="n"/>
      <c r="J151" s="122">
        <f>IF($A151="","",$F151*$G151)</f>
        <v/>
      </c>
    </row>
    <row r="152" ht="15" customHeight="1" s="80">
      <c r="A152" s="125" t="n"/>
      <c r="B152" s="125" t="n"/>
      <c r="C152" s="125" t="n"/>
      <c r="D152" s="130" t="n"/>
      <c r="E152" s="130" t="n"/>
      <c r="F152" s="121" t="n"/>
      <c r="G152" s="129" t="n"/>
      <c r="H152" s="125" t="n"/>
      <c r="I152" s="125" t="n"/>
      <c r="J152" s="122">
        <f>IF($A152="","",$F152*$G152)</f>
        <v/>
      </c>
    </row>
    <row r="153" ht="15" customHeight="1" s="80">
      <c r="A153" s="125" t="n"/>
      <c r="B153" s="125" t="n"/>
      <c r="C153" s="125" t="n"/>
      <c r="D153" s="130" t="n"/>
      <c r="E153" s="130" t="n"/>
      <c r="F153" s="121" t="n"/>
      <c r="G153" s="129" t="n"/>
      <c r="H153" s="125" t="n"/>
      <c r="I153" s="125" t="n"/>
      <c r="J153" s="122">
        <f>IF($A153="","",$F153*$G153)</f>
        <v/>
      </c>
    </row>
    <row r="154" ht="15" customHeight="1" s="80">
      <c r="A154" s="125" t="n"/>
      <c r="B154" s="125" t="n"/>
      <c r="C154" s="125" t="n"/>
      <c r="D154" s="130" t="n"/>
      <c r="E154" s="130" t="n"/>
      <c r="F154" s="121" t="n"/>
      <c r="G154" s="129" t="n"/>
      <c r="H154" s="125" t="n"/>
      <c r="I154" s="125" t="n"/>
      <c r="J154" s="122">
        <f>IF($A154="","",$F154*$G154)</f>
        <v/>
      </c>
    </row>
    <row r="155" ht="15" customHeight="1" s="80">
      <c r="A155" s="125" t="n"/>
      <c r="B155" s="125" t="n"/>
      <c r="C155" s="125" t="n"/>
      <c r="D155" s="130" t="n"/>
      <c r="E155" s="130" t="n"/>
      <c r="F155" s="121" t="n"/>
      <c r="G155" s="129" t="n"/>
      <c r="H155" s="125" t="n"/>
      <c r="I155" s="125" t="n"/>
      <c r="J155" s="122">
        <f>IF($A155="","",$F155*$G155)</f>
        <v/>
      </c>
    </row>
    <row r="156" ht="15" customHeight="1" s="80">
      <c r="A156" s="125" t="n"/>
      <c r="B156" s="125" t="n"/>
      <c r="C156" s="125" t="n"/>
      <c r="D156" s="130" t="n"/>
      <c r="E156" s="130" t="n"/>
      <c r="F156" s="121" t="n"/>
      <c r="G156" s="129" t="n"/>
      <c r="H156" s="125" t="n"/>
      <c r="I156" s="125" t="n"/>
      <c r="J156" s="122">
        <f>IF($A156="","",$F156*$G156)</f>
        <v/>
      </c>
    </row>
    <row r="157" ht="15" customHeight="1" s="80">
      <c r="A157" s="125" t="n"/>
      <c r="B157" s="125" t="n"/>
      <c r="C157" s="125" t="n"/>
      <c r="D157" s="130" t="n"/>
      <c r="E157" s="130" t="n"/>
      <c r="F157" s="121" t="n"/>
      <c r="G157" s="129" t="n"/>
      <c r="H157" s="125" t="n"/>
      <c r="I157" s="125" t="n"/>
      <c r="J157" s="122">
        <f>IF($A157="","",$F157*$G157)</f>
        <v/>
      </c>
    </row>
    <row r="158" ht="15" customHeight="1" s="80">
      <c r="A158" s="125" t="n"/>
      <c r="B158" s="125" t="n"/>
      <c r="C158" s="125" t="n"/>
      <c r="D158" s="130" t="n"/>
      <c r="E158" s="130" t="n"/>
      <c r="F158" s="121" t="n"/>
      <c r="G158" s="129" t="n"/>
      <c r="H158" s="125" t="n"/>
      <c r="I158" s="125" t="n"/>
      <c r="J158" s="122">
        <f>IF($A158="","",$F158*$G158)</f>
        <v/>
      </c>
    </row>
    <row r="159" ht="15" customHeight="1" s="80">
      <c r="A159" s="125" t="n"/>
      <c r="B159" s="125" t="n"/>
      <c r="C159" s="125" t="n"/>
      <c r="D159" s="130" t="n"/>
      <c r="E159" s="130" t="n"/>
      <c r="F159" s="121" t="n"/>
      <c r="G159" s="129" t="n"/>
      <c r="H159" s="125" t="n"/>
      <c r="I159" s="125" t="n"/>
      <c r="J159" s="122">
        <f>IF($A159="","",$F159*$G159)</f>
        <v/>
      </c>
    </row>
    <row r="160" ht="15" customHeight="1" s="80">
      <c r="A160" s="125" t="n"/>
      <c r="B160" s="125" t="n"/>
      <c r="C160" s="125" t="n"/>
      <c r="D160" s="130" t="n"/>
      <c r="E160" s="130" t="n"/>
      <c r="F160" s="121" t="n"/>
      <c r="G160" s="129" t="n"/>
      <c r="H160" s="125" t="n"/>
      <c r="I160" s="125" t="n"/>
      <c r="J160" s="122">
        <f>IF($A160="","",$F160*$G160)</f>
        <v/>
      </c>
    </row>
    <row r="161" ht="15" customHeight="1" s="80">
      <c r="A161" s="125" t="n"/>
      <c r="B161" s="125" t="n"/>
      <c r="C161" s="125" t="n"/>
      <c r="D161" s="130" t="n"/>
      <c r="E161" s="130" t="n"/>
      <c r="F161" s="121" t="n"/>
      <c r="G161" s="129" t="n"/>
      <c r="H161" s="125" t="n"/>
      <c r="I161" s="125" t="n"/>
      <c r="J161" s="122">
        <f>IF($A161="","",$F161*$G161)</f>
        <v/>
      </c>
    </row>
    <row r="162" ht="15" customHeight="1" s="80">
      <c r="A162" s="125" t="n"/>
      <c r="B162" s="125" t="n"/>
      <c r="C162" s="125" t="n"/>
      <c r="D162" s="130" t="n"/>
      <c r="E162" s="130" t="n"/>
      <c r="F162" s="121" t="n"/>
      <c r="G162" s="129" t="n"/>
      <c r="H162" s="125" t="n"/>
      <c r="I162" s="125" t="n"/>
      <c r="J162" s="122">
        <f>IF($A162="","",$F162*$G162)</f>
        <v/>
      </c>
    </row>
    <row r="163" ht="15" customHeight="1" s="80">
      <c r="A163" s="125" t="n"/>
      <c r="B163" s="125" t="n"/>
      <c r="C163" s="125" t="n"/>
      <c r="D163" s="130" t="n"/>
      <c r="E163" s="130" t="n"/>
      <c r="F163" s="121" t="n"/>
      <c r="G163" s="129" t="n"/>
      <c r="H163" s="125" t="n"/>
      <c r="I163" s="125" t="n"/>
      <c r="J163" s="122">
        <f>IF($A163="","",$F163*$G163)</f>
        <v/>
      </c>
    </row>
    <row r="164" ht="15" customHeight="1" s="80">
      <c r="A164" s="125" t="n"/>
      <c r="B164" s="125" t="n"/>
      <c r="C164" s="125" t="n"/>
      <c r="D164" s="130" t="n"/>
      <c r="E164" s="130" t="n"/>
      <c r="F164" s="121" t="n"/>
      <c r="G164" s="129" t="n"/>
      <c r="H164" s="125" t="n"/>
      <c r="I164" s="125" t="n"/>
      <c r="J164" s="122">
        <f>IF($A164="","",$F164*$G164)</f>
        <v/>
      </c>
    </row>
    <row r="165" ht="15" customHeight="1" s="80">
      <c r="A165" s="125" t="n"/>
      <c r="B165" s="125" t="n"/>
      <c r="C165" s="125" t="n"/>
      <c r="D165" s="130" t="n"/>
      <c r="E165" s="130" t="n"/>
      <c r="F165" s="121" t="n"/>
      <c r="G165" s="129" t="n"/>
      <c r="H165" s="125" t="n"/>
      <c r="I165" s="125" t="n"/>
      <c r="J165" s="122">
        <f>IF($A165="","",$F165*$G165)</f>
        <v/>
      </c>
    </row>
    <row r="166" ht="15" customHeight="1" s="80">
      <c r="A166" s="125" t="n"/>
      <c r="B166" s="125" t="n"/>
      <c r="C166" s="125" t="n"/>
      <c r="D166" s="130" t="n"/>
      <c r="E166" s="130" t="n"/>
      <c r="F166" s="121" t="n"/>
      <c r="G166" s="129" t="n"/>
      <c r="H166" s="125" t="n"/>
      <c r="I166" s="125" t="n"/>
      <c r="J166" s="122">
        <f>IF($A166="","",$F166*$G166)</f>
        <v/>
      </c>
    </row>
    <row r="167" ht="15" customHeight="1" s="80">
      <c r="A167" s="125" t="n"/>
      <c r="B167" s="125" t="n"/>
      <c r="C167" s="125" t="n"/>
      <c r="D167" s="130" t="n"/>
      <c r="E167" s="130" t="n"/>
      <c r="F167" s="121" t="n"/>
      <c r="G167" s="129" t="n"/>
      <c r="H167" s="125" t="n"/>
      <c r="I167" s="125" t="n"/>
      <c r="J167" s="122">
        <f>IF($A167="","",$F167*$G167)</f>
        <v/>
      </c>
    </row>
    <row r="168" ht="15" customHeight="1" s="80">
      <c r="A168" s="125" t="n"/>
      <c r="B168" s="125" t="n"/>
      <c r="C168" s="125" t="n"/>
      <c r="D168" s="130" t="n"/>
      <c r="E168" s="130" t="n"/>
      <c r="F168" s="121" t="n"/>
      <c r="G168" s="129" t="n"/>
      <c r="H168" s="125" t="n"/>
      <c r="I168" s="125" t="n"/>
      <c r="J168" s="122">
        <f>IF($A168="","",$F168*$G168)</f>
        <v/>
      </c>
    </row>
    <row r="169" ht="15" customHeight="1" s="80">
      <c r="A169" s="125" t="n"/>
      <c r="B169" s="125" t="n"/>
      <c r="C169" s="125" t="n"/>
      <c r="D169" s="130" t="n"/>
      <c r="E169" s="130" t="n"/>
      <c r="F169" s="121" t="n"/>
      <c r="G169" s="129" t="n"/>
      <c r="H169" s="125" t="n"/>
      <c r="I169" s="125" t="n"/>
      <c r="J169" s="122">
        <f>IF($A169="","",$F169*$G169)</f>
        <v/>
      </c>
    </row>
    <row r="170" ht="15" customHeight="1" s="80">
      <c r="A170" s="125" t="n"/>
      <c r="B170" s="125" t="n"/>
      <c r="C170" s="125" t="n"/>
      <c r="D170" s="130" t="n"/>
      <c r="E170" s="130" t="n"/>
      <c r="F170" s="121" t="n"/>
      <c r="G170" s="129" t="n"/>
      <c r="H170" s="125" t="n"/>
      <c r="I170" s="125" t="n"/>
      <c r="J170" s="122">
        <f>IF($A170="","",$F170*$G170)</f>
        <v/>
      </c>
    </row>
    <row r="171" ht="15" customHeight="1" s="80">
      <c r="A171" s="125" t="n"/>
      <c r="B171" s="125" t="n"/>
      <c r="C171" s="125" t="n"/>
      <c r="D171" s="130" t="n"/>
      <c r="E171" s="130" t="n"/>
      <c r="F171" s="121" t="n"/>
      <c r="G171" s="129" t="n"/>
      <c r="H171" s="125" t="n"/>
      <c r="I171" s="125" t="n"/>
      <c r="J171" s="122">
        <f>IF($A171="","",$F171*$G171)</f>
        <v/>
      </c>
    </row>
    <row r="172" ht="15" customHeight="1" s="80">
      <c r="A172" s="125" t="n"/>
      <c r="B172" s="125" t="n"/>
      <c r="C172" s="125" t="n"/>
      <c r="D172" s="130" t="n"/>
      <c r="E172" s="130" t="n"/>
      <c r="F172" s="121" t="n"/>
      <c r="G172" s="129" t="n"/>
      <c r="H172" s="125" t="n"/>
      <c r="I172" s="125" t="n"/>
      <c r="J172" s="122">
        <f>IF($A172="","",$F172*$G172)</f>
        <v/>
      </c>
    </row>
    <row r="173" ht="15" customHeight="1" s="80">
      <c r="A173" s="125" t="n"/>
      <c r="B173" s="125" t="n"/>
      <c r="C173" s="125" t="n"/>
      <c r="D173" s="130" t="n"/>
      <c r="E173" s="130" t="n"/>
      <c r="F173" s="121" t="n"/>
      <c r="G173" s="129" t="n"/>
      <c r="H173" s="125" t="n"/>
      <c r="I173" s="125" t="n"/>
      <c r="J173" s="122">
        <f>IF($A173="","",$F173*$G173)</f>
        <v/>
      </c>
    </row>
    <row r="174" ht="15" customHeight="1" s="80">
      <c r="A174" s="125" t="n"/>
      <c r="B174" s="125" t="n"/>
      <c r="C174" s="125" t="n"/>
      <c r="D174" s="130" t="n"/>
      <c r="E174" s="130" t="n"/>
      <c r="F174" s="121" t="n"/>
      <c r="G174" s="129" t="n"/>
      <c r="H174" s="125" t="n"/>
      <c r="I174" s="125" t="n"/>
      <c r="J174" s="122">
        <f>IF($A174="","",$F174*$G174)</f>
        <v/>
      </c>
    </row>
    <row r="175" ht="15" customHeight="1" s="80">
      <c r="A175" s="125" t="n"/>
      <c r="B175" s="125" t="n"/>
      <c r="C175" s="125" t="n"/>
      <c r="D175" s="130" t="n"/>
      <c r="E175" s="130" t="n"/>
      <c r="F175" s="121" t="n"/>
      <c r="G175" s="129" t="n"/>
      <c r="H175" s="125" t="n"/>
      <c r="I175" s="125" t="n"/>
      <c r="J175" s="122">
        <f>IF($A175="","",$F175*$G175)</f>
        <v/>
      </c>
    </row>
    <row r="176" ht="15" customHeight="1" s="80">
      <c r="A176" s="125" t="n"/>
      <c r="B176" s="125" t="n"/>
      <c r="C176" s="125" t="n"/>
      <c r="D176" s="130" t="n"/>
      <c r="E176" s="130" t="n"/>
      <c r="F176" s="121" t="n"/>
      <c r="G176" s="129" t="n"/>
      <c r="H176" s="125" t="n"/>
      <c r="I176" s="125" t="n"/>
      <c r="J176" s="122">
        <f>IF($A176="","",$F176*$G176)</f>
        <v/>
      </c>
    </row>
    <row r="177" ht="15" customHeight="1" s="80">
      <c r="A177" s="125" t="n"/>
      <c r="B177" s="125" t="n"/>
      <c r="C177" s="125" t="n"/>
      <c r="D177" s="130" t="n"/>
      <c r="E177" s="130" t="n"/>
      <c r="F177" s="121" t="n"/>
      <c r="G177" s="129" t="n"/>
      <c r="H177" s="125" t="n"/>
      <c r="I177" s="125" t="n"/>
      <c r="J177" s="122">
        <f>IF($A177="","",$F177*$G177)</f>
        <v/>
      </c>
    </row>
    <row r="178" ht="15" customHeight="1" s="80">
      <c r="A178" s="125" t="n"/>
      <c r="B178" s="125" t="n"/>
      <c r="C178" s="125" t="n"/>
      <c r="D178" s="130" t="n"/>
      <c r="E178" s="130" t="n"/>
      <c r="F178" s="121" t="n"/>
      <c r="G178" s="129" t="n"/>
      <c r="H178" s="125" t="n"/>
      <c r="I178" s="125" t="n"/>
      <c r="J178" s="122">
        <f>IF($A178="","",$F178*$G178)</f>
        <v/>
      </c>
    </row>
    <row r="179" ht="15" customHeight="1" s="80">
      <c r="A179" s="125" t="n"/>
      <c r="B179" s="125" t="n"/>
      <c r="C179" s="125" t="n"/>
      <c r="D179" s="130" t="n"/>
      <c r="E179" s="130" t="n"/>
      <c r="F179" s="121" t="n"/>
      <c r="G179" s="129" t="n"/>
      <c r="H179" s="125" t="n"/>
      <c r="I179" s="125" t="n"/>
      <c r="J179" s="122">
        <f>IF($A179="","",$F179*$G179)</f>
        <v/>
      </c>
    </row>
    <row r="180" ht="15" customHeight="1" s="80">
      <c r="A180" s="125" t="n"/>
      <c r="B180" s="125" t="n"/>
      <c r="C180" s="125" t="n"/>
      <c r="D180" s="130" t="n"/>
      <c r="E180" s="130" t="n"/>
      <c r="F180" s="121" t="n"/>
      <c r="G180" s="129" t="n"/>
      <c r="H180" s="125" t="n"/>
      <c r="I180" s="125" t="n"/>
      <c r="J180" s="122">
        <f>IF($A180="","",$F180*$G180)</f>
        <v/>
      </c>
    </row>
    <row r="181" ht="15" customHeight="1" s="80">
      <c r="A181" s="125" t="n"/>
      <c r="B181" s="125" t="n"/>
      <c r="C181" s="125" t="n"/>
      <c r="D181" s="130" t="n"/>
      <c r="E181" s="130" t="n"/>
      <c r="F181" s="121" t="n"/>
      <c r="G181" s="129" t="n"/>
      <c r="H181" s="125" t="n"/>
      <c r="I181" s="125" t="n"/>
      <c r="J181" s="122">
        <f>IF($A181="","",$F181*$G181)</f>
        <v/>
      </c>
    </row>
    <row r="182" ht="15" customHeight="1" s="80">
      <c r="A182" s="125" t="n"/>
      <c r="B182" s="125" t="n"/>
      <c r="C182" s="125" t="n"/>
      <c r="D182" s="130" t="n"/>
      <c r="E182" s="130" t="n"/>
      <c r="F182" s="121" t="n"/>
      <c r="G182" s="129" t="n"/>
      <c r="H182" s="125" t="n"/>
      <c r="I182" s="125" t="n"/>
      <c r="J182" s="122">
        <f>IF($A182="","",$F182*$G182)</f>
        <v/>
      </c>
    </row>
    <row r="183" ht="15" customHeight="1" s="80">
      <c r="A183" s="125" t="n"/>
      <c r="B183" s="125" t="n"/>
      <c r="C183" s="125" t="n"/>
      <c r="D183" s="130" t="n"/>
      <c r="E183" s="130" t="n"/>
      <c r="F183" s="121" t="n"/>
      <c r="G183" s="129" t="n"/>
      <c r="H183" s="125" t="n"/>
      <c r="I183" s="125" t="n"/>
      <c r="J183" s="122">
        <f>IF($A183="","",$F183*$G183)</f>
        <v/>
      </c>
    </row>
    <row r="184" ht="15" customHeight="1" s="80">
      <c r="A184" s="125" t="n"/>
      <c r="B184" s="125" t="n"/>
      <c r="C184" s="125" t="n"/>
      <c r="D184" s="130" t="n"/>
      <c r="E184" s="130" t="n"/>
      <c r="F184" s="121" t="n"/>
      <c r="G184" s="129" t="n"/>
      <c r="H184" s="125" t="n"/>
      <c r="I184" s="125" t="n"/>
      <c r="J184" s="122">
        <f>IF($A184="","",$F184*$G184)</f>
        <v/>
      </c>
    </row>
    <row r="185" ht="15" customHeight="1" s="80">
      <c r="A185" s="125" t="n"/>
      <c r="B185" s="125" t="n"/>
      <c r="C185" s="125" t="n"/>
      <c r="D185" s="130" t="n"/>
      <c r="E185" s="130" t="n"/>
      <c r="F185" s="121" t="n"/>
      <c r="G185" s="129" t="n"/>
      <c r="H185" s="125" t="n"/>
      <c r="I185" s="125" t="n"/>
      <c r="J185" s="122">
        <f>IF($A185="","",$F185*$G185)</f>
        <v/>
      </c>
    </row>
    <row r="186" ht="15" customHeight="1" s="80">
      <c r="A186" s="125" t="n"/>
      <c r="B186" s="125" t="n"/>
      <c r="C186" s="125" t="n"/>
      <c r="D186" s="130" t="n"/>
      <c r="E186" s="130" t="n"/>
      <c r="F186" s="121" t="n"/>
      <c r="G186" s="129" t="n"/>
      <c r="H186" s="125" t="n"/>
      <c r="I186" s="125" t="n"/>
      <c r="J186" s="122">
        <f>IF($A186="","",$F186*$G186)</f>
        <v/>
      </c>
    </row>
    <row r="187" ht="15" customHeight="1" s="80">
      <c r="A187" s="125" t="n"/>
      <c r="B187" s="125" t="n"/>
      <c r="C187" s="125" t="n"/>
      <c r="D187" s="130" t="n"/>
      <c r="E187" s="130" t="n"/>
      <c r="F187" s="121" t="n"/>
      <c r="G187" s="129" t="n"/>
      <c r="H187" s="125" t="n"/>
      <c r="I187" s="125" t="n"/>
      <c r="J187" s="122">
        <f>IF($A187="","",$F187*$G187)</f>
        <v/>
      </c>
    </row>
    <row r="188" ht="15" customHeight="1" s="80">
      <c r="A188" s="125" t="n"/>
      <c r="B188" s="125" t="n"/>
      <c r="C188" s="125" t="n"/>
      <c r="D188" s="130" t="n"/>
      <c r="E188" s="130" t="n"/>
      <c r="F188" s="121" t="n"/>
      <c r="G188" s="129" t="n"/>
      <c r="H188" s="125" t="n"/>
      <c r="I188" s="125" t="n"/>
      <c r="J188" s="122">
        <f>IF($A188="","",$F188*$G188)</f>
        <v/>
      </c>
    </row>
    <row r="189" ht="15" customHeight="1" s="80">
      <c r="A189" s="125" t="n"/>
      <c r="B189" s="125" t="n"/>
      <c r="C189" s="125" t="n"/>
      <c r="D189" s="130" t="n"/>
      <c r="E189" s="130" t="n"/>
      <c r="F189" s="121" t="n"/>
      <c r="G189" s="129" t="n"/>
      <c r="H189" s="125" t="n"/>
      <c r="I189" s="125" t="n"/>
      <c r="J189" s="122">
        <f>IF($A189="","",$F189*$G189)</f>
        <v/>
      </c>
    </row>
    <row r="190" ht="15" customHeight="1" s="80">
      <c r="A190" s="125" t="n"/>
      <c r="B190" s="125" t="n"/>
      <c r="C190" s="125" t="n"/>
      <c r="D190" s="130" t="n"/>
      <c r="E190" s="130" t="n"/>
      <c r="F190" s="121" t="n"/>
      <c r="G190" s="129" t="n"/>
      <c r="H190" s="125" t="n"/>
      <c r="I190" s="125" t="n"/>
      <c r="J190" s="122">
        <f>IF($A190="","",$F190*$G190)</f>
        <v/>
      </c>
    </row>
    <row r="191" ht="15" customHeight="1" s="80">
      <c r="A191" s="125" t="n"/>
      <c r="B191" s="125" t="n"/>
      <c r="C191" s="125" t="n"/>
      <c r="D191" s="130" t="n"/>
      <c r="E191" s="130" t="n"/>
      <c r="F191" s="121" t="n"/>
      <c r="G191" s="129" t="n"/>
      <c r="H191" s="125" t="n"/>
      <c r="I191" s="125" t="n"/>
      <c r="J191" s="122">
        <f>IF($A191="","",$F191*$G191)</f>
        <v/>
      </c>
    </row>
    <row r="192" ht="15" customHeight="1" s="80">
      <c r="A192" s="125" t="n"/>
      <c r="B192" s="125" t="n"/>
      <c r="C192" s="125" t="n"/>
      <c r="D192" s="130" t="n"/>
      <c r="E192" s="130" t="n"/>
      <c r="F192" s="121" t="n"/>
      <c r="G192" s="129" t="n"/>
      <c r="H192" s="125" t="n"/>
      <c r="I192" s="125" t="n"/>
      <c r="J192" s="122">
        <f>IF($A192="","",$F192*$G192)</f>
        <v/>
      </c>
    </row>
    <row r="193" ht="15" customHeight="1" s="80">
      <c r="A193" s="125" t="n"/>
      <c r="B193" s="125" t="n"/>
      <c r="C193" s="125" t="n"/>
      <c r="D193" s="130" t="n"/>
      <c r="E193" s="130" t="n"/>
      <c r="F193" s="121" t="n"/>
      <c r="G193" s="129" t="n"/>
      <c r="H193" s="125" t="n"/>
      <c r="I193" s="125" t="n"/>
      <c r="J193" s="122">
        <f>IF($A193="","",$F193*$G193)</f>
        <v/>
      </c>
    </row>
    <row r="194" ht="15" customHeight="1" s="80">
      <c r="A194" s="125" t="n"/>
      <c r="B194" s="125" t="n"/>
      <c r="C194" s="125" t="n"/>
      <c r="D194" s="130" t="n"/>
      <c r="E194" s="130" t="n"/>
      <c r="F194" s="121" t="n"/>
      <c r="G194" s="129" t="n"/>
      <c r="H194" s="125" t="n"/>
      <c r="I194" s="125" t="n"/>
      <c r="J194" s="122">
        <f>IF($A194="","",$F194*$G194)</f>
        <v/>
      </c>
    </row>
    <row r="195" ht="15" customHeight="1" s="80">
      <c r="A195" s="125" t="n"/>
      <c r="B195" s="125" t="n"/>
      <c r="C195" s="125" t="n"/>
      <c r="D195" s="130" t="n"/>
      <c r="E195" s="130" t="n"/>
      <c r="F195" s="121" t="n"/>
      <c r="G195" s="129" t="n"/>
      <c r="H195" s="125" t="n"/>
      <c r="I195" s="125" t="n"/>
      <c r="J195" s="122">
        <f>IF($A195="","",$F195*$G195)</f>
        <v/>
      </c>
    </row>
    <row r="196" ht="15" customHeight="1" s="80">
      <c r="A196" s="125" t="n"/>
      <c r="B196" s="125" t="n"/>
      <c r="C196" s="125" t="n"/>
      <c r="D196" s="130" t="n"/>
      <c r="E196" s="130" t="n"/>
      <c r="F196" s="121" t="n"/>
      <c r="G196" s="129" t="n"/>
      <c r="H196" s="125" t="n"/>
      <c r="I196" s="125" t="n"/>
      <c r="J196" s="122">
        <f>IF($A196="","",$F196*$G196)</f>
        <v/>
      </c>
    </row>
    <row r="197" ht="15" customHeight="1" s="80">
      <c r="A197" s="125" t="n"/>
      <c r="B197" s="125" t="n"/>
      <c r="C197" s="125" t="n"/>
      <c r="D197" s="130" t="n"/>
      <c r="E197" s="130" t="n"/>
      <c r="F197" s="121" t="n"/>
      <c r="G197" s="129" t="n"/>
      <c r="H197" s="125" t="n"/>
      <c r="I197" s="125" t="n"/>
      <c r="J197" s="122">
        <f>IF($A197="","",$F197*$G197)</f>
        <v/>
      </c>
    </row>
    <row r="198" ht="15" customHeight="1" s="80">
      <c r="A198" s="125" t="n"/>
      <c r="B198" s="125" t="n"/>
      <c r="C198" s="125" t="n"/>
      <c r="D198" s="130" t="n"/>
      <c r="E198" s="130" t="n"/>
      <c r="F198" s="121" t="n"/>
      <c r="G198" s="129" t="n"/>
      <c r="H198" s="125" t="n"/>
      <c r="I198" s="125" t="n"/>
      <c r="J198" s="122">
        <f>IF($A198="","",$F198*$G198)</f>
        <v/>
      </c>
    </row>
    <row r="199" ht="15" customHeight="1" s="80">
      <c r="A199" s="125" t="n"/>
      <c r="B199" s="125" t="n"/>
      <c r="C199" s="125" t="n"/>
      <c r="D199" s="130" t="n"/>
      <c r="E199" s="130" t="n"/>
      <c r="F199" s="121" t="n"/>
      <c r="G199" s="129" t="n"/>
      <c r="H199" s="125" t="n"/>
      <c r="I199" s="125" t="n"/>
      <c r="J199" s="122">
        <f>IF($A199="","",$F199*$G199)</f>
        <v/>
      </c>
    </row>
    <row r="200" ht="15" customHeight="1" s="80">
      <c r="A200" s="125" t="n"/>
      <c r="B200" s="125" t="n"/>
      <c r="C200" s="125" t="n"/>
      <c r="D200" s="130" t="n"/>
      <c r="E200" s="130" t="n"/>
      <c r="F200" s="121" t="n"/>
      <c r="G200" s="129" t="n"/>
      <c r="H200" s="125" t="n"/>
      <c r="I200" s="125" t="n"/>
      <c r="J200" s="122">
        <f>IF($A200="","",$F200*$G200)</f>
        <v/>
      </c>
    </row>
    <row r="201" ht="15" customHeight="1" s="80">
      <c r="A201" s="125" t="n"/>
      <c r="B201" s="125" t="n"/>
      <c r="C201" s="125" t="n"/>
      <c r="D201" s="130" t="n"/>
      <c r="E201" s="130" t="n"/>
      <c r="F201" s="121" t="n"/>
      <c r="G201" s="129" t="n"/>
      <c r="H201" s="125" t="n"/>
      <c r="I201" s="125" t="n"/>
      <c r="J201" s="122">
        <f>IF($A201="","",$F201*$G201)</f>
        <v/>
      </c>
    </row>
    <row r="202" ht="15" customHeight="1" s="80">
      <c r="A202" s="125" t="n"/>
      <c r="B202" s="125" t="n"/>
      <c r="C202" s="125" t="n"/>
      <c r="D202" s="130" t="n"/>
      <c r="E202" s="130" t="n"/>
      <c r="F202" s="121" t="n"/>
      <c r="G202" s="129" t="n"/>
      <c r="H202" s="125" t="n"/>
      <c r="I202" s="125" t="n"/>
      <c r="J202" s="122">
        <f>IF($A202="","",$F202*$G202)</f>
        <v/>
      </c>
    </row>
    <row r="203" ht="15" customHeight="1" s="80">
      <c r="A203" s="125" t="n"/>
      <c r="B203" s="125" t="n"/>
      <c r="C203" s="125" t="n"/>
      <c r="D203" s="130" t="n"/>
      <c r="E203" s="130" t="n"/>
      <c r="F203" s="121" t="n"/>
      <c r="G203" s="129" t="n"/>
      <c r="H203" s="125" t="n"/>
      <c r="I203" s="125" t="n"/>
      <c r="J203" s="122">
        <f>IF($A203="","",$F203*$G203)</f>
        <v/>
      </c>
    </row>
    <row r="204" ht="15" customHeight="1" s="80">
      <c r="A204" s="125" t="n"/>
      <c r="B204" s="125" t="n"/>
      <c r="C204" s="125" t="n"/>
      <c r="D204" s="130" t="n"/>
      <c r="E204" s="130" t="n"/>
      <c r="F204" s="121" t="n"/>
      <c r="G204" s="129" t="n"/>
      <c r="H204" s="125" t="n"/>
      <c r="I204" s="125" t="n"/>
      <c r="J204" s="122">
        <f>IF($A204="","",$F204*$G204)</f>
        <v/>
      </c>
    </row>
    <row r="205" ht="15" customHeight="1" s="80">
      <c r="A205" s="125" t="n"/>
      <c r="B205" s="125" t="n"/>
      <c r="C205" s="125" t="n"/>
      <c r="D205" s="130" t="n"/>
      <c r="E205" s="130" t="n"/>
      <c r="F205" s="121" t="n"/>
      <c r="G205" s="129" t="n"/>
      <c r="H205" s="125" t="n"/>
      <c r="I205" s="125" t="n"/>
      <c r="J205" s="122">
        <f>IF($A205="","",$F205*$G205)</f>
        <v/>
      </c>
    </row>
    <row r="206" ht="15" customHeight="1" s="80">
      <c r="A206" s="125" t="n"/>
      <c r="B206" s="125" t="n"/>
      <c r="C206" s="125" t="n"/>
      <c r="D206" s="130" t="n"/>
      <c r="E206" s="130" t="n"/>
      <c r="F206" s="121" t="n"/>
      <c r="G206" s="129" t="n"/>
      <c r="H206" s="125" t="n"/>
      <c r="I206" s="125" t="n"/>
      <c r="J206" s="122">
        <f>IF($A206="","",$F206*$G206)</f>
        <v/>
      </c>
    </row>
    <row r="207" ht="15" customHeight="1" s="80">
      <c r="A207" s="125" t="n"/>
      <c r="B207" s="125" t="n"/>
      <c r="C207" s="125" t="n"/>
      <c r="D207" s="130" t="n"/>
      <c r="E207" s="130" t="n"/>
      <c r="F207" s="121" t="n"/>
      <c r="G207" s="129" t="n"/>
      <c r="H207" s="125" t="n"/>
      <c r="I207" s="125" t="n"/>
      <c r="J207" s="122">
        <f>IF($A207="","",$F207*$G207)</f>
        <v/>
      </c>
    </row>
    <row r="208" ht="15" customHeight="1" s="80">
      <c r="A208" s="125" t="n"/>
      <c r="B208" s="125" t="n"/>
      <c r="C208" s="125" t="n"/>
      <c r="D208" s="130" t="n"/>
      <c r="E208" s="130" t="n"/>
      <c r="F208" s="121" t="n"/>
      <c r="G208" s="129" t="n"/>
      <c r="H208" s="125" t="n"/>
      <c r="I208" s="125" t="n"/>
      <c r="J208" s="122">
        <f>IF($A208="","",$F208*$G208)</f>
        <v/>
      </c>
    </row>
    <row r="209" ht="15" customHeight="1" s="80">
      <c r="A209" s="125" t="n"/>
      <c r="B209" s="125" t="n"/>
      <c r="C209" s="125" t="n"/>
      <c r="D209" s="130" t="n"/>
      <c r="E209" s="130" t="n"/>
      <c r="F209" s="121" t="n"/>
      <c r="G209" s="129" t="n"/>
      <c r="H209" s="125" t="n"/>
      <c r="I209" s="125" t="n"/>
      <c r="J209" s="122">
        <f>IF($A209="","",$F209*$G209)</f>
        <v/>
      </c>
    </row>
    <row r="210" ht="15" customHeight="1" s="80">
      <c r="A210" s="125" t="n"/>
      <c r="B210" s="125" t="n"/>
      <c r="C210" s="125" t="n"/>
      <c r="D210" s="130" t="n"/>
      <c r="E210" s="130" t="n"/>
      <c r="F210" s="121" t="n"/>
      <c r="G210" s="129" t="n"/>
      <c r="H210" s="125" t="n"/>
      <c r="I210" s="125" t="n"/>
      <c r="J210" s="122">
        <f>IF($A210="","",$F210*$G210)</f>
        <v/>
      </c>
    </row>
    <row r="211" ht="15" customHeight="1" s="80">
      <c r="A211" s="125" t="n"/>
      <c r="B211" s="125" t="n"/>
      <c r="C211" s="125" t="n"/>
      <c r="D211" s="130" t="n"/>
      <c r="E211" s="130" t="n"/>
      <c r="F211" s="121" t="n"/>
      <c r="G211" s="129" t="n"/>
      <c r="H211" s="125" t="n"/>
      <c r="I211" s="125" t="n"/>
      <c r="J211" s="122">
        <f>IF($A211="","",$F211*$G211)</f>
        <v/>
      </c>
    </row>
    <row r="212" ht="15" customHeight="1" s="80">
      <c r="A212" s="125" t="n"/>
      <c r="B212" s="125" t="n"/>
      <c r="C212" s="125" t="n"/>
      <c r="D212" s="130" t="n"/>
      <c r="E212" s="130" t="n"/>
      <c r="F212" s="121" t="n"/>
      <c r="G212" s="129" t="n"/>
      <c r="H212" s="125" t="n"/>
      <c r="I212" s="125" t="n"/>
      <c r="J212" s="122">
        <f>IF($A212="","",$F212*$G212)</f>
        <v/>
      </c>
    </row>
    <row r="213" ht="15" customHeight="1" s="80">
      <c r="A213" s="125" t="n"/>
      <c r="B213" s="125" t="n"/>
      <c r="C213" s="125" t="n"/>
      <c r="D213" s="130" t="n"/>
      <c r="E213" s="130" t="n"/>
      <c r="F213" s="121" t="n"/>
      <c r="G213" s="129" t="n"/>
      <c r="H213" s="125" t="n"/>
      <c r="I213" s="125" t="n"/>
      <c r="J213" s="122">
        <f>IF($A213="","",$F213*$G213)</f>
        <v/>
      </c>
    </row>
    <row r="214" ht="15" customHeight="1" s="80">
      <c r="A214" s="125" t="n"/>
      <c r="B214" s="125" t="n"/>
      <c r="C214" s="125" t="n"/>
      <c r="D214" s="130" t="n"/>
      <c r="E214" s="130" t="n"/>
      <c r="F214" s="121" t="n"/>
      <c r="G214" s="129" t="n"/>
      <c r="H214" s="125" t="n"/>
      <c r="I214" s="125" t="n"/>
      <c r="J214" s="122">
        <f>IF($A214="","",$F214*$G214)</f>
        <v/>
      </c>
    </row>
    <row r="215" ht="15" customHeight="1" s="80">
      <c r="A215" s="125" t="n"/>
      <c r="B215" s="125" t="n"/>
      <c r="C215" s="125" t="n"/>
      <c r="D215" s="130" t="n"/>
      <c r="E215" s="130" t="n"/>
      <c r="F215" s="121" t="n"/>
      <c r="G215" s="129" t="n"/>
      <c r="H215" s="125" t="n"/>
      <c r="I215" s="125" t="n"/>
      <c r="J215" s="122">
        <f>IF($A215="","",$F215*$G215)</f>
        <v/>
      </c>
    </row>
    <row r="216" ht="15" customHeight="1" s="80">
      <c r="A216" s="125" t="n"/>
      <c r="B216" s="125" t="n"/>
      <c r="C216" s="125" t="n"/>
      <c r="D216" s="130" t="n"/>
      <c r="E216" s="130" t="n"/>
      <c r="F216" s="121" t="n"/>
      <c r="G216" s="129" t="n"/>
      <c r="H216" s="125" t="n"/>
      <c r="I216" s="125" t="n"/>
      <c r="J216" s="122">
        <f>IF($A216="","",$F216*$G216)</f>
        <v/>
      </c>
    </row>
    <row r="217" ht="15" customHeight="1" s="80">
      <c r="A217" s="125" t="n"/>
      <c r="B217" s="125" t="n"/>
      <c r="C217" s="125" t="n"/>
      <c r="D217" s="130" t="n"/>
      <c r="E217" s="130" t="n"/>
      <c r="F217" s="121" t="n"/>
      <c r="G217" s="129" t="n"/>
      <c r="H217" s="125" t="n"/>
      <c r="I217" s="125" t="n"/>
      <c r="J217" s="122">
        <f>IF($A217="","",$F217*$G217)</f>
        <v/>
      </c>
    </row>
    <row r="218" ht="15" customHeight="1" s="80">
      <c r="A218" s="125" t="n"/>
      <c r="B218" s="125" t="n"/>
      <c r="C218" s="125" t="n"/>
      <c r="D218" s="130" t="n"/>
      <c r="E218" s="130" t="n"/>
      <c r="F218" s="121" t="n"/>
      <c r="G218" s="129" t="n"/>
      <c r="H218" s="125" t="n"/>
      <c r="I218" s="125" t="n"/>
      <c r="J218" s="122">
        <f>IF($A218="","",$F218*$G218)</f>
        <v/>
      </c>
    </row>
    <row r="219" ht="15" customHeight="1" s="80">
      <c r="A219" s="125" t="n"/>
      <c r="B219" s="125" t="n"/>
      <c r="C219" s="125" t="n"/>
      <c r="D219" s="130" t="n"/>
      <c r="E219" s="130" t="n"/>
      <c r="F219" s="121" t="n"/>
      <c r="G219" s="129" t="n"/>
      <c r="H219" s="125" t="n"/>
      <c r="I219" s="125" t="n"/>
      <c r="J219" s="122">
        <f>IF($A219="","",$F219*$G219)</f>
        <v/>
      </c>
    </row>
    <row r="220" ht="15" customHeight="1" s="80">
      <c r="A220" s="125" t="n"/>
      <c r="B220" s="125" t="n"/>
      <c r="C220" s="125" t="n"/>
      <c r="D220" s="130" t="n"/>
      <c r="E220" s="130" t="n"/>
      <c r="F220" s="121" t="n"/>
      <c r="G220" s="129" t="n"/>
      <c r="H220" s="125" t="n"/>
      <c r="I220" s="125" t="n"/>
      <c r="J220" s="122">
        <f>IF($A220="","",$F220*$G220)</f>
        <v/>
      </c>
    </row>
    <row r="221" ht="15" customHeight="1" s="80">
      <c r="A221" s="125" t="n"/>
      <c r="B221" s="125" t="n"/>
      <c r="C221" s="125" t="n"/>
      <c r="D221" s="130" t="n"/>
      <c r="E221" s="130" t="n"/>
      <c r="F221" s="121" t="n"/>
      <c r="G221" s="129" t="n"/>
      <c r="H221" s="125" t="n"/>
      <c r="I221" s="125" t="n"/>
      <c r="J221" s="122">
        <f>IF($A221="","",$F221*$G221)</f>
        <v/>
      </c>
    </row>
    <row r="222" ht="15" customHeight="1" s="80">
      <c r="A222" s="125" t="n"/>
      <c r="B222" s="125" t="n"/>
      <c r="C222" s="125" t="n"/>
      <c r="D222" s="130" t="n"/>
      <c r="E222" s="130" t="n"/>
      <c r="F222" s="121" t="n"/>
      <c r="G222" s="129" t="n"/>
      <c r="H222" s="125" t="n"/>
      <c r="I222" s="125" t="n"/>
      <c r="J222" s="122">
        <f>IF($A222="","",$F222*$G222)</f>
        <v/>
      </c>
    </row>
    <row r="223" ht="15" customHeight="1" s="80">
      <c r="A223" s="125" t="n"/>
      <c r="B223" s="125" t="n"/>
      <c r="C223" s="125" t="n"/>
      <c r="D223" s="130" t="n"/>
      <c r="E223" s="130" t="n"/>
      <c r="F223" s="121" t="n"/>
      <c r="G223" s="129" t="n"/>
      <c r="H223" s="125" t="n"/>
      <c r="I223" s="125" t="n"/>
      <c r="J223" s="122">
        <f>IF($A223="","",$F223*$G223)</f>
        <v/>
      </c>
    </row>
    <row r="224" ht="15" customHeight="1" s="80">
      <c r="A224" s="125" t="n"/>
      <c r="B224" s="125" t="n"/>
      <c r="C224" s="125" t="n"/>
      <c r="D224" s="130" t="n"/>
      <c r="E224" s="130" t="n"/>
      <c r="F224" s="121" t="n"/>
      <c r="G224" s="129" t="n"/>
      <c r="H224" s="125" t="n"/>
      <c r="I224" s="125" t="n"/>
      <c r="J224" s="122">
        <f>IF($A224="","",$F224*$G224)</f>
        <v/>
      </c>
    </row>
    <row r="225" ht="15" customHeight="1" s="80">
      <c r="A225" s="125" t="n"/>
      <c r="B225" s="125" t="n"/>
      <c r="C225" s="125" t="n"/>
      <c r="D225" s="130" t="n"/>
      <c r="E225" s="130" t="n"/>
      <c r="F225" s="121" t="n"/>
      <c r="G225" s="129" t="n"/>
      <c r="H225" s="125" t="n"/>
      <c r="I225" s="125" t="n"/>
      <c r="J225" s="122">
        <f>IF($A225="","",$F225*$G225)</f>
        <v/>
      </c>
    </row>
    <row r="226" ht="15" customHeight="1" s="80">
      <c r="A226" s="125" t="n"/>
      <c r="B226" s="125" t="n"/>
      <c r="C226" s="125" t="n"/>
      <c r="D226" s="130" t="n"/>
      <c r="E226" s="130" t="n"/>
      <c r="F226" s="121" t="n"/>
      <c r="G226" s="129" t="n"/>
      <c r="H226" s="125" t="n"/>
      <c r="I226" s="125" t="n"/>
      <c r="J226" s="122">
        <f>IF($A226="","",$F226*$G226)</f>
        <v/>
      </c>
    </row>
    <row r="227" ht="15" customHeight="1" s="80">
      <c r="A227" s="125" t="n"/>
      <c r="B227" s="125" t="n"/>
      <c r="C227" s="125" t="n"/>
      <c r="D227" s="130" t="n"/>
      <c r="E227" s="130" t="n"/>
      <c r="F227" s="121" t="n"/>
      <c r="G227" s="129" t="n"/>
      <c r="H227" s="125" t="n"/>
      <c r="I227" s="125" t="n"/>
      <c r="J227" s="122">
        <f>IF($A227="","",$F227*$G227)</f>
        <v/>
      </c>
    </row>
    <row r="228" ht="15" customHeight="1" s="80">
      <c r="A228" s="125" t="n"/>
      <c r="B228" s="125" t="n"/>
      <c r="C228" s="125" t="n"/>
      <c r="D228" s="130" t="n"/>
      <c r="E228" s="130" t="n"/>
      <c r="F228" s="121" t="n"/>
      <c r="G228" s="129" t="n"/>
      <c r="H228" s="125" t="n"/>
      <c r="I228" s="125" t="n"/>
      <c r="J228" s="122">
        <f>IF($A228="","",$F228*$G228)</f>
        <v/>
      </c>
    </row>
    <row r="229" ht="15" customHeight="1" s="80">
      <c r="A229" s="125" t="n"/>
      <c r="B229" s="125" t="n"/>
      <c r="C229" s="125" t="n"/>
      <c r="D229" s="130" t="n"/>
      <c r="E229" s="130" t="n"/>
      <c r="F229" s="121" t="n"/>
      <c r="G229" s="129" t="n"/>
      <c r="H229" s="125" t="n"/>
      <c r="I229" s="125" t="n"/>
      <c r="J229" s="122">
        <f>IF($A229="","",$F229*$G229)</f>
        <v/>
      </c>
    </row>
    <row r="230" ht="15" customHeight="1" s="80">
      <c r="A230" s="125" t="n"/>
      <c r="B230" s="125" t="n"/>
      <c r="C230" s="125" t="n"/>
      <c r="D230" s="130" t="n"/>
      <c r="E230" s="130" t="n"/>
      <c r="F230" s="121" t="n"/>
      <c r="G230" s="129" t="n"/>
      <c r="H230" s="125" t="n"/>
      <c r="I230" s="125" t="n"/>
      <c r="J230" s="122">
        <f>IF($A230="","",$F230*$G230)</f>
        <v/>
      </c>
    </row>
    <row r="231" ht="15" customHeight="1" s="80">
      <c r="A231" s="125" t="n"/>
      <c r="B231" s="125" t="n"/>
      <c r="C231" s="125" t="n"/>
      <c r="D231" s="130" t="n"/>
      <c r="E231" s="130" t="n"/>
      <c r="F231" s="121" t="n"/>
      <c r="G231" s="129" t="n"/>
      <c r="H231" s="125" t="n"/>
      <c r="I231" s="125" t="n"/>
      <c r="J231" s="122">
        <f>IF($A231="","",$F231*$G231)</f>
        <v/>
      </c>
    </row>
    <row r="232" ht="15" customHeight="1" s="80">
      <c r="A232" s="125" t="n"/>
      <c r="B232" s="125" t="n"/>
      <c r="C232" s="125" t="n"/>
      <c r="D232" s="130" t="n"/>
      <c r="E232" s="130" t="n"/>
      <c r="F232" s="121" t="n"/>
      <c r="G232" s="129" t="n"/>
      <c r="H232" s="125" t="n"/>
      <c r="I232" s="125" t="n"/>
      <c r="J232" s="122">
        <f>IF($A232="","",$F232*$G232)</f>
        <v/>
      </c>
    </row>
    <row r="233" ht="15" customHeight="1" s="80">
      <c r="A233" s="125" t="n"/>
      <c r="B233" s="125" t="n"/>
      <c r="C233" s="125" t="n"/>
      <c r="D233" s="130" t="n"/>
      <c r="E233" s="130" t="n"/>
      <c r="F233" s="121" t="n"/>
      <c r="G233" s="129" t="n"/>
      <c r="H233" s="125" t="n"/>
      <c r="I233" s="125" t="n"/>
      <c r="J233" s="122">
        <f>IF($A233="","",$F233*$G233)</f>
        <v/>
      </c>
    </row>
    <row r="234" ht="15" customHeight="1" s="80">
      <c r="A234" s="125" t="n"/>
      <c r="B234" s="125" t="n"/>
      <c r="C234" s="125" t="n"/>
      <c r="D234" s="130" t="n"/>
      <c r="E234" s="130" t="n"/>
      <c r="F234" s="121" t="n"/>
      <c r="G234" s="129" t="n"/>
      <c r="H234" s="125" t="n"/>
      <c r="I234" s="125" t="n"/>
      <c r="J234" s="122">
        <f>IF($A234="","",$F234*$G234)</f>
        <v/>
      </c>
    </row>
    <row r="235" ht="15" customHeight="1" s="80">
      <c r="A235" s="125" t="n"/>
      <c r="B235" s="125" t="n"/>
      <c r="C235" s="125" t="n"/>
      <c r="D235" s="130" t="n"/>
      <c r="E235" s="130" t="n"/>
      <c r="F235" s="121" t="n"/>
      <c r="G235" s="129" t="n"/>
      <c r="H235" s="125" t="n"/>
      <c r="I235" s="125" t="n"/>
      <c r="J235" s="122">
        <f>IF($A235="","",$F235*$G235)</f>
        <v/>
      </c>
    </row>
    <row r="236" ht="15" customHeight="1" s="80">
      <c r="A236" s="125" t="n"/>
      <c r="B236" s="125" t="n"/>
      <c r="C236" s="125" t="n"/>
      <c r="D236" s="130" t="n"/>
      <c r="E236" s="130" t="n"/>
      <c r="F236" s="121" t="n"/>
      <c r="G236" s="129" t="n"/>
      <c r="H236" s="125" t="n"/>
      <c r="I236" s="125" t="n"/>
      <c r="J236" s="122">
        <f>IF($A236="","",$F236*$G236)</f>
        <v/>
      </c>
    </row>
    <row r="237" ht="15" customHeight="1" s="80">
      <c r="A237" s="125" t="n"/>
      <c r="B237" s="125" t="n"/>
      <c r="C237" s="125" t="n"/>
      <c r="D237" s="130" t="n"/>
      <c r="E237" s="130" t="n"/>
      <c r="F237" s="121" t="n"/>
      <c r="G237" s="129" t="n"/>
      <c r="H237" s="125" t="n"/>
      <c r="I237" s="125" t="n"/>
      <c r="J237" s="122">
        <f>IF($A237="","",$F237*$G237)</f>
        <v/>
      </c>
    </row>
    <row r="238" ht="15" customHeight="1" s="80">
      <c r="A238" s="125" t="n"/>
      <c r="B238" s="125" t="n"/>
      <c r="C238" s="125" t="n"/>
      <c r="D238" s="130" t="n"/>
      <c r="E238" s="130" t="n"/>
      <c r="F238" s="121" t="n"/>
      <c r="G238" s="129" t="n"/>
      <c r="H238" s="125" t="n"/>
      <c r="I238" s="125" t="n"/>
      <c r="J238" s="122">
        <f>IF($A238="","",$F238*$G238)</f>
        <v/>
      </c>
    </row>
    <row r="239" ht="15" customHeight="1" s="80">
      <c r="A239" s="125" t="n"/>
      <c r="B239" s="125" t="n"/>
      <c r="C239" s="125" t="n"/>
      <c r="D239" s="130" t="n"/>
      <c r="E239" s="130" t="n"/>
      <c r="F239" s="121" t="n"/>
      <c r="G239" s="129" t="n"/>
      <c r="H239" s="125" t="n"/>
      <c r="I239" s="125" t="n"/>
      <c r="J239" s="122">
        <f>IF($A239="","",$F239*$G239)</f>
        <v/>
      </c>
    </row>
    <row r="240" ht="15" customHeight="1" s="80">
      <c r="A240" s="125" t="n"/>
      <c r="B240" s="125" t="n"/>
      <c r="C240" s="125" t="n"/>
      <c r="D240" s="130" t="n"/>
      <c r="E240" s="130" t="n"/>
      <c r="F240" s="121" t="n"/>
      <c r="G240" s="129" t="n"/>
      <c r="H240" s="125" t="n"/>
      <c r="I240" s="125" t="n"/>
      <c r="J240" s="122">
        <f>IF($A240="","",$F240*$G240)</f>
        <v/>
      </c>
    </row>
    <row r="241" ht="15" customHeight="1" s="80">
      <c r="A241" s="125" t="n"/>
      <c r="B241" s="125" t="n"/>
      <c r="C241" s="125" t="n"/>
      <c r="D241" s="130" t="n"/>
      <c r="E241" s="130" t="n"/>
      <c r="F241" s="121" t="n"/>
      <c r="G241" s="129" t="n"/>
      <c r="H241" s="125" t="n"/>
      <c r="I241" s="125" t="n"/>
      <c r="J241" s="122">
        <f>IF($A241="","",$F241*$G241)</f>
        <v/>
      </c>
    </row>
    <row r="242" ht="15" customHeight="1" s="80">
      <c r="A242" s="125" t="n"/>
      <c r="B242" s="125" t="n"/>
      <c r="C242" s="125" t="n"/>
      <c r="D242" s="130" t="n"/>
      <c r="E242" s="130" t="n"/>
      <c r="F242" s="121" t="n"/>
      <c r="G242" s="129" t="n"/>
      <c r="H242" s="125" t="n"/>
      <c r="I242" s="125" t="n"/>
      <c r="J242" s="122">
        <f>IF($A242="","",$F242*$G242)</f>
        <v/>
      </c>
    </row>
    <row r="243" ht="15" customHeight="1" s="80">
      <c r="A243" s="125" t="n"/>
      <c r="B243" s="125" t="n"/>
      <c r="C243" s="125" t="n"/>
      <c r="D243" s="130" t="n"/>
      <c r="E243" s="130" t="n"/>
      <c r="F243" s="121" t="n"/>
      <c r="G243" s="129" t="n"/>
      <c r="H243" s="125" t="n"/>
      <c r="I243" s="125" t="n"/>
      <c r="J243" s="122">
        <f>IF($A243="","",$F243*$G243)</f>
        <v/>
      </c>
    </row>
    <row r="244" ht="15" customHeight="1" s="80">
      <c r="A244" s="125" t="n"/>
      <c r="B244" s="125" t="n"/>
      <c r="C244" s="125" t="n"/>
      <c r="D244" s="130" t="n"/>
      <c r="E244" s="130" t="n"/>
      <c r="F244" s="121" t="n"/>
      <c r="G244" s="129" t="n"/>
      <c r="H244" s="125" t="n"/>
      <c r="I244" s="125" t="n"/>
      <c r="J244" s="122">
        <f>IF($A244="","",$F244*$G244)</f>
        <v/>
      </c>
    </row>
    <row r="245" ht="15" customHeight="1" s="80">
      <c r="A245" s="125" t="n"/>
      <c r="B245" s="125" t="n"/>
      <c r="C245" s="125" t="n"/>
      <c r="D245" s="130" t="n"/>
      <c r="E245" s="130" t="n"/>
      <c r="F245" s="121" t="n"/>
      <c r="G245" s="129" t="n"/>
      <c r="H245" s="125" t="n"/>
      <c r="I245" s="125" t="n"/>
      <c r="J245" s="122">
        <f>IF($A245="","",$F245*$G245)</f>
        <v/>
      </c>
    </row>
    <row r="246" ht="15" customHeight="1" s="80">
      <c r="A246" s="125" t="n"/>
      <c r="B246" s="125" t="n"/>
      <c r="C246" s="125" t="n"/>
      <c r="D246" s="130" t="n"/>
      <c r="E246" s="130" t="n"/>
      <c r="F246" s="121" t="n"/>
      <c r="G246" s="129" t="n"/>
      <c r="H246" s="125" t="n"/>
      <c r="I246" s="125" t="n"/>
      <c r="J246" s="122">
        <f>IF($A246="","",$F246*$G246)</f>
        <v/>
      </c>
    </row>
    <row r="247" ht="15" customHeight="1" s="80">
      <c r="A247" s="125" t="n"/>
      <c r="B247" s="125" t="n"/>
      <c r="C247" s="125" t="n"/>
      <c r="D247" s="130" t="n"/>
      <c r="E247" s="130" t="n"/>
      <c r="F247" s="121" t="n"/>
      <c r="G247" s="129" t="n"/>
      <c r="H247" s="125" t="n"/>
      <c r="I247" s="125" t="n"/>
      <c r="J247" s="122">
        <f>IF($A247="","",$F247*$G247)</f>
        <v/>
      </c>
    </row>
    <row r="248" ht="15" customHeight="1" s="80">
      <c r="A248" s="125" t="n"/>
      <c r="B248" s="125" t="n"/>
      <c r="C248" s="125" t="n"/>
      <c r="D248" s="130" t="n"/>
      <c r="E248" s="130" t="n"/>
      <c r="F248" s="121" t="n"/>
      <c r="G248" s="129" t="n"/>
      <c r="H248" s="125" t="n"/>
      <c r="I248" s="125" t="n"/>
      <c r="J248" s="122">
        <f>IF($A248="","",$F248*$G248)</f>
        <v/>
      </c>
    </row>
    <row r="249" ht="15" customHeight="1" s="80">
      <c r="A249" s="125" t="n"/>
      <c r="B249" s="125" t="n"/>
      <c r="C249" s="125" t="n"/>
      <c r="D249" s="130" t="n"/>
      <c r="E249" s="130" t="n"/>
      <c r="F249" s="121" t="n"/>
      <c r="G249" s="129" t="n"/>
      <c r="H249" s="125" t="n"/>
      <c r="I249" s="125" t="n"/>
      <c r="J249" s="122">
        <f>IF($A249="","",$F249*$G249)</f>
        <v/>
      </c>
    </row>
    <row r="250" ht="15" customHeight="1" s="80">
      <c r="A250" s="125" t="n"/>
      <c r="B250" s="125" t="n"/>
      <c r="C250" s="125" t="n"/>
      <c r="D250" s="130" t="n"/>
      <c r="E250" s="130" t="n"/>
      <c r="F250" s="121" t="n"/>
      <c r="G250" s="129" t="n"/>
      <c r="H250" s="125" t="n"/>
      <c r="I250" s="125" t="n"/>
      <c r="J250" s="122">
        <f>IF($A250="","",$F250*$G250)</f>
        <v/>
      </c>
    </row>
    <row r="251" ht="15" customHeight="1" s="80">
      <c r="A251" s="125" t="n"/>
      <c r="B251" s="125" t="n"/>
      <c r="C251" s="125" t="n"/>
      <c r="D251" s="130" t="n"/>
      <c r="E251" s="130" t="n"/>
      <c r="F251" s="121" t="n"/>
      <c r="G251" s="129" t="n"/>
      <c r="H251" s="125" t="n"/>
      <c r="I251" s="125" t="n"/>
      <c r="J251" s="122">
        <f>IF($A251="","",$F251*$G251)</f>
        <v/>
      </c>
    </row>
    <row r="252" ht="15" customHeight="1" s="80">
      <c r="A252" s="125" t="n"/>
      <c r="B252" s="125" t="n"/>
      <c r="C252" s="125" t="n"/>
      <c r="D252" s="130" t="n"/>
      <c r="E252" s="130" t="n"/>
      <c r="F252" s="121" t="n"/>
      <c r="G252" s="129" t="n"/>
      <c r="H252" s="125" t="n"/>
      <c r="I252" s="125" t="n"/>
      <c r="J252" s="122">
        <f>IF($A252="","",$F252*$G252)</f>
        <v/>
      </c>
    </row>
    <row r="253" ht="15" customHeight="1" s="80">
      <c r="A253" s="125" t="n"/>
      <c r="B253" s="125" t="n"/>
      <c r="C253" s="125" t="n"/>
      <c r="D253" s="130" t="n"/>
      <c r="E253" s="130" t="n"/>
      <c r="F253" s="121" t="n"/>
      <c r="G253" s="129" t="n"/>
      <c r="H253" s="125" t="n"/>
      <c r="I253" s="125" t="n"/>
      <c r="J253" s="122">
        <f>IF($A253="","",$F253*$G253)</f>
        <v/>
      </c>
    </row>
    <row r="254" ht="15" customHeight="1" s="80">
      <c r="A254" s="125" t="n"/>
      <c r="B254" s="125" t="n"/>
      <c r="C254" s="125" t="n"/>
      <c r="D254" s="130" t="n"/>
      <c r="E254" s="130" t="n"/>
      <c r="F254" s="121" t="n"/>
      <c r="G254" s="129" t="n"/>
      <c r="H254" s="125" t="n"/>
      <c r="I254" s="125" t="n"/>
      <c r="J254" s="122">
        <f>IF($A254="","",$F254*$G254)</f>
        <v/>
      </c>
    </row>
    <row r="255" ht="15" customHeight="1" s="80">
      <c r="A255" s="125" t="n"/>
      <c r="B255" s="125" t="n"/>
      <c r="C255" s="125" t="n"/>
      <c r="D255" s="130" t="n"/>
      <c r="E255" s="130" t="n"/>
      <c r="F255" s="121" t="n"/>
      <c r="G255" s="129" t="n"/>
      <c r="H255" s="125" t="n"/>
      <c r="I255" s="125" t="n"/>
      <c r="J255" s="122">
        <f>IF($A255="","",$F255*$G255)</f>
        <v/>
      </c>
    </row>
    <row r="256" ht="15" customHeight="1" s="80">
      <c r="A256" s="125" t="n"/>
      <c r="B256" s="125" t="n"/>
      <c r="C256" s="125" t="n"/>
      <c r="D256" s="130" t="n"/>
      <c r="E256" s="130" t="n"/>
      <c r="F256" s="121" t="n"/>
      <c r="G256" s="129" t="n"/>
      <c r="H256" s="125" t="n"/>
      <c r="I256" s="125" t="n"/>
      <c r="J256" s="122">
        <f>IF($A256="","",$F256*$G256)</f>
        <v/>
      </c>
    </row>
    <row r="257" ht="15" customHeight="1" s="80">
      <c r="A257" s="125" t="n"/>
      <c r="B257" s="125" t="n"/>
      <c r="C257" s="125" t="n"/>
      <c r="D257" s="130" t="n"/>
      <c r="E257" s="130" t="n"/>
      <c r="F257" s="121" t="n"/>
      <c r="G257" s="129" t="n"/>
      <c r="H257" s="125" t="n"/>
      <c r="I257" s="125" t="n"/>
      <c r="J257" s="122">
        <f>IF($A257="","",$F257*$G257)</f>
        <v/>
      </c>
    </row>
    <row r="258" ht="15" customHeight="1" s="80">
      <c r="A258" s="125" t="n"/>
      <c r="B258" s="125" t="n"/>
      <c r="C258" s="125" t="n"/>
      <c r="D258" s="130" t="n"/>
      <c r="E258" s="130" t="n"/>
      <c r="F258" s="121" t="n"/>
      <c r="G258" s="129" t="n"/>
      <c r="H258" s="125" t="n"/>
      <c r="I258" s="125" t="n"/>
      <c r="J258" s="122">
        <f>IF($A258="","",$F258*$G258)</f>
        <v/>
      </c>
    </row>
    <row r="259" ht="15" customHeight="1" s="80">
      <c r="A259" s="125" t="n"/>
      <c r="B259" s="125" t="n"/>
      <c r="C259" s="125" t="n"/>
      <c r="D259" s="130" t="n"/>
      <c r="E259" s="130" t="n"/>
      <c r="F259" s="121" t="n"/>
      <c r="G259" s="129" t="n"/>
      <c r="H259" s="125" t="n"/>
      <c r="I259" s="125" t="n"/>
      <c r="J259" s="122">
        <f>IF($A259="","",$F259*$G259)</f>
        <v/>
      </c>
    </row>
    <row r="260" ht="15" customHeight="1" s="80">
      <c r="A260" s="125" t="n"/>
      <c r="B260" s="125" t="n"/>
      <c r="C260" s="125" t="n"/>
      <c r="D260" s="130" t="n"/>
      <c r="E260" s="130" t="n"/>
      <c r="F260" s="121" t="n"/>
      <c r="G260" s="129" t="n"/>
      <c r="H260" s="125" t="n"/>
      <c r="I260" s="125" t="n"/>
      <c r="J260" s="122">
        <f>IF($A260="","",$F260*$G260)</f>
        <v/>
      </c>
    </row>
    <row r="261" ht="15" customHeight="1" s="80">
      <c r="A261" s="125" t="n"/>
      <c r="B261" s="125" t="n"/>
      <c r="C261" s="125" t="n"/>
      <c r="D261" s="130" t="n"/>
      <c r="E261" s="130" t="n"/>
      <c r="F261" s="121" t="n"/>
      <c r="G261" s="129" t="n"/>
      <c r="H261" s="125" t="n"/>
      <c r="I261" s="125" t="n"/>
      <c r="J261" s="122">
        <f>IF($A261="","",$F261*$G261)</f>
        <v/>
      </c>
    </row>
    <row r="262" ht="15" customHeight="1" s="80">
      <c r="A262" s="125" t="n"/>
      <c r="B262" s="125" t="n"/>
      <c r="C262" s="125" t="n"/>
      <c r="D262" s="130" t="n"/>
      <c r="E262" s="130" t="n"/>
      <c r="F262" s="121" t="n"/>
      <c r="G262" s="129" t="n"/>
      <c r="H262" s="125" t="n"/>
      <c r="I262" s="125" t="n"/>
      <c r="J262" s="122">
        <f>IF($A262="","",$F262*$G262)</f>
        <v/>
      </c>
    </row>
    <row r="263" ht="15" customHeight="1" s="80">
      <c r="A263" s="125" t="n"/>
      <c r="B263" s="125" t="n"/>
      <c r="C263" s="125" t="n"/>
      <c r="D263" s="130" t="n"/>
      <c r="E263" s="130" t="n"/>
      <c r="F263" s="121" t="n"/>
      <c r="G263" s="129" t="n"/>
      <c r="H263" s="125" t="n"/>
      <c r="I263" s="125" t="n"/>
      <c r="J263" s="122">
        <f>IF($A263="","",$F263*$G263)</f>
        <v/>
      </c>
    </row>
    <row r="264" ht="15" customHeight="1" s="80">
      <c r="A264" s="125" t="n"/>
      <c r="B264" s="125" t="n"/>
      <c r="C264" s="125" t="n"/>
      <c r="D264" s="130" t="n"/>
      <c r="E264" s="130" t="n"/>
      <c r="F264" s="121" t="n"/>
      <c r="G264" s="129" t="n"/>
      <c r="H264" s="125" t="n"/>
      <c r="I264" s="125" t="n"/>
      <c r="J264" s="122">
        <f>IF($A264="","",$F264*$G264)</f>
        <v/>
      </c>
    </row>
    <row r="265" ht="15" customHeight="1" s="80">
      <c r="A265" s="125" t="n"/>
      <c r="B265" s="125" t="n"/>
      <c r="C265" s="125" t="n"/>
      <c r="D265" s="130" t="n"/>
      <c r="E265" s="130" t="n"/>
      <c r="F265" s="121" t="n"/>
      <c r="G265" s="129" t="n"/>
      <c r="H265" s="125" t="n"/>
      <c r="I265" s="125" t="n"/>
      <c r="J265" s="122">
        <f>IF($A265="","",$F265*$G265)</f>
        <v/>
      </c>
    </row>
    <row r="266" ht="15" customHeight="1" s="80">
      <c r="A266" s="125" t="n"/>
      <c r="B266" s="125" t="n"/>
      <c r="C266" s="125" t="n"/>
      <c r="D266" s="130" t="n"/>
      <c r="E266" s="130" t="n"/>
      <c r="F266" s="121" t="n"/>
      <c r="G266" s="129" t="n"/>
      <c r="H266" s="125" t="n"/>
      <c r="I266" s="125" t="n"/>
      <c r="J266" s="122">
        <f>IF($A266="","",$F266*$G266)</f>
        <v/>
      </c>
    </row>
    <row r="267" ht="15" customHeight="1" s="80">
      <c r="A267" s="125" t="n"/>
      <c r="B267" s="125" t="n"/>
      <c r="C267" s="125" t="n"/>
      <c r="D267" s="130" t="n"/>
      <c r="E267" s="130" t="n"/>
      <c r="F267" s="121" t="n"/>
      <c r="G267" s="129" t="n"/>
      <c r="H267" s="125" t="n"/>
      <c r="I267" s="125" t="n"/>
      <c r="J267" s="122">
        <f>IF($A267="","",$F267*$G267)</f>
        <v/>
      </c>
    </row>
    <row r="268" ht="15" customHeight="1" s="80">
      <c r="A268" s="125" t="n"/>
      <c r="B268" s="125" t="n"/>
      <c r="C268" s="125" t="n"/>
      <c r="D268" s="130" t="n"/>
      <c r="E268" s="130" t="n"/>
      <c r="F268" s="121" t="n"/>
      <c r="G268" s="129" t="n"/>
      <c r="H268" s="125" t="n"/>
      <c r="I268" s="125" t="n"/>
      <c r="J268" s="122">
        <f>IF($A268="","",$F268*$G268)</f>
        <v/>
      </c>
    </row>
    <row r="269" ht="15" customHeight="1" s="80">
      <c r="A269" s="125" t="n"/>
      <c r="B269" s="125" t="n"/>
      <c r="C269" s="125" t="n"/>
      <c r="D269" s="130" t="n"/>
      <c r="E269" s="130" t="n"/>
      <c r="F269" s="121" t="n"/>
      <c r="G269" s="129" t="n"/>
      <c r="H269" s="125" t="n"/>
      <c r="I269" s="125" t="n"/>
      <c r="J269" s="122">
        <f>IF($A269="","",$F269*$G269)</f>
        <v/>
      </c>
    </row>
    <row r="270" ht="15" customHeight="1" s="80">
      <c r="A270" s="125" t="n"/>
      <c r="B270" s="125" t="n"/>
      <c r="C270" s="125" t="n"/>
      <c r="D270" s="130" t="n"/>
      <c r="E270" s="130" t="n"/>
      <c r="F270" s="121" t="n"/>
      <c r="G270" s="129" t="n"/>
      <c r="H270" s="125" t="n"/>
      <c r="I270" s="125" t="n"/>
      <c r="J270" s="122">
        <f>IF($A270="","",$F270*$G270)</f>
        <v/>
      </c>
    </row>
    <row r="271" ht="15" customHeight="1" s="80">
      <c r="A271" s="125" t="n"/>
      <c r="B271" s="125" t="n"/>
      <c r="C271" s="125" t="n"/>
      <c r="D271" s="130" t="n"/>
      <c r="E271" s="130" t="n"/>
      <c r="F271" s="121" t="n"/>
      <c r="G271" s="129" t="n"/>
      <c r="H271" s="125" t="n"/>
      <c r="I271" s="125" t="n"/>
      <c r="J271" s="122">
        <f>IF($A271="","",$F271*$G271)</f>
        <v/>
      </c>
    </row>
    <row r="272" ht="15" customHeight="1" s="80">
      <c r="A272" s="125" t="n"/>
      <c r="B272" s="125" t="n"/>
      <c r="C272" s="125" t="n"/>
      <c r="D272" s="130" t="n"/>
      <c r="E272" s="130" t="n"/>
      <c r="F272" s="121" t="n"/>
      <c r="G272" s="129" t="n"/>
      <c r="H272" s="125" t="n"/>
      <c r="I272" s="125" t="n"/>
      <c r="J272" s="122">
        <f>IF($A272="","",$F272*$G272)</f>
        <v/>
      </c>
    </row>
    <row r="273" ht="15" customHeight="1" s="80">
      <c r="A273" s="125" t="n"/>
      <c r="B273" s="125" t="n"/>
      <c r="C273" s="125" t="n"/>
      <c r="D273" s="130" t="n"/>
      <c r="E273" s="130" t="n"/>
      <c r="F273" s="121" t="n"/>
      <c r="G273" s="129" t="n"/>
      <c r="H273" s="125" t="n"/>
      <c r="I273" s="125" t="n"/>
      <c r="J273" s="122">
        <f>IF($A273="","",$F273*$G273)</f>
        <v/>
      </c>
    </row>
    <row r="274" ht="15" customHeight="1" s="80">
      <c r="A274" s="125" t="n"/>
      <c r="B274" s="125" t="n"/>
      <c r="C274" s="125" t="n"/>
      <c r="D274" s="130" t="n"/>
      <c r="E274" s="130" t="n"/>
      <c r="F274" s="121" t="n"/>
      <c r="G274" s="129" t="n"/>
      <c r="H274" s="125" t="n"/>
      <c r="I274" s="125" t="n"/>
      <c r="J274" s="122">
        <f>IF($A274="","",$F274*$G274)</f>
        <v/>
      </c>
    </row>
    <row r="275" ht="15" customHeight="1" s="80">
      <c r="A275" s="125" t="n"/>
      <c r="B275" s="125" t="n"/>
      <c r="C275" s="125" t="n"/>
      <c r="D275" s="130" t="n"/>
      <c r="E275" s="130" t="n"/>
      <c r="F275" s="121" t="n"/>
      <c r="G275" s="129" t="n"/>
      <c r="H275" s="125" t="n"/>
      <c r="I275" s="125" t="n"/>
      <c r="J275" s="122">
        <f>IF($A275="","",$F275*$G275)</f>
        <v/>
      </c>
    </row>
    <row r="276" ht="15" customHeight="1" s="80">
      <c r="A276" s="125" t="n"/>
      <c r="B276" s="125" t="n"/>
      <c r="C276" s="125" t="n"/>
      <c r="D276" s="130" t="n"/>
      <c r="E276" s="130" t="n"/>
      <c r="F276" s="121" t="n"/>
      <c r="G276" s="129" t="n"/>
      <c r="H276" s="125" t="n"/>
      <c r="I276" s="125" t="n"/>
      <c r="J276" s="122">
        <f>IF($A276="","",$F276*$G276)</f>
        <v/>
      </c>
    </row>
    <row r="277" ht="15" customHeight="1" s="80">
      <c r="A277" s="125" t="n"/>
      <c r="B277" s="125" t="n"/>
      <c r="C277" s="125" t="n"/>
      <c r="D277" s="130" t="n"/>
      <c r="E277" s="130" t="n"/>
      <c r="F277" s="121" t="n"/>
      <c r="G277" s="129" t="n"/>
      <c r="H277" s="125" t="n"/>
      <c r="I277" s="125" t="n"/>
      <c r="J277" s="122">
        <f>IF($A277="","",$F277*$G277)</f>
        <v/>
      </c>
    </row>
    <row r="278" ht="15" customHeight="1" s="80">
      <c r="A278" s="125" t="n"/>
      <c r="B278" s="125" t="n"/>
      <c r="C278" s="125" t="n"/>
      <c r="D278" s="130" t="n"/>
      <c r="E278" s="130" t="n"/>
      <c r="F278" s="121" t="n"/>
      <c r="G278" s="129" t="n"/>
      <c r="H278" s="125" t="n"/>
      <c r="I278" s="125" t="n"/>
      <c r="J278" s="122">
        <f>IF($A278="","",$F278*$G278)</f>
        <v/>
      </c>
    </row>
    <row r="279" ht="15" customHeight="1" s="80">
      <c r="A279" s="125" t="n"/>
      <c r="B279" s="125" t="n"/>
      <c r="C279" s="125" t="n"/>
      <c r="D279" s="130" t="n"/>
      <c r="E279" s="130" t="n"/>
      <c r="F279" s="121" t="n"/>
      <c r="G279" s="129" t="n"/>
      <c r="H279" s="125" t="n"/>
      <c r="I279" s="125" t="n"/>
      <c r="J279" s="122">
        <f>IF($A279="","",$F279*$G279)</f>
        <v/>
      </c>
    </row>
    <row r="280" ht="15" customHeight="1" s="80">
      <c r="A280" s="125" t="n"/>
      <c r="B280" s="125" t="n"/>
      <c r="C280" s="125" t="n"/>
      <c r="D280" s="130" t="n"/>
      <c r="E280" s="130" t="n"/>
      <c r="F280" s="121" t="n"/>
      <c r="G280" s="129" t="n"/>
      <c r="H280" s="125" t="n"/>
      <c r="I280" s="125" t="n"/>
      <c r="J280" s="122">
        <f>IF($A280="","",$F280*$G280)</f>
        <v/>
      </c>
    </row>
    <row r="281" ht="15" customHeight="1" s="80">
      <c r="A281" s="125" t="n"/>
      <c r="B281" s="125" t="n"/>
      <c r="C281" s="125" t="n"/>
      <c r="D281" s="130" t="n"/>
      <c r="E281" s="130" t="n"/>
      <c r="F281" s="121" t="n"/>
      <c r="G281" s="129" t="n"/>
      <c r="H281" s="125" t="n"/>
      <c r="I281" s="125" t="n"/>
      <c r="J281" s="122">
        <f>IF($A281="","",$F281*$G281)</f>
        <v/>
      </c>
    </row>
    <row r="282" ht="15" customHeight="1" s="80">
      <c r="A282" s="125" t="n"/>
      <c r="B282" s="125" t="n"/>
      <c r="C282" s="125" t="n"/>
      <c r="D282" s="130" t="n"/>
      <c r="E282" s="130" t="n"/>
      <c r="F282" s="121" t="n"/>
      <c r="G282" s="129" t="n"/>
      <c r="H282" s="125" t="n"/>
      <c r="I282" s="125" t="n"/>
      <c r="J282" s="122">
        <f>IF($A282="","",$F282*$G282)</f>
        <v/>
      </c>
    </row>
    <row r="283" ht="15" customHeight="1" s="80">
      <c r="A283" s="125" t="n"/>
      <c r="B283" s="125" t="n"/>
      <c r="C283" s="125" t="n"/>
      <c r="D283" s="130" t="n"/>
      <c r="E283" s="130" t="n"/>
      <c r="F283" s="121" t="n"/>
      <c r="G283" s="129" t="n"/>
      <c r="H283" s="125" t="n"/>
      <c r="I283" s="125" t="n"/>
      <c r="J283" s="122">
        <f>IF($A283="","",$F283*$G283)</f>
        <v/>
      </c>
    </row>
    <row r="284" ht="15" customHeight="1" s="80">
      <c r="A284" s="125" t="n"/>
      <c r="B284" s="125" t="n"/>
      <c r="C284" s="125" t="n"/>
      <c r="D284" s="130" t="n"/>
      <c r="E284" s="130" t="n"/>
      <c r="F284" s="121" t="n"/>
      <c r="G284" s="129" t="n"/>
      <c r="H284" s="125" t="n"/>
      <c r="I284" s="125" t="n"/>
      <c r="J284" s="122">
        <f>IF($A284="","",$F284*$G284)</f>
        <v/>
      </c>
    </row>
    <row r="285" ht="15" customHeight="1" s="80">
      <c r="A285" s="125" t="n"/>
      <c r="B285" s="125" t="n"/>
      <c r="C285" s="125" t="n"/>
      <c r="D285" s="130" t="n"/>
      <c r="E285" s="130" t="n"/>
      <c r="F285" s="121" t="n"/>
      <c r="G285" s="129" t="n"/>
      <c r="H285" s="125" t="n"/>
      <c r="I285" s="125" t="n"/>
      <c r="J285" s="122">
        <f>IF($A285="","",$F285*$G285)</f>
        <v/>
      </c>
    </row>
    <row r="286" ht="15" customHeight="1" s="80">
      <c r="A286" s="125" t="n"/>
      <c r="B286" s="125" t="n"/>
      <c r="C286" s="125" t="n"/>
      <c r="D286" s="130" t="n"/>
      <c r="E286" s="130" t="n"/>
      <c r="F286" s="121" t="n"/>
      <c r="G286" s="129" t="n"/>
      <c r="H286" s="125" t="n"/>
      <c r="I286" s="125" t="n"/>
      <c r="J286" s="122">
        <f>IF($A286="","",$F286*$G286)</f>
        <v/>
      </c>
    </row>
    <row r="287" ht="15" customHeight="1" s="80">
      <c r="A287" s="125" t="n"/>
      <c r="B287" s="125" t="n"/>
      <c r="C287" s="125" t="n"/>
      <c r="D287" s="130" t="n"/>
      <c r="E287" s="130" t="n"/>
      <c r="F287" s="121" t="n"/>
      <c r="G287" s="129" t="n"/>
      <c r="H287" s="125" t="n"/>
      <c r="I287" s="125" t="n"/>
      <c r="J287" s="122">
        <f>IF($A287="","",$F287*$G287)</f>
        <v/>
      </c>
    </row>
    <row r="288" ht="15" customHeight="1" s="80">
      <c r="A288" s="125" t="n"/>
      <c r="B288" s="125" t="n"/>
      <c r="C288" s="125" t="n"/>
      <c r="D288" s="130" t="n"/>
      <c r="E288" s="130" t="n"/>
      <c r="F288" s="121" t="n"/>
      <c r="G288" s="129" t="n"/>
      <c r="H288" s="125" t="n"/>
      <c r="I288" s="125" t="n"/>
      <c r="J288" s="122">
        <f>IF($A288="","",$F288*$G288)</f>
        <v/>
      </c>
    </row>
    <row r="289" ht="15" customHeight="1" s="80">
      <c r="A289" s="125" t="n"/>
      <c r="B289" s="125" t="n"/>
      <c r="C289" s="125" t="n"/>
      <c r="D289" s="130" t="n"/>
      <c r="E289" s="130" t="n"/>
      <c r="F289" s="121" t="n"/>
      <c r="G289" s="129" t="n"/>
      <c r="H289" s="125" t="n"/>
      <c r="I289" s="125" t="n"/>
      <c r="J289" s="122">
        <f>IF($A289="","",$F289*$G289)</f>
        <v/>
      </c>
    </row>
    <row r="290" ht="15" customHeight="1" s="80">
      <c r="A290" s="125" t="n"/>
      <c r="B290" s="125" t="n"/>
      <c r="C290" s="125" t="n"/>
      <c r="D290" s="130" t="n"/>
      <c r="E290" s="130" t="n"/>
      <c r="F290" s="121" t="n"/>
      <c r="G290" s="129" t="n"/>
      <c r="H290" s="125" t="n"/>
      <c r="I290" s="125" t="n"/>
      <c r="J290" s="122">
        <f>IF($A290="","",$F290*$G290)</f>
        <v/>
      </c>
    </row>
    <row r="291" ht="15" customHeight="1" s="80">
      <c r="A291" s="125" t="n"/>
      <c r="B291" s="125" t="n"/>
      <c r="C291" s="125" t="n"/>
      <c r="D291" s="130" t="n"/>
      <c r="E291" s="130" t="n"/>
      <c r="F291" s="121" t="n"/>
      <c r="G291" s="129" t="n"/>
      <c r="H291" s="125" t="n"/>
      <c r="I291" s="125" t="n"/>
      <c r="J291" s="122">
        <f>IF($A291="","",$F291*$G291)</f>
        <v/>
      </c>
    </row>
    <row r="292" ht="15" customHeight="1" s="80">
      <c r="A292" s="125" t="n"/>
      <c r="B292" s="125" t="n"/>
      <c r="C292" s="125" t="n"/>
      <c r="D292" s="130" t="n"/>
      <c r="E292" s="130" t="n"/>
      <c r="F292" s="121" t="n"/>
      <c r="G292" s="129" t="n"/>
      <c r="H292" s="125" t="n"/>
      <c r="I292" s="125" t="n"/>
      <c r="J292" s="122">
        <f>IF($A292="","",$F292*$G292)</f>
        <v/>
      </c>
    </row>
    <row r="293" ht="15" customHeight="1" s="80">
      <c r="A293" s="125" t="n"/>
      <c r="B293" s="125" t="n"/>
      <c r="C293" s="125" t="n"/>
      <c r="D293" s="130" t="n"/>
      <c r="E293" s="130" t="n"/>
      <c r="F293" s="121" t="n"/>
      <c r="G293" s="129" t="n"/>
      <c r="H293" s="125" t="n"/>
      <c r="I293" s="125" t="n"/>
      <c r="J293" s="122">
        <f>IF($A293="","",$F293*$G293)</f>
        <v/>
      </c>
    </row>
    <row r="294" ht="15" customHeight="1" s="80">
      <c r="A294" s="125" t="n"/>
      <c r="B294" s="125" t="n"/>
      <c r="C294" s="125" t="n"/>
      <c r="D294" s="130" t="n"/>
      <c r="E294" s="130" t="n"/>
      <c r="F294" s="121" t="n"/>
      <c r="G294" s="129" t="n"/>
      <c r="H294" s="125" t="n"/>
      <c r="I294" s="125" t="n"/>
      <c r="J294" s="122">
        <f>IF($A294="","",$F294*$G294)</f>
        <v/>
      </c>
    </row>
    <row r="295" ht="15" customHeight="1" s="80">
      <c r="A295" s="125" t="n"/>
      <c r="B295" s="125" t="n"/>
      <c r="C295" s="125" t="n"/>
      <c r="D295" s="130" t="n"/>
      <c r="E295" s="130" t="n"/>
      <c r="F295" s="121" t="n"/>
      <c r="G295" s="129" t="n"/>
      <c r="H295" s="125" t="n"/>
      <c r="I295" s="125" t="n"/>
      <c r="J295" s="122">
        <f>IF($A295="","",$F295*$G295)</f>
        <v/>
      </c>
    </row>
    <row r="296" ht="15" customHeight="1" s="80">
      <c r="A296" s="125" t="n"/>
      <c r="B296" s="125" t="n"/>
      <c r="C296" s="125" t="n"/>
      <c r="D296" s="130" t="n"/>
      <c r="E296" s="130" t="n"/>
      <c r="F296" s="121" t="n"/>
      <c r="G296" s="129" t="n"/>
      <c r="H296" s="125" t="n"/>
      <c r="I296" s="125" t="n"/>
      <c r="J296" s="122">
        <f>IF($A296="","",$F296*$G296)</f>
        <v/>
      </c>
    </row>
    <row r="297" ht="15" customHeight="1" s="80">
      <c r="A297" s="125" t="n"/>
      <c r="B297" s="125" t="n"/>
      <c r="C297" s="125" t="n"/>
      <c r="D297" s="130" t="n"/>
      <c r="E297" s="130" t="n"/>
      <c r="F297" s="121" t="n"/>
      <c r="G297" s="129" t="n"/>
      <c r="H297" s="125" t="n"/>
      <c r="I297" s="125" t="n"/>
      <c r="J297" s="122">
        <f>IF($A297="","",$F297*$G297)</f>
        <v/>
      </c>
    </row>
    <row r="298" ht="15" customHeight="1" s="80">
      <c r="A298" s="125" t="n"/>
      <c r="B298" s="125" t="n"/>
      <c r="C298" s="125" t="n"/>
      <c r="D298" s="130" t="n"/>
      <c r="E298" s="130" t="n"/>
      <c r="F298" s="121" t="n"/>
      <c r="G298" s="129" t="n"/>
      <c r="H298" s="125" t="n"/>
      <c r="I298" s="125" t="n"/>
      <c r="J298" s="122">
        <f>IF($A298="","",$F298*$G298)</f>
        <v/>
      </c>
    </row>
    <row r="299" ht="15" customHeight="1" s="80">
      <c r="A299" s="125" t="n"/>
      <c r="B299" s="125" t="n"/>
      <c r="C299" s="125" t="n"/>
      <c r="D299" s="130" t="n"/>
      <c r="E299" s="130" t="n"/>
      <c r="F299" s="121" t="n"/>
      <c r="G299" s="129" t="n"/>
      <c r="H299" s="125" t="n"/>
      <c r="I299" s="125" t="n"/>
      <c r="J299" s="122">
        <f>IF($A299="","",$F299*$G299)</f>
        <v/>
      </c>
    </row>
    <row r="300" ht="15" customHeight="1" s="80">
      <c r="A300" s="125" t="n"/>
      <c r="B300" s="125" t="n"/>
      <c r="C300" s="125" t="n"/>
      <c r="D300" s="130" t="n"/>
      <c r="E300" s="130" t="n"/>
      <c r="F300" s="121" t="n"/>
      <c r="G300" s="129" t="n"/>
      <c r="H300" s="125" t="n"/>
      <c r="I300" s="125" t="n"/>
      <c r="J300" s="122">
        <f>IF($A300="","",$F300*$G300)</f>
        <v/>
      </c>
    </row>
    <row r="301" ht="15" customHeight="1" s="80">
      <c r="A301" s="125" t="n"/>
      <c r="B301" s="125" t="n"/>
      <c r="C301" s="125" t="n"/>
      <c r="D301" s="130" t="n"/>
      <c r="E301" s="130" t="n"/>
      <c r="F301" s="121" t="n"/>
      <c r="G301" s="129" t="n"/>
      <c r="H301" s="125" t="n"/>
      <c r="I301" s="125" t="n"/>
      <c r="J301" s="122">
        <f>IF($A301="","",$F301*$G301)</f>
        <v/>
      </c>
    </row>
    <row r="302" ht="15" customHeight="1" s="80">
      <c r="A302" s="125" t="n"/>
      <c r="B302" s="125" t="n"/>
      <c r="C302" s="125" t="n"/>
      <c r="D302" s="130" t="n"/>
      <c r="E302" s="130" t="n"/>
      <c r="F302" s="121" t="n"/>
      <c r="G302" s="129" t="n"/>
      <c r="H302" s="125" t="n"/>
      <c r="I302" s="125" t="n"/>
      <c r="J302" s="122">
        <f>IF($A302="","",$F302*$G302)</f>
        <v/>
      </c>
    </row>
    <row r="303" ht="15" customHeight="1" s="80">
      <c r="A303" s="125" t="n"/>
      <c r="B303" s="125" t="n"/>
      <c r="C303" s="125" t="n"/>
      <c r="D303" s="130" t="n"/>
      <c r="E303" s="130" t="n"/>
      <c r="F303" s="121" t="n"/>
      <c r="G303" s="129" t="n"/>
      <c r="H303" s="125" t="n"/>
      <c r="I303" s="125" t="n"/>
      <c r="J303" s="122">
        <f>IF($A303="","",$F303*$G303)</f>
        <v/>
      </c>
    </row>
    <row r="304" ht="15" customHeight="1" s="80">
      <c r="A304" s="125" t="n"/>
      <c r="B304" s="125" t="n"/>
      <c r="C304" s="125" t="n"/>
      <c r="D304" s="130" t="n"/>
      <c r="E304" s="130" t="n"/>
      <c r="F304" s="121" t="n"/>
      <c r="G304" s="129" t="n"/>
      <c r="H304" s="125" t="n"/>
      <c r="I304" s="125" t="n"/>
      <c r="J304" s="122">
        <f>IF($A304="","",$F304*$G304)</f>
        <v/>
      </c>
    </row>
    <row r="305" ht="15" customHeight="1" s="80">
      <c r="A305" s="125" t="n"/>
      <c r="B305" s="125" t="n"/>
      <c r="C305" s="125" t="n"/>
      <c r="D305" s="130" t="n"/>
      <c r="E305" s="130" t="n"/>
      <c r="F305" s="121" t="n"/>
      <c r="G305" s="129" t="n"/>
      <c r="H305" s="125" t="n"/>
      <c r="I305" s="125" t="n"/>
      <c r="J305" s="122">
        <f>IF($A305="","",$F305*$G305)</f>
        <v/>
      </c>
    </row>
    <row r="306" ht="15" customHeight="1" s="80">
      <c r="A306" s="125" t="n"/>
      <c r="B306" s="125" t="n"/>
      <c r="C306" s="125" t="n"/>
      <c r="D306" s="130" t="n"/>
      <c r="E306" s="130" t="n"/>
      <c r="F306" s="121" t="n"/>
      <c r="G306" s="129" t="n"/>
      <c r="H306" s="125" t="n"/>
      <c r="I306" s="125" t="n"/>
      <c r="J306" s="122">
        <f>IF($A306="","",$F306*$G306)</f>
        <v/>
      </c>
    </row>
    <row r="307" ht="15" customHeight="1" s="80">
      <c r="A307" s="125" t="n"/>
      <c r="B307" s="125" t="n"/>
      <c r="C307" s="125" t="n"/>
      <c r="D307" s="130" t="n"/>
      <c r="E307" s="130" t="n"/>
      <c r="F307" s="121" t="n"/>
      <c r="G307" s="129" t="n"/>
      <c r="H307" s="125" t="n"/>
      <c r="I307" s="125" t="n"/>
      <c r="J307" s="122">
        <f>IF($A307="","",$F307*$G307)</f>
        <v/>
      </c>
    </row>
    <row r="308" ht="15" customHeight="1" s="80">
      <c r="A308" s="125" t="n"/>
      <c r="B308" s="125" t="n"/>
      <c r="C308" s="125" t="n"/>
      <c r="D308" s="130" t="n"/>
      <c r="E308" s="130" t="n"/>
      <c r="F308" s="121" t="n"/>
      <c r="G308" s="129" t="n"/>
      <c r="H308" s="125" t="n"/>
      <c r="I308" s="125" t="n"/>
      <c r="J308" s="122">
        <f>IF($A308="","",$F308*$G308)</f>
        <v/>
      </c>
    </row>
    <row r="309" ht="15" customHeight="1" s="80">
      <c r="A309" s="125" t="n"/>
      <c r="B309" s="125" t="n"/>
      <c r="C309" s="125" t="n"/>
      <c r="D309" s="130" t="n"/>
      <c r="E309" s="130" t="n"/>
      <c r="F309" s="121" t="n"/>
      <c r="G309" s="129" t="n"/>
      <c r="H309" s="125" t="n"/>
      <c r="I309" s="125" t="n"/>
      <c r="J309" s="122">
        <f>IF($A309="","",$F309*$G309)</f>
        <v/>
      </c>
    </row>
    <row r="310" ht="15" customHeight="1" s="80">
      <c r="A310" s="125" t="n"/>
      <c r="B310" s="125" t="n"/>
      <c r="C310" s="125" t="n"/>
      <c r="D310" s="130" t="n"/>
      <c r="E310" s="130" t="n"/>
      <c r="F310" s="121" t="n"/>
      <c r="G310" s="129" t="n"/>
      <c r="H310" s="125" t="n"/>
      <c r="I310" s="125" t="n"/>
      <c r="J310" s="122">
        <f>IF($A310="","",$F310*$G310)</f>
        <v/>
      </c>
    </row>
    <row r="311" ht="15" customHeight="1" s="80">
      <c r="A311" s="125" t="n"/>
      <c r="B311" s="125" t="n"/>
      <c r="C311" s="125" t="n"/>
      <c r="D311" s="130" t="n"/>
      <c r="E311" s="130" t="n"/>
      <c r="F311" s="121" t="n"/>
      <c r="G311" s="129" t="n"/>
      <c r="H311" s="125" t="n"/>
      <c r="I311" s="125" t="n"/>
      <c r="J311" s="122">
        <f>IF($A311="","",$F311*$G311)</f>
        <v/>
      </c>
    </row>
    <row r="312" ht="15" customHeight="1" s="80">
      <c r="A312" s="125" t="n"/>
      <c r="B312" s="125" t="n"/>
      <c r="C312" s="125" t="n"/>
      <c r="D312" s="130" t="n"/>
      <c r="E312" s="130" t="n"/>
      <c r="F312" s="121" t="n"/>
      <c r="G312" s="129" t="n"/>
      <c r="H312" s="125" t="n"/>
      <c r="I312" s="125" t="n"/>
      <c r="J312" s="122">
        <f>IF($A312="","",$F312*$G312)</f>
        <v/>
      </c>
    </row>
    <row r="313" ht="15" customHeight="1" s="80">
      <c r="A313" s="125" t="n"/>
      <c r="B313" s="125" t="n"/>
      <c r="C313" s="125" t="n"/>
      <c r="D313" s="130" t="n"/>
      <c r="E313" s="130" t="n"/>
      <c r="F313" s="121" t="n"/>
      <c r="G313" s="129" t="n"/>
      <c r="H313" s="125" t="n"/>
      <c r="I313" s="125" t="n"/>
      <c r="J313" s="122">
        <f>IF($A313="","",$F313*$G313)</f>
        <v/>
      </c>
    </row>
    <row r="314" ht="15" customHeight="1" s="80">
      <c r="A314" s="125" t="n"/>
      <c r="B314" s="125" t="n"/>
      <c r="C314" s="125" t="n"/>
      <c r="D314" s="130" t="n"/>
      <c r="E314" s="130" t="n"/>
      <c r="F314" s="121" t="n"/>
      <c r="G314" s="129" t="n"/>
      <c r="H314" s="125" t="n"/>
      <c r="I314" s="125" t="n"/>
      <c r="J314" s="122">
        <f>IF($A314="","",$F314*$G314)</f>
        <v/>
      </c>
    </row>
    <row r="315" ht="15" customHeight="1" s="80">
      <c r="A315" s="125" t="n"/>
      <c r="B315" s="125" t="n"/>
      <c r="C315" s="125" t="n"/>
      <c r="D315" s="130" t="n"/>
      <c r="E315" s="130" t="n"/>
      <c r="F315" s="121" t="n"/>
      <c r="G315" s="129" t="n"/>
      <c r="H315" s="125" t="n"/>
      <c r="I315" s="125" t="n"/>
      <c r="J315" s="122">
        <f>IF($A315="","",$F315*$G315)</f>
        <v/>
      </c>
    </row>
    <row r="316" ht="15" customHeight="1" s="80">
      <c r="A316" s="125" t="n"/>
      <c r="B316" s="125" t="n"/>
      <c r="C316" s="125" t="n"/>
      <c r="D316" s="130" t="n"/>
      <c r="E316" s="130" t="n"/>
      <c r="F316" s="121" t="n"/>
      <c r="G316" s="129" t="n"/>
      <c r="H316" s="125" t="n"/>
      <c r="I316" s="125" t="n"/>
      <c r="J316" s="122">
        <f>IF($A316="","",$F316*$G316)</f>
        <v/>
      </c>
    </row>
    <row r="317" ht="15" customHeight="1" s="80">
      <c r="A317" s="125" t="n"/>
      <c r="B317" s="125" t="n"/>
      <c r="C317" s="125" t="n"/>
      <c r="D317" s="130" t="n"/>
      <c r="E317" s="130" t="n"/>
      <c r="F317" s="121" t="n"/>
      <c r="G317" s="129" t="n"/>
      <c r="H317" s="125" t="n"/>
      <c r="I317" s="125" t="n"/>
      <c r="J317" s="122">
        <f>IF($A317="","",$F317*$G317)</f>
        <v/>
      </c>
    </row>
    <row r="318" ht="15" customHeight="1" s="80">
      <c r="A318" s="125" t="n"/>
      <c r="B318" s="125" t="n"/>
      <c r="C318" s="125" t="n"/>
      <c r="D318" s="130" t="n"/>
      <c r="E318" s="130" t="n"/>
      <c r="F318" s="121" t="n"/>
      <c r="G318" s="129" t="n"/>
      <c r="H318" s="125" t="n"/>
      <c r="I318" s="125" t="n"/>
      <c r="J318" s="122">
        <f>IF($A318="","",$F318*$G318)</f>
        <v/>
      </c>
    </row>
    <row r="319" ht="15" customHeight="1" s="80">
      <c r="A319" s="125" t="n"/>
      <c r="B319" s="125" t="n"/>
      <c r="C319" s="125" t="n"/>
      <c r="D319" s="130" t="n"/>
      <c r="E319" s="130" t="n"/>
      <c r="F319" s="121" t="n"/>
      <c r="G319" s="129" t="n"/>
      <c r="H319" s="125" t="n"/>
      <c r="I319" s="125" t="n"/>
      <c r="J319" s="122">
        <f>IF($A319="","",$F319*$G319)</f>
        <v/>
      </c>
    </row>
    <row r="320" ht="15" customHeight="1" s="80">
      <c r="A320" s="125" t="n"/>
      <c r="B320" s="125" t="n"/>
      <c r="C320" s="125" t="n"/>
      <c r="D320" s="130" t="n"/>
      <c r="E320" s="130" t="n"/>
      <c r="F320" s="121" t="n"/>
      <c r="G320" s="129" t="n"/>
      <c r="H320" s="125" t="n"/>
      <c r="I320" s="125" t="n"/>
      <c r="J320" s="122">
        <f>IF($A320="","",$F320*$G320)</f>
        <v/>
      </c>
    </row>
    <row r="321" ht="15" customHeight="1" s="80">
      <c r="A321" s="125" t="n"/>
      <c r="B321" s="125" t="n"/>
      <c r="C321" s="125" t="n"/>
      <c r="D321" s="130" t="n"/>
      <c r="E321" s="130" t="n"/>
      <c r="F321" s="121" t="n"/>
      <c r="G321" s="129" t="n"/>
      <c r="H321" s="125" t="n"/>
      <c r="I321" s="125" t="n"/>
      <c r="J321" s="122">
        <f>IF($A321="","",$F321*$G321)</f>
        <v/>
      </c>
    </row>
    <row r="322" ht="15" customHeight="1" s="80">
      <c r="A322" s="125" t="n"/>
      <c r="B322" s="125" t="n"/>
      <c r="C322" s="125" t="n"/>
      <c r="D322" s="130" t="n"/>
      <c r="E322" s="130" t="n"/>
      <c r="F322" s="121" t="n"/>
      <c r="G322" s="129" t="n"/>
      <c r="H322" s="125" t="n"/>
      <c r="I322" s="125" t="n"/>
      <c r="J322" s="122">
        <f>IF($A322="","",$F322*$G322)</f>
        <v/>
      </c>
    </row>
    <row r="323" ht="15" customHeight="1" s="80">
      <c r="A323" s="125" t="n"/>
      <c r="B323" s="125" t="n"/>
      <c r="C323" s="125" t="n"/>
      <c r="D323" s="130" t="n"/>
      <c r="E323" s="130" t="n"/>
      <c r="F323" s="121" t="n"/>
      <c r="G323" s="129" t="n"/>
      <c r="H323" s="125" t="n"/>
      <c r="I323" s="125" t="n"/>
      <c r="J323" s="122">
        <f>IF($A323="","",$F323*$G323)</f>
        <v/>
      </c>
    </row>
    <row r="324" ht="15" customHeight="1" s="80">
      <c r="A324" s="125" t="n"/>
      <c r="B324" s="125" t="n"/>
      <c r="C324" s="125" t="n"/>
      <c r="D324" s="130" t="n"/>
      <c r="E324" s="130" t="n"/>
      <c r="F324" s="121" t="n"/>
      <c r="G324" s="129" t="n"/>
      <c r="H324" s="125" t="n"/>
      <c r="I324" s="125" t="n"/>
      <c r="J324" s="122">
        <f>IF($A324="","",$F324*$G324)</f>
        <v/>
      </c>
    </row>
    <row r="325" ht="15" customHeight="1" s="80">
      <c r="A325" s="125" t="n"/>
      <c r="B325" s="125" t="n"/>
      <c r="C325" s="125" t="n"/>
      <c r="D325" s="130" t="n"/>
      <c r="E325" s="130" t="n"/>
      <c r="F325" s="121" t="n"/>
      <c r="G325" s="129" t="n"/>
      <c r="H325" s="125" t="n"/>
      <c r="I325" s="125" t="n"/>
      <c r="J325" s="122">
        <f>IF($A325="","",$F325*$G325)</f>
        <v/>
      </c>
    </row>
    <row r="326" ht="15" customHeight="1" s="80">
      <c r="A326" s="125" t="n"/>
      <c r="B326" s="125" t="n"/>
      <c r="C326" s="125" t="n"/>
      <c r="D326" s="130" t="n"/>
      <c r="E326" s="130" t="n"/>
      <c r="F326" s="121" t="n"/>
      <c r="G326" s="129" t="n"/>
      <c r="H326" s="125" t="n"/>
      <c r="I326" s="125" t="n"/>
      <c r="J326" s="122">
        <f>IF($A326="","",$F326*$G326)</f>
        <v/>
      </c>
    </row>
    <row r="327" ht="15" customHeight="1" s="80">
      <c r="A327" s="125" t="n"/>
      <c r="B327" s="125" t="n"/>
      <c r="C327" s="125" t="n"/>
      <c r="D327" s="130" t="n"/>
      <c r="E327" s="130" t="n"/>
      <c r="F327" s="121" t="n"/>
      <c r="G327" s="129" t="n"/>
      <c r="H327" s="125" t="n"/>
      <c r="I327" s="125" t="n"/>
      <c r="J327" s="122">
        <f>IF($A327="","",$F327*$G327)</f>
        <v/>
      </c>
    </row>
    <row r="328" ht="15" customHeight="1" s="80">
      <c r="A328" s="125" t="n"/>
      <c r="B328" s="125" t="n"/>
      <c r="C328" s="125" t="n"/>
      <c r="D328" s="130" t="n"/>
      <c r="E328" s="130" t="n"/>
      <c r="F328" s="121" t="n"/>
      <c r="G328" s="129" t="n"/>
      <c r="H328" s="125" t="n"/>
      <c r="I328" s="125" t="n"/>
      <c r="J328" s="122">
        <f>IF($A328="","",$F328*$G328)</f>
        <v/>
      </c>
    </row>
    <row r="329" ht="15" customHeight="1" s="80">
      <c r="A329" s="125" t="n"/>
      <c r="B329" s="125" t="n"/>
      <c r="C329" s="125" t="n"/>
      <c r="D329" s="130" t="n"/>
      <c r="E329" s="130" t="n"/>
      <c r="F329" s="121" t="n"/>
      <c r="G329" s="129" t="n"/>
      <c r="H329" s="125" t="n"/>
      <c r="I329" s="125" t="n"/>
      <c r="J329" s="122">
        <f>IF($A329="","",$F329*$G329)</f>
        <v/>
      </c>
    </row>
    <row r="330" ht="15" customHeight="1" s="80">
      <c r="A330" s="125" t="n"/>
      <c r="B330" s="125" t="n"/>
      <c r="C330" s="125" t="n"/>
      <c r="D330" s="130" t="n"/>
      <c r="E330" s="130" t="n"/>
      <c r="F330" s="121" t="n"/>
      <c r="G330" s="129" t="n"/>
      <c r="H330" s="125" t="n"/>
      <c r="I330" s="125" t="n"/>
      <c r="J330" s="122">
        <f>IF($A330="","",$F330*$G330)</f>
        <v/>
      </c>
    </row>
    <row r="331" ht="15" customHeight="1" s="80">
      <c r="A331" s="125" t="n"/>
      <c r="B331" s="125" t="n"/>
      <c r="C331" s="125" t="n"/>
      <c r="D331" s="130" t="n"/>
      <c r="E331" s="130" t="n"/>
      <c r="F331" s="121" t="n"/>
      <c r="G331" s="129" t="n"/>
      <c r="H331" s="125" t="n"/>
      <c r="I331" s="125" t="n"/>
      <c r="J331" s="122">
        <f>IF($A331="","",$F331*$G331)</f>
        <v/>
      </c>
    </row>
    <row r="332" ht="15" customHeight="1" s="80">
      <c r="A332" s="125" t="n"/>
      <c r="B332" s="125" t="n"/>
      <c r="C332" s="125" t="n"/>
      <c r="D332" s="130" t="n"/>
      <c r="E332" s="130" t="n"/>
      <c r="F332" s="121" t="n"/>
      <c r="G332" s="129" t="n"/>
      <c r="H332" s="125" t="n"/>
      <c r="I332" s="125" t="n"/>
      <c r="J332" s="122">
        <f>IF($A332="","",$F332*$G332)</f>
        <v/>
      </c>
    </row>
    <row r="333" ht="15" customHeight="1" s="80">
      <c r="A333" s="125" t="n"/>
      <c r="B333" s="125" t="n"/>
      <c r="C333" s="125" t="n"/>
      <c r="D333" s="130" t="n"/>
      <c r="E333" s="130" t="n"/>
      <c r="F333" s="121" t="n"/>
      <c r="G333" s="129" t="n"/>
      <c r="H333" s="125" t="n"/>
      <c r="I333" s="125" t="n"/>
      <c r="J333" s="122">
        <f>IF($A333="","",$F333*$G333)</f>
        <v/>
      </c>
    </row>
    <row r="334" ht="15" customHeight="1" s="80">
      <c r="A334" s="125" t="n"/>
      <c r="B334" s="125" t="n"/>
      <c r="C334" s="125" t="n"/>
      <c r="D334" s="130" t="n"/>
      <c r="E334" s="130" t="n"/>
      <c r="F334" s="121" t="n"/>
      <c r="G334" s="129" t="n"/>
      <c r="H334" s="125" t="n"/>
      <c r="I334" s="125" t="n"/>
      <c r="J334" s="122">
        <f>IF($A334="","",$F334*$G334)</f>
        <v/>
      </c>
    </row>
    <row r="335" ht="15" customHeight="1" s="80">
      <c r="A335" s="125" t="n"/>
      <c r="B335" s="125" t="n"/>
      <c r="C335" s="125" t="n"/>
      <c r="D335" s="130" t="n"/>
      <c r="E335" s="130" t="n"/>
      <c r="F335" s="121" t="n"/>
      <c r="G335" s="129" t="n"/>
      <c r="H335" s="125" t="n"/>
      <c r="I335" s="125" t="n"/>
      <c r="J335" s="122">
        <f>IF($A335="","",$F335*$G335)</f>
        <v/>
      </c>
    </row>
    <row r="336" ht="15" customHeight="1" s="80">
      <c r="A336" s="125" t="n"/>
      <c r="B336" s="125" t="n"/>
      <c r="C336" s="125" t="n"/>
      <c r="D336" s="130" t="n"/>
      <c r="E336" s="130" t="n"/>
      <c r="F336" s="121" t="n"/>
      <c r="G336" s="129" t="n"/>
      <c r="H336" s="125" t="n"/>
      <c r="I336" s="125" t="n"/>
      <c r="J336" s="122">
        <f>IF($A336="","",$F336*$G336)</f>
        <v/>
      </c>
    </row>
    <row r="337" ht="15" customHeight="1" s="80">
      <c r="A337" s="125" t="n"/>
      <c r="B337" s="125" t="n"/>
      <c r="C337" s="125" t="n"/>
      <c r="D337" s="130" t="n"/>
      <c r="E337" s="130" t="n"/>
      <c r="F337" s="121" t="n"/>
      <c r="G337" s="129" t="n"/>
      <c r="H337" s="125" t="n"/>
      <c r="I337" s="125" t="n"/>
      <c r="J337" s="122">
        <f>IF($A337="","",$F337*$G337)</f>
        <v/>
      </c>
    </row>
    <row r="338" ht="15" customHeight="1" s="80">
      <c r="A338" s="125" t="n"/>
      <c r="B338" s="125" t="n"/>
      <c r="C338" s="125" t="n"/>
      <c r="D338" s="130" t="n"/>
      <c r="E338" s="130" t="n"/>
      <c r="F338" s="121" t="n"/>
      <c r="G338" s="129" t="n"/>
      <c r="H338" s="125" t="n"/>
      <c r="I338" s="125" t="n"/>
      <c r="J338" s="122">
        <f>IF($A338="","",$F338*$G338)</f>
        <v/>
      </c>
    </row>
    <row r="339" ht="15" customHeight="1" s="80">
      <c r="A339" s="125" t="n"/>
      <c r="B339" s="125" t="n"/>
      <c r="C339" s="125" t="n"/>
      <c r="D339" s="130" t="n"/>
      <c r="E339" s="130" t="n"/>
      <c r="F339" s="121" t="n"/>
      <c r="G339" s="129" t="n"/>
      <c r="H339" s="125" t="n"/>
      <c r="I339" s="125" t="n"/>
      <c r="J339" s="122">
        <f>IF($A339="","",$F339*$G339)</f>
        <v/>
      </c>
    </row>
    <row r="340" ht="15" customHeight="1" s="80">
      <c r="A340" s="125" t="n"/>
      <c r="B340" s="125" t="n"/>
      <c r="C340" s="125" t="n"/>
      <c r="D340" s="130" t="n"/>
      <c r="E340" s="130" t="n"/>
      <c r="F340" s="121" t="n"/>
      <c r="G340" s="129" t="n"/>
      <c r="H340" s="125" t="n"/>
      <c r="I340" s="125" t="n"/>
      <c r="J340" s="122">
        <f>IF($A340="","",$F340*$G340)</f>
        <v/>
      </c>
    </row>
    <row r="341" ht="15" customHeight="1" s="80">
      <c r="A341" s="125" t="n"/>
      <c r="B341" s="125" t="n"/>
      <c r="C341" s="125" t="n"/>
      <c r="D341" s="130" t="n"/>
      <c r="E341" s="130" t="n"/>
      <c r="F341" s="121" t="n"/>
      <c r="G341" s="129" t="n"/>
      <c r="H341" s="125" t="n"/>
      <c r="I341" s="125" t="n"/>
      <c r="J341" s="122">
        <f>IF($A341="","",$F341*$G341)</f>
        <v/>
      </c>
    </row>
    <row r="342" ht="15" customHeight="1" s="80">
      <c r="A342" s="125" t="n"/>
      <c r="B342" s="125" t="n"/>
      <c r="C342" s="125" t="n"/>
      <c r="D342" s="130" t="n"/>
      <c r="E342" s="130" t="n"/>
      <c r="F342" s="121" t="n"/>
      <c r="G342" s="129" t="n"/>
      <c r="H342" s="125" t="n"/>
      <c r="I342" s="125" t="n"/>
      <c r="J342" s="122">
        <f>IF($A342="","",$F342*$G342)</f>
        <v/>
      </c>
    </row>
    <row r="343" ht="15" customHeight="1" s="80">
      <c r="A343" s="125" t="n"/>
      <c r="B343" s="125" t="n"/>
      <c r="C343" s="125" t="n"/>
      <c r="D343" s="130" t="n"/>
      <c r="E343" s="130" t="n"/>
      <c r="F343" s="121" t="n"/>
      <c r="G343" s="129" t="n"/>
      <c r="H343" s="125" t="n"/>
      <c r="I343" s="125" t="n"/>
      <c r="J343" s="122">
        <f>IF($A343="","",$F343*$G343)</f>
        <v/>
      </c>
    </row>
    <row r="344" ht="15" customHeight="1" s="80">
      <c r="A344" s="125" t="n"/>
      <c r="B344" s="125" t="n"/>
      <c r="C344" s="125" t="n"/>
      <c r="D344" s="130" t="n"/>
      <c r="E344" s="130" t="n"/>
      <c r="F344" s="121" t="n"/>
      <c r="G344" s="129" t="n"/>
      <c r="H344" s="125" t="n"/>
      <c r="I344" s="125" t="n"/>
      <c r="J344" s="122">
        <f>IF($A344="","",$F344*$G344)</f>
        <v/>
      </c>
    </row>
    <row r="345" ht="15" customHeight="1" s="80">
      <c r="A345" s="125" t="n"/>
      <c r="B345" s="125" t="n"/>
      <c r="C345" s="125" t="n"/>
      <c r="D345" s="130" t="n"/>
      <c r="E345" s="130" t="n"/>
      <c r="F345" s="121" t="n"/>
      <c r="G345" s="129" t="n"/>
      <c r="H345" s="125" t="n"/>
      <c r="I345" s="125" t="n"/>
      <c r="J345" s="122">
        <f>IF($A345="","",$F345*$G345)</f>
        <v/>
      </c>
    </row>
    <row r="346" ht="15" customHeight="1" s="80">
      <c r="A346" s="125" t="n"/>
      <c r="B346" s="125" t="n"/>
      <c r="C346" s="125" t="n"/>
      <c r="D346" s="130" t="n"/>
      <c r="E346" s="130" t="n"/>
      <c r="F346" s="121" t="n"/>
      <c r="G346" s="129" t="n"/>
      <c r="H346" s="125" t="n"/>
      <c r="I346" s="125" t="n"/>
      <c r="J346" s="122">
        <f>IF($A346="","",$F346*$G346)</f>
        <v/>
      </c>
    </row>
    <row r="347" ht="15" customHeight="1" s="80">
      <c r="A347" s="125" t="n"/>
      <c r="B347" s="125" t="n"/>
      <c r="C347" s="125" t="n"/>
      <c r="D347" s="130" t="n"/>
      <c r="E347" s="130" t="n"/>
      <c r="F347" s="121" t="n"/>
      <c r="G347" s="129" t="n"/>
      <c r="H347" s="125" t="n"/>
      <c r="I347" s="125" t="n"/>
      <c r="J347" s="122">
        <f>IF($A347="","",$F347*$G347)</f>
        <v/>
      </c>
    </row>
    <row r="348" ht="15" customHeight="1" s="80">
      <c r="A348" s="125" t="n"/>
      <c r="B348" s="125" t="n"/>
      <c r="C348" s="125" t="n"/>
      <c r="D348" s="130" t="n"/>
      <c r="E348" s="130" t="n"/>
      <c r="F348" s="121" t="n"/>
      <c r="G348" s="129" t="n"/>
      <c r="H348" s="125" t="n"/>
      <c r="I348" s="125" t="n"/>
      <c r="J348" s="122">
        <f>IF($A348="","",$F348*$G348)</f>
        <v/>
      </c>
    </row>
    <row r="349" ht="15" customHeight="1" s="80">
      <c r="A349" s="125" t="n"/>
      <c r="B349" s="125" t="n"/>
      <c r="C349" s="125" t="n"/>
      <c r="D349" s="130" t="n"/>
      <c r="E349" s="130" t="n"/>
      <c r="F349" s="121" t="n"/>
      <c r="G349" s="129" t="n"/>
      <c r="H349" s="125" t="n"/>
      <c r="I349" s="125" t="n"/>
      <c r="J349" s="122">
        <f>IF($A349="","",$F349*$G349)</f>
        <v/>
      </c>
    </row>
    <row r="350" ht="15" customHeight="1" s="80">
      <c r="A350" s="125" t="n"/>
      <c r="B350" s="125" t="n"/>
      <c r="C350" s="125" t="n"/>
      <c r="D350" s="130" t="n"/>
      <c r="E350" s="130" t="n"/>
      <c r="F350" s="121" t="n"/>
      <c r="G350" s="129" t="n"/>
      <c r="H350" s="125" t="n"/>
      <c r="I350" s="125" t="n"/>
      <c r="J350" s="122">
        <f>IF($A350="","",$F350*$G350)</f>
        <v/>
      </c>
    </row>
    <row r="351" ht="15" customHeight="1" s="80">
      <c r="A351" s="125" t="n"/>
      <c r="B351" s="125" t="n"/>
      <c r="C351" s="125" t="n"/>
      <c r="D351" s="130" t="n"/>
      <c r="E351" s="130" t="n"/>
      <c r="F351" s="121" t="n"/>
      <c r="G351" s="129" t="n"/>
      <c r="H351" s="125" t="n"/>
      <c r="I351" s="125" t="n"/>
      <c r="J351" s="122">
        <f>IF($A351="","",$F351*$G351)</f>
        <v/>
      </c>
    </row>
    <row r="352" ht="15" customHeight="1" s="80">
      <c r="A352" s="125" t="n"/>
      <c r="B352" s="125" t="n"/>
      <c r="C352" s="125" t="n"/>
      <c r="D352" s="130" t="n"/>
      <c r="E352" s="130" t="n"/>
      <c r="F352" s="121" t="n"/>
      <c r="G352" s="129" t="n"/>
      <c r="H352" s="125" t="n"/>
      <c r="I352" s="125" t="n"/>
      <c r="J352" s="122">
        <f>IF($A352="","",$F352*$G352)</f>
        <v/>
      </c>
    </row>
    <row r="353" ht="15" customHeight="1" s="80">
      <c r="A353" s="125" t="n"/>
      <c r="B353" s="125" t="n"/>
      <c r="C353" s="125" t="n"/>
      <c r="D353" s="130" t="n"/>
      <c r="E353" s="130" t="n"/>
      <c r="F353" s="121" t="n"/>
      <c r="G353" s="129" t="n"/>
      <c r="H353" s="125" t="n"/>
      <c r="I353" s="125" t="n"/>
      <c r="J353" s="122">
        <f>IF($A353="","",$F353*$G353)</f>
        <v/>
      </c>
    </row>
    <row r="354" ht="15" customHeight="1" s="80">
      <c r="A354" s="125" t="n"/>
      <c r="B354" s="125" t="n"/>
      <c r="C354" s="125" t="n"/>
      <c r="D354" s="130" t="n"/>
      <c r="E354" s="130" t="n"/>
      <c r="F354" s="121" t="n"/>
      <c r="G354" s="129" t="n"/>
      <c r="H354" s="125" t="n"/>
      <c r="I354" s="125" t="n"/>
      <c r="J354" s="122">
        <f>IF($A354="","",$F354*$G354)</f>
        <v/>
      </c>
    </row>
    <row r="355" ht="15" customHeight="1" s="80">
      <c r="A355" s="125" t="n"/>
      <c r="B355" s="125" t="n"/>
      <c r="C355" s="125" t="n"/>
      <c r="D355" s="130" t="n"/>
      <c r="E355" s="130" t="n"/>
      <c r="F355" s="121" t="n"/>
      <c r="G355" s="129" t="n"/>
      <c r="H355" s="125" t="n"/>
      <c r="I355" s="125" t="n"/>
      <c r="J355" s="122">
        <f>IF($A355="","",$F355*$G355)</f>
        <v/>
      </c>
    </row>
    <row r="356" ht="15" customHeight="1" s="80">
      <c r="A356" s="125" t="n"/>
      <c r="B356" s="125" t="n"/>
      <c r="C356" s="125" t="n"/>
      <c r="D356" s="130" t="n"/>
      <c r="E356" s="130" t="n"/>
      <c r="F356" s="121" t="n"/>
      <c r="G356" s="129" t="n"/>
      <c r="H356" s="125" t="n"/>
      <c r="I356" s="125" t="n"/>
      <c r="J356" s="122">
        <f>IF($A356="","",$F356*$G356)</f>
        <v/>
      </c>
    </row>
    <row r="357" ht="15" customHeight="1" s="80">
      <c r="A357" s="125" t="n"/>
      <c r="B357" s="125" t="n"/>
      <c r="C357" s="125" t="n"/>
      <c r="D357" s="130" t="n"/>
      <c r="E357" s="130" t="n"/>
      <c r="F357" s="121" t="n"/>
      <c r="G357" s="129" t="n"/>
      <c r="H357" s="125" t="n"/>
      <c r="I357" s="125" t="n"/>
      <c r="J357" s="122">
        <f>IF($A357="","",$F357*$G357)</f>
        <v/>
      </c>
    </row>
    <row r="358" ht="15" customHeight="1" s="80">
      <c r="A358" s="125" t="n"/>
      <c r="B358" s="125" t="n"/>
      <c r="C358" s="125" t="n"/>
      <c r="D358" s="130" t="n"/>
      <c r="E358" s="130" t="n"/>
      <c r="F358" s="121" t="n"/>
      <c r="G358" s="129" t="n"/>
      <c r="H358" s="125" t="n"/>
      <c r="I358" s="125" t="n"/>
      <c r="J358" s="122">
        <f>IF($A358="","",$F358*$G358)</f>
        <v/>
      </c>
    </row>
    <row r="359" ht="15" customHeight="1" s="80">
      <c r="A359" s="125" t="n"/>
      <c r="B359" s="125" t="n"/>
      <c r="C359" s="125" t="n"/>
      <c r="D359" s="130" t="n"/>
      <c r="E359" s="130" t="n"/>
      <c r="F359" s="121" t="n"/>
      <c r="G359" s="129" t="n"/>
      <c r="H359" s="125" t="n"/>
      <c r="I359" s="125" t="n"/>
      <c r="J359" s="122">
        <f>IF($A359="","",$F359*$G359)</f>
        <v/>
      </c>
    </row>
    <row r="360" ht="15" customHeight="1" s="80">
      <c r="A360" s="125" t="n"/>
      <c r="B360" s="125" t="n"/>
      <c r="C360" s="125" t="n"/>
      <c r="D360" s="130" t="n"/>
      <c r="E360" s="130" t="n"/>
      <c r="F360" s="121" t="n"/>
      <c r="G360" s="129" t="n"/>
      <c r="H360" s="125" t="n"/>
      <c r="I360" s="125" t="n"/>
      <c r="J360" s="122">
        <f>IF($A360="","",$F360*$G360)</f>
        <v/>
      </c>
    </row>
    <row r="361" ht="15" customHeight="1" s="80">
      <c r="A361" s="125" t="n"/>
      <c r="B361" s="125" t="n"/>
      <c r="C361" s="125" t="n"/>
      <c r="D361" s="130" t="n"/>
      <c r="E361" s="130" t="n"/>
      <c r="F361" s="121" t="n"/>
      <c r="G361" s="129" t="n"/>
      <c r="H361" s="125" t="n"/>
      <c r="I361" s="125" t="n"/>
      <c r="J361" s="122">
        <f>IF($A361="","",$F361*$G361)</f>
        <v/>
      </c>
    </row>
    <row r="362" ht="15" customHeight="1" s="80">
      <c r="A362" s="125" t="n"/>
      <c r="B362" s="125" t="n"/>
      <c r="C362" s="125" t="n"/>
      <c r="D362" s="130" t="n"/>
      <c r="E362" s="130" t="n"/>
      <c r="F362" s="121" t="n"/>
      <c r="G362" s="129" t="n"/>
      <c r="H362" s="125" t="n"/>
      <c r="I362" s="125" t="n"/>
      <c r="J362" s="122">
        <f>IF($A362="","",$F362*$G362)</f>
        <v/>
      </c>
    </row>
    <row r="363" ht="15" customHeight="1" s="80">
      <c r="A363" s="125" t="n"/>
      <c r="B363" s="125" t="n"/>
      <c r="C363" s="125" t="n"/>
      <c r="D363" s="130" t="n"/>
      <c r="E363" s="130" t="n"/>
      <c r="F363" s="121" t="n"/>
      <c r="G363" s="129" t="n"/>
      <c r="H363" s="125" t="n"/>
      <c r="I363" s="125" t="n"/>
      <c r="J363" s="122">
        <f>IF($A363="","",$F363*$G363)</f>
        <v/>
      </c>
    </row>
    <row r="364" ht="15" customHeight="1" s="80">
      <c r="A364" s="125" t="n"/>
      <c r="B364" s="125" t="n"/>
      <c r="C364" s="125" t="n"/>
      <c r="D364" s="130" t="n"/>
      <c r="E364" s="130" t="n"/>
      <c r="F364" s="121" t="n"/>
      <c r="G364" s="129" t="n"/>
      <c r="H364" s="125" t="n"/>
      <c r="I364" s="125" t="n"/>
      <c r="J364" s="122">
        <f>IF($A364="","",$F364*$G364)</f>
        <v/>
      </c>
    </row>
    <row r="365" ht="15" customHeight="1" s="80">
      <c r="A365" s="125" t="n"/>
      <c r="B365" s="125" t="n"/>
      <c r="C365" s="125" t="n"/>
      <c r="D365" s="130" t="n"/>
      <c r="E365" s="130" t="n"/>
      <c r="F365" s="121" t="n"/>
      <c r="G365" s="129" t="n"/>
      <c r="H365" s="125" t="n"/>
      <c r="I365" s="125" t="n"/>
      <c r="J365" s="122">
        <f>IF($A365="","",$F365*$G365)</f>
        <v/>
      </c>
    </row>
    <row r="366" ht="15" customHeight="1" s="80">
      <c r="A366" s="125" t="n"/>
      <c r="B366" s="125" t="n"/>
      <c r="C366" s="125" t="n"/>
      <c r="D366" s="130" t="n"/>
      <c r="E366" s="130" t="n"/>
      <c r="F366" s="121" t="n"/>
      <c r="G366" s="129" t="n"/>
      <c r="H366" s="125" t="n"/>
      <c r="I366" s="125" t="n"/>
      <c r="J366" s="122">
        <f>IF($A366="","",$F366*$G366)</f>
        <v/>
      </c>
    </row>
    <row r="367" ht="15" customHeight="1" s="80">
      <c r="A367" s="125" t="n"/>
      <c r="B367" s="125" t="n"/>
      <c r="C367" s="125" t="n"/>
      <c r="D367" s="130" t="n"/>
      <c r="E367" s="130" t="n"/>
      <c r="F367" s="121" t="n"/>
      <c r="G367" s="129" t="n"/>
      <c r="H367" s="125" t="n"/>
      <c r="I367" s="125" t="n"/>
      <c r="J367" s="122">
        <f>IF($A367="","",$F367*$G367)</f>
        <v/>
      </c>
    </row>
    <row r="368" ht="15" customHeight="1" s="80">
      <c r="A368" s="125" t="n"/>
      <c r="B368" s="125" t="n"/>
      <c r="C368" s="125" t="n"/>
      <c r="D368" s="130" t="n"/>
      <c r="E368" s="130" t="n"/>
      <c r="F368" s="121" t="n"/>
      <c r="G368" s="129" t="n"/>
      <c r="H368" s="125" t="n"/>
      <c r="I368" s="125" t="n"/>
      <c r="J368" s="122">
        <f>IF($A368="","",$F368*$G368)</f>
        <v/>
      </c>
    </row>
    <row r="369" ht="15" customHeight="1" s="80">
      <c r="A369" s="125" t="n"/>
      <c r="B369" s="125" t="n"/>
      <c r="C369" s="125" t="n"/>
      <c r="D369" s="130" t="n"/>
      <c r="E369" s="130" t="n"/>
      <c r="F369" s="121" t="n"/>
      <c r="G369" s="129" t="n"/>
      <c r="H369" s="125" t="n"/>
      <c r="I369" s="125" t="n"/>
      <c r="J369" s="122">
        <f>IF($A369="","",$F369*$G369)</f>
        <v/>
      </c>
    </row>
    <row r="370" ht="15" customHeight="1" s="80">
      <c r="A370" s="125" t="n"/>
      <c r="B370" s="125" t="n"/>
      <c r="C370" s="125" t="n"/>
      <c r="D370" s="130" t="n"/>
      <c r="E370" s="130" t="n"/>
      <c r="F370" s="121" t="n"/>
      <c r="G370" s="129" t="n"/>
      <c r="H370" s="125" t="n"/>
      <c r="I370" s="125" t="n"/>
      <c r="J370" s="122">
        <f>IF($A370="","",$F370*$G370)</f>
        <v/>
      </c>
    </row>
    <row r="371" ht="15" customHeight="1" s="80">
      <c r="A371" s="125" t="n"/>
      <c r="B371" s="125" t="n"/>
      <c r="C371" s="125" t="n"/>
      <c r="D371" s="130" t="n"/>
      <c r="E371" s="130" t="n"/>
      <c r="F371" s="121" t="n"/>
      <c r="G371" s="129" t="n"/>
      <c r="H371" s="125" t="n"/>
      <c r="I371" s="125" t="n"/>
      <c r="J371" s="122">
        <f>IF($A371="","",$F371*$G371)</f>
        <v/>
      </c>
    </row>
    <row r="372" ht="15" customHeight="1" s="80">
      <c r="A372" s="125" t="n"/>
      <c r="B372" s="125" t="n"/>
      <c r="C372" s="125" t="n"/>
      <c r="D372" s="130" t="n"/>
      <c r="E372" s="130" t="n"/>
      <c r="F372" s="121" t="n"/>
      <c r="G372" s="129" t="n"/>
      <c r="H372" s="125" t="n"/>
      <c r="I372" s="125" t="n"/>
      <c r="J372" s="122">
        <f>IF($A372="","",$F372*$G372)</f>
        <v/>
      </c>
    </row>
    <row r="373" ht="15" customHeight="1" s="80">
      <c r="A373" s="125" t="n"/>
      <c r="B373" s="125" t="n"/>
      <c r="C373" s="125" t="n"/>
      <c r="D373" s="130" t="n"/>
      <c r="E373" s="130" t="n"/>
      <c r="F373" s="121" t="n"/>
      <c r="G373" s="129" t="n"/>
      <c r="H373" s="125" t="n"/>
      <c r="I373" s="125" t="n"/>
      <c r="J373" s="122">
        <f>IF($A373="","",$F373*$G373)</f>
        <v/>
      </c>
    </row>
    <row r="374" ht="15" customHeight="1" s="80">
      <c r="A374" s="125" t="n"/>
      <c r="B374" s="125" t="n"/>
      <c r="C374" s="125" t="n"/>
      <c r="D374" s="130" t="n"/>
      <c r="E374" s="130" t="n"/>
      <c r="F374" s="121" t="n"/>
      <c r="G374" s="129" t="n"/>
      <c r="H374" s="125" t="n"/>
      <c r="I374" s="125" t="n"/>
      <c r="J374" s="122">
        <f>IF($A374="","",$F374*$G374)</f>
        <v/>
      </c>
    </row>
    <row r="375" ht="15" customHeight="1" s="80">
      <c r="A375" s="125" t="n"/>
      <c r="B375" s="125" t="n"/>
      <c r="C375" s="125" t="n"/>
      <c r="D375" s="130" t="n"/>
      <c r="E375" s="130" t="n"/>
      <c r="F375" s="121" t="n"/>
      <c r="G375" s="129" t="n"/>
      <c r="H375" s="125" t="n"/>
      <c r="I375" s="125" t="n"/>
      <c r="J375" s="122">
        <f>IF($A375="","",$F375*$G375)</f>
        <v/>
      </c>
    </row>
    <row r="376" ht="15" customHeight="1" s="80">
      <c r="A376" s="125" t="n"/>
      <c r="B376" s="125" t="n"/>
      <c r="C376" s="125" t="n"/>
      <c r="D376" s="130" t="n"/>
      <c r="E376" s="130" t="n"/>
      <c r="F376" s="121" t="n"/>
      <c r="G376" s="129" t="n"/>
      <c r="H376" s="125" t="n"/>
      <c r="I376" s="125" t="n"/>
      <c r="J376" s="122">
        <f>IF($A376="","",$F376*$G376)</f>
        <v/>
      </c>
    </row>
    <row r="377" ht="15" customHeight="1" s="80">
      <c r="A377" s="125" t="n"/>
      <c r="B377" s="125" t="n"/>
      <c r="C377" s="125" t="n"/>
      <c r="D377" s="130" t="n"/>
      <c r="E377" s="130" t="n"/>
      <c r="F377" s="121" t="n"/>
      <c r="G377" s="129" t="n"/>
      <c r="H377" s="125" t="n"/>
      <c r="I377" s="125" t="n"/>
      <c r="J377" s="122">
        <f>IF($A377="","",$F377*$G377)</f>
        <v/>
      </c>
    </row>
    <row r="378" ht="15" customHeight="1" s="80">
      <c r="A378" s="125" t="n"/>
      <c r="B378" s="125" t="n"/>
      <c r="C378" s="125" t="n"/>
      <c r="D378" s="130" t="n"/>
      <c r="E378" s="130" t="n"/>
      <c r="F378" s="121" t="n"/>
      <c r="G378" s="129" t="n"/>
      <c r="H378" s="125" t="n"/>
      <c r="I378" s="125" t="n"/>
      <c r="J378" s="122">
        <f>IF($A378="","",$F378*$G378)</f>
        <v/>
      </c>
    </row>
    <row r="379" ht="15" customHeight="1" s="80">
      <c r="A379" s="125" t="n"/>
      <c r="B379" s="125" t="n"/>
      <c r="C379" s="125" t="n"/>
      <c r="D379" s="130" t="n"/>
      <c r="E379" s="130" t="n"/>
      <c r="F379" s="121" t="n"/>
      <c r="G379" s="129" t="n"/>
      <c r="H379" s="125" t="n"/>
      <c r="I379" s="125" t="n"/>
      <c r="J379" s="122">
        <f>IF($A379="","",$F379*$G379)</f>
        <v/>
      </c>
    </row>
    <row r="380" ht="15" customHeight="1" s="80">
      <c r="A380" s="125" t="n"/>
      <c r="B380" s="125" t="n"/>
      <c r="C380" s="125" t="n"/>
      <c r="D380" s="130" t="n"/>
      <c r="E380" s="130" t="n"/>
      <c r="F380" s="121" t="n"/>
      <c r="G380" s="129" t="n"/>
      <c r="H380" s="125" t="n"/>
      <c r="I380" s="125" t="n"/>
      <c r="J380" s="122">
        <f>IF($A380="","",$F380*$G380)</f>
        <v/>
      </c>
    </row>
    <row r="381" ht="15" customHeight="1" s="80">
      <c r="A381" s="125" t="n"/>
      <c r="B381" s="125" t="n"/>
      <c r="C381" s="125" t="n"/>
      <c r="D381" s="130" t="n"/>
      <c r="E381" s="130" t="n"/>
      <c r="F381" s="121" t="n"/>
      <c r="G381" s="129" t="n"/>
      <c r="H381" s="125" t="n"/>
      <c r="I381" s="125" t="n"/>
      <c r="J381" s="122">
        <f>IF($A381="","",$F381*$G381)</f>
        <v/>
      </c>
    </row>
    <row r="382" ht="15" customHeight="1" s="80">
      <c r="A382" s="125" t="n"/>
      <c r="B382" s="125" t="n"/>
      <c r="C382" s="125" t="n"/>
      <c r="D382" s="130" t="n"/>
      <c r="E382" s="130" t="n"/>
      <c r="F382" s="121" t="n"/>
      <c r="G382" s="129" t="n"/>
      <c r="H382" s="125" t="n"/>
      <c r="I382" s="125" t="n"/>
      <c r="J382" s="122">
        <f>IF($A382="","",$F382*$G382)</f>
        <v/>
      </c>
    </row>
    <row r="383" ht="15" customHeight="1" s="80">
      <c r="A383" s="125" t="n"/>
      <c r="B383" s="125" t="n"/>
      <c r="C383" s="125" t="n"/>
      <c r="D383" s="130" t="n"/>
      <c r="E383" s="130" t="n"/>
      <c r="F383" s="121" t="n"/>
      <c r="G383" s="129" t="n"/>
      <c r="H383" s="125" t="n"/>
      <c r="I383" s="125" t="n"/>
      <c r="J383" s="122">
        <f>IF($A383="","",$F383*$G383)</f>
        <v/>
      </c>
    </row>
    <row r="384" ht="15" customHeight="1" s="80">
      <c r="A384" s="125" t="n"/>
      <c r="B384" s="125" t="n"/>
      <c r="C384" s="125" t="n"/>
      <c r="D384" s="130" t="n"/>
      <c r="E384" s="130" t="n"/>
      <c r="F384" s="121" t="n"/>
      <c r="G384" s="129" t="n"/>
      <c r="H384" s="125" t="n"/>
      <c r="I384" s="125" t="n"/>
      <c r="J384" s="122">
        <f>IF($A384="","",$F384*$G384)</f>
        <v/>
      </c>
    </row>
    <row r="385" ht="15" customHeight="1" s="80">
      <c r="A385" s="125" t="n"/>
      <c r="B385" s="125" t="n"/>
      <c r="C385" s="125" t="n"/>
      <c r="D385" s="130" t="n"/>
      <c r="E385" s="130" t="n"/>
      <c r="F385" s="121" t="n"/>
      <c r="G385" s="129" t="n"/>
      <c r="H385" s="125" t="n"/>
      <c r="I385" s="125" t="n"/>
      <c r="J385" s="122">
        <f>IF($A385="","",$F385*$G385)</f>
        <v/>
      </c>
    </row>
    <row r="386" ht="15" customHeight="1" s="80">
      <c r="A386" s="125" t="n"/>
      <c r="B386" s="125" t="n"/>
      <c r="C386" s="125" t="n"/>
      <c r="D386" s="130" t="n"/>
      <c r="E386" s="130" t="n"/>
      <c r="F386" s="121" t="n"/>
      <c r="G386" s="129" t="n"/>
      <c r="H386" s="125" t="n"/>
      <c r="I386" s="125" t="n"/>
      <c r="J386" s="122">
        <f>IF($A386="","",$F386*$G386)</f>
        <v/>
      </c>
    </row>
    <row r="387" ht="15" customHeight="1" s="80">
      <c r="A387" s="125" t="n"/>
      <c r="B387" s="125" t="n"/>
      <c r="C387" s="125" t="n"/>
      <c r="D387" s="130" t="n"/>
      <c r="E387" s="130" t="n"/>
      <c r="F387" s="121" t="n"/>
      <c r="G387" s="129" t="n"/>
      <c r="H387" s="125" t="n"/>
      <c r="I387" s="125" t="n"/>
      <c r="J387" s="122">
        <f>IF($A387="","",$F387*$G387)</f>
        <v/>
      </c>
    </row>
    <row r="388" ht="15" customHeight="1" s="80">
      <c r="A388" s="125" t="n"/>
      <c r="B388" s="125" t="n"/>
      <c r="C388" s="125" t="n"/>
      <c r="D388" s="130" t="n"/>
      <c r="E388" s="130" t="n"/>
      <c r="F388" s="121" t="n"/>
      <c r="G388" s="129" t="n"/>
      <c r="H388" s="125" t="n"/>
      <c r="I388" s="125" t="n"/>
      <c r="J388" s="122">
        <f>IF($A388="","",$F388*$G388)</f>
        <v/>
      </c>
    </row>
    <row r="389" ht="15" customHeight="1" s="80">
      <c r="A389" s="125" t="n"/>
      <c r="B389" s="125" t="n"/>
      <c r="C389" s="125" t="n"/>
      <c r="D389" s="130" t="n"/>
      <c r="E389" s="130" t="n"/>
      <c r="F389" s="121" t="n"/>
      <c r="G389" s="129" t="n"/>
      <c r="H389" s="125" t="n"/>
      <c r="I389" s="125" t="n"/>
      <c r="J389" s="122">
        <f>IF($A389="","",$F389*$G389)</f>
        <v/>
      </c>
    </row>
    <row r="390" ht="15" customHeight="1" s="80">
      <c r="A390" s="125" t="n"/>
      <c r="B390" s="125" t="n"/>
      <c r="C390" s="125" t="n"/>
      <c r="D390" s="130" t="n"/>
      <c r="E390" s="130" t="n"/>
      <c r="F390" s="121" t="n"/>
      <c r="G390" s="129" t="n"/>
      <c r="H390" s="125" t="n"/>
      <c r="I390" s="125" t="n"/>
      <c r="J390" s="122">
        <f>IF($A390="","",$F390*$G390)</f>
        <v/>
      </c>
    </row>
    <row r="391" ht="15" customHeight="1" s="80">
      <c r="A391" s="125" t="n"/>
      <c r="B391" s="125" t="n"/>
      <c r="C391" s="125" t="n"/>
      <c r="D391" s="130" t="n"/>
      <c r="E391" s="130" t="n"/>
      <c r="F391" s="121" t="n"/>
      <c r="G391" s="129" t="n"/>
      <c r="H391" s="125" t="n"/>
      <c r="I391" s="125" t="n"/>
      <c r="J391" s="122">
        <f>IF($A391="","",$F391*$G391)</f>
        <v/>
      </c>
    </row>
    <row r="392" ht="15" customHeight="1" s="80">
      <c r="A392" s="125" t="n"/>
      <c r="B392" s="125" t="n"/>
      <c r="C392" s="125" t="n"/>
      <c r="D392" s="130" t="n"/>
      <c r="E392" s="130" t="n"/>
      <c r="F392" s="121" t="n"/>
      <c r="G392" s="129" t="n"/>
      <c r="H392" s="125" t="n"/>
      <c r="I392" s="125" t="n"/>
      <c r="J392" s="122">
        <f>IF($A392="","",$F392*$G392)</f>
        <v/>
      </c>
    </row>
    <row r="393" ht="15" customHeight="1" s="80">
      <c r="A393" s="125" t="n"/>
      <c r="B393" s="125" t="n"/>
      <c r="C393" s="125" t="n"/>
      <c r="D393" s="130" t="n"/>
      <c r="E393" s="130" t="n"/>
      <c r="F393" s="121" t="n"/>
      <c r="G393" s="129" t="n"/>
      <c r="H393" s="125" t="n"/>
      <c r="I393" s="125" t="n"/>
      <c r="J393" s="122">
        <f>IF($A393="","",$F393*$G393)</f>
        <v/>
      </c>
    </row>
    <row r="394" ht="15" customHeight="1" s="80">
      <c r="A394" s="125" t="n"/>
      <c r="B394" s="125" t="n"/>
      <c r="C394" s="125" t="n"/>
      <c r="D394" s="130" t="n"/>
      <c r="E394" s="130" t="n"/>
      <c r="F394" s="121" t="n"/>
      <c r="G394" s="129" t="n"/>
      <c r="H394" s="125" t="n"/>
      <c r="I394" s="125" t="n"/>
      <c r="J394" s="122">
        <f>IF($A394="","",$F394*$G394)</f>
        <v/>
      </c>
    </row>
    <row r="395" ht="15" customHeight="1" s="80">
      <c r="A395" s="125" t="n"/>
      <c r="B395" s="125" t="n"/>
      <c r="C395" s="125" t="n"/>
      <c r="D395" s="130" t="n"/>
      <c r="E395" s="130" t="n"/>
      <c r="F395" s="121" t="n"/>
      <c r="G395" s="129" t="n"/>
      <c r="H395" s="125" t="n"/>
      <c r="I395" s="125" t="n"/>
      <c r="J395" s="122">
        <f>IF($A395="","",$F395*$G395)</f>
        <v/>
      </c>
    </row>
    <row r="396" ht="15" customHeight="1" s="80">
      <c r="A396" s="125" t="n"/>
      <c r="B396" s="125" t="n"/>
      <c r="C396" s="125" t="n"/>
      <c r="D396" s="130" t="n"/>
      <c r="E396" s="130" t="n"/>
      <c r="F396" s="121" t="n"/>
      <c r="G396" s="129" t="n"/>
      <c r="H396" s="125" t="n"/>
      <c r="I396" s="125" t="n"/>
      <c r="J396" s="122">
        <f>IF($A396="","",$F396*$G396)</f>
        <v/>
      </c>
    </row>
    <row r="397" ht="15" customHeight="1" s="80">
      <c r="A397" s="125" t="n"/>
      <c r="B397" s="125" t="n"/>
      <c r="C397" s="125" t="n"/>
      <c r="D397" s="130" t="n"/>
      <c r="E397" s="130" t="n"/>
      <c r="F397" s="121" t="n"/>
      <c r="G397" s="129" t="n"/>
      <c r="H397" s="125" t="n"/>
      <c r="I397" s="125" t="n"/>
      <c r="J397" s="122">
        <f>IF($A397="","",$F397*$G397)</f>
        <v/>
      </c>
    </row>
    <row r="398" ht="15" customHeight="1" s="80">
      <c r="A398" s="125" t="n"/>
      <c r="B398" s="125" t="n"/>
      <c r="C398" s="125" t="n"/>
      <c r="D398" s="130" t="n"/>
      <c r="E398" s="130" t="n"/>
      <c r="F398" s="121" t="n"/>
      <c r="G398" s="129" t="n"/>
      <c r="H398" s="125" t="n"/>
      <c r="I398" s="125" t="n"/>
      <c r="J398" s="122">
        <f>IF($A398="","",$F398*$G398)</f>
        <v/>
      </c>
    </row>
    <row r="399" ht="15" customHeight="1" s="80">
      <c r="A399" s="125" t="n"/>
      <c r="B399" s="125" t="n"/>
      <c r="C399" s="125" t="n"/>
      <c r="D399" s="130" t="n"/>
      <c r="E399" s="130" t="n"/>
      <c r="F399" s="121" t="n"/>
      <c r="G399" s="129" t="n"/>
      <c r="H399" s="125" t="n"/>
      <c r="I399" s="125" t="n"/>
      <c r="J399" s="122">
        <f>IF($A399="","",$F399*$G399)</f>
        <v/>
      </c>
    </row>
    <row r="400" ht="15" customHeight="1" s="80">
      <c r="A400" s="125" t="n"/>
      <c r="B400" s="125" t="n"/>
      <c r="C400" s="125" t="n"/>
      <c r="D400" s="130" t="n"/>
      <c r="E400" s="130" t="n"/>
      <c r="F400" s="121" t="n"/>
      <c r="G400" s="129" t="n"/>
      <c r="H400" s="125" t="n"/>
      <c r="I400" s="125" t="n"/>
      <c r="J400" s="122">
        <f>IF($A400="","",$F400*$G400)</f>
        <v/>
      </c>
    </row>
    <row r="401" ht="15" customHeight="1" s="80">
      <c r="A401" s="125" t="n"/>
      <c r="B401" s="125" t="n"/>
      <c r="C401" s="125" t="n"/>
      <c r="D401" s="130" t="n"/>
      <c r="E401" s="130" t="n"/>
      <c r="F401" s="121" t="n"/>
      <c r="G401" s="129" t="n"/>
      <c r="H401" s="125" t="n"/>
      <c r="I401" s="125" t="n"/>
      <c r="J401" s="122">
        <f>IF($A401="","",$F401*$G401)</f>
        <v/>
      </c>
    </row>
    <row r="402" ht="15" customHeight="1" s="80">
      <c r="A402" s="125" t="n"/>
      <c r="B402" s="125" t="n"/>
      <c r="C402" s="125" t="n"/>
      <c r="D402" s="130" t="n"/>
      <c r="E402" s="130" t="n"/>
      <c r="F402" s="121" t="n"/>
      <c r="G402" s="129" t="n"/>
      <c r="H402" s="125" t="n"/>
      <c r="I402" s="125" t="n"/>
      <c r="J402" s="122">
        <f>IF($A402="","",$F402*$G402)</f>
        <v/>
      </c>
    </row>
    <row r="403" ht="15" customHeight="1" s="80">
      <c r="A403" s="125" t="n"/>
      <c r="B403" s="125" t="n"/>
      <c r="C403" s="125" t="n"/>
      <c r="D403" s="130" t="n"/>
      <c r="E403" s="130" t="n"/>
      <c r="F403" s="121" t="n"/>
      <c r="G403" s="129" t="n"/>
      <c r="H403" s="125" t="n"/>
      <c r="I403" s="125" t="n"/>
      <c r="J403" s="122">
        <f>IF($A403="","",$F403*$G403)</f>
        <v/>
      </c>
    </row>
    <row r="404" ht="15" customHeight="1" s="80">
      <c r="A404" s="125" t="n"/>
      <c r="B404" s="125" t="n"/>
      <c r="C404" s="125" t="n"/>
      <c r="D404" s="130" t="n"/>
      <c r="E404" s="130" t="n"/>
      <c r="F404" s="121" t="n"/>
      <c r="G404" s="129" t="n"/>
      <c r="H404" s="125" t="n"/>
      <c r="I404" s="125" t="n"/>
      <c r="J404" s="122">
        <f>IF($A404="","",$F404*$G404)</f>
        <v/>
      </c>
    </row>
    <row r="405" ht="15" customHeight="1" s="80">
      <c r="A405" s="125" t="n"/>
      <c r="B405" s="125" t="n"/>
      <c r="C405" s="125" t="n"/>
      <c r="D405" s="130" t="n"/>
      <c r="E405" s="130" t="n"/>
      <c r="F405" s="121" t="n"/>
      <c r="G405" s="129" t="n"/>
      <c r="H405" s="125" t="n"/>
      <c r="I405" s="125" t="n"/>
      <c r="J405" s="122">
        <f>IF($A405="","",$F405*$G405)</f>
        <v/>
      </c>
    </row>
    <row r="406" ht="15" customHeight="1" s="80">
      <c r="A406" s="125" t="n"/>
      <c r="B406" s="125" t="n"/>
      <c r="C406" s="125" t="n"/>
      <c r="D406" s="130" t="n"/>
      <c r="E406" s="130" t="n"/>
      <c r="F406" s="121" t="n"/>
      <c r="G406" s="129" t="n"/>
      <c r="H406" s="125" t="n"/>
      <c r="I406" s="125" t="n"/>
      <c r="J406" s="122">
        <f>IF($A406="","",$F406*$G406)</f>
        <v/>
      </c>
    </row>
    <row r="407" ht="15" customHeight="1" s="80">
      <c r="A407" s="125" t="n"/>
      <c r="B407" s="125" t="n"/>
      <c r="C407" s="125" t="n"/>
      <c r="D407" s="130" t="n"/>
      <c r="E407" s="130" t="n"/>
      <c r="F407" s="121" t="n"/>
      <c r="G407" s="129" t="n"/>
      <c r="H407" s="125" t="n"/>
      <c r="I407" s="125" t="n"/>
      <c r="J407" s="122">
        <f>IF($A407="","",$F407*$G407)</f>
        <v/>
      </c>
    </row>
    <row r="408" ht="15" customHeight="1" s="80">
      <c r="A408" s="125" t="n"/>
      <c r="B408" s="125" t="n"/>
      <c r="C408" s="125" t="n"/>
      <c r="D408" s="130" t="n"/>
      <c r="E408" s="130" t="n"/>
      <c r="F408" s="121" t="n"/>
      <c r="G408" s="129" t="n"/>
      <c r="H408" s="125" t="n"/>
      <c r="I408" s="125" t="n"/>
      <c r="J408" s="122">
        <f>IF($A408="","",$F408*$G408)</f>
        <v/>
      </c>
    </row>
    <row r="409" ht="15" customHeight="1" s="80">
      <c r="A409" s="125" t="n"/>
      <c r="B409" s="125" t="n"/>
      <c r="C409" s="125" t="n"/>
      <c r="D409" s="130" t="n"/>
      <c r="E409" s="130" t="n"/>
      <c r="F409" s="121" t="n"/>
      <c r="G409" s="129" t="n"/>
      <c r="H409" s="125" t="n"/>
      <c r="I409" s="125" t="n"/>
      <c r="J409" s="122">
        <f>IF($A409="","",$F409*$G409)</f>
        <v/>
      </c>
    </row>
    <row r="410" ht="15" customHeight="1" s="80">
      <c r="A410" s="125" t="n"/>
      <c r="B410" s="125" t="n"/>
      <c r="C410" s="125" t="n"/>
      <c r="D410" s="130" t="n"/>
      <c r="E410" s="130" t="n"/>
      <c r="F410" s="121" t="n"/>
      <c r="G410" s="129" t="n"/>
      <c r="H410" s="125" t="n"/>
      <c r="I410" s="125" t="n"/>
      <c r="J410" s="122">
        <f>IF($A410="","",$F410*$G410)</f>
        <v/>
      </c>
    </row>
    <row r="411" ht="15" customHeight="1" s="80">
      <c r="A411" s="125" t="n"/>
      <c r="B411" s="125" t="n"/>
      <c r="C411" s="125" t="n"/>
      <c r="D411" s="130" t="n"/>
      <c r="E411" s="130" t="n"/>
      <c r="F411" s="121" t="n"/>
      <c r="G411" s="129" t="n"/>
      <c r="H411" s="125" t="n"/>
      <c r="I411" s="125" t="n"/>
      <c r="J411" s="122">
        <f>IF($A411="","",$F411*$G411)</f>
        <v/>
      </c>
    </row>
    <row r="412" ht="15" customHeight="1" s="80">
      <c r="A412" s="125" t="n"/>
      <c r="B412" s="125" t="n"/>
      <c r="C412" s="125" t="n"/>
      <c r="D412" s="130" t="n"/>
      <c r="E412" s="130" t="n"/>
      <c r="F412" s="121" t="n"/>
      <c r="G412" s="129" t="n"/>
      <c r="H412" s="125" t="n"/>
      <c r="I412" s="125" t="n"/>
      <c r="J412" s="122">
        <f>IF($A412="","",$F412*$G412)</f>
        <v/>
      </c>
    </row>
    <row r="413" ht="15" customHeight="1" s="80">
      <c r="A413" s="125" t="n"/>
      <c r="B413" s="125" t="n"/>
      <c r="C413" s="125" t="n"/>
      <c r="D413" s="130" t="n"/>
      <c r="E413" s="130" t="n"/>
      <c r="F413" s="121" t="n"/>
      <c r="G413" s="129" t="n"/>
      <c r="H413" s="125" t="n"/>
      <c r="I413" s="125" t="n"/>
      <c r="J413" s="122">
        <f>IF($A413="","",$F413*$G413)</f>
        <v/>
      </c>
    </row>
    <row r="414" ht="15" customHeight="1" s="80">
      <c r="A414" s="125" t="n"/>
      <c r="B414" s="125" t="n"/>
      <c r="C414" s="125" t="n"/>
      <c r="D414" s="130" t="n"/>
      <c r="E414" s="130" t="n"/>
      <c r="F414" s="121" t="n"/>
      <c r="G414" s="129" t="n"/>
      <c r="H414" s="125" t="n"/>
      <c r="I414" s="125" t="n"/>
      <c r="J414" s="122">
        <f>IF($A414="","",$F414*$G414)</f>
        <v/>
      </c>
    </row>
    <row r="415" ht="15" customHeight="1" s="80">
      <c r="A415" s="125" t="n"/>
      <c r="B415" s="125" t="n"/>
      <c r="C415" s="125" t="n"/>
      <c r="D415" s="130" t="n"/>
      <c r="E415" s="130" t="n"/>
      <c r="F415" s="121" t="n"/>
      <c r="G415" s="129" t="n"/>
      <c r="H415" s="125" t="n"/>
      <c r="I415" s="125" t="n"/>
      <c r="J415" s="122">
        <f>IF($A415="","",$F415*$G415)</f>
        <v/>
      </c>
    </row>
    <row r="416" ht="15" customHeight="1" s="80">
      <c r="A416" s="125" t="n"/>
      <c r="B416" s="125" t="n"/>
      <c r="C416" s="125" t="n"/>
      <c r="D416" s="130" t="n"/>
      <c r="E416" s="130" t="n"/>
      <c r="F416" s="121" t="n"/>
      <c r="G416" s="129" t="n"/>
      <c r="H416" s="125" t="n"/>
      <c r="I416" s="125" t="n"/>
      <c r="J416" s="122">
        <f>IF($A416="","",$F416*$G416)</f>
        <v/>
      </c>
    </row>
    <row r="417" ht="15" customHeight="1" s="80">
      <c r="A417" s="125" t="n"/>
      <c r="B417" s="125" t="n"/>
      <c r="C417" s="125" t="n"/>
      <c r="D417" s="130" t="n"/>
      <c r="E417" s="130" t="n"/>
      <c r="F417" s="121" t="n"/>
      <c r="G417" s="129" t="n"/>
      <c r="H417" s="125" t="n"/>
      <c r="I417" s="125" t="n"/>
      <c r="J417" s="122">
        <f>IF($A417="","",$F417*$G417)</f>
        <v/>
      </c>
    </row>
    <row r="418" ht="15" customHeight="1" s="80">
      <c r="A418" s="125" t="n"/>
      <c r="B418" s="125" t="n"/>
      <c r="C418" s="125" t="n"/>
      <c r="D418" s="130" t="n"/>
      <c r="E418" s="130" t="n"/>
      <c r="F418" s="121" t="n"/>
      <c r="G418" s="129" t="n"/>
      <c r="H418" s="125" t="n"/>
      <c r="I418" s="125" t="n"/>
      <c r="J418" s="122">
        <f>IF($A418="","",$F418*$G418)</f>
        <v/>
      </c>
    </row>
    <row r="419" ht="15" customHeight="1" s="80">
      <c r="A419" s="125" t="n"/>
      <c r="B419" s="125" t="n"/>
      <c r="C419" s="125" t="n"/>
      <c r="D419" s="130" t="n"/>
      <c r="E419" s="130" t="n"/>
      <c r="F419" s="121" t="n"/>
      <c r="G419" s="129" t="n"/>
      <c r="H419" s="125" t="n"/>
      <c r="I419" s="125" t="n"/>
      <c r="J419" s="122">
        <f>IF($A419="","",$F419*$G419)</f>
        <v/>
      </c>
    </row>
    <row r="420" ht="15" customHeight="1" s="80">
      <c r="A420" s="125" t="n"/>
      <c r="B420" s="125" t="n"/>
      <c r="C420" s="125" t="n"/>
      <c r="D420" s="130" t="n"/>
      <c r="E420" s="130" t="n"/>
      <c r="F420" s="121" t="n"/>
      <c r="G420" s="129" t="n"/>
      <c r="H420" s="125" t="n"/>
      <c r="I420" s="125" t="n"/>
      <c r="J420" s="122">
        <f>IF($A420="","",$F420*$G420)</f>
        <v/>
      </c>
    </row>
    <row r="421" ht="15" customHeight="1" s="80">
      <c r="A421" s="125" t="n"/>
      <c r="B421" s="125" t="n"/>
      <c r="C421" s="125" t="n"/>
      <c r="D421" s="130" t="n"/>
      <c r="E421" s="130" t="n"/>
      <c r="F421" s="121" t="n"/>
      <c r="G421" s="129" t="n"/>
      <c r="H421" s="125" t="n"/>
      <c r="I421" s="125" t="n"/>
      <c r="J421" s="122">
        <f>IF($A421="","",$F421*$G421)</f>
        <v/>
      </c>
    </row>
    <row r="422" ht="15" customHeight="1" s="80">
      <c r="A422" s="125" t="n"/>
      <c r="B422" s="125" t="n"/>
      <c r="C422" s="125" t="n"/>
      <c r="D422" s="130" t="n"/>
      <c r="E422" s="130" t="n"/>
      <c r="F422" s="121" t="n"/>
      <c r="G422" s="129" t="n"/>
      <c r="H422" s="125" t="n"/>
      <c r="I422" s="125" t="n"/>
      <c r="J422" s="122">
        <f>IF($A422="","",$F422*$G422)</f>
        <v/>
      </c>
    </row>
    <row r="423" ht="15" customHeight="1" s="80">
      <c r="A423" s="125" t="n"/>
      <c r="B423" s="125" t="n"/>
      <c r="C423" s="125" t="n"/>
      <c r="D423" s="130" t="n"/>
      <c r="E423" s="130" t="n"/>
      <c r="F423" s="121" t="n"/>
      <c r="G423" s="129" t="n"/>
      <c r="H423" s="125" t="n"/>
      <c r="I423" s="125" t="n"/>
      <c r="J423" s="122">
        <f>IF($A423="","",$F423*$G423)</f>
        <v/>
      </c>
    </row>
    <row r="424" ht="15" customHeight="1" s="80">
      <c r="A424" s="125" t="n"/>
      <c r="B424" s="125" t="n"/>
      <c r="C424" s="125" t="n"/>
      <c r="D424" s="130" t="n"/>
      <c r="E424" s="130" t="n"/>
      <c r="F424" s="121" t="n"/>
      <c r="G424" s="129" t="n"/>
      <c r="H424" s="125" t="n"/>
      <c r="I424" s="125" t="n"/>
      <c r="J424" s="122">
        <f>IF($A424="","",$F424*$G424)</f>
        <v/>
      </c>
    </row>
    <row r="425" ht="15" customHeight="1" s="80">
      <c r="A425" s="125" t="n"/>
      <c r="B425" s="125" t="n"/>
      <c r="C425" s="125" t="n"/>
      <c r="D425" s="130" t="n"/>
      <c r="E425" s="130" t="n"/>
      <c r="F425" s="121" t="n"/>
      <c r="G425" s="129" t="n"/>
      <c r="H425" s="125" t="n"/>
      <c r="I425" s="125" t="n"/>
      <c r="J425" s="122">
        <f>IF($A425="","",$F425*$G425)</f>
        <v/>
      </c>
    </row>
    <row r="426" ht="15" customHeight="1" s="80">
      <c r="A426" s="125" t="n"/>
      <c r="B426" s="125" t="n"/>
      <c r="C426" s="125" t="n"/>
      <c r="D426" s="130" t="n"/>
      <c r="E426" s="130" t="n"/>
      <c r="F426" s="121" t="n"/>
      <c r="G426" s="129" t="n"/>
      <c r="H426" s="125" t="n"/>
      <c r="I426" s="125" t="n"/>
      <c r="J426" s="122">
        <f>IF($A426="","",$F426*$G426)</f>
        <v/>
      </c>
    </row>
    <row r="427" ht="15" customHeight="1" s="80">
      <c r="A427" s="125" t="n"/>
      <c r="B427" s="125" t="n"/>
      <c r="C427" s="125" t="n"/>
      <c r="D427" s="130" t="n"/>
      <c r="E427" s="130" t="n"/>
      <c r="F427" s="121" t="n"/>
      <c r="G427" s="129" t="n"/>
      <c r="H427" s="125" t="n"/>
      <c r="I427" s="125" t="n"/>
      <c r="J427" s="122">
        <f>IF($A427="","",$F427*$G427)</f>
        <v/>
      </c>
    </row>
    <row r="428" ht="15" customHeight="1" s="80">
      <c r="A428" s="125" t="n"/>
      <c r="B428" s="125" t="n"/>
      <c r="C428" s="125" t="n"/>
      <c r="D428" s="130" t="n"/>
      <c r="E428" s="130" t="n"/>
      <c r="F428" s="121" t="n"/>
      <c r="G428" s="129" t="n"/>
      <c r="H428" s="125" t="n"/>
      <c r="I428" s="125" t="n"/>
      <c r="J428" s="122">
        <f>IF($A428="","",$F428*$G428)</f>
        <v/>
      </c>
    </row>
    <row r="429" ht="15" customHeight="1" s="80">
      <c r="A429" s="125" t="n"/>
      <c r="B429" s="125" t="n"/>
      <c r="C429" s="125" t="n"/>
      <c r="D429" s="130" t="n"/>
      <c r="E429" s="130" t="n"/>
      <c r="F429" s="121" t="n"/>
      <c r="G429" s="129" t="n"/>
      <c r="H429" s="125" t="n"/>
      <c r="I429" s="125" t="n"/>
      <c r="J429" s="122">
        <f>IF($A429="","",$F429*$G429)</f>
        <v/>
      </c>
    </row>
    <row r="430" ht="15" customHeight="1" s="80">
      <c r="A430" s="125" t="n"/>
      <c r="B430" s="125" t="n"/>
      <c r="C430" s="125" t="n"/>
      <c r="D430" s="130" t="n"/>
      <c r="E430" s="130" t="n"/>
      <c r="F430" s="121" t="n"/>
      <c r="G430" s="129" t="n"/>
      <c r="H430" s="125" t="n"/>
      <c r="I430" s="125" t="n"/>
      <c r="J430" s="122">
        <f>IF($A430="","",$F430*$G430)</f>
        <v/>
      </c>
    </row>
    <row r="431" ht="15" customHeight="1" s="80">
      <c r="A431" s="125" t="n"/>
      <c r="B431" s="125" t="n"/>
      <c r="C431" s="125" t="n"/>
      <c r="D431" s="130" t="n"/>
      <c r="E431" s="130" t="n"/>
      <c r="F431" s="121" t="n"/>
      <c r="G431" s="129" t="n"/>
      <c r="H431" s="125" t="n"/>
      <c r="I431" s="125" t="n"/>
      <c r="J431" s="122">
        <f>IF($A431="","",$F431*$G431)</f>
        <v/>
      </c>
    </row>
    <row r="432" ht="15" customHeight="1" s="80">
      <c r="A432" s="125" t="n"/>
      <c r="B432" s="125" t="n"/>
      <c r="C432" s="125" t="n"/>
      <c r="D432" s="130" t="n"/>
      <c r="E432" s="130" t="n"/>
      <c r="F432" s="121" t="n"/>
      <c r="G432" s="129" t="n"/>
      <c r="H432" s="125" t="n"/>
      <c r="I432" s="125" t="n"/>
      <c r="J432" s="122">
        <f>IF($A432="","",$F432*$G432)</f>
        <v/>
      </c>
    </row>
    <row r="433" ht="15" customHeight="1" s="80">
      <c r="A433" s="125" t="n"/>
      <c r="B433" s="125" t="n"/>
      <c r="C433" s="125" t="n"/>
      <c r="D433" s="130" t="n"/>
      <c r="E433" s="130" t="n"/>
      <c r="F433" s="121" t="n"/>
      <c r="G433" s="129" t="n"/>
      <c r="H433" s="125" t="n"/>
      <c r="I433" s="125" t="n"/>
      <c r="J433" s="122">
        <f>IF($A433="","",$F433*$G433)</f>
        <v/>
      </c>
    </row>
    <row r="434" ht="15" customHeight="1" s="80">
      <c r="A434" s="125" t="n"/>
      <c r="B434" s="125" t="n"/>
      <c r="C434" s="125" t="n"/>
      <c r="D434" s="130" t="n"/>
      <c r="E434" s="130" t="n"/>
      <c r="F434" s="121" t="n"/>
      <c r="G434" s="129" t="n"/>
      <c r="H434" s="125" t="n"/>
      <c r="I434" s="125" t="n"/>
      <c r="J434" s="122">
        <f>IF($A434="","",$F434*$G434)</f>
        <v/>
      </c>
    </row>
    <row r="435" ht="15" customHeight="1" s="80">
      <c r="A435" s="125" t="n"/>
      <c r="B435" s="125" t="n"/>
      <c r="C435" s="125" t="n"/>
      <c r="D435" s="130" t="n"/>
      <c r="E435" s="130" t="n"/>
      <c r="F435" s="121" t="n"/>
      <c r="G435" s="129" t="n"/>
      <c r="H435" s="125" t="n"/>
      <c r="I435" s="125" t="n"/>
      <c r="J435" s="122">
        <f>IF($A435="","",$F435*$G435)</f>
        <v/>
      </c>
    </row>
    <row r="436" ht="15" customHeight="1" s="80">
      <c r="A436" s="125" t="n"/>
      <c r="B436" s="125" t="n"/>
      <c r="C436" s="125" t="n"/>
      <c r="D436" s="130" t="n"/>
      <c r="E436" s="130" t="n"/>
      <c r="F436" s="121" t="n"/>
      <c r="G436" s="129" t="n"/>
      <c r="H436" s="125" t="n"/>
      <c r="I436" s="125" t="n"/>
      <c r="J436" s="122">
        <f>IF($A436="","",$F436*$G436)</f>
        <v/>
      </c>
    </row>
    <row r="437" ht="15" customHeight="1" s="80">
      <c r="A437" s="125" t="n"/>
      <c r="B437" s="125" t="n"/>
      <c r="C437" s="125" t="n"/>
      <c r="D437" s="130" t="n"/>
      <c r="E437" s="130" t="n"/>
      <c r="F437" s="121" t="n"/>
      <c r="G437" s="129" t="n"/>
      <c r="H437" s="125" t="n"/>
      <c r="I437" s="125" t="n"/>
      <c r="J437" s="122">
        <f>IF($A437="","",$F437*$G437)</f>
        <v/>
      </c>
    </row>
    <row r="438" ht="15" customHeight="1" s="80">
      <c r="A438" s="125" t="n"/>
      <c r="B438" s="125" t="n"/>
      <c r="C438" s="125" t="n"/>
      <c r="D438" s="130" t="n"/>
      <c r="E438" s="130" t="n"/>
      <c r="F438" s="121" t="n"/>
      <c r="G438" s="129" t="n"/>
      <c r="H438" s="125" t="n"/>
      <c r="I438" s="125" t="n"/>
      <c r="J438" s="122">
        <f>IF($A438="","",$F438*$G438)</f>
        <v/>
      </c>
    </row>
    <row r="439" ht="15" customHeight="1" s="80">
      <c r="A439" s="125" t="n"/>
      <c r="B439" s="125" t="n"/>
      <c r="C439" s="125" t="n"/>
      <c r="D439" s="130" t="n"/>
      <c r="E439" s="130" t="n"/>
      <c r="F439" s="121" t="n"/>
      <c r="G439" s="129" t="n"/>
      <c r="H439" s="125" t="n"/>
      <c r="I439" s="125" t="n"/>
      <c r="J439" s="122">
        <f>IF($A439="","",$F439*$G439)</f>
        <v/>
      </c>
    </row>
    <row r="440" ht="15" customHeight="1" s="80">
      <c r="A440" s="125" t="n"/>
      <c r="B440" s="125" t="n"/>
      <c r="C440" s="125" t="n"/>
      <c r="D440" s="130" t="n"/>
      <c r="E440" s="130" t="n"/>
      <c r="F440" s="121" t="n"/>
      <c r="G440" s="129" t="n"/>
      <c r="H440" s="125" t="n"/>
      <c r="I440" s="125" t="n"/>
      <c r="J440" s="122">
        <f>IF($A440="","",$F440*$G440)</f>
        <v/>
      </c>
    </row>
    <row r="441" ht="15" customHeight="1" s="80">
      <c r="A441" s="125" t="n"/>
      <c r="B441" s="125" t="n"/>
      <c r="C441" s="125" t="n"/>
      <c r="D441" s="130" t="n"/>
      <c r="E441" s="130" t="n"/>
      <c r="F441" s="121" t="n"/>
      <c r="G441" s="129" t="n"/>
      <c r="H441" s="125" t="n"/>
      <c r="I441" s="125" t="n"/>
      <c r="J441" s="122">
        <f>IF($A441="","",$F441*$G441)</f>
        <v/>
      </c>
    </row>
    <row r="442" ht="15" customHeight="1" s="80">
      <c r="A442" s="125" t="n"/>
      <c r="B442" s="125" t="n"/>
      <c r="C442" s="125" t="n"/>
      <c r="D442" s="130" t="n"/>
      <c r="E442" s="130" t="n"/>
      <c r="F442" s="121" t="n"/>
      <c r="G442" s="129" t="n"/>
      <c r="H442" s="125" t="n"/>
      <c r="I442" s="125" t="n"/>
      <c r="J442" s="122">
        <f>IF($A442="","",$F442*$G442)</f>
        <v/>
      </c>
    </row>
    <row r="443" ht="15" customHeight="1" s="80">
      <c r="A443" s="125" t="n"/>
      <c r="B443" s="125" t="n"/>
      <c r="C443" s="125" t="n"/>
      <c r="D443" s="130" t="n"/>
      <c r="E443" s="130" t="n"/>
      <c r="F443" s="121" t="n"/>
      <c r="G443" s="129" t="n"/>
      <c r="H443" s="125" t="n"/>
      <c r="I443" s="125" t="n"/>
      <c r="J443" s="122">
        <f>IF($A443="","",$F443*$G443)</f>
        <v/>
      </c>
    </row>
    <row r="444" ht="15" customHeight="1" s="80">
      <c r="A444" s="125" t="n"/>
      <c r="B444" s="125" t="n"/>
      <c r="C444" s="125" t="n"/>
      <c r="D444" s="130" t="n"/>
      <c r="E444" s="130" t="n"/>
      <c r="F444" s="121" t="n"/>
      <c r="G444" s="129" t="n"/>
      <c r="H444" s="125" t="n"/>
      <c r="I444" s="125" t="n"/>
      <c r="J444" s="122">
        <f>IF($A444="","",$F444*$G444)</f>
        <v/>
      </c>
    </row>
    <row r="445" ht="15" customHeight="1" s="80">
      <c r="A445" s="125" t="n"/>
      <c r="B445" s="125" t="n"/>
      <c r="C445" s="125" t="n"/>
      <c r="D445" s="130" t="n"/>
      <c r="E445" s="130" t="n"/>
      <c r="F445" s="121" t="n"/>
      <c r="G445" s="129" t="n"/>
      <c r="H445" s="125" t="n"/>
      <c r="I445" s="125" t="n"/>
      <c r="J445" s="122">
        <f>IF($A445="","",$F445*$G445)</f>
        <v/>
      </c>
    </row>
    <row r="446" ht="15" customHeight="1" s="80">
      <c r="A446" s="125" t="n"/>
      <c r="B446" s="125" t="n"/>
      <c r="C446" s="125" t="n"/>
      <c r="D446" s="130" t="n"/>
      <c r="E446" s="130" t="n"/>
      <c r="F446" s="121" t="n"/>
      <c r="G446" s="129" t="n"/>
      <c r="H446" s="125" t="n"/>
      <c r="I446" s="125" t="n"/>
      <c r="J446" s="122">
        <f>IF($A446="","",$F446*$G446)</f>
        <v/>
      </c>
    </row>
    <row r="447" ht="15" customHeight="1" s="80">
      <c r="A447" s="125" t="n"/>
      <c r="B447" s="125" t="n"/>
      <c r="C447" s="125" t="n"/>
      <c r="D447" s="130" t="n"/>
      <c r="E447" s="130" t="n"/>
      <c r="F447" s="121" t="n"/>
      <c r="G447" s="129" t="n"/>
      <c r="H447" s="125" t="n"/>
      <c r="I447" s="125" t="n"/>
      <c r="J447" s="122">
        <f>IF($A447="","",$F447*$G447)</f>
        <v/>
      </c>
    </row>
    <row r="448" ht="15" customHeight="1" s="80">
      <c r="A448" s="125" t="n"/>
      <c r="B448" s="125" t="n"/>
      <c r="C448" s="125" t="n"/>
      <c r="D448" s="130" t="n"/>
      <c r="E448" s="130" t="n"/>
      <c r="F448" s="121" t="n"/>
      <c r="G448" s="129" t="n"/>
      <c r="H448" s="125" t="n"/>
      <c r="I448" s="125" t="n"/>
      <c r="J448" s="122">
        <f>IF($A448="","",$F448*$G448)</f>
        <v/>
      </c>
    </row>
    <row r="449" ht="15" customHeight="1" s="80">
      <c r="A449" s="125" t="n"/>
      <c r="B449" s="125" t="n"/>
      <c r="C449" s="125" t="n"/>
      <c r="D449" s="130" t="n"/>
      <c r="E449" s="130" t="n"/>
      <c r="F449" s="121" t="n"/>
      <c r="G449" s="129" t="n"/>
      <c r="H449" s="125" t="n"/>
      <c r="I449" s="125" t="n"/>
      <c r="J449" s="122">
        <f>IF($A449="","",$F449*$G449)</f>
        <v/>
      </c>
    </row>
    <row r="450" ht="15" customHeight="1" s="80">
      <c r="A450" s="125" t="n"/>
      <c r="B450" s="125" t="n"/>
      <c r="C450" s="125" t="n"/>
      <c r="D450" s="130" t="n"/>
      <c r="E450" s="130" t="n"/>
      <c r="F450" s="121" t="n"/>
      <c r="G450" s="129" t="n"/>
      <c r="H450" s="125" t="n"/>
      <c r="I450" s="125" t="n"/>
      <c r="J450" s="122">
        <f>IF($A450="","",$F450*$G450)</f>
        <v/>
      </c>
    </row>
    <row r="451" ht="15" customHeight="1" s="80">
      <c r="A451" s="125" t="n"/>
      <c r="B451" s="125" t="n"/>
      <c r="C451" s="125" t="n"/>
      <c r="D451" s="130" t="n"/>
      <c r="E451" s="130" t="n"/>
      <c r="F451" s="121" t="n"/>
      <c r="G451" s="129" t="n"/>
      <c r="H451" s="125" t="n"/>
      <c r="I451" s="125" t="n"/>
      <c r="J451" s="122">
        <f>IF($A451="","",$F451*$G451)</f>
        <v/>
      </c>
    </row>
    <row r="452" ht="15" customHeight="1" s="80">
      <c r="A452" s="125" t="n"/>
      <c r="B452" s="125" t="n"/>
      <c r="C452" s="125" t="n"/>
      <c r="D452" s="130" t="n"/>
      <c r="E452" s="130" t="n"/>
      <c r="F452" s="121" t="n"/>
      <c r="G452" s="129" t="n"/>
      <c r="H452" s="125" t="n"/>
      <c r="I452" s="125" t="n"/>
      <c r="J452" s="122">
        <f>IF($A452="","",$F452*$G452)</f>
        <v/>
      </c>
    </row>
    <row r="453" ht="15" customHeight="1" s="80">
      <c r="A453" s="125" t="n"/>
      <c r="B453" s="125" t="n"/>
      <c r="C453" s="125" t="n"/>
      <c r="D453" s="130" t="n"/>
      <c r="E453" s="130" t="n"/>
      <c r="F453" s="121" t="n"/>
      <c r="G453" s="129" t="n"/>
      <c r="H453" s="125" t="n"/>
      <c r="I453" s="125" t="n"/>
      <c r="J453" s="122">
        <f>IF($A453="","",$F453*$G453)</f>
        <v/>
      </c>
    </row>
    <row r="454" ht="15" customHeight="1" s="80">
      <c r="A454" s="125" t="n"/>
      <c r="B454" s="125" t="n"/>
      <c r="C454" s="125" t="n"/>
      <c r="D454" s="130" t="n"/>
      <c r="E454" s="130" t="n"/>
      <c r="F454" s="121" t="n"/>
      <c r="G454" s="129" t="n"/>
      <c r="H454" s="125" t="n"/>
      <c r="I454" s="125" t="n"/>
      <c r="J454" s="122">
        <f>IF($A454="","",$F454*$G454)</f>
        <v/>
      </c>
    </row>
    <row r="455" ht="15" customHeight="1" s="80">
      <c r="A455" s="125" t="n"/>
      <c r="B455" s="125" t="n"/>
      <c r="C455" s="125" t="n"/>
      <c r="D455" s="130" t="n"/>
      <c r="E455" s="130" t="n"/>
      <c r="F455" s="121" t="n"/>
      <c r="G455" s="129" t="n"/>
      <c r="H455" s="125" t="n"/>
      <c r="I455" s="125" t="n"/>
      <c r="J455" s="122">
        <f>IF($A455="","",$F455*$G455)</f>
        <v/>
      </c>
    </row>
    <row r="456" ht="15" customHeight="1" s="80">
      <c r="A456" s="125" t="n"/>
      <c r="B456" s="125" t="n"/>
      <c r="C456" s="125" t="n"/>
      <c r="D456" s="130" t="n"/>
      <c r="E456" s="130" t="n"/>
      <c r="F456" s="121" t="n"/>
      <c r="G456" s="129" t="n"/>
      <c r="H456" s="125" t="n"/>
      <c r="I456" s="125" t="n"/>
      <c r="J456" s="122">
        <f>IF($A456="","",$F456*$G456)</f>
        <v/>
      </c>
    </row>
    <row r="457" ht="15" customHeight="1" s="80">
      <c r="A457" s="125" t="n"/>
      <c r="B457" s="125" t="n"/>
      <c r="C457" s="125" t="n"/>
      <c r="D457" s="130" t="n"/>
      <c r="E457" s="130" t="n"/>
      <c r="F457" s="121" t="n"/>
      <c r="G457" s="129" t="n"/>
      <c r="H457" s="125" t="n"/>
      <c r="I457" s="125" t="n"/>
      <c r="J457" s="122">
        <f>IF($A457="","",$F457*$G457)</f>
        <v/>
      </c>
    </row>
    <row r="458" ht="15" customHeight="1" s="80">
      <c r="A458" s="125" t="n"/>
      <c r="B458" s="125" t="n"/>
      <c r="C458" s="125" t="n"/>
      <c r="D458" s="130" t="n"/>
      <c r="E458" s="130" t="n"/>
      <c r="F458" s="121" t="n"/>
      <c r="G458" s="129" t="n"/>
      <c r="H458" s="125" t="n"/>
      <c r="I458" s="125" t="n"/>
      <c r="J458" s="122">
        <f>IF($A458="","",$F458*$G458)</f>
        <v/>
      </c>
    </row>
    <row r="459" ht="15" customHeight="1" s="80">
      <c r="A459" s="125" t="n"/>
      <c r="B459" s="125" t="n"/>
      <c r="C459" s="125" t="n"/>
      <c r="D459" s="130" t="n"/>
      <c r="E459" s="130" t="n"/>
      <c r="F459" s="121" t="n"/>
      <c r="G459" s="129" t="n"/>
      <c r="H459" s="125" t="n"/>
      <c r="I459" s="125" t="n"/>
      <c r="J459" s="122">
        <f>IF($A459="","",$F459*$G459)</f>
        <v/>
      </c>
    </row>
    <row r="460" ht="15" customHeight="1" s="80">
      <c r="A460" s="125" t="n"/>
      <c r="B460" s="125" t="n"/>
      <c r="C460" s="125" t="n"/>
      <c r="D460" s="130" t="n"/>
      <c r="E460" s="130" t="n"/>
      <c r="F460" s="121" t="n"/>
      <c r="G460" s="129" t="n"/>
      <c r="H460" s="125" t="n"/>
      <c r="I460" s="125" t="n"/>
      <c r="J460" s="122">
        <f>IF($A460="","",$F460*$G460)</f>
        <v/>
      </c>
    </row>
    <row r="461" ht="15" customHeight="1" s="80">
      <c r="A461" s="125" t="n"/>
      <c r="B461" s="125" t="n"/>
      <c r="C461" s="125" t="n"/>
      <c r="D461" s="130" t="n"/>
      <c r="E461" s="130" t="n"/>
      <c r="F461" s="121" t="n"/>
      <c r="G461" s="129" t="n"/>
      <c r="H461" s="125" t="n"/>
      <c r="I461" s="125" t="n"/>
      <c r="J461" s="122">
        <f>IF($A461="","",$F461*$G461)</f>
        <v/>
      </c>
    </row>
    <row r="462" ht="15" customHeight="1" s="80">
      <c r="A462" s="125" t="n"/>
      <c r="B462" s="125" t="n"/>
      <c r="C462" s="125" t="n"/>
      <c r="D462" s="130" t="n"/>
      <c r="E462" s="130" t="n"/>
      <c r="F462" s="121" t="n"/>
      <c r="G462" s="129" t="n"/>
      <c r="H462" s="125" t="n"/>
      <c r="I462" s="125" t="n"/>
      <c r="J462" s="122">
        <f>IF($A462="","",$F462*$G462)</f>
        <v/>
      </c>
    </row>
    <row r="463" ht="15" customHeight="1" s="80">
      <c r="A463" s="125" t="n"/>
      <c r="B463" s="125" t="n"/>
      <c r="C463" s="125" t="n"/>
      <c r="D463" s="130" t="n"/>
      <c r="E463" s="130" t="n"/>
      <c r="F463" s="121" t="n"/>
      <c r="G463" s="129" t="n"/>
      <c r="H463" s="125" t="n"/>
      <c r="I463" s="125" t="n"/>
      <c r="J463" s="122">
        <f>IF($A463="","",$F463*$G463)</f>
        <v/>
      </c>
    </row>
    <row r="464" ht="15" customHeight="1" s="80">
      <c r="A464" s="125" t="n"/>
      <c r="B464" s="125" t="n"/>
      <c r="C464" s="125" t="n"/>
      <c r="D464" s="130" t="n"/>
      <c r="E464" s="130" t="n"/>
      <c r="F464" s="121" t="n"/>
      <c r="G464" s="129" t="n"/>
      <c r="H464" s="125" t="n"/>
      <c r="I464" s="125" t="n"/>
      <c r="J464" s="122">
        <f>IF($A464="","",$F464*$G464)</f>
        <v/>
      </c>
    </row>
    <row r="465" ht="15" customHeight="1" s="80">
      <c r="A465" s="125" t="n"/>
      <c r="B465" s="125" t="n"/>
      <c r="C465" s="125" t="n"/>
      <c r="D465" s="130" t="n"/>
      <c r="E465" s="130" t="n"/>
      <c r="F465" s="121" t="n"/>
      <c r="G465" s="129" t="n"/>
      <c r="H465" s="125" t="n"/>
      <c r="I465" s="125" t="n"/>
      <c r="J465" s="122">
        <f>IF($A465="","",$F465*$G465)</f>
        <v/>
      </c>
    </row>
    <row r="466" ht="15" customHeight="1" s="80">
      <c r="A466" s="125" t="n"/>
      <c r="B466" s="125" t="n"/>
      <c r="C466" s="125" t="n"/>
      <c r="D466" s="130" t="n"/>
      <c r="E466" s="130" t="n"/>
      <c r="F466" s="121" t="n"/>
      <c r="G466" s="129" t="n"/>
      <c r="H466" s="125" t="n"/>
      <c r="I466" s="125" t="n"/>
      <c r="J466" s="122">
        <f>IF($A466="","",$F466*$G466)</f>
        <v/>
      </c>
    </row>
    <row r="467" ht="15" customHeight="1" s="80">
      <c r="A467" s="125" t="n"/>
      <c r="B467" s="125" t="n"/>
      <c r="C467" s="125" t="n"/>
      <c r="D467" s="130" t="n"/>
      <c r="E467" s="130" t="n"/>
      <c r="F467" s="121" t="n"/>
      <c r="G467" s="129" t="n"/>
      <c r="H467" s="125" t="n"/>
      <c r="I467" s="125" t="n"/>
      <c r="J467" s="122">
        <f>IF($A467="","",$F467*$G467)</f>
        <v/>
      </c>
    </row>
    <row r="468" ht="15" customHeight="1" s="80">
      <c r="A468" s="125" t="n"/>
      <c r="B468" s="125" t="n"/>
      <c r="C468" s="125" t="n"/>
      <c r="D468" s="130" t="n"/>
      <c r="E468" s="130" t="n"/>
      <c r="F468" s="121" t="n"/>
      <c r="G468" s="129" t="n"/>
      <c r="H468" s="125" t="n"/>
      <c r="I468" s="125" t="n"/>
      <c r="J468" s="122">
        <f>IF($A468="","",$F468*$G468)</f>
        <v/>
      </c>
    </row>
    <row r="469" ht="15" customHeight="1" s="80">
      <c r="A469" s="125" t="n"/>
      <c r="B469" s="125" t="n"/>
      <c r="C469" s="125" t="n"/>
      <c r="D469" s="130" t="n"/>
      <c r="E469" s="130" t="n"/>
      <c r="F469" s="121" t="n"/>
      <c r="G469" s="129" t="n"/>
      <c r="H469" s="125" t="n"/>
      <c r="I469" s="125" t="n"/>
      <c r="J469" s="122">
        <f>IF($A469="","",$F469*$G469)</f>
        <v/>
      </c>
    </row>
    <row r="470" ht="15" customHeight="1" s="80">
      <c r="A470" s="125" t="n"/>
      <c r="B470" s="125" t="n"/>
      <c r="C470" s="125" t="n"/>
      <c r="D470" s="130" t="n"/>
      <c r="E470" s="130" t="n"/>
      <c r="F470" s="121" t="n"/>
      <c r="G470" s="129" t="n"/>
      <c r="H470" s="125" t="n"/>
      <c r="I470" s="125" t="n"/>
      <c r="J470" s="122">
        <f>IF($A470="","",$F470*$G470)</f>
        <v/>
      </c>
    </row>
    <row r="471" ht="15" customHeight="1" s="80">
      <c r="A471" s="125" t="n"/>
      <c r="B471" s="125" t="n"/>
      <c r="C471" s="125" t="n"/>
      <c r="D471" s="130" t="n"/>
      <c r="E471" s="130" t="n"/>
      <c r="F471" s="121" t="n"/>
      <c r="G471" s="129" t="n"/>
      <c r="H471" s="125" t="n"/>
      <c r="I471" s="125" t="n"/>
      <c r="J471" s="122">
        <f>IF($A471="","",$F471*$G471)</f>
        <v/>
      </c>
    </row>
    <row r="472" ht="15" customHeight="1" s="80">
      <c r="A472" s="125" t="n"/>
      <c r="B472" s="125" t="n"/>
      <c r="C472" s="125" t="n"/>
      <c r="D472" s="130" t="n"/>
      <c r="E472" s="130" t="n"/>
      <c r="F472" s="121" t="n"/>
      <c r="G472" s="129" t="n"/>
      <c r="H472" s="125" t="n"/>
      <c r="I472" s="125" t="n"/>
      <c r="J472" s="122">
        <f>IF($A472="","",$F472*$G472)</f>
        <v/>
      </c>
    </row>
    <row r="473" ht="15" customHeight="1" s="80">
      <c r="A473" s="125" t="n"/>
      <c r="B473" s="125" t="n"/>
      <c r="C473" s="125" t="n"/>
      <c r="D473" s="130" t="n"/>
      <c r="E473" s="130" t="n"/>
      <c r="F473" s="121" t="n"/>
      <c r="G473" s="129" t="n"/>
      <c r="H473" s="125" t="n"/>
      <c r="I473" s="125" t="n"/>
      <c r="J473" s="122">
        <f>IF($A473="","",$F473*$G473)</f>
        <v/>
      </c>
    </row>
    <row r="474" ht="15" customHeight="1" s="80">
      <c r="A474" s="125" t="n"/>
      <c r="B474" s="125" t="n"/>
      <c r="C474" s="125" t="n"/>
      <c r="D474" s="130" t="n"/>
      <c r="E474" s="130" t="n"/>
      <c r="F474" s="121" t="n"/>
      <c r="G474" s="129" t="n"/>
      <c r="H474" s="125" t="n"/>
      <c r="I474" s="125" t="n"/>
      <c r="J474" s="122">
        <f>IF($A474="","",$F474*$G474)</f>
        <v/>
      </c>
    </row>
    <row r="475" ht="15" customHeight="1" s="80">
      <c r="A475" s="125" t="n"/>
      <c r="B475" s="125" t="n"/>
      <c r="C475" s="125" t="n"/>
      <c r="D475" s="130" t="n"/>
      <c r="E475" s="130" t="n"/>
      <c r="F475" s="121" t="n"/>
      <c r="G475" s="129" t="n"/>
      <c r="H475" s="125" t="n"/>
      <c r="I475" s="125" t="n"/>
      <c r="J475" s="122">
        <f>IF($A475="","",$F475*$G475)</f>
        <v/>
      </c>
    </row>
    <row r="476" ht="15" customHeight="1" s="80">
      <c r="A476" s="125" t="n"/>
      <c r="B476" s="125" t="n"/>
      <c r="C476" s="125" t="n"/>
      <c r="D476" s="130" t="n"/>
      <c r="E476" s="130" t="n"/>
      <c r="F476" s="121" t="n"/>
      <c r="G476" s="129" t="n"/>
      <c r="H476" s="125" t="n"/>
      <c r="I476" s="125" t="n"/>
      <c r="J476" s="122">
        <f>IF($A476="","",$F476*$G476)</f>
        <v/>
      </c>
    </row>
    <row r="477" ht="15" customHeight="1" s="80">
      <c r="A477" s="125" t="n"/>
      <c r="B477" s="125" t="n"/>
      <c r="C477" s="125" t="n"/>
      <c r="D477" s="130" t="n"/>
      <c r="E477" s="130" t="n"/>
      <c r="F477" s="121" t="n"/>
      <c r="G477" s="129" t="n"/>
      <c r="H477" s="125" t="n"/>
      <c r="I477" s="125" t="n"/>
      <c r="J477" s="122">
        <f>IF($A477="","",$F477*$G477)</f>
        <v/>
      </c>
    </row>
    <row r="478" ht="15" customHeight="1" s="80">
      <c r="A478" s="125" t="n"/>
      <c r="B478" s="125" t="n"/>
      <c r="C478" s="125" t="n"/>
      <c r="D478" s="130" t="n"/>
      <c r="E478" s="130" t="n"/>
      <c r="F478" s="121" t="n"/>
      <c r="G478" s="129" t="n"/>
      <c r="H478" s="125" t="n"/>
      <c r="I478" s="125" t="n"/>
      <c r="J478" s="122">
        <f>IF($A478="","",$F478*$G478)</f>
        <v/>
      </c>
    </row>
    <row r="479" ht="15" customHeight="1" s="80">
      <c r="A479" s="125" t="n"/>
      <c r="B479" s="125" t="n"/>
      <c r="C479" s="125" t="n"/>
      <c r="D479" s="130" t="n"/>
      <c r="E479" s="130" t="n"/>
      <c r="F479" s="121" t="n"/>
      <c r="G479" s="129" t="n"/>
      <c r="H479" s="125" t="n"/>
      <c r="I479" s="125" t="n"/>
      <c r="J479" s="122">
        <f>IF($A479="","",$F479*$G479)</f>
        <v/>
      </c>
    </row>
    <row r="480" ht="15" customHeight="1" s="80">
      <c r="A480" s="125" t="n"/>
      <c r="B480" s="125" t="n"/>
      <c r="C480" s="125" t="n"/>
      <c r="D480" s="130" t="n"/>
      <c r="E480" s="130" t="n"/>
      <c r="F480" s="121" t="n"/>
      <c r="G480" s="129" t="n"/>
      <c r="H480" s="125" t="n"/>
      <c r="I480" s="125" t="n"/>
      <c r="J480" s="122">
        <f>IF($A480="","",$F480*$G480)</f>
        <v/>
      </c>
    </row>
    <row r="481" ht="15" customHeight="1" s="80">
      <c r="A481" s="125" t="n"/>
      <c r="B481" s="125" t="n"/>
      <c r="C481" s="125" t="n"/>
      <c r="D481" s="130" t="n"/>
      <c r="E481" s="130" t="n"/>
      <c r="F481" s="121" t="n"/>
      <c r="G481" s="129" t="n"/>
      <c r="H481" s="125" t="n"/>
      <c r="I481" s="125" t="n"/>
      <c r="J481" s="122">
        <f>IF($A481="","",$F481*$G481)</f>
        <v/>
      </c>
    </row>
    <row r="482" ht="15" customHeight="1" s="80">
      <c r="A482" s="125" t="n"/>
      <c r="B482" s="125" t="n"/>
      <c r="C482" s="125" t="n"/>
      <c r="D482" s="130" t="n"/>
      <c r="E482" s="130" t="n"/>
      <c r="F482" s="121" t="n"/>
      <c r="G482" s="129" t="n"/>
      <c r="H482" s="125" t="n"/>
      <c r="I482" s="125" t="n"/>
      <c r="J482" s="122">
        <f>IF($A482="","",$F482*$G482)</f>
        <v/>
      </c>
    </row>
    <row r="483" ht="15" customHeight="1" s="80">
      <c r="A483" s="125" t="n"/>
      <c r="B483" s="125" t="n"/>
      <c r="C483" s="125" t="n"/>
      <c r="D483" s="130" t="n"/>
      <c r="E483" s="130" t="n"/>
      <c r="F483" s="121" t="n"/>
      <c r="G483" s="129" t="n"/>
      <c r="H483" s="125" t="n"/>
      <c r="I483" s="125" t="n"/>
      <c r="J483" s="122">
        <f>IF($A483="","",$F483*$G483)</f>
        <v/>
      </c>
    </row>
    <row r="484" ht="15" customHeight="1" s="80">
      <c r="A484" s="125" t="n"/>
      <c r="B484" s="125" t="n"/>
      <c r="C484" s="125" t="n"/>
      <c r="D484" s="130" t="n"/>
      <c r="E484" s="130" t="n"/>
      <c r="F484" s="121" t="n"/>
      <c r="G484" s="129" t="n"/>
      <c r="H484" s="125" t="n"/>
      <c r="I484" s="125" t="n"/>
      <c r="J484" s="122">
        <f>IF($A484="","",$F484*$G484)</f>
        <v/>
      </c>
    </row>
    <row r="485" ht="15" customHeight="1" s="80">
      <c r="A485" s="125" t="n"/>
      <c r="B485" s="125" t="n"/>
      <c r="C485" s="125" t="n"/>
      <c r="D485" s="130" t="n"/>
      <c r="E485" s="130" t="n"/>
      <c r="F485" s="121" t="n"/>
      <c r="G485" s="129" t="n"/>
      <c r="H485" s="125" t="n"/>
      <c r="I485" s="125" t="n"/>
      <c r="J485" s="122">
        <f>IF($A485="","",$F485*$G485)</f>
        <v/>
      </c>
    </row>
    <row r="486" ht="15" customHeight="1" s="80">
      <c r="A486" s="125" t="n"/>
      <c r="B486" s="125" t="n"/>
      <c r="C486" s="125" t="n"/>
      <c r="D486" s="130" t="n"/>
      <c r="E486" s="130" t="n"/>
      <c r="F486" s="121" t="n"/>
      <c r="G486" s="129" t="n"/>
      <c r="H486" s="125" t="n"/>
      <c r="I486" s="125" t="n"/>
      <c r="J486" s="122">
        <f>IF($A486="","",$F486*$G486)</f>
        <v/>
      </c>
    </row>
    <row r="487" ht="15" customHeight="1" s="80">
      <c r="A487" s="125" t="n"/>
      <c r="B487" s="125" t="n"/>
      <c r="C487" s="125" t="n"/>
      <c r="D487" s="130" t="n"/>
      <c r="E487" s="130" t="n"/>
      <c r="F487" s="121" t="n"/>
      <c r="G487" s="129" t="n"/>
      <c r="H487" s="125" t="n"/>
      <c r="I487" s="125" t="n"/>
      <c r="J487" s="122">
        <f>IF($A487="","",$F487*$G487)</f>
        <v/>
      </c>
    </row>
    <row r="488" ht="15" customHeight="1" s="80">
      <c r="A488" s="125" t="n"/>
      <c r="B488" s="125" t="n"/>
      <c r="C488" s="125" t="n"/>
      <c r="D488" s="130" t="n"/>
      <c r="E488" s="130" t="n"/>
      <c r="F488" s="121" t="n"/>
      <c r="G488" s="129" t="n"/>
      <c r="H488" s="125" t="n"/>
      <c r="I488" s="125" t="n"/>
      <c r="J488" s="122">
        <f>IF($A488="","",$F488*$G488)</f>
        <v/>
      </c>
    </row>
    <row r="489" ht="15" customHeight="1" s="80">
      <c r="A489" s="125" t="n"/>
      <c r="B489" s="125" t="n"/>
      <c r="C489" s="125" t="n"/>
      <c r="D489" s="130" t="n"/>
      <c r="E489" s="130" t="n"/>
      <c r="F489" s="121" t="n"/>
      <c r="G489" s="129" t="n"/>
      <c r="H489" s="125" t="n"/>
      <c r="I489" s="125" t="n"/>
      <c r="J489" s="122">
        <f>IF($A489="","",$F489*$G489)</f>
        <v/>
      </c>
    </row>
    <row r="490" ht="15" customHeight="1" s="80">
      <c r="A490" s="125" t="n"/>
      <c r="B490" s="125" t="n"/>
      <c r="C490" s="125" t="n"/>
      <c r="D490" s="130" t="n"/>
      <c r="E490" s="130" t="n"/>
      <c r="F490" s="121" t="n"/>
      <c r="G490" s="129" t="n"/>
      <c r="H490" s="125" t="n"/>
      <c r="I490" s="125" t="n"/>
      <c r="J490" s="122">
        <f>IF($A490="","",$F490*$G490)</f>
        <v/>
      </c>
    </row>
    <row r="491" ht="15" customHeight="1" s="80">
      <c r="A491" s="125" t="n"/>
      <c r="B491" s="125" t="n"/>
      <c r="C491" s="125" t="n"/>
      <c r="D491" s="130" t="n"/>
      <c r="E491" s="130" t="n"/>
      <c r="F491" s="121" t="n"/>
      <c r="G491" s="129" t="n"/>
      <c r="H491" s="125" t="n"/>
      <c r="I491" s="125" t="n"/>
      <c r="J491" s="122">
        <f>IF($A491="","",$F491*$G491)</f>
        <v/>
      </c>
    </row>
    <row r="492" ht="15" customHeight="1" s="80">
      <c r="A492" s="125" t="n"/>
      <c r="B492" s="125" t="n"/>
      <c r="C492" s="125" t="n"/>
      <c r="D492" s="130" t="n"/>
      <c r="E492" s="130" t="n"/>
      <c r="F492" s="121" t="n"/>
      <c r="G492" s="129" t="n"/>
      <c r="H492" s="125" t="n"/>
      <c r="I492" s="125" t="n"/>
      <c r="J492" s="122">
        <f>IF($A492="","",$F492*$G492)</f>
        <v/>
      </c>
    </row>
    <row r="493" ht="15" customHeight="1" s="80">
      <c r="A493" s="125" t="n"/>
      <c r="B493" s="125" t="n"/>
      <c r="C493" s="125" t="n"/>
      <c r="D493" s="130" t="n"/>
      <c r="E493" s="130" t="n"/>
      <c r="F493" s="121" t="n"/>
      <c r="G493" s="129" t="n"/>
      <c r="H493" s="125" t="n"/>
      <c r="I493" s="125" t="n"/>
      <c r="J493" s="122">
        <f>IF($A493="","",$F493*$G493)</f>
        <v/>
      </c>
    </row>
    <row r="494" ht="15" customHeight="1" s="80">
      <c r="A494" s="125" t="n"/>
      <c r="B494" s="125" t="n"/>
      <c r="C494" s="125" t="n"/>
      <c r="D494" s="130" t="n"/>
      <c r="E494" s="130" t="n"/>
      <c r="F494" s="121" t="n"/>
      <c r="G494" s="129" t="n"/>
      <c r="H494" s="125" t="n"/>
      <c r="I494" s="125" t="n"/>
      <c r="J494" s="122">
        <f>IF($A494="","",$F494*$G494)</f>
        <v/>
      </c>
    </row>
    <row r="495" ht="15" customHeight="1" s="80">
      <c r="A495" s="125" t="n"/>
      <c r="B495" s="125" t="n"/>
      <c r="C495" s="125" t="n"/>
      <c r="D495" s="130" t="n"/>
      <c r="E495" s="130" t="n"/>
      <c r="F495" s="121" t="n"/>
      <c r="G495" s="129" t="n"/>
      <c r="H495" s="125" t="n"/>
      <c r="I495" s="125" t="n"/>
      <c r="J495" s="122">
        <f>IF($A495="","",$F495*$G495)</f>
        <v/>
      </c>
    </row>
    <row r="496" ht="15" customHeight="1" s="80">
      <c r="A496" s="125" t="n"/>
      <c r="B496" s="125" t="n"/>
      <c r="C496" s="125" t="n"/>
      <c r="D496" s="130" t="n"/>
      <c r="E496" s="130" t="n"/>
      <c r="F496" s="121" t="n"/>
      <c r="G496" s="129" t="n"/>
      <c r="H496" s="125" t="n"/>
      <c r="I496" s="125" t="n"/>
      <c r="J496" s="122">
        <f>IF($A496="","",$F496*$G496)</f>
        <v/>
      </c>
    </row>
    <row r="497" ht="15" customHeight="1" s="80">
      <c r="A497" s="125" t="n"/>
      <c r="B497" s="125" t="n"/>
      <c r="C497" s="125" t="n"/>
      <c r="D497" s="130" t="n"/>
      <c r="E497" s="130" t="n"/>
      <c r="F497" s="121" t="n"/>
      <c r="G497" s="129" t="n"/>
      <c r="H497" s="125" t="n"/>
      <c r="I497" s="125" t="n"/>
      <c r="J497" s="122">
        <f>IF($A497="","",$F497*$G497)</f>
        <v/>
      </c>
    </row>
    <row r="498" ht="15" customHeight="1" s="80">
      <c r="A498" s="125" t="n"/>
      <c r="B498" s="125" t="n"/>
      <c r="C498" s="125" t="n"/>
      <c r="D498" s="130" t="n"/>
      <c r="E498" s="130" t="n"/>
      <c r="F498" s="121" t="n"/>
      <c r="G498" s="129" t="n"/>
      <c r="H498" s="125" t="n"/>
      <c r="I498" s="125" t="n"/>
      <c r="J498" s="122">
        <f>IF($A498="","",$F498*$G498)</f>
        <v/>
      </c>
    </row>
    <row r="499" ht="15" customHeight="1" s="80">
      <c r="A499" s="125" t="n"/>
      <c r="B499" s="125" t="n"/>
      <c r="C499" s="125" t="n"/>
      <c r="D499" s="130" t="n"/>
      <c r="E499" s="130" t="n"/>
      <c r="F499" s="121" t="n"/>
      <c r="G499" s="129" t="n"/>
      <c r="H499" s="125" t="n"/>
      <c r="I499" s="125" t="n"/>
      <c r="J499" s="122">
        <f>IF($A499="","",$F499*$G499)</f>
        <v/>
      </c>
    </row>
    <row r="500" ht="15" customHeight="1" s="80">
      <c r="A500" s="125" t="n"/>
      <c r="B500" s="125" t="n"/>
      <c r="C500" s="125" t="n"/>
      <c r="D500" s="130" t="n"/>
      <c r="E500" s="130" t="n"/>
      <c r="F500" s="121" t="n"/>
      <c r="G500" s="129" t="n"/>
      <c r="H500" s="125" t="n"/>
      <c r="I500" s="125" t="n"/>
      <c r="J500" s="122">
        <f>IF($A500="","",$F500*$G500)</f>
        <v/>
      </c>
    </row>
    <row r="501" ht="15" customHeight="1" s="80">
      <c r="A501" s="125" t="n"/>
      <c r="B501" s="125" t="n"/>
      <c r="C501" s="125" t="n"/>
      <c r="D501" s="130" t="n"/>
      <c r="E501" s="130" t="n"/>
      <c r="F501" s="121" t="n"/>
      <c r="G501" s="129" t="n"/>
      <c r="H501" s="125" t="n"/>
      <c r="I501" s="125" t="n"/>
      <c r="J501" s="122">
        <f>IF($A501="","",$F501*$G501)</f>
        <v/>
      </c>
    </row>
    <row r="502" ht="15" customHeight="1" s="80">
      <c r="A502" s="125" t="n"/>
      <c r="B502" s="125" t="n"/>
      <c r="C502" s="125" t="n"/>
      <c r="D502" s="130" t="n"/>
      <c r="E502" s="130" t="n"/>
      <c r="F502" s="121" t="n"/>
      <c r="G502" s="129" t="n"/>
      <c r="H502" s="125" t="n"/>
      <c r="I502" s="125" t="n"/>
      <c r="J502" s="122">
        <f>IF($A502="","",$F502*$G502)</f>
        <v/>
      </c>
    </row>
    <row r="503" ht="15" customHeight="1" s="80">
      <c r="A503" s="125" t="n"/>
      <c r="B503" s="125" t="n"/>
      <c r="C503" s="125" t="n"/>
      <c r="D503" s="130" t="n"/>
      <c r="E503" s="130" t="n"/>
      <c r="F503" s="121" t="n"/>
      <c r="G503" s="129" t="n"/>
      <c r="H503" s="125" t="n"/>
      <c r="I503" s="125" t="n"/>
      <c r="J503" s="122">
        <f>IF($A503="","",$F503*$G503)</f>
        <v/>
      </c>
    </row>
    <row r="504" ht="15" customHeight="1" s="80">
      <c r="A504" s="125" t="n"/>
      <c r="B504" s="125" t="n"/>
      <c r="C504" s="125" t="n"/>
      <c r="D504" s="130" t="n"/>
      <c r="E504" s="130" t="n"/>
      <c r="F504" s="121" t="n"/>
      <c r="G504" s="129" t="n"/>
      <c r="H504" s="125" t="n"/>
      <c r="I504" s="125" t="n"/>
      <c r="J504" s="122">
        <f>IF($A504="","",$F504*$G504)</f>
        <v/>
      </c>
    </row>
    <row r="505" ht="15" customHeight="1" s="80">
      <c r="A505" s="125" t="n"/>
      <c r="B505" s="125" t="n"/>
      <c r="C505" s="125" t="n"/>
      <c r="D505" s="130" t="n"/>
      <c r="E505" s="130" t="n"/>
      <c r="F505" s="121" t="n"/>
      <c r="G505" s="129" t="n"/>
      <c r="H505" s="125" t="n"/>
      <c r="I505" s="125" t="n"/>
      <c r="J505" s="122">
        <f>IF($A505="","",$F505*$G505)</f>
        <v/>
      </c>
    </row>
    <row r="506" ht="15" customHeight="1" s="80">
      <c r="A506" s="125" t="n"/>
      <c r="B506" s="125" t="n"/>
      <c r="C506" s="125" t="n"/>
      <c r="D506" s="130" t="n"/>
      <c r="E506" s="130" t="n"/>
      <c r="F506" s="121" t="n"/>
      <c r="G506" s="129" t="n"/>
      <c r="H506" s="125" t="n"/>
      <c r="I506" s="125" t="n"/>
      <c r="J506" s="122">
        <f>IF($A506="","",$F506*$G506)</f>
        <v/>
      </c>
    </row>
    <row r="507" ht="15" customHeight="1" s="80">
      <c r="A507" s="125" t="n"/>
      <c r="B507" s="125" t="n"/>
      <c r="C507" s="125" t="n"/>
      <c r="D507" s="130" t="n"/>
      <c r="E507" s="130" t="n"/>
      <c r="F507" s="121" t="n"/>
      <c r="G507" s="129" t="n"/>
      <c r="H507" s="125" t="n"/>
      <c r="I507" s="125" t="n"/>
      <c r="J507" s="122">
        <f>IF($A507="","",$F507*$G507)</f>
        <v/>
      </c>
    </row>
    <row r="508" ht="15" customHeight="1" s="80">
      <c r="A508" s="125" t="n"/>
      <c r="B508" s="125" t="n"/>
      <c r="C508" s="125" t="n"/>
      <c r="D508" s="130" t="n"/>
      <c r="E508" s="130" t="n"/>
      <c r="F508" s="121" t="n"/>
      <c r="G508" s="129" t="n"/>
      <c r="H508" s="125" t="n"/>
      <c r="I508" s="125" t="n"/>
      <c r="J508" s="122">
        <f>IF($A508="","",$F508*$G508)</f>
        <v/>
      </c>
    </row>
    <row r="509" ht="15" customHeight="1" s="80">
      <c r="A509" s="125" t="n"/>
      <c r="B509" s="125" t="n"/>
      <c r="C509" s="125" t="n"/>
      <c r="D509" s="130" t="n"/>
      <c r="E509" s="130" t="n"/>
      <c r="F509" s="121" t="n"/>
      <c r="G509" s="129" t="n"/>
      <c r="H509" s="125" t="n"/>
      <c r="I509" s="125" t="n"/>
      <c r="J509" s="122">
        <f>IF($A509="","",$F509*$G509)</f>
        <v/>
      </c>
    </row>
    <row r="510" ht="15" customHeight="1" s="80">
      <c r="A510" s="125" t="n"/>
      <c r="B510" s="125" t="n"/>
      <c r="C510" s="125" t="n"/>
      <c r="D510" s="130" t="n"/>
      <c r="E510" s="130" t="n"/>
      <c r="F510" s="121" t="n"/>
      <c r="G510" s="129" t="n"/>
      <c r="H510" s="125" t="n"/>
      <c r="I510" s="125" t="n"/>
      <c r="J510" s="122">
        <f>IF($A510="","",$F510*$G510)</f>
        <v/>
      </c>
    </row>
    <row r="511" ht="15" customHeight="1" s="80">
      <c r="A511" s="125" t="n"/>
      <c r="B511" s="125" t="n"/>
      <c r="C511" s="125" t="n"/>
      <c r="D511" s="130" t="n"/>
      <c r="E511" s="130" t="n"/>
      <c r="F511" s="121" t="n"/>
      <c r="G511" s="129" t="n"/>
      <c r="H511" s="125" t="n"/>
      <c r="I511" s="125" t="n"/>
      <c r="J511" s="122">
        <f>IF($A511="","",$F511*$G511)</f>
        <v/>
      </c>
    </row>
    <row r="512" ht="15" customHeight="1" s="80">
      <c r="A512" s="125" t="n"/>
      <c r="B512" s="125" t="n"/>
      <c r="C512" s="125" t="n"/>
      <c r="D512" s="130" t="n"/>
      <c r="E512" s="130" t="n"/>
      <c r="F512" s="121" t="n"/>
      <c r="G512" s="129" t="n"/>
      <c r="H512" s="125" t="n"/>
      <c r="I512" s="125" t="n"/>
      <c r="J512" s="122">
        <f>IF($A512="","",$F512*$G512)</f>
        <v/>
      </c>
    </row>
    <row r="513" ht="15" customHeight="1" s="80">
      <c r="A513" s="125" t="n"/>
      <c r="B513" s="125" t="n"/>
      <c r="C513" s="125" t="n"/>
      <c r="D513" s="130" t="n"/>
      <c r="E513" s="130" t="n"/>
      <c r="F513" s="121" t="n"/>
      <c r="G513" s="129" t="n"/>
      <c r="H513" s="125" t="n"/>
      <c r="I513" s="125" t="n"/>
      <c r="J513" s="122">
        <f>IF($A513="","",$F513*$G513)</f>
        <v/>
      </c>
    </row>
    <row r="514" ht="15" customHeight="1" s="80">
      <c r="A514" s="125" t="n"/>
      <c r="B514" s="125" t="n"/>
      <c r="C514" s="125" t="n"/>
      <c r="D514" s="130" t="n"/>
      <c r="E514" s="130" t="n"/>
      <c r="F514" s="121" t="n"/>
      <c r="G514" s="129" t="n"/>
      <c r="H514" s="125" t="n"/>
      <c r="I514" s="125" t="n"/>
      <c r="J514" s="122">
        <f>IF($A514="","",$F514*$G514)</f>
        <v/>
      </c>
    </row>
    <row r="515" ht="15" customHeight="1" s="80">
      <c r="A515" s="125" t="n"/>
      <c r="B515" s="125" t="n"/>
      <c r="C515" s="125" t="n"/>
      <c r="D515" s="130" t="n"/>
      <c r="E515" s="130" t="n"/>
      <c r="F515" s="121" t="n"/>
      <c r="G515" s="129" t="n"/>
      <c r="H515" s="125" t="n"/>
      <c r="I515" s="125" t="n"/>
      <c r="J515" s="122">
        <f>IF($A515="","",$F515*$G515)</f>
        <v/>
      </c>
    </row>
    <row r="516" ht="15" customHeight="1" s="80">
      <c r="A516" s="125" t="n"/>
      <c r="B516" s="125" t="n"/>
      <c r="C516" s="125" t="n"/>
      <c r="D516" s="130" t="n"/>
      <c r="E516" s="130" t="n"/>
      <c r="F516" s="121" t="n"/>
      <c r="G516" s="129" t="n"/>
      <c r="H516" s="125" t="n"/>
      <c r="I516" s="125" t="n"/>
      <c r="J516" s="122">
        <f>IF($A516="","",$F516*$G516)</f>
        <v/>
      </c>
    </row>
    <row r="517" ht="15" customHeight="1" s="80">
      <c r="A517" s="125" t="n"/>
      <c r="B517" s="125" t="n"/>
      <c r="C517" s="125" t="n"/>
      <c r="D517" s="130" t="n"/>
      <c r="E517" s="130" t="n"/>
      <c r="F517" s="121" t="n"/>
      <c r="G517" s="129" t="n"/>
      <c r="H517" s="125" t="n"/>
      <c r="I517" s="125" t="n"/>
      <c r="J517" s="122">
        <f>IF($A517="","",$F517*$G517)</f>
        <v/>
      </c>
    </row>
    <row r="518" ht="15" customHeight="1" s="80">
      <c r="A518" s="125" t="n"/>
      <c r="B518" s="125" t="n"/>
      <c r="C518" s="125" t="n"/>
      <c r="D518" s="130" t="n"/>
      <c r="E518" s="130" t="n"/>
      <c r="F518" s="121" t="n"/>
      <c r="G518" s="129" t="n"/>
      <c r="H518" s="125" t="n"/>
      <c r="I518" s="125" t="n"/>
      <c r="J518" s="122">
        <f>IF($A518="","",$F518*$G518)</f>
        <v/>
      </c>
    </row>
    <row r="519" ht="15" customHeight="1" s="80">
      <c r="A519" s="125" t="n"/>
      <c r="B519" s="125" t="n"/>
      <c r="C519" s="125" t="n"/>
      <c r="D519" s="130" t="n"/>
      <c r="E519" s="130" t="n"/>
      <c r="F519" s="121" t="n"/>
      <c r="G519" s="129" t="n"/>
      <c r="H519" s="125" t="n"/>
      <c r="I519" s="125" t="n"/>
      <c r="J519" s="122">
        <f>IF($A519="","",$F519*$G519)</f>
        <v/>
      </c>
    </row>
    <row r="520" ht="15" customHeight="1" s="80">
      <c r="A520" s="125" t="n"/>
      <c r="B520" s="125" t="n"/>
      <c r="C520" s="125" t="n"/>
      <c r="D520" s="130" t="n"/>
      <c r="E520" s="130" t="n"/>
      <c r="F520" s="121" t="n"/>
      <c r="G520" s="129" t="n"/>
      <c r="H520" s="125" t="n"/>
      <c r="I520" s="125" t="n"/>
      <c r="J520" s="122">
        <f>IF($A520="","",$F520*$G520)</f>
        <v/>
      </c>
    </row>
    <row r="521" ht="15" customHeight="1" s="80">
      <c r="A521" s="125" t="n"/>
      <c r="B521" s="125" t="n"/>
      <c r="C521" s="125" t="n"/>
      <c r="D521" s="130" t="n"/>
      <c r="E521" s="130" t="n"/>
      <c r="F521" s="121" t="n"/>
      <c r="G521" s="129" t="n"/>
      <c r="H521" s="125" t="n"/>
      <c r="I521" s="125" t="n"/>
      <c r="J521" s="122">
        <f>IF($A521="","",$F521*$G521)</f>
        <v/>
      </c>
    </row>
    <row r="522" ht="15" customHeight="1" s="80">
      <c r="A522" s="125" t="n"/>
      <c r="B522" s="125" t="n"/>
      <c r="C522" s="125" t="n"/>
      <c r="D522" s="130" t="n"/>
      <c r="E522" s="130" t="n"/>
      <c r="F522" s="121" t="n"/>
      <c r="G522" s="129" t="n"/>
      <c r="H522" s="125" t="n"/>
      <c r="I522" s="125" t="n"/>
      <c r="J522" s="122">
        <f>IF($A522="","",$F522*$G522)</f>
        <v/>
      </c>
    </row>
    <row r="523" ht="15" customHeight="1" s="80">
      <c r="A523" s="125" t="n"/>
      <c r="B523" s="125" t="n"/>
      <c r="C523" s="125" t="n"/>
      <c r="D523" s="130" t="n"/>
      <c r="E523" s="130" t="n"/>
      <c r="F523" s="121" t="n"/>
      <c r="G523" s="129" t="n"/>
      <c r="H523" s="125" t="n"/>
      <c r="I523" s="125" t="n"/>
      <c r="J523" s="122">
        <f>IF($A523="","",$F523*$G523)</f>
        <v/>
      </c>
    </row>
    <row r="524" ht="15" customHeight="1" s="80">
      <c r="A524" s="125" t="n"/>
      <c r="B524" s="125" t="n"/>
      <c r="C524" s="125" t="n"/>
      <c r="D524" s="130" t="n"/>
      <c r="E524" s="130" t="n"/>
      <c r="F524" s="121" t="n"/>
      <c r="G524" s="129" t="n"/>
      <c r="H524" s="125" t="n"/>
      <c r="I524" s="125" t="n"/>
      <c r="J524" s="122">
        <f>IF($A524="","",$F524*$G524)</f>
        <v/>
      </c>
    </row>
    <row r="525" ht="15" customHeight="1" s="80">
      <c r="A525" s="125" t="n"/>
      <c r="B525" s="125" t="n"/>
      <c r="C525" s="125" t="n"/>
      <c r="D525" s="130" t="n"/>
      <c r="E525" s="130" t="n"/>
      <c r="F525" s="121" t="n"/>
      <c r="G525" s="129" t="n"/>
      <c r="H525" s="125" t="n"/>
      <c r="I525" s="125" t="n"/>
      <c r="J525" s="122">
        <f>IF($A525="","",$F525*$G525)</f>
        <v/>
      </c>
    </row>
    <row r="526" ht="15" customHeight="1" s="80">
      <c r="A526" s="125" t="n"/>
      <c r="B526" s="125" t="n"/>
      <c r="C526" s="125" t="n"/>
      <c r="D526" s="130" t="n"/>
      <c r="E526" s="130" t="n"/>
      <c r="F526" s="121" t="n"/>
      <c r="G526" s="129" t="n"/>
      <c r="H526" s="125" t="n"/>
      <c r="I526" s="125" t="n"/>
      <c r="J526" s="122">
        <f>IF($A526="","",$F526*$G526)</f>
        <v/>
      </c>
    </row>
    <row r="527" ht="15" customHeight="1" s="80">
      <c r="A527" s="125" t="n"/>
      <c r="B527" s="125" t="n"/>
      <c r="C527" s="125" t="n"/>
      <c r="D527" s="130" t="n"/>
      <c r="E527" s="130" t="n"/>
      <c r="F527" s="121" t="n"/>
      <c r="G527" s="129" t="n"/>
      <c r="H527" s="125" t="n"/>
      <c r="I527" s="125" t="n"/>
      <c r="J527" s="122">
        <f>IF($A527="","",$F527*$G527)</f>
        <v/>
      </c>
    </row>
    <row r="528" ht="15" customHeight="1" s="80">
      <c r="A528" s="125" t="n"/>
      <c r="B528" s="125" t="n"/>
      <c r="C528" s="125" t="n"/>
      <c r="D528" s="130" t="n"/>
      <c r="E528" s="130" t="n"/>
      <c r="F528" s="121" t="n"/>
      <c r="G528" s="129" t="n"/>
      <c r="H528" s="125" t="n"/>
      <c r="I528" s="125" t="n"/>
      <c r="J528" s="122">
        <f>IF($A528="","",$F528*$G528)</f>
        <v/>
      </c>
    </row>
    <row r="529" ht="15" customHeight="1" s="80">
      <c r="A529" s="125" t="n"/>
      <c r="B529" s="125" t="n"/>
      <c r="C529" s="125" t="n"/>
      <c r="D529" s="130" t="n"/>
      <c r="E529" s="130" t="n"/>
      <c r="F529" s="121" t="n"/>
      <c r="G529" s="129" t="n"/>
      <c r="H529" s="125" t="n"/>
      <c r="I529" s="125" t="n"/>
      <c r="J529" s="122">
        <f>IF($A529="","",$F529*$G529)</f>
        <v/>
      </c>
    </row>
    <row r="530" ht="15" customHeight="1" s="80">
      <c r="A530" s="125" t="n"/>
      <c r="B530" s="125" t="n"/>
      <c r="C530" s="125" t="n"/>
      <c r="D530" s="130" t="n"/>
      <c r="E530" s="130" t="n"/>
      <c r="F530" s="121" t="n"/>
      <c r="G530" s="129" t="n"/>
      <c r="H530" s="125" t="n"/>
      <c r="I530" s="125" t="n"/>
      <c r="J530" s="122">
        <f>IF($A530="","",$F530*$G530)</f>
        <v/>
      </c>
    </row>
    <row r="531" ht="15" customHeight="1" s="80">
      <c r="A531" s="125" t="n"/>
      <c r="B531" s="125" t="n"/>
      <c r="C531" s="125" t="n"/>
      <c r="D531" s="130" t="n"/>
      <c r="E531" s="130" t="n"/>
      <c r="F531" s="121" t="n"/>
      <c r="G531" s="129" t="n"/>
      <c r="H531" s="125" t="n"/>
      <c r="I531" s="125" t="n"/>
      <c r="J531" s="122">
        <f>IF($A531="","",$F531*$G531)</f>
        <v/>
      </c>
    </row>
    <row r="532" ht="15" customHeight="1" s="80">
      <c r="A532" s="125" t="n"/>
      <c r="B532" s="125" t="n"/>
      <c r="C532" s="125" t="n"/>
      <c r="D532" s="130" t="n"/>
      <c r="E532" s="130" t="n"/>
      <c r="F532" s="121" t="n"/>
      <c r="G532" s="129" t="n"/>
      <c r="H532" s="125" t="n"/>
      <c r="I532" s="125" t="n"/>
      <c r="J532" s="122">
        <f>IF($A532="","",$F532*$G532)</f>
        <v/>
      </c>
    </row>
    <row r="533" ht="15" customHeight="1" s="80">
      <c r="A533" s="125" t="n"/>
      <c r="B533" s="125" t="n"/>
      <c r="C533" s="125" t="n"/>
      <c r="D533" s="130" t="n"/>
      <c r="E533" s="130" t="n"/>
      <c r="F533" s="121" t="n"/>
      <c r="G533" s="129" t="n"/>
      <c r="H533" s="125" t="n"/>
      <c r="I533" s="125" t="n"/>
      <c r="J533" s="122">
        <f>IF($A533="","",$F533*$G533)</f>
        <v/>
      </c>
    </row>
    <row r="534" ht="15" customHeight="1" s="80">
      <c r="A534" s="125" t="n"/>
      <c r="B534" s="125" t="n"/>
      <c r="C534" s="125" t="n"/>
      <c r="D534" s="130" t="n"/>
      <c r="E534" s="130" t="n"/>
      <c r="F534" s="121" t="n"/>
      <c r="G534" s="129" t="n"/>
      <c r="H534" s="125" t="n"/>
      <c r="I534" s="125" t="n"/>
      <c r="J534" s="122">
        <f>IF($A534="","",$F534*$G534)</f>
        <v/>
      </c>
    </row>
    <row r="535" ht="15" customHeight="1" s="80">
      <c r="A535" s="125" t="n"/>
      <c r="B535" s="125" t="n"/>
      <c r="C535" s="125" t="n"/>
      <c r="D535" s="130" t="n"/>
      <c r="E535" s="130" t="n"/>
      <c r="F535" s="121" t="n"/>
      <c r="G535" s="129" t="n"/>
      <c r="H535" s="125" t="n"/>
      <c r="I535" s="125" t="n"/>
      <c r="J535" s="122">
        <f>IF($A535="","",$F535*$G535)</f>
        <v/>
      </c>
    </row>
    <row r="536" ht="15" customHeight="1" s="80">
      <c r="A536" s="125" t="n"/>
      <c r="B536" s="125" t="n"/>
      <c r="C536" s="125" t="n"/>
      <c r="D536" s="130" t="n"/>
      <c r="E536" s="130" t="n"/>
      <c r="F536" s="121" t="n"/>
      <c r="G536" s="129" t="n"/>
      <c r="H536" s="125" t="n"/>
      <c r="I536" s="125" t="n"/>
      <c r="J536" s="122">
        <f>IF($A536="","",$F536*$G536)</f>
        <v/>
      </c>
    </row>
    <row r="537" ht="15" customHeight="1" s="80">
      <c r="A537" s="125" t="n"/>
      <c r="B537" s="125" t="n"/>
      <c r="C537" s="125" t="n"/>
      <c r="D537" s="130" t="n"/>
      <c r="E537" s="130" t="n"/>
      <c r="F537" s="121" t="n"/>
      <c r="G537" s="129" t="n"/>
      <c r="H537" s="125" t="n"/>
      <c r="I537" s="125" t="n"/>
      <c r="J537" s="122">
        <f>IF($A537="","",$F537*$G537)</f>
        <v/>
      </c>
    </row>
    <row r="538" ht="15" customHeight="1" s="80">
      <c r="A538" s="125" t="n"/>
      <c r="B538" s="125" t="n"/>
      <c r="C538" s="125" t="n"/>
      <c r="D538" s="130" t="n"/>
      <c r="E538" s="130" t="n"/>
      <c r="F538" s="121" t="n"/>
      <c r="G538" s="129" t="n"/>
      <c r="H538" s="125" t="n"/>
      <c r="I538" s="125" t="n"/>
      <c r="J538" s="122">
        <f>IF($A538="","",$F538*$G538)</f>
        <v/>
      </c>
    </row>
    <row r="539" ht="15" customHeight="1" s="80">
      <c r="A539" s="125" t="n"/>
      <c r="B539" s="125" t="n"/>
      <c r="C539" s="125" t="n"/>
      <c r="D539" s="130" t="n"/>
      <c r="E539" s="130" t="n"/>
      <c r="F539" s="121" t="n"/>
      <c r="G539" s="129" t="n"/>
      <c r="H539" s="125" t="n"/>
      <c r="I539" s="125" t="n"/>
      <c r="J539" s="122">
        <f>IF($A539="","",$F539*$G539)</f>
        <v/>
      </c>
    </row>
    <row r="540" ht="15" customHeight="1" s="80">
      <c r="A540" s="125" t="n"/>
      <c r="B540" s="125" t="n"/>
      <c r="C540" s="125" t="n"/>
      <c r="D540" s="130" t="n"/>
      <c r="E540" s="130" t="n"/>
      <c r="F540" s="121" t="n"/>
      <c r="G540" s="129" t="n"/>
      <c r="H540" s="125" t="n"/>
      <c r="I540" s="125" t="n"/>
      <c r="J540" s="122">
        <f>IF($A540="","",$F540*$G540)</f>
        <v/>
      </c>
    </row>
    <row r="541" ht="15" customHeight="1" s="80">
      <c r="A541" s="125" t="n"/>
      <c r="B541" s="125" t="n"/>
      <c r="C541" s="125" t="n"/>
      <c r="D541" s="130" t="n"/>
      <c r="E541" s="130" t="n"/>
      <c r="F541" s="121" t="n"/>
      <c r="G541" s="129" t="n"/>
      <c r="H541" s="125" t="n"/>
      <c r="I541" s="125" t="n"/>
      <c r="J541" s="122">
        <f>IF($A541="","",$F541*$G541)</f>
        <v/>
      </c>
    </row>
    <row r="542" ht="15" customHeight="1" s="80">
      <c r="A542" s="125" t="n"/>
      <c r="B542" s="125" t="n"/>
      <c r="C542" s="125" t="n"/>
      <c r="D542" s="130" t="n"/>
      <c r="E542" s="130" t="n"/>
      <c r="F542" s="121" t="n"/>
      <c r="G542" s="129" t="n"/>
      <c r="H542" s="125" t="n"/>
      <c r="I542" s="125" t="n"/>
      <c r="J542" s="122">
        <f>IF($A542="","",$F542*$G542)</f>
        <v/>
      </c>
    </row>
    <row r="543" ht="15" customHeight="1" s="80">
      <c r="A543" s="125" t="n"/>
      <c r="B543" s="125" t="n"/>
      <c r="C543" s="125" t="n"/>
      <c r="D543" s="130" t="n"/>
      <c r="E543" s="130" t="n"/>
      <c r="F543" s="121" t="n"/>
      <c r="G543" s="129" t="n"/>
      <c r="H543" s="125" t="n"/>
      <c r="I543" s="125" t="n"/>
      <c r="J543" s="122">
        <f>IF($A543="","",$F543*$G543)</f>
        <v/>
      </c>
    </row>
    <row r="544" ht="15" customHeight="1" s="80">
      <c r="A544" s="125" t="n"/>
      <c r="B544" s="125" t="n"/>
      <c r="C544" s="125" t="n"/>
      <c r="D544" s="130" t="n"/>
      <c r="E544" s="130" t="n"/>
      <c r="F544" s="121" t="n"/>
      <c r="G544" s="129" t="n"/>
      <c r="H544" s="125" t="n"/>
      <c r="I544" s="125" t="n"/>
      <c r="J544" s="122">
        <f>IF($A544="","",$F544*$G544)</f>
        <v/>
      </c>
    </row>
    <row r="545" ht="15" customHeight="1" s="80">
      <c r="A545" s="125" t="n"/>
      <c r="B545" s="125" t="n"/>
      <c r="C545" s="125" t="n"/>
      <c r="D545" s="130" t="n"/>
      <c r="E545" s="130" t="n"/>
      <c r="F545" s="121" t="n"/>
      <c r="G545" s="129" t="n"/>
      <c r="H545" s="125" t="n"/>
      <c r="I545" s="125" t="n"/>
      <c r="J545" s="122">
        <f>IF($A545="","",$F545*$G545)</f>
        <v/>
      </c>
    </row>
    <row r="546" ht="15" customHeight="1" s="80">
      <c r="A546" s="125" t="n"/>
      <c r="B546" s="125" t="n"/>
      <c r="C546" s="125" t="n"/>
      <c r="D546" s="130" t="n"/>
      <c r="E546" s="130" t="n"/>
      <c r="F546" s="121" t="n"/>
      <c r="G546" s="129" t="n"/>
      <c r="H546" s="125" t="n"/>
      <c r="I546" s="125" t="n"/>
      <c r="J546" s="122">
        <f>IF($A546="","",$F546*$G546)</f>
        <v/>
      </c>
    </row>
    <row r="547" ht="15" customHeight="1" s="80">
      <c r="A547" s="125" t="n"/>
      <c r="B547" s="125" t="n"/>
      <c r="C547" s="125" t="n"/>
      <c r="D547" s="130" t="n"/>
      <c r="E547" s="130" t="n"/>
      <c r="F547" s="121" t="n"/>
      <c r="G547" s="129" t="n"/>
      <c r="H547" s="125" t="n"/>
      <c r="I547" s="125" t="n"/>
      <c r="J547" s="122">
        <f>IF($A547="","",$F547*$G547)</f>
        <v/>
      </c>
    </row>
    <row r="548" ht="15" customHeight="1" s="80">
      <c r="A548" s="125" t="n"/>
      <c r="B548" s="125" t="n"/>
      <c r="C548" s="125" t="n"/>
      <c r="D548" s="130" t="n"/>
      <c r="E548" s="130" t="n"/>
      <c r="F548" s="121" t="n"/>
      <c r="G548" s="129" t="n"/>
      <c r="H548" s="125" t="n"/>
      <c r="I548" s="125" t="n"/>
      <c r="J548" s="122">
        <f>IF($A548="","",$F548*$G548)</f>
        <v/>
      </c>
    </row>
    <row r="549" ht="15" customHeight="1" s="80">
      <c r="A549" s="125" t="n"/>
      <c r="B549" s="125" t="n"/>
      <c r="C549" s="125" t="n"/>
      <c r="D549" s="130" t="n"/>
      <c r="E549" s="130" t="n"/>
      <c r="F549" s="121" t="n"/>
      <c r="G549" s="129" t="n"/>
      <c r="H549" s="125" t="n"/>
      <c r="I549" s="125" t="n"/>
      <c r="J549" s="122">
        <f>IF($A549="","",$F549*$G549)</f>
        <v/>
      </c>
    </row>
    <row r="550" ht="15" customHeight="1" s="80">
      <c r="A550" s="125" t="n"/>
      <c r="B550" s="125" t="n"/>
      <c r="C550" s="125" t="n"/>
      <c r="D550" s="130" t="n"/>
      <c r="E550" s="130" t="n"/>
      <c r="F550" s="121" t="n"/>
      <c r="G550" s="129" t="n"/>
      <c r="H550" s="125" t="n"/>
      <c r="I550" s="125" t="n"/>
      <c r="J550" s="122">
        <f>IF($A550="","",$F550*$G550)</f>
        <v/>
      </c>
    </row>
    <row r="551" ht="15" customHeight="1" s="80">
      <c r="A551" s="125" t="n"/>
      <c r="B551" s="125" t="n"/>
      <c r="C551" s="125" t="n"/>
      <c r="D551" s="130" t="n"/>
      <c r="E551" s="130" t="n"/>
      <c r="F551" s="121" t="n"/>
      <c r="G551" s="129" t="n"/>
      <c r="H551" s="125" t="n"/>
      <c r="I551" s="125" t="n"/>
      <c r="J551" s="122">
        <f>IF($A551="","",$F551*$G551)</f>
        <v/>
      </c>
    </row>
    <row r="552" ht="15" customHeight="1" s="80">
      <c r="A552" s="125" t="n"/>
      <c r="B552" s="125" t="n"/>
      <c r="C552" s="125" t="n"/>
      <c r="D552" s="130" t="n"/>
      <c r="E552" s="130" t="n"/>
      <c r="F552" s="121" t="n"/>
      <c r="G552" s="129" t="n"/>
      <c r="H552" s="125" t="n"/>
      <c r="I552" s="125" t="n"/>
      <c r="J552" s="122">
        <f>IF($A552="","",$F552*$G552)</f>
        <v/>
      </c>
    </row>
    <row r="553" ht="15" customHeight="1" s="80">
      <c r="A553" s="125" t="n"/>
      <c r="B553" s="125" t="n"/>
      <c r="C553" s="125" t="n"/>
      <c r="D553" s="130" t="n"/>
      <c r="E553" s="130" t="n"/>
      <c r="F553" s="121" t="n"/>
      <c r="G553" s="129" t="n"/>
      <c r="H553" s="125" t="n"/>
      <c r="I553" s="125" t="n"/>
      <c r="J553" s="122">
        <f>IF($A553="","",$F553*$G553)</f>
        <v/>
      </c>
    </row>
    <row r="554" ht="15" customHeight="1" s="80">
      <c r="A554" s="125" t="n"/>
      <c r="B554" s="125" t="n"/>
      <c r="C554" s="125" t="n"/>
      <c r="D554" s="130" t="n"/>
      <c r="E554" s="130" t="n"/>
      <c r="F554" s="121" t="n"/>
      <c r="G554" s="129" t="n"/>
      <c r="H554" s="125" t="n"/>
      <c r="I554" s="125" t="n"/>
      <c r="J554" s="122">
        <f>IF($A554="","",$F554*$G554)</f>
        <v/>
      </c>
    </row>
    <row r="555" ht="15" customHeight="1" s="80">
      <c r="A555" s="125" t="n"/>
      <c r="B555" s="125" t="n"/>
      <c r="C555" s="125" t="n"/>
      <c r="D555" s="130" t="n"/>
      <c r="E555" s="130" t="n"/>
      <c r="F555" s="121" t="n"/>
      <c r="G555" s="129" t="n"/>
      <c r="H555" s="125" t="n"/>
      <c r="I555" s="125" t="n"/>
      <c r="J555" s="122">
        <f>IF($A555="","",$F555*$G555)</f>
        <v/>
      </c>
    </row>
    <row r="556" ht="15" customHeight="1" s="80">
      <c r="A556" s="125" t="n"/>
      <c r="B556" s="125" t="n"/>
      <c r="C556" s="125" t="n"/>
      <c r="D556" s="130" t="n"/>
      <c r="E556" s="130" t="n"/>
      <c r="F556" s="121" t="n"/>
      <c r="G556" s="129" t="n"/>
      <c r="H556" s="125" t="n"/>
      <c r="I556" s="125" t="n"/>
      <c r="J556" s="122">
        <f>IF($A556="","",$F556*$G556)</f>
        <v/>
      </c>
    </row>
    <row r="557" ht="15" customHeight="1" s="80">
      <c r="A557" s="125" t="n"/>
      <c r="B557" s="125" t="n"/>
      <c r="C557" s="125" t="n"/>
      <c r="D557" s="130" t="n"/>
      <c r="E557" s="130" t="n"/>
      <c r="F557" s="121" t="n"/>
      <c r="G557" s="129" t="n"/>
      <c r="H557" s="125" t="n"/>
      <c r="I557" s="125" t="n"/>
      <c r="J557" s="122">
        <f>IF($A557="","",$F557*$G557)</f>
        <v/>
      </c>
    </row>
    <row r="558" ht="15" customHeight="1" s="80">
      <c r="A558" s="125" t="n"/>
      <c r="B558" s="125" t="n"/>
      <c r="C558" s="125" t="n"/>
      <c r="D558" s="130" t="n"/>
      <c r="E558" s="130" t="n"/>
      <c r="F558" s="121" t="n"/>
      <c r="G558" s="129" t="n"/>
      <c r="H558" s="125" t="n"/>
      <c r="I558" s="125" t="n"/>
      <c r="J558" s="122">
        <f>IF($A558="","",$F558*$G558)</f>
        <v/>
      </c>
    </row>
    <row r="559" ht="15" customHeight="1" s="80">
      <c r="A559" s="125" t="n"/>
      <c r="B559" s="125" t="n"/>
      <c r="C559" s="125" t="n"/>
      <c r="D559" s="130" t="n"/>
      <c r="E559" s="130" t="n"/>
      <c r="F559" s="121" t="n"/>
      <c r="G559" s="129" t="n"/>
      <c r="H559" s="125" t="n"/>
      <c r="I559" s="125" t="n"/>
      <c r="J559" s="122">
        <f>IF($A559="","",$F559*$G559)</f>
        <v/>
      </c>
    </row>
    <row r="560" ht="15" customHeight="1" s="80">
      <c r="A560" s="125" t="n"/>
      <c r="B560" s="125" t="n"/>
      <c r="C560" s="125" t="n"/>
      <c r="D560" s="130" t="n"/>
      <c r="E560" s="130" t="n"/>
      <c r="F560" s="121" t="n"/>
      <c r="G560" s="129" t="n"/>
      <c r="H560" s="125" t="n"/>
      <c r="I560" s="125" t="n"/>
      <c r="J560" s="122">
        <f>IF($A560="","",$F560*$G560)</f>
        <v/>
      </c>
    </row>
    <row r="561" ht="15" customHeight="1" s="80">
      <c r="A561" s="125" t="n"/>
      <c r="B561" s="125" t="n"/>
      <c r="C561" s="125" t="n"/>
      <c r="D561" s="130" t="n"/>
      <c r="E561" s="130" t="n"/>
      <c r="F561" s="121" t="n"/>
      <c r="G561" s="129" t="n"/>
      <c r="H561" s="125" t="n"/>
      <c r="I561" s="125" t="n"/>
      <c r="J561" s="122">
        <f>IF($A561="","",$F561*$G561)</f>
        <v/>
      </c>
    </row>
    <row r="562" ht="15" customHeight="1" s="80">
      <c r="A562" s="125" t="n"/>
      <c r="B562" s="125" t="n"/>
      <c r="C562" s="125" t="n"/>
      <c r="D562" s="130" t="n"/>
      <c r="E562" s="130" t="n"/>
      <c r="F562" s="121" t="n"/>
      <c r="G562" s="129" t="n"/>
      <c r="H562" s="125" t="n"/>
      <c r="I562" s="125" t="n"/>
      <c r="J562" s="122">
        <f>IF($A562="","",$F562*$G562)</f>
        <v/>
      </c>
    </row>
    <row r="563" ht="15" customHeight="1" s="80">
      <c r="A563" s="125" t="n"/>
      <c r="B563" s="125" t="n"/>
      <c r="C563" s="125" t="n"/>
      <c r="D563" s="130" t="n"/>
      <c r="E563" s="130" t="n"/>
      <c r="F563" s="121" t="n"/>
      <c r="G563" s="129" t="n"/>
      <c r="H563" s="125" t="n"/>
      <c r="I563" s="125" t="n"/>
      <c r="J563" s="122">
        <f>IF($A563="","",$F563*$G563)</f>
        <v/>
      </c>
    </row>
    <row r="564" ht="15" customHeight="1" s="80">
      <c r="A564" s="125" t="n"/>
      <c r="B564" s="125" t="n"/>
      <c r="C564" s="125" t="n"/>
      <c r="D564" s="130" t="n"/>
      <c r="E564" s="130" t="n"/>
      <c r="F564" s="121" t="n"/>
      <c r="G564" s="129" t="n"/>
      <c r="H564" s="125" t="n"/>
      <c r="I564" s="125" t="n"/>
      <c r="J564" s="122">
        <f>IF($A564="","",$F564*$G564)</f>
        <v/>
      </c>
    </row>
    <row r="565" ht="15" customHeight="1" s="80">
      <c r="A565" s="125" t="n"/>
      <c r="B565" s="125" t="n"/>
      <c r="C565" s="125" t="n"/>
      <c r="D565" s="130" t="n"/>
      <c r="E565" s="130" t="n"/>
      <c r="F565" s="121" t="n"/>
      <c r="G565" s="129" t="n"/>
      <c r="H565" s="125" t="n"/>
      <c r="I565" s="125" t="n"/>
      <c r="J565" s="122">
        <f>IF($A565="","",$F565*$G565)</f>
        <v/>
      </c>
    </row>
    <row r="566" ht="15" customHeight="1" s="80">
      <c r="A566" s="125" t="n"/>
      <c r="B566" s="125" t="n"/>
      <c r="C566" s="125" t="n"/>
      <c r="D566" s="130" t="n"/>
      <c r="E566" s="130" t="n"/>
      <c r="F566" s="121" t="n"/>
      <c r="G566" s="129" t="n"/>
      <c r="H566" s="125" t="n"/>
      <c r="I566" s="125" t="n"/>
      <c r="J566" s="122">
        <f>IF($A566="","",$F566*$G566)</f>
        <v/>
      </c>
    </row>
    <row r="567" ht="15" customHeight="1" s="80">
      <c r="A567" s="125" t="n"/>
      <c r="B567" s="125" t="n"/>
      <c r="C567" s="125" t="n"/>
      <c r="D567" s="130" t="n"/>
      <c r="E567" s="130" t="n"/>
      <c r="F567" s="121" t="n"/>
      <c r="G567" s="129" t="n"/>
      <c r="H567" s="125" t="n"/>
      <c r="I567" s="125" t="n"/>
      <c r="J567" s="122">
        <f>IF($A567="","",$F567*$G567)</f>
        <v/>
      </c>
    </row>
    <row r="568" ht="15" customHeight="1" s="80">
      <c r="A568" s="125" t="n"/>
      <c r="B568" s="125" t="n"/>
      <c r="C568" s="125" t="n"/>
      <c r="D568" s="130" t="n"/>
      <c r="E568" s="130" t="n"/>
      <c r="F568" s="121" t="n"/>
      <c r="G568" s="129" t="n"/>
      <c r="H568" s="125" t="n"/>
      <c r="I568" s="125" t="n"/>
      <c r="J568" s="122">
        <f>IF($A568="","",$F568*$G568)</f>
        <v/>
      </c>
    </row>
    <row r="569" ht="15" customHeight="1" s="80">
      <c r="A569" s="125" t="n"/>
      <c r="B569" s="125" t="n"/>
      <c r="C569" s="125" t="n"/>
      <c r="D569" s="130" t="n"/>
      <c r="E569" s="130" t="n"/>
      <c r="F569" s="121" t="n"/>
      <c r="G569" s="129" t="n"/>
      <c r="H569" s="125" t="n"/>
      <c r="I569" s="125" t="n"/>
      <c r="J569" s="122">
        <f>IF($A569="","",$F569*$G569)</f>
        <v/>
      </c>
    </row>
    <row r="570" ht="15" customHeight="1" s="80">
      <c r="A570" s="125" t="n"/>
      <c r="B570" s="125" t="n"/>
      <c r="C570" s="125" t="n"/>
      <c r="D570" s="130" t="n"/>
      <c r="E570" s="130" t="n"/>
      <c r="F570" s="121" t="n"/>
      <c r="G570" s="129" t="n"/>
      <c r="H570" s="125" t="n"/>
      <c r="I570" s="125" t="n"/>
      <c r="J570" s="122">
        <f>IF($A570="","",$F570*$G570)</f>
        <v/>
      </c>
    </row>
    <row r="571" ht="15" customHeight="1" s="80">
      <c r="A571" s="125" t="n"/>
      <c r="B571" s="125" t="n"/>
      <c r="C571" s="125" t="n"/>
      <c r="D571" s="130" t="n"/>
      <c r="E571" s="130" t="n"/>
      <c r="F571" s="121" t="n"/>
      <c r="G571" s="129" t="n"/>
      <c r="H571" s="125" t="n"/>
      <c r="I571" s="125" t="n"/>
      <c r="J571" s="122">
        <f>IF($A571="","",$F571*$G571)</f>
        <v/>
      </c>
    </row>
    <row r="572" ht="15" customHeight="1" s="80">
      <c r="A572" s="125" t="n"/>
      <c r="B572" s="125" t="n"/>
      <c r="C572" s="125" t="n"/>
      <c r="D572" s="130" t="n"/>
      <c r="E572" s="130" t="n"/>
      <c r="F572" s="121" t="n"/>
      <c r="G572" s="129" t="n"/>
      <c r="H572" s="125" t="n"/>
      <c r="I572" s="125" t="n"/>
      <c r="J572" s="122">
        <f>IF($A572="","",$F572*$G572)</f>
        <v/>
      </c>
    </row>
    <row r="573" ht="15" customHeight="1" s="80">
      <c r="A573" s="125" t="n"/>
      <c r="B573" s="125" t="n"/>
      <c r="C573" s="125" t="n"/>
      <c r="D573" s="130" t="n"/>
      <c r="E573" s="130" t="n"/>
      <c r="F573" s="121" t="n"/>
      <c r="G573" s="129" t="n"/>
      <c r="H573" s="125" t="n"/>
      <c r="I573" s="125" t="n"/>
      <c r="J573" s="122">
        <f>IF($A573="","",$F573*$G573)</f>
        <v/>
      </c>
    </row>
    <row r="574" ht="15" customHeight="1" s="80">
      <c r="A574" s="125" t="n"/>
      <c r="B574" s="125" t="n"/>
      <c r="C574" s="125" t="n"/>
      <c r="D574" s="130" t="n"/>
      <c r="E574" s="130" t="n"/>
      <c r="F574" s="121" t="n"/>
      <c r="G574" s="129" t="n"/>
      <c r="H574" s="125" t="n"/>
      <c r="I574" s="125" t="n"/>
      <c r="J574" s="122">
        <f>IF($A574="","",$F574*$G574)</f>
        <v/>
      </c>
    </row>
    <row r="575" ht="15" customHeight="1" s="80">
      <c r="A575" s="125" t="n"/>
      <c r="B575" s="125" t="n"/>
      <c r="C575" s="125" t="n"/>
      <c r="D575" s="130" t="n"/>
      <c r="E575" s="130" t="n"/>
      <c r="F575" s="121" t="n"/>
      <c r="G575" s="129" t="n"/>
      <c r="H575" s="125" t="n"/>
      <c r="I575" s="125" t="n"/>
      <c r="J575" s="122">
        <f>IF($A575="","",$F575*$G575)</f>
        <v/>
      </c>
    </row>
    <row r="576" ht="15" customHeight="1" s="80">
      <c r="A576" s="125" t="n"/>
      <c r="B576" s="125" t="n"/>
      <c r="C576" s="125" t="n"/>
      <c r="D576" s="130" t="n"/>
      <c r="E576" s="130" t="n"/>
      <c r="F576" s="121" t="n"/>
      <c r="G576" s="129" t="n"/>
      <c r="H576" s="125" t="n"/>
      <c r="I576" s="125" t="n"/>
      <c r="J576" s="122">
        <f>IF($A576="","",$F576*$G576)</f>
        <v/>
      </c>
    </row>
    <row r="577" ht="15" customHeight="1" s="80">
      <c r="A577" s="125" t="n"/>
      <c r="B577" s="125" t="n"/>
      <c r="C577" s="125" t="n"/>
      <c r="D577" s="130" t="n"/>
      <c r="E577" s="130" t="n"/>
      <c r="F577" s="121" t="n"/>
      <c r="G577" s="129" t="n"/>
      <c r="H577" s="125" t="n"/>
      <c r="I577" s="125" t="n"/>
      <c r="J577" s="122">
        <f>IF($A577="","",$F577*$G577)</f>
        <v/>
      </c>
    </row>
    <row r="578" ht="15" customHeight="1" s="80">
      <c r="A578" s="125" t="n"/>
      <c r="B578" s="125" t="n"/>
      <c r="C578" s="125" t="n"/>
      <c r="D578" s="130" t="n"/>
      <c r="E578" s="130" t="n"/>
      <c r="F578" s="121" t="n"/>
      <c r="G578" s="129" t="n"/>
      <c r="H578" s="125" t="n"/>
      <c r="I578" s="125" t="n"/>
      <c r="J578" s="122">
        <f>IF($A578="","",$F578*$G578)</f>
        <v/>
      </c>
    </row>
    <row r="579" ht="15" customHeight="1" s="80">
      <c r="A579" s="125" t="n"/>
      <c r="B579" s="125" t="n"/>
      <c r="C579" s="125" t="n"/>
      <c r="D579" s="130" t="n"/>
      <c r="E579" s="130" t="n"/>
      <c r="F579" s="121" t="n"/>
      <c r="G579" s="129" t="n"/>
      <c r="H579" s="125" t="n"/>
      <c r="I579" s="125" t="n"/>
      <c r="J579" s="122">
        <f>IF($A579="","",$F579*$G579)</f>
        <v/>
      </c>
    </row>
    <row r="580" ht="15" customHeight="1" s="80">
      <c r="A580" s="125" t="n"/>
      <c r="B580" s="125" t="n"/>
      <c r="C580" s="125" t="n"/>
      <c r="D580" s="130" t="n"/>
      <c r="E580" s="130" t="n"/>
      <c r="F580" s="121" t="n"/>
      <c r="G580" s="129" t="n"/>
      <c r="H580" s="125" t="n"/>
      <c r="I580" s="125" t="n"/>
      <c r="J580" s="122">
        <f>IF($A580="","",$F580*$G580)</f>
        <v/>
      </c>
    </row>
    <row r="581" ht="15" customHeight="1" s="80">
      <c r="A581" s="125" t="n"/>
      <c r="B581" s="125" t="n"/>
      <c r="C581" s="125" t="n"/>
      <c r="D581" s="130" t="n"/>
      <c r="E581" s="130" t="n"/>
      <c r="F581" s="121" t="n"/>
      <c r="G581" s="129" t="n"/>
      <c r="H581" s="125" t="n"/>
      <c r="I581" s="125" t="n"/>
      <c r="J581" s="122">
        <f>IF($A581="","",$F581*$G581)</f>
        <v/>
      </c>
    </row>
    <row r="582" ht="15" customHeight="1" s="80">
      <c r="A582" s="125" t="n"/>
      <c r="B582" s="125" t="n"/>
      <c r="C582" s="125" t="n"/>
      <c r="D582" s="130" t="n"/>
      <c r="E582" s="130" t="n"/>
      <c r="F582" s="121" t="n"/>
      <c r="G582" s="129" t="n"/>
      <c r="H582" s="125" t="n"/>
      <c r="I582" s="125" t="n"/>
      <c r="J582" s="122">
        <f>IF($A582="","",$F582*$G582)</f>
        <v/>
      </c>
    </row>
    <row r="583" ht="15" customHeight="1" s="80">
      <c r="A583" s="125" t="n"/>
      <c r="B583" s="125" t="n"/>
      <c r="C583" s="125" t="n"/>
      <c r="D583" s="130" t="n"/>
      <c r="E583" s="130" t="n"/>
      <c r="F583" s="121" t="n"/>
      <c r="G583" s="129" t="n"/>
      <c r="H583" s="125" t="n"/>
      <c r="I583" s="125" t="n"/>
      <c r="J583" s="122">
        <f>IF($A583="","",$F583*$G583)</f>
        <v/>
      </c>
    </row>
    <row r="584" ht="15" customHeight="1" s="80">
      <c r="A584" s="125" t="n"/>
      <c r="B584" s="125" t="n"/>
      <c r="C584" s="125" t="n"/>
      <c r="D584" s="130" t="n"/>
      <c r="E584" s="130" t="n"/>
      <c r="F584" s="121" t="n"/>
      <c r="G584" s="129" t="n"/>
      <c r="H584" s="125" t="n"/>
      <c r="I584" s="125" t="n"/>
      <c r="J584" s="122">
        <f>IF($A584="","",$F584*$G584)</f>
        <v/>
      </c>
    </row>
    <row r="585" ht="15" customHeight="1" s="80">
      <c r="A585" s="125" t="n"/>
      <c r="B585" s="125" t="n"/>
      <c r="C585" s="125" t="n"/>
      <c r="D585" s="130" t="n"/>
      <c r="E585" s="130" t="n"/>
      <c r="F585" s="121" t="n"/>
      <c r="G585" s="129" t="n"/>
      <c r="H585" s="125" t="n"/>
      <c r="I585" s="125" t="n"/>
      <c r="J585" s="122">
        <f>IF($A585="","",$F585*$G585)</f>
        <v/>
      </c>
    </row>
    <row r="586" ht="15" customHeight="1" s="80">
      <c r="A586" s="125" t="n"/>
      <c r="B586" s="125" t="n"/>
      <c r="C586" s="125" t="n"/>
      <c r="D586" s="130" t="n"/>
      <c r="E586" s="130" t="n"/>
      <c r="F586" s="121" t="n"/>
      <c r="G586" s="129" t="n"/>
      <c r="H586" s="125" t="n"/>
      <c r="I586" s="125" t="n"/>
      <c r="J586" s="122">
        <f>IF($A586="","",$F586*$G586)</f>
        <v/>
      </c>
    </row>
    <row r="587" ht="15" customHeight="1" s="80">
      <c r="A587" s="125" t="n"/>
      <c r="B587" s="125" t="n"/>
      <c r="C587" s="125" t="n"/>
      <c r="D587" s="130" t="n"/>
      <c r="E587" s="130" t="n"/>
      <c r="F587" s="121" t="n"/>
      <c r="G587" s="129" t="n"/>
      <c r="H587" s="125" t="n"/>
      <c r="I587" s="125" t="n"/>
      <c r="J587" s="122">
        <f>IF($A587="","",$F587*$G587)</f>
        <v/>
      </c>
    </row>
    <row r="588" ht="15" customHeight="1" s="80">
      <c r="A588" s="125" t="n"/>
      <c r="B588" s="125" t="n"/>
      <c r="C588" s="125" t="n"/>
      <c r="D588" s="130" t="n"/>
      <c r="E588" s="130" t="n"/>
      <c r="F588" s="121" t="n"/>
      <c r="G588" s="129" t="n"/>
      <c r="H588" s="125" t="n"/>
      <c r="I588" s="125" t="n"/>
      <c r="J588" s="122">
        <f>IF($A588="","",$F588*$G588)</f>
        <v/>
      </c>
    </row>
    <row r="589" ht="15" customHeight="1" s="80">
      <c r="A589" s="125" t="n"/>
      <c r="B589" s="125" t="n"/>
      <c r="C589" s="125" t="n"/>
      <c r="D589" s="130" t="n"/>
      <c r="E589" s="130" t="n"/>
      <c r="F589" s="121" t="n"/>
      <c r="G589" s="129" t="n"/>
      <c r="H589" s="125" t="n"/>
      <c r="I589" s="125" t="n"/>
      <c r="J589" s="122">
        <f>IF($A589="","",$F589*$G589)</f>
        <v/>
      </c>
    </row>
    <row r="590" ht="15" customHeight="1" s="80">
      <c r="A590" s="125" t="n"/>
      <c r="B590" s="125" t="n"/>
      <c r="C590" s="125" t="n"/>
      <c r="D590" s="130" t="n"/>
      <c r="E590" s="130" t="n"/>
      <c r="F590" s="121" t="n"/>
      <c r="G590" s="129" t="n"/>
      <c r="H590" s="125" t="n"/>
      <c r="I590" s="125" t="n"/>
      <c r="J590" s="122">
        <f>IF($A590="","",$F590*$G590)</f>
        <v/>
      </c>
    </row>
    <row r="591" ht="15" customHeight="1" s="80">
      <c r="A591" s="125" t="n"/>
      <c r="B591" s="125" t="n"/>
      <c r="C591" s="125" t="n"/>
      <c r="D591" s="130" t="n"/>
      <c r="E591" s="130" t="n"/>
      <c r="F591" s="121" t="n"/>
      <c r="G591" s="129" t="n"/>
      <c r="H591" s="125" t="n"/>
      <c r="I591" s="125" t="n"/>
      <c r="J591" s="122">
        <f>IF($A591="","",$F591*$G591)</f>
        <v/>
      </c>
    </row>
    <row r="592" ht="15" customHeight="1" s="80">
      <c r="A592" s="125" t="n"/>
      <c r="B592" s="125" t="n"/>
      <c r="C592" s="125" t="n"/>
      <c r="D592" s="130" t="n"/>
      <c r="E592" s="130" t="n"/>
      <c r="F592" s="121" t="n"/>
      <c r="G592" s="129" t="n"/>
      <c r="H592" s="125" t="n"/>
      <c r="I592" s="125" t="n"/>
      <c r="J592" s="122">
        <f>IF($A592="","",$F592*$G592)</f>
        <v/>
      </c>
    </row>
    <row r="593" ht="15" customHeight="1" s="80">
      <c r="A593" s="125" t="n"/>
      <c r="B593" s="125" t="n"/>
      <c r="C593" s="125" t="n"/>
      <c r="D593" s="130" t="n"/>
      <c r="E593" s="130" t="n"/>
      <c r="F593" s="121" t="n"/>
      <c r="G593" s="129" t="n"/>
      <c r="H593" s="125" t="n"/>
      <c r="I593" s="125" t="n"/>
      <c r="J593" s="122">
        <f>IF($A593="","",$F593*$G593)</f>
        <v/>
      </c>
    </row>
    <row r="594" ht="15" customHeight="1" s="80">
      <c r="A594" s="125" t="n"/>
      <c r="B594" s="125" t="n"/>
      <c r="C594" s="125" t="n"/>
      <c r="D594" s="130" t="n"/>
      <c r="E594" s="130" t="n"/>
      <c r="F594" s="121" t="n"/>
      <c r="G594" s="129" t="n"/>
      <c r="H594" s="125" t="n"/>
      <c r="I594" s="125" t="n"/>
      <c r="J594" s="122">
        <f>IF($A594="","",$F594*$G594)</f>
        <v/>
      </c>
    </row>
    <row r="595" ht="15" customHeight="1" s="80">
      <c r="A595" s="125" t="n"/>
      <c r="B595" s="125" t="n"/>
      <c r="C595" s="125" t="n"/>
      <c r="D595" s="130" t="n"/>
      <c r="E595" s="130" t="n"/>
      <c r="F595" s="121" t="n"/>
      <c r="G595" s="129" t="n"/>
      <c r="H595" s="125" t="n"/>
      <c r="I595" s="125" t="n"/>
      <c r="J595" s="122">
        <f>IF($A595="","",$F595*$G595)</f>
        <v/>
      </c>
    </row>
    <row r="596" ht="15" customHeight="1" s="80">
      <c r="A596" s="125" t="n"/>
      <c r="B596" s="125" t="n"/>
      <c r="C596" s="125" t="n"/>
      <c r="D596" s="130" t="n"/>
      <c r="E596" s="130" t="n"/>
      <c r="F596" s="121" t="n"/>
      <c r="G596" s="129" t="n"/>
      <c r="H596" s="125" t="n"/>
      <c r="I596" s="125" t="n"/>
      <c r="J596" s="122">
        <f>IF($A596="","",$F596*$G596)</f>
        <v/>
      </c>
    </row>
    <row r="597" ht="15" customHeight="1" s="80">
      <c r="A597" s="125" t="n"/>
      <c r="B597" s="125" t="n"/>
      <c r="C597" s="125" t="n"/>
      <c r="D597" s="130" t="n"/>
      <c r="E597" s="130" t="n"/>
      <c r="F597" s="121" t="n"/>
      <c r="G597" s="129" t="n"/>
      <c r="H597" s="125" t="n"/>
      <c r="I597" s="125" t="n"/>
      <c r="J597" s="122">
        <f>IF($A597="","",$F597*$G597)</f>
        <v/>
      </c>
    </row>
    <row r="598" ht="15" customHeight="1" s="80">
      <c r="A598" s="125" t="n"/>
      <c r="B598" s="125" t="n"/>
      <c r="C598" s="125" t="n"/>
      <c r="D598" s="130" t="n"/>
      <c r="E598" s="130" t="n"/>
      <c r="F598" s="121" t="n"/>
      <c r="G598" s="129" t="n"/>
      <c r="H598" s="125" t="n"/>
      <c r="I598" s="125" t="n"/>
      <c r="J598" s="122">
        <f>IF($A598="","",$F598*$G598)</f>
        <v/>
      </c>
    </row>
    <row r="599" ht="15" customHeight="1" s="80">
      <c r="A599" s="125" t="n"/>
      <c r="B599" s="125" t="n"/>
      <c r="C599" s="125" t="n"/>
      <c r="D599" s="130" t="n"/>
      <c r="E599" s="130" t="n"/>
      <c r="F599" s="121" t="n"/>
      <c r="G599" s="129" t="n"/>
      <c r="H599" s="125" t="n"/>
      <c r="I599" s="125" t="n"/>
      <c r="J599" s="122">
        <f>IF($A599="","",$F599*$G599)</f>
        <v/>
      </c>
    </row>
    <row r="600" ht="15" customHeight="1" s="80">
      <c r="A600" s="125" t="n"/>
      <c r="B600" s="125" t="n"/>
      <c r="C600" s="125" t="n"/>
      <c r="D600" s="130" t="n"/>
      <c r="E600" s="130" t="n"/>
      <c r="F600" s="121" t="n"/>
      <c r="G600" s="129" t="n"/>
      <c r="H600" s="125" t="n"/>
      <c r="I600" s="125" t="n"/>
      <c r="J600" s="122">
        <f>IF($A600="","",$F600*$G600)</f>
        <v/>
      </c>
    </row>
    <row r="601" ht="15" customHeight="1" s="80">
      <c r="A601" s="125" t="n"/>
      <c r="B601" s="125" t="n"/>
      <c r="C601" s="125" t="n"/>
      <c r="D601" s="130" t="n"/>
      <c r="E601" s="130" t="n"/>
      <c r="F601" s="121" t="n"/>
      <c r="G601" s="129" t="n"/>
      <c r="H601" s="125" t="n"/>
      <c r="I601" s="125" t="n"/>
      <c r="J601" s="122">
        <f>IF($A601="","",$F601*$G601)</f>
        <v/>
      </c>
    </row>
    <row r="602" ht="15" customHeight="1" s="80">
      <c r="A602" s="125" t="n"/>
      <c r="B602" s="125" t="n"/>
      <c r="C602" s="125" t="n"/>
      <c r="D602" s="130" t="n"/>
      <c r="E602" s="130" t="n"/>
      <c r="F602" s="121" t="n"/>
      <c r="G602" s="129" t="n"/>
      <c r="H602" s="125" t="n"/>
      <c r="I602" s="125" t="n"/>
      <c r="J602" s="122">
        <f>IF($A602="","",$F602*$G602)</f>
        <v/>
      </c>
    </row>
    <row r="603" ht="15" customHeight="1" s="80">
      <c r="A603" s="125" t="n"/>
      <c r="B603" s="125" t="n"/>
      <c r="C603" s="125" t="n"/>
      <c r="D603" s="130" t="n"/>
      <c r="E603" s="130" t="n"/>
      <c r="F603" s="121" t="n"/>
      <c r="G603" s="129" t="n"/>
      <c r="H603" s="125" t="n"/>
      <c r="I603" s="125" t="n"/>
      <c r="J603" s="122">
        <f>IF($A603="","",$F603*$G603)</f>
        <v/>
      </c>
    </row>
    <row r="604" ht="15" customHeight="1" s="80">
      <c r="A604" s="125" t="n"/>
      <c r="B604" s="125" t="n"/>
      <c r="C604" s="125" t="n"/>
      <c r="D604" s="130" t="n"/>
      <c r="E604" s="130" t="n"/>
      <c r="F604" s="121" t="n"/>
      <c r="G604" s="129" t="n"/>
      <c r="H604" s="125" t="n"/>
      <c r="I604" s="125" t="n"/>
      <c r="J604" s="122">
        <f>IF($A604="","",$F604*$G604)</f>
        <v/>
      </c>
    </row>
    <row r="605" ht="15" customHeight="1" s="80">
      <c r="A605" s="125" t="n"/>
      <c r="B605" s="125" t="n"/>
      <c r="C605" s="125" t="n"/>
      <c r="D605" s="130" t="n"/>
      <c r="E605" s="130" t="n"/>
      <c r="F605" s="121" t="n"/>
      <c r="G605" s="129" t="n"/>
      <c r="H605" s="125" t="n"/>
      <c r="I605" s="125" t="n"/>
      <c r="J605" s="122">
        <f>IF($A605="","",$F605*$G605)</f>
        <v/>
      </c>
    </row>
    <row r="606" ht="15" customHeight="1" s="80">
      <c r="A606" s="125" t="n"/>
      <c r="B606" s="125" t="n"/>
      <c r="C606" s="125" t="n"/>
      <c r="D606" s="130" t="n"/>
      <c r="E606" s="130" t="n"/>
      <c r="F606" s="121" t="n"/>
      <c r="G606" s="129" t="n"/>
      <c r="H606" s="125" t="n"/>
      <c r="I606" s="125" t="n"/>
      <c r="J606" s="122">
        <f>IF($A606="","",$F606*$G606)</f>
        <v/>
      </c>
    </row>
    <row r="607" ht="15" customHeight="1" s="80">
      <c r="A607" s="125" t="n"/>
      <c r="B607" s="125" t="n"/>
      <c r="C607" s="125" t="n"/>
      <c r="D607" s="130" t="n"/>
      <c r="E607" s="130" t="n"/>
      <c r="F607" s="121" t="n"/>
      <c r="G607" s="129" t="n"/>
      <c r="H607" s="125" t="n"/>
      <c r="I607" s="125" t="n"/>
      <c r="J607" s="122">
        <f>IF($A607="","",$F607*$G607)</f>
        <v/>
      </c>
    </row>
    <row r="608" ht="15" customHeight="1" s="80">
      <c r="A608" s="125" t="n"/>
      <c r="B608" s="125" t="n"/>
      <c r="C608" s="125" t="n"/>
      <c r="D608" s="130" t="n"/>
      <c r="E608" s="130" t="n"/>
      <c r="F608" s="121" t="n"/>
      <c r="G608" s="129" t="n"/>
      <c r="H608" s="125" t="n"/>
      <c r="I608" s="125" t="n"/>
      <c r="J608" s="122">
        <f>IF($A608="","",$F608*$G608)</f>
        <v/>
      </c>
    </row>
    <row r="609" ht="15" customHeight="1" s="80">
      <c r="A609" s="125" t="n"/>
      <c r="B609" s="125" t="n"/>
      <c r="C609" s="125" t="n"/>
      <c r="D609" s="130" t="n"/>
      <c r="E609" s="130" t="n"/>
      <c r="F609" s="121" t="n"/>
      <c r="G609" s="129" t="n"/>
      <c r="H609" s="125" t="n"/>
      <c r="I609" s="125" t="n"/>
      <c r="J609" s="122">
        <f>IF($A609="","",$F609*$G609)</f>
        <v/>
      </c>
    </row>
    <row r="610" ht="15" customHeight="1" s="80">
      <c r="A610" s="125" t="n"/>
      <c r="B610" s="125" t="n"/>
      <c r="C610" s="125" t="n"/>
      <c r="D610" s="130" t="n"/>
      <c r="E610" s="130" t="n"/>
      <c r="F610" s="121" t="n"/>
      <c r="G610" s="129" t="n"/>
      <c r="H610" s="125" t="n"/>
      <c r="I610" s="125" t="n"/>
      <c r="J610" s="122">
        <f>IF($A610="","",$F610*$G610)</f>
        <v/>
      </c>
    </row>
    <row r="611" ht="15" customHeight="1" s="80">
      <c r="A611" s="125" t="n"/>
      <c r="B611" s="125" t="n"/>
      <c r="C611" s="125" t="n"/>
      <c r="D611" s="130" t="n"/>
      <c r="E611" s="130" t="n"/>
      <c r="F611" s="121" t="n"/>
      <c r="G611" s="129" t="n"/>
      <c r="H611" s="125" t="n"/>
      <c r="I611" s="125" t="n"/>
      <c r="J611" s="122">
        <f>IF($A611="","",$F611*$G611)</f>
        <v/>
      </c>
    </row>
    <row r="612" ht="15" customHeight="1" s="80">
      <c r="A612" s="125" t="n"/>
      <c r="B612" s="125" t="n"/>
      <c r="C612" s="125" t="n"/>
      <c r="D612" s="130" t="n"/>
      <c r="E612" s="130" t="n"/>
      <c r="F612" s="121" t="n"/>
      <c r="G612" s="129" t="n"/>
      <c r="H612" s="125" t="n"/>
      <c r="I612" s="125" t="n"/>
      <c r="J612" s="122">
        <f>IF($A612="","",$F612*$G612)</f>
        <v/>
      </c>
    </row>
    <row r="613" ht="15" customHeight="1" s="80">
      <c r="A613" s="125" t="n"/>
      <c r="B613" s="125" t="n"/>
      <c r="C613" s="125" t="n"/>
      <c r="D613" s="130" t="n"/>
      <c r="E613" s="130" t="n"/>
      <c r="F613" s="121" t="n"/>
      <c r="G613" s="129" t="n"/>
      <c r="H613" s="125" t="n"/>
      <c r="I613" s="125" t="n"/>
      <c r="J613" s="122">
        <f>IF($A613="","",$F613*$G613)</f>
        <v/>
      </c>
    </row>
    <row r="614" ht="15" customHeight="1" s="80">
      <c r="A614" s="125" t="n"/>
      <c r="B614" s="125" t="n"/>
      <c r="C614" s="125" t="n"/>
      <c r="D614" s="130" t="n"/>
      <c r="E614" s="130" t="n"/>
      <c r="F614" s="121" t="n"/>
      <c r="G614" s="129" t="n"/>
      <c r="H614" s="125" t="n"/>
      <c r="I614" s="125" t="n"/>
      <c r="J614" s="122">
        <f>IF($A614="","",$F614*$G614)</f>
        <v/>
      </c>
    </row>
    <row r="615" ht="15" customHeight="1" s="80">
      <c r="A615" s="125" t="n"/>
      <c r="B615" s="125" t="n"/>
      <c r="C615" s="125" t="n"/>
      <c r="D615" s="130" t="n"/>
      <c r="E615" s="130" t="n"/>
      <c r="F615" s="121" t="n"/>
      <c r="G615" s="129" t="n"/>
      <c r="H615" s="125" t="n"/>
      <c r="I615" s="125" t="n"/>
      <c r="J615" s="122">
        <f>IF($A615="","",$F615*$G615)</f>
        <v/>
      </c>
    </row>
    <row r="616" ht="15" customHeight="1" s="80">
      <c r="A616" s="125" t="n"/>
      <c r="B616" s="125" t="n"/>
      <c r="C616" s="125" t="n"/>
      <c r="D616" s="130" t="n"/>
      <c r="E616" s="130" t="n"/>
      <c r="F616" s="121" t="n"/>
      <c r="G616" s="129" t="n"/>
      <c r="H616" s="125" t="n"/>
      <c r="I616" s="125" t="n"/>
      <c r="J616" s="122">
        <f>IF($A616="","",$F616*$G616)</f>
        <v/>
      </c>
    </row>
    <row r="617" ht="15" customHeight="1" s="80">
      <c r="A617" s="125" t="n"/>
      <c r="B617" s="125" t="n"/>
      <c r="C617" s="125" t="n"/>
      <c r="D617" s="130" t="n"/>
      <c r="E617" s="130" t="n"/>
      <c r="F617" s="121" t="n"/>
      <c r="G617" s="129" t="n"/>
      <c r="H617" s="125" t="n"/>
      <c r="I617" s="125" t="n"/>
      <c r="J617" s="122">
        <f>IF($A617="","",$F617*$G617)</f>
        <v/>
      </c>
    </row>
    <row r="618" ht="15" customHeight="1" s="80">
      <c r="A618" s="125" t="n"/>
      <c r="B618" s="125" t="n"/>
      <c r="C618" s="125" t="n"/>
      <c r="D618" s="130" t="n"/>
      <c r="E618" s="130" t="n"/>
      <c r="F618" s="121" t="n"/>
      <c r="G618" s="129" t="n"/>
      <c r="H618" s="125" t="n"/>
      <c r="I618" s="125" t="n"/>
      <c r="J618" s="122">
        <f>IF($A618="","",$F618*$G618)</f>
        <v/>
      </c>
    </row>
    <row r="619" ht="15" customHeight="1" s="80">
      <c r="A619" s="125" t="n"/>
      <c r="B619" s="125" t="n"/>
      <c r="C619" s="125" t="n"/>
      <c r="D619" s="130" t="n"/>
      <c r="E619" s="130" t="n"/>
      <c r="F619" s="121" t="n"/>
      <c r="G619" s="129" t="n"/>
      <c r="H619" s="125" t="n"/>
      <c r="I619" s="125" t="n"/>
      <c r="J619" s="122">
        <f>IF($A619="","",$F619*$G619)</f>
        <v/>
      </c>
    </row>
    <row r="620" ht="15" customHeight="1" s="80">
      <c r="A620" s="125" t="n"/>
      <c r="B620" s="125" t="n"/>
      <c r="C620" s="125" t="n"/>
      <c r="D620" s="130" t="n"/>
      <c r="E620" s="130" t="n"/>
      <c r="F620" s="121" t="n"/>
      <c r="G620" s="129" t="n"/>
      <c r="H620" s="125" t="n"/>
      <c r="I620" s="125" t="n"/>
      <c r="J620" s="122">
        <f>IF($A620="","",$F620*$G620)</f>
        <v/>
      </c>
    </row>
    <row r="621" ht="15" customHeight="1" s="80">
      <c r="A621" s="125" t="n"/>
      <c r="B621" s="125" t="n"/>
      <c r="C621" s="125" t="n"/>
      <c r="D621" s="130" t="n"/>
      <c r="E621" s="130" t="n"/>
      <c r="F621" s="121" t="n"/>
      <c r="G621" s="129" t="n"/>
      <c r="H621" s="125" t="n"/>
      <c r="I621" s="125" t="n"/>
      <c r="J621" s="122">
        <f>IF($A621="","",$F621*$G621)</f>
        <v/>
      </c>
    </row>
    <row r="622" ht="15" customHeight="1" s="80">
      <c r="A622" s="125" t="n"/>
      <c r="B622" s="125" t="n"/>
      <c r="C622" s="125" t="n"/>
      <c r="D622" s="130" t="n"/>
      <c r="E622" s="130" t="n"/>
      <c r="F622" s="121" t="n"/>
      <c r="G622" s="129" t="n"/>
      <c r="H622" s="125" t="n"/>
      <c r="I622" s="125" t="n"/>
      <c r="J622" s="122">
        <f>IF($A622="","",$F622*$G622)</f>
        <v/>
      </c>
    </row>
    <row r="623" ht="15" customHeight="1" s="80">
      <c r="A623" s="125" t="n"/>
      <c r="B623" s="125" t="n"/>
      <c r="C623" s="125" t="n"/>
      <c r="D623" s="130" t="n"/>
      <c r="E623" s="130" t="n"/>
      <c r="F623" s="121" t="n"/>
      <c r="G623" s="129" t="n"/>
      <c r="H623" s="125" t="n"/>
      <c r="I623" s="125" t="n"/>
      <c r="J623" s="122">
        <f>IF($A623="","",$F623*$G623)</f>
        <v/>
      </c>
    </row>
    <row r="624" ht="15" customHeight="1" s="80">
      <c r="A624" s="125" t="n"/>
      <c r="B624" s="125" t="n"/>
      <c r="C624" s="125" t="n"/>
      <c r="D624" s="130" t="n"/>
      <c r="E624" s="130" t="n"/>
      <c r="F624" s="121" t="n"/>
      <c r="G624" s="129" t="n"/>
      <c r="H624" s="125" t="n"/>
      <c r="I624" s="125" t="n"/>
      <c r="J624" s="122">
        <f>IF($A624="","",$F624*$G624)</f>
        <v/>
      </c>
    </row>
    <row r="625" ht="15" customHeight="1" s="80">
      <c r="A625" s="125" t="n"/>
      <c r="B625" s="125" t="n"/>
      <c r="C625" s="125" t="n"/>
      <c r="D625" s="130" t="n"/>
      <c r="E625" s="130" t="n"/>
      <c r="F625" s="121" t="n"/>
      <c r="G625" s="129" t="n"/>
      <c r="H625" s="125" t="n"/>
      <c r="I625" s="125" t="n"/>
      <c r="J625" s="122">
        <f>IF($A625="","",$F625*$G625)</f>
        <v/>
      </c>
    </row>
    <row r="626" ht="15" customHeight="1" s="80">
      <c r="A626" s="125" t="n"/>
      <c r="B626" s="125" t="n"/>
      <c r="C626" s="125" t="n"/>
      <c r="D626" s="130" t="n"/>
      <c r="E626" s="130" t="n"/>
      <c r="F626" s="121" t="n"/>
      <c r="G626" s="129" t="n"/>
      <c r="H626" s="125" t="n"/>
      <c r="I626" s="125" t="n"/>
      <c r="J626" s="122">
        <f>IF($A626="","",$F626*$G626)</f>
        <v/>
      </c>
    </row>
    <row r="627" ht="15" customHeight="1" s="80">
      <c r="A627" s="125" t="n"/>
      <c r="B627" s="125" t="n"/>
      <c r="C627" s="125" t="n"/>
      <c r="D627" s="130" t="n"/>
      <c r="E627" s="130" t="n"/>
      <c r="F627" s="121" t="n"/>
      <c r="G627" s="129" t="n"/>
      <c r="H627" s="125" t="n"/>
      <c r="I627" s="125" t="n"/>
      <c r="J627" s="122">
        <f>IF($A627="","",$F627*$G627)</f>
        <v/>
      </c>
    </row>
    <row r="628" ht="15" customHeight="1" s="80">
      <c r="A628" s="125" t="n"/>
      <c r="B628" s="125" t="n"/>
      <c r="C628" s="125" t="n"/>
      <c r="D628" s="130" t="n"/>
      <c r="E628" s="130" t="n"/>
      <c r="F628" s="121" t="n"/>
      <c r="G628" s="129" t="n"/>
      <c r="H628" s="125" t="n"/>
      <c r="I628" s="125" t="n"/>
      <c r="J628" s="122">
        <f>IF($A628="","",$F628*$G628)</f>
        <v/>
      </c>
    </row>
    <row r="629" ht="15" customHeight="1" s="80">
      <c r="A629" s="125" t="n"/>
      <c r="B629" s="125" t="n"/>
      <c r="C629" s="125" t="n"/>
      <c r="D629" s="130" t="n"/>
      <c r="E629" s="130" t="n"/>
      <c r="F629" s="121" t="n"/>
      <c r="G629" s="129" t="n"/>
      <c r="H629" s="125" t="n"/>
      <c r="I629" s="125" t="n"/>
      <c r="J629" s="122">
        <f>IF($A629="","",$F629*$G629)</f>
        <v/>
      </c>
    </row>
    <row r="630" ht="15" customHeight="1" s="80">
      <c r="A630" s="125" t="n"/>
      <c r="B630" s="125" t="n"/>
      <c r="C630" s="125" t="n"/>
      <c r="D630" s="130" t="n"/>
      <c r="E630" s="130" t="n"/>
      <c r="F630" s="121" t="n"/>
      <c r="G630" s="129" t="n"/>
      <c r="H630" s="125" t="n"/>
      <c r="I630" s="125" t="n"/>
      <c r="J630" s="122">
        <f>IF($A630="","",$F630*$G630)</f>
        <v/>
      </c>
    </row>
    <row r="631" ht="15" customHeight="1" s="80">
      <c r="A631" s="125" t="n"/>
      <c r="B631" s="125" t="n"/>
      <c r="C631" s="125" t="n"/>
      <c r="D631" s="130" t="n"/>
      <c r="E631" s="130" t="n"/>
      <c r="F631" s="121" t="n"/>
      <c r="G631" s="129" t="n"/>
      <c r="H631" s="125" t="n"/>
      <c r="I631" s="125" t="n"/>
      <c r="J631" s="122">
        <f>IF($A631="","",$F631*$G631)</f>
        <v/>
      </c>
    </row>
    <row r="632" ht="15" customHeight="1" s="80">
      <c r="A632" s="125" t="n"/>
      <c r="B632" s="125" t="n"/>
      <c r="C632" s="125" t="n"/>
      <c r="D632" s="130" t="n"/>
      <c r="E632" s="130" t="n"/>
      <c r="F632" s="121" t="n"/>
      <c r="G632" s="129" t="n"/>
      <c r="H632" s="125" t="n"/>
      <c r="I632" s="125" t="n"/>
      <c r="J632" s="122">
        <f>IF($A632="","",$F632*$G632)</f>
        <v/>
      </c>
    </row>
    <row r="633" ht="15" customHeight="1" s="80">
      <c r="A633" s="125" t="n"/>
      <c r="B633" s="125" t="n"/>
      <c r="C633" s="125" t="n"/>
      <c r="D633" s="130" t="n"/>
      <c r="E633" s="130" t="n"/>
      <c r="F633" s="121" t="n"/>
      <c r="G633" s="129" t="n"/>
      <c r="H633" s="125" t="n"/>
      <c r="I633" s="125" t="n"/>
      <c r="J633" s="122">
        <f>IF($A633="","",$F633*$G633)</f>
        <v/>
      </c>
    </row>
    <row r="634" ht="15" customHeight="1" s="80">
      <c r="A634" s="125" t="n"/>
      <c r="B634" s="125" t="n"/>
      <c r="C634" s="125" t="n"/>
      <c r="D634" s="130" t="n"/>
      <c r="E634" s="130" t="n"/>
      <c r="F634" s="121" t="n"/>
      <c r="G634" s="129" t="n"/>
      <c r="H634" s="125" t="n"/>
      <c r="I634" s="125" t="n"/>
      <c r="J634" s="122">
        <f>IF($A634="","",$F634*$G634)</f>
        <v/>
      </c>
    </row>
    <row r="635" ht="15" customHeight="1" s="80">
      <c r="A635" s="125" t="n"/>
      <c r="B635" s="125" t="n"/>
      <c r="C635" s="125" t="n"/>
      <c r="D635" s="130" t="n"/>
      <c r="E635" s="130" t="n"/>
      <c r="F635" s="121" t="n"/>
      <c r="G635" s="129" t="n"/>
      <c r="H635" s="125" t="n"/>
      <c r="I635" s="125" t="n"/>
      <c r="J635" s="122">
        <f>IF($A635="","",$F635*$G635)</f>
        <v/>
      </c>
    </row>
    <row r="636" ht="15" customHeight="1" s="80">
      <c r="A636" s="125" t="n"/>
      <c r="B636" s="125" t="n"/>
      <c r="C636" s="125" t="n"/>
      <c r="D636" s="130" t="n"/>
      <c r="E636" s="130" t="n"/>
      <c r="F636" s="121" t="n"/>
      <c r="G636" s="129" t="n"/>
      <c r="H636" s="125" t="n"/>
      <c r="I636" s="125" t="n"/>
      <c r="J636" s="122">
        <f>IF($A636="","",$F636*$G636)</f>
        <v/>
      </c>
    </row>
    <row r="637" ht="15" customHeight="1" s="80">
      <c r="A637" s="125" t="n"/>
      <c r="B637" s="125" t="n"/>
      <c r="C637" s="125" t="n"/>
      <c r="D637" s="130" t="n"/>
      <c r="E637" s="130" t="n"/>
      <c r="F637" s="121" t="n"/>
      <c r="G637" s="129" t="n"/>
      <c r="H637" s="125" t="n"/>
      <c r="I637" s="125" t="n"/>
      <c r="J637" s="122">
        <f>IF($A637="","",$F637*$G637)</f>
        <v/>
      </c>
    </row>
    <row r="638" ht="15" customHeight="1" s="80">
      <c r="A638" s="125" t="n"/>
      <c r="B638" s="125" t="n"/>
      <c r="C638" s="125" t="n"/>
      <c r="D638" s="130" t="n"/>
      <c r="E638" s="130" t="n"/>
      <c r="F638" s="121" t="n"/>
      <c r="G638" s="129" t="n"/>
      <c r="H638" s="125" t="n"/>
      <c r="I638" s="125" t="n"/>
      <c r="J638" s="122">
        <f>IF($A638="","",$F638*$G638)</f>
        <v/>
      </c>
    </row>
    <row r="639" ht="15" customHeight="1" s="80">
      <c r="A639" s="125" t="n"/>
      <c r="B639" s="125" t="n"/>
      <c r="C639" s="125" t="n"/>
      <c r="D639" s="130" t="n"/>
      <c r="E639" s="130" t="n"/>
      <c r="F639" s="121" t="n"/>
      <c r="G639" s="129" t="n"/>
      <c r="H639" s="125" t="n"/>
      <c r="I639" s="125" t="n"/>
      <c r="J639" s="122">
        <f>IF($A639="","",$F639*$G639)</f>
        <v/>
      </c>
    </row>
    <row r="640" ht="15" customHeight="1" s="80">
      <c r="A640" s="125" t="n"/>
      <c r="B640" s="125" t="n"/>
      <c r="C640" s="125" t="n"/>
      <c r="D640" s="130" t="n"/>
      <c r="E640" s="130" t="n"/>
      <c r="F640" s="121" t="n"/>
      <c r="G640" s="129" t="n"/>
      <c r="H640" s="125" t="n"/>
      <c r="I640" s="125" t="n"/>
      <c r="J640" s="122">
        <f>IF($A640="","",$F640*$G640)</f>
        <v/>
      </c>
    </row>
    <row r="641" ht="15" customHeight="1" s="80">
      <c r="A641" s="125" t="n"/>
      <c r="B641" s="125" t="n"/>
      <c r="C641" s="125" t="n"/>
      <c r="D641" s="130" t="n"/>
      <c r="E641" s="130" t="n"/>
      <c r="F641" s="121" t="n"/>
      <c r="G641" s="129" t="n"/>
      <c r="H641" s="125" t="n"/>
      <c r="I641" s="125" t="n"/>
      <c r="J641" s="122">
        <f>IF($A641="","",$F641*$G641)</f>
        <v/>
      </c>
    </row>
    <row r="642" ht="15" customHeight="1" s="80">
      <c r="A642" s="125" t="n"/>
      <c r="B642" s="125" t="n"/>
      <c r="C642" s="125" t="n"/>
      <c r="D642" s="130" t="n"/>
      <c r="E642" s="130" t="n"/>
      <c r="F642" s="121" t="n"/>
      <c r="G642" s="129" t="n"/>
      <c r="H642" s="125" t="n"/>
      <c r="I642" s="125" t="n"/>
      <c r="J642" s="122">
        <f>IF($A642="","",$F642*$G642)</f>
        <v/>
      </c>
    </row>
    <row r="643" ht="15" customHeight="1" s="80">
      <c r="A643" s="125" t="n"/>
      <c r="B643" s="125" t="n"/>
      <c r="C643" s="125" t="n"/>
      <c r="D643" s="130" t="n"/>
      <c r="E643" s="130" t="n"/>
      <c r="F643" s="121" t="n"/>
      <c r="G643" s="129" t="n"/>
      <c r="H643" s="125" t="n"/>
      <c r="I643" s="125" t="n"/>
      <c r="J643" s="122">
        <f>IF($A643="","",$F643*$G643)</f>
        <v/>
      </c>
    </row>
    <row r="644" ht="15" customHeight="1" s="80">
      <c r="A644" s="125" t="n"/>
      <c r="B644" s="125" t="n"/>
      <c r="C644" s="125" t="n"/>
      <c r="D644" s="130" t="n"/>
      <c r="E644" s="130" t="n"/>
      <c r="F644" s="121" t="n"/>
      <c r="G644" s="129" t="n"/>
      <c r="H644" s="125" t="n"/>
      <c r="I644" s="125" t="n"/>
      <c r="J644" s="122">
        <f>IF($A644="","",$F644*$G644)</f>
        <v/>
      </c>
    </row>
    <row r="645" ht="15" customHeight="1" s="80">
      <c r="A645" s="125" t="n"/>
      <c r="B645" s="125" t="n"/>
      <c r="C645" s="125" t="n"/>
      <c r="D645" s="130" t="n"/>
      <c r="E645" s="130" t="n"/>
      <c r="F645" s="121" t="n"/>
      <c r="G645" s="129" t="n"/>
      <c r="H645" s="125" t="n"/>
      <c r="I645" s="125" t="n"/>
      <c r="J645" s="122">
        <f>IF($A645="","",$F645*$G645)</f>
        <v/>
      </c>
    </row>
    <row r="646" ht="15" customHeight="1" s="80">
      <c r="A646" s="125" t="n"/>
      <c r="B646" s="125" t="n"/>
      <c r="C646" s="125" t="n"/>
      <c r="D646" s="130" t="n"/>
      <c r="E646" s="130" t="n"/>
      <c r="F646" s="121" t="n"/>
      <c r="G646" s="129" t="n"/>
      <c r="H646" s="125" t="n"/>
      <c r="I646" s="125" t="n"/>
      <c r="J646" s="122">
        <f>IF($A646="","",$F646*$G646)</f>
        <v/>
      </c>
    </row>
    <row r="647" ht="15" customHeight="1" s="80">
      <c r="A647" s="125" t="n"/>
      <c r="B647" s="125" t="n"/>
      <c r="C647" s="125" t="n"/>
      <c r="D647" s="130" t="n"/>
      <c r="E647" s="130" t="n"/>
      <c r="F647" s="121" t="n"/>
      <c r="G647" s="129" t="n"/>
      <c r="H647" s="125" t="n"/>
      <c r="I647" s="125" t="n"/>
      <c r="J647" s="122">
        <f>IF($A647="","",$F647*$G647)</f>
        <v/>
      </c>
    </row>
    <row r="648" ht="15" customHeight="1" s="80">
      <c r="A648" s="125" t="n"/>
      <c r="B648" s="125" t="n"/>
      <c r="C648" s="125" t="n"/>
      <c r="D648" s="130" t="n"/>
      <c r="E648" s="130" t="n"/>
      <c r="F648" s="121" t="n"/>
      <c r="G648" s="129" t="n"/>
      <c r="H648" s="125" t="n"/>
      <c r="I648" s="125" t="n"/>
      <c r="J648" s="122">
        <f>IF($A648="","",$F648*$G648)</f>
        <v/>
      </c>
    </row>
    <row r="649" ht="15" customHeight="1" s="80">
      <c r="A649" s="125" t="n"/>
      <c r="B649" s="125" t="n"/>
      <c r="C649" s="125" t="n"/>
      <c r="D649" s="130" t="n"/>
      <c r="E649" s="130" t="n"/>
      <c r="F649" s="121" t="n"/>
      <c r="G649" s="129" t="n"/>
      <c r="H649" s="125" t="n"/>
      <c r="I649" s="125" t="n"/>
      <c r="J649" s="122">
        <f>IF($A649="","",$F649*$G649)</f>
        <v/>
      </c>
    </row>
    <row r="650" ht="15" customHeight="1" s="80">
      <c r="A650" s="125" t="n"/>
      <c r="B650" s="125" t="n"/>
      <c r="C650" s="125" t="n"/>
      <c r="D650" s="130" t="n"/>
      <c r="E650" s="130" t="n"/>
      <c r="F650" s="121" t="n"/>
      <c r="G650" s="129" t="n"/>
      <c r="H650" s="125" t="n"/>
      <c r="I650" s="125" t="n"/>
      <c r="J650" s="122">
        <f>IF($A650="","",$F650*$G650)</f>
        <v/>
      </c>
    </row>
    <row r="651" ht="15" customHeight="1" s="80">
      <c r="A651" s="125" t="n"/>
      <c r="B651" s="125" t="n"/>
      <c r="C651" s="125" t="n"/>
      <c r="D651" s="130" t="n"/>
      <c r="E651" s="130" t="n"/>
      <c r="F651" s="121" t="n"/>
      <c r="G651" s="129" t="n"/>
      <c r="H651" s="125" t="n"/>
      <c r="I651" s="125" t="n"/>
      <c r="J651" s="122">
        <f>IF($A651="","",$F651*$G651)</f>
        <v/>
      </c>
    </row>
    <row r="652" ht="15" customHeight="1" s="80">
      <c r="A652" s="125" t="n"/>
      <c r="B652" s="125" t="n"/>
      <c r="C652" s="125" t="n"/>
      <c r="D652" s="130" t="n"/>
      <c r="E652" s="130" t="n"/>
      <c r="F652" s="121" t="n"/>
      <c r="G652" s="129" t="n"/>
      <c r="H652" s="125" t="n"/>
      <c r="I652" s="125" t="n"/>
      <c r="J652" s="122">
        <f>IF($A652="","",$F652*$G652)</f>
        <v/>
      </c>
    </row>
    <row r="653" ht="15" customHeight="1" s="80">
      <c r="A653" s="125" t="n"/>
      <c r="B653" s="125" t="n"/>
      <c r="C653" s="125" t="n"/>
      <c r="D653" s="130" t="n"/>
      <c r="E653" s="130" t="n"/>
      <c r="F653" s="121" t="n"/>
      <c r="G653" s="129" t="n"/>
      <c r="H653" s="125" t="n"/>
      <c r="I653" s="125" t="n"/>
      <c r="J653" s="122">
        <f>IF($A653="","",$F653*$G653)</f>
        <v/>
      </c>
    </row>
    <row r="654" ht="15" customHeight="1" s="80">
      <c r="A654" s="125" t="n"/>
      <c r="B654" s="125" t="n"/>
      <c r="C654" s="125" t="n"/>
      <c r="D654" s="130" t="n"/>
      <c r="E654" s="130" t="n"/>
      <c r="F654" s="121" t="n"/>
      <c r="G654" s="129" t="n"/>
      <c r="H654" s="125" t="n"/>
      <c r="I654" s="125" t="n"/>
      <c r="J654" s="122">
        <f>IF($A654="","",$F654*$G654)</f>
        <v/>
      </c>
    </row>
    <row r="655" ht="15" customHeight="1" s="80">
      <c r="A655" s="125" t="n"/>
      <c r="B655" s="125" t="n"/>
      <c r="C655" s="125" t="n"/>
      <c r="D655" s="130" t="n"/>
      <c r="E655" s="130" t="n"/>
      <c r="F655" s="121" t="n"/>
      <c r="G655" s="129" t="n"/>
      <c r="H655" s="125" t="n"/>
      <c r="I655" s="125" t="n"/>
      <c r="J655" s="122">
        <f>IF($A655="","",$F655*$G655)</f>
        <v/>
      </c>
    </row>
    <row r="656" ht="15" customHeight="1" s="80">
      <c r="A656" s="125" t="n"/>
      <c r="B656" s="125" t="n"/>
      <c r="C656" s="125" t="n"/>
      <c r="D656" s="130" t="n"/>
      <c r="E656" s="130" t="n"/>
      <c r="F656" s="121" t="n"/>
      <c r="G656" s="129" t="n"/>
      <c r="H656" s="125" t="n"/>
      <c r="I656" s="125" t="n"/>
      <c r="J656" s="122">
        <f>IF($A656="","",$F656*$G656)</f>
        <v/>
      </c>
    </row>
    <row r="657" ht="15" customHeight="1" s="80">
      <c r="A657" s="125" t="n"/>
      <c r="B657" s="125" t="n"/>
      <c r="C657" s="125" t="n"/>
      <c r="D657" s="130" t="n"/>
      <c r="E657" s="130" t="n"/>
      <c r="F657" s="121" t="n"/>
      <c r="G657" s="129" t="n"/>
      <c r="H657" s="125" t="n"/>
      <c r="I657" s="125" t="n"/>
      <c r="J657" s="122">
        <f>IF($A657="","",$F657*$G657)</f>
        <v/>
      </c>
    </row>
    <row r="658" ht="15" customHeight="1" s="80">
      <c r="A658" s="125" t="n"/>
      <c r="B658" s="125" t="n"/>
      <c r="C658" s="125" t="n"/>
      <c r="D658" s="130" t="n"/>
      <c r="E658" s="130" t="n"/>
      <c r="F658" s="121" t="n"/>
      <c r="G658" s="129" t="n"/>
      <c r="H658" s="125" t="n"/>
      <c r="I658" s="125" t="n"/>
      <c r="J658" s="122">
        <f>IF($A658="","",$F658*$G658)</f>
        <v/>
      </c>
    </row>
    <row r="659" ht="15" customHeight="1" s="80">
      <c r="A659" s="125" t="n"/>
      <c r="B659" s="125" t="n"/>
      <c r="C659" s="125" t="n"/>
      <c r="D659" s="130" t="n"/>
      <c r="E659" s="130" t="n"/>
      <c r="F659" s="121" t="n"/>
      <c r="G659" s="129" t="n"/>
      <c r="H659" s="125" t="n"/>
      <c r="I659" s="125" t="n"/>
      <c r="J659" s="122">
        <f>IF($A659="","",$F659*$G659)</f>
        <v/>
      </c>
    </row>
    <row r="660" ht="15" customHeight="1" s="80">
      <c r="A660" s="125" t="n"/>
      <c r="B660" s="125" t="n"/>
      <c r="C660" s="125" t="n"/>
      <c r="D660" s="130" t="n"/>
      <c r="E660" s="130" t="n"/>
      <c r="F660" s="121" t="n"/>
      <c r="G660" s="129" t="n"/>
      <c r="H660" s="125" t="n"/>
      <c r="I660" s="125" t="n"/>
      <c r="J660" s="122">
        <f>IF($A660="","",$F660*$G660)</f>
        <v/>
      </c>
    </row>
    <row r="661" ht="15" customHeight="1" s="80">
      <c r="A661" s="125" t="n"/>
      <c r="B661" s="125" t="n"/>
      <c r="C661" s="125" t="n"/>
      <c r="D661" s="130" t="n"/>
      <c r="E661" s="130" t="n"/>
      <c r="F661" s="121" t="n"/>
      <c r="G661" s="129" t="n"/>
      <c r="H661" s="125" t="n"/>
      <c r="I661" s="125" t="n"/>
      <c r="J661" s="122">
        <f>IF($A661="","",$F661*$G661)</f>
        <v/>
      </c>
    </row>
    <row r="662" ht="15" customHeight="1" s="80">
      <c r="A662" s="125" t="n"/>
      <c r="B662" s="125" t="n"/>
      <c r="C662" s="125" t="n"/>
      <c r="D662" s="130" t="n"/>
      <c r="E662" s="130" t="n"/>
      <c r="F662" s="121" t="n"/>
      <c r="G662" s="129" t="n"/>
      <c r="H662" s="125" t="n"/>
      <c r="I662" s="125" t="n"/>
      <c r="J662" s="122">
        <f>IF($A662="","",$F662*$G662)</f>
        <v/>
      </c>
    </row>
    <row r="663" ht="15" customHeight="1" s="80">
      <c r="A663" s="125" t="n"/>
      <c r="B663" s="125" t="n"/>
      <c r="C663" s="125" t="n"/>
      <c r="D663" s="130" t="n"/>
      <c r="E663" s="130" t="n"/>
      <c r="F663" s="121" t="n"/>
      <c r="G663" s="129" t="n"/>
      <c r="H663" s="125" t="n"/>
      <c r="I663" s="125" t="n"/>
      <c r="J663" s="122">
        <f>IF($A663="","",$F663*$G663)</f>
        <v/>
      </c>
    </row>
    <row r="664" ht="15" customHeight="1" s="80">
      <c r="A664" s="125" t="n"/>
      <c r="B664" s="125" t="n"/>
      <c r="C664" s="125" t="n"/>
      <c r="D664" s="130" t="n"/>
      <c r="E664" s="130" t="n"/>
      <c r="F664" s="121" t="n"/>
      <c r="G664" s="129" t="n"/>
      <c r="H664" s="125" t="n"/>
      <c r="I664" s="125" t="n"/>
      <c r="J664" s="122">
        <f>IF($A664="","",$F664*$G664)</f>
        <v/>
      </c>
    </row>
    <row r="665" ht="15" customHeight="1" s="80">
      <c r="A665" s="125" t="n"/>
      <c r="B665" s="125" t="n"/>
      <c r="C665" s="125" t="n"/>
      <c r="D665" s="130" t="n"/>
      <c r="E665" s="130" t="n"/>
      <c r="F665" s="121" t="n"/>
      <c r="G665" s="129" t="n"/>
      <c r="H665" s="125" t="n"/>
      <c r="I665" s="125" t="n"/>
      <c r="J665" s="122">
        <f>IF($A665="","",$F665*$G665)</f>
        <v/>
      </c>
    </row>
    <row r="666" ht="15" customHeight="1" s="80">
      <c r="A666" s="125" t="n"/>
      <c r="B666" s="125" t="n"/>
      <c r="C666" s="125" t="n"/>
      <c r="D666" s="130" t="n"/>
      <c r="E666" s="130" t="n"/>
      <c r="F666" s="121" t="n"/>
      <c r="G666" s="129" t="n"/>
      <c r="H666" s="125" t="n"/>
      <c r="I666" s="125" t="n"/>
      <c r="J666" s="122">
        <f>IF($A666="","",$F666*$G666)</f>
        <v/>
      </c>
    </row>
    <row r="667" ht="15" customHeight="1" s="80">
      <c r="A667" s="125" t="n"/>
      <c r="B667" s="125" t="n"/>
      <c r="C667" s="125" t="n"/>
      <c r="D667" s="130" t="n"/>
      <c r="E667" s="130" t="n"/>
      <c r="F667" s="121" t="n"/>
      <c r="G667" s="129" t="n"/>
      <c r="H667" s="125" t="n"/>
      <c r="I667" s="125" t="n"/>
      <c r="J667" s="122">
        <f>IF($A667="","",$F667*$G667)</f>
        <v/>
      </c>
    </row>
    <row r="668" ht="15" customHeight="1" s="80">
      <c r="A668" s="125" t="n"/>
      <c r="B668" s="125" t="n"/>
      <c r="C668" s="125" t="n"/>
      <c r="D668" s="130" t="n"/>
      <c r="E668" s="130" t="n"/>
      <c r="F668" s="121" t="n"/>
      <c r="G668" s="129" t="n"/>
      <c r="H668" s="125" t="n"/>
      <c r="I668" s="125" t="n"/>
      <c r="J668" s="122">
        <f>IF($A668="","",$F668*$G668)</f>
        <v/>
      </c>
    </row>
    <row r="669" ht="15" customHeight="1" s="80">
      <c r="A669" s="125" t="n"/>
      <c r="B669" s="125" t="n"/>
      <c r="C669" s="125" t="n"/>
      <c r="D669" s="130" t="n"/>
      <c r="E669" s="130" t="n"/>
      <c r="F669" s="121" t="n"/>
      <c r="G669" s="129" t="n"/>
      <c r="H669" s="125" t="n"/>
      <c r="I669" s="125" t="n"/>
      <c r="J669" s="122">
        <f>IF($A669="","",$F669*$G669)</f>
        <v/>
      </c>
    </row>
    <row r="670" ht="15" customHeight="1" s="80">
      <c r="A670" s="125" t="n"/>
      <c r="B670" s="125" t="n"/>
      <c r="C670" s="125" t="n"/>
      <c r="D670" s="130" t="n"/>
      <c r="E670" s="130" t="n"/>
      <c r="F670" s="121" t="n"/>
      <c r="G670" s="129" t="n"/>
      <c r="H670" s="125" t="n"/>
      <c r="I670" s="125" t="n"/>
      <c r="J670" s="122">
        <f>IF($A670="","",$F670*$G670)</f>
        <v/>
      </c>
    </row>
    <row r="671" ht="15" customHeight="1" s="80">
      <c r="A671" s="125" t="n"/>
      <c r="B671" s="125" t="n"/>
      <c r="C671" s="125" t="n"/>
      <c r="D671" s="130" t="n"/>
      <c r="E671" s="130" t="n"/>
      <c r="F671" s="121" t="n"/>
      <c r="G671" s="129" t="n"/>
      <c r="H671" s="125" t="n"/>
      <c r="I671" s="125" t="n"/>
      <c r="J671" s="122">
        <f>IF($A671="","",$F671*$G671)</f>
        <v/>
      </c>
    </row>
    <row r="672" ht="15" customHeight="1" s="80">
      <c r="A672" s="125" t="n"/>
      <c r="B672" s="125" t="n"/>
      <c r="C672" s="125" t="n"/>
      <c r="D672" s="130" t="n"/>
      <c r="E672" s="130" t="n"/>
      <c r="F672" s="121" t="n"/>
      <c r="G672" s="129" t="n"/>
      <c r="H672" s="125" t="n"/>
      <c r="I672" s="125" t="n"/>
      <c r="J672" s="122">
        <f>IF($A672="","",$F672*$G672)</f>
        <v/>
      </c>
    </row>
    <row r="673" ht="15" customHeight="1" s="80">
      <c r="A673" s="125" t="n"/>
      <c r="B673" s="125" t="n"/>
      <c r="C673" s="125" t="n"/>
      <c r="D673" s="130" t="n"/>
      <c r="E673" s="130" t="n"/>
      <c r="F673" s="121" t="n"/>
      <c r="G673" s="129" t="n"/>
      <c r="H673" s="125" t="n"/>
      <c r="I673" s="125" t="n"/>
      <c r="J673" s="122">
        <f>IF($A673="","",$F673*$G673)</f>
        <v/>
      </c>
    </row>
    <row r="674" ht="15" customHeight="1" s="80">
      <c r="A674" s="125" t="n"/>
      <c r="B674" s="125" t="n"/>
      <c r="C674" s="125" t="n"/>
      <c r="D674" s="130" t="n"/>
      <c r="E674" s="130" t="n"/>
      <c r="F674" s="121" t="n"/>
      <c r="G674" s="129" t="n"/>
      <c r="H674" s="125" t="n"/>
      <c r="I674" s="125" t="n"/>
      <c r="J674" s="122">
        <f>IF($A674="","",$F674*$G674)</f>
        <v/>
      </c>
    </row>
    <row r="675" ht="15" customHeight="1" s="80">
      <c r="A675" s="125" t="n"/>
      <c r="B675" s="125" t="n"/>
      <c r="C675" s="125" t="n"/>
      <c r="D675" s="130" t="n"/>
      <c r="E675" s="130" t="n"/>
      <c r="F675" s="121" t="n"/>
      <c r="G675" s="129" t="n"/>
      <c r="H675" s="125" t="n"/>
      <c r="I675" s="125" t="n"/>
      <c r="J675" s="122">
        <f>IF($A675="","",$F675*$G675)</f>
        <v/>
      </c>
    </row>
    <row r="676" ht="15" customHeight="1" s="80">
      <c r="A676" s="125" t="n"/>
      <c r="B676" s="125" t="n"/>
      <c r="C676" s="125" t="n"/>
      <c r="D676" s="130" t="n"/>
      <c r="E676" s="130" t="n"/>
      <c r="F676" s="121" t="n"/>
      <c r="G676" s="129" t="n"/>
      <c r="H676" s="125" t="n"/>
      <c r="I676" s="125" t="n"/>
      <c r="J676" s="122">
        <f>IF($A676="","",$F676*$G676)</f>
        <v/>
      </c>
    </row>
    <row r="677" ht="15" customHeight="1" s="80">
      <c r="A677" s="125" t="n"/>
      <c r="B677" s="125" t="n"/>
      <c r="C677" s="125" t="n"/>
      <c r="D677" s="130" t="n"/>
      <c r="E677" s="130" t="n"/>
      <c r="F677" s="121" t="n"/>
      <c r="G677" s="129" t="n"/>
      <c r="H677" s="125" t="n"/>
      <c r="I677" s="125" t="n"/>
      <c r="J677" s="122">
        <f>IF($A677="","",$F677*$G677)</f>
        <v/>
      </c>
    </row>
    <row r="678" ht="15" customHeight="1" s="80">
      <c r="A678" s="125" t="n"/>
      <c r="B678" s="125" t="n"/>
      <c r="C678" s="125" t="n"/>
      <c r="D678" s="130" t="n"/>
      <c r="E678" s="130" t="n"/>
      <c r="F678" s="121" t="n"/>
      <c r="G678" s="129" t="n"/>
      <c r="H678" s="125" t="n"/>
      <c r="I678" s="125" t="n"/>
      <c r="J678" s="122">
        <f>IF($A678="","",$F678*$G678)</f>
        <v/>
      </c>
    </row>
    <row r="679" ht="15" customHeight="1" s="80">
      <c r="A679" s="125" t="n"/>
      <c r="B679" s="125" t="n"/>
      <c r="C679" s="125" t="n"/>
      <c r="D679" s="130" t="n"/>
      <c r="E679" s="130" t="n"/>
      <c r="F679" s="121" t="n"/>
      <c r="G679" s="129" t="n"/>
      <c r="H679" s="125" t="n"/>
      <c r="I679" s="125" t="n"/>
      <c r="J679" s="122">
        <f>IF($A679="","",$F679*$G679)</f>
        <v/>
      </c>
    </row>
    <row r="680" ht="15" customHeight="1" s="80">
      <c r="A680" s="125" t="n"/>
      <c r="B680" s="125" t="n"/>
      <c r="C680" s="125" t="n"/>
      <c r="D680" s="130" t="n"/>
      <c r="E680" s="130" t="n"/>
      <c r="F680" s="121" t="n"/>
      <c r="G680" s="129" t="n"/>
      <c r="H680" s="125" t="n"/>
      <c r="I680" s="125" t="n"/>
      <c r="J680" s="122">
        <f>IF($A680="","",$F680*$G680)</f>
        <v/>
      </c>
    </row>
    <row r="681" ht="15" customHeight="1" s="80">
      <c r="A681" s="125" t="n"/>
      <c r="B681" s="125" t="n"/>
      <c r="C681" s="125" t="n"/>
      <c r="D681" s="130" t="n"/>
      <c r="E681" s="130" t="n"/>
      <c r="F681" s="121" t="n"/>
      <c r="G681" s="129" t="n"/>
      <c r="H681" s="125" t="n"/>
      <c r="I681" s="125" t="n"/>
      <c r="J681" s="122">
        <f>IF($A681="","",$F681*$G681)</f>
        <v/>
      </c>
    </row>
    <row r="682" ht="15" customHeight="1" s="80">
      <c r="A682" s="125" t="n"/>
      <c r="B682" s="125" t="n"/>
      <c r="C682" s="125" t="n"/>
      <c r="D682" s="130" t="n"/>
      <c r="E682" s="130" t="n"/>
      <c r="F682" s="121" t="n"/>
      <c r="G682" s="129" t="n"/>
      <c r="H682" s="125" t="n"/>
      <c r="I682" s="125" t="n"/>
      <c r="J682" s="122">
        <f>IF($A682="","",$F682*$G682)</f>
        <v/>
      </c>
    </row>
    <row r="683" ht="15" customHeight="1" s="80">
      <c r="A683" s="125" t="n"/>
      <c r="B683" s="125" t="n"/>
      <c r="C683" s="125" t="n"/>
      <c r="D683" s="130" t="n"/>
      <c r="E683" s="130" t="n"/>
      <c r="F683" s="121" t="n"/>
      <c r="G683" s="129" t="n"/>
      <c r="H683" s="125" t="n"/>
      <c r="I683" s="125" t="n"/>
      <c r="J683" s="122">
        <f>IF($A683="","",$F683*$G683)</f>
        <v/>
      </c>
    </row>
    <row r="684" ht="15" customHeight="1" s="80">
      <c r="A684" s="125" t="n"/>
      <c r="B684" s="125" t="n"/>
      <c r="C684" s="125" t="n"/>
      <c r="D684" s="130" t="n"/>
      <c r="E684" s="130" t="n"/>
      <c r="F684" s="121" t="n"/>
      <c r="G684" s="129" t="n"/>
      <c r="H684" s="125" t="n"/>
      <c r="I684" s="125" t="n"/>
      <c r="J684" s="122">
        <f>IF($A684="","",$F684*$G684)</f>
        <v/>
      </c>
    </row>
    <row r="685" ht="15" customHeight="1" s="80">
      <c r="A685" s="125" t="n"/>
      <c r="B685" s="125" t="n"/>
      <c r="C685" s="125" t="n"/>
      <c r="D685" s="130" t="n"/>
      <c r="E685" s="130" t="n"/>
      <c r="F685" s="121" t="n"/>
      <c r="G685" s="129" t="n"/>
      <c r="H685" s="125" t="n"/>
      <c r="I685" s="125" t="n"/>
      <c r="J685" s="122">
        <f>IF($A685="","",$F685*$G685)</f>
        <v/>
      </c>
    </row>
    <row r="686" ht="15" customHeight="1" s="80">
      <c r="A686" s="125" t="n"/>
      <c r="B686" s="125" t="n"/>
      <c r="C686" s="125" t="n"/>
      <c r="D686" s="130" t="n"/>
      <c r="E686" s="130" t="n"/>
      <c r="F686" s="121" t="n"/>
      <c r="G686" s="129" t="n"/>
      <c r="H686" s="125" t="n"/>
      <c r="I686" s="125" t="n"/>
      <c r="J686" s="122">
        <f>IF($A686="","",$F686*$G686)</f>
        <v/>
      </c>
    </row>
    <row r="687" ht="15" customHeight="1" s="80">
      <c r="A687" s="125" t="n"/>
      <c r="B687" s="125" t="n"/>
      <c r="C687" s="125" t="n"/>
      <c r="D687" s="130" t="n"/>
      <c r="E687" s="130" t="n"/>
      <c r="F687" s="121" t="n"/>
      <c r="G687" s="129" t="n"/>
      <c r="H687" s="125" t="n"/>
      <c r="I687" s="125" t="n"/>
      <c r="J687" s="122">
        <f>IF($A687="","",$F687*$G687)</f>
        <v/>
      </c>
    </row>
    <row r="688" ht="15" customHeight="1" s="80">
      <c r="A688" s="125" t="n"/>
      <c r="B688" s="125" t="n"/>
      <c r="C688" s="125" t="n"/>
      <c r="D688" s="130" t="n"/>
      <c r="E688" s="130" t="n"/>
      <c r="F688" s="121" t="n"/>
      <c r="G688" s="129" t="n"/>
      <c r="H688" s="125" t="n"/>
      <c r="I688" s="125" t="n"/>
      <c r="J688" s="122">
        <f>IF($A688="","",$F688*$G688)</f>
        <v/>
      </c>
    </row>
    <row r="689" ht="15" customHeight="1" s="80">
      <c r="A689" s="125" t="n"/>
      <c r="B689" s="125" t="n"/>
      <c r="C689" s="125" t="n"/>
      <c r="D689" s="130" t="n"/>
      <c r="E689" s="130" t="n"/>
      <c r="F689" s="121" t="n"/>
      <c r="G689" s="129" t="n"/>
      <c r="H689" s="125" t="n"/>
      <c r="I689" s="125" t="n"/>
      <c r="J689" s="122">
        <f>IF($A689="","",$F689*$G689)</f>
        <v/>
      </c>
    </row>
    <row r="690" ht="15" customHeight="1" s="80">
      <c r="A690" s="125" t="n"/>
      <c r="B690" s="125" t="n"/>
      <c r="C690" s="125" t="n"/>
      <c r="D690" s="130" t="n"/>
      <c r="E690" s="130" t="n"/>
      <c r="F690" s="121" t="n"/>
      <c r="G690" s="129" t="n"/>
      <c r="H690" s="125" t="n"/>
      <c r="I690" s="125" t="n"/>
      <c r="J690" s="122">
        <f>IF($A690="","",$F690*$G690)</f>
        <v/>
      </c>
    </row>
    <row r="691" ht="15" customHeight="1" s="80">
      <c r="A691" s="125" t="n"/>
      <c r="B691" s="125" t="n"/>
      <c r="C691" s="125" t="n"/>
      <c r="D691" s="130" t="n"/>
      <c r="E691" s="130" t="n"/>
      <c r="F691" s="121" t="n"/>
      <c r="G691" s="129" t="n"/>
      <c r="H691" s="125" t="n"/>
      <c r="I691" s="125" t="n"/>
      <c r="J691" s="122">
        <f>IF($A691="","",$F691*$G691)</f>
        <v/>
      </c>
    </row>
    <row r="692" ht="15" customHeight="1" s="80">
      <c r="A692" s="125" t="n"/>
      <c r="B692" s="125" t="n"/>
      <c r="C692" s="125" t="n"/>
      <c r="D692" s="130" t="n"/>
      <c r="E692" s="130" t="n"/>
      <c r="F692" s="121" t="n"/>
      <c r="G692" s="129" t="n"/>
      <c r="H692" s="125" t="n"/>
      <c r="I692" s="125" t="n"/>
      <c r="J692" s="122">
        <f>IF($A692="","",$F692*$G692)</f>
        <v/>
      </c>
    </row>
    <row r="693" ht="15" customHeight="1" s="80">
      <c r="A693" s="125" t="n"/>
      <c r="B693" s="125" t="n"/>
      <c r="C693" s="125" t="n"/>
      <c r="D693" s="130" t="n"/>
      <c r="E693" s="130" t="n"/>
      <c r="F693" s="121" t="n"/>
      <c r="G693" s="129" t="n"/>
      <c r="H693" s="125" t="n"/>
      <c r="I693" s="125" t="n"/>
      <c r="J693" s="122">
        <f>IF($A693="","",$F693*$G693)</f>
        <v/>
      </c>
    </row>
    <row r="694" ht="15" customHeight="1" s="80">
      <c r="A694" s="125" t="n"/>
      <c r="B694" s="125" t="n"/>
      <c r="C694" s="125" t="n"/>
      <c r="D694" s="130" t="n"/>
      <c r="E694" s="130" t="n"/>
      <c r="F694" s="121" t="n"/>
      <c r="G694" s="129" t="n"/>
      <c r="H694" s="125" t="n"/>
      <c r="I694" s="125" t="n"/>
      <c r="J694" s="122">
        <f>IF($A694="","",$F694*$G694)</f>
        <v/>
      </c>
    </row>
    <row r="695" ht="15" customHeight="1" s="80">
      <c r="A695" s="125" t="n"/>
      <c r="B695" s="125" t="n"/>
      <c r="C695" s="125" t="n"/>
      <c r="D695" s="130" t="n"/>
      <c r="E695" s="130" t="n"/>
      <c r="F695" s="121" t="n"/>
      <c r="G695" s="129" t="n"/>
      <c r="H695" s="125" t="n"/>
      <c r="I695" s="125" t="n"/>
      <c r="J695" s="122">
        <f>IF($A695="","",$F695*$G695)</f>
        <v/>
      </c>
    </row>
    <row r="696" ht="15" customHeight="1" s="80">
      <c r="A696" s="125" t="n"/>
      <c r="B696" s="125" t="n"/>
      <c r="C696" s="125" t="n"/>
      <c r="D696" s="130" t="n"/>
      <c r="E696" s="130" t="n"/>
      <c r="F696" s="121" t="n"/>
      <c r="G696" s="129" t="n"/>
      <c r="H696" s="125" t="n"/>
      <c r="I696" s="125" t="n"/>
      <c r="J696" s="122">
        <f>IF($A696="","",$F696*$G696)</f>
        <v/>
      </c>
    </row>
    <row r="697" ht="15" customHeight="1" s="80">
      <c r="A697" s="125" t="n"/>
      <c r="B697" s="125" t="n"/>
      <c r="C697" s="125" t="n"/>
      <c r="D697" s="130" t="n"/>
      <c r="E697" s="130" t="n"/>
      <c r="F697" s="121" t="n"/>
      <c r="G697" s="129" t="n"/>
      <c r="H697" s="125" t="n"/>
      <c r="I697" s="125" t="n"/>
      <c r="J697" s="122">
        <f>IF($A697="","",$F697*$G697)</f>
        <v/>
      </c>
    </row>
    <row r="698" ht="15" customHeight="1" s="80">
      <c r="A698" s="125" t="n"/>
      <c r="B698" s="125" t="n"/>
      <c r="C698" s="125" t="n"/>
      <c r="D698" s="130" t="n"/>
      <c r="E698" s="130" t="n"/>
      <c r="F698" s="121" t="n"/>
      <c r="G698" s="129" t="n"/>
      <c r="H698" s="125" t="n"/>
      <c r="I698" s="125" t="n"/>
      <c r="J698" s="122">
        <f>IF($A698="","",$F698*$G698)</f>
        <v/>
      </c>
    </row>
    <row r="699" ht="15" customHeight="1" s="80">
      <c r="A699" s="125" t="n"/>
      <c r="B699" s="125" t="n"/>
      <c r="C699" s="125" t="n"/>
      <c r="D699" s="130" t="n"/>
      <c r="E699" s="130" t="n"/>
      <c r="F699" s="121" t="n"/>
      <c r="G699" s="129" t="n"/>
      <c r="H699" s="125" t="n"/>
      <c r="I699" s="125" t="n"/>
      <c r="J699" s="122">
        <f>IF($A699="","",$F699*$G699)</f>
        <v/>
      </c>
    </row>
    <row r="700" ht="15" customHeight="1" s="80">
      <c r="A700" s="125" t="n"/>
      <c r="B700" s="125" t="n"/>
      <c r="C700" s="125" t="n"/>
      <c r="D700" s="130" t="n"/>
      <c r="E700" s="130" t="n"/>
      <c r="F700" s="121" t="n"/>
      <c r="G700" s="129" t="n"/>
      <c r="H700" s="125" t="n"/>
      <c r="I700" s="125" t="n"/>
      <c r="J700" s="122">
        <f>IF($A700="","",$F700*$G700)</f>
        <v/>
      </c>
    </row>
    <row r="701" ht="15" customHeight="1" s="80">
      <c r="A701" s="125" t="n"/>
      <c r="B701" s="125" t="n"/>
      <c r="C701" s="125" t="n"/>
      <c r="D701" s="130" t="n"/>
      <c r="E701" s="130" t="n"/>
      <c r="F701" s="121" t="n"/>
      <c r="G701" s="129" t="n"/>
      <c r="H701" s="125" t="n"/>
      <c r="I701" s="125" t="n"/>
      <c r="J701" s="122">
        <f>IF($A701="","",$F701*$G701)</f>
        <v/>
      </c>
    </row>
    <row r="702" ht="15" customHeight="1" s="80">
      <c r="A702" s="125" t="n"/>
      <c r="B702" s="125" t="n"/>
      <c r="C702" s="125" t="n"/>
      <c r="D702" s="130" t="n"/>
      <c r="E702" s="130" t="n"/>
      <c r="F702" s="121" t="n"/>
      <c r="G702" s="129" t="n"/>
      <c r="H702" s="125" t="n"/>
      <c r="I702" s="125" t="n"/>
      <c r="J702" s="122">
        <f>IF($A702="","",$F702*$G702)</f>
        <v/>
      </c>
    </row>
    <row r="703" ht="15" customHeight="1" s="80">
      <c r="A703" s="125" t="n"/>
      <c r="B703" s="125" t="n"/>
      <c r="C703" s="125" t="n"/>
      <c r="D703" s="130" t="n"/>
      <c r="E703" s="130" t="n"/>
      <c r="F703" s="121" t="n"/>
      <c r="G703" s="129" t="n"/>
      <c r="H703" s="125" t="n"/>
      <c r="I703" s="125" t="n"/>
      <c r="J703" s="122">
        <f>IF($A703="","",$F703*$G703)</f>
        <v/>
      </c>
    </row>
    <row r="704" ht="15" customHeight="1" s="80">
      <c r="A704" s="125" t="n"/>
      <c r="B704" s="125" t="n"/>
      <c r="C704" s="125" t="n"/>
      <c r="D704" s="130" t="n"/>
      <c r="E704" s="130" t="n"/>
      <c r="F704" s="121" t="n"/>
      <c r="G704" s="129" t="n"/>
      <c r="H704" s="125" t="n"/>
      <c r="I704" s="125" t="n"/>
      <c r="J704" s="122">
        <f>IF($A704="","",$F704*$G704)</f>
        <v/>
      </c>
    </row>
    <row r="705" ht="15" customHeight="1" s="80">
      <c r="A705" s="125" t="n"/>
      <c r="B705" s="125" t="n"/>
      <c r="C705" s="125" t="n"/>
      <c r="D705" s="130" t="n"/>
      <c r="E705" s="130" t="n"/>
      <c r="F705" s="121" t="n"/>
      <c r="G705" s="129" t="n"/>
      <c r="H705" s="125" t="n"/>
      <c r="I705" s="125" t="n"/>
      <c r="J705" s="122">
        <f>IF($A705="","",$F705*$G705)</f>
        <v/>
      </c>
    </row>
    <row r="706" ht="15" customHeight="1" s="80">
      <c r="A706" s="125" t="n"/>
      <c r="B706" s="125" t="n"/>
      <c r="C706" s="125" t="n"/>
      <c r="D706" s="130" t="n"/>
      <c r="E706" s="130" t="n"/>
      <c r="F706" s="121" t="n"/>
      <c r="G706" s="129" t="n"/>
      <c r="H706" s="125" t="n"/>
      <c r="I706" s="125" t="n"/>
      <c r="J706" s="122">
        <f>IF($A706="","",$F706*$G706)</f>
        <v/>
      </c>
    </row>
    <row r="707" ht="15" customHeight="1" s="80">
      <c r="A707" s="125" t="n"/>
      <c r="B707" s="125" t="n"/>
      <c r="C707" s="125" t="n"/>
      <c r="D707" s="130" t="n"/>
      <c r="E707" s="130" t="n"/>
      <c r="F707" s="121" t="n"/>
      <c r="G707" s="129" t="n"/>
      <c r="H707" s="125" t="n"/>
      <c r="I707" s="125" t="n"/>
      <c r="J707" s="122">
        <f>IF($A707="","",$F707*$G707)</f>
        <v/>
      </c>
    </row>
    <row r="708" ht="15" customHeight="1" s="80">
      <c r="A708" s="125" t="n"/>
      <c r="B708" s="125" t="n"/>
      <c r="C708" s="125" t="n"/>
      <c r="D708" s="130" t="n"/>
      <c r="E708" s="130" t="n"/>
      <c r="F708" s="121" t="n"/>
      <c r="G708" s="129" t="n"/>
      <c r="H708" s="125" t="n"/>
      <c r="I708" s="125" t="n"/>
      <c r="J708" s="122">
        <f>IF($A708="","",$F708*$G708)</f>
        <v/>
      </c>
    </row>
    <row r="709" ht="15" customHeight="1" s="80">
      <c r="A709" s="125" t="n"/>
      <c r="B709" s="125" t="n"/>
      <c r="C709" s="125" t="n"/>
      <c r="D709" s="130" t="n"/>
      <c r="E709" s="130" t="n"/>
      <c r="F709" s="121" t="n"/>
      <c r="G709" s="129" t="n"/>
      <c r="H709" s="125" t="n"/>
      <c r="I709" s="125" t="n"/>
      <c r="J709" s="122">
        <f>IF($A709="","",$F709*$G709)</f>
        <v/>
      </c>
    </row>
    <row r="710" ht="15" customHeight="1" s="80">
      <c r="A710" s="125" t="n"/>
      <c r="B710" s="125" t="n"/>
      <c r="C710" s="125" t="n"/>
      <c r="D710" s="130" t="n"/>
      <c r="E710" s="130" t="n"/>
      <c r="F710" s="121" t="n"/>
      <c r="G710" s="129" t="n"/>
      <c r="H710" s="125" t="n"/>
      <c r="I710" s="125" t="n"/>
      <c r="J710" s="122">
        <f>IF($A710="","",$F710*$G710)</f>
        <v/>
      </c>
    </row>
    <row r="711" ht="15" customHeight="1" s="80">
      <c r="A711" s="125" t="n"/>
      <c r="B711" s="125" t="n"/>
      <c r="C711" s="125" t="n"/>
      <c r="D711" s="130" t="n"/>
      <c r="E711" s="130" t="n"/>
      <c r="F711" s="121" t="n"/>
      <c r="G711" s="129" t="n"/>
      <c r="H711" s="125" t="n"/>
      <c r="I711" s="125" t="n"/>
      <c r="J711" s="122">
        <f>IF($A711="","",$F711*$G711)</f>
        <v/>
      </c>
    </row>
    <row r="712" ht="15" customHeight="1" s="80">
      <c r="A712" s="125" t="n"/>
      <c r="B712" s="125" t="n"/>
      <c r="C712" s="125" t="n"/>
      <c r="D712" s="130" t="n"/>
      <c r="E712" s="130" t="n"/>
      <c r="F712" s="121" t="n"/>
      <c r="G712" s="129" t="n"/>
      <c r="H712" s="125" t="n"/>
      <c r="I712" s="125" t="n"/>
      <c r="J712" s="122">
        <f>IF($A712="","",$F712*$G712)</f>
        <v/>
      </c>
    </row>
    <row r="713" ht="15" customHeight="1" s="80">
      <c r="A713" s="125" t="n"/>
      <c r="B713" s="125" t="n"/>
      <c r="C713" s="125" t="n"/>
      <c r="D713" s="130" t="n"/>
      <c r="E713" s="130" t="n"/>
      <c r="F713" s="121" t="n"/>
      <c r="G713" s="129" t="n"/>
      <c r="H713" s="125" t="n"/>
      <c r="I713" s="125" t="n"/>
      <c r="J713" s="122">
        <f>IF($A713="","",$F713*$G713)</f>
        <v/>
      </c>
    </row>
    <row r="714" ht="15" customHeight="1" s="80">
      <c r="A714" s="125" t="n"/>
      <c r="B714" s="125" t="n"/>
      <c r="C714" s="125" t="n"/>
      <c r="D714" s="130" t="n"/>
      <c r="E714" s="130" t="n"/>
      <c r="F714" s="121" t="n"/>
      <c r="G714" s="129" t="n"/>
      <c r="H714" s="125" t="n"/>
      <c r="I714" s="125" t="n"/>
      <c r="J714" s="122">
        <f>IF($A714="","",$F714*$G714)</f>
        <v/>
      </c>
    </row>
    <row r="715" ht="15" customHeight="1" s="80">
      <c r="A715" s="125" t="n"/>
      <c r="B715" s="125" t="n"/>
      <c r="C715" s="125" t="n"/>
      <c r="D715" s="130" t="n"/>
      <c r="E715" s="130" t="n"/>
      <c r="F715" s="121" t="n"/>
      <c r="G715" s="129" t="n"/>
      <c r="H715" s="125" t="n"/>
      <c r="I715" s="125" t="n"/>
      <c r="J715" s="122">
        <f>IF($A715="","",$F715*$G715)</f>
        <v/>
      </c>
    </row>
    <row r="716" ht="15" customHeight="1" s="80">
      <c r="A716" s="125" t="n"/>
      <c r="B716" s="125" t="n"/>
      <c r="C716" s="125" t="n"/>
      <c r="D716" s="130" t="n"/>
      <c r="E716" s="130" t="n"/>
      <c r="F716" s="121" t="n"/>
      <c r="G716" s="129" t="n"/>
      <c r="H716" s="125" t="n"/>
      <c r="I716" s="125" t="n"/>
      <c r="J716" s="122">
        <f>IF($A716="","",$F716*$G716)</f>
        <v/>
      </c>
    </row>
    <row r="717" ht="15" customHeight="1" s="80">
      <c r="A717" s="125" t="n"/>
      <c r="B717" s="125" t="n"/>
      <c r="C717" s="125" t="n"/>
      <c r="D717" s="130" t="n"/>
      <c r="E717" s="130" t="n"/>
      <c r="F717" s="121" t="n"/>
      <c r="G717" s="129" t="n"/>
      <c r="H717" s="125" t="n"/>
      <c r="I717" s="125" t="n"/>
      <c r="J717" s="122">
        <f>IF($A717="","",$F717*$G717)</f>
        <v/>
      </c>
    </row>
    <row r="718" ht="15" customHeight="1" s="80">
      <c r="A718" s="125" t="n"/>
      <c r="B718" s="125" t="n"/>
      <c r="C718" s="125" t="n"/>
      <c r="D718" s="130" t="n"/>
      <c r="E718" s="130" t="n"/>
      <c r="F718" s="121" t="n"/>
      <c r="G718" s="129" t="n"/>
      <c r="H718" s="125" t="n"/>
      <c r="I718" s="125" t="n"/>
      <c r="J718" s="122">
        <f>IF($A718="","",$F718*$G718)</f>
        <v/>
      </c>
    </row>
    <row r="719" ht="15" customHeight="1" s="80">
      <c r="A719" s="125" t="n"/>
      <c r="B719" s="125" t="n"/>
      <c r="C719" s="125" t="n"/>
      <c r="D719" s="130" t="n"/>
      <c r="E719" s="130" t="n"/>
      <c r="F719" s="121" t="n"/>
      <c r="G719" s="129" t="n"/>
      <c r="H719" s="125" t="n"/>
      <c r="I719" s="125" t="n"/>
      <c r="J719" s="122">
        <f>IF($A719="","",$F719*$G719)</f>
        <v/>
      </c>
    </row>
    <row r="720" ht="15" customHeight="1" s="80">
      <c r="A720" s="125" t="n"/>
      <c r="B720" s="125" t="n"/>
      <c r="C720" s="125" t="n"/>
      <c r="D720" s="130" t="n"/>
      <c r="E720" s="130" t="n"/>
      <c r="F720" s="121" t="n"/>
      <c r="G720" s="129" t="n"/>
      <c r="H720" s="125" t="n"/>
      <c r="I720" s="125" t="n"/>
      <c r="J720" s="122">
        <f>IF($A720="","",$F720*$G720)</f>
        <v/>
      </c>
    </row>
    <row r="721" ht="15" customHeight="1" s="80">
      <c r="A721" s="125" t="n"/>
      <c r="B721" s="125" t="n"/>
      <c r="C721" s="125" t="n"/>
      <c r="D721" s="130" t="n"/>
      <c r="E721" s="130" t="n"/>
      <c r="F721" s="121" t="n"/>
      <c r="G721" s="129" t="n"/>
      <c r="H721" s="125" t="n"/>
      <c r="I721" s="125" t="n"/>
      <c r="J721" s="122">
        <f>IF($A721="","",$F721*$G721)</f>
        <v/>
      </c>
    </row>
    <row r="722" ht="15" customHeight="1" s="80">
      <c r="A722" s="125" t="n"/>
      <c r="B722" s="125" t="n"/>
      <c r="C722" s="125" t="n"/>
      <c r="D722" s="130" t="n"/>
      <c r="E722" s="130" t="n"/>
      <c r="F722" s="121" t="n"/>
      <c r="G722" s="129" t="n"/>
      <c r="H722" s="125" t="n"/>
      <c r="I722" s="125" t="n"/>
      <c r="J722" s="122">
        <f>IF($A722="","",$F722*$G722)</f>
        <v/>
      </c>
    </row>
    <row r="723" ht="15" customHeight="1" s="80">
      <c r="A723" s="125" t="n"/>
      <c r="B723" s="125" t="n"/>
      <c r="C723" s="125" t="n"/>
      <c r="D723" s="130" t="n"/>
      <c r="E723" s="130" t="n"/>
      <c r="F723" s="121" t="n"/>
      <c r="G723" s="129" t="n"/>
      <c r="H723" s="125" t="n"/>
      <c r="I723" s="125" t="n"/>
      <c r="J723" s="122">
        <f>IF($A723="","",$F723*$G723)</f>
        <v/>
      </c>
    </row>
    <row r="724" ht="15" customHeight="1" s="80">
      <c r="A724" s="125" t="n"/>
      <c r="B724" s="125" t="n"/>
      <c r="C724" s="125" t="n"/>
      <c r="D724" s="130" t="n"/>
      <c r="E724" s="130" t="n"/>
      <c r="F724" s="121" t="n"/>
      <c r="G724" s="129" t="n"/>
      <c r="H724" s="125" t="n"/>
      <c r="I724" s="125" t="n"/>
      <c r="J724" s="122">
        <f>IF($A724="","",$F724*$G724)</f>
        <v/>
      </c>
    </row>
    <row r="725" ht="15" customHeight="1" s="80">
      <c r="A725" s="125" t="n"/>
      <c r="B725" s="125" t="n"/>
      <c r="C725" s="125" t="n"/>
      <c r="D725" s="130" t="n"/>
      <c r="E725" s="130" t="n"/>
      <c r="F725" s="121" t="n"/>
      <c r="G725" s="129" t="n"/>
      <c r="H725" s="125" t="n"/>
      <c r="I725" s="125" t="n"/>
      <c r="J725" s="122">
        <f>IF($A725="","",$F725*$G725)</f>
        <v/>
      </c>
    </row>
    <row r="726" ht="15" customHeight="1" s="80">
      <c r="A726" s="125" t="n"/>
      <c r="B726" s="125" t="n"/>
      <c r="C726" s="125" t="n"/>
      <c r="D726" s="130" t="n"/>
      <c r="E726" s="130" t="n"/>
      <c r="F726" s="121" t="n"/>
      <c r="G726" s="129" t="n"/>
      <c r="H726" s="125" t="n"/>
      <c r="I726" s="125" t="n"/>
      <c r="J726" s="122">
        <f>IF($A726="","",$F726*$G726)</f>
        <v/>
      </c>
    </row>
    <row r="727" ht="15" customHeight="1" s="80">
      <c r="A727" s="125" t="n"/>
      <c r="B727" s="125" t="n"/>
      <c r="C727" s="125" t="n"/>
      <c r="D727" s="130" t="n"/>
      <c r="E727" s="130" t="n"/>
      <c r="F727" s="121" t="n"/>
      <c r="G727" s="129" t="n"/>
      <c r="H727" s="125" t="n"/>
      <c r="I727" s="125" t="n"/>
      <c r="J727" s="122">
        <f>IF($A727="","",$F727*$G727)</f>
        <v/>
      </c>
    </row>
    <row r="728" ht="15" customHeight="1" s="80">
      <c r="A728" s="125" t="n"/>
      <c r="B728" s="125" t="n"/>
      <c r="C728" s="125" t="n"/>
      <c r="D728" s="130" t="n"/>
      <c r="E728" s="130" t="n"/>
      <c r="F728" s="121" t="n"/>
      <c r="G728" s="129" t="n"/>
      <c r="H728" s="125" t="n"/>
      <c r="I728" s="125" t="n"/>
      <c r="J728" s="122">
        <f>IF($A728="","",$F728*$G728)</f>
        <v/>
      </c>
    </row>
    <row r="729" ht="15" customHeight="1" s="80">
      <c r="A729" s="125" t="n"/>
      <c r="B729" s="125" t="n"/>
      <c r="C729" s="125" t="n"/>
      <c r="D729" s="130" t="n"/>
      <c r="E729" s="130" t="n"/>
      <c r="F729" s="121" t="n"/>
      <c r="G729" s="129" t="n"/>
      <c r="H729" s="125" t="n"/>
      <c r="I729" s="125" t="n"/>
      <c r="J729" s="122">
        <f>IF($A729="","",$F729*$G729)</f>
        <v/>
      </c>
    </row>
    <row r="730" ht="15" customHeight="1" s="80">
      <c r="A730" s="125" t="n"/>
      <c r="B730" s="125" t="n"/>
      <c r="C730" s="125" t="n"/>
      <c r="D730" s="130" t="n"/>
      <c r="E730" s="130" t="n"/>
      <c r="F730" s="121" t="n"/>
      <c r="G730" s="129" t="n"/>
      <c r="H730" s="125" t="n"/>
      <c r="I730" s="125" t="n"/>
      <c r="J730" s="122">
        <f>IF($A730="","",$F730*$G730)</f>
        <v/>
      </c>
    </row>
    <row r="731" ht="15" customHeight="1" s="80">
      <c r="A731" s="125" t="n"/>
      <c r="B731" s="125" t="n"/>
      <c r="C731" s="125" t="n"/>
      <c r="D731" s="130" t="n"/>
      <c r="E731" s="130" t="n"/>
      <c r="F731" s="121" t="n"/>
      <c r="G731" s="129" t="n"/>
      <c r="H731" s="125" t="n"/>
      <c r="I731" s="125" t="n"/>
      <c r="J731" s="122">
        <f>IF($A731="","",$F731*$G731)</f>
        <v/>
      </c>
    </row>
    <row r="732" ht="15" customHeight="1" s="80">
      <c r="A732" s="125" t="n"/>
      <c r="B732" s="125" t="n"/>
      <c r="C732" s="125" t="n"/>
      <c r="D732" s="130" t="n"/>
      <c r="E732" s="130" t="n"/>
      <c r="F732" s="121" t="n"/>
      <c r="G732" s="129" t="n"/>
      <c r="H732" s="125" t="n"/>
      <c r="I732" s="125" t="n"/>
      <c r="J732" s="122">
        <f>IF($A732="","",$F732*$G732)</f>
        <v/>
      </c>
    </row>
    <row r="733" ht="15" customHeight="1" s="80">
      <c r="A733" s="125" t="n"/>
      <c r="B733" s="125" t="n"/>
      <c r="C733" s="125" t="n"/>
      <c r="D733" s="130" t="n"/>
      <c r="E733" s="130" t="n"/>
      <c r="F733" s="121" t="n"/>
      <c r="G733" s="129" t="n"/>
      <c r="H733" s="125" t="n"/>
      <c r="I733" s="125" t="n"/>
      <c r="J733" s="122">
        <f>IF($A733="","",$F733*$G733)</f>
        <v/>
      </c>
    </row>
    <row r="734" ht="15" customHeight="1" s="80">
      <c r="A734" s="125" t="n"/>
      <c r="B734" s="125" t="n"/>
      <c r="C734" s="125" t="n"/>
      <c r="D734" s="130" t="n"/>
      <c r="E734" s="130" t="n"/>
      <c r="F734" s="121" t="n"/>
      <c r="G734" s="129" t="n"/>
      <c r="H734" s="125" t="n"/>
      <c r="I734" s="125" t="n"/>
      <c r="J734" s="122">
        <f>IF($A734="","",$F734*$G734)</f>
        <v/>
      </c>
    </row>
    <row r="735" ht="15" customHeight="1" s="80">
      <c r="A735" s="125" t="n"/>
      <c r="B735" s="125" t="n"/>
      <c r="C735" s="125" t="n"/>
      <c r="D735" s="130" t="n"/>
      <c r="E735" s="130" t="n"/>
      <c r="F735" s="121" t="n"/>
      <c r="G735" s="129" t="n"/>
      <c r="H735" s="125" t="n"/>
      <c r="I735" s="125" t="n"/>
      <c r="J735" s="122">
        <f>IF($A735="","",$F735*$G735)</f>
        <v/>
      </c>
    </row>
    <row r="736" ht="15" customHeight="1" s="80">
      <c r="A736" s="125" t="n"/>
      <c r="B736" s="125" t="n"/>
      <c r="C736" s="125" t="n"/>
      <c r="D736" s="130" t="n"/>
      <c r="E736" s="130" t="n"/>
      <c r="F736" s="121" t="n"/>
      <c r="G736" s="129" t="n"/>
      <c r="H736" s="125" t="n"/>
      <c r="I736" s="125" t="n"/>
      <c r="J736" s="122">
        <f>IF($A736="","",$F736*$G736)</f>
        <v/>
      </c>
    </row>
    <row r="737" ht="15" customHeight="1" s="80">
      <c r="A737" s="125" t="n"/>
      <c r="B737" s="125" t="n"/>
      <c r="C737" s="125" t="n"/>
      <c r="D737" s="130" t="n"/>
      <c r="E737" s="130" t="n"/>
      <c r="F737" s="121" t="n"/>
      <c r="G737" s="129" t="n"/>
      <c r="H737" s="125" t="n"/>
      <c r="I737" s="125" t="n"/>
      <c r="J737" s="122">
        <f>IF($A737="","",$F737*$G737)</f>
        <v/>
      </c>
    </row>
    <row r="738" ht="15" customHeight="1" s="80">
      <c r="A738" s="125" t="n"/>
      <c r="B738" s="125" t="n"/>
      <c r="C738" s="125" t="n"/>
      <c r="D738" s="130" t="n"/>
      <c r="E738" s="130" t="n"/>
      <c r="F738" s="121" t="n"/>
      <c r="G738" s="129" t="n"/>
      <c r="H738" s="125" t="n"/>
      <c r="I738" s="125" t="n"/>
      <c r="J738" s="122">
        <f>IF($A738="","",$F738*$G738)</f>
        <v/>
      </c>
    </row>
    <row r="739" ht="15" customHeight="1" s="80">
      <c r="A739" s="125" t="n"/>
      <c r="B739" s="125" t="n"/>
      <c r="C739" s="125" t="n"/>
      <c r="D739" s="130" t="n"/>
      <c r="E739" s="130" t="n"/>
      <c r="F739" s="121" t="n"/>
      <c r="G739" s="129" t="n"/>
      <c r="H739" s="125" t="n"/>
      <c r="I739" s="125" t="n"/>
      <c r="J739" s="122">
        <f>IF($A739="","",$F739*$G739)</f>
        <v/>
      </c>
    </row>
    <row r="740" ht="15" customHeight="1" s="80">
      <c r="A740" s="125" t="n"/>
      <c r="B740" s="125" t="n"/>
      <c r="C740" s="125" t="n"/>
      <c r="D740" s="130" t="n"/>
      <c r="E740" s="130" t="n"/>
      <c r="F740" s="121" t="n"/>
      <c r="G740" s="129" t="n"/>
      <c r="H740" s="125" t="n"/>
      <c r="I740" s="125" t="n"/>
      <c r="J740" s="122">
        <f>IF($A740="","",$F740*$G740)</f>
        <v/>
      </c>
    </row>
    <row r="741" ht="15" customHeight="1" s="80">
      <c r="A741" s="125" t="n"/>
      <c r="B741" s="125" t="n"/>
      <c r="C741" s="125" t="n"/>
      <c r="D741" s="130" t="n"/>
      <c r="E741" s="130" t="n"/>
      <c r="F741" s="121" t="n"/>
      <c r="G741" s="129" t="n"/>
      <c r="H741" s="125" t="n"/>
      <c r="I741" s="125" t="n"/>
      <c r="J741" s="122">
        <f>IF($A741="","",$F741*$G741)</f>
        <v/>
      </c>
    </row>
    <row r="742" ht="15" customHeight="1" s="80">
      <c r="A742" s="125" t="n"/>
      <c r="B742" s="125" t="n"/>
      <c r="C742" s="125" t="n"/>
      <c r="D742" s="130" t="n"/>
      <c r="E742" s="130" t="n"/>
      <c r="F742" s="121" t="n"/>
      <c r="G742" s="129" t="n"/>
      <c r="H742" s="125" t="n"/>
      <c r="I742" s="125" t="n"/>
      <c r="J742" s="122">
        <f>IF($A742="","",$F742*$G742)</f>
        <v/>
      </c>
    </row>
    <row r="743" ht="15" customHeight="1" s="80">
      <c r="A743" s="125" t="n"/>
      <c r="B743" s="125" t="n"/>
      <c r="C743" s="125" t="n"/>
      <c r="D743" s="130" t="n"/>
      <c r="E743" s="130" t="n"/>
      <c r="F743" s="121" t="n"/>
      <c r="G743" s="129" t="n"/>
      <c r="H743" s="125" t="n"/>
      <c r="I743" s="125" t="n"/>
      <c r="J743" s="122">
        <f>IF($A743="","",$F743*$G743)</f>
        <v/>
      </c>
    </row>
    <row r="744" ht="15" customHeight="1" s="80">
      <c r="A744" s="125" t="n"/>
      <c r="B744" s="125" t="n"/>
      <c r="C744" s="125" t="n"/>
      <c r="D744" s="130" t="n"/>
      <c r="E744" s="130" t="n"/>
      <c r="F744" s="121" t="n"/>
      <c r="G744" s="129" t="n"/>
      <c r="H744" s="125" t="n"/>
      <c r="I744" s="125" t="n"/>
      <c r="J744" s="122">
        <f>IF($A744="","",$F744*$G744)</f>
        <v/>
      </c>
    </row>
    <row r="745" ht="15" customHeight="1" s="80">
      <c r="A745" s="125" t="n"/>
      <c r="B745" s="125" t="n"/>
      <c r="C745" s="125" t="n"/>
      <c r="D745" s="130" t="n"/>
      <c r="E745" s="130" t="n"/>
      <c r="F745" s="121" t="n"/>
      <c r="G745" s="129" t="n"/>
      <c r="H745" s="125" t="n"/>
      <c r="I745" s="125" t="n"/>
      <c r="J745" s="122">
        <f>IF($A745="","",$F745*$G745)</f>
        <v/>
      </c>
    </row>
    <row r="746" ht="15" customHeight="1" s="80">
      <c r="A746" s="125" t="n"/>
      <c r="B746" s="125" t="n"/>
      <c r="C746" s="125" t="n"/>
      <c r="D746" s="130" t="n"/>
      <c r="E746" s="130" t="n"/>
      <c r="F746" s="121" t="n"/>
      <c r="G746" s="129" t="n"/>
      <c r="H746" s="125" t="n"/>
      <c r="I746" s="125" t="n"/>
      <c r="J746" s="122">
        <f>IF($A746="","",$F746*$G746)</f>
        <v/>
      </c>
    </row>
    <row r="747" ht="15" customHeight="1" s="80">
      <c r="A747" s="125" t="n"/>
      <c r="B747" s="125" t="n"/>
      <c r="C747" s="125" t="n"/>
      <c r="D747" s="130" t="n"/>
      <c r="E747" s="130" t="n"/>
      <c r="F747" s="121" t="n"/>
      <c r="G747" s="129" t="n"/>
      <c r="H747" s="125" t="n"/>
      <c r="I747" s="125" t="n"/>
      <c r="J747" s="122">
        <f>IF($A747="","",$F747*$G747)</f>
        <v/>
      </c>
    </row>
    <row r="748" ht="15" customHeight="1" s="80">
      <c r="A748" s="125" t="n"/>
      <c r="B748" s="125" t="n"/>
      <c r="C748" s="125" t="n"/>
      <c r="D748" s="130" t="n"/>
      <c r="E748" s="130" t="n"/>
      <c r="F748" s="121" t="n"/>
      <c r="G748" s="129" t="n"/>
      <c r="H748" s="125" t="n"/>
      <c r="I748" s="125" t="n"/>
      <c r="J748" s="122">
        <f>IF($A748="","",$F748*$G748)</f>
        <v/>
      </c>
    </row>
    <row r="749" ht="15" customHeight="1" s="80">
      <c r="A749" s="125" t="n"/>
      <c r="B749" s="125" t="n"/>
      <c r="C749" s="125" t="n"/>
      <c r="D749" s="130" t="n"/>
      <c r="E749" s="130" t="n"/>
      <c r="F749" s="121" t="n"/>
      <c r="G749" s="129" t="n"/>
      <c r="H749" s="125" t="n"/>
      <c r="I749" s="125" t="n"/>
      <c r="J749" s="122">
        <f>IF($A749="","",$F749*$G749)</f>
        <v/>
      </c>
    </row>
    <row r="750" ht="15" customHeight="1" s="80">
      <c r="A750" s="125" t="n"/>
      <c r="B750" s="125" t="n"/>
      <c r="C750" s="125" t="n"/>
      <c r="D750" s="130" t="n"/>
      <c r="E750" s="130" t="n"/>
      <c r="F750" s="121" t="n"/>
      <c r="G750" s="129" t="n"/>
      <c r="H750" s="125" t="n"/>
      <c r="I750" s="125" t="n"/>
      <c r="J750" s="122">
        <f>IF($A750="","",$F750*$G750)</f>
        <v/>
      </c>
    </row>
    <row r="751" ht="15" customHeight="1" s="80">
      <c r="A751" s="125" t="n"/>
      <c r="B751" s="125" t="n"/>
      <c r="C751" s="125" t="n"/>
      <c r="D751" s="130" t="n"/>
      <c r="E751" s="130" t="n"/>
      <c r="F751" s="121" t="n"/>
      <c r="G751" s="129" t="n"/>
      <c r="H751" s="125" t="n"/>
      <c r="I751" s="125" t="n"/>
      <c r="J751" s="122">
        <f>IF($A751="","",$F751*$G751)</f>
        <v/>
      </c>
    </row>
    <row r="752" ht="15" customHeight="1" s="80">
      <c r="A752" s="125" t="n"/>
      <c r="B752" s="125" t="n"/>
      <c r="C752" s="125" t="n"/>
      <c r="D752" s="130" t="n"/>
      <c r="E752" s="130" t="n"/>
      <c r="F752" s="121" t="n"/>
      <c r="G752" s="129" t="n"/>
      <c r="H752" s="125" t="n"/>
      <c r="I752" s="125" t="n"/>
      <c r="J752" s="122">
        <f>IF($A752="","",$F752*$G752)</f>
        <v/>
      </c>
    </row>
    <row r="753" ht="15" customHeight="1" s="80">
      <c r="A753" s="125" t="n"/>
      <c r="B753" s="125" t="n"/>
      <c r="C753" s="125" t="n"/>
      <c r="D753" s="130" t="n"/>
      <c r="E753" s="130" t="n"/>
      <c r="F753" s="121" t="n"/>
      <c r="G753" s="129" t="n"/>
      <c r="H753" s="125" t="n"/>
      <c r="I753" s="125" t="n"/>
      <c r="J753" s="122">
        <f>IF($A753="","",$F753*$G753)</f>
        <v/>
      </c>
    </row>
    <row r="754" ht="15" customHeight="1" s="80">
      <c r="A754" s="125" t="n"/>
      <c r="B754" s="125" t="n"/>
      <c r="C754" s="125" t="n"/>
      <c r="D754" s="130" t="n"/>
      <c r="E754" s="130" t="n"/>
      <c r="F754" s="121" t="n"/>
      <c r="G754" s="129" t="n"/>
      <c r="H754" s="125" t="n"/>
      <c r="I754" s="125" t="n"/>
      <c r="J754" s="122">
        <f>IF($A754="","",$F754*$G754)</f>
        <v/>
      </c>
    </row>
    <row r="755" ht="15" customHeight="1" s="80">
      <c r="A755" s="125" t="n"/>
      <c r="B755" s="125" t="n"/>
      <c r="C755" s="125" t="n"/>
      <c r="D755" s="130" t="n"/>
      <c r="E755" s="130" t="n"/>
      <c r="F755" s="121" t="n"/>
      <c r="G755" s="129" t="n"/>
      <c r="H755" s="125" t="n"/>
      <c r="I755" s="125" t="n"/>
      <c r="J755" s="122">
        <f>IF($A755="","",$F755*$G755)</f>
        <v/>
      </c>
    </row>
    <row r="756" ht="15" customHeight="1" s="80">
      <c r="A756" s="125" t="n"/>
      <c r="B756" s="125" t="n"/>
      <c r="C756" s="125" t="n"/>
      <c r="D756" s="130" t="n"/>
      <c r="E756" s="130" t="n"/>
      <c r="F756" s="121" t="n"/>
      <c r="G756" s="129" t="n"/>
      <c r="H756" s="125" t="n"/>
      <c r="I756" s="125" t="n"/>
      <c r="J756" s="122">
        <f>IF($A756="","",$F756*$G756)</f>
        <v/>
      </c>
    </row>
    <row r="757" ht="15" customHeight="1" s="80">
      <c r="A757" s="125" t="n"/>
      <c r="B757" s="125" t="n"/>
      <c r="C757" s="125" t="n"/>
      <c r="D757" s="130" t="n"/>
      <c r="E757" s="130" t="n"/>
      <c r="F757" s="121" t="n"/>
      <c r="G757" s="129" t="n"/>
      <c r="H757" s="125" t="n"/>
      <c r="I757" s="125" t="n"/>
      <c r="J757" s="122">
        <f>IF($A757="","",$F757*$G757)</f>
        <v/>
      </c>
    </row>
    <row r="758" ht="15" customHeight="1" s="80">
      <c r="A758" s="125" t="n"/>
      <c r="B758" s="125" t="n"/>
      <c r="C758" s="125" t="n"/>
      <c r="D758" s="130" t="n"/>
      <c r="E758" s="130" t="n"/>
      <c r="F758" s="121" t="n"/>
      <c r="G758" s="129" t="n"/>
      <c r="H758" s="125" t="n"/>
      <c r="I758" s="125" t="n"/>
      <c r="J758" s="122">
        <f>IF($A758="","",$F758*$G758)</f>
        <v/>
      </c>
    </row>
    <row r="759" ht="15" customHeight="1" s="80">
      <c r="A759" s="125" t="n"/>
      <c r="B759" s="125" t="n"/>
      <c r="C759" s="125" t="n"/>
      <c r="D759" s="130" t="n"/>
      <c r="E759" s="130" t="n"/>
      <c r="F759" s="121" t="n"/>
      <c r="G759" s="129" t="n"/>
      <c r="H759" s="125" t="n"/>
      <c r="I759" s="125" t="n"/>
      <c r="J759" s="122">
        <f>IF($A759="","",$F759*$G759)</f>
        <v/>
      </c>
    </row>
    <row r="760" ht="15" customHeight="1" s="80">
      <c r="A760" s="125" t="n"/>
      <c r="B760" s="125" t="n"/>
      <c r="C760" s="125" t="n"/>
      <c r="D760" s="130" t="n"/>
      <c r="E760" s="130" t="n"/>
      <c r="F760" s="121" t="n"/>
      <c r="G760" s="129" t="n"/>
      <c r="H760" s="125" t="n"/>
      <c r="I760" s="125" t="n"/>
      <c r="J760" s="122">
        <f>IF($A760="","",$F760*$G760)</f>
        <v/>
      </c>
    </row>
    <row r="761" ht="15" customHeight="1" s="80">
      <c r="A761" s="125" t="n"/>
      <c r="B761" s="125" t="n"/>
      <c r="C761" s="125" t="n"/>
      <c r="D761" s="130" t="n"/>
      <c r="E761" s="130" t="n"/>
      <c r="F761" s="121" t="n"/>
      <c r="G761" s="129" t="n"/>
      <c r="H761" s="125" t="n"/>
      <c r="I761" s="125" t="n"/>
      <c r="J761" s="122">
        <f>IF($A761="","",$F761*$G761)</f>
        <v/>
      </c>
    </row>
    <row r="762" ht="15" customHeight="1" s="80">
      <c r="A762" s="125" t="n"/>
      <c r="B762" s="125" t="n"/>
      <c r="C762" s="125" t="n"/>
      <c r="D762" s="130" t="n"/>
      <c r="E762" s="130" t="n"/>
      <c r="F762" s="121" t="n"/>
      <c r="G762" s="129" t="n"/>
      <c r="H762" s="125" t="n"/>
      <c r="I762" s="125" t="n"/>
      <c r="J762" s="122">
        <f>IF($A762="","",$F762*$G762)</f>
        <v/>
      </c>
    </row>
    <row r="763" ht="15" customHeight="1" s="80">
      <c r="A763" s="125" t="n"/>
      <c r="B763" s="125" t="n"/>
      <c r="C763" s="125" t="n"/>
      <c r="D763" s="130" t="n"/>
      <c r="E763" s="130" t="n"/>
      <c r="F763" s="121" t="n"/>
      <c r="G763" s="129" t="n"/>
      <c r="H763" s="125" t="n"/>
      <c r="I763" s="125" t="n"/>
      <c r="J763" s="122">
        <f>IF($A763="","",$F763*$G763)</f>
        <v/>
      </c>
    </row>
    <row r="764" ht="15" customHeight="1" s="80">
      <c r="A764" s="125" t="n"/>
      <c r="B764" s="125" t="n"/>
      <c r="C764" s="125" t="n"/>
      <c r="D764" s="130" t="n"/>
      <c r="E764" s="130" t="n"/>
      <c r="F764" s="121" t="n"/>
      <c r="G764" s="129" t="n"/>
      <c r="H764" s="125" t="n"/>
      <c r="I764" s="125" t="n"/>
      <c r="J764" s="122">
        <f>IF($A764="","",$F764*$G764)</f>
        <v/>
      </c>
    </row>
    <row r="765" ht="15" customHeight="1" s="80">
      <c r="A765" s="125" t="n"/>
      <c r="B765" s="125" t="n"/>
      <c r="C765" s="125" t="n"/>
      <c r="D765" s="130" t="n"/>
      <c r="E765" s="130" t="n"/>
      <c r="F765" s="121" t="n"/>
      <c r="G765" s="129" t="n"/>
      <c r="H765" s="125" t="n"/>
      <c r="I765" s="125" t="n"/>
      <c r="J765" s="122">
        <f>IF($A765="","",$F765*$G765)</f>
        <v/>
      </c>
    </row>
    <row r="766" ht="15" customHeight="1" s="80">
      <c r="A766" s="125" t="n"/>
      <c r="B766" s="125" t="n"/>
      <c r="C766" s="125" t="n"/>
      <c r="D766" s="130" t="n"/>
      <c r="E766" s="130" t="n"/>
      <c r="F766" s="121" t="n"/>
      <c r="G766" s="129" t="n"/>
      <c r="H766" s="125" t="n"/>
      <c r="I766" s="125" t="n"/>
      <c r="J766" s="122">
        <f>IF($A766="","",$F766*$G766)</f>
        <v/>
      </c>
    </row>
    <row r="767" ht="15" customHeight="1" s="80">
      <c r="A767" s="125" t="n"/>
      <c r="B767" s="125" t="n"/>
      <c r="C767" s="125" t="n"/>
      <c r="D767" s="130" t="n"/>
      <c r="E767" s="130" t="n"/>
      <c r="F767" s="121" t="n"/>
      <c r="G767" s="129" t="n"/>
      <c r="H767" s="125" t="n"/>
      <c r="I767" s="125" t="n"/>
      <c r="J767" s="122">
        <f>IF($A767="","",$F767*$G767)</f>
        <v/>
      </c>
    </row>
    <row r="768" ht="15" customHeight="1" s="80">
      <c r="A768" s="125" t="n"/>
      <c r="B768" s="125" t="n"/>
      <c r="C768" s="125" t="n"/>
      <c r="D768" s="130" t="n"/>
      <c r="E768" s="130" t="n"/>
      <c r="F768" s="121" t="n"/>
      <c r="G768" s="129" t="n"/>
      <c r="H768" s="125" t="n"/>
      <c r="I768" s="125" t="n"/>
      <c r="J768" s="122">
        <f>IF($A768="","",$F768*$G768)</f>
        <v/>
      </c>
    </row>
    <row r="769" ht="15" customHeight="1" s="80">
      <c r="A769" s="125" t="n"/>
      <c r="B769" s="125" t="n"/>
      <c r="C769" s="125" t="n"/>
      <c r="D769" s="130" t="n"/>
      <c r="E769" s="130" t="n"/>
      <c r="F769" s="121" t="n"/>
      <c r="G769" s="129" t="n"/>
      <c r="H769" s="125" t="n"/>
      <c r="I769" s="125" t="n"/>
      <c r="J769" s="122">
        <f>IF($A769="","",$F769*$G769)</f>
        <v/>
      </c>
    </row>
    <row r="770" ht="15" customHeight="1" s="80">
      <c r="A770" s="125" t="n"/>
      <c r="B770" s="125" t="n"/>
      <c r="C770" s="125" t="n"/>
      <c r="D770" s="130" t="n"/>
      <c r="E770" s="130" t="n"/>
      <c r="F770" s="121" t="n"/>
      <c r="G770" s="129" t="n"/>
      <c r="H770" s="125" t="n"/>
      <c r="I770" s="125" t="n"/>
      <c r="J770" s="122">
        <f>IF($A770="","",$F770*$G770)</f>
        <v/>
      </c>
    </row>
    <row r="771" ht="15" customHeight="1" s="80">
      <c r="A771" s="125" t="n"/>
      <c r="B771" s="125" t="n"/>
      <c r="C771" s="125" t="n"/>
      <c r="D771" s="130" t="n"/>
      <c r="E771" s="130" t="n"/>
      <c r="F771" s="121" t="n"/>
      <c r="G771" s="129" t="n"/>
      <c r="H771" s="125" t="n"/>
      <c r="I771" s="125" t="n"/>
      <c r="J771" s="122">
        <f>IF($A771="","",$F771*$G771)</f>
        <v/>
      </c>
    </row>
    <row r="772" ht="15" customHeight="1" s="80">
      <c r="A772" s="125" t="n"/>
      <c r="B772" s="125" t="n"/>
      <c r="C772" s="125" t="n"/>
      <c r="D772" s="130" t="n"/>
      <c r="E772" s="130" t="n"/>
      <c r="F772" s="121" t="n"/>
      <c r="G772" s="129" t="n"/>
      <c r="H772" s="125" t="n"/>
      <c r="I772" s="125" t="n"/>
      <c r="J772" s="122">
        <f>IF($A772="","",$F772*$G772)</f>
        <v/>
      </c>
    </row>
    <row r="773" ht="15" customHeight="1" s="80">
      <c r="A773" s="125" t="n"/>
      <c r="B773" s="125" t="n"/>
      <c r="C773" s="125" t="n"/>
      <c r="D773" s="130" t="n"/>
      <c r="E773" s="130" t="n"/>
      <c r="F773" s="121" t="n"/>
      <c r="G773" s="129" t="n"/>
      <c r="H773" s="125" t="n"/>
      <c r="I773" s="125" t="n"/>
      <c r="J773" s="122">
        <f>IF($A773="","",$F773*$G773)</f>
        <v/>
      </c>
    </row>
    <row r="774" ht="15" customHeight="1" s="80">
      <c r="A774" s="125" t="n"/>
      <c r="B774" s="125" t="n"/>
      <c r="C774" s="125" t="n"/>
      <c r="D774" s="130" t="n"/>
      <c r="E774" s="130" t="n"/>
      <c r="F774" s="121" t="n"/>
      <c r="G774" s="129" t="n"/>
      <c r="H774" s="125" t="n"/>
      <c r="I774" s="125" t="n"/>
      <c r="J774" s="122">
        <f>IF($A774="","",$F774*$G774)</f>
        <v/>
      </c>
    </row>
    <row r="775" ht="15" customHeight="1" s="80">
      <c r="A775" s="125" t="n"/>
      <c r="B775" s="125" t="n"/>
      <c r="C775" s="125" t="n"/>
      <c r="D775" s="130" t="n"/>
      <c r="E775" s="130" t="n"/>
      <c r="F775" s="121" t="n"/>
      <c r="G775" s="129" t="n"/>
      <c r="H775" s="125" t="n"/>
      <c r="I775" s="125" t="n"/>
      <c r="J775" s="122">
        <f>IF($A775="","",$F775*$G775)</f>
        <v/>
      </c>
    </row>
    <row r="776" ht="15" customHeight="1" s="80">
      <c r="A776" s="125" t="n"/>
      <c r="B776" s="125" t="n"/>
      <c r="C776" s="125" t="n"/>
      <c r="D776" s="130" t="n"/>
      <c r="E776" s="130" t="n"/>
      <c r="F776" s="121" t="n"/>
      <c r="G776" s="129" t="n"/>
      <c r="H776" s="125" t="n"/>
      <c r="I776" s="125" t="n"/>
      <c r="J776" s="122">
        <f>IF($A776="","",$F776*$G776)</f>
        <v/>
      </c>
    </row>
    <row r="777" ht="15" customHeight="1" s="80">
      <c r="A777" s="125" t="n"/>
      <c r="B777" s="125" t="n"/>
      <c r="C777" s="125" t="n"/>
      <c r="D777" s="130" t="n"/>
      <c r="E777" s="130" t="n"/>
      <c r="F777" s="121" t="n"/>
      <c r="G777" s="129" t="n"/>
      <c r="H777" s="125" t="n"/>
      <c r="I777" s="125" t="n"/>
      <c r="J777" s="122">
        <f>IF($A777="","",$F777*$G777)</f>
        <v/>
      </c>
    </row>
    <row r="778" ht="15" customHeight="1" s="80">
      <c r="A778" s="125" t="n"/>
      <c r="B778" s="125" t="n"/>
      <c r="C778" s="125" t="n"/>
      <c r="D778" s="130" t="n"/>
      <c r="E778" s="130" t="n"/>
      <c r="F778" s="121" t="n"/>
      <c r="G778" s="129" t="n"/>
      <c r="H778" s="125" t="n"/>
      <c r="I778" s="125" t="n"/>
      <c r="J778" s="122">
        <f>IF($A778="","",$F778*$G778)</f>
        <v/>
      </c>
    </row>
    <row r="779" ht="15" customHeight="1" s="80">
      <c r="A779" s="125" t="n"/>
      <c r="B779" s="125" t="n"/>
      <c r="C779" s="125" t="n"/>
      <c r="D779" s="130" t="n"/>
      <c r="E779" s="130" t="n"/>
      <c r="F779" s="121" t="n"/>
      <c r="G779" s="129" t="n"/>
      <c r="H779" s="125" t="n"/>
      <c r="I779" s="125" t="n"/>
      <c r="J779" s="122">
        <f>IF($A779="","",$F779*$G779)</f>
        <v/>
      </c>
    </row>
    <row r="780" ht="15" customHeight="1" s="80">
      <c r="A780" s="125" t="n"/>
      <c r="B780" s="125" t="n"/>
      <c r="C780" s="125" t="n"/>
      <c r="D780" s="130" t="n"/>
      <c r="E780" s="130" t="n"/>
      <c r="F780" s="121" t="n"/>
      <c r="G780" s="129" t="n"/>
      <c r="H780" s="125" t="n"/>
      <c r="I780" s="125" t="n"/>
      <c r="J780" s="122">
        <f>IF($A780="","",$F780*$G780)</f>
        <v/>
      </c>
    </row>
    <row r="781" ht="15" customHeight="1" s="80">
      <c r="A781" s="125" t="n"/>
      <c r="B781" s="125" t="n"/>
      <c r="C781" s="125" t="n"/>
      <c r="D781" s="130" t="n"/>
      <c r="E781" s="130" t="n"/>
      <c r="F781" s="121" t="n"/>
      <c r="G781" s="129" t="n"/>
      <c r="H781" s="125" t="n"/>
      <c r="I781" s="125" t="n"/>
      <c r="J781" s="122">
        <f>IF($A781="","",$F781*$G781)</f>
        <v/>
      </c>
    </row>
    <row r="782" ht="15" customHeight="1" s="80">
      <c r="A782" s="125" t="n"/>
      <c r="B782" s="125" t="n"/>
      <c r="C782" s="125" t="n"/>
      <c r="D782" s="130" t="n"/>
      <c r="E782" s="130" t="n"/>
      <c r="F782" s="121" t="n"/>
      <c r="G782" s="129" t="n"/>
      <c r="H782" s="125" t="n"/>
      <c r="I782" s="125" t="n"/>
      <c r="J782" s="122">
        <f>IF($A782="","",$F782*$G782)</f>
        <v/>
      </c>
    </row>
    <row r="783" ht="15" customHeight="1" s="80">
      <c r="A783" s="125" t="n"/>
      <c r="B783" s="125" t="n"/>
      <c r="C783" s="125" t="n"/>
      <c r="D783" s="130" t="n"/>
      <c r="E783" s="130" t="n"/>
      <c r="F783" s="121" t="n"/>
      <c r="G783" s="129" t="n"/>
      <c r="H783" s="125" t="n"/>
      <c r="I783" s="125" t="n"/>
      <c r="J783" s="122">
        <f>IF($A783="","",$F783*$G783)</f>
        <v/>
      </c>
    </row>
    <row r="784" ht="15" customHeight="1" s="80">
      <c r="A784" s="125" t="n"/>
      <c r="B784" s="125" t="n"/>
      <c r="C784" s="125" t="n"/>
      <c r="D784" s="130" t="n"/>
      <c r="E784" s="130" t="n"/>
      <c r="F784" s="121" t="n"/>
      <c r="G784" s="129" t="n"/>
      <c r="H784" s="125" t="n"/>
      <c r="I784" s="125" t="n"/>
      <c r="J784" s="122">
        <f>IF($A784="","",$F784*$G784)</f>
        <v/>
      </c>
    </row>
    <row r="785" ht="15" customHeight="1" s="80">
      <c r="A785" s="125" t="n"/>
      <c r="B785" s="125" t="n"/>
      <c r="C785" s="125" t="n"/>
      <c r="D785" s="130" t="n"/>
      <c r="E785" s="130" t="n"/>
      <c r="F785" s="121" t="n"/>
      <c r="G785" s="129" t="n"/>
      <c r="H785" s="125" t="n"/>
      <c r="I785" s="125" t="n"/>
      <c r="J785" s="122">
        <f>IF($A785="","",$F785*$G785)</f>
        <v/>
      </c>
    </row>
    <row r="786" ht="15" customHeight="1" s="80">
      <c r="A786" s="125" t="n"/>
      <c r="B786" s="125" t="n"/>
      <c r="C786" s="125" t="n"/>
      <c r="D786" s="130" t="n"/>
      <c r="E786" s="130" t="n"/>
      <c r="F786" s="121" t="n"/>
      <c r="G786" s="129" t="n"/>
      <c r="H786" s="125" t="n"/>
      <c r="I786" s="125" t="n"/>
      <c r="J786" s="122">
        <f>IF($A786="","",$F786*$G786)</f>
        <v/>
      </c>
    </row>
    <row r="787" ht="15" customHeight="1" s="80">
      <c r="A787" s="125" t="n"/>
      <c r="B787" s="125" t="n"/>
      <c r="C787" s="125" t="n"/>
      <c r="D787" s="130" t="n"/>
      <c r="E787" s="130" t="n"/>
      <c r="F787" s="121" t="n"/>
      <c r="G787" s="129" t="n"/>
      <c r="H787" s="125" t="n"/>
      <c r="I787" s="125" t="n"/>
      <c r="J787" s="122">
        <f>IF($A787="","",$F787*$G787)</f>
        <v/>
      </c>
    </row>
    <row r="788" ht="15" customHeight="1" s="80">
      <c r="A788" s="125" t="n"/>
      <c r="B788" s="125" t="n"/>
      <c r="C788" s="125" t="n"/>
      <c r="D788" s="130" t="n"/>
      <c r="E788" s="130" t="n"/>
      <c r="F788" s="121" t="n"/>
      <c r="G788" s="129" t="n"/>
      <c r="H788" s="125" t="n"/>
      <c r="I788" s="125" t="n"/>
      <c r="J788" s="122">
        <f>IF($A788="","",$F788*$G788)</f>
        <v/>
      </c>
    </row>
    <row r="789" ht="15" customHeight="1" s="80">
      <c r="A789" s="125" t="n"/>
      <c r="B789" s="125" t="n"/>
      <c r="C789" s="125" t="n"/>
      <c r="D789" s="130" t="n"/>
      <c r="E789" s="130" t="n"/>
      <c r="F789" s="121" t="n"/>
      <c r="G789" s="129" t="n"/>
      <c r="H789" s="125" t="n"/>
      <c r="I789" s="125" t="n"/>
      <c r="J789" s="122">
        <f>IF($A789="","",$F789*$G789)</f>
        <v/>
      </c>
    </row>
    <row r="790" ht="15" customHeight="1" s="80">
      <c r="A790" s="125" t="n"/>
      <c r="B790" s="125" t="n"/>
      <c r="C790" s="125" t="n"/>
      <c r="D790" s="130" t="n"/>
      <c r="E790" s="130" t="n"/>
      <c r="F790" s="121" t="n"/>
      <c r="G790" s="129" t="n"/>
      <c r="H790" s="125" t="n"/>
      <c r="I790" s="125" t="n"/>
      <c r="J790" s="122">
        <f>IF($A790="","",$F790*$G790)</f>
        <v/>
      </c>
    </row>
    <row r="791" ht="15" customHeight="1" s="80">
      <c r="A791" s="125" t="n"/>
      <c r="B791" s="125" t="n"/>
      <c r="C791" s="125" t="n"/>
      <c r="D791" s="130" t="n"/>
      <c r="E791" s="130" t="n"/>
      <c r="F791" s="121" t="n"/>
      <c r="G791" s="129" t="n"/>
      <c r="H791" s="125" t="n"/>
      <c r="I791" s="125" t="n"/>
      <c r="J791" s="122">
        <f>IF($A791="","",$F791*$G791)</f>
        <v/>
      </c>
    </row>
    <row r="792" ht="15" customHeight="1" s="80">
      <c r="A792" s="125" t="n"/>
      <c r="B792" s="125" t="n"/>
      <c r="C792" s="125" t="n"/>
      <c r="D792" s="130" t="n"/>
      <c r="E792" s="130" t="n"/>
      <c r="F792" s="121" t="n"/>
      <c r="G792" s="129" t="n"/>
      <c r="H792" s="125" t="n"/>
      <c r="I792" s="125" t="n"/>
      <c r="J792" s="122">
        <f>IF($A792="","",$F792*$G792)</f>
        <v/>
      </c>
    </row>
    <row r="793" ht="15" customHeight="1" s="80">
      <c r="A793" s="125" t="n"/>
      <c r="B793" s="125" t="n"/>
      <c r="C793" s="125" t="n"/>
      <c r="D793" s="130" t="n"/>
      <c r="E793" s="130" t="n"/>
      <c r="F793" s="121" t="n"/>
      <c r="G793" s="129" t="n"/>
      <c r="H793" s="125" t="n"/>
      <c r="I793" s="125" t="n"/>
      <c r="J793" s="122">
        <f>IF($A793="","",$F793*$G793)</f>
        <v/>
      </c>
    </row>
    <row r="794" ht="15" customHeight="1" s="80">
      <c r="A794" s="125" t="n"/>
      <c r="B794" s="125" t="n"/>
      <c r="C794" s="125" t="n"/>
      <c r="D794" s="130" t="n"/>
      <c r="E794" s="130" t="n"/>
      <c r="F794" s="121" t="n"/>
      <c r="G794" s="129" t="n"/>
      <c r="H794" s="125" t="n"/>
      <c r="I794" s="125" t="n"/>
      <c r="J794" s="122">
        <f>IF($A794="","",$F794*$G794)</f>
        <v/>
      </c>
    </row>
    <row r="795" ht="15" customHeight="1" s="80">
      <c r="A795" s="125" t="n"/>
      <c r="B795" s="125" t="n"/>
      <c r="C795" s="125" t="n"/>
      <c r="D795" s="130" t="n"/>
      <c r="E795" s="130" t="n"/>
      <c r="F795" s="121" t="n"/>
      <c r="G795" s="129" t="n"/>
      <c r="H795" s="125" t="n"/>
      <c r="I795" s="125" t="n"/>
      <c r="J795" s="122">
        <f>IF($A795="","",$F795*$G795)</f>
        <v/>
      </c>
    </row>
    <row r="796" ht="15" customHeight="1" s="80">
      <c r="A796" s="125" t="n"/>
      <c r="B796" s="125" t="n"/>
      <c r="C796" s="125" t="n"/>
      <c r="D796" s="130" t="n"/>
      <c r="E796" s="130" t="n"/>
      <c r="F796" s="121" t="n"/>
      <c r="G796" s="129" t="n"/>
      <c r="H796" s="125" t="n"/>
      <c r="I796" s="125" t="n"/>
      <c r="J796" s="122">
        <f>IF($A796="","",$F796*$G796)</f>
        <v/>
      </c>
    </row>
    <row r="797" ht="15" customHeight="1" s="80">
      <c r="A797" s="125" t="n"/>
      <c r="B797" s="125" t="n"/>
      <c r="C797" s="125" t="n"/>
      <c r="D797" s="130" t="n"/>
      <c r="E797" s="130" t="n"/>
      <c r="F797" s="121" t="n"/>
      <c r="G797" s="129" t="n"/>
      <c r="H797" s="125" t="n"/>
      <c r="I797" s="125" t="n"/>
      <c r="J797" s="122">
        <f>IF($A797="","",$F797*$G797)</f>
        <v/>
      </c>
    </row>
    <row r="798" ht="15" customHeight="1" s="80">
      <c r="A798" s="125" t="n"/>
      <c r="B798" s="125" t="n"/>
      <c r="C798" s="125" t="n"/>
      <c r="D798" s="130" t="n"/>
      <c r="E798" s="130" t="n"/>
      <c r="F798" s="121" t="n"/>
      <c r="G798" s="129" t="n"/>
      <c r="H798" s="125" t="n"/>
      <c r="I798" s="125" t="n"/>
      <c r="J798" s="122">
        <f>IF($A798="","",$F798*$G798)</f>
        <v/>
      </c>
    </row>
    <row r="799" ht="15" customHeight="1" s="80">
      <c r="A799" s="125" t="n"/>
      <c r="B799" s="125" t="n"/>
      <c r="C799" s="125" t="n"/>
      <c r="D799" s="130" t="n"/>
      <c r="E799" s="130" t="n"/>
      <c r="F799" s="121" t="n"/>
      <c r="G799" s="129" t="n"/>
      <c r="H799" s="125" t="n"/>
      <c r="I799" s="125" t="n"/>
      <c r="J799" s="122">
        <f>IF($A799="","",$F799*$G799)</f>
        <v/>
      </c>
    </row>
    <row r="800" ht="15" customHeight="1" s="80">
      <c r="A800" s="125" t="n"/>
      <c r="B800" s="125" t="n"/>
      <c r="C800" s="125" t="n"/>
      <c r="D800" s="130" t="n"/>
      <c r="E800" s="130" t="n"/>
      <c r="F800" s="121" t="n"/>
      <c r="G800" s="129" t="n"/>
      <c r="H800" s="125" t="n"/>
      <c r="I800" s="125" t="n"/>
      <c r="J800" s="122">
        <f>IF($A800="","",$F800*$G800)</f>
        <v/>
      </c>
    </row>
    <row r="801" ht="15" customHeight="1" s="80">
      <c r="A801" s="125" t="n"/>
      <c r="B801" s="125" t="n"/>
      <c r="C801" s="125" t="n"/>
      <c r="D801" s="130" t="n"/>
      <c r="E801" s="130" t="n"/>
      <c r="F801" s="121" t="n"/>
      <c r="G801" s="129" t="n"/>
      <c r="H801" s="125" t="n"/>
      <c r="I801" s="125" t="n"/>
      <c r="J801" s="122">
        <f>IF($A801="","",$F801*$G801)</f>
        <v/>
      </c>
    </row>
    <row r="802" ht="15" customHeight="1" s="80">
      <c r="A802" s="125" t="n"/>
      <c r="B802" s="125" t="n"/>
      <c r="C802" s="125" t="n"/>
      <c r="D802" s="130" t="n"/>
      <c r="E802" s="130" t="n"/>
      <c r="F802" s="121" t="n"/>
      <c r="G802" s="129" t="n"/>
      <c r="H802" s="125" t="n"/>
      <c r="I802" s="125" t="n"/>
      <c r="J802" s="122">
        <f>IF($A802="","",$F802*$G802)</f>
        <v/>
      </c>
    </row>
    <row r="803" ht="15" customHeight="1" s="80">
      <c r="A803" s="125" t="n"/>
      <c r="B803" s="125" t="n"/>
      <c r="C803" s="125" t="n"/>
      <c r="D803" s="130" t="n"/>
      <c r="E803" s="130" t="n"/>
      <c r="F803" s="121" t="n"/>
      <c r="G803" s="129" t="n"/>
      <c r="H803" s="125" t="n"/>
      <c r="I803" s="125" t="n"/>
      <c r="J803" s="122">
        <f>IF($A803="","",$F803*$G803)</f>
        <v/>
      </c>
    </row>
    <row r="804" ht="15" customHeight="1" s="80">
      <c r="A804" s="125" t="n"/>
      <c r="B804" s="125" t="n"/>
      <c r="C804" s="125" t="n"/>
      <c r="D804" s="130" t="n"/>
      <c r="E804" s="130" t="n"/>
      <c r="F804" s="121" t="n"/>
      <c r="G804" s="129" t="n"/>
      <c r="H804" s="125" t="n"/>
      <c r="I804" s="125" t="n"/>
      <c r="J804" s="122">
        <f>IF($A804="","",$F804*$G804)</f>
        <v/>
      </c>
    </row>
    <row r="805" ht="15" customHeight="1" s="80">
      <c r="A805" s="125" t="n"/>
      <c r="B805" s="125" t="n"/>
      <c r="C805" s="125" t="n"/>
      <c r="D805" s="130" t="n"/>
      <c r="E805" s="130" t="n"/>
      <c r="F805" s="121" t="n"/>
      <c r="G805" s="129" t="n"/>
      <c r="H805" s="125" t="n"/>
      <c r="I805" s="125" t="n"/>
      <c r="J805" s="122">
        <f>IF($A805="","",$F805*$G805)</f>
        <v/>
      </c>
    </row>
    <row r="806" ht="15" customHeight="1" s="80">
      <c r="A806" s="125" t="n"/>
      <c r="B806" s="125" t="n"/>
      <c r="C806" s="125" t="n"/>
      <c r="D806" s="130" t="n"/>
      <c r="E806" s="130" t="n"/>
      <c r="F806" s="121" t="n"/>
      <c r="G806" s="129" t="n"/>
      <c r="H806" s="125" t="n"/>
      <c r="I806" s="125" t="n"/>
      <c r="J806" s="122">
        <f>IF($A806="","",$F806*$G806)</f>
        <v/>
      </c>
    </row>
    <row r="807" ht="15" customHeight="1" s="80">
      <c r="A807" s="125" t="n"/>
      <c r="B807" s="125" t="n"/>
      <c r="C807" s="125" t="n"/>
      <c r="D807" s="130" t="n"/>
      <c r="E807" s="130" t="n"/>
      <c r="F807" s="121" t="n"/>
      <c r="G807" s="129" t="n"/>
      <c r="H807" s="125" t="n"/>
      <c r="I807" s="125" t="n"/>
      <c r="J807" s="122">
        <f>IF($A807="","",$F807*$G807)</f>
        <v/>
      </c>
    </row>
    <row r="808" ht="15" customHeight="1" s="80">
      <c r="A808" s="125" t="n"/>
      <c r="B808" s="125" t="n"/>
      <c r="C808" s="125" t="n"/>
      <c r="D808" s="130" t="n"/>
      <c r="E808" s="130" t="n"/>
      <c r="F808" s="121" t="n"/>
      <c r="G808" s="129" t="n"/>
      <c r="H808" s="125" t="n"/>
      <c r="I808" s="125" t="n"/>
      <c r="J808" s="122">
        <f>IF($A808="","",$F808*$G808)</f>
        <v/>
      </c>
    </row>
    <row r="809" ht="15" customHeight="1" s="80">
      <c r="A809" s="125" t="n"/>
      <c r="B809" s="125" t="n"/>
      <c r="C809" s="125" t="n"/>
      <c r="D809" s="130" t="n"/>
      <c r="E809" s="130" t="n"/>
      <c r="F809" s="121" t="n"/>
      <c r="G809" s="129" t="n"/>
      <c r="H809" s="125" t="n"/>
      <c r="I809" s="125" t="n"/>
      <c r="J809" s="122">
        <f>IF($A809="","",$F809*$G809)</f>
        <v/>
      </c>
    </row>
    <row r="810" ht="15" customHeight="1" s="80">
      <c r="A810" s="125" t="n"/>
      <c r="B810" s="125" t="n"/>
      <c r="C810" s="125" t="n"/>
      <c r="D810" s="130" t="n"/>
      <c r="E810" s="130" t="n"/>
      <c r="F810" s="121" t="n"/>
      <c r="G810" s="129" t="n"/>
      <c r="H810" s="125" t="n"/>
      <c r="I810" s="125" t="n"/>
      <c r="J810" s="122">
        <f>IF($A810="","",$F810*$G810)</f>
        <v/>
      </c>
    </row>
    <row r="811" ht="15" customHeight="1" s="80">
      <c r="A811" s="125" t="n"/>
      <c r="B811" s="125" t="n"/>
      <c r="C811" s="125" t="n"/>
      <c r="D811" s="130" t="n"/>
      <c r="E811" s="130" t="n"/>
      <c r="F811" s="121" t="n"/>
      <c r="G811" s="129" t="n"/>
      <c r="H811" s="125" t="n"/>
      <c r="I811" s="125" t="n"/>
      <c r="J811" s="122">
        <f>IF($A811="","",$F811*$G811)</f>
        <v/>
      </c>
    </row>
    <row r="812" ht="15" customHeight="1" s="80">
      <c r="A812" s="125" t="n"/>
      <c r="B812" s="125" t="n"/>
      <c r="C812" s="125" t="n"/>
      <c r="D812" s="130" t="n"/>
      <c r="E812" s="130" t="n"/>
      <c r="F812" s="121" t="n"/>
      <c r="G812" s="129" t="n"/>
      <c r="H812" s="125" t="n"/>
      <c r="I812" s="125" t="n"/>
      <c r="J812" s="122">
        <f>IF($A812="","",$F812*$G812)</f>
        <v/>
      </c>
    </row>
    <row r="813" ht="15" customHeight="1" s="80">
      <c r="A813" s="125" t="n"/>
      <c r="B813" s="125" t="n"/>
      <c r="C813" s="125" t="n"/>
      <c r="D813" s="130" t="n"/>
      <c r="E813" s="130" t="n"/>
      <c r="F813" s="121" t="n"/>
      <c r="G813" s="129" t="n"/>
      <c r="H813" s="125" t="n"/>
      <c r="I813" s="125" t="n"/>
      <c r="J813" s="122">
        <f>IF($A813="","",$F813*$G813)</f>
        <v/>
      </c>
    </row>
    <row r="814" ht="15" customHeight="1" s="80">
      <c r="A814" s="125" t="n"/>
      <c r="B814" s="125" t="n"/>
      <c r="C814" s="125" t="n"/>
      <c r="D814" s="130" t="n"/>
      <c r="E814" s="130" t="n"/>
      <c r="F814" s="121" t="n"/>
      <c r="G814" s="129" t="n"/>
      <c r="H814" s="125" t="n"/>
      <c r="I814" s="125" t="n"/>
      <c r="J814" s="122">
        <f>IF($A814="","",$F814*$G814)</f>
        <v/>
      </c>
    </row>
    <row r="815" ht="15" customHeight="1" s="80">
      <c r="A815" s="125" t="n"/>
      <c r="B815" s="125" t="n"/>
      <c r="C815" s="125" t="n"/>
      <c r="D815" s="130" t="n"/>
      <c r="E815" s="130" t="n"/>
      <c r="F815" s="121" t="n"/>
      <c r="G815" s="129" t="n"/>
      <c r="H815" s="125" t="n"/>
      <c r="I815" s="125" t="n"/>
      <c r="J815" s="122">
        <f>IF($A815="","",$F815*$G815)</f>
        <v/>
      </c>
    </row>
    <row r="816" ht="15" customHeight="1" s="80">
      <c r="A816" s="125" t="n"/>
      <c r="B816" s="125" t="n"/>
      <c r="C816" s="125" t="n"/>
      <c r="D816" s="130" t="n"/>
      <c r="E816" s="130" t="n"/>
      <c r="F816" s="121" t="n"/>
      <c r="G816" s="129" t="n"/>
      <c r="H816" s="125" t="n"/>
      <c r="I816" s="125" t="n"/>
      <c r="J816" s="122">
        <f>IF($A816="","",$F816*$G816)</f>
        <v/>
      </c>
    </row>
    <row r="817" ht="15" customHeight="1" s="80">
      <c r="A817" s="125" t="n"/>
      <c r="B817" s="125" t="n"/>
      <c r="C817" s="125" t="n"/>
      <c r="D817" s="130" t="n"/>
      <c r="E817" s="130" t="n"/>
      <c r="F817" s="121" t="n"/>
      <c r="G817" s="129" t="n"/>
      <c r="H817" s="125" t="n"/>
      <c r="I817" s="125" t="n"/>
      <c r="J817" s="122">
        <f>IF($A817="","",$F817*$G817)</f>
        <v/>
      </c>
    </row>
    <row r="818" ht="15" customHeight="1" s="80">
      <c r="A818" s="125" t="n"/>
      <c r="B818" s="125" t="n"/>
      <c r="C818" s="125" t="n"/>
      <c r="D818" s="130" t="n"/>
      <c r="E818" s="130" t="n"/>
      <c r="F818" s="121" t="n"/>
      <c r="G818" s="129" t="n"/>
      <c r="H818" s="125" t="n"/>
      <c r="I818" s="125" t="n"/>
      <c r="J818" s="122">
        <f>IF($A818="","",$F818*$G818)</f>
        <v/>
      </c>
    </row>
    <row r="819" ht="15" customHeight="1" s="80">
      <c r="A819" s="125" t="n"/>
      <c r="B819" s="125" t="n"/>
      <c r="C819" s="125" t="n"/>
      <c r="D819" s="130" t="n"/>
      <c r="E819" s="130" t="n"/>
      <c r="F819" s="121" t="n"/>
      <c r="G819" s="129" t="n"/>
      <c r="H819" s="125" t="n"/>
      <c r="I819" s="125" t="n"/>
      <c r="J819" s="122">
        <f>IF($A819="","",$F819*$G819)</f>
        <v/>
      </c>
    </row>
    <row r="820" ht="15" customHeight="1" s="80">
      <c r="A820" s="125" t="n"/>
      <c r="B820" s="125" t="n"/>
      <c r="C820" s="125" t="n"/>
      <c r="D820" s="130" t="n"/>
      <c r="E820" s="130" t="n"/>
      <c r="F820" s="121" t="n"/>
      <c r="G820" s="129" t="n"/>
      <c r="H820" s="125" t="n"/>
      <c r="I820" s="125" t="n"/>
      <c r="J820" s="122">
        <f>IF($A820="","",$F820*$G820)</f>
        <v/>
      </c>
    </row>
    <row r="821" ht="15" customHeight="1" s="80">
      <c r="A821" s="125" t="n"/>
      <c r="B821" s="125" t="n"/>
      <c r="C821" s="125" t="n"/>
      <c r="D821" s="130" t="n"/>
      <c r="E821" s="130" t="n"/>
      <c r="F821" s="121" t="n"/>
      <c r="G821" s="129" t="n"/>
      <c r="H821" s="125" t="n"/>
      <c r="I821" s="125" t="n"/>
      <c r="J821" s="122">
        <f>IF($A821="","",$F821*$G821)</f>
        <v/>
      </c>
    </row>
    <row r="822" ht="15" customHeight="1" s="80">
      <c r="A822" s="125" t="n"/>
      <c r="B822" s="125" t="n"/>
      <c r="C822" s="125" t="n"/>
      <c r="D822" s="130" t="n"/>
      <c r="E822" s="130" t="n"/>
      <c r="F822" s="121" t="n"/>
      <c r="G822" s="129" t="n"/>
      <c r="H822" s="125" t="n"/>
      <c r="I822" s="125" t="n"/>
      <c r="J822" s="122">
        <f>IF($A822="","",$F822*$G822)</f>
        <v/>
      </c>
    </row>
    <row r="823" ht="15" customHeight="1" s="80">
      <c r="A823" s="125" t="n"/>
      <c r="B823" s="125" t="n"/>
      <c r="C823" s="125" t="n"/>
      <c r="D823" s="130" t="n"/>
      <c r="E823" s="130" t="n"/>
      <c r="F823" s="121" t="n"/>
      <c r="G823" s="129" t="n"/>
      <c r="H823" s="125" t="n"/>
      <c r="I823" s="125" t="n"/>
      <c r="J823" s="122">
        <f>IF($A823="","",$F823*$G823)</f>
        <v/>
      </c>
    </row>
    <row r="824" ht="15" customHeight="1" s="80">
      <c r="A824" s="125" t="n"/>
      <c r="B824" s="125" t="n"/>
      <c r="C824" s="125" t="n"/>
      <c r="D824" s="130" t="n"/>
      <c r="E824" s="130" t="n"/>
      <c r="F824" s="121" t="n"/>
      <c r="G824" s="129" t="n"/>
      <c r="H824" s="125" t="n"/>
      <c r="I824" s="125" t="n"/>
      <c r="J824" s="122">
        <f>IF($A824="","",$F824*$G824)</f>
        <v/>
      </c>
    </row>
    <row r="825" ht="15" customHeight="1" s="80">
      <c r="A825" s="125" t="n"/>
      <c r="B825" s="125" t="n"/>
      <c r="C825" s="125" t="n"/>
      <c r="D825" s="130" t="n"/>
      <c r="E825" s="130" t="n"/>
      <c r="F825" s="121" t="n"/>
      <c r="G825" s="129" t="n"/>
      <c r="H825" s="125" t="n"/>
      <c r="I825" s="125" t="n"/>
      <c r="J825" s="122">
        <f>IF($A825="","",$F825*$G825)</f>
        <v/>
      </c>
    </row>
    <row r="826" ht="15" customHeight="1" s="80">
      <c r="A826" s="125" t="n"/>
      <c r="B826" s="125" t="n"/>
      <c r="C826" s="125" t="n"/>
      <c r="D826" s="130" t="n"/>
      <c r="E826" s="130" t="n"/>
      <c r="F826" s="121" t="n"/>
      <c r="G826" s="129" t="n"/>
      <c r="H826" s="125" t="n"/>
      <c r="I826" s="125" t="n"/>
      <c r="J826" s="122">
        <f>IF($A826="","",$F826*$G826)</f>
        <v/>
      </c>
    </row>
    <row r="827" ht="15" customHeight="1" s="80">
      <c r="A827" s="125" t="n"/>
      <c r="B827" s="125" t="n"/>
      <c r="C827" s="125" t="n"/>
      <c r="D827" s="130" t="n"/>
      <c r="E827" s="130" t="n"/>
      <c r="F827" s="121" t="n"/>
      <c r="G827" s="129" t="n"/>
      <c r="H827" s="125" t="n"/>
      <c r="I827" s="125" t="n"/>
      <c r="J827" s="122">
        <f>IF($A827="","",$F827*$G827)</f>
        <v/>
      </c>
    </row>
    <row r="828" ht="15" customHeight="1" s="80">
      <c r="A828" s="125" t="n"/>
      <c r="B828" s="125" t="n"/>
      <c r="C828" s="125" t="n"/>
      <c r="D828" s="130" t="n"/>
      <c r="E828" s="130" t="n"/>
      <c r="F828" s="121" t="n"/>
      <c r="G828" s="129" t="n"/>
      <c r="H828" s="125" t="n"/>
      <c r="I828" s="125" t="n"/>
      <c r="J828" s="122">
        <f>IF($A828="","",$F828*$G828)</f>
        <v/>
      </c>
    </row>
    <row r="829" ht="15" customHeight="1" s="80">
      <c r="A829" s="125" t="n"/>
      <c r="B829" s="125" t="n"/>
      <c r="C829" s="125" t="n"/>
      <c r="D829" s="130" t="n"/>
      <c r="E829" s="130" t="n"/>
      <c r="F829" s="121" t="n"/>
      <c r="G829" s="129" t="n"/>
      <c r="H829" s="125" t="n"/>
      <c r="I829" s="125" t="n"/>
      <c r="J829" s="122">
        <f>IF($A829="","",$F829*$G829)</f>
        <v/>
      </c>
    </row>
    <row r="830" ht="15" customHeight="1" s="80">
      <c r="A830" s="125" t="n"/>
      <c r="B830" s="125" t="n"/>
      <c r="C830" s="125" t="n"/>
      <c r="D830" s="130" t="n"/>
      <c r="E830" s="130" t="n"/>
      <c r="F830" s="121" t="n"/>
      <c r="G830" s="129" t="n"/>
      <c r="H830" s="125" t="n"/>
      <c r="I830" s="125" t="n"/>
      <c r="J830" s="122">
        <f>IF($A830="","",$F830*$G830)</f>
        <v/>
      </c>
    </row>
    <row r="831" ht="15" customHeight="1" s="80">
      <c r="A831" s="125" t="n"/>
      <c r="B831" s="125" t="n"/>
      <c r="C831" s="125" t="n"/>
      <c r="D831" s="130" t="n"/>
      <c r="E831" s="130" t="n"/>
      <c r="F831" s="121" t="n"/>
      <c r="G831" s="129" t="n"/>
      <c r="H831" s="125" t="n"/>
      <c r="I831" s="125" t="n"/>
      <c r="J831" s="122">
        <f>IF($A831="","",$F831*$G831)</f>
        <v/>
      </c>
    </row>
    <row r="832" ht="15" customHeight="1" s="80">
      <c r="A832" s="125" t="n"/>
      <c r="B832" s="125" t="n"/>
      <c r="C832" s="125" t="n"/>
      <c r="D832" s="130" t="n"/>
      <c r="E832" s="130" t="n"/>
      <c r="F832" s="121" t="n"/>
      <c r="G832" s="129" t="n"/>
      <c r="H832" s="125" t="n"/>
      <c r="I832" s="125" t="n"/>
      <c r="J832" s="122">
        <f>IF($A832="","",$F832*$G832)</f>
        <v/>
      </c>
    </row>
    <row r="833" ht="15" customHeight="1" s="80">
      <c r="A833" s="125" t="n"/>
      <c r="B833" s="125" t="n"/>
      <c r="C833" s="125" t="n"/>
      <c r="D833" s="130" t="n"/>
      <c r="E833" s="130" t="n"/>
      <c r="F833" s="121" t="n"/>
      <c r="G833" s="129" t="n"/>
      <c r="H833" s="125" t="n"/>
      <c r="I833" s="125" t="n"/>
      <c r="J833" s="122">
        <f>IF($A833="","",$F833*$G833)</f>
        <v/>
      </c>
    </row>
    <row r="834" ht="15" customHeight="1" s="80">
      <c r="A834" s="125" t="n"/>
      <c r="B834" s="125" t="n"/>
      <c r="C834" s="125" t="n"/>
      <c r="D834" s="130" t="n"/>
      <c r="E834" s="130" t="n"/>
      <c r="F834" s="121" t="n"/>
      <c r="G834" s="129" t="n"/>
      <c r="H834" s="125" t="n"/>
      <c r="I834" s="125" t="n"/>
      <c r="J834" s="122">
        <f>IF($A834="","",$F834*$G834)</f>
        <v/>
      </c>
    </row>
    <row r="835" ht="15" customHeight="1" s="80">
      <c r="A835" s="125" t="n"/>
      <c r="B835" s="125" t="n"/>
      <c r="C835" s="125" t="n"/>
      <c r="D835" s="130" t="n"/>
      <c r="E835" s="130" t="n"/>
      <c r="F835" s="121" t="n"/>
      <c r="G835" s="129" t="n"/>
      <c r="H835" s="125" t="n"/>
      <c r="I835" s="125" t="n"/>
      <c r="J835" s="122">
        <f>IF($A835="","",$F835*$G835)</f>
        <v/>
      </c>
    </row>
    <row r="836" ht="15" customHeight="1" s="80">
      <c r="A836" s="125" t="n"/>
      <c r="B836" s="125" t="n"/>
      <c r="C836" s="125" t="n"/>
      <c r="D836" s="130" t="n"/>
      <c r="E836" s="130" t="n"/>
      <c r="F836" s="121" t="n"/>
      <c r="G836" s="129" t="n"/>
      <c r="H836" s="125" t="n"/>
      <c r="I836" s="125" t="n"/>
      <c r="J836" s="122">
        <f>IF($A836="","",$F836*$G836)</f>
        <v/>
      </c>
    </row>
    <row r="837" ht="15" customHeight="1" s="80">
      <c r="A837" s="125" t="n"/>
      <c r="B837" s="125" t="n"/>
      <c r="C837" s="125" t="n"/>
      <c r="D837" s="130" t="n"/>
      <c r="E837" s="130" t="n"/>
      <c r="F837" s="121" t="n"/>
      <c r="G837" s="129" t="n"/>
      <c r="H837" s="125" t="n"/>
      <c r="I837" s="125" t="n"/>
      <c r="J837" s="122">
        <f>IF($A837="","",$F837*$G837)</f>
        <v/>
      </c>
    </row>
    <row r="838" ht="15" customHeight="1" s="80">
      <c r="A838" s="125" t="n"/>
      <c r="B838" s="125" t="n"/>
      <c r="C838" s="125" t="n"/>
      <c r="D838" s="130" t="n"/>
      <c r="E838" s="130" t="n"/>
      <c r="F838" s="121" t="n"/>
      <c r="G838" s="129" t="n"/>
      <c r="H838" s="125" t="n"/>
      <c r="I838" s="125" t="n"/>
      <c r="J838" s="122">
        <f>IF($A838="","",$F838*$G838)</f>
        <v/>
      </c>
    </row>
    <row r="839" ht="15" customHeight="1" s="80">
      <c r="A839" s="125" t="n"/>
      <c r="B839" s="125" t="n"/>
      <c r="C839" s="125" t="n"/>
      <c r="D839" s="130" t="n"/>
      <c r="E839" s="130" t="n"/>
      <c r="F839" s="121" t="n"/>
      <c r="G839" s="129" t="n"/>
      <c r="H839" s="125" t="n"/>
      <c r="I839" s="125" t="n"/>
      <c r="J839" s="122">
        <f>IF($A839="","",$F839*$G839)</f>
        <v/>
      </c>
    </row>
    <row r="840" ht="15" customHeight="1" s="80">
      <c r="A840" s="125" t="n"/>
      <c r="B840" s="125" t="n"/>
      <c r="C840" s="125" t="n"/>
      <c r="D840" s="130" t="n"/>
      <c r="E840" s="130" t="n"/>
      <c r="F840" s="121" t="n"/>
      <c r="G840" s="129" t="n"/>
      <c r="H840" s="125" t="n"/>
      <c r="I840" s="125" t="n"/>
      <c r="J840" s="122">
        <f>IF($A840="","",$F840*$G840)</f>
        <v/>
      </c>
    </row>
    <row r="841" ht="15" customHeight="1" s="80">
      <c r="A841" s="125" t="n"/>
      <c r="B841" s="125" t="n"/>
      <c r="C841" s="125" t="n"/>
      <c r="D841" s="130" t="n"/>
      <c r="E841" s="130" t="n"/>
      <c r="F841" s="121" t="n"/>
      <c r="G841" s="129" t="n"/>
      <c r="H841" s="125" t="n"/>
      <c r="I841" s="125" t="n"/>
      <c r="J841" s="122">
        <f>IF($A841="","",$F841*$G841)</f>
        <v/>
      </c>
    </row>
    <row r="842" ht="15" customHeight="1" s="80">
      <c r="A842" s="125" t="n"/>
      <c r="B842" s="125" t="n"/>
      <c r="C842" s="125" t="n"/>
      <c r="D842" s="130" t="n"/>
      <c r="E842" s="130" t="n"/>
      <c r="F842" s="121" t="n"/>
      <c r="G842" s="129" t="n"/>
      <c r="H842" s="125" t="n"/>
      <c r="I842" s="125" t="n"/>
      <c r="J842" s="122">
        <f>IF($A842="","",$F842*$G842)</f>
        <v/>
      </c>
    </row>
    <row r="843" ht="15" customHeight="1" s="80">
      <c r="A843" s="125" t="n"/>
      <c r="B843" s="125" t="n"/>
      <c r="C843" s="125" t="n"/>
      <c r="D843" s="130" t="n"/>
      <c r="E843" s="130" t="n"/>
      <c r="F843" s="121" t="n"/>
      <c r="G843" s="129" t="n"/>
      <c r="H843" s="125" t="n"/>
      <c r="I843" s="125" t="n"/>
      <c r="J843" s="122">
        <f>IF($A843="","",$F843*$G843)</f>
        <v/>
      </c>
    </row>
    <row r="844" ht="15" customHeight="1" s="80">
      <c r="A844" s="125" t="n"/>
      <c r="B844" s="125" t="n"/>
      <c r="C844" s="125" t="n"/>
      <c r="D844" s="130" t="n"/>
      <c r="E844" s="130" t="n"/>
      <c r="F844" s="121" t="n"/>
      <c r="G844" s="129" t="n"/>
      <c r="H844" s="125" t="n"/>
      <c r="I844" s="125" t="n"/>
      <c r="J844" s="122">
        <f>IF($A844="","",$F844*$G844)</f>
        <v/>
      </c>
    </row>
    <row r="845" ht="15" customHeight="1" s="80">
      <c r="A845" s="125" t="n"/>
      <c r="B845" s="125" t="n"/>
      <c r="C845" s="125" t="n"/>
      <c r="D845" s="130" t="n"/>
      <c r="E845" s="130" t="n"/>
      <c r="F845" s="121" t="n"/>
      <c r="G845" s="129" t="n"/>
      <c r="H845" s="125" t="n"/>
      <c r="I845" s="125" t="n"/>
      <c r="J845" s="122">
        <f>IF($A845="","",$F845*$G845)</f>
        <v/>
      </c>
    </row>
    <row r="846" ht="15" customHeight="1" s="80">
      <c r="A846" s="125" t="n"/>
      <c r="B846" s="125" t="n"/>
      <c r="C846" s="125" t="n"/>
      <c r="D846" s="130" t="n"/>
      <c r="E846" s="130" t="n"/>
      <c r="F846" s="121" t="n"/>
      <c r="G846" s="129" t="n"/>
      <c r="H846" s="125" t="n"/>
      <c r="I846" s="125" t="n"/>
      <c r="J846" s="122">
        <f>IF($A846="","",$F846*$G846)</f>
        <v/>
      </c>
    </row>
    <row r="847" ht="15" customHeight="1" s="80">
      <c r="A847" s="125" t="n"/>
      <c r="B847" s="125" t="n"/>
      <c r="C847" s="125" t="n"/>
      <c r="D847" s="130" t="n"/>
      <c r="E847" s="130" t="n"/>
      <c r="F847" s="121" t="n"/>
      <c r="G847" s="129" t="n"/>
      <c r="H847" s="125" t="n"/>
      <c r="I847" s="125" t="n"/>
      <c r="J847" s="122">
        <f>IF($A847="","",$F847*$G847)</f>
        <v/>
      </c>
    </row>
    <row r="848" ht="15" customHeight="1" s="80">
      <c r="A848" s="125" t="n"/>
      <c r="B848" s="125" t="n"/>
      <c r="C848" s="125" t="n"/>
      <c r="D848" s="130" t="n"/>
      <c r="E848" s="130" t="n"/>
      <c r="F848" s="121" t="n"/>
      <c r="G848" s="129" t="n"/>
      <c r="H848" s="125" t="n"/>
      <c r="I848" s="125" t="n"/>
      <c r="J848" s="122">
        <f>IF($A848="","",$F848*$G848)</f>
        <v/>
      </c>
    </row>
    <row r="849" ht="15" customHeight="1" s="80">
      <c r="A849" s="125" t="n"/>
      <c r="B849" s="125" t="n"/>
      <c r="C849" s="125" t="n"/>
      <c r="D849" s="130" t="n"/>
      <c r="E849" s="130" t="n"/>
      <c r="F849" s="121" t="n"/>
      <c r="G849" s="129" t="n"/>
      <c r="H849" s="125" t="n"/>
      <c r="I849" s="125" t="n"/>
      <c r="J849" s="122">
        <f>IF($A849="","",$F849*$G849)</f>
        <v/>
      </c>
    </row>
    <row r="850" ht="15" customHeight="1" s="80">
      <c r="A850" s="125" t="n"/>
      <c r="B850" s="125" t="n"/>
      <c r="C850" s="125" t="n"/>
      <c r="D850" s="130" t="n"/>
      <c r="E850" s="130" t="n"/>
      <c r="F850" s="121" t="n"/>
      <c r="G850" s="129" t="n"/>
      <c r="H850" s="125" t="n"/>
      <c r="I850" s="125" t="n"/>
      <c r="J850" s="122">
        <f>IF($A850="","",$F850*$G850)</f>
        <v/>
      </c>
    </row>
    <row r="851" ht="15" customHeight="1" s="80">
      <c r="A851" s="125" t="n"/>
      <c r="B851" s="125" t="n"/>
      <c r="C851" s="125" t="n"/>
      <c r="D851" s="130" t="n"/>
      <c r="E851" s="130" t="n"/>
      <c r="F851" s="121" t="n"/>
      <c r="G851" s="129" t="n"/>
      <c r="H851" s="125" t="n"/>
      <c r="I851" s="125" t="n"/>
      <c r="J851" s="122">
        <f>IF($A851="","",$F851*$G851)</f>
        <v/>
      </c>
    </row>
    <row r="852" ht="15" customHeight="1" s="80">
      <c r="A852" s="125" t="n"/>
      <c r="B852" s="125" t="n"/>
      <c r="C852" s="125" t="n"/>
      <c r="D852" s="130" t="n"/>
      <c r="E852" s="130" t="n"/>
      <c r="F852" s="121" t="n"/>
      <c r="G852" s="129" t="n"/>
      <c r="H852" s="125" t="n"/>
      <c r="I852" s="125" t="n"/>
      <c r="J852" s="122">
        <f>IF($A852="","",$F852*$G852)</f>
        <v/>
      </c>
    </row>
    <row r="853" ht="15" customHeight="1" s="80">
      <c r="A853" s="125" t="n"/>
      <c r="B853" s="125" t="n"/>
      <c r="C853" s="125" t="n"/>
      <c r="D853" s="130" t="n"/>
      <c r="E853" s="130" t="n"/>
      <c r="F853" s="121" t="n"/>
      <c r="G853" s="129" t="n"/>
      <c r="H853" s="125" t="n"/>
      <c r="I853" s="125" t="n"/>
      <c r="J853" s="122">
        <f>IF($A853="","",$F853*$G853)</f>
        <v/>
      </c>
    </row>
    <row r="854" ht="15" customHeight="1" s="80">
      <c r="A854" s="125" t="n"/>
      <c r="B854" s="125" t="n"/>
      <c r="C854" s="125" t="n"/>
      <c r="D854" s="130" t="n"/>
      <c r="E854" s="130" t="n"/>
      <c r="F854" s="121" t="n"/>
      <c r="G854" s="129" t="n"/>
      <c r="H854" s="125" t="n"/>
      <c r="I854" s="125" t="n"/>
      <c r="J854" s="122">
        <f>IF($A854="","",$F854*$G854)</f>
        <v/>
      </c>
    </row>
    <row r="855" ht="15" customHeight="1" s="80">
      <c r="A855" s="125" t="n"/>
      <c r="B855" s="125" t="n"/>
      <c r="C855" s="125" t="n"/>
      <c r="D855" s="130" t="n"/>
      <c r="E855" s="130" t="n"/>
      <c r="F855" s="121" t="n"/>
      <c r="G855" s="129" t="n"/>
      <c r="H855" s="125" t="n"/>
      <c r="I855" s="125" t="n"/>
      <c r="J855" s="122">
        <f>IF($A855="","",$F855*$G855)</f>
        <v/>
      </c>
    </row>
    <row r="856" ht="15" customHeight="1" s="80">
      <c r="A856" s="125" t="n"/>
      <c r="B856" s="125" t="n"/>
      <c r="C856" s="125" t="n"/>
      <c r="D856" s="130" t="n"/>
      <c r="E856" s="130" t="n"/>
      <c r="F856" s="121" t="n"/>
      <c r="G856" s="129" t="n"/>
      <c r="H856" s="125" t="n"/>
      <c r="I856" s="125" t="n"/>
      <c r="J856" s="122">
        <f>IF($A856="","",$F856*$G856)</f>
        <v/>
      </c>
    </row>
    <row r="857" ht="15" customHeight="1" s="80">
      <c r="A857" s="125" t="n"/>
      <c r="B857" s="125" t="n"/>
      <c r="C857" s="125" t="n"/>
      <c r="D857" s="130" t="n"/>
      <c r="E857" s="130" t="n"/>
      <c r="F857" s="121" t="n"/>
      <c r="G857" s="129" t="n"/>
      <c r="H857" s="125" t="n"/>
      <c r="I857" s="125" t="n"/>
      <c r="J857" s="122">
        <f>IF($A857="","",$F857*$G857)</f>
        <v/>
      </c>
    </row>
    <row r="858" ht="15" customHeight="1" s="80">
      <c r="A858" s="125" t="n"/>
      <c r="B858" s="125" t="n"/>
      <c r="C858" s="125" t="n"/>
      <c r="D858" s="130" t="n"/>
      <c r="E858" s="130" t="n"/>
      <c r="F858" s="121" t="n"/>
      <c r="G858" s="129" t="n"/>
      <c r="H858" s="125" t="n"/>
      <c r="I858" s="125" t="n"/>
      <c r="J858" s="122">
        <f>IF($A858="","",$F858*$G858)</f>
        <v/>
      </c>
    </row>
    <row r="859" ht="15" customHeight="1" s="80">
      <c r="A859" s="125" t="n"/>
      <c r="B859" s="125" t="n"/>
      <c r="C859" s="125" t="n"/>
      <c r="D859" s="130" t="n"/>
      <c r="E859" s="130" t="n"/>
      <c r="F859" s="121" t="n"/>
      <c r="G859" s="129" t="n"/>
      <c r="H859" s="125" t="n"/>
      <c r="I859" s="125" t="n"/>
      <c r="J859" s="122">
        <f>IF($A859="","",$F859*$G859)</f>
        <v/>
      </c>
    </row>
    <row r="860" ht="15" customHeight="1" s="80">
      <c r="A860" s="125" t="n"/>
      <c r="B860" s="125" t="n"/>
      <c r="C860" s="125" t="n"/>
      <c r="D860" s="130" t="n"/>
      <c r="E860" s="130" t="n"/>
      <c r="F860" s="121" t="n"/>
      <c r="G860" s="129" t="n"/>
      <c r="H860" s="125" t="n"/>
      <c r="I860" s="125" t="n"/>
      <c r="J860" s="122">
        <f>IF($A860="","",$F860*$G860)</f>
        <v/>
      </c>
    </row>
    <row r="861" ht="15" customHeight="1" s="80">
      <c r="A861" s="125" t="n"/>
      <c r="B861" s="125" t="n"/>
      <c r="C861" s="125" t="n"/>
      <c r="D861" s="130" t="n"/>
      <c r="E861" s="130" t="n"/>
      <c r="F861" s="121" t="n"/>
      <c r="G861" s="129" t="n"/>
      <c r="H861" s="125" t="n"/>
      <c r="I861" s="125" t="n"/>
      <c r="J861" s="122">
        <f>IF($A861="","",$F861*$G861)</f>
        <v/>
      </c>
    </row>
    <row r="862" ht="15" customHeight="1" s="80">
      <c r="A862" s="125" t="n"/>
      <c r="B862" s="125" t="n"/>
      <c r="C862" s="125" t="n"/>
      <c r="D862" s="130" t="n"/>
      <c r="E862" s="130" t="n"/>
      <c r="F862" s="121" t="n"/>
      <c r="G862" s="129" t="n"/>
      <c r="H862" s="125" t="n"/>
      <c r="I862" s="125" t="n"/>
      <c r="J862" s="122">
        <f>IF($A862="","",$F862*$G862)</f>
        <v/>
      </c>
    </row>
    <row r="863" ht="15" customHeight="1" s="80">
      <c r="A863" s="125" t="n"/>
      <c r="B863" s="125" t="n"/>
      <c r="C863" s="125" t="n"/>
      <c r="D863" s="130" t="n"/>
      <c r="E863" s="130" t="n"/>
      <c r="F863" s="121" t="n"/>
      <c r="G863" s="129" t="n"/>
      <c r="H863" s="125" t="n"/>
      <c r="I863" s="125" t="n"/>
      <c r="J863" s="122">
        <f>IF($A863="","",$F863*$G863)</f>
        <v/>
      </c>
    </row>
    <row r="864" ht="15" customHeight="1" s="80">
      <c r="A864" s="125" t="n"/>
      <c r="B864" s="125" t="n"/>
      <c r="C864" s="125" t="n"/>
      <c r="D864" s="130" t="n"/>
      <c r="E864" s="130" t="n"/>
      <c r="F864" s="121" t="n"/>
      <c r="G864" s="129" t="n"/>
      <c r="H864" s="125" t="n"/>
      <c r="I864" s="125" t="n"/>
      <c r="J864" s="122">
        <f>IF($A864="","",$F864*$G864)</f>
        <v/>
      </c>
    </row>
    <row r="865" ht="15" customHeight="1" s="80">
      <c r="A865" s="125" t="n"/>
      <c r="B865" s="125" t="n"/>
      <c r="C865" s="125" t="n"/>
      <c r="D865" s="130" t="n"/>
      <c r="E865" s="130" t="n"/>
      <c r="F865" s="121" t="n"/>
      <c r="G865" s="129" t="n"/>
      <c r="H865" s="125" t="n"/>
      <c r="I865" s="125" t="n"/>
      <c r="J865" s="122">
        <f>IF($A865="","",$F865*$G865)</f>
        <v/>
      </c>
    </row>
    <row r="866" ht="15" customHeight="1" s="80">
      <c r="A866" s="125" t="n"/>
      <c r="B866" s="125" t="n"/>
      <c r="C866" s="125" t="n"/>
      <c r="D866" s="130" t="n"/>
      <c r="E866" s="130" t="n"/>
      <c r="F866" s="121" t="n"/>
      <c r="G866" s="129" t="n"/>
      <c r="H866" s="125" t="n"/>
      <c r="I866" s="125" t="n"/>
      <c r="J866" s="122">
        <f>IF($A866="","",$F866*$G866)</f>
        <v/>
      </c>
    </row>
    <row r="867" ht="15" customHeight="1" s="80">
      <c r="A867" s="125" t="n"/>
      <c r="B867" s="125" t="n"/>
      <c r="C867" s="125" t="n"/>
      <c r="D867" s="130" t="n"/>
      <c r="E867" s="130" t="n"/>
      <c r="F867" s="121" t="n"/>
      <c r="G867" s="129" t="n"/>
      <c r="H867" s="125" t="n"/>
      <c r="I867" s="125" t="n"/>
      <c r="J867" s="122">
        <f>IF($A867="","",$F867*$G867)</f>
        <v/>
      </c>
    </row>
    <row r="868" ht="15" customHeight="1" s="80">
      <c r="A868" s="125" t="n"/>
      <c r="B868" s="125" t="n"/>
      <c r="C868" s="125" t="n"/>
      <c r="D868" s="130" t="n"/>
      <c r="E868" s="130" t="n"/>
      <c r="F868" s="121" t="n"/>
      <c r="G868" s="129" t="n"/>
      <c r="H868" s="125" t="n"/>
      <c r="I868" s="125" t="n"/>
      <c r="J868" s="122">
        <f>IF($A868="","",$F868*$G868)</f>
        <v/>
      </c>
    </row>
    <row r="869" ht="15" customHeight="1" s="80">
      <c r="A869" s="125" t="n"/>
      <c r="B869" s="125" t="n"/>
      <c r="C869" s="125" t="n"/>
      <c r="D869" s="130" t="n"/>
      <c r="E869" s="130" t="n"/>
      <c r="F869" s="121" t="n"/>
      <c r="G869" s="129" t="n"/>
      <c r="H869" s="125" t="n"/>
      <c r="I869" s="125" t="n"/>
      <c r="J869" s="122">
        <f>IF($A869="","",$F869*$G869)</f>
        <v/>
      </c>
    </row>
    <row r="870" ht="15" customHeight="1" s="80">
      <c r="A870" s="125" t="n"/>
      <c r="B870" s="125" t="n"/>
      <c r="C870" s="125" t="n"/>
      <c r="D870" s="130" t="n"/>
      <c r="E870" s="130" t="n"/>
      <c r="F870" s="121" t="n"/>
      <c r="G870" s="129" t="n"/>
      <c r="H870" s="125" t="n"/>
      <c r="I870" s="125" t="n"/>
      <c r="J870" s="122">
        <f>IF($A870="","",$F870*$G870)</f>
        <v/>
      </c>
    </row>
    <row r="871" ht="15" customHeight="1" s="80">
      <c r="A871" s="125" t="n"/>
      <c r="B871" s="125" t="n"/>
      <c r="C871" s="125" t="n"/>
      <c r="D871" s="130" t="n"/>
      <c r="E871" s="130" t="n"/>
      <c r="F871" s="121" t="n"/>
      <c r="G871" s="129" t="n"/>
      <c r="H871" s="125" t="n"/>
      <c r="I871" s="125" t="n"/>
      <c r="J871" s="122">
        <f>IF($A871="","",$F871*$G871)</f>
        <v/>
      </c>
    </row>
    <row r="872" ht="15" customHeight="1" s="80">
      <c r="A872" s="125" t="n"/>
      <c r="B872" s="125" t="n"/>
      <c r="C872" s="125" t="n"/>
      <c r="D872" s="130" t="n"/>
      <c r="E872" s="130" t="n"/>
      <c r="F872" s="121" t="n"/>
      <c r="G872" s="129" t="n"/>
      <c r="H872" s="125" t="n"/>
      <c r="I872" s="125" t="n"/>
      <c r="J872" s="122">
        <f>IF($A872="","",$F872*$G872)</f>
        <v/>
      </c>
    </row>
    <row r="873" ht="15" customHeight="1" s="80">
      <c r="A873" s="125" t="n"/>
      <c r="B873" s="125" t="n"/>
      <c r="C873" s="125" t="n"/>
      <c r="D873" s="130" t="n"/>
      <c r="E873" s="130" t="n"/>
      <c r="F873" s="121" t="n"/>
      <c r="G873" s="129" t="n"/>
      <c r="H873" s="125" t="n"/>
      <c r="I873" s="125" t="n"/>
      <c r="J873" s="122">
        <f>IF($A873="","",$F873*$G873)</f>
        <v/>
      </c>
    </row>
    <row r="874" ht="15" customHeight="1" s="80">
      <c r="A874" s="125" t="n"/>
      <c r="B874" s="125" t="n"/>
      <c r="C874" s="125" t="n"/>
      <c r="D874" s="130" t="n"/>
      <c r="E874" s="130" t="n"/>
      <c r="F874" s="121" t="n"/>
      <c r="G874" s="129" t="n"/>
      <c r="H874" s="125" t="n"/>
      <c r="I874" s="125" t="n"/>
      <c r="J874" s="122">
        <f>IF($A874="","",$F874*$G874)</f>
        <v/>
      </c>
    </row>
    <row r="875" ht="15" customHeight="1" s="80">
      <c r="A875" s="125" t="n"/>
      <c r="B875" s="125" t="n"/>
      <c r="C875" s="125" t="n"/>
      <c r="D875" s="130" t="n"/>
      <c r="E875" s="130" t="n"/>
      <c r="F875" s="121" t="n"/>
      <c r="G875" s="129" t="n"/>
      <c r="H875" s="125" t="n"/>
      <c r="I875" s="125" t="n"/>
      <c r="J875" s="122">
        <f>IF($A875="","",$F875*$G875)</f>
        <v/>
      </c>
    </row>
    <row r="876" ht="15" customHeight="1" s="80">
      <c r="A876" s="125" t="n"/>
      <c r="B876" s="125" t="n"/>
      <c r="C876" s="125" t="n"/>
      <c r="D876" s="130" t="n"/>
      <c r="E876" s="130" t="n"/>
      <c r="F876" s="121" t="n"/>
      <c r="G876" s="129" t="n"/>
      <c r="H876" s="125" t="n"/>
      <c r="I876" s="125" t="n"/>
      <c r="J876" s="122">
        <f>IF($A876="","",$F876*$G876)</f>
        <v/>
      </c>
    </row>
    <row r="877" ht="15" customHeight="1" s="80">
      <c r="A877" s="125" t="n"/>
      <c r="B877" s="125" t="n"/>
      <c r="C877" s="125" t="n"/>
      <c r="D877" s="130" t="n"/>
      <c r="E877" s="130" t="n"/>
      <c r="F877" s="121" t="n"/>
      <c r="G877" s="129" t="n"/>
      <c r="H877" s="125" t="n"/>
      <c r="I877" s="125" t="n"/>
      <c r="J877" s="122">
        <f>IF($A877="","",$F877*$G877)</f>
        <v/>
      </c>
    </row>
    <row r="878" ht="15" customHeight="1" s="80">
      <c r="A878" s="125" t="n"/>
      <c r="B878" s="125" t="n"/>
      <c r="C878" s="125" t="n"/>
      <c r="D878" s="130" t="n"/>
      <c r="E878" s="130" t="n"/>
      <c r="F878" s="121" t="n"/>
      <c r="G878" s="129" t="n"/>
      <c r="H878" s="125" t="n"/>
      <c r="I878" s="125" t="n"/>
      <c r="J878" s="122">
        <f>IF($A878="","",$F878*$G878)</f>
        <v/>
      </c>
    </row>
    <row r="879" ht="15" customHeight="1" s="80">
      <c r="A879" s="125" t="n"/>
      <c r="B879" s="125" t="n"/>
      <c r="C879" s="125" t="n"/>
      <c r="D879" s="130" t="n"/>
      <c r="E879" s="130" t="n"/>
      <c r="F879" s="121" t="n"/>
      <c r="G879" s="129" t="n"/>
      <c r="H879" s="125" t="n"/>
      <c r="I879" s="125" t="n"/>
      <c r="J879" s="122">
        <f>IF($A879="","",$F879*$G879)</f>
        <v/>
      </c>
    </row>
    <row r="880" ht="15" customHeight="1" s="80">
      <c r="A880" s="125" t="n"/>
      <c r="B880" s="125" t="n"/>
      <c r="C880" s="125" t="n"/>
      <c r="D880" s="130" t="n"/>
      <c r="E880" s="130" t="n"/>
      <c r="F880" s="121" t="n"/>
      <c r="G880" s="129" t="n"/>
      <c r="H880" s="125" t="n"/>
      <c r="I880" s="125" t="n"/>
      <c r="J880" s="122">
        <f>IF($A880="","",$F880*$G880)</f>
        <v/>
      </c>
    </row>
    <row r="881" ht="15" customHeight="1" s="80">
      <c r="A881" s="125" t="n"/>
      <c r="B881" s="125" t="n"/>
      <c r="C881" s="125" t="n"/>
      <c r="D881" s="130" t="n"/>
      <c r="E881" s="130" t="n"/>
      <c r="F881" s="121" t="n"/>
      <c r="G881" s="129" t="n"/>
      <c r="H881" s="125" t="n"/>
      <c r="I881" s="125" t="n"/>
      <c r="J881" s="122">
        <f>IF($A881="","",$F881*$G881)</f>
        <v/>
      </c>
    </row>
    <row r="882" ht="15" customHeight="1" s="80">
      <c r="A882" s="125" t="n"/>
      <c r="B882" s="125" t="n"/>
      <c r="C882" s="125" t="n"/>
      <c r="D882" s="130" t="n"/>
      <c r="E882" s="130" t="n"/>
      <c r="F882" s="121" t="n"/>
      <c r="G882" s="129" t="n"/>
      <c r="H882" s="125" t="n"/>
      <c r="I882" s="125" t="n"/>
      <c r="J882" s="122">
        <f>IF($A882="","",$F882*$G882)</f>
        <v/>
      </c>
    </row>
    <row r="883" ht="15" customHeight="1" s="80">
      <c r="A883" s="125" t="n"/>
      <c r="B883" s="125" t="n"/>
      <c r="C883" s="125" t="n"/>
      <c r="D883" s="130" t="n"/>
      <c r="E883" s="130" t="n"/>
      <c r="F883" s="121" t="n"/>
      <c r="G883" s="129" t="n"/>
      <c r="H883" s="125" t="n"/>
      <c r="I883" s="125" t="n"/>
      <c r="J883" s="122">
        <f>IF($A883="","",$F883*$G883)</f>
        <v/>
      </c>
    </row>
    <row r="884" ht="15" customHeight="1" s="80">
      <c r="A884" s="125" t="n"/>
      <c r="B884" s="125" t="n"/>
      <c r="C884" s="125" t="n"/>
      <c r="D884" s="130" t="n"/>
      <c r="E884" s="130" t="n"/>
      <c r="F884" s="121" t="n"/>
      <c r="G884" s="129" t="n"/>
      <c r="H884" s="125" t="n"/>
      <c r="I884" s="125" t="n"/>
      <c r="J884" s="122">
        <f>IF($A884="","",$F884*$G884)</f>
        <v/>
      </c>
    </row>
    <row r="885" ht="15" customHeight="1" s="80">
      <c r="A885" s="125" t="n"/>
      <c r="B885" s="125" t="n"/>
      <c r="C885" s="125" t="n"/>
      <c r="D885" s="130" t="n"/>
      <c r="E885" s="130" t="n"/>
      <c r="F885" s="121" t="n"/>
      <c r="G885" s="129" t="n"/>
      <c r="H885" s="125" t="n"/>
      <c r="I885" s="125" t="n"/>
      <c r="J885" s="122">
        <f>IF($A885="","",$F885*$G885)</f>
        <v/>
      </c>
    </row>
    <row r="886" ht="15" customHeight="1" s="80">
      <c r="A886" s="125" t="n"/>
      <c r="B886" s="125" t="n"/>
      <c r="C886" s="125" t="n"/>
      <c r="D886" s="130" t="n"/>
      <c r="E886" s="130" t="n"/>
      <c r="F886" s="121" t="n"/>
      <c r="G886" s="129" t="n"/>
      <c r="H886" s="125" t="n"/>
      <c r="I886" s="125" t="n"/>
      <c r="J886" s="122">
        <f>IF($A886="","",$F886*$G886)</f>
        <v/>
      </c>
    </row>
    <row r="887" ht="15" customHeight="1" s="80">
      <c r="A887" s="125" t="n"/>
      <c r="B887" s="125" t="n"/>
      <c r="C887" s="125" t="n"/>
      <c r="D887" s="130" t="n"/>
      <c r="E887" s="130" t="n"/>
      <c r="F887" s="121" t="n"/>
      <c r="G887" s="129" t="n"/>
      <c r="H887" s="125" t="n"/>
      <c r="I887" s="125" t="n"/>
      <c r="J887" s="122">
        <f>IF($A887="","",$F887*$G887)</f>
        <v/>
      </c>
    </row>
    <row r="888" ht="15" customHeight="1" s="80">
      <c r="A888" s="125" t="n"/>
      <c r="B888" s="125" t="n"/>
      <c r="C888" s="125" t="n"/>
      <c r="D888" s="130" t="n"/>
      <c r="E888" s="130" t="n"/>
      <c r="F888" s="121" t="n"/>
      <c r="G888" s="129" t="n"/>
      <c r="H888" s="125" t="n"/>
      <c r="I888" s="125" t="n"/>
      <c r="J888" s="122">
        <f>IF($A888="","",$F888*$G888)</f>
        <v/>
      </c>
    </row>
    <row r="889" ht="15" customHeight="1" s="80">
      <c r="A889" s="125" t="n"/>
      <c r="B889" s="125" t="n"/>
      <c r="C889" s="125" t="n"/>
      <c r="D889" s="130" t="n"/>
      <c r="E889" s="130" t="n"/>
      <c r="F889" s="121" t="n"/>
      <c r="G889" s="129" t="n"/>
      <c r="H889" s="125" t="n"/>
      <c r="I889" s="125" t="n"/>
      <c r="J889" s="122">
        <f>IF($A889="","",$F889*$G889)</f>
        <v/>
      </c>
    </row>
    <row r="890" ht="15" customHeight="1" s="80">
      <c r="A890" s="125" t="n"/>
      <c r="B890" s="125" t="n"/>
      <c r="C890" s="125" t="n"/>
      <c r="D890" s="130" t="n"/>
      <c r="E890" s="130" t="n"/>
      <c r="F890" s="121" t="n"/>
      <c r="G890" s="129" t="n"/>
      <c r="H890" s="125" t="n"/>
      <c r="I890" s="125" t="n"/>
      <c r="J890" s="122">
        <f>IF($A890="","",$F890*$G890)</f>
        <v/>
      </c>
    </row>
    <row r="891" ht="15" customHeight="1" s="80">
      <c r="A891" s="125" t="n"/>
      <c r="B891" s="125" t="n"/>
      <c r="C891" s="125" t="n"/>
      <c r="D891" s="130" t="n"/>
      <c r="E891" s="130" t="n"/>
      <c r="F891" s="121" t="n"/>
      <c r="G891" s="129" t="n"/>
      <c r="H891" s="125" t="n"/>
      <c r="I891" s="125" t="n"/>
      <c r="J891" s="122">
        <f>IF($A891="","",$F891*$G891)</f>
        <v/>
      </c>
    </row>
    <row r="892" ht="15" customHeight="1" s="80">
      <c r="A892" s="125" t="n"/>
      <c r="B892" s="125" t="n"/>
      <c r="C892" s="125" t="n"/>
      <c r="D892" s="130" t="n"/>
      <c r="E892" s="130" t="n"/>
      <c r="F892" s="121" t="n"/>
      <c r="G892" s="129" t="n"/>
      <c r="H892" s="125" t="n"/>
      <c r="I892" s="125" t="n"/>
      <c r="J892" s="122">
        <f>IF($A892="","",$F892*$G892)</f>
        <v/>
      </c>
    </row>
    <row r="893" ht="15" customHeight="1" s="80">
      <c r="A893" s="125" t="n"/>
      <c r="B893" s="125" t="n"/>
      <c r="C893" s="125" t="n"/>
      <c r="D893" s="130" t="n"/>
      <c r="E893" s="130" t="n"/>
      <c r="F893" s="121" t="n"/>
      <c r="G893" s="129" t="n"/>
      <c r="H893" s="125" t="n"/>
      <c r="I893" s="125" t="n"/>
      <c r="J893" s="122">
        <f>IF($A893="","",$F893*$G893)</f>
        <v/>
      </c>
    </row>
    <row r="894" ht="15" customHeight="1" s="80">
      <c r="A894" s="125" t="n"/>
      <c r="B894" s="125" t="n"/>
      <c r="C894" s="125" t="n"/>
      <c r="D894" s="130" t="n"/>
      <c r="E894" s="130" t="n"/>
      <c r="F894" s="121" t="n"/>
      <c r="G894" s="129" t="n"/>
      <c r="H894" s="125" t="n"/>
      <c r="I894" s="125" t="n"/>
      <c r="J894" s="122">
        <f>IF($A894="","",$F894*$G894)</f>
        <v/>
      </c>
    </row>
    <row r="895" ht="15" customHeight="1" s="80">
      <c r="A895" s="125" t="n"/>
      <c r="B895" s="125" t="n"/>
      <c r="C895" s="125" t="n"/>
      <c r="D895" s="130" t="n"/>
      <c r="E895" s="130" t="n"/>
      <c r="F895" s="121" t="n"/>
      <c r="G895" s="129" t="n"/>
      <c r="H895" s="125" t="n"/>
      <c r="I895" s="125" t="n"/>
      <c r="J895" s="122">
        <f>IF($A895="","",$F895*$G895)</f>
        <v/>
      </c>
    </row>
    <row r="896" ht="15" customHeight="1" s="80">
      <c r="A896" s="125" t="n"/>
      <c r="B896" s="125" t="n"/>
      <c r="C896" s="125" t="n"/>
      <c r="D896" s="130" t="n"/>
      <c r="E896" s="130" t="n"/>
      <c r="F896" s="121" t="n"/>
      <c r="G896" s="129" t="n"/>
      <c r="H896" s="125" t="n"/>
      <c r="I896" s="125" t="n"/>
      <c r="J896" s="122">
        <f>IF($A896="","",$F896*$G896)</f>
        <v/>
      </c>
    </row>
    <row r="897" ht="15" customHeight="1" s="80">
      <c r="A897" s="125" t="n"/>
      <c r="B897" s="125" t="n"/>
      <c r="C897" s="125" t="n"/>
      <c r="D897" s="130" t="n"/>
      <c r="E897" s="130" t="n"/>
      <c r="F897" s="121" t="n"/>
      <c r="G897" s="129" t="n"/>
      <c r="H897" s="125" t="n"/>
      <c r="I897" s="125" t="n"/>
      <c r="J897" s="122">
        <f>IF($A897="","",$F897*$G897)</f>
        <v/>
      </c>
    </row>
    <row r="898" ht="15" customHeight="1" s="80">
      <c r="A898" s="125" t="n"/>
      <c r="B898" s="125" t="n"/>
      <c r="C898" s="125" t="n"/>
      <c r="D898" s="130" t="n"/>
      <c r="E898" s="130" t="n"/>
      <c r="F898" s="121" t="n"/>
      <c r="G898" s="129" t="n"/>
      <c r="H898" s="125" t="n"/>
      <c r="I898" s="125" t="n"/>
      <c r="J898" s="122">
        <f>IF($A898="","",$F898*$G898)</f>
        <v/>
      </c>
    </row>
    <row r="899" ht="15" customHeight="1" s="80">
      <c r="A899" s="125" t="n"/>
      <c r="B899" s="125" t="n"/>
      <c r="C899" s="125" t="n"/>
      <c r="D899" s="130" t="n"/>
      <c r="E899" s="130" t="n"/>
      <c r="F899" s="121" t="n"/>
      <c r="G899" s="129" t="n"/>
      <c r="H899" s="125" t="n"/>
      <c r="I899" s="125" t="n"/>
      <c r="J899" s="122">
        <f>IF($A899="","",$F899*$G899)</f>
        <v/>
      </c>
    </row>
    <row r="900" ht="15" customHeight="1" s="80">
      <c r="A900" s="125" t="n"/>
      <c r="B900" s="125" t="n"/>
      <c r="C900" s="125" t="n"/>
      <c r="D900" s="130" t="n"/>
      <c r="E900" s="130" t="n"/>
      <c r="F900" s="121" t="n"/>
      <c r="G900" s="129" t="n"/>
      <c r="H900" s="125" t="n"/>
      <c r="I900" s="125" t="n"/>
      <c r="J900" s="122">
        <f>IF($A900="","",$F900*$G900)</f>
        <v/>
      </c>
    </row>
    <row r="901" ht="15" customHeight="1" s="80">
      <c r="A901" s="125" t="n"/>
      <c r="B901" s="125" t="n"/>
      <c r="C901" s="125" t="n"/>
      <c r="D901" s="130" t="n"/>
      <c r="E901" s="130" t="n"/>
      <c r="F901" s="121" t="n"/>
      <c r="G901" s="129" t="n"/>
      <c r="H901" s="125" t="n"/>
      <c r="I901" s="125" t="n"/>
      <c r="J901" s="122">
        <f>IF($A901="","",$F901*$G901)</f>
        <v/>
      </c>
    </row>
    <row r="902" ht="15" customHeight="1" s="80">
      <c r="A902" s="125" t="n"/>
      <c r="B902" s="125" t="n"/>
      <c r="C902" s="125" t="n"/>
      <c r="D902" s="130" t="n"/>
      <c r="E902" s="130" t="n"/>
      <c r="F902" s="121" t="n"/>
      <c r="G902" s="129" t="n"/>
      <c r="H902" s="125" t="n"/>
      <c r="I902" s="125" t="n"/>
      <c r="J902" s="122">
        <f>IF($A902="","",$F902*$G902)</f>
        <v/>
      </c>
    </row>
    <row r="903" ht="15" customHeight="1" s="80">
      <c r="A903" s="125" t="n"/>
      <c r="B903" s="125" t="n"/>
      <c r="C903" s="125" t="n"/>
      <c r="D903" s="130" t="n"/>
      <c r="E903" s="130" t="n"/>
      <c r="F903" s="121" t="n"/>
      <c r="G903" s="129" t="n"/>
      <c r="H903" s="125" t="n"/>
      <c r="I903" s="125" t="n"/>
      <c r="J903" s="122">
        <f>IF($A903="","",$F903*$G903)</f>
        <v/>
      </c>
    </row>
    <row r="904" ht="15" customHeight="1" s="80">
      <c r="A904" s="125" t="n"/>
      <c r="B904" s="125" t="n"/>
      <c r="C904" s="125" t="n"/>
      <c r="D904" s="130" t="n"/>
      <c r="E904" s="130" t="n"/>
      <c r="F904" s="121" t="n"/>
      <c r="G904" s="129" t="n"/>
      <c r="H904" s="125" t="n"/>
      <c r="I904" s="125" t="n"/>
      <c r="J904" s="122">
        <f>IF($A904="","",$F904*$G904)</f>
        <v/>
      </c>
    </row>
    <row r="905" ht="15" customHeight="1" s="80">
      <c r="A905" s="125" t="n"/>
      <c r="B905" s="125" t="n"/>
      <c r="C905" s="125" t="n"/>
      <c r="D905" s="130" t="n"/>
      <c r="E905" s="130" t="n"/>
      <c r="F905" s="121" t="n"/>
      <c r="G905" s="129" t="n"/>
      <c r="H905" s="125" t="n"/>
      <c r="I905" s="125" t="n"/>
      <c r="J905" s="122">
        <f>IF($A905="","",$F905*$G905)</f>
        <v/>
      </c>
    </row>
    <row r="906" ht="15" customHeight="1" s="80">
      <c r="A906" s="125" t="n"/>
      <c r="B906" s="125" t="n"/>
      <c r="C906" s="125" t="n"/>
      <c r="D906" s="130" t="n"/>
      <c r="E906" s="130" t="n"/>
      <c r="F906" s="121" t="n"/>
      <c r="G906" s="129" t="n"/>
      <c r="H906" s="125" t="n"/>
      <c r="I906" s="125" t="n"/>
      <c r="J906" s="122">
        <f>IF($A906="","",$F906*$G906)</f>
        <v/>
      </c>
    </row>
    <row r="907" ht="15" customHeight="1" s="80">
      <c r="A907" s="125" t="n"/>
      <c r="B907" s="125" t="n"/>
      <c r="C907" s="125" t="n"/>
      <c r="D907" s="130" t="n"/>
      <c r="E907" s="130" t="n"/>
      <c r="F907" s="121" t="n"/>
      <c r="G907" s="129" t="n"/>
      <c r="H907" s="125" t="n"/>
      <c r="I907" s="125" t="n"/>
      <c r="J907" s="122">
        <f>IF($A907="","",$F907*$G907)</f>
        <v/>
      </c>
    </row>
    <row r="908" ht="15" customHeight="1" s="80">
      <c r="A908" s="125" t="n"/>
      <c r="B908" s="125" t="n"/>
      <c r="C908" s="125" t="n"/>
      <c r="D908" s="130" t="n"/>
      <c r="E908" s="130" t="n"/>
      <c r="F908" s="121" t="n"/>
      <c r="G908" s="129" t="n"/>
      <c r="H908" s="125" t="n"/>
      <c r="I908" s="125" t="n"/>
      <c r="J908" s="122">
        <f>IF($A908="","",$F908*$G908)</f>
        <v/>
      </c>
    </row>
    <row r="909" ht="15" customHeight="1" s="80">
      <c r="A909" s="125" t="n"/>
      <c r="B909" s="125" t="n"/>
      <c r="C909" s="125" t="n"/>
      <c r="D909" s="130" t="n"/>
      <c r="E909" s="130" t="n"/>
      <c r="F909" s="121" t="n"/>
      <c r="G909" s="129" t="n"/>
      <c r="H909" s="125" t="n"/>
      <c r="I909" s="125" t="n"/>
      <c r="J909" s="122">
        <f>IF($A909="","",$F909*$G909)</f>
        <v/>
      </c>
    </row>
    <row r="910" ht="15" customHeight="1" s="80">
      <c r="A910" s="125" t="n"/>
      <c r="B910" s="125" t="n"/>
      <c r="C910" s="125" t="n"/>
      <c r="D910" s="130" t="n"/>
      <c r="E910" s="130" t="n"/>
      <c r="F910" s="121" t="n"/>
      <c r="G910" s="129" t="n"/>
      <c r="H910" s="125" t="n"/>
      <c r="I910" s="125" t="n"/>
      <c r="J910" s="122">
        <f>IF($A910="","",$F910*$G910)</f>
        <v/>
      </c>
    </row>
    <row r="911" ht="15" customHeight="1" s="80">
      <c r="A911" s="125" t="n"/>
      <c r="B911" s="125" t="n"/>
      <c r="C911" s="125" t="n"/>
      <c r="D911" s="130" t="n"/>
      <c r="E911" s="130" t="n"/>
      <c r="F911" s="121" t="n"/>
      <c r="G911" s="129" t="n"/>
      <c r="H911" s="125" t="n"/>
      <c r="I911" s="125" t="n"/>
      <c r="J911" s="122">
        <f>IF($A911="","",$F911*$G911)</f>
        <v/>
      </c>
    </row>
    <row r="912" ht="15" customHeight="1" s="80">
      <c r="A912" s="125" t="n"/>
      <c r="B912" s="125" t="n"/>
      <c r="C912" s="125" t="n"/>
      <c r="D912" s="130" t="n"/>
      <c r="E912" s="130" t="n"/>
      <c r="F912" s="121" t="n"/>
      <c r="G912" s="129" t="n"/>
      <c r="H912" s="125" t="n"/>
      <c r="I912" s="125" t="n"/>
      <c r="J912" s="122">
        <f>IF($A912="","",$F912*$G912)</f>
        <v/>
      </c>
    </row>
    <row r="913" ht="15" customHeight="1" s="80">
      <c r="A913" s="125" t="n"/>
      <c r="B913" s="125" t="n"/>
      <c r="C913" s="125" t="n"/>
      <c r="D913" s="130" t="n"/>
      <c r="E913" s="130" t="n"/>
      <c r="F913" s="121" t="n"/>
      <c r="G913" s="129" t="n"/>
      <c r="H913" s="125" t="n"/>
      <c r="I913" s="125" t="n"/>
      <c r="J913" s="122">
        <f>IF($A913="","",$F913*$G913)</f>
        <v/>
      </c>
    </row>
    <row r="914" ht="15" customHeight="1" s="80">
      <c r="A914" s="125" t="n"/>
      <c r="B914" s="125" t="n"/>
      <c r="C914" s="125" t="n"/>
      <c r="D914" s="130" t="n"/>
      <c r="E914" s="130" t="n"/>
      <c r="F914" s="121" t="n"/>
      <c r="G914" s="129" t="n"/>
      <c r="H914" s="125" t="n"/>
      <c r="I914" s="125" t="n"/>
      <c r="J914" s="122">
        <f>IF($A914="","",$F914*$G914)</f>
        <v/>
      </c>
    </row>
    <row r="915" ht="15" customHeight="1" s="80">
      <c r="A915" s="125" t="n"/>
      <c r="B915" s="125" t="n"/>
      <c r="C915" s="125" t="n"/>
      <c r="D915" s="130" t="n"/>
      <c r="E915" s="130" t="n"/>
      <c r="F915" s="121" t="n"/>
      <c r="G915" s="129" t="n"/>
      <c r="H915" s="125" t="n"/>
      <c r="I915" s="125" t="n"/>
      <c r="J915" s="122">
        <f>IF($A915="","",$F915*$G915)</f>
        <v/>
      </c>
    </row>
    <row r="916" ht="15" customHeight="1" s="80">
      <c r="A916" s="125" t="n"/>
      <c r="B916" s="125" t="n"/>
      <c r="C916" s="125" t="n"/>
      <c r="D916" s="130" t="n"/>
      <c r="E916" s="130" t="n"/>
      <c r="F916" s="121" t="n"/>
      <c r="G916" s="129" t="n"/>
      <c r="H916" s="125" t="n"/>
      <c r="I916" s="125" t="n"/>
      <c r="J916" s="122">
        <f>IF($A916="","",$F916*$G916)</f>
        <v/>
      </c>
    </row>
    <row r="917" ht="15" customHeight="1" s="80">
      <c r="A917" s="125" t="n"/>
      <c r="B917" s="125" t="n"/>
      <c r="C917" s="125" t="n"/>
      <c r="D917" s="130" t="n"/>
      <c r="E917" s="130" t="n"/>
      <c r="F917" s="121" t="n"/>
      <c r="G917" s="129" t="n"/>
      <c r="H917" s="125" t="n"/>
      <c r="I917" s="125" t="n"/>
      <c r="J917" s="122">
        <f>IF($A917="","",$F917*$G917)</f>
        <v/>
      </c>
    </row>
    <row r="918" ht="15" customHeight="1" s="80">
      <c r="A918" s="125" t="n"/>
      <c r="B918" s="125" t="n"/>
      <c r="C918" s="125" t="n"/>
      <c r="D918" s="130" t="n"/>
      <c r="E918" s="130" t="n"/>
      <c r="F918" s="121" t="n"/>
      <c r="G918" s="129" t="n"/>
      <c r="H918" s="125" t="n"/>
      <c r="I918" s="125" t="n"/>
      <c r="J918" s="122">
        <f>IF($A918="","",$F918*$G918)</f>
        <v/>
      </c>
    </row>
    <row r="919" ht="15" customHeight="1" s="80">
      <c r="A919" s="125" t="n"/>
      <c r="B919" s="125" t="n"/>
      <c r="C919" s="125" t="n"/>
      <c r="D919" s="130" t="n"/>
      <c r="E919" s="130" t="n"/>
      <c r="F919" s="121" t="n"/>
      <c r="G919" s="129" t="n"/>
      <c r="H919" s="125" t="n"/>
      <c r="I919" s="125" t="n"/>
      <c r="J919" s="122">
        <f>IF($A919="","",$F919*$G919)</f>
        <v/>
      </c>
    </row>
    <row r="920" ht="15" customHeight="1" s="80">
      <c r="A920" s="125" t="n"/>
      <c r="B920" s="125" t="n"/>
      <c r="C920" s="125" t="n"/>
      <c r="D920" s="130" t="n"/>
      <c r="E920" s="130" t="n"/>
      <c r="F920" s="121" t="n"/>
      <c r="G920" s="129" t="n"/>
      <c r="H920" s="125" t="n"/>
      <c r="I920" s="125" t="n"/>
      <c r="J920" s="122">
        <f>IF($A920="","",$F920*$G920)</f>
        <v/>
      </c>
    </row>
    <row r="921" ht="15" customHeight="1" s="80">
      <c r="A921" s="125" t="n"/>
      <c r="B921" s="125" t="n"/>
      <c r="C921" s="125" t="n"/>
      <c r="D921" s="130" t="n"/>
      <c r="E921" s="130" t="n"/>
      <c r="F921" s="121" t="n"/>
      <c r="G921" s="129" t="n"/>
      <c r="H921" s="125" t="n"/>
      <c r="I921" s="125" t="n"/>
      <c r="J921" s="122">
        <f>IF($A921="","",$F921*$G921)</f>
        <v/>
      </c>
    </row>
    <row r="922" ht="15" customHeight="1" s="80">
      <c r="A922" s="125" t="n"/>
      <c r="B922" s="125" t="n"/>
      <c r="C922" s="125" t="n"/>
      <c r="D922" s="130" t="n"/>
      <c r="E922" s="130" t="n"/>
      <c r="F922" s="121" t="n"/>
      <c r="G922" s="129" t="n"/>
      <c r="H922" s="125" t="n"/>
      <c r="I922" s="125" t="n"/>
      <c r="J922" s="122">
        <f>IF($A922="","",$F922*$G922)</f>
        <v/>
      </c>
    </row>
    <row r="923" ht="15" customHeight="1" s="80">
      <c r="A923" s="125" t="n"/>
      <c r="B923" s="125" t="n"/>
      <c r="C923" s="125" t="n"/>
      <c r="D923" s="130" t="n"/>
      <c r="E923" s="130" t="n"/>
      <c r="F923" s="121" t="n"/>
      <c r="G923" s="129" t="n"/>
      <c r="H923" s="125" t="n"/>
      <c r="I923" s="125" t="n"/>
      <c r="J923" s="122">
        <f>IF($A923="","",$F923*$G923)</f>
        <v/>
      </c>
    </row>
    <row r="924" ht="15" customHeight="1" s="80">
      <c r="A924" s="125" t="n"/>
      <c r="B924" s="125" t="n"/>
      <c r="C924" s="125" t="n"/>
      <c r="D924" s="130" t="n"/>
      <c r="E924" s="130" t="n"/>
      <c r="F924" s="121" t="n"/>
      <c r="G924" s="129" t="n"/>
      <c r="H924" s="125" t="n"/>
      <c r="I924" s="125" t="n"/>
      <c r="J924" s="122">
        <f>IF($A924="","",$F924*$G924)</f>
        <v/>
      </c>
    </row>
    <row r="925" ht="15" customHeight="1" s="80">
      <c r="A925" s="125" t="n"/>
      <c r="B925" s="125" t="n"/>
      <c r="C925" s="125" t="n"/>
      <c r="D925" s="130" t="n"/>
      <c r="E925" s="130" t="n"/>
      <c r="F925" s="121" t="n"/>
      <c r="G925" s="129" t="n"/>
      <c r="H925" s="125" t="n"/>
      <c r="I925" s="125" t="n"/>
      <c r="J925" s="122">
        <f>IF($A925="","",$F925*$G925)</f>
        <v/>
      </c>
    </row>
    <row r="926" ht="15" customHeight="1" s="80">
      <c r="A926" s="125" t="n"/>
      <c r="B926" s="125" t="n"/>
      <c r="C926" s="125" t="n"/>
      <c r="D926" s="130" t="n"/>
      <c r="E926" s="130" t="n"/>
      <c r="F926" s="121" t="n"/>
      <c r="G926" s="129" t="n"/>
      <c r="H926" s="125" t="n"/>
      <c r="I926" s="125" t="n"/>
      <c r="J926" s="122">
        <f>IF($A926="","",$F926*$G926)</f>
        <v/>
      </c>
    </row>
    <row r="927" ht="15" customHeight="1" s="80">
      <c r="A927" s="125" t="n"/>
      <c r="B927" s="125" t="n"/>
      <c r="C927" s="125" t="n"/>
      <c r="D927" s="130" t="n"/>
      <c r="E927" s="130" t="n"/>
      <c r="F927" s="121" t="n"/>
      <c r="G927" s="129" t="n"/>
      <c r="H927" s="125" t="n"/>
      <c r="I927" s="125" t="n"/>
      <c r="J927" s="122">
        <f>IF($A927="","",$F927*$G927)</f>
        <v/>
      </c>
    </row>
    <row r="928" ht="15" customHeight="1" s="80">
      <c r="A928" s="125" t="n"/>
      <c r="B928" s="125" t="n"/>
      <c r="C928" s="125" t="n"/>
      <c r="D928" s="130" t="n"/>
      <c r="E928" s="130" t="n"/>
      <c r="F928" s="121" t="n"/>
      <c r="G928" s="129" t="n"/>
      <c r="H928" s="125" t="n"/>
      <c r="I928" s="125" t="n"/>
      <c r="J928" s="122">
        <f>IF($A928="","",$F928*$G928)</f>
        <v/>
      </c>
    </row>
    <row r="929" ht="15" customHeight="1" s="80">
      <c r="A929" s="125" t="n"/>
      <c r="B929" s="125" t="n"/>
      <c r="C929" s="125" t="n"/>
      <c r="D929" s="130" t="n"/>
      <c r="E929" s="130" t="n"/>
      <c r="F929" s="121" t="n"/>
      <c r="G929" s="129" t="n"/>
      <c r="H929" s="125" t="n"/>
      <c r="I929" s="125" t="n"/>
      <c r="J929" s="122">
        <f>IF($A929="","",$F929*$G929)</f>
        <v/>
      </c>
    </row>
    <row r="930" ht="15" customHeight="1" s="80">
      <c r="A930" s="125" t="n"/>
      <c r="B930" s="125" t="n"/>
      <c r="C930" s="125" t="n"/>
      <c r="D930" s="130" t="n"/>
      <c r="E930" s="130" t="n"/>
      <c r="F930" s="121" t="n"/>
      <c r="G930" s="129" t="n"/>
      <c r="H930" s="125" t="n"/>
      <c r="I930" s="125" t="n"/>
      <c r="J930" s="122">
        <f>IF($A930="","",$F930*$G930)</f>
        <v/>
      </c>
    </row>
    <row r="931" ht="15" customHeight="1" s="80">
      <c r="A931" s="125" t="n"/>
      <c r="B931" s="125" t="n"/>
      <c r="C931" s="125" t="n"/>
      <c r="D931" s="130" t="n"/>
      <c r="E931" s="130" t="n"/>
      <c r="F931" s="121" t="n"/>
      <c r="G931" s="129" t="n"/>
      <c r="H931" s="125" t="n"/>
      <c r="I931" s="125" t="n"/>
      <c r="J931" s="122">
        <f>IF($A931="","",$F931*$G931)</f>
        <v/>
      </c>
    </row>
    <row r="932" ht="15" customHeight="1" s="80">
      <c r="A932" s="125" t="n"/>
      <c r="B932" s="125" t="n"/>
      <c r="C932" s="125" t="n"/>
      <c r="D932" s="130" t="n"/>
      <c r="E932" s="130" t="n"/>
      <c r="F932" s="121" t="n"/>
      <c r="G932" s="129" t="n"/>
      <c r="H932" s="125" t="n"/>
      <c r="I932" s="125" t="n"/>
      <c r="J932" s="122">
        <f>IF($A932="","",$F932*$G932)</f>
        <v/>
      </c>
    </row>
    <row r="933" ht="15" customHeight="1" s="80">
      <c r="A933" s="125" t="n"/>
      <c r="B933" s="125" t="n"/>
      <c r="C933" s="125" t="n"/>
      <c r="D933" s="130" t="n"/>
      <c r="E933" s="130" t="n"/>
      <c r="F933" s="121" t="n"/>
      <c r="G933" s="129" t="n"/>
      <c r="H933" s="125" t="n"/>
      <c r="I933" s="125" t="n"/>
      <c r="J933" s="122">
        <f>IF($A933="","",$F933*$G933)</f>
        <v/>
      </c>
    </row>
    <row r="934" ht="15" customHeight="1" s="80">
      <c r="A934" s="125" t="n"/>
      <c r="B934" s="125" t="n"/>
      <c r="C934" s="125" t="n"/>
      <c r="D934" s="130" t="n"/>
      <c r="E934" s="130" t="n"/>
      <c r="F934" s="121" t="n"/>
      <c r="G934" s="129" t="n"/>
      <c r="H934" s="125" t="n"/>
      <c r="I934" s="125" t="n"/>
      <c r="J934" s="122">
        <f>IF($A934="","",$F934*$G934)</f>
        <v/>
      </c>
    </row>
    <row r="935" ht="15" customHeight="1" s="80">
      <c r="A935" s="125" t="n"/>
      <c r="B935" s="125" t="n"/>
      <c r="C935" s="125" t="n"/>
      <c r="D935" s="130" t="n"/>
      <c r="E935" s="130" t="n"/>
      <c r="F935" s="121" t="n"/>
      <c r="G935" s="129" t="n"/>
      <c r="H935" s="125" t="n"/>
      <c r="I935" s="125" t="n"/>
      <c r="J935" s="122">
        <f>IF($A935="","",$F935*$G935)</f>
        <v/>
      </c>
    </row>
    <row r="936" ht="15" customHeight="1" s="80">
      <c r="A936" s="125" t="n"/>
      <c r="B936" s="125" t="n"/>
      <c r="C936" s="125" t="n"/>
      <c r="D936" s="130" t="n"/>
      <c r="E936" s="130" t="n"/>
      <c r="F936" s="121" t="n"/>
      <c r="G936" s="129" t="n"/>
      <c r="H936" s="125" t="n"/>
      <c r="I936" s="125" t="n"/>
      <c r="J936" s="122">
        <f>IF($A936="","",$F936*$G936)</f>
        <v/>
      </c>
    </row>
    <row r="937" ht="15" customHeight="1" s="80">
      <c r="A937" s="125" t="n"/>
      <c r="B937" s="125" t="n"/>
      <c r="C937" s="125" t="n"/>
      <c r="D937" s="130" t="n"/>
      <c r="E937" s="130" t="n"/>
      <c r="F937" s="121" t="n"/>
      <c r="G937" s="129" t="n"/>
      <c r="H937" s="125" t="n"/>
      <c r="I937" s="125" t="n"/>
      <c r="J937" s="122">
        <f>IF($A937="","",$F937*$G937)</f>
        <v/>
      </c>
    </row>
    <row r="938" ht="15" customHeight="1" s="80">
      <c r="A938" s="125" t="n"/>
      <c r="B938" s="125" t="n"/>
      <c r="C938" s="125" t="n"/>
      <c r="D938" s="130" t="n"/>
      <c r="E938" s="130" t="n"/>
      <c r="F938" s="121" t="n"/>
      <c r="G938" s="129" t="n"/>
      <c r="H938" s="125" t="n"/>
      <c r="I938" s="125" t="n"/>
      <c r="J938" s="122">
        <f>IF($A938="","",$F938*$G938)</f>
        <v/>
      </c>
    </row>
    <row r="939" ht="15" customHeight="1" s="80">
      <c r="A939" s="125" t="n"/>
      <c r="B939" s="125" t="n"/>
      <c r="C939" s="125" t="n"/>
      <c r="D939" s="130" t="n"/>
      <c r="E939" s="130" t="n"/>
      <c r="F939" s="121" t="n"/>
      <c r="G939" s="129" t="n"/>
      <c r="H939" s="125" t="n"/>
      <c r="I939" s="125" t="n"/>
      <c r="J939" s="122">
        <f>IF($A939="","",$F939*$G939)</f>
        <v/>
      </c>
    </row>
    <row r="940" ht="15" customHeight="1" s="80">
      <c r="A940" s="125" t="n"/>
      <c r="B940" s="125" t="n"/>
      <c r="C940" s="125" t="n"/>
      <c r="D940" s="130" t="n"/>
      <c r="E940" s="130" t="n"/>
      <c r="F940" s="121" t="n"/>
      <c r="G940" s="129" t="n"/>
      <c r="H940" s="125" t="n"/>
      <c r="I940" s="125" t="n"/>
      <c r="J940" s="122">
        <f>IF($A940="","",$F940*$G940)</f>
        <v/>
      </c>
    </row>
    <row r="941" ht="15" customHeight="1" s="80">
      <c r="A941" s="125" t="n"/>
      <c r="B941" s="125" t="n"/>
      <c r="C941" s="125" t="n"/>
      <c r="D941" s="130" t="n"/>
      <c r="E941" s="130" t="n"/>
      <c r="F941" s="121" t="n"/>
      <c r="G941" s="129" t="n"/>
      <c r="H941" s="125" t="n"/>
      <c r="I941" s="125" t="n"/>
      <c r="J941" s="122">
        <f>IF($A941="","",$F941*$G941)</f>
        <v/>
      </c>
    </row>
    <row r="942" ht="15" customHeight="1" s="80">
      <c r="A942" s="125" t="n"/>
      <c r="B942" s="125" t="n"/>
      <c r="C942" s="125" t="n"/>
      <c r="D942" s="130" t="n"/>
      <c r="E942" s="130" t="n"/>
      <c r="F942" s="121" t="n"/>
      <c r="G942" s="129" t="n"/>
      <c r="H942" s="125" t="n"/>
      <c r="I942" s="125" t="n"/>
      <c r="J942" s="122">
        <f>IF($A942="","",$F942*$G942)</f>
        <v/>
      </c>
    </row>
    <row r="943" ht="15" customHeight="1" s="80">
      <c r="A943" s="125" t="n"/>
      <c r="B943" s="125" t="n"/>
      <c r="C943" s="125" t="n"/>
      <c r="D943" s="130" t="n"/>
      <c r="E943" s="130" t="n"/>
      <c r="F943" s="121" t="n"/>
      <c r="G943" s="129" t="n"/>
      <c r="H943" s="125" t="n"/>
      <c r="I943" s="125" t="n"/>
      <c r="J943" s="122">
        <f>IF($A943="","",$F943*$G943)</f>
        <v/>
      </c>
    </row>
    <row r="944" ht="15" customHeight="1" s="80">
      <c r="A944" s="125" t="n"/>
      <c r="B944" s="125" t="n"/>
      <c r="C944" s="125" t="n"/>
      <c r="D944" s="130" t="n"/>
      <c r="E944" s="130" t="n"/>
      <c r="F944" s="121" t="n"/>
      <c r="G944" s="129" t="n"/>
      <c r="H944" s="125" t="n"/>
      <c r="I944" s="125" t="n"/>
      <c r="J944" s="122">
        <f>IF($A944="","",$F944*$G944)</f>
        <v/>
      </c>
    </row>
    <row r="945" ht="15" customHeight="1" s="80">
      <c r="A945" s="125" t="n"/>
      <c r="B945" s="125" t="n"/>
      <c r="C945" s="125" t="n"/>
      <c r="D945" s="130" t="n"/>
      <c r="E945" s="130" t="n"/>
      <c r="F945" s="121" t="n"/>
      <c r="G945" s="129" t="n"/>
      <c r="H945" s="125" t="n"/>
      <c r="I945" s="125" t="n"/>
      <c r="J945" s="122">
        <f>IF($A945="","",$F945*$G945)</f>
        <v/>
      </c>
    </row>
    <row r="946" ht="15" customHeight="1" s="80">
      <c r="A946" s="125" t="n"/>
      <c r="B946" s="125" t="n"/>
      <c r="C946" s="125" t="n"/>
      <c r="D946" s="130" t="n"/>
      <c r="E946" s="130" t="n"/>
      <c r="F946" s="121" t="n"/>
      <c r="G946" s="129" t="n"/>
      <c r="H946" s="125" t="n"/>
      <c r="I946" s="125" t="n"/>
      <c r="J946" s="122">
        <f>IF($A946="","",$F946*$G946)</f>
        <v/>
      </c>
    </row>
    <row r="947" ht="15" customHeight="1" s="80">
      <c r="A947" s="125" t="n"/>
      <c r="B947" s="125" t="n"/>
      <c r="C947" s="125" t="n"/>
      <c r="D947" s="130" t="n"/>
      <c r="E947" s="130" t="n"/>
      <c r="F947" s="121" t="n"/>
      <c r="G947" s="129" t="n"/>
      <c r="H947" s="125" t="n"/>
      <c r="I947" s="125" t="n"/>
      <c r="J947" s="122">
        <f>IF($A947="","",$F947*$G947)</f>
        <v/>
      </c>
    </row>
    <row r="948" ht="15" customHeight="1" s="80">
      <c r="A948" s="125" t="n"/>
      <c r="B948" s="125" t="n"/>
      <c r="C948" s="125" t="n"/>
      <c r="D948" s="130" t="n"/>
      <c r="E948" s="130" t="n"/>
      <c r="F948" s="121" t="n"/>
      <c r="G948" s="129" t="n"/>
      <c r="H948" s="125" t="n"/>
      <c r="I948" s="125" t="n"/>
      <c r="J948" s="122">
        <f>IF($A948="","",$F948*$G948)</f>
        <v/>
      </c>
    </row>
    <row r="949" ht="15" customHeight="1" s="80">
      <c r="A949" s="125" t="n"/>
      <c r="B949" s="125" t="n"/>
      <c r="C949" s="125" t="n"/>
      <c r="D949" s="130" t="n"/>
      <c r="E949" s="130" t="n"/>
      <c r="F949" s="121" t="n"/>
      <c r="G949" s="129" t="n"/>
      <c r="H949" s="125" t="n"/>
      <c r="I949" s="125" t="n"/>
      <c r="J949" s="122">
        <f>IF($A949="","",$F949*$G949)</f>
        <v/>
      </c>
    </row>
    <row r="950" ht="15" customHeight="1" s="80">
      <c r="A950" s="125" t="n"/>
      <c r="B950" s="125" t="n"/>
      <c r="C950" s="125" t="n"/>
      <c r="D950" s="130" t="n"/>
      <c r="E950" s="130" t="n"/>
      <c r="F950" s="121" t="n"/>
      <c r="G950" s="129" t="n"/>
      <c r="H950" s="125" t="n"/>
      <c r="I950" s="125" t="n"/>
      <c r="J950" s="122">
        <f>IF($A950="","",$F950*$G950)</f>
        <v/>
      </c>
    </row>
    <row r="951" ht="15" customHeight="1" s="80">
      <c r="A951" s="125" t="n"/>
      <c r="B951" s="125" t="n"/>
      <c r="C951" s="125" t="n"/>
      <c r="D951" s="130" t="n"/>
      <c r="E951" s="130" t="n"/>
      <c r="F951" s="121" t="n"/>
      <c r="G951" s="129" t="n"/>
      <c r="H951" s="125" t="n"/>
      <c r="I951" s="125" t="n"/>
      <c r="J951" s="122">
        <f>IF($A951="","",$F951*$G951)</f>
        <v/>
      </c>
    </row>
    <row r="952" ht="15" customHeight="1" s="80">
      <c r="A952" s="125" t="n"/>
      <c r="B952" s="125" t="n"/>
      <c r="C952" s="125" t="n"/>
      <c r="D952" s="130" t="n"/>
      <c r="E952" s="130" t="n"/>
      <c r="F952" s="121" t="n"/>
      <c r="G952" s="129" t="n"/>
      <c r="H952" s="125" t="n"/>
      <c r="I952" s="125" t="n"/>
      <c r="J952" s="122">
        <f>IF($A952="","",$F952*$G952)</f>
        <v/>
      </c>
    </row>
    <row r="953" ht="15" customHeight="1" s="80">
      <c r="A953" s="125" t="n"/>
      <c r="B953" s="125" t="n"/>
      <c r="C953" s="125" t="n"/>
      <c r="D953" s="130" t="n"/>
      <c r="E953" s="130" t="n"/>
      <c r="F953" s="121" t="n"/>
      <c r="G953" s="129" t="n"/>
      <c r="H953" s="125" t="n"/>
      <c r="I953" s="125" t="n"/>
      <c r="J953" s="122">
        <f>IF($A953="","",$F953*$G953)</f>
        <v/>
      </c>
    </row>
    <row r="954" ht="15" customHeight="1" s="80">
      <c r="A954" s="125" t="n"/>
      <c r="B954" s="125" t="n"/>
      <c r="C954" s="125" t="n"/>
      <c r="D954" s="130" t="n"/>
      <c r="E954" s="130" t="n"/>
      <c r="F954" s="121" t="n"/>
      <c r="G954" s="129" t="n"/>
      <c r="H954" s="125" t="n"/>
      <c r="I954" s="125" t="n"/>
      <c r="J954" s="122">
        <f>IF($A954="","",$F954*$G954)</f>
        <v/>
      </c>
    </row>
    <row r="955" ht="15" customHeight="1" s="80">
      <c r="A955" s="125" t="n"/>
      <c r="B955" s="125" t="n"/>
      <c r="C955" s="125" t="n"/>
      <c r="D955" s="130" t="n"/>
      <c r="E955" s="130" t="n"/>
      <c r="F955" s="121" t="n"/>
      <c r="G955" s="129" t="n"/>
      <c r="H955" s="125" t="n"/>
      <c r="I955" s="125" t="n"/>
      <c r="J955" s="122">
        <f>IF($A955="","",$F955*$G955)</f>
        <v/>
      </c>
    </row>
    <row r="956" ht="15" customHeight="1" s="80">
      <c r="A956" s="125" t="n"/>
      <c r="B956" s="125" t="n"/>
      <c r="C956" s="125" t="n"/>
      <c r="D956" s="130" t="n"/>
      <c r="E956" s="130" t="n"/>
      <c r="F956" s="121" t="n"/>
      <c r="G956" s="129" t="n"/>
      <c r="H956" s="125" t="n"/>
      <c r="I956" s="125" t="n"/>
      <c r="J956" s="122">
        <f>IF($A956="","",$F956*$G956)</f>
        <v/>
      </c>
    </row>
    <row r="957" ht="15" customHeight="1" s="80">
      <c r="A957" s="125" t="n"/>
      <c r="B957" s="125" t="n"/>
      <c r="C957" s="125" t="n"/>
      <c r="D957" s="130" t="n"/>
      <c r="E957" s="130" t="n"/>
      <c r="F957" s="121" t="n"/>
      <c r="G957" s="129" t="n"/>
      <c r="H957" s="125" t="n"/>
      <c r="I957" s="125" t="n"/>
      <c r="J957" s="122">
        <f>IF($A957="","",$F957*$G957)</f>
        <v/>
      </c>
    </row>
    <row r="958" ht="15" customHeight="1" s="80">
      <c r="A958" s="125" t="n"/>
      <c r="B958" s="125" t="n"/>
      <c r="C958" s="125" t="n"/>
      <c r="D958" s="130" t="n"/>
      <c r="E958" s="130" t="n"/>
      <c r="F958" s="121" t="n"/>
      <c r="G958" s="129" t="n"/>
      <c r="H958" s="125" t="n"/>
      <c r="I958" s="125" t="n"/>
      <c r="J958" s="122">
        <f>IF($A958="","",$F958*$G958)</f>
        <v/>
      </c>
    </row>
    <row r="959" ht="15" customHeight="1" s="80">
      <c r="A959" s="125" t="n"/>
      <c r="B959" s="125" t="n"/>
      <c r="C959" s="125" t="n"/>
      <c r="D959" s="130" t="n"/>
      <c r="E959" s="130" t="n"/>
      <c r="F959" s="121" t="n"/>
      <c r="G959" s="129" t="n"/>
      <c r="H959" s="125" t="n"/>
      <c r="I959" s="125" t="n"/>
      <c r="J959" s="122">
        <f>IF($A959="","",$F959*$G959)</f>
        <v/>
      </c>
    </row>
    <row r="960" ht="15" customHeight="1" s="80">
      <c r="A960" s="125" t="n"/>
      <c r="B960" s="125" t="n"/>
      <c r="C960" s="125" t="n"/>
      <c r="D960" s="130" t="n"/>
      <c r="E960" s="130" t="n"/>
      <c r="F960" s="121" t="n"/>
      <c r="G960" s="129" t="n"/>
      <c r="H960" s="125" t="n"/>
      <c r="I960" s="125" t="n"/>
      <c r="J960" s="122">
        <f>IF($A960="","",$F960*$G960)</f>
        <v/>
      </c>
    </row>
    <row r="961" ht="15" customHeight="1" s="80">
      <c r="A961" s="125" t="n"/>
      <c r="B961" s="125" t="n"/>
      <c r="C961" s="125" t="n"/>
      <c r="D961" s="130" t="n"/>
      <c r="E961" s="130" t="n"/>
      <c r="F961" s="121" t="n"/>
      <c r="G961" s="129" t="n"/>
      <c r="H961" s="125" t="n"/>
      <c r="I961" s="125" t="n"/>
      <c r="J961" s="122">
        <f>IF($A961="","",$F961*$G961)</f>
        <v/>
      </c>
    </row>
    <row r="962" ht="15" customHeight="1" s="80">
      <c r="A962" s="125" t="n"/>
      <c r="B962" s="125" t="n"/>
      <c r="C962" s="125" t="n"/>
      <c r="D962" s="130" t="n"/>
      <c r="E962" s="130" t="n"/>
      <c r="F962" s="121" t="n"/>
      <c r="G962" s="129" t="n"/>
      <c r="H962" s="125" t="n"/>
      <c r="I962" s="125" t="n"/>
      <c r="J962" s="122">
        <f>IF($A962="","",$F962*$G962)</f>
        <v/>
      </c>
    </row>
    <row r="963" ht="15" customHeight="1" s="80">
      <c r="A963" s="125" t="n"/>
      <c r="B963" s="125" t="n"/>
      <c r="C963" s="125" t="n"/>
      <c r="D963" s="130" t="n"/>
      <c r="E963" s="130" t="n"/>
      <c r="F963" s="121" t="n"/>
      <c r="G963" s="129" t="n"/>
      <c r="H963" s="125" t="n"/>
      <c r="I963" s="125" t="n"/>
      <c r="J963" s="122">
        <f>IF($A963="","",$F963*$G963)</f>
        <v/>
      </c>
    </row>
    <row r="964" ht="15" customHeight="1" s="80">
      <c r="A964" s="125" t="n"/>
      <c r="B964" s="125" t="n"/>
      <c r="C964" s="125" t="n"/>
      <c r="D964" s="130" t="n"/>
      <c r="E964" s="130" t="n"/>
      <c r="F964" s="121" t="n"/>
      <c r="G964" s="129" t="n"/>
      <c r="H964" s="125" t="n"/>
      <c r="I964" s="125" t="n"/>
      <c r="J964" s="122">
        <f>IF($A964="","",$F964*$G964)</f>
        <v/>
      </c>
    </row>
    <row r="965" ht="15" customHeight="1" s="80">
      <c r="A965" s="125" t="n"/>
      <c r="B965" s="125" t="n"/>
      <c r="C965" s="125" t="n"/>
      <c r="D965" s="130" t="n"/>
      <c r="E965" s="130" t="n"/>
      <c r="F965" s="121" t="n"/>
      <c r="G965" s="129" t="n"/>
      <c r="H965" s="125" t="n"/>
      <c r="I965" s="125" t="n"/>
      <c r="J965" s="122">
        <f>IF($A965="","",$F965*$G965)</f>
        <v/>
      </c>
    </row>
    <row r="966" ht="15" customHeight="1" s="80">
      <c r="A966" s="125" t="n"/>
      <c r="B966" s="125" t="n"/>
      <c r="C966" s="125" t="n"/>
      <c r="D966" s="130" t="n"/>
      <c r="E966" s="130" t="n"/>
      <c r="F966" s="121" t="n"/>
      <c r="G966" s="129" t="n"/>
      <c r="H966" s="125" t="n"/>
      <c r="I966" s="125" t="n"/>
      <c r="J966" s="122">
        <f>IF($A966="","",$F966*$G966)</f>
        <v/>
      </c>
    </row>
    <row r="967" ht="15" customHeight="1" s="80">
      <c r="A967" s="125" t="n"/>
      <c r="B967" s="125" t="n"/>
      <c r="C967" s="125" t="n"/>
      <c r="D967" s="130" t="n"/>
      <c r="E967" s="130" t="n"/>
      <c r="F967" s="121" t="n"/>
      <c r="G967" s="129" t="n"/>
      <c r="H967" s="125" t="n"/>
      <c r="I967" s="125" t="n"/>
      <c r="J967" s="122">
        <f>IF($A967="","",$F967*$G967)</f>
        <v/>
      </c>
    </row>
    <row r="968" ht="15" customHeight="1" s="80">
      <c r="A968" s="125" t="n"/>
      <c r="B968" s="125" t="n"/>
      <c r="C968" s="125" t="n"/>
      <c r="D968" s="130" t="n"/>
      <c r="E968" s="130" t="n"/>
      <c r="F968" s="121" t="n"/>
      <c r="G968" s="129" t="n"/>
      <c r="H968" s="125" t="n"/>
      <c r="I968" s="125" t="n"/>
      <c r="J968" s="122">
        <f>IF($A968="","",$F968*$G968)</f>
        <v/>
      </c>
    </row>
    <row r="969" ht="15" customHeight="1" s="80">
      <c r="A969" s="125" t="n"/>
      <c r="B969" s="125" t="n"/>
      <c r="C969" s="125" t="n"/>
      <c r="D969" s="130" t="n"/>
      <c r="E969" s="130" t="n"/>
      <c r="F969" s="121" t="n"/>
      <c r="G969" s="129" t="n"/>
      <c r="H969" s="125" t="n"/>
      <c r="I969" s="125" t="n"/>
      <c r="J969" s="122">
        <f>IF($A969="","",$F969*$G969)</f>
        <v/>
      </c>
    </row>
    <row r="970" ht="15" customHeight="1" s="80">
      <c r="A970" s="125" t="n"/>
      <c r="B970" s="125" t="n"/>
      <c r="C970" s="125" t="n"/>
      <c r="D970" s="130" t="n"/>
      <c r="E970" s="130" t="n"/>
      <c r="F970" s="121" t="n"/>
      <c r="G970" s="129" t="n"/>
      <c r="H970" s="125" t="n"/>
      <c r="I970" s="125" t="n"/>
      <c r="J970" s="122">
        <f>IF($A970="","",$F970*$G970)</f>
        <v/>
      </c>
    </row>
    <row r="971" ht="15" customHeight="1" s="80">
      <c r="A971" s="125" t="n"/>
      <c r="B971" s="125" t="n"/>
      <c r="C971" s="125" t="n"/>
      <c r="D971" s="130" t="n"/>
      <c r="E971" s="130" t="n"/>
      <c r="F971" s="121" t="n"/>
      <c r="G971" s="129" t="n"/>
      <c r="H971" s="125" t="n"/>
      <c r="I971" s="125" t="n"/>
      <c r="J971" s="122">
        <f>IF($A971="","",$F971*$G971)</f>
        <v/>
      </c>
    </row>
    <row r="972" ht="15" customHeight="1" s="80">
      <c r="A972" s="125" t="n"/>
      <c r="B972" s="125" t="n"/>
      <c r="C972" s="125" t="n"/>
      <c r="D972" s="130" t="n"/>
      <c r="E972" s="130" t="n"/>
      <c r="F972" s="121" t="n"/>
      <c r="G972" s="129" t="n"/>
      <c r="H972" s="125" t="n"/>
      <c r="I972" s="125" t="n"/>
      <c r="J972" s="122">
        <f>IF($A972="","",$F972*$G972)</f>
        <v/>
      </c>
    </row>
    <row r="973" ht="15" customHeight="1" s="80">
      <c r="A973" s="125" t="n"/>
      <c r="B973" s="125" t="n"/>
      <c r="C973" s="125" t="n"/>
      <c r="D973" s="130" t="n"/>
      <c r="E973" s="130" t="n"/>
      <c r="F973" s="121" t="n"/>
      <c r="G973" s="129" t="n"/>
      <c r="H973" s="125" t="n"/>
      <c r="I973" s="125" t="n"/>
      <c r="J973" s="122">
        <f>IF($A973="","",$F973*$G973)</f>
        <v/>
      </c>
    </row>
    <row r="974" ht="15" customHeight="1" s="80">
      <c r="A974" s="125" t="n"/>
      <c r="B974" s="125" t="n"/>
      <c r="C974" s="125" t="n"/>
      <c r="D974" s="130" t="n"/>
      <c r="E974" s="130" t="n"/>
      <c r="F974" s="121" t="n"/>
      <c r="G974" s="129" t="n"/>
      <c r="H974" s="125" t="n"/>
      <c r="I974" s="125" t="n"/>
      <c r="J974" s="122">
        <f>IF($A974="","",$F974*$G974)</f>
        <v/>
      </c>
    </row>
    <row r="975" ht="15" customHeight="1" s="80">
      <c r="A975" s="125" t="n"/>
      <c r="B975" s="125" t="n"/>
      <c r="C975" s="125" t="n"/>
      <c r="D975" s="130" t="n"/>
      <c r="E975" s="130" t="n"/>
      <c r="F975" s="121" t="n"/>
      <c r="G975" s="129" t="n"/>
      <c r="H975" s="125" t="n"/>
      <c r="I975" s="125" t="n"/>
      <c r="J975" s="122">
        <f>IF($A975="","",$F975*$G975)</f>
        <v/>
      </c>
    </row>
    <row r="976" ht="15" customHeight="1" s="80">
      <c r="A976" s="125" t="n"/>
      <c r="B976" s="125" t="n"/>
      <c r="C976" s="125" t="n"/>
      <c r="D976" s="130" t="n"/>
      <c r="E976" s="130" t="n"/>
      <c r="F976" s="121" t="n"/>
      <c r="G976" s="129" t="n"/>
      <c r="H976" s="125" t="n"/>
      <c r="I976" s="125" t="n"/>
      <c r="J976" s="122">
        <f>IF($A976="","",$F976*$G976)</f>
        <v/>
      </c>
    </row>
    <row r="977" ht="15" customHeight="1" s="80">
      <c r="A977" s="125" t="n"/>
      <c r="B977" s="125" t="n"/>
      <c r="C977" s="125" t="n"/>
      <c r="D977" s="130" t="n"/>
      <c r="E977" s="130" t="n"/>
      <c r="F977" s="121" t="n"/>
      <c r="G977" s="129" t="n"/>
      <c r="H977" s="125" t="n"/>
      <c r="I977" s="125" t="n"/>
      <c r="J977" s="122">
        <f>IF($A977="","",$F977*$G977)</f>
        <v/>
      </c>
    </row>
    <row r="978" ht="15" customHeight="1" s="80">
      <c r="A978" s="125" t="n"/>
      <c r="B978" s="125" t="n"/>
      <c r="C978" s="125" t="n"/>
      <c r="D978" s="130" t="n"/>
      <c r="E978" s="130" t="n"/>
      <c r="F978" s="121" t="n"/>
      <c r="G978" s="129" t="n"/>
      <c r="H978" s="125" t="n"/>
      <c r="I978" s="125" t="n"/>
      <c r="J978" s="122">
        <f>IF($A978="","",$F978*$G978)</f>
        <v/>
      </c>
    </row>
    <row r="979" ht="15" customHeight="1" s="80">
      <c r="A979" s="125" t="n"/>
      <c r="B979" s="125" t="n"/>
      <c r="C979" s="125" t="n"/>
      <c r="D979" s="130" t="n"/>
      <c r="E979" s="130" t="n"/>
      <c r="F979" s="121" t="n"/>
      <c r="G979" s="129" t="n"/>
      <c r="H979" s="125" t="n"/>
      <c r="I979" s="125" t="n"/>
      <c r="J979" s="122">
        <f>IF($A979="","",$F979*$G979)</f>
        <v/>
      </c>
    </row>
    <row r="980" ht="15" customHeight="1" s="80">
      <c r="A980" s="125" t="n"/>
      <c r="B980" s="125" t="n"/>
      <c r="C980" s="125" t="n"/>
      <c r="D980" s="130" t="n"/>
      <c r="E980" s="130" t="n"/>
      <c r="F980" s="121" t="n"/>
      <c r="G980" s="129" t="n"/>
      <c r="H980" s="125" t="n"/>
      <c r="I980" s="125" t="n"/>
      <c r="J980" s="122">
        <f>IF($A980="","",$F980*$G980)</f>
        <v/>
      </c>
    </row>
    <row r="981" ht="15" customHeight="1" s="80">
      <c r="A981" s="125" t="n"/>
      <c r="B981" s="125" t="n"/>
      <c r="C981" s="125" t="n"/>
      <c r="D981" s="130" t="n"/>
      <c r="E981" s="130" t="n"/>
      <c r="F981" s="121" t="n"/>
      <c r="G981" s="129" t="n"/>
      <c r="H981" s="125" t="n"/>
      <c r="I981" s="125" t="n"/>
      <c r="J981" s="122">
        <f>IF($A981="","",$F981*$G981)</f>
        <v/>
      </c>
    </row>
    <row r="982" ht="15" customHeight="1" s="80">
      <c r="A982" s="125" t="n"/>
      <c r="B982" s="125" t="n"/>
      <c r="C982" s="125" t="n"/>
      <c r="D982" s="130" t="n"/>
      <c r="E982" s="130" t="n"/>
      <c r="F982" s="121" t="n"/>
      <c r="G982" s="129" t="n"/>
      <c r="H982" s="125" t="n"/>
      <c r="I982" s="125" t="n"/>
      <c r="J982" s="122">
        <f>IF($A982="","",$F982*$G982)</f>
        <v/>
      </c>
    </row>
    <row r="983" ht="15" customHeight="1" s="80">
      <c r="A983" s="125" t="n"/>
      <c r="B983" s="125" t="n"/>
      <c r="C983" s="125" t="n"/>
      <c r="D983" s="130" t="n"/>
      <c r="E983" s="130" t="n"/>
      <c r="F983" s="121" t="n"/>
      <c r="G983" s="129" t="n"/>
      <c r="H983" s="125" t="n"/>
      <c r="I983" s="125" t="n"/>
      <c r="J983" s="122">
        <f>IF($A983="","",$F983*$G983)</f>
        <v/>
      </c>
    </row>
    <row r="984" ht="15" customHeight="1" s="80">
      <c r="A984" s="125" t="n"/>
      <c r="B984" s="125" t="n"/>
      <c r="C984" s="125" t="n"/>
      <c r="D984" s="130" t="n"/>
      <c r="E984" s="130" t="n"/>
      <c r="F984" s="121" t="n"/>
      <c r="G984" s="129" t="n"/>
      <c r="H984" s="125" t="n"/>
      <c r="I984" s="125" t="n"/>
      <c r="J984" s="122">
        <f>IF($A984="","",$F984*$G984)</f>
        <v/>
      </c>
    </row>
    <row r="985" ht="15" customHeight="1" s="80">
      <c r="A985" s="125" t="n"/>
      <c r="B985" s="125" t="n"/>
      <c r="C985" s="125" t="n"/>
      <c r="D985" s="130" t="n"/>
      <c r="E985" s="130" t="n"/>
      <c r="F985" s="121" t="n"/>
      <c r="G985" s="129" t="n"/>
      <c r="H985" s="125" t="n"/>
      <c r="I985" s="125" t="n"/>
      <c r="J985" s="122">
        <f>IF($A985="","",$F985*$G985)</f>
        <v/>
      </c>
    </row>
    <row r="986" ht="15" customHeight="1" s="80">
      <c r="A986" s="125" t="n"/>
      <c r="B986" s="125" t="n"/>
      <c r="C986" s="125" t="n"/>
      <c r="D986" s="130" t="n"/>
      <c r="E986" s="130" t="n"/>
      <c r="F986" s="121" t="n"/>
      <c r="G986" s="129" t="n"/>
      <c r="H986" s="125" t="n"/>
      <c r="I986" s="125" t="n"/>
      <c r="J986" s="122">
        <f>IF($A986="","",$F986*$G986)</f>
        <v/>
      </c>
    </row>
    <row r="987" ht="15" customHeight="1" s="80">
      <c r="A987" s="125" t="n"/>
      <c r="B987" s="125" t="n"/>
      <c r="C987" s="125" t="n"/>
      <c r="D987" s="130" t="n"/>
      <c r="E987" s="130" t="n"/>
      <c r="F987" s="121" t="n"/>
      <c r="G987" s="129" t="n"/>
      <c r="H987" s="125" t="n"/>
      <c r="I987" s="125" t="n"/>
      <c r="J987" s="122">
        <f>IF($A987="","",$F987*$G987)</f>
        <v/>
      </c>
    </row>
    <row r="988" ht="15" customHeight="1" s="80">
      <c r="A988" s="125" t="n"/>
      <c r="B988" s="125" t="n"/>
      <c r="C988" s="125" t="n"/>
      <c r="D988" s="130" t="n"/>
      <c r="E988" s="130" t="n"/>
      <c r="F988" s="121" t="n"/>
      <c r="G988" s="129" t="n"/>
      <c r="H988" s="125" t="n"/>
      <c r="I988" s="125" t="n"/>
      <c r="J988" s="122">
        <f>IF($A988="","",$F988*$G988)</f>
        <v/>
      </c>
    </row>
    <row r="989" ht="15" customHeight="1" s="80">
      <c r="A989" s="125" t="n"/>
      <c r="B989" s="125" t="n"/>
      <c r="C989" s="125" t="n"/>
      <c r="D989" s="130" t="n"/>
      <c r="E989" s="130" t="n"/>
      <c r="F989" s="121" t="n"/>
      <c r="G989" s="129" t="n"/>
      <c r="H989" s="125" t="n"/>
      <c r="I989" s="125" t="n"/>
      <c r="J989" s="122">
        <f>IF($A989="","",$F989*$G989)</f>
        <v/>
      </c>
    </row>
    <row r="990" ht="15" customHeight="1" s="80">
      <c r="A990" s="125" t="n"/>
      <c r="B990" s="125" t="n"/>
      <c r="C990" s="125" t="n"/>
      <c r="D990" s="130" t="n"/>
      <c r="E990" s="130" t="n"/>
      <c r="F990" s="121" t="n"/>
      <c r="G990" s="129" t="n"/>
      <c r="H990" s="125" t="n"/>
      <c r="I990" s="125" t="n"/>
      <c r="J990" s="122">
        <f>IF($A990="","",$F990*$G990)</f>
        <v/>
      </c>
    </row>
    <row r="991" ht="15" customHeight="1" s="80">
      <c r="A991" s="125" t="n"/>
      <c r="B991" s="125" t="n"/>
      <c r="C991" s="125" t="n"/>
      <c r="D991" s="130" t="n"/>
      <c r="E991" s="130" t="n"/>
      <c r="F991" s="121" t="n"/>
      <c r="G991" s="129" t="n"/>
      <c r="H991" s="125" t="n"/>
      <c r="I991" s="125" t="n"/>
      <c r="J991" s="122">
        <f>IF($A991="","",$F991*$G991)</f>
        <v/>
      </c>
    </row>
    <row r="992" ht="15" customHeight="1" s="80">
      <c r="A992" s="125" t="n"/>
      <c r="B992" s="125" t="n"/>
      <c r="C992" s="125" t="n"/>
      <c r="D992" s="130" t="n"/>
      <c r="E992" s="130" t="n"/>
      <c r="F992" s="121" t="n"/>
      <c r="G992" s="129" t="n"/>
      <c r="H992" s="125" t="n"/>
      <c r="I992" s="125" t="n"/>
      <c r="J992" s="122">
        <f>IF($A992="","",$F992*$G992)</f>
        <v/>
      </c>
    </row>
    <row r="993" ht="15" customHeight="1" s="80">
      <c r="A993" s="125" t="n"/>
      <c r="B993" s="125" t="n"/>
      <c r="C993" s="125" t="n"/>
      <c r="D993" s="130" t="n"/>
      <c r="E993" s="130" t="n"/>
      <c r="F993" s="121" t="n"/>
      <c r="G993" s="129" t="n"/>
      <c r="H993" s="125" t="n"/>
      <c r="I993" s="125" t="n"/>
      <c r="J993" s="122">
        <f>IF($A993="","",$F993*$G993)</f>
        <v/>
      </c>
    </row>
    <row r="994" ht="15" customHeight="1" s="80">
      <c r="A994" s="125" t="n"/>
      <c r="B994" s="125" t="n"/>
      <c r="C994" s="125" t="n"/>
      <c r="D994" s="130" t="n"/>
      <c r="E994" s="130" t="n"/>
      <c r="F994" s="121" t="n"/>
      <c r="G994" s="129" t="n"/>
      <c r="H994" s="125" t="n"/>
      <c r="I994" s="125" t="n"/>
      <c r="J994" s="122">
        <f>IF($A994="","",$F994*$G994)</f>
        <v/>
      </c>
    </row>
    <row r="995" ht="15" customHeight="1" s="80">
      <c r="A995" s="125" t="n"/>
      <c r="B995" s="125" t="n"/>
      <c r="C995" s="125" t="n"/>
      <c r="D995" s="130" t="n"/>
      <c r="E995" s="130" t="n"/>
      <c r="F995" s="121" t="n"/>
      <c r="G995" s="129" t="n"/>
      <c r="H995" s="125" t="n"/>
      <c r="I995" s="125" t="n"/>
      <c r="J995" s="122">
        <f>IF($A995="","",$F995*$G995)</f>
        <v/>
      </c>
    </row>
    <row r="996" ht="15" customHeight="1" s="80">
      <c r="A996" s="125" t="n"/>
      <c r="B996" s="125" t="n"/>
      <c r="C996" s="125" t="n"/>
      <c r="D996" s="130" t="n"/>
      <c r="E996" s="130" t="n"/>
      <c r="F996" s="121" t="n"/>
      <c r="G996" s="129" t="n"/>
      <c r="H996" s="125" t="n"/>
      <c r="I996" s="125" t="n"/>
      <c r="J996" s="122">
        <f>IF($A996="","",$F996*$G996)</f>
        <v/>
      </c>
    </row>
    <row r="997" ht="15" customHeight="1" s="80">
      <c r="A997" s="125" t="n"/>
      <c r="B997" s="125" t="n"/>
      <c r="C997" s="125" t="n"/>
      <c r="D997" s="130" t="n"/>
      <c r="E997" s="130" t="n"/>
      <c r="F997" s="121" t="n"/>
      <c r="G997" s="129" t="n"/>
      <c r="H997" s="125" t="n"/>
      <c r="I997" s="125" t="n"/>
      <c r="J997" s="122">
        <f>IF($A997="","",$F997*$G997)</f>
        <v/>
      </c>
    </row>
    <row r="998" ht="15" customHeight="1" s="80">
      <c r="A998" s="125" t="n"/>
      <c r="B998" s="125" t="n"/>
      <c r="C998" s="125" t="n"/>
      <c r="D998" s="130" t="n"/>
      <c r="E998" s="130" t="n"/>
      <c r="F998" s="121" t="n"/>
      <c r="G998" s="129" t="n"/>
      <c r="H998" s="125" t="n"/>
      <c r="I998" s="125" t="n"/>
      <c r="J998" s="122">
        <f>IF($A998="","",$F998*$G998)</f>
        <v/>
      </c>
    </row>
    <row r="999" ht="15" customHeight="1" s="80">
      <c r="A999" s="125" t="n"/>
      <c r="B999" s="125" t="n"/>
      <c r="C999" s="125" t="n"/>
      <c r="D999" s="130" t="n"/>
      <c r="E999" s="130" t="n"/>
      <c r="F999" s="121" t="n"/>
      <c r="G999" s="129" t="n"/>
      <c r="H999" s="125" t="n"/>
      <c r="I999" s="125" t="n"/>
      <c r="J999" s="122">
        <f>IF($A999="","",$F999*$G999)</f>
        <v/>
      </c>
    </row>
    <row r="1000" ht="15" customHeight="1" s="80">
      <c r="A1000" s="125" t="n"/>
      <c r="B1000" s="125" t="n"/>
      <c r="C1000" s="125" t="n"/>
      <c r="D1000" s="130" t="n"/>
      <c r="E1000" s="130" t="n"/>
      <c r="F1000" s="121" t="n"/>
      <c r="G1000" s="129" t="n"/>
      <c r="H1000" s="125" t="n"/>
      <c r="I1000" s="125" t="n"/>
      <c r="J1000" s="122">
        <f>IF($A1000="","",$F1000*$G1000)</f>
        <v/>
      </c>
    </row>
    <row r="1001" ht="15" customHeight="1" s="80">
      <c r="A1001" s="125" t="n"/>
      <c r="B1001" s="125" t="n"/>
      <c r="C1001" s="125" t="n"/>
      <c r="D1001" s="130" t="n"/>
      <c r="E1001" s="130" t="n"/>
      <c r="F1001" s="121" t="n"/>
      <c r="G1001" s="129" t="n"/>
      <c r="H1001" s="125" t="n"/>
      <c r="I1001" s="125" t="n"/>
      <c r="J1001" s="122">
        <f>IF($A1001="","",$F1001*$G1001)</f>
        <v/>
      </c>
    </row>
    <row r="1002" ht="15" customHeight="1" s="80">
      <c r="A1002" s="125" t="n"/>
      <c r="B1002" s="125" t="n"/>
      <c r="C1002" s="125" t="n"/>
      <c r="D1002" s="130" t="n"/>
      <c r="E1002" s="130" t="n"/>
      <c r="F1002" s="121" t="n"/>
      <c r="G1002" s="129" t="n"/>
      <c r="H1002" s="125" t="n"/>
      <c r="I1002" s="125" t="n"/>
      <c r="J1002" s="122">
        <f>IF($A1002="","",$F1002*$G1002)</f>
        <v/>
      </c>
    </row>
    <row r="1003" ht="15" customHeight="1" s="80">
      <c r="A1003" s="125" t="n"/>
      <c r="B1003" s="125" t="n"/>
      <c r="C1003" s="125" t="n"/>
      <c r="D1003" s="130" t="n"/>
      <c r="E1003" s="130" t="n"/>
      <c r="F1003" s="121" t="n"/>
      <c r="G1003" s="129" t="n"/>
      <c r="H1003" s="125" t="n"/>
      <c r="I1003" s="125" t="n"/>
      <c r="J1003" s="122">
        <f>IF($A1003="","",$F1003*$G1003)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IF($A1004="","",$F1004*$G1004)</f>
        <v/>
      </c>
    </row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F6:F1004">
    <cfRule type="cellIs" rank="0" priority="2" equalAverage="0" operator="lessThan" aboveAverage="0" dxfId="11" text="" percent="0" bottom="0">
      <formula>0</formula>
    </cfRule>
    <cfRule type="cellIs" rank="0" priority="3" equalAverage="0" operator="greaterThan" aboveAverage="0" dxfId="12" text="" percent="0" bottom="0">
      <formula>5000000</formula>
    </cfRule>
  </conditionalFormatting>
  <conditionalFormatting sqref="G6:G1004">
    <cfRule type="cellIs" rank="0" priority="4" equalAverage="0" operator="lessThan" aboveAverage="0" dxfId="11" text="" percent="0" bottom="0">
      <formula>0</formula>
    </cfRule>
    <cfRule type="cellIs" rank="0" priority="5" equalAverage="0" operator="greaterThan" aboveAverage="0" dxfId="12" text="" percent="0" bottom="0">
      <formula>0.5</formula>
    </cfRule>
  </conditionalFormatting>
  <conditionalFormatting sqref="H6:H1004">
    <cfRule type="cellIs" rank="0" priority="6" equalAverage="0" operator="equal" aboveAverage="0" dxfId="16" text="" percent="0" bottom="0">
      <formula>"Evet"</formula>
    </cfRule>
  </conditionalFormatting>
  <dataValidations count="6">
    <dataValidation sqref="B6:B1004" showDropDown="0" showInputMessage="1" showErrorMessage="1" allowBlank="1" errorTitle="Geçersiz tür" error="Listede olmayan tür giremezsiniz." promptTitle="Borç Türü" prompt="Listeden borç türünü seçin." type="list" errorStyle="stop" operator="between">
      <formula1>ListeBorcTurleri</formula1>
      <formula2>0</formula2>
    </dataValidation>
    <dataValidation sqref="H6:H1004" showDropDown="0" showInputMessage="1" showErrorMessage="1" allowBlank="1" errorTitle="Geçersiz seçim" error="Evet veya Hayır girin." promptTitle="Teminat Var mı?" prompt="Evet veya Hayır seçin." type="list" errorStyle="stop" operator="between">
      <formula1>ListeEvetHayir</formula1>
      <formula2>0</formula2>
    </dataValidation>
    <dataValidation sqref="D6:D1004" showDropDown="0" showInputMessage="1" showErrorMessage="1" allowBlank="1" errorTitle="Geçersiz tarih" error="Tarih 01.01.2024 - 31.12.2027 aralığında olmalı." promptTitle="Kullanım Tarihi" prompt="GG.AA.YYYY biçiminde borç kullanım tarihi girin." type="date" errorStyle="stop" operator="between">
      <formula1>01.01.2024</formula1>
      <formula2>31.12.2027</formula2>
    </dataValidation>
    <dataValidation sqref="E6:E1004" showDropDown="0" showInputMessage="1" showErrorMessage="1" allowBlank="1" errorTitle="Geçersiz tarih" error="Tarih 01.01.2024 - 31.12.2030 aralığında olmalı." promptTitle="Vade Tarihi" prompt="GG.AA.YYYY biçiminde vade tarihi girin." type="date" errorStyle="stop" operator="between">
      <formula1>01.01.2024</formula1>
      <formula2>31.12.2030</formula2>
    </dataValidation>
    <dataValidation sqref="F6:F1004" showDropDown="0" showInputMessage="1" showErrorMessage="1" allowBlank="1" errorTitle="Geçersiz tutar" error="0 ile 100.000.000.000 arasında olmalı." promptTitle="Borç Tutarı" prompt="Borç tutarını TL olarak girin." type="decimal" errorStyle="stop" operator="between">
      <formula1>0</formula1>
      <formula2>100000000000</formula2>
    </dataValidation>
    <dataValidation sqref="G6:G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6" min="1" max="1"/>
    <col width="22" customWidth="1" style="106" min="2" max="2"/>
    <col width="20" customWidth="1" style="106" min="3" max="5"/>
    <col width="12" customWidth="1" style="106" min="6" max="6"/>
  </cols>
  <sheetData>
    <row r="1" ht="25.5" customHeight="1" s="80">
      <c r="A1" s="107" t="inlineStr">
        <is>
          <t>HESAP — Şirket Öz Kaynağı Eridi Mi? (TTK 376 Sermaye Tamamlama Cetveli)</t>
        </is>
      </c>
    </row>
    <row r="3" ht="15.75" customHeight="1" s="80">
      <c r="A3" s="113" t="inlineStr">
        <is>
          <t>TTK 376 Sermaye Tamamlama Hesabı</t>
        </is>
      </c>
    </row>
    <row r="4" ht="27.75" customHeight="1" s="80">
      <c r="A4" s="109" t="inlineStr">
        <is>
          <t>Aşağıdaki özet, dönem bilanço ve borç tablolarından otomatik beslenir; elle değiştirilmez.</t>
        </is>
      </c>
    </row>
    <row r="5" ht="30" customHeight="1" s="80">
      <c r="A5" s="118" t="inlineStr">
        <is>
          <t>Borç Türü</t>
        </is>
      </c>
      <c r="B5" s="118" t="inlineStr">
        <is>
          <t>Borç Adedi</t>
        </is>
      </c>
      <c r="C5" s="118" t="inlineStr">
        <is>
          <t>Toplam Borç (₺)</t>
        </is>
      </c>
      <c r="D5" s="118" t="inlineStr">
        <is>
          <t>Ortalama Faiz Oranı</t>
        </is>
      </c>
      <c r="E5" s="118" t="inlineStr">
        <is>
          <t>Teminatlı Borç (₺)</t>
        </is>
      </c>
      <c r="F5" s="118" t="inlineStr">
        <is>
          <t>Borç Payı</t>
        </is>
      </c>
    </row>
    <row r="6" ht="15" customHeight="1" s="80">
      <c r="A6" s="131" t="inlineStr">
        <is>
          <t>Banka Kredisi</t>
        </is>
      </c>
      <c r="B6" s="132">
        <f>COUNTIFS(tblBorc[Borç Türü],$A6)</f>
        <v/>
      </c>
      <c r="C6" s="133">
        <f>SUMIFS(tblBorc[Borç Tutarı (₺)],tblBorc[Borç Türü],$A6)</f>
        <v/>
      </c>
      <c r="D6" s="134">
        <f>IF($B$6=0,0,AVERAGEIFS(tblBorc[Yıllık Faiz Oranı],tblBorc[Borç Türü],$A6))</f>
        <v/>
      </c>
      <c r="E6" s="133">
        <f>SUMIFS(tblBorc[Borç Tutarı (₺)],tblBorc[Borç Türü],$A6,tblBorc[Teminat Var mı?],"Evet")</f>
        <v/>
      </c>
      <c r="F6" s="134">
        <f>IF($C$11=0,0,C6/$C$11)</f>
        <v/>
      </c>
    </row>
    <row r="7" ht="15" customHeight="1" s="80">
      <c r="A7" s="131" t="inlineStr">
        <is>
          <t>Tedarikçi Borcu</t>
        </is>
      </c>
      <c r="B7" s="132">
        <f>COUNTIFS(tblBorc[Borç Türü],$A7)</f>
        <v/>
      </c>
      <c r="C7" s="133">
        <f>SUMIFS(tblBorc[Borç Tutarı (₺)],tblBorc[Borç Türü],$A7)</f>
        <v/>
      </c>
      <c r="D7" s="134">
        <f>IF($B$7=0,0,AVERAGEIFS(tblBorc[Yıllık Faiz Oranı],tblBorc[Borç Türü],$A7))</f>
        <v/>
      </c>
      <c r="E7" s="133">
        <f>SUMIFS(tblBorc[Borç Tutarı (₺)],tblBorc[Borç Türü],$A7,tblBorc[Teminat Var mı?],"Evet")</f>
        <v/>
      </c>
      <c r="F7" s="134">
        <f>IF($C$11=0,0,C7/$C$11)</f>
        <v/>
      </c>
    </row>
    <row r="8" ht="15" customHeight="1" s="80">
      <c r="A8" s="131" t="inlineStr">
        <is>
          <t>Finansal Kiralama</t>
        </is>
      </c>
      <c r="B8" s="132">
        <f>COUNTIFS(tblBorc[Borç Türü],$A8)</f>
        <v/>
      </c>
      <c r="C8" s="133">
        <f>SUMIFS(tblBorc[Borç Tutarı (₺)],tblBorc[Borç Türü],$A8)</f>
        <v/>
      </c>
      <c r="D8" s="134">
        <f>IF($B$8=0,0,AVERAGEIFS(tblBorc[Yıllık Faiz Oranı],tblBorc[Borç Türü],$A8))</f>
        <v/>
      </c>
      <c r="E8" s="133">
        <f>SUMIFS(tblBorc[Borç Tutarı (₺)],tblBorc[Borç Türü],$A8,tblBorc[Teminat Var mı?],"Evet")</f>
        <v/>
      </c>
      <c r="F8" s="134">
        <f>IF($C$11=0,0,C8/$C$11)</f>
        <v/>
      </c>
    </row>
    <row r="9" ht="15" customHeight="1" s="80">
      <c r="A9" s="131" t="inlineStr">
        <is>
          <t>Tahvil</t>
        </is>
      </c>
      <c r="B9" s="132">
        <f>COUNTIFS(tblBorc[Borç Türü],$A9)</f>
        <v/>
      </c>
      <c r="C9" s="133">
        <f>SUMIFS(tblBorc[Borç Tutarı (₺)],tblBorc[Borç Türü],$A9)</f>
        <v/>
      </c>
      <c r="D9" s="134">
        <f>IF($B$9=0,0,AVERAGEIFS(tblBorc[Yıllık Faiz Oranı],tblBorc[Borç Türü],$A9))</f>
        <v/>
      </c>
      <c r="E9" s="133">
        <f>SUMIFS(tblBorc[Borç Tutarı (₺)],tblBorc[Borç Türü],$A9,tblBorc[Teminat Var mı?],"Evet")</f>
        <v/>
      </c>
      <c r="F9" s="134">
        <f>IF($C$11=0,0,C9/$C$11)</f>
        <v/>
      </c>
    </row>
    <row r="10" ht="15" customHeight="1" s="80">
      <c r="A10" s="131" t="inlineStr">
        <is>
          <t>Ortak Borcu</t>
        </is>
      </c>
      <c r="B10" s="132">
        <f>COUNTIFS(tblBorc[Borç Türü],$A10)</f>
        <v/>
      </c>
      <c r="C10" s="133">
        <f>SUMIFS(tblBorc[Borç Tutarı (₺)],tblBorc[Borç Türü],$A10)</f>
        <v/>
      </c>
      <c r="D10" s="134">
        <f>IF($B$10=0,0,AVERAGEIFS(tblBorc[Yıllık Faiz Oranı],tblBorc[Borç Türü],$A10))</f>
        <v/>
      </c>
      <c r="E10" s="133">
        <f>SUMIFS(tblBorc[Borç Tutarı (₺)],tblBorc[Borç Türü],$A10,tblBorc[Teminat Var mı?],"Evet")</f>
        <v/>
      </c>
      <c r="F10" s="134">
        <f>IF($C$11=0,0,C10/$C$11)</f>
        <v/>
      </c>
    </row>
    <row r="11" ht="15" customHeight="1" s="80">
      <c r="A11" s="131" t="inlineStr">
        <is>
          <t>Diğer</t>
        </is>
      </c>
      <c r="B11" s="132">
        <f>COUNTIFS(tblBorc[Borç Türü],$A11)</f>
        <v/>
      </c>
      <c r="C11" s="133">
        <f>SUMIFS(tblBorc[Borç Tutarı (₺)],tblBorc[Borç Türü],$A11)</f>
        <v/>
      </c>
      <c r="D11" s="134">
        <f>IF($B$11=0,0,AVERAGEIFS(tblBorc[Yıllık Faiz Oranı],tblBorc[Borç Türü],$A11))</f>
        <v/>
      </c>
      <c r="E11" s="133">
        <f>SUMIFS(tblBorc[Borç Tutarı (₺)],tblBorc[Borç Türü],$A11,tblBorc[Teminat Var mı?],"Evet")</f>
        <v/>
      </c>
      <c r="F11" s="134">
        <f>IF($C$11=0,0,C11/$C$11)</f>
        <v/>
      </c>
    </row>
    <row r="12" ht="15" customHeight="1" s="80">
      <c r="A12" s="135" t="inlineStr">
        <is>
          <t>TOPLAM</t>
        </is>
      </c>
      <c r="B12" s="136">
        <f>SUM(B6:B11)</f>
        <v/>
      </c>
      <c r="C12" s="137">
        <f>SUM(C6:C11)</f>
        <v/>
      </c>
      <c r="D12" s="136">
        <f>SUM(D6:D11)</f>
        <v/>
      </c>
      <c r="E12" s="137">
        <f>SUM(E6:E11)</f>
        <v/>
      </c>
      <c r="F12" s="138">
        <f>SUM(F6:F11)</f>
        <v/>
      </c>
    </row>
    <row r="13" ht="15" customHeight="1" s="80">
      <c r="A13" s="135" t="inlineStr">
        <is>
          <t>Dönem Sonu Ödenmiş Sermaye</t>
        </is>
      </c>
      <c r="B13" s="137">
        <f>IFERROR(INDEX(tblBilanco[Ödenmiş Sermaye (₺)],COUNTA(tblBilanco[Ay])),0)</f>
        <v/>
      </c>
    </row>
    <row r="14" ht="15" customHeight="1" s="80">
      <c r="A14" s="135" t="inlineStr">
        <is>
          <t>Dönem Sonu Yedekler</t>
        </is>
      </c>
      <c r="B14" s="137">
        <f>IFERROR(INDEX(tblBilanco[Yedekler (₺)],COUNTA(tblBilanco[Ay])),0)</f>
        <v/>
      </c>
    </row>
    <row r="15" ht="15" customHeight="1" s="80">
      <c r="A15" s="135" t="inlineStr">
        <is>
          <t>Dönem Sonu Geçmiş Yıl Kârı</t>
        </is>
      </c>
      <c r="B15" s="137">
        <f>IFERROR(INDEX(tblBilanco[Geçmiş Yıl Kârı (₺)],COUNTA(tblBilanco[Ay])),0)</f>
        <v/>
      </c>
    </row>
    <row r="16" ht="15" customHeight="1" s="80">
      <c r="A16" s="135" t="inlineStr">
        <is>
          <t>Dönem Sonu Geçmiş Yıl Zararı</t>
        </is>
      </c>
      <c r="B16" s="137">
        <f>IFERROR(INDEX(tblBilanco[Geçmiş Yıl Zararı (₺)],COUNTA(tblBilanco[Ay])),0)</f>
        <v/>
      </c>
    </row>
    <row r="17" ht="15" customHeight="1" s="80">
      <c r="A17" s="135" t="inlineStr">
        <is>
          <t>Dönem Sonu Dönem Kârı</t>
        </is>
      </c>
      <c r="B17" s="137">
        <f>IFERROR(INDEX(tblBilanco[Dönem Kârı (₺)],COUNTA(tblBilanco[Ay])),0)</f>
        <v/>
      </c>
    </row>
    <row r="18" ht="15" customHeight="1" s="80">
      <c r="A18" s="135" t="inlineStr">
        <is>
          <t>Dönem Sonu Dönem Zararı</t>
        </is>
      </c>
      <c r="B18" s="137">
        <f>IFERROR(INDEX(tblBilanco[Dönem Zararı (₺)],COUNTA(tblBilanco[Ay])),0)</f>
        <v/>
      </c>
    </row>
    <row r="19" ht="15" customHeight="1" s="80">
      <c r="A19" s="135" t="inlineStr">
        <is>
          <t>Dönem Sonu Öz Kaynak Toplamı</t>
        </is>
      </c>
      <c r="B19" s="137">
        <f>B13+B14+B15-B16+B17-B18</f>
        <v/>
      </c>
    </row>
    <row r="20" ht="15" customHeight="1" s="80">
      <c r="A20" s="135" t="inlineStr">
        <is>
          <t>Sermaye Kaybı Tutarı</t>
        </is>
      </c>
      <c r="B20" s="137">
        <f>MAX(0,B13-B19)</f>
        <v/>
      </c>
    </row>
    <row r="21" ht="15" customHeight="1" s="80">
      <c r="A21" s="135" t="inlineStr">
        <is>
          <t>Kayıp Oranı (Kayıp / Ödenmiş Sermaye)</t>
        </is>
      </c>
      <c r="B21" s="138">
        <f>IF(B13=0,0,B20/B13)</f>
        <v/>
      </c>
    </row>
    <row r="22" ht="15" customHeight="1" s="80">
      <c r="A22" s="135" t="inlineStr">
        <is>
          <t>1/3 Sermaye Kaybı Eşiği (TTK 376)</t>
        </is>
      </c>
      <c r="B22" s="137">
        <f>B13*TtkUcteBirEsik</f>
        <v/>
      </c>
    </row>
    <row r="23" ht="15" customHeight="1" s="80">
      <c r="A23" s="135" t="inlineStr">
        <is>
          <t>2/3 Sermaye Kaybı Eşiği (TTK 376)</t>
        </is>
      </c>
      <c r="B23" s="137">
        <f>B13*TtkUcteIkiEsik</f>
        <v/>
      </c>
    </row>
    <row r="24" ht="15" customHeight="1" s="80">
      <c r="A24" s="135" t="inlineStr">
        <is>
          <t>Dönem Sonu Toplam Borç</t>
        </is>
      </c>
      <c r="B24" s="137">
        <f>IFERROR(INDEX(tblBilanco[Toplam Borç (₺)],COUNTA(tblBilanco[Ay])),0)</f>
        <v/>
      </c>
    </row>
    <row r="25" ht="15" customHeight="1" s="80">
      <c r="A25" s="135" t="inlineStr">
        <is>
          <t>Dönem Sonu Toplam Aktif</t>
        </is>
      </c>
      <c r="B25" s="137">
        <f>IFERROR(INDEX(tblBilanco[Toplam Aktif (₺)],COUNTA(tblBilanco[Ay])),0)</f>
        <v/>
      </c>
    </row>
    <row r="26" ht="15" customHeight="1" s="80">
      <c r="A26" s="135" t="inlineStr">
        <is>
          <t>Borca Batıklık Durumu</t>
        </is>
      </c>
      <c r="B26" s="139">
        <f>IF(OR(B19&lt;0,B25&lt;B24),"BORCA BATIK","BORCA BATIK DEĞİL")</f>
        <v/>
      </c>
    </row>
    <row r="27" ht="15" customHeight="1" s="80">
      <c r="A27" s="135" t="inlineStr">
        <is>
          <t>Öz Kaynak / Aktif Oranı</t>
        </is>
      </c>
      <c r="B27" s="138">
        <f>IF(B25=0,0,B19/B25)</f>
        <v/>
      </c>
    </row>
    <row r="28" ht="15" customHeight="1" s="80">
      <c r="A28" s="135" t="inlineStr">
        <is>
          <t>İlk-Son Ay Öz Kaynak Farkı</t>
        </is>
      </c>
      <c r="B28" s="137">
        <f>IFERROR(INDEX(tblBilanco[Öz Kaynak (₺)],COUNTA(tblBilanco[Ay]))-INDEX(tblBilanco[Öz Kaynak (₺)],1),0)</f>
        <v/>
      </c>
    </row>
    <row r="29" ht="15" customHeight="1" s="80">
      <c r="A29" s="135" t="inlineStr">
        <is>
          <t>Uç Değer Sinyali</t>
        </is>
      </c>
      <c r="B29" s="139">
        <f>IF(OR(B24&gt;TtkAzamiBilancoTutari,B25&gt;TtkAzamiBilancoTutari),"AŞIM VAR","NORMAL")</f>
        <v/>
      </c>
    </row>
    <row r="31" ht="19.5" customHeight="1" s="80">
      <c r="A31" s="126" t="inlineStr">
        <is>
          <t>Hesap satırları yalnızca dönem bilanço ve borç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1:AN31"/>
    <mergeCell ref="A1:AD1"/>
  </mergeCells>
  <conditionalFormatting sqref="C6:C11">
    <cfRule type="cellIs" rank="0" priority="2" equalAverage="0" operator="lessThan" aboveAverage="0" dxfId="11" text="" percent="0" bottom="0">
      <formula>0</formula>
    </cfRule>
  </conditionalFormatting>
  <conditionalFormatting sqref="D6:D11">
    <cfRule type="cellIs" rank="0" priority="3" equalAverage="0" operator="lessThan" aboveAverage="0" dxfId="11" text="" percent="0" bottom="0">
      <formula>0</formula>
    </cfRule>
  </conditionalFormatting>
  <conditionalFormatting sqref="E6:E11">
    <cfRule type="cellIs" rank="0" priority="4" equalAverage="0" operator="lessThan" aboveAverage="0" dxfId="11" text="" percent="0" bottom="0">
      <formula>0</formula>
    </cfRule>
  </conditionalFormatting>
  <conditionalFormatting sqref="B19">
    <cfRule type="cellIs" rank="0" priority="5" equalAverage="0" operator="lessThan" aboveAverage="0" dxfId="11" text="" percent="0" bottom="0">
      <formula>0</formula>
    </cfRule>
  </conditionalFormatting>
  <conditionalFormatting sqref="B21">
    <cfRule type="cellIs" rank="0" priority="6" equalAverage="0" operator="greaterThan" aboveAverage="0" dxfId="12" text="" percent="0" bottom="0">
      <formula>0.333333</formula>
    </cfRule>
    <cfRule type="cellIs" rank="0" priority="7" equalAverage="0" operator="greaterThan" aboveAverage="0" dxfId="11" text="" percent="0" bottom="0">
      <formula>0.666667</formula>
    </cfRule>
  </conditionalFormatting>
  <conditionalFormatting sqref="B20">
    <cfRule type="cellIs" rank="0" priority="8" equalAverage="0" operator="greaterThan" aboveAverage="0" dxfId="12" text="" percent="0" bottom="0">
      <formula>0</formula>
    </cfRule>
  </conditionalFormatting>
  <conditionalFormatting sqref="B26">
    <cfRule type="cellIs" rank="0" priority="9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2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Şirket Öz Kaynağı Eridi Mi? (TTK 376 Sermaye Tamamlama Cetveli)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80">
      <c r="A6" s="140" t="inlineStr">
        <is>
          <t>T1</t>
        </is>
      </c>
      <c r="B6" s="141" t="inlineStr">
        <is>
          <t>Öz Kaynak Trendi (Son/İlk Ay)</t>
        </is>
      </c>
      <c r="C6" s="142">
        <f>IFERROR(IF(INDEX(tblBilanco[Öz Kaynak (₺)],1)=0,0,INDEX(tblBilanco[Öz Kaynak (₺)],COUNTA(tblBilanco[Ay]))/INDEX(tblBilanco[Öz Kaynak (₺)],1)),0)</f>
        <v/>
      </c>
      <c r="D6" s="143">
        <f>_xlfn.TEXTJOIN("; ",TRUE(),"Öz kaynak trendi ",TEXT(C6,"0.00"),"x — 1 altındaysa öz kaynak eriyor, eşikler yaklaşıyor")</f>
        <v/>
      </c>
    </row>
    <row r="7" ht="30" customHeight="1" s="80">
      <c r="A7" s="140" t="inlineStr">
        <is>
          <t>T4</t>
        </is>
      </c>
      <c r="B7" s="141" t="inlineStr">
        <is>
          <t>İlk-Son Ay Öz Kaynak Farkı</t>
        </is>
      </c>
      <c r="C7" s="133">
        <f>HESAP!B28</f>
        <v/>
      </c>
      <c r="D7" s="143">
        <f>_xlfn.TEXTJOIN("; ",TRUE(),"İlk ile son ay öz kaynak farkı ",TEXT(C7,"₺ #,##0")," TL — negatif fark erime hızını gösterir")</f>
        <v/>
      </c>
    </row>
    <row r="8" ht="30" customHeight="1" s="80">
      <c r="A8" s="140" t="inlineStr">
        <is>
          <t>O1</t>
        </is>
      </c>
      <c r="B8" s="141" t="inlineStr">
        <is>
          <t>Aylık Kayıp Oranı Sapması (STDEV)</t>
        </is>
      </c>
      <c r="C8" s="142">
        <f>IFERROR(stdev.p(tblBilanco[Kayıp Oranı]),0)</f>
        <v/>
      </c>
      <c r="D8" s="143">
        <f>_xlfn.TEXTJOIN("; ",TRUE(),"Aylık kayıp oranlarının standart sapması ",TEXT(C8,"0.00%")," — sapma yüksekse erime hızı düzensizdir")</f>
        <v/>
      </c>
    </row>
    <row r="9" ht="30" customHeight="1" s="80">
      <c r="A9" s="140" t="inlineStr">
        <is>
          <t>O2</t>
        </is>
      </c>
      <c r="B9" s="141" t="inlineStr">
        <is>
          <t>Tornado: En Büyük Etki</t>
        </is>
      </c>
      <c r="C9" s="142">
        <f>MAX(SENARYO_DUYARLILIK!B12:B13)</f>
        <v/>
      </c>
      <c r="D9" s="143">
        <f>_xlfn.TEXTJOIN("; ",TRUE(),"Kayıp oranını en çok etkileyen değişkenin etkisi ",TEXT(C9,"0.00%")," — öncelik bu değişkenin yönetiminde")</f>
        <v/>
      </c>
    </row>
    <row r="10" ht="30" customHeight="1" s="80">
      <c r="A10" s="140" t="inlineStr">
        <is>
          <t>O3</t>
        </is>
      </c>
      <c r="B10" s="141" t="inlineStr">
        <is>
          <t>Senaryo Bant Genişliği (Kayıp Oranı)</t>
        </is>
      </c>
      <c r="C10" s="142">
        <f>SENARYO_DUYARLILIK!C7-SENARYO_DUYARLILIK!C9</f>
        <v/>
      </c>
      <c r="D10" s="143">
        <f>_xlfn.TEXTJOIN("; ",TRUE(),"İyimser ile kötümser senaryo kayıp oranı farkı ",TEXT(C10,"0.00%")," — belirsizlik aralığını gösterir")</f>
        <v/>
      </c>
    </row>
    <row r="11" ht="30" customHeight="1" s="80">
      <c r="A11" s="140" t="inlineStr">
        <is>
          <t>O6</t>
        </is>
      </c>
      <c r="B11" s="141" t="inlineStr">
        <is>
          <t>Borç Türü Yoğunlaşması (HHI)</t>
        </is>
      </c>
      <c r="C11" s="142">
        <f>IFERROR(SUMPRODUCT((HESAP!$C$6:$C$11/SUM(HESAP!$C$6:$C$11))^2),0)</f>
        <v/>
      </c>
      <c r="D11" s="143">
        <f>_xlfn.TEXTJOIN("; ",TRUE(),"Borç yoğunlaşma endeksi ",TEXT(C11,"0.000")," — 1 e yaklaştıkça borç tek türde toplanır, kırılganlık artar")</f>
        <v/>
      </c>
    </row>
    <row r="12" ht="30" customHeight="1" s="80">
      <c r="A12" s="140" t="inlineStr">
        <is>
          <t>O8</t>
        </is>
      </c>
      <c r="B12" s="141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",IF(C12&gt;=TtkKaliteIyi,"yüksek güven","veri girişi tamamlanmalı"))</f>
        <v/>
      </c>
    </row>
    <row r="13" ht="30" customHeight="1" s="80">
      <c r="A13" s="140" t="inlineStr">
        <is>
          <t>I1</t>
        </is>
      </c>
      <c r="B13" s="141" t="inlineStr">
        <is>
          <t>Gelecek Dönem Öz Kaynak Tahmini</t>
        </is>
      </c>
      <c r="C13" s="133">
        <f>PANO!B24</f>
        <v/>
      </c>
      <c r="D13" s="143">
        <f>_xlfn.TEXTJOIN("; ",TRUE(),"Gelecek dönem öz kaynak tahmini ",TEXT(C13,"₺ #,##0")," TL — güven bandı için alt/üst sınır PANO sayfasındadır")</f>
        <v/>
      </c>
    </row>
    <row r="14" ht="30" customHeight="1" s="80">
      <c r="A14" s="140" t="inlineStr">
        <is>
          <t>I2</t>
        </is>
      </c>
      <c r="B14" s="141" t="inlineStr">
        <is>
          <t>Borç Tutarı Yüzdelik P90</t>
        </is>
      </c>
      <c r="C14" s="142">
        <f>IFERROR(_xlfn.PERCENTILE.INC(tblBorc[Borç Tutarı (₺)],TtkP90Oran),0)</f>
        <v/>
      </c>
      <c r="D14" s="143">
        <f>_xlfn.TEXTJOIN("; ",TRUE(),"Borç tutarlarının %90 ı ",TEXT(C14,"₺ #,##0")," TL altında gerçekleşir — üst sınır finansman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Şirket Öz Kaynağı Eridi Mi? (TTK 376 Sermaye Tamamlama Cetveli)</t>
        </is>
      </c>
    </row>
    <row r="3" ht="15.75" customHeight="1" s="80">
      <c r="A3" s="113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44" t="inlineStr">
        <is>
          <t>Boş ay satırı var mı?</t>
        </is>
      </c>
      <c r="B6" s="142">
        <f>IF(COUNTBLANK(tblBilanco[Ay])=0,"TEMİZ","BOŞ VAR")</f>
        <v/>
      </c>
    </row>
    <row r="7" ht="15" customHeight="1" s="80">
      <c r="A7" s="144" t="inlineStr">
        <is>
          <t>Boş ödenmiş sermaye var mı?</t>
        </is>
      </c>
      <c r="B7" s="142">
        <f>IF(COUNTBLANK(tblBilanco[Ödenmiş Sermaye (₺)])=0,"TEMİZ","BOŞ VAR")</f>
        <v/>
      </c>
    </row>
    <row r="8" ht="15" customHeight="1" s="80">
      <c r="A8" s="144" t="inlineStr">
        <is>
          <t>Negatif değer var mı?</t>
        </is>
      </c>
      <c r="B8" s="142">
        <f>IF(COUNTIF(tblBilanco[Ödenmiş Sermaye (₺)],"&lt;0")=0,"TEMİZ","NEGATİF VAR")</f>
        <v/>
      </c>
    </row>
    <row r="9" ht="15" customHeight="1" s="80">
      <c r="A9" s="144" t="inlineStr">
        <is>
          <t>Ödenmiş sermaye sıfır mı?</t>
        </is>
      </c>
      <c r="B9" s="142">
        <f>IF(COUNTIF(tblBilanco[Ödenmiş Sermaye (₺)],"=0")&gt;0,"SIFIR VAR","NORMAL")</f>
        <v/>
      </c>
    </row>
    <row r="10" ht="15" customHeight="1" s="80">
      <c r="A10" s="144" t="inlineStr">
        <is>
          <t>Borç türü boş mu?</t>
        </is>
      </c>
      <c r="B10" s="142">
        <f>IF(COUNTIF(tblBorc[Borç Türü],"")&gt;0,"BOŞ VAR","TEMİZ")</f>
        <v/>
      </c>
    </row>
    <row r="11" ht="15" customHeight="1" s="80">
      <c r="A11" s="144" t="inlineStr">
        <is>
          <t>Kayıp oranı 1/3 eşiğini aşıyor mu?</t>
        </is>
      </c>
      <c r="B11" s="142">
        <f>IF(HESAP!B21&gt;TtkUcteBirEsik,"AŞIYOR","NORMAL")</f>
        <v/>
      </c>
    </row>
    <row r="12" ht="15" customHeight="1" s="80">
      <c r="A12" s="144" t="inlineStr">
        <is>
          <t>Kayıp oranı 2/3 eşiğini aşıyor mu?</t>
        </is>
      </c>
      <c r="B12" s="142">
        <f>IF(HESAP!B21&gt;TtkUcteIkiEsik,"AŞIYOR","NORMAL")</f>
        <v/>
      </c>
    </row>
    <row r="13" ht="15" customHeight="1" s="80">
      <c r="A13" s="144" t="inlineStr">
        <is>
          <t>Borca batıklık var mı?</t>
        </is>
      </c>
      <c r="B13" s="142">
        <f>IF(HESAP!B26="BORCA BATIK","VAR","YOK")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44" t="inlineStr">
        <is>
          <t>Toplam Giriş Hücresi</t>
        </is>
      </c>
      <c r="B17" s="132">
        <f>COUNTA(tblBilanco[Ay])*TtkDonemGirisKolon+COUNTA(tblBorc[Borç Kodu])*TtkBorcGirisKolon</f>
        <v/>
      </c>
    </row>
    <row r="18" ht="15" customHeight="1" s="80">
      <c r="A18" s="144" t="inlineStr">
        <is>
          <t>Dolu Giriş Hücresi</t>
        </is>
      </c>
      <c r="B18" s="132">
        <f>COUNTA(tblBilanco[Ay])+COUNTA(tblBilanco[Ödenmiş Sermaye (₺)])+COUNTA(tblBilanco[Yedekler (₺)])+COUNTA(tblBilanco[Geçmiş Yıl Kârı (₺)])+COUNTA(tblBilanco[Geçmiş Yıl Zararı (₺)])+COUNTA(tblBilanco[Dönem Kârı (₺)])+COUNTA(tblBilanco[Dönem Zararı (₺)])+COUNTA(tblBilanco[Toplam Borç (₺)])+COUNTA(tblBilanco[Toplam Aktif (₺)])+COUNTA(tblBorc[Borç Kodu])+COUNTA(tblBorc[Borç Türü])+COUNTA(tblBorc[Borç Tutarı (₺)])+COUNTA(tblBorc[Yıllık Faiz Oranı])+COUNTA(tblBorc[Teminat Var mı?])+COUNTA(tblBorc[Açıklama])</f>
        <v/>
      </c>
    </row>
    <row r="19" ht="15" customHeight="1" s="80">
      <c r="A19" s="131" t="inlineStr">
        <is>
          <t>Kalite Skoru</t>
        </is>
      </c>
      <c r="B19" s="136">
        <f>ROUND(IF(TtkToplamGiris=0,0,TtkDoluGiris/TtkToplamGiris*100),0)</f>
        <v/>
      </c>
    </row>
    <row r="20" ht="15" customHeight="1" s="80">
      <c r="A20" s="144" t="inlineStr">
        <is>
          <t>Kalite Seviyesi</t>
        </is>
      </c>
      <c r="B20" s="142">
        <f>IF(B19&gt;=TtkKaliteIyi,"YÜKSEK",IF(B19&gt;=TtkKaliteOrta,"ORTA","DÜŞÜK"))</f>
        <v/>
      </c>
    </row>
    <row r="22" ht="19.5" customHeight="1" s="80">
      <c r="A22" s="126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4" text="" percent="0" bottom="0">
      <formula>"BOŞ VAR"</formula>
    </cfRule>
    <cfRule type="cellIs" rank="0" priority="3" equalAverage="0" operator="equal" aboveAverage="0" dxfId="14" text="" percent="0" bottom="0">
      <formula>"NEGATİF VAR"</formula>
    </cfRule>
    <cfRule type="cellIs" rank="0" priority="4" equalAverage="0" operator="equal" aboveAverage="0" dxfId="14" text="" percent="0" bottom="0">
      <formula>"SIFIR VAR"</formula>
    </cfRule>
    <cfRule type="cellIs" rank="0" priority="5" equalAverage="0" operator="equal" aboveAverage="0" dxfId="14" text="" percent="0" bottom="0">
      <formula>"EKSİK VAR"</formula>
    </cfRule>
    <cfRule type="cellIs" rank="0" priority="6" equalAverage="0" operator="equal" aboveAverage="0" dxfId="14" text="" percent="0" bottom="0">
      <formula>"AŞIYOR"</formula>
    </cfRule>
    <cfRule type="cellIs" rank="0" priority="7" equalAverage="0" operator="equal" aboveAverage="0" dxfId="14" text="" percent="0" bottom="0">
      <formula>"YÜKSEK"</formula>
    </cfRule>
    <cfRule type="cellIs" rank="0" priority="8" equalAverage="0" operator="equal" aboveAverage="0" dxfId="14" text="" percent="0" bottom="0">
      <formula>"VAR"</formula>
    </cfRule>
    <cfRule type="cellIs" rank="0" priority="9" equalAverage="0" operator="equal" aboveAverage="0" dxfId="13" text="" percent="0" bottom="0">
      <formula>"TEMİZ"</formula>
    </cfRule>
    <cfRule type="cellIs" rank="0" priority="10" equalAverage="0" operator="equal" aboveAverage="0" dxfId="13" text="" percent="0" bottom="0">
      <formula>"NORMAL"</formula>
    </cfRule>
    <cfRule type="cellIs" rank="0" priority="11" equalAverage="0" operator="equal" aboveAverage="0" dxfId="13" text="" percent="0" bottom="0">
      <formula>"YOK"</formula>
    </cfRule>
  </conditionalFormatting>
  <conditionalFormatting sqref="B19">
    <cfRule type="cellIs" rank="0" priority="12" equalAverage="0" operator="lessThan" aboveAverage="0" dxfId="11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Şirket Öz Kaynağı Eridi Mi? (TTK 376 Sermaye Tamamlama Cetveli)</t>
        </is>
      </c>
    </row>
    <row r="3" ht="15.75" customHeight="1" s="80">
      <c r="A3" s="113" t="inlineStr">
        <is>
          <t>Karar Kapısı — TTK 376 Sermaye Tamamlama</t>
        </is>
      </c>
    </row>
    <row r="4" ht="27.75" customHeight="1" s="80">
      <c r="A4" s="109" t="inlineStr">
        <is>
          <t>Sermaye kaybı eşikleri ve borca batıklık durumuna göre üretilen karar.</t>
        </is>
      </c>
    </row>
    <row r="6" ht="15" customHeight="1" s="80">
      <c r="A6" s="144" t="inlineStr">
        <is>
          <t>Dönem Sonu Öz Kaynak</t>
        </is>
      </c>
      <c r="B6" s="137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Borca Batıklık Durumu</t>
        </is>
      </c>
      <c r="B9" s="142">
        <f>HESAP!B26</f>
        <v/>
      </c>
    </row>
    <row r="11" ht="21" customHeight="1" s="80">
      <c r="A11" s="145" t="inlineStr">
        <is>
          <t>KARAR</t>
        </is>
      </c>
      <c r="B11" s="146">
        <f>IF(COUNTA(tblBilanco[Ay])=0,"VERİ YOK",IF(HESAP!B29="AŞIM VAR","İNCELE",IF(HESAP!B26="BORCA BATIK","DURDUR",IF(HESAP!B21&gt;=TtkUcteIkiEsik,"DURDUR",IF(HESAP!B21&gt;=TtkUcteBirEsik,"İNCELE","UYGUN")))))</f>
        <v/>
      </c>
    </row>
    <row r="12" ht="15" customHeight="1" s="80">
      <c r="A12" s="131" t="inlineStr">
        <is>
          <t>Gerekçe</t>
        </is>
      </c>
      <c r="B12" s="143">
        <f>IF(COUNTA(tblBilanco[Ay])=0,"Veri girişi yapılmamış; karar üretilemez.",IF(HESAP!B29="AŞIM VAR","Bilanço tutarları gerçekçilik üst sınırının üzerinde; verilerin doğru girildiği doğrulanmalı.",IF(HESAP!B26="BORCA BATIK","Öz kaynak negatif veya aktifler borçları karşılamıyor; TTK 376 kapsamında yönetim kurulu mahkemeye bildirim yükümlülüğü doğar.",IF(HESAP!B21&gt;=TtkUcteIkiEsik,"Sermayenin 2/3 ü kaybolmuş; genel kurul derhal toplanmalı, sermaye tamamlama veya infisah kararı alınmalı.",IF(HESAP!B21&gt;=TtkUcteBirEsik,"Sermayenin 1/3 ü kaybolmuş; genel kurul toplanıp tamamlama veya azaltım kararı alınmalı.","Öz kaynak sermayenin 1/3 ünden fazla erimemiş; TTK 376 kapsamında zorunlu önlem gerekmiyor.")))))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44" t="inlineStr">
        <is>
          <t>Aksiyon 1</t>
        </is>
      </c>
      <c r="B15" s="143">
        <f>TtkAksiyon1_ACIKLAMA</f>
        <v/>
      </c>
    </row>
    <row r="16" ht="15" customHeight="1" s="80">
      <c r="A16" s="144" t="inlineStr">
        <is>
          <t>Aksiyon 2</t>
        </is>
      </c>
      <c r="B16" s="143">
        <f>TtkAksiyon2_ACIKLAMA</f>
        <v/>
      </c>
    </row>
    <row r="17" ht="15" customHeight="1" s="80">
      <c r="A17" s="144" t="inlineStr">
        <is>
          <t>Aksiyon 3</t>
        </is>
      </c>
      <c r="B17" s="143">
        <f>TtkAksiyon3_ACIKLAMA</f>
        <v/>
      </c>
    </row>
    <row r="19" ht="19.5" customHeight="1" s="80">
      <c r="A19" s="126" t="inlineStr">
        <is>
          <t>Karar yalnızca giriş verisi ve AYARLAR'daki eşiklerden türetilir; kesin hukuki sonuç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6" text="" percent="0" bottom="0">
      <formula>"UYGUN"</formula>
    </cfRule>
    <cfRule type="cellIs" rank="0" priority="3" equalAverage="0" operator="equal" aboveAverage="0" dxfId="15" text="" percent="0" bottom="0">
      <formula>"İNCELE"</formula>
    </cfRule>
    <cfRule type="cellIs" rank="0" priority="4" equalAverage="0" operator="equal" aboveAverage="0" dxfId="14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conditionalFormatting sqref="B6">
    <cfRule type="cellIs" rank="0" priority="6" equalAverage="0" operator="lessThan" aboveAverage="0" dxfId="11" text="" percent="0" bottom="0">
      <formula>0</formula>
    </cfRule>
  </conditionalFormatting>
  <conditionalFormatting sqref="B8">
    <cfRule type="cellIs" rank="0" priority="7" equalAverage="0" operator="greaterThan" aboveAverage="0" dxfId="11" text="" percent="0" bottom="0">
      <formula>0.666667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Şirket Öz Kaynağı Eridi Mi? (TTK 376 Sermaye Tamamlama Cetveli)</t>
        </is>
      </c>
    </row>
    <row r="3" ht="15.75" customHeight="1" s="80">
      <c r="A3" s="113" t="inlineStr">
        <is>
          <t>Senaryo ve Duyarlılık Analizi</t>
        </is>
      </c>
    </row>
    <row r="4" ht="41.25" customHeight="1" s="80">
      <c r="A4" s="109" t="inlineStr">
        <is>
          <t>İyimser, baz ve kötümser senaryolarda kayıp oranı; ardından hangi değişkenin sonucu en çok etkilediğini gösteren tornado analizi.</t>
        </is>
      </c>
    </row>
    <row r="6" ht="15" customHeight="1" s="80">
      <c r="A6" s="156" t="inlineStr">
        <is>
          <t>Senaryo</t>
        </is>
      </c>
      <c r="B6" s="156" t="inlineStr">
        <is>
          <t>Dönem Zararı Çarpanı</t>
        </is>
      </c>
      <c r="C6" s="156" t="inlineStr">
        <is>
          <t>Kayıp Oranı</t>
        </is>
      </c>
      <c r="D6" s="156" t="inlineStr">
        <is>
          <t>Dönem Sonu Öz Kaynak</t>
        </is>
      </c>
    </row>
    <row r="7" ht="15" customHeight="1" s="80">
      <c r="A7" s="131" t="inlineStr">
        <is>
          <t>İYİMSER</t>
        </is>
      </c>
      <c r="B7" s="134">
        <f>IF(SUM(tblBilanco[Dönem Zararı (₺)])=0,0,TtkIyiSenaryo)</f>
        <v/>
      </c>
      <c r="C7" s="134">
        <f>IF(HESAP!B13=0,0,MAX(0,HESAP!B13-(HESAP!B19-HESAP!B18*(TtkIyiSenaryo-1)))/HESAP!B13)</f>
        <v/>
      </c>
      <c r="D7" s="133">
        <f>HESAP!B19-HESAP!B18*(TtkIyiSenaryo-1)</f>
        <v/>
      </c>
    </row>
    <row r="8" ht="15" customHeight="1" s="80">
      <c r="A8" s="131" t="inlineStr">
        <is>
          <t>BAZ</t>
        </is>
      </c>
      <c r="B8" s="134">
        <f>IF(SUM(tblBilanco[Dönem Zararı (₺)])=0,0,TtkBazSenaryo)</f>
        <v/>
      </c>
      <c r="C8" s="134">
        <f>IF(HESAP!B13=0,0,MAX(0,HESAP!B13-(HESAP!B19-HESAP!B18*(TtkBazSenaryo-1)))/HESAP!B13)</f>
        <v/>
      </c>
      <c r="D8" s="133">
        <f>HESAP!B19-HESAP!B18*(TtkBazSenaryo-1)</f>
        <v/>
      </c>
    </row>
    <row r="9" ht="15" customHeight="1" s="80">
      <c r="A9" s="131" t="inlineStr">
        <is>
          <t>KÖTÜMSER</t>
        </is>
      </c>
      <c r="B9" s="134">
        <f>IF(SUM(tblBilanco[Dönem Zararı (₺)])=0,0,TtkKotuSenaryo)</f>
        <v/>
      </c>
      <c r="C9" s="134">
        <f>IF(HESAP!B13=0,0,MAX(0,HESAP!B13-(HESAP!B19-HESAP!B18*(TtkKotuSenaryo-1)))/HESAP!B13)</f>
        <v/>
      </c>
      <c r="D9" s="133">
        <f>HESAP!B19-HESAP!B18*(TtkKotuSenaryo-1)</f>
        <v/>
      </c>
    </row>
    <row r="11" ht="15" customHeight="1" s="80">
      <c r="A11" s="110" t="inlineStr">
        <is>
          <t>Tornado: Kayıp Oranına Etki</t>
        </is>
      </c>
    </row>
    <row r="12" ht="15" customHeight="1" s="80">
      <c r="A12" s="144" t="inlineStr">
        <is>
          <t>Ödenmiş Sermaye +%1</t>
        </is>
      </c>
      <c r="B12" s="134">
        <f>IF(HESAP!B13=0,0,ABS(HESAP!B21-MAX(0,HESAP!B13*(1+TtkTornadoZarar)-HESAP!B19)/(HESAP!B13*(1+TtkTornadoZarar))))</f>
        <v/>
      </c>
    </row>
    <row r="13" ht="15" customHeight="1" s="80">
      <c r="A13" s="144" t="inlineStr">
        <is>
          <t>Dönem Zararı +%1</t>
        </is>
      </c>
      <c r="B13" s="134">
        <f>IF(HESAP!B13=0,0,ABS(HESAP!B21-MAX(0,HESAP!B13-(HESAP!B19-HESAP!B18*TtkTornadoZarar))/HESAP!B13))</f>
        <v/>
      </c>
    </row>
    <row r="15" ht="15" customHeight="1" s="80">
      <c r="A15" s="135" t="inlineStr">
        <is>
          <t>En Etkili Değişken</t>
        </is>
      </c>
      <c r="B15" s="139">
        <f>IF(B12&gt;=B13,"Ödenmiş Sermaye","Dönem Zararı")</f>
        <v/>
      </c>
    </row>
    <row r="17" ht="19.5" customHeight="1" s="80">
      <c r="A17" s="126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greaterThan" aboveAverage="0" dxfId="11" text="" percent="0" bottom="0">
      <formula>0.666667</formula>
    </cfRule>
    <cfRule type="cellIs" rank="0" priority="3" equalAverage="0" operator="between" aboveAverage="0" dxfId="12" text="" percent="0" bottom="0">
      <formula>0.333333</formula>
      <formula>0.666667</formula>
    </cfRule>
    <cfRule type="cellIs" rank="0" priority="4" equalAverage="0" operator="lessThan" aboveAverage="0" dxfId="13" text="" percent="0" bottom="0">
      <formula>0.333333</formula>
    </cfRule>
  </conditionalFormatting>
  <conditionalFormatting sqref="D7:D9">
    <cfRule type="cellIs" rank="0" priority="5" equalAverage="0" operator="lessThan" aboveAverage="0" dxfId="11" text="" percent="0" bottom="0">
      <formula>0</formula>
    </cfRule>
  </conditionalFormatting>
  <conditionalFormatting sqref="B12:B13">
    <cfRule type="cellIs" rank="0" priority="6" equalAverage="0" operator="greaterThan" aboveAverage="0" dxfId="12" text="" percent="0" bottom="0">
      <formula>0.05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7" t="inlineStr">
        <is>
          <t>ŞİRKET ÖZ KAYNAĞI — TTK 376 SERMAYE TAMAMLAMA YÖNETİCİ ÖZETİ</t>
        </is>
      </c>
    </row>
    <row r="2" ht="15" customHeight="1" s="80">
      <c r="A2" s="158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6">
        <f>KARAR!B11</f>
        <v/>
      </c>
    </row>
    <row r="6" ht="15" customHeight="1" s="80">
      <c r="A6" s="144" t="inlineStr">
        <is>
          <t>Dönem Sonu Öz Kaynak</t>
        </is>
      </c>
      <c r="B6" s="133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1/3 Sermaye Kaybı Eşiği</t>
        </is>
      </c>
      <c r="B9" s="133">
        <f>HESAP!B22</f>
        <v/>
      </c>
    </row>
    <row r="10" ht="15" customHeight="1" s="80">
      <c r="A10" s="144" t="inlineStr">
        <is>
          <t>2/3 Sermaye Kaybı Eşiği</t>
        </is>
      </c>
      <c r="B10" s="133">
        <f>HESAP!B23</f>
        <v/>
      </c>
    </row>
    <row r="11" ht="15" customHeight="1" s="80">
      <c r="A11" s="144" t="inlineStr">
        <is>
          <t>Borca Batıklık Durumu</t>
        </is>
      </c>
      <c r="B11" s="142">
        <f>HESAP!B26</f>
        <v/>
      </c>
    </row>
    <row r="12" ht="15" customHeight="1" s="80">
      <c r="A12" s="144" t="inlineStr">
        <is>
          <t>Toplam Borç</t>
        </is>
      </c>
      <c r="B12" s="133">
        <f>HESAP!B24</f>
        <v/>
      </c>
    </row>
    <row r="13" ht="15" customHeight="1" s="80">
      <c r="A13" s="144" t="inlineStr">
        <is>
          <t>Öz Kaynak / Aktif Oranı</t>
        </is>
      </c>
      <c r="B13" s="134">
        <f>HESAP!B27</f>
        <v/>
      </c>
    </row>
    <row r="14" ht="15" customHeight="1" s="80">
      <c r="A14" s="144" t="inlineStr">
        <is>
          <t>Borç Yoğunlaşması (HHI)</t>
        </is>
      </c>
      <c r="B14" s="159">
        <f>ANALITIK_MOTOR!C11</f>
        <v/>
      </c>
    </row>
    <row r="15" ht="15" customHeight="1" s="80">
      <c r="A15" s="144" t="inlineStr">
        <is>
          <t>Kalite Skoru</t>
        </is>
      </c>
      <c r="B15" s="132">
        <f>KONTROLLER!B19</f>
        <v/>
      </c>
    </row>
    <row r="17" ht="15" customHeight="1" s="80">
      <c r="A17" s="152" t="inlineStr">
        <is>
          <t>Varsayımlar ve Önemli Notlar</t>
        </is>
      </c>
    </row>
    <row r="18" ht="15" customHeight="1" s="80">
      <c r="A18" s="111" t="inlineStr">
        <is>
          <t>• Öz kaynak, ödenmiş sermaye + yedekler + geçmiş yıl kârı - geçmiş yıl zararı + dönem kârı - dönem zararı olarak hesaplanır.</t>
        </is>
      </c>
    </row>
    <row r="19" ht="15" customHeight="1" s="80">
      <c r="A19" s="111" t="inlineStr">
        <is>
          <t>• Sermaye kaybı eşikleri (1/3 ve 2/3) TTK 376 kapsamında değerlendirilir; kesin hukuki sonuç, genel kurul kararı ve tescil sürecine bağlıdır.</t>
        </is>
      </c>
    </row>
    <row r="20" ht="15" customHeight="1" s="80">
      <c r="A20" s="111" t="inlineStr">
        <is>
          <t>• Borca batıklık: öz kaynak negatif ise veya aktifler borçları karşılamıyorsa işaretlenir; bu durumda yönetim kurulu bildirim yükümlülüğü değerlendirilmelidir.</t>
        </is>
      </c>
    </row>
    <row r="21" ht="15" customHeight="1" s="80">
      <c r="A21" s="111" t="inlineStr">
        <is>
          <t>• Bu dosya hukuki ve mali müşavir görüşü yerine geçmez; mahkeme ve genel kurul süreçleri için uzman desteği gerektirir.</t>
        </is>
      </c>
    </row>
    <row r="22" ht="15" customHeight="1" s="80">
      <c r="A22" s="111" t="inlineStr">
        <is>
          <t>• Demo veriler gerçek müşteri verisi değildir; kullanımdan önce temizlenmelidir.</t>
        </is>
      </c>
    </row>
    <row r="24" ht="15" customHeight="1" s="80">
      <c r="A24" s="152" t="inlineStr">
        <is>
          <t>Önerilen Aksiyonlar</t>
        </is>
      </c>
    </row>
    <row r="25" ht="15" customHeight="1" s="80">
      <c r="A25" s="111">
        <f>TtkAksiyon1_ACIKLAMA</f>
        <v/>
      </c>
    </row>
    <row r="26" ht="15" customHeight="1" s="80">
      <c r="A26" s="111">
        <f>TtkAksiyon2_ACIKLAMA</f>
        <v/>
      </c>
    </row>
    <row r="27" ht="15" customHeight="1" s="80">
      <c r="A27" s="111">
        <f>TtkAksiyon3_ACIKLAMA</f>
        <v/>
      </c>
    </row>
    <row r="29" ht="21.75" customHeight="1" s="80">
      <c r="A29" s="160" t="inlineStr">
        <is>
          <t>Bu rapor karar destek amaçlıdır; hukuki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22:L22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&amp;LŞirket Öz Kaynağı Eridi Mi? (TTK 376 Sermaye Tamamlama Cetveli)&amp;CExcelArşiv&amp;RSayfa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8" customWidth="1" style="106" min="2" max="2"/>
    <col width="14" customWidth="1" style="106" min="3" max="3"/>
    <col width="18" customWidth="1" style="106" min="4" max="5"/>
    <col width="14" customWidth="1" style="106" min="6" max="7"/>
    <col width="16" customWidth="1" style="106" min="8" max="9"/>
    <col width="16" customWidth="1" style="106" min="14" max="14"/>
    <col width="14" customWidth="1" style="106" min="15" max="15"/>
    <col width="12" customWidth="1" style="106" min="16" max="16"/>
    <col width="20" customWidth="1" style="106" min="17" max="17"/>
    <col width="24" customWidth="1" style="106" min="18" max="18"/>
    <col width="20" customWidth="1" style="106" min="19" max="19"/>
    <col width="18" customWidth="1" style="106" min="20" max="20"/>
    <col width="16" customWidth="1" style="106" min="21" max="21"/>
  </cols>
  <sheetData>
    <row r="1" ht="25.5" customHeight="1" s="80">
      <c r="A1" s="107" t="inlineStr">
        <is>
          <t>ORNEK VERI — Şirket Öz Kaynağı Eridi Mi? (TTK 376 Sermaye Tamamlama Cetveli)</t>
        </is>
      </c>
    </row>
    <row r="3" ht="35.25" customHeight="1" s="80">
      <c r="A3" s="110" t="inlineStr">
        <is>
          <t>Örnek Veri (Demo)</t>
        </is>
      </c>
      <c r="N3" s="161" t="inlineStr">
        <is>
          <t>Borç Listesi (Demo)</t>
        </is>
      </c>
    </row>
    <row r="4" ht="149.2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  <c r="N5" s="118" t="inlineStr">
        <is>
          <t>Borç Kodu</t>
        </is>
      </c>
      <c r="O5" s="118" t="inlineStr">
        <is>
          <t>Borç Türü</t>
        </is>
      </c>
      <c r="P5" s="118" t="inlineStr">
        <is>
          <t>Alacaklı</t>
        </is>
      </c>
      <c r="Q5" s="118" t="inlineStr">
        <is>
          <t>Borç Tutarı (₺)</t>
        </is>
      </c>
      <c r="R5" s="118" t="inlineStr">
        <is>
          <t>Yıllık Faiz Oranı</t>
        </is>
      </c>
      <c r="S5" s="118" t="inlineStr">
        <is>
          <t>Teminat Var mı?</t>
        </is>
      </c>
      <c r="T5" s="118" t="inlineStr">
        <is>
          <t>Açıklama</t>
        </is>
      </c>
      <c r="U5" s="118" t="inlineStr">
        <is>
          <t>Faiz Yükü (₺)</t>
        </is>
      </c>
    </row>
    <row r="6" ht="15.75" customHeight="1" s="80">
      <c r="A6" s="162" t="inlineStr">
        <is>
          <t>2026-01</t>
        </is>
      </c>
      <c r="B6" s="163" t="n">
        <v>5000000</v>
      </c>
      <c r="C6" s="163" t="n">
        <v>800000</v>
      </c>
      <c r="D6" s="163" t="n">
        <v>200000</v>
      </c>
      <c r="E6" s="163" t="n">
        <v>0</v>
      </c>
      <c r="F6" s="163" t="n">
        <v>350000</v>
      </c>
      <c r="G6" s="163" t="n">
        <v>0</v>
      </c>
      <c r="H6" s="163" t="n">
        <v>6200000</v>
      </c>
      <c r="I6" s="163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  <c r="N6" s="162" t="inlineStr">
        <is>
          <t>B-1001</t>
        </is>
      </c>
      <c r="O6" s="162" t="inlineStr">
        <is>
          <t>Banka Kredisi</t>
        </is>
      </c>
      <c r="P6" s="162" t="inlineStr">
        <is>
          <t>ABC Bank</t>
        </is>
      </c>
      <c r="Q6" s="163" t="n">
        <v>3500000</v>
      </c>
      <c r="R6" s="164" t="n">
        <v>0.3</v>
      </c>
      <c r="S6" s="162" t="inlineStr">
        <is>
          <t>Evet</t>
        </is>
      </c>
      <c r="T6" s="162" t="inlineStr">
        <is>
          <t>İşletme kredisi</t>
        </is>
      </c>
      <c r="U6" s="122">
        <f>IF($N6="","",$Q6*$R6)</f>
        <v/>
      </c>
    </row>
    <row r="7" ht="15.75" customHeight="1" s="80">
      <c r="A7" s="162" t="inlineStr">
        <is>
          <t>2026-02</t>
        </is>
      </c>
      <c r="B7" s="163" t="n">
        <v>5000000</v>
      </c>
      <c r="C7" s="163" t="n">
        <v>800000</v>
      </c>
      <c r="D7" s="163" t="n">
        <v>200000</v>
      </c>
      <c r="E7" s="163" t="n">
        <v>0</v>
      </c>
      <c r="F7" s="163" t="n">
        <v>180000</v>
      </c>
      <c r="G7" s="163" t="n">
        <v>0</v>
      </c>
      <c r="H7" s="163" t="n">
        <v>6500000</v>
      </c>
      <c r="I7" s="163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  <c r="N7" s="162" t="inlineStr">
        <is>
          <t>B-1002</t>
        </is>
      </c>
      <c r="O7" s="162" t="inlineStr">
        <is>
          <t>Tedarikçi Borcu</t>
        </is>
      </c>
      <c r="P7" s="162" t="inlineStr">
        <is>
          <t>Tedarikçi X</t>
        </is>
      </c>
      <c r="Q7" s="163" t="n">
        <v>1200000</v>
      </c>
      <c r="R7" s="164" t="n">
        <v>0</v>
      </c>
      <c r="S7" s="162" t="inlineStr">
        <is>
          <t>Hayır</t>
        </is>
      </c>
      <c r="T7" s="162" t="inlineStr">
        <is>
          <t>Vadeli alım</t>
        </is>
      </c>
      <c r="U7" s="122">
        <f>IF($N7="","",$Q7*$R7)</f>
        <v/>
      </c>
    </row>
    <row r="8" ht="15.75" customHeight="1" s="80">
      <c r="A8" s="162" t="inlineStr">
        <is>
          <t>2026-03</t>
        </is>
      </c>
      <c r="B8" s="163" t="n">
        <v>5000000</v>
      </c>
      <c r="C8" s="163" t="n">
        <v>800000</v>
      </c>
      <c r="D8" s="163" t="n">
        <v>200000</v>
      </c>
      <c r="E8" s="163" t="n">
        <v>0</v>
      </c>
      <c r="F8" s="163" t="n">
        <v>90000</v>
      </c>
      <c r="G8" s="163" t="n">
        <v>0</v>
      </c>
      <c r="H8" s="163" t="n">
        <v>6900000</v>
      </c>
      <c r="I8" s="163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  <c r="N8" s="162" t="inlineStr">
        <is>
          <t>B-1003</t>
        </is>
      </c>
      <c r="O8" s="162" t="inlineStr">
        <is>
          <t>Tahvil</t>
        </is>
      </c>
      <c r="P8" s="162" t="inlineStr">
        <is>
          <t>Kurumsal Tahvil</t>
        </is>
      </c>
      <c r="Q8" s="163" t="n">
        <v>2000000</v>
      </c>
      <c r="R8" s="164" t="n">
        <v>0.28</v>
      </c>
      <c r="S8" s="162" t="inlineStr">
        <is>
          <t>Hayır</t>
        </is>
      </c>
      <c r="T8" s="162" t="inlineStr">
        <is>
          <t>Kurumsal tahvil</t>
        </is>
      </c>
      <c r="U8" s="122">
        <f>IF($N8="","",$Q8*$R8)</f>
        <v/>
      </c>
    </row>
    <row r="9" ht="15.75" customHeight="1" s="80">
      <c r="A9" s="162" t="inlineStr">
        <is>
          <t>2026-04</t>
        </is>
      </c>
      <c r="B9" s="163" t="n">
        <v>5000000</v>
      </c>
      <c r="C9" s="163" t="n">
        <v>800000</v>
      </c>
      <c r="D9" s="163" t="n">
        <v>200000</v>
      </c>
      <c r="E9" s="163" t="n">
        <v>0</v>
      </c>
      <c r="F9" s="163" t="n">
        <v>0</v>
      </c>
      <c r="G9" s="163" t="n">
        <v>150000</v>
      </c>
      <c r="H9" s="163" t="n">
        <v>7200000</v>
      </c>
      <c r="I9" s="163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  <c r="N9" s="162" t="inlineStr">
        <is>
          <t>B-1004</t>
        </is>
      </c>
      <c r="O9" s="162" t="inlineStr">
        <is>
          <t>Ortak Borcu</t>
        </is>
      </c>
      <c r="P9" s="162" t="inlineStr">
        <is>
          <t>Ortak A</t>
        </is>
      </c>
      <c r="Q9" s="163" t="n">
        <v>1800000</v>
      </c>
      <c r="R9" s="164" t="n">
        <v>0.2</v>
      </c>
      <c r="S9" s="162" t="inlineStr">
        <is>
          <t>Hayır</t>
        </is>
      </c>
      <c r="T9" s="162" t="inlineStr">
        <is>
          <t>Ortak avansı</t>
        </is>
      </c>
      <c r="U9" s="122">
        <f>IF($N9="","",$Q9*$R9)</f>
        <v/>
      </c>
    </row>
    <row r="10" ht="15.75" customHeight="1" s="80">
      <c r="A10" s="162" t="inlineStr">
        <is>
          <t>2026-05</t>
        </is>
      </c>
      <c r="B10" s="163" t="n">
        <v>5000000</v>
      </c>
      <c r="C10" s="163" t="n">
        <v>800000</v>
      </c>
      <c r="D10" s="163" t="n">
        <v>200000</v>
      </c>
      <c r="E10" s="163" t="n">
        <v>0</v>
      </c>
      <c r="F10" s="163" t="n">
        <v>0</v>
      </c>
      <c r="G10" s="163" t="n">
        <v>320000</v>
      </c>
      <c r="H10" s="163" t="n">
        <v>7500000</v>
      </c>
      <c r="I10" s="163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  <c r="N10" s="162" t="inlineStr">
        <is>
          <t>B-1005</t>
        </is>
      </c>
      <c r="O10" s="162" t="inlineStr">
        <is>
          <t>Finansal Kiralama</t>
        </is>
      </c>
      <c r="P10" s="162" t="inlineStr">
        <is>
          <t>Kiralama A.Ş.</t>
        </is>
      </c>
      <c r="Q10" s="163" t="n">
        <v>900000</v>
      </c>
      <c r="R10" s="164" t="n">
        <v>0.24</v>
      </c>
      <c r="S10" s="162" t="inlineStr">
        <is>
          <t>Evet</t>
        </is>
      </c>
      <c r="T10" s="162" t="inlineStr">
        <is>
          <t>Araç kiralaması</t>
        </is>
      </c>
      <c r="U10" s="122">
        <f>IF($N10="","",$Q10*$R10)</f>
        <v/>
      </c>
    </row>
    <row r="11" ht="15.75" customHeight="1" s="80">
      <c r="A11" s="162" t="inlineStr">
        <is>
          <t>2026-06</t>
        </is>
      </c>
      <c r="B11" s="163" t="n">
        <v>5000000</v>
      </c>
      <c r="C11" s="163" t="n">
        <v>800000</v>
      </c>
      <c r="D11" s="163" t="n">
        <v>200000</v>
      </c>
      <c r="E11" s="163" t="n">
        <v>0</v>
      </c>
      <c r="F11" s="163" t="n">
        <v>0</v>
      </c>
      <c r="G11" s="163" t="n">
        <v>480000</v>
      </c>
      <c r="H11" s="163" t="n">
        <v>7900000</v>
      </c>
      <c r="I11" s="163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  <c r="N11" s="162" t="inlineStr">
        <is>
          <t>B-1006</t>
        </is>
      </c>
      <c r="O11" s="162" t="inlineStr">
        <is>
          <t>Banka Kredisi</t>
        </is>
      </c>
      <c r="P11" s="162" t="inlineStr">
        <is>
          <t>XYZ Bank</t>
        </is>
      </c>
      <c r="Q11" s="163" t="n">
        <v>1500000</v>
      </c>
      <c r="R11" s="164" t="n">
        <v>0.32</v>
      </c>
      <c r="S11" s="162" t="inlineStr">
        <is>
          <t>Evet</t>
        </is>
      </c>
      <c r="T11" s="162" t="inlineStr">
        <is>
          <t>Yatırım kredisi</t>
        </is>
      </c>
      <c r="U11" s="122">
        <f>IF($N11="","",$Q11*$R11)</f>
        <v/>
      </c>
    </row>
    <row r="12" ht="15" customHeight="1" s="80">
      <c r="J12" s="124">
        <f>IF($A12="","",$B12+$C12+$D12-$E12+$F12-$G12)</f>
        <v/>
      </c>
      <c r="K12" s="124">
        <f>IF($A12="","",MAX(0,$B12-$J12))</f>
        <v/>
      </c>
      <c r="L12" s="124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  <c r="U12" s="124">
        <f>IF($N12="","",$Q12*$R12)</f>
        <v/>
      </c>
    </row>
    <row r="13" ht="15" customHeight="1" s="80">
      <c r="J13" s="124">
        <f>IF($A13="","",$B13+$C13+$D13-$E13+$F13-$G13)</f>
        <v/>
      </c>
      <c r="K13" s="124">
        <f>IF($A13="","",MAX(0,$B13-$J13))</f>
        <v/>
      </c>
      <c r="L13" s="124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  <c r="U13" s="124">
        <f>IF($N13="","",$Q13*$R13)</f>
        <v/>
      </c>
    </row>
    <row r="14" ht="15" customHeight="1" s="80">
      <c r="J14" s="124">
        <f>IF($A14="","",$B14+$C14+$D14-$E14+$F14-$G14)</f>
        <v/>
      </c>
      <c r="K14" s="124">
        <f>IF($A14="","",MAX(0,$B14-$J14))</f>
        <v/>
      </c>
      <c r="L14" s="124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  <c r="U14" s="124">
        <f>IF($N14="","",$Q14*$R14)</f>
        <v/>
      </c>
    </row>
    <row r="15" ht="15" customHeight="1" s="80">
      <c r="J15" s="124">
        <f>IF($A15="","",$B15+$C15+$D15-$E15+$F15-$G15)</f>
        <v/>
      </c>
      <c r="K15" s="124">
        <f>IF($A15="","",MAX(0,$B15-$J15))</f>
        <v/>
      </c>
      <c r="L15" s="124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  <c r="U15" s="124">
        <f>IF($N15="","",$Q15*$R15)</f>
        <v/>
      </c>
    </row>
    <row r="16" ht="15" customHeight="1" s="80">
      <c r="J16" s="124">
        <f>IF($A16="","",$B16+$C16+$D16-$E16+$F16-$G16)</f>
        <v/>
      </c>
      <c r="K16" s="124">
        <f>IF($A16="","",MAX(0,$B16-$J16))</f>
        <v/>
      </c>
      <c r="L16" s="124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  <c r="U16" s="124">
        <f>IF($N16="","",$Q16*$R16)</f>
        <v/>
      </c>
    </row>
    <row r="17" ht="15" customHeight="1" s="80">
      <c r="J17" s="124">
        <f>IF($A17="","",$B17+$C17+$D17-$E17+$F17-$G17)</f>
        <v/>
      </c>
      <c r="K17" s="124">
        <f>IF($A17="","",MAX(0,$B17-$J17))</f>
        <v/>
      </c>
      <c r="L17" s="124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  <c r="U17" s="124">
        <f>IF($N17="","",$Q17*$R17)</f>
        <v/>
      </c>
    </row>
    <row r="18" ht="15" customHeight="1" s="80">
      <c r="J18" s="124">
        <f>IF($A18="","",$B18+$C18+$D18-$E18+$F18-$G18)</f>
        <v/>
      </c>
      <c r="K18" s="124">
        <f>IF($A18="","",MAX(0,$B18-$J18))</f>
        <v/>
      </c>
      <c r="L18" s="124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  <c r="U18" s="124">
        <f>IF($N18="","",$Q18*$R18)</f>
        <v/>
      </c>
    </row>
    <row r="19" ht="15" customHeight="1" s="80">
      <c r="J19" s="124">
        <f>IF($A19="","",$B19+$C19+$D19-$E19+$F19-$G19)</f>
        <v/>
      </c>
      <c r="K19" s="124">
        <f>IF($A19="","",MAX(0,$B19-$J19))</f>
        <v/>
      </c>
      <c r="L19" s="124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  <c r="U19" s="124">
        <f>IF($N19="","",$Q19*$R19)</f>
        <v/>
      </c>
    </row>
    <row r="20" ht="15" customHeight="1" s="80">
      <c r="J20" s="124">
        <f>IF($A20="","",$B20+$C20+$D20-$E20+$F20-$G20)</f>
        <v/>
      </c>
      <c r="K20" s="124">
        <f>IF($A20="","",MAX(0,$B20-$J20))</f>
        <v/>
      </c>
      <c r="L20" s="124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  <c r="U20" s="124">
        <f>IF($N20="","",$Q20*$R20)</f>
        <v/>
      </c>
    </row>
    <row r="21" ht="15" customHeight="1" s="80">
      <c r="J21" s="124">
        <f>IF($A21="","",$B21+$C21+$D21-$E21+$F21-$G21)</f>
        <v/>
      </c>
      <c r="K21" s="124">
        <f>IF($A21="","",MAX(0,$B21-$J21))</f>
        <v/>
      </c>
      <c r="L21" s="124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  <c r="U21" s="124">
        <f>IF($N21="","",$Q21*$R21)</f>
        <v/>
      </c>
    </row>
    <row r="22" ht="15" customHeight="1" s="80">
      <c r="J22" s="124">
        <f>IF($A22="","",$B22+$C22+$D22-$E22+$F22-$G22)</f>
        <v/>
      </c>
      <c r="K22" s="124">
        <f>IF($A22="","",MAX(0,$B22-$J22))</f>
        <v/>
      </c>
      <c r="L22" s="124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  <c r="U22" s="124">
        <f>IF($N22="","",$Q22*$R22)</f>
        <v/>
      </c>
    </row>
    <row r="23" ht="15" customHeight="1" s="80">
      <c r="J23" s="124">
        <f>IF($A23="","",$B23+$C23+$D23-$E23+$F23-$G23)</f>
        <v/>
      </c>
      <c r="K23" s="124">
        <f>IF($A23="","",MAX(0,$B23-$J23))</f>
        <v/>
      </c>
      <c r="L23" s="124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  <c r="U23" s="124">
        <f>IF($N23="","",$Q23*$R23)</f>
        <v/>
      </c>
    </row>
    <row r="24" ht="15" customHeight="1" s="80">
      <c r="J24" s="124">
        <f>IF($A24="","",$B24+$C24+$D24-$E24+$F24-$G24)</f>
        <v/>
      </c>
      <c r="K24" s="124">
        <f>IF($A24="","",MAX(0,$B24-$J24))</f>
        <v/>
      </c>
      <c r="L24" s="124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  <c r="U24" s="124">
        <f>IF($N24="","",$Q24*$R24)</f>
        <v/>
      </c>
    </row>
    <row r="25" ht="15" customHeight="1" s="80">
      <c r="J25" s="124">
        <f>IF($A25="","",$B25+$C25+$D25-$E25+$F25-$G25)</f>
        <v/>
      </c>
      <c r="K25" s="124">
        <f>IF($A25="","",MAX(0,$B25-$J25))</f>
        <v/>
      </c>
      <c r="L25" s="124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  <c r="U25" s="124">
        <f>IF($N25="","",$Q25*$R25)</f>
        <v/>
      </c>
    </row>
    <row r="26" ht="15" customHeight="1" s="80">
      <c r="J26" s="124">
        <f>IF($A26="","",$B26+$C26+$D26-$E26+$F26-$G26)</f>
        <v/>
      </c>
      <c r="K26" s="124">
        <f>IF($A26="","",MAX(0,$B26-$J26))</f>
        <v/>
      </c>
      <c r="L26" s="124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  <c r="U26" s="124">
        <f>IF($N26="","",$Q26*$R26)</f>
        <v/>
      </c>
    </row>
    <row r="27" ht="15" customHeight="1" s="80">
      <c r="J27" s="124">
        <f>IF($A27="","",$B27+$C27+$D27-$E27+$F27-$G27)</f>
        <v/>
      </c>
      <c r="K27" s="124">
        <f>IF($A27="","",MAX(0,$B27-$J27))</f>
        <v/>
      </c>
      <c r="L27" s="124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  <c r="U27" s="124">
        <f>IF($N27="","",$Q27*$R27)</f>
        <v/>
      </c>
    </row>
    <row r="28" ht="15" customHeight="1" s="80">
      <c r="J28" s="124">
        <f>IF($A28="","",$B28+$C28+$D28-$E28+$F28-$G28)</f>
        <v/>
      </c>
      <c r="K28" s="124">
        <f>IF($A28="","",MAX(0,$B28-$J28))</f>
        <v/>
      </c>
      <c r="L28" s="124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  <c r="U28" s="124">
        <f>IF($N28="","",$Q28*$R28)</f>
        <v/>
      </c>
    </row>
    <row r="29" ht="15" customHeight="1" s="80">
      <c r="J29" s="124">
        <f>IF($A29="","",$B29+$C29+$D29-$E29+$F29-$G29)</f>
        <v/>
      </c>
      <c r="K29" s="124">
        <f>IF($A29="","",MAX(0,$B29-$J29))</f>
        <v/>
      </c>
      <c r="L29" s="124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  <c r="U29" s="124">
        <f>IF($N29="","",$Q29*$R29)</f>
        <v/>
      </c>
    </row>
    <row r="30" ht="15" customHeight="1" s="80">
      <c r="J30" s="124">
        <f>IF($A30="","",$B30+$C30+$D30-$E30+$F30-$G30)</f>
        <v/>
      </c>
      <c r="K30" s="124">
        <f>IF($A30="","",MAX(0,$B30-$J30))</f>
        <v/>
      </c>
      <c r="L30" s="124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  <c r="U30" s="124">
        <f>IF($N30="","",$Q30*$R30)</f>
        <v/>
      </c>
    </row>
    <row r="31" ht="15" customHeight="1" s="80">
      <c r="J31" s="124">
        <f>IF($A31="","",$B31+$C31+$D31-$E31+$F31-$G31)</f>
        <v/>
      </c>
      <c r="K31" s="124">
        <f>IF($A31="","",MAX(0,$B31-$J31))</f>
        <v/>
      </c>
      <c r="L31" s="124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  <c r="U31" s="124">
        <f>IF($N31="","",$Q31*$R31)</f>
        <v/>
      </c>
    </row>
    <row r="32" ht="15" customHeight="1" s="80">
      <c r="J32" s="124">
        <f>IF($A32="","",$B32+$C32+$D32-$E32+$F32-$G32)</f>
        <v/>
      </c>
      <c r="K32" s="124">
        <f>IF($A32="","",MAX(0,$B32-$J32))</f>
        <v/>
      </c>
      <c r="L32" s="124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  <c r="U32" s="124">
        <f>IF($N32="","",$Q32*$R32)</f>
        <v/>
      </c>
    </row>
    <row r="33" ht="15" customHeight="1" s="80">
      <c r="J33" s="124">
        <f>IF($A33="","",$B33+$C33+$D33-$E33+$F33-$G33)</f>
        <v/>
      </c>
      <c r="K33" s="124">
        <f>IF($A33="","",MAX(0,$B33-$J33))</f>
        <v/>
      </c>
      <c r="L33" s="124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  <c r="U33" s="124">
        <f>IF($N33="","",$Q33*$R33)</f>
        <v/>
      </c>
    </row>
    <row r="34" ht="15" customHeight="1" s="80">
      <c r="J34" s="124">
        <f>IF($A34="","",$B34+$C34+$D34-$E34+$F34-$G34)</f>
        <v/>
      </c>
      <c r="K34" s="124">
        <f>IF($A34="","",MAX(0,$B34-$J34))</f>
        <v/>
      </c>
      <c r="L34" s="124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  <c r="U34" s="124">
        <f>IF($N34="","",$Q34*$R34)</f>
        <v/>
      </c>
    </row>
    <row r="35" ht="15" customHeight="1" s="80">
      <c r="J35" s="124">
        <f>IF($A35="","",$B35+$C35+$D35-$E35+$F35-$G35)</f>
        <v/>
      </c>
      <c r="K35" s="124">
        <f>IF($A35="","",MAX(0,$B35-$J35))</f>
        <v/>
      </c>
      <c r="L35" s="124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  <c r="U35" s="124">
        <f>IF($N35="","",$Q35*$R35)</f>
        <v/>
      </c>
    </row>
    <row r="36" ht="15" customHeight="1" s="80">
      <c r="J36" s="124">
        <f>IF($A36="","",$B36+$C36+$D36-$E36+$F36-$G36)</f>
        <v/>
      </c>
      <c r="K36" s="124">
        <f>IF($A36="","",MAX(0,$B36-$J36))</f>
        <v/>
      </c>
      <c r="L36" s="124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  <c r="U36" s="124">
        <f>IF($N36="","",$Q36*$R36)</f>
        <v/>
      </c>
    </row>
    <row r="37" ht="15" customHeight="1" s="80">
      <c r="J37" s="124">
        <f>IF($A37="","",$B37+$C37+$D37-$E37+$F37-$G37)</f>
        <v/>
      </c>
      <c r="K37" s="124">
        <f>IF($A37="","",MAX(0,$B37-$J37))</f>
        <v/>
      </c>
      <c r="L37" s="124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  <c r="U37" s="124">
        <f>IF($N37="","",$Q37*$R37)</f>
        <v/>
      </c>
    </row>
    <row r="38" ht="15" customHeight="1" s="80">
      <c r="J38" s="124">
        <f>IF($A38="","",$B38+$C38+$D38-$E38+$F38-$G38)</f>
        <v/>
      </c>
      <c r="K38" s="124">
        <f>IF($A38="","",MAX(0,$B38-$J38))</f>
        <v/>
      </c>
      <c r="L38" s="124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  <c r="U38" s="124">
        <f>IF($N38="","",$Q38*$R38)</f>
        <v/>
      </c>
    </row>
    <row r="39" ht="15" customHeight="1" s="80">
      <c r="J39" s="124">
        <f>IF($A39="","",$B39+$C39+$D39-$E39+$F39-$G39)</f>
        <v/>
      </c>
      <c r="K39" s="124">
        <f>IF($A39="","",MAX(0,$B39-$J39))</f>
        <v/>
      </c>
      <c r="L39" s="124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  <c r="U39" s="124">
        <f>IF($N39="","",$Q39*$R39)</f>
        <v/>
      </c>
    </row>
    <row r="40" ht="15" customHeight="1" s="80">
      <c r="J40" s="124">
        <f>IF($A40="","",$B40+$C40+$D40-$E40+$F40-$G40)</f>
        <v/>
      </c>
      <c r="K40" s="124">
        <f>IF($A40="","",MAX(0,$B40-$J40))</f>
        <v/>
      </c>
      <c r="L40" s="124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  <c r="U40" s="124">
        <f>IF($N40="","",$Q40*$R40)</f>
        <v/>
      </c>
    </row>
    <row r="41" ht="15" customHeight="1" s="80">
      <c r="J41" s="124">
        <f>IF($A41="","",$B41+$C41+$D41-$E41+$F41-$G41)</f>
        <v/>
      </c>
      <c r="K41" s="124">
        <f>IF($A41="","",MAX(0,$B41-$J41))</f>
        <v/>
      </c>
      <c r="L41" s="124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  <c r="U41" s="124">
        <f>IF($N41="","",$Q41*$R41)</f>
        <v/>
      </c>
    </row>
    <row r="42" ht="15" customHeight="1" s="80">
      <c r="J42" s="124">
        <f>IF($A42="","",$B42+$C42+$D42-$E42+$F42-$G42)</f>
        <v/>
      </c>
      <c r="K42" s="124">
        <f>IF($A42="","",MAX(0,$B42-$J42))</f>
        <v/>
      </c>
      <c r="L42" s="124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  <c r="U42" s="124">
        <f>IF($N42="","",$Q42*$R42)</f>
        <v/>
      </c>
    </row>
    <row r="43" ht="15" customHeight="1" s="80">
      <c r="J43" s="124">
        <f>IF($A43="","",$B43+$C43+$D43-$E43+$F43-$G43)</f>
        <v/>
      </c>
      <c r="K43" s="124">
        <f>IF($A43="","",MAX(0,$B43-$J43))</f>
        <v/>
      </c>
      <c r="L43" s="124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  <c r="U43" s="124">
        <f>IF($N43="","",$Q43*$R43)</f>
        <v/>
      </c>
    </row>
    <row r="44" ht="15" customHeight="1" s="80">
      <c r="J44" s="124">
        <f>IF($A44="","",$B44+$C44+$D44-$E44+$F44-$G44)</f>
        <v/>
      </c>
      <c r="K44" s="124">
        <f>IF($A44="","",MAX(0,$B44-$J44))</f>
        <v/>
      </c>
      <c r="L44" s="124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  <c r="U44" s="124">
        <f>IF($N44="","",$Q44*$R44)</f>
        <v/>
      </c>
    </row>
    <row r="45" ht="15" customHeight="1" s="80">
      <c r="J45" s="124">
        <f>IF($A45="","",$B45+$C45+$D45-$E45+$F45-$G45)</f>
        <v/>
      </c>
      <c r="K45" s="124">
        <f>IF($A45="","",MAX(0,$B45-$J45))</f>
        <v/>
      </c>
      <c r="L45" s="124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  <c r="U45" s="124">
        <f>IF($N45="","",$Q45*$R45)</f>
        <v/>
      </c>
    </row>
    <row r="46" ht="15" customHeight="1" s="80">
      <c r="J46" s="124">
        <f>IF($A46="","",$B46+$C46+$D46-$E46+$F46-$G46)</f>
        <v/>
      </c>
      <c r="K46" s="124">
        <f>IF($A46="","",MAX(0,$B46-$J46))</f>
        <v/>
      </c>
      <c r="L46" s="124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  <c r="U46" s="124">
        <f>IF($N46="","",$Q46*$R46)</f>
        <v/>
      </c>
    </row>
    <row r="47" ht="15" customHeight="1" s="80">
      <c r="J47" s="124">
        <f>IF($A47="","",$B47+$C47+$D47-$E47+$F47-$G47)</f>
        <v/>
      </c>
      <c r="K47" s="124">
        <f>IF($A47="","",MAX(0,$B47-$J47))</f>
        <v/>
      </c>
      <c r="L47" s="124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  <c r="U47" s="124">
        <f>IF($N47="","",$Q47*$R47)</f>
        <v/>
      </c>
    </row>
    <row r="48" ht="15" customHeight="1" s="80">
      <c r="J48" s="124">
        <f>IF($A48="","",$B48+$C48+$D48-$E48+$F48-$G48)</f>
        <v/>
      </c>
      <c r="K48" s="124">
        <f>IF($A48="","",MAX(0,$B48-$J48))</f>
        <v/>
      </c>
      <c r="L48" s="124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  <c r="U48" s="124">
        <f>IF($N48="","",$Q48*$R48)</f>
        <v/>
      </c>
    </row>
    <row r="49" ht="15" customHeight="1" s="80">
      <c r="J49" s="124">
        <f>IF($A49="","",$B49+$C49+$D49-$E49+$F49-$G49)</f>
        <v/>
      </c>
      <c r="K49" s="124">
        <f>IF($A49="","",MAX(0,$B49-$J49))</f>
        <v/>
      </c>
      <c r="L49" s="124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  <c r="U49" s="124">
        <f>IF($N49="","",$Q49*$R49)</f>
        <v/>
      </c>
    </row>
    <row r="50" ht="15" customHeight="1" s="80">
      <c r="J50" s="124">
        <f>IF($A50="","",$B50+$C50+$D50-$E50+$F50-$G50)</f>
        <v/>
      </c>
      <c r="K50" s="124">
        <f>IF($A50="","",MAX(0,$B50-$J50))</f>
        <v/>
      </c>
      <c r="L50" s="124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  <c r="U50" s="124">
        <f>IF($N50="","",$Q50*$R50)</f>
        <v/>
      </c>
    </row>
    <row r="51" ht="15" customHeight="1" s="80">
      <c r="J51" s="124">
        <f>IF($A51="","",$B51+$C51+$D51-$E51+$F51-$G51)</f>
        <v/>
      </c>
      <c r="K51" s="124">
        <f>IF($A51="","",MAX(0,$B51-$J51))</f>
        <v/>
      </c>
      <c r="L51" s="124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  <c r="U51" s="124">
        <f>IF($N51="","",$Q51*$R51)</f>
        <v/>
      </c>
    </row>
    <row r="52" ht="15" customHeight="1" s="80">
      <c r="J52" s="124">
        <f>IF($A52="","",$B52+$C52+$D52-$E52+$F52-$G52)</f>
        <v/>
      </c>
      <c r="K52" s="124">
        <f>IF($A52="","",MAX(0,$B52-$J52))</f>
        <v/>
      </c>
      <c r="L52" s="124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  <c r="U52" s="124">
        <f>IF($N52="","",$Q52*$R52)</f>
        <v/>
      </c>
    </row>
    <row r="53" ht="15" customHeight="1" s="80">
      <c r="J53" s="124">
        <f>IF($A53="","",$B53+$C53+$D53-$E53+$F53-$G53)</f>
        <v/>
      </c>
      <c r="K53" s="124">
        <f>IF($A53="","",MAX(0,$B53-$J53))</f>
        <v/>
      </c>
      <c r="L53" s="124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  <c r="U53" s="124">
        <f>IF($N53="","",$Q53*$R53)</f>
        <v/>
      </c>
    </row>
    <row r="54" ht="15" customHeight="1" s="80">
      <c r="J54" s="124">
        <f>IF($A54="","",$B54+$C54+$D54-$E54+$F54-$G54)</f>
        <v/>
      </c>
      <c r="K54" s="124">
        <f>IF($A54="","",MAX(0,$B54-$J54))</f>
        <v/>
      </c>
      <c r="L54" s="124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  <c r="U54" s="124">
        <f>IF($N54="","",$Q54*$R54)</f>
        <v/>
      </c>
    </row>
    <row r="55" ht="15" customHeight="1" s="80">
      <c r="J55" s="124">
        <f>IF($A55="","",$B55+$C55+$D55-$E55+$F55-$G55)</f>
        <v/>
      </c>
      <c r="K55" s="124">
        <f>IF($A55="","",MAX(0,$B55-$J55))</f>
        <v/>
      </c>
      <c r="L55" s="124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  <c r="U55" s="124">
        <f>IF($N55="","",$Q55*$R55)</f>
        <v/>
      </c>
    </row>
    <row r="56" ht="15" customHeight="1" s="80">
      <c r="J56" s="124">
        <f>IF($A56="","",$B56+$C56+$D56-$E56+$F56-$G56)</f>
        <v/>
      </c>
      <c r="K56" s="124">
        <f>IF($A56="","",MAX(0,$B56-$J56))</f>
        <v/>
      </c>
      <c r="L56" s="124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  <c r="U56" s="124">
        <f>IF($N56="","",$Q56*$R56)</f>
        <v/>
      </c>
    </row>
    <row r="57" ht="15" customHeight="1" s="80">
      <c r="J57" s="124">
        <f>IF($A57="","",$B57+$C57+$D57-$E57+$F57-$G57)</f>
        <v/>
      </c>
      <c r="K57" s="124">
        <f>IF($A57="","",MAX(0,$B57-$J57))</f>
        <v/>
      </c>
      <c r="L57" s="124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  <c r="U57" s="124">
        <f>IF($N57="","",$Q57*$R57)</f>
        <v/>
      </c>
    </row>
    <row r="58" ht="15" customHeight="1" s="80">
      <c r="J58" s="124">
        <f>IF($A58="","",$B58+$C58+$D58-$E58+$F58-$G58)</f>
        <v/>
      </c>
      <c r="K58" s="124">
        <f>IF($A58="","",MAX(0,$B58-$J58))</f>
        <v/>
      </c>
      <c r="L58" s="124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  <c r="U58" s="124">
        <f>IF($N58="","",$Q58*$R58)</f>
        <v/>
      </c>
    </row>
    <row r="59" ht="15" customHeight="1" s="80">
      <c r="J59" s="124">
        <f>IF($A59="","",$B59+$C59+$D59-$E59+$F59-$G59)</f>
        <v/>
      </c>
      <c r="K59" s="124">
        <f>IF($A59="","",MAX(0,$B59-$J59))</f>
        <v/>
      </c>
      <c r="L59" s="124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  <c r="U59" s="124">
        <f>IF($N59="","",$Q59*$R59)</f>
        <v/>
      </c>
    </row>
    <row r="60" ht="15" customHeight="1" s="80">
      <c r="J60" s="124">
        <f>IF($A60="","",$B60+$C60+$D60-$E60+$F60-$G60)</f>
        <v/>
      </c>
      <c r="K60" s="124">
        <f>IF($A60="","",MAX(0,$B60-$J60))</f>
        <v/>
      </c>
      <c r="L60" s="124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  <c r="U60" s="124">
        <f>IF($N60="","",$Q60*$R60)</f>
        <v/>
      </c>
    </row>
    <row r="61" ht="15" customHeight="1" s="80">
      <c r="J61" s="124">
        <f>IF($A61="","",$B61+$C61+$D61-$E61+$F61-$G61)</f>
        <v/>
      </c>
      <c r="K61" s="124">
        <f>IF($A61="","",MAX(0,$B61-$J61))</f>
        <v/>
      </c>
      <c r="L61" s="124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  <c r="U61" s="124">
        <f>IF($N61="","",$Q61*$R61)</f>
        <v/>
      </c>
    </row>
    <row r="62" ht="15" customHeight="1" s="80">
      <c r="J62" s="124">
        <f>IF($A62="","",$B62+$C62+$D62-$E62+$F62-$G62)</f>
        <v/>
      </c>
      <c r="K62" s="124">
        <f>IF($A62="","",MAX(0,$B62-$J62))</f>
        <v/>
      </c>
      <c r="L62" s="124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  <c r="U62" s="124">
        <f>IF($N62="","",$Q62*$R62)</f>
        <v/>
      </c>
    </row>
    <row r="63" ht="15" customHeight="1" s="80">
      <c r="J63" s="124">
        <f>IF($A63="","",$B63+$C63+$D63-$E63+$F63-$G63)</f>
        <v/>
      </c>
      <c r="K63" s="124">
        <f>IF($A63="","",MAX(0,$B63-$J63))</f>
        <v/>
      </c>
      <c r="L63" s="124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  <c r="U63" s="124">
        <f>IF($N63="","",$Q63*$R63)</f>
        <v/>
      </c>
    </row>
    <row r="64" ht="15" customHeight="1" s="80">
      <c r="J64" s="124">
        <f>IF($A64="","",$B64+$C64+$D64-$E64+$F64-$G64)</f>
        <v/>
      </c>
      <c r="K64" s="124">
        <f>IF($A64="","",MAX(0,$B64-$J64))</f>
        <v/>
      </c>
      <c r="L64" s="124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  <c r="U64" s="124">
        <f>IF($N64="","",$Q64*$R64)</f>
        <v/>
      </c>
    </row>
    <row r="65" ht="15" customHeight="1" s="80">
      <c r="J65" s="124">
        <f>IF($A65="","",$B65+$C65+$D65-$E65+$F65-$G65)</f>
        <v/>
      </c>
      <c r="K65" s="124">
        <f>IF($A65="","",MAX(0,$B65-$J65))</f>
        <v/>
      </c>
      <c r="L65" s="124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  <c r="U65" s="124">
        <f>IF($N65="","",$Q65*$R65)</f>
        <v/>
      </c>
    </row>
    <row r="66" ht="15" customHeight="1" s="80">
      <c r="J66" s="124">
        <f>IF($A66="","",$B66+$C66+$D66-$E66+$F66-$G66)</f>
        <v/>
      </c>
      <c r="K66" s="124">
        <f>IF($A66="","",MAX(0,$B66-$J66))</f>
        <v/>
      </c>
      <c r="L66" s="124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  <c r="U66" s="124">
        <f>IF($N66="","",$Q66*$R66)</f>
        <v/>
      </c>
    </row>
    <row r="67" ht="15" customHeight="1" s="80">
      <c r="J67" s="124">
        <f>IF($A67="","",$B67+$C67+$D67-$E67+$F67-$G67)</f>
        <v/>
      </c>
      <c r="K67" s="124">
        <f>IF($A67="","",MAX(0,$B67-$J67))</f>
        <v/>
      </c>
      <c r="L67" s="124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  <c r="U67" s="124">
        <f>IF($N67="","",$Q67*$R67)</f>
        <v/>
      </c>
    </row>
    <row r="68" ht="15" customHeight="1" s="80">
      <c r="J68" s="124">
        <f>IF($A68="","",$B68+$C68+$D68-$E68+$F68-$G68)</f>
        <v/>
      </c>
      <c r="K68" s="124">
        <f>IF($A68="","",MAX(0,$B68-$J68))</f>
        <v/>
      </c>
      <c r="L68" s="124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  <c r="U68" s="124">
        <f>IF($N68="","",$Q68*$R68)</f>
        <v/>
      </c>
    </row>
    <row r="69" ht="15" customHeight="1" s="80">
      <c r="J69" s="124">
        <f>IF($A69="","",$B69+$C69+$D69-$E69+$F69-$G69)</f>
        <v/>
      </c>
      <c r="K69" s="124">
        <f>IF($A69="","",MAX(0,$B69-$J69))</f>
        <v/>
      </c>
      <c r="L69" s="124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  <c r="U69" s="124">
        <f>IF($N69="","",$Q69*$R69)</f>
        <v/>
      </c>
    </row>
    <row r="70" ht="15" customHeight="1" s="80">
      <c r="J70" s="124">
        <f>IF($A70="","",$B70+$C70+$D70-$E70+$F70-$G70)</f>
        <v/>
      </c>
      <c r="K70" s="124">
        <f>IF($A70="","",MAX(0,$B70-$J70))</f>
        <v/>
      </c>
      <c r="L70" s="124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  <c r="U70" s="124">
        <f>IF($N70="","",$Q70*$R70)</f>
        <v/>
      </c>
    </row>
    <row r="71" ht="15" customHeight="1" s="80">
      <c r="J71" s="124">
        <f>IF($A71="","",$B71+$C71+$D71-$E71+$F71-$G71)</f>
        <v/>
      </c>
      <c r="K71" s="124">
        <f>IF($A71="","",MAX(0,$B71-$J71))</f>
        <v/>
      </c>
      <c r="L71" s="124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  <c r="U71" s="124">
        <f>IF($N71="","",$Q71*$R71)</f>
        <v/>
      </c>
    </row>
    <row r="72" ht="15" customHeight="1" s="80">
      <c r="J72" s="124">
        <f>IF($A72="","",$B72+$C72+$D72-$E72+$F72-$G72)</f>
        <v/>
      </c>
      <c r="K72" s="124">
        <f>IF($A72="","",MAX(0,$B72-$J72))</f>
        <v/>
      </c>
      <c r="L72" s="124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  <c r="U72" s="124">
        <f>IF($N72="","",$Q72*$R72)</f>
        <v/>
      </c>
    </row>
    <row r="73" ht="15" customHeight="1" s="80">
      <c r="J73" s="124">
        <f>IF($A73="","",$B73+$C73+$D73-$E73+$F73-$G73)</f>
        <v/>
      </c>
      <c r="K73" s="124">
        <f>IF($A73="","",MAX(0,$B73-$J73))</f>
        <v/>
      </c>
      <c r="L73" s="124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  <c r="U73" s="124">
        <f>IF($N73="","",$Q73*$R73)</f>
        <v/>
      </c>
    </row>
    <row r="74" ht="15" customHeight="1" s="80">
      <c r="J74" s="124">
        <f>IF($A74="","",$B74+$C74+$D74-$E74+$F74-$G74)</f>
        <v/>
      </c>
      <c r="K74" s="124">
        <f>IF($A74="","",MAX(0,$B74-$J74))</f>
        <v/>
      </c>
      <c r="L74" s="124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  <c r="U74" s="124">
        <f>IF($N74="","",$Q74*$R74)</f>
        <v/>
      </c>
    </row>
    <row r="75" ht="15" customHeight="1" s="80">
      <c r="J75" s="124">
        <f>IF($A75="","",$B75+$C75+$D75-$E75+$F75-$G75)</f>
        <v/>
      </c>
      <c r="K75" s="124">
        <f>IF($A75="","",MAX(0,$B75-$J75))</f>
        <v/>
      </c>
      <c r="L75" s="124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  <c r="U75" s="124">
        <f>IF($N75="","",$Q75*$R75)</f>
        <v/>
      </c>
    </row>
    <row r="76" ht="15" customHeight="1" s="80">
      <c r="J76" s="124">
        <f>IF($A76="","",$B76+$C76+$D76-$E76+$F76-$G76)</f>
        <v/>
      </c>
      <c r="K76" s="124">
        <f>IF($A76="","",MAX(0,$B76-$J76))</f>
        <v/>
      </c>
      <c r="L76" s="124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  <c r="U76" s="124">
        <f>IF($N76="","",$Q76*$R76)</f>
        <v/>
      </c>
    </row>
    <row r="77" ht="15" customHeight="1" s="80">
      <c r="J77" s="124">
        <f>IF($A77="","",$B77+$C77+$D77-$E77+$F77-$G77)</f>
        <v/>
      </c>
      <c r="K77" s="124">
        <f>IF($A77="","",MAX(0,$B77-$J77))</f>
        <v/>
      </c>
      <c r="L77" s="124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  <c r="U77" s="124">
        <f>IF($N77="","",$Q77*$R77)</f>
        <v/>
      </c>
    </row>
    <row r="78" ht="15" customHeight="1" s="80">
      <c r="J78" s="124">
        <f>IF($A78="","",$B78+$C78+$D78-$E78+$F78-$G78)</f>
        <v/>
      </c>
      <c r="K78" s="124">
        <f>IF($A78="","",MAX(0,$B78-$J78))</f>
        <v/>
      </c>
      <c r="L78" s="124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  <c r="U78" s="124">
        <f>IF($N78="","",$Q78*$R78)</f>
        <v/>
      </c>
    </row>
    <row r="79" ht="15" customHeight="1" s="80">
      <c r="J79" s="124">
        <f>IF($A79="","",$B79+$C79+$D79-$E79+$F79-$G79)</f>
        <v/>
      </c>
      <c r="K79" s="124">
        <f>IF($A79="","",MAX(0,$B79-$J79))</f>
        <v/>
      </c>
      <c r="L79" s="124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  <c r="U79" s="124">
        <f>IF($N79="","",$Q79*$R79)</f>
        <v/>
      </c>
    </row>
    <row r="80" ht="15" customHeight="1" s="80">
      <c r="J80" s="124">
        <f>IF($A80="","",$B80+$C80+$D80-$E80+$F80-$G80)</f>
        <v/>
      </c>
      <c r="K80" s="124">
        <f>IF($A80="","",MAX(0,$B80-$J80))</f>
        <v/>
      </c>
      <c r="L80" s="124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  <c r="U80" s="124">
        <f>IF($N80="","",$Q80*$R80)</f>
        <v/>
      </c>
    </row>
    <row r="81" ht="15" customHeight="1" s="80">
      <c r="J81" s="124">
        <f>IF($A81="","",$B81+$C81+$D81-$E81+$F81-$G81)</f>
        <v/>
      </c>
      <c r="K81" s="124">
        <f>IF($A81="","",MAX(0,$B81-$J81))</f>
        <v/>
      </c>
      <c r="L81" s="124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  <c r="U81" s="124">
        <f>IF($N81="","",$Q81*$R81)</f>
        <v/>
      </c>
    </row>
    <row r="82" ht="15" customHeight="1" s="80">
      <c r="J82" s="124">
        <f>IF($A82="","",$B82+$C82+$D82-$E82+$F82-$G82)</f>
        <v/>
      </c>
      <c r="K82" s="124">
        <f>IF($A82="","",MAX(0,$B82-$J82))</f>
        <v/>
      </c>
      <c r="L82" s="124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  <c r="U82" s="124">
        <f>IF($N82="","",$Q82*$R82)</f>
        <v/>
      </c>
    </row>
    <row r="83" ht="15" customHeight="1" s="80">
      <c r="J83" s="124">
        <f>IF($A83="","",$B83+$C83+$D83-$E83+$F83-$G83)</f>
        <v/>
      </c>
      <c r="K83" s="124">
        <f>IF($A83="","",MAX(0,$B83-$J83))</f>
        <v/>
      </c>
      <c r="L83" s="124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  <c r="U83" s="124">
        <f>IF($N83="","",$Q83*$R83)</f>
        <v/>
      </c>
    </row>
    <row r="84" ht="15" customHeight="1" s="80">
      <c r="J84" s="124">
        <f>IF($A84="","",$B84+$C84+$D84-$E84+$F84-$G84)</f>
        <v/>
      </c>
      <c r="K84" s="124">
        <f>IF($A84="","",MAX(0,$B84-$J84))</f>
        <v/>
      </c>
      <c r="L84" s="124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  <c r="U84" s="124">
        <f>IF($N84="","",$Q84*$R84)</f>
        <v/>
      </c>
    </row>
    <row r="85" ht="15" customHeight="1" s="80">
      <c r="J85" s="124">
        <f>IF($A85="","",$B85+$C85+$D85-$E85+$F85-$G85)</f>
        <v/>
      </c>
      <c r="K85" s="124">
        <f>IF($A85="","",MAX(0,$B85-$J85))</f>
        <v/>
      </c>
      <c r="L85" s="124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  <c r="U85" s="124">
        <f>IF($N85="","",$Q85*$R85)</f>
        <v/>
      </c>
    </row>
    <row r="86" ht="15" customHeight="1" s="80">
      <c r="J86" s="124">
        <f>IF($A86="","",$B86+$C86+$D86-$E86+$F86-$G86)</f>
        <v/>
      </c>
      <c r="K86" s="124">
        <f>IF($A86="","",MAX(0,$B86-$J86))</f>
        <v/>
      </c>
      <c r="L86" s="124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  <c r="U86" s="124">
        <f>IF($N86="","",$Q86*$R86)</f>
        <v/>
      </c>
    </row>
    <row r="87" ht="15" customHeight="1" s="80">
      <c r="J87" s="124">
        <f>IF($A87="","",$B87+$C87+$D87-$E87+$F87-$G87)</f>
        <v/>
      </c>
      <c r="K87" s="124">
        <f>IF($A87="","",MAX(0,$B87-$J87))</f>
        <v/>
      </c>
      <c r="L87" s="124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  <c r="U87" s="124">
        <f>IF($N87="","",$Q87*$R87)</f>
        <v/>
      </c>
    </row>
    <row r="88" ht="15" customHeight="1" s="80">
      <c r="J88" s="124">
        <f>IF($A88="","",$B88+$C88+$D88-$E88+$F88-$G88)</f>
        <v/>
      </c>
      <c r="K88" s="124">
        <f>IF($A88="","",MAX(0,$B88-$J88))</f>
        <v/>
      </c>
      <c r="L88" s="124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  <c r="U88" s="124">
        <f>IF($N88="","",$Q88*$R88)</f>
        <v/>
      </c>
    </row>
    <row r="89" ht="15" customHeight="1" s="80">
      <c r="J89" s="124">
        <f>IF($A89="","",$B89+$C89+$D89-$E89+$F89-$G89)</f>
        <v/>
      </c>
      <c r="K89" s="124">
        <f>IF($A89="","",MAX(0,$B89-$J89))</f>
        <v/>
      </c>
      <c r="L89" s="124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  <c r="U89" s="124">
        <f>IF($N89="","",$Q89*$R89)</f>
        <v/>
      </c>
    </row>
    <row r="90" ht="15" customHeight="1" s="80">
      <c r="J90" s="124">
        <f>IF($A90="","",$B90+$C90+$D90-$E90+$F90-$G90)</f>
        <v/>
      </c>
      <c r="K90" s="124">
        <f>IF($A90="","",MAX(0,$B90-$J90))</f>
        <v/>
      </c>
      <c r="L90" s="124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  <c r="U90" s="124">
        <f>IF($N90="","",$Q90*$R90)</f>
        <v/>
      </c>
    </row>
    <row r="91" ht="15" customHeight="1" s="80">
      <c r="J91" s="124">
        <f>IF($A91="","",$B91+$C91+$D91-$E91+$F91-$G91)</f>
        <v/>
      </c>
      <c r="K91" s="124">
        <f>IF($A91="","",MAX(0,$B91-$J91))</f>
        <v/>
      </c>
      <c r="L91" s="124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  <c r="U91" s="124">
        <f>IF($N91="","",$Q91*$R91)</f>
        <v/>
      </c>
    </row>
    <row r="92" ht="15" customHeight="1" s="80">
      <c r="J92" s="124">
        <f>IF($A92="","",$B92+$C92+$D92-$E92+$F92-$G92)</f>
        <v/>
      </c>
      <c r="K92" s="124">
        <f>IF($A92="","",MAX(0,$B92-$J92))</f>
        <v/>
      </c>
      <c r="L92" s="124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  <c r="U92" s="124">
        <f>IF($N92="","",$Q92*$R92)</f>
        <v/>
      </c>
    </row>
    <row r="93" ht="15" customHeight="1" s="80">
      <c r="J93" s="124">
        <f>IF($A93="","",$B93+$C93+$D93-$E93+$F93-$G93)</f>
        <v/>
      </c>
      <c r="K93" s="124">
        <f>IF($A93="","",MAX(0,$B93-$J93))</f>
        <v/>
      </c>
      <c r="L93" s="124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  <c r="U93" s="124">
        <f>IF($N93="","",$Q93*$R93)</f>
        <v/>
      </c>
    </row>
    <row r="94" ht="15" customHeight="1" s="80">
      <c r="J94" s="124">
        <f>IF($A94="","",$B94+$C94+$D94-$E94+$F94-$G94)</f>
        <v/>
      </c>
      <c r="K94" s="124">
        <f>IF($A94="","",MAX(0,$B94-$J94))</f>
        <v/>
      </c>
      <c r="L94" s="124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  <c r="U94" s="124">
        <f>IF($N94="","",$Q94*$R94)</f>
        <v/>
      </c>
    </row>
    <row r="95" ht="15" customHeight="1" s="80">
      <c r="J95" s="124">
        <f>IF($A95="","",$B95+$C95+$D95-$E95+$F95-$G95)</f>
        <v/>
      </c>
      <c r="K95" s="124">
        <f>IF($A95="","",MAX(0,$B95-$J95))</f>
        <v/>
      </c>
      <c r="L95" s="124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  <c r="U95" s="124">
        <f>IF($N95="","",$Q95*$R95)</f>
        <v/>
      </c>
    </row>
    <row r="96" ht="15" customHeight="1" s="80">
      <c r="J96" s="124">
        <f>IF($A96="","",$B96+$C96+$D96-$E96+$F96-$G96)</f>
        <v/>
      </c>
      <c r="K96" s="124">
        <f>IF($A96="","",MAX(0,$B96-$J96))</f>
        <v/>
      </c>
      <c r="L96" s="124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  <c r="U96" s="124">
        <f>IF($N96="","",$Q96*$R96)</f>
        <v/>
      </c>
    </row>
    <row r="97" ht="15" customHeight="1" s="80">
      <c r="J97" s="124">
        <f>IF($A97="","",$B97+$C97+$D97-$E97+$F97-$G97)</f>
        <v/>
      </c>
      <c r="K97" s="124">
        <f>IF($A97="","",MAX(0,$B97-$J97))</f>
        <v/>
      </c>
      <c r="L97" s="124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  <c r="U97" s="124">
        <f>IF($N97="","",$Q97*$R97)</f>
        <v/>
      </c>
    </row>
    <row r="98" ht="15" customHeight="1" s="80">
      <c r="J98" s="124">
        <f>IF($A98="","",$B98+$C98+$D98-$E98+$F98-$G98)</f>
        <v/>
      </c>
      <c r="K98" s="124">
        <f>IF($A98="","",MAX(0,$B98-$J98))</f>
        <v/>
      </c>
      <c r="L98" s="124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  <c r="U98" s="124">
        <f>IF($N98="","",$Q98*$R98)</f>
        <v/>
      </c>
    </row>
    <row r="99" ht="15" customHeight="1" s="80">
      <c r="J99" s="124">
        <f>IF($A99="","",$B99+$C99+$D99-$E99+$F99-$G99)</f>
        <v/>
      </c>
      <c r="K99" s="124">
        <f>IF($A99="","",MAX(0,$B99-$J99))</f>
        <v/>
      </c>
      <c r="L99" s="124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  <c r="U99" s="124">
        <f>IF($N99="","",$Q99*$R99)</f>
        <v/>
      </c>
    </row>
    <row r="100" ht="15" customHeight="1" s="80">
      <c r="J100" s="124">
        <f>IF($A100="","",$B100+$C100+$D100-$E100+$F100-$G100)</f>
        <v/>
      </c>
      <c r="K100" s="124">
        <f>IF($A100="","",MAX(0,$B100-$J100))</f>
        <v/>
      </c>
      <c r="L100" s="124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  <c r="U100" s="124">
        <f>IF($N100="","",$Q100*$R100)</f>
        <v/>
      </c>
    </row>
    <row r="101" ht="15" customHeight="1" s="80">
      <c r="J101" s="124">
        <f>IF($A101="","",$B101+$C101+$D101-$E101+$F101-$G101)</f>
        <v/>
      </c>
      <c r="K101" s="124">
        <f>IF($A101="","",MAX(0,$B101-$J101))</f>
        <v/>
      </c>
      <c r="L101" s="124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  <c r="U101" s="124">
        <f>IF($N101="","",$Q101*$R101)</f>
        <v/>
      </c>
    </row>
    <row r="102" ht="15" customHeight="1" s="80">
      <c r="J102" s="124">
        <f>IF($A102="","",$B102+$C102+$D102-$E102+$F102-$G102)</f>
        <v/>
      </c>
      <c r="K102" s="124">
        <f>IF($A102="","",MAX(0,$B102-$J102))</f>
        <v/>
      </c>
      <c r="L102" s="124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  <c r="U102" s="124">
        <f>IF($N102="","",$Q102*$R102)</f>
        <v/>
      </c>
    </row>
    <row r="103" ht="15" customHeight="1" s="80">
      <c r="J103" s="124">
        <f>IF($A103="","",$B103+$C103+$D103-$E103+$F103-$G103)</f>
        <v/>
      </c>
      <c r="K103" s="124">
        <f>IF($A103="","",MAX(0,$B103-$J103))</f>
        <v/>
      </c>
      <c r="L103" s="124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  <c r="U103" s="124">
        <f>IF($N103="","",$Q103*$R103)</f>
        <v/>
      </c>
    </row>
    <row r="104" ht="15" customHeight="1" s="80">
      <c r="J104" s="124">
        <f>IF($A104="","",$B104+$C104+$D104-$E104+$F104-$G104)</f>
        <v/>
      </c>
      <c r="K104" s="124">
        <f>IF($A104="","",MAX(0,$B104-$J104))</f>
        <v/>
      </c>
      <c r="L104" s="124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  <c r="U104" s="124">
        <f>IF($N104="","",$Q104*$R104)</f>
        <v/>
      </c>
    </row>
    <row r="105" ht="15" customHeight="1" s="80">
      <c r="J105" s="124">
        <f>IF($A105="","",$B105+$C105+$D105-$E105+$F105-$G105)</f>
        <v/>
      </c>
      <c r="K105" s="124">
        <f>IF($A105="","",MAX(0,$B105-$J105))</f>
        <v/>
      </c>
      <c r="L105" s="124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  <c r="U105" s="124">
        <f>IF($N105="","",$Q105*$R105)</f>
        <v/>
      </c>
    </row>
    <row r="106" ht="15" customHeight="1" s="80">
      <c r="J106" s="124">
        <f>IF($A106="","",$B106+$C106+$D106-$E106+$F106-$G106)</f>
        <v/>
      </c>
      <c r="K106" s="124">
        <f>IF($A106="","",MAX(0,$B106-$J106))</f>
        <v/>
      </c>
      <c r="L106" s="124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  <c r="U106" s="124">
        <f>IF($N106="","",$Q106*$R106)</f>
        <v/>
      </c>
    </row>
    <row r="107" ht="15" customHeight="1" s="80">
      <c r="J107" s="124">
        <f>IF($A107="","",$B107+$C107+$D107-$E107+$F107-$G107)</f>
        <v/>
      </c>
      <c r="K107" s="124">
        <f>IF($A107="","",MAX(0,$B107-$J107))</f>
        <v/>
      </c>
      <c r="L107" s="124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  <c r="U107" s="124">
        <f>IF($N107="","",$Q107*$R107)</f>
        <v/>
      </c>
    </row>
    <row r="108" ht="15" customHeight="1" s="80">
      <c r="J108" s="124">
        <f>IF($A108="","",$B108+$C108+$D108-$E108+$F108-$G108)</f>
        <v/>
      </c>
      <c r="K108" s="124">
        <f>IF($A108="","",MAX(0,$B108-$J108))</f>
        <v/>
      </c>
      <c r="L108" s="124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  <c r="U108" s="124">
        <f>IF($N108="","",$Q108*$R108)</f>
        <v/>
      </c>
    </row>
    <row r="109" ht="15" customHeight="1" s="80">
      <c r="J109" s="124">
        <f>IF($A109="","",$B109+$C109+$D109-$E109+$F109-$G109)</f>
        <v/>
      </c>
      <c r="K109" s="124">
        <f>IF($A109="","",MAX(0,$B109-$J109))</f>
        <v/>
      </c>
      <c r="L109" s="124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  <c r="U109" s="124">
        <f>IF($N109="","",$Q109*$R109)</f>
        <v/>
      </c>
    </row>
    <row r="110" ht="15" customHeight="1" s="80">
      <c r="J110" s="124">
        <f>IF($A110="","",$B110+$C110+$D110-$E110+$F110-$G110)</f>
        <v/>
      </c>
      <c r="K110" s="124">
        <f>IF($A110="","",MAX(0,$B110-$J110))</f>
        <v/>
      </c>
      <c r="L110" s="124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  <c r="U110" s="124">
        <f>IF($N110="","",$Q110*$R110)</f>
        <v/>
      </c>
    </row>
    <row r="111" ht="15" customHeight="1" s="80">
      <c r="J111" s="124">
        <f>IF($A111="","",$B111+$C111+$D111-$E111+$F111-$G111)</f>
        <v/>
      </c>
      <c r="K111" s="124">
        <f>IF($A111="","",MAX(0,$B111-$J111))</f>
        <v/>
      </c>
      <c r="L111" s="124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  <c r="U111" s="124">
        <f>IF($N111="","",$Q111*$R111)</f>
        <v/>
      </c>
    </row>
    <row r="112" ht="15" customHeight="1" s="80">
      <c r="J112" s="124">
        <f>IF($A112="","",$B112+$C112+$D112-$E112+$F112-$G112)</f>
        <v/>
      </c>
      <c r="K112" s="124">
        <f>IF($A112="","",MAX(0,$B112-$J112))</f>
        <v/>
      </c>
      <c r="L112" s="124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  <c r="U112" s="124">
        <f>IF($N112="","",$Q112*$R112)</f>
        <v/>
      </c>
    </row>
    <row r="113" ht="15" customHeight="1" s="80">
      <c r="J113" s="124">
        <f>IF($A113="","",$B113+$C113+$D113-$E113+$F113-$G113)</f>
        <v/>
      </c>
      <c r="K113" s="124">
        <f>IF($A113="","",MAX(0,$B113-$J113))</f>
        <v/>
      </c>
      <c r="L113" s="124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  <c r="U113" s="124">
        <f>IF($N113="","",$Q113*$R113)</f>
        <v/>
      </c>
    </row>
    <row r="114" ht="15" customHeight="1" s="80">
      <c r="J114" s="124">
        <f>IF($A114="","",$B114+$C114+$D114-$E114+$F114-$G114)</f>
        <v/>
      </c>
      <c r="K114" s="124">
        <f>IF($A114="","",MAX(0,$B114-$J114))</f>
        <v/>
      </c>
      <c r="L114" s="124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  <c r="U114" s="124">
        <f>IF($N114="","",$Q114*$R114)</f>
        <v/>
      </c>
    </row>
    <row r="115" ht="15" customHeight="1" s="80">
      <c r="J115" s="124">
        <f>IF($A115="","",$B115+$C115+$D115-$E115+$F115-$G115)</f>
        <v/>
      </c>
      <c r="K115" s="124">
        <f>IF($A115="","",MAX(0,$B115-$J115))</f>
        <v/>
      </c>
      <c r="L115" s="124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  <c r="U115" s="124">
        <f>IF($N115="","",$Q115*$R115)</f>
        <v/>
      </c>
    </row>
    <row r="116" ht="15" customHeight="1" s="80">
      <c r="J116" s="124">
        <f>IF($A116="","",$B116+$C116+$D116-$E116+$F116-$G116)</f>
        <v/>
      </c>
      <c r="K116" s="124">
        <f>IF($A116="","",MAX(0,$B116-$J116))</f>
        <v/>
      </c>
      <c r="L116" s="124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  <c r="U116" s="124">
        <f>IF($N116="","",$Q116*$R116)</f>
        <v/>
      </c>
    </row>
    <row r="117" ht="15" customHeight="1" s="80">
      <c r="J117" s="124">
        <f>IF($A117="","",$B117+$C117+$D117-$E117+$F117-$G117)</f>
        <v/>
      </c>
      <c r="K117" s="124">
        <f>IF($A117="","",MAX(0,$B117-$J117))</f>
        <v/>
      </c>
      <c r="L117" s="124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  <c r="U117" s="124">
        <f>IF($N117="","",$Q117*$R117)</f>
        <v/>
      </c>
    </row>
    <row r="118" ht="15" customHeight="1" s="80">
      <c r="J118" s="124">
        <f>IF($A118="","",$B118+$C118+$D118-$E118+$F118-$G118)</f>
        <v/>
      </c>
      <c r="K118" s="124">
        <f>IF($A118="","",MAX(0,$B118-$J118))</f>
        <v/>
      </c>
      <c r="L118" s="124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  <c r="U118" s="124">
        <f>IF($N118="","",$Q118*$R118)</f>
        <v/>
      </c>
    </row>
    <row r="119" ht="15" customHeight="1" s="80">
      <c r="J119" s="124">
        <f>IF($A119="","",$B119+$C119+$D119-$E119+$F119-$G119)</f>
        <v/>
      </c>
      <c r="K119" s="124">
        <f>IF($A119="","",MAX(0,$B119-$J119))</f>
        <v/>
      </c>
      <c r="L119" s="124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  <c r="U119" s="124">
        <f>IF($N119="","",$Q119*$R119)</f>
        <v/>
      </c>
    </row>
    <row r="120" ht="15" customHeight="1" s="80">
      <c r="J120" s="124">
        <f>IF($A120="","",$B120+$C120+$D120-$E120+$F120-$G120)</f>
        <v/>
      </c>
      <c r="K120" s="124">
        <f>IF($A120="","",MAX(0,$B120-$J120))</f>
        <v/>
      </c>
      <c r="L120" s="124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  <c r="U120" s="124">
        <f>IF($N120="","",$Q120*$R120)</f>
        <v/>
      </c>
    </row>
    <row r="121" ht="15" customHeight="1" s="80">
      <c r="J121" s="124">
        <f>IF($A121="","",$B121+$C121+$D121-$E121+$F121-$G121)</f>
        <v/>
      </c>
      <c r="K121" s="124">
        <f>IF($A121="","",MAX(0,$B121-$J121))</f>
        <v/>
      </c>
      <c r="L121" s="124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  <c r="U121" s="124">
        <f>IF($N121="","",$Q121*$R121)</f>
        <v/>
      </c>
    </row>
    <row r="122" ht="15" customHeight="1" s="80">
      <c r="J122" s="124">
        <f>IF($A122="","",$B122+$C122+$D122-$E122+$F122-$G122)</f>
        <v/>
      </c>
      <c r="K122" s="124">
        <f>IF($A122="","",MAX(0,$B122-$J122))</f>
        <v/>
      </c>
      <c r="L122" s="124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  <c r="U122" s="124">
        <f>IF($N122="","",$Q122*$R122)</f>
        <v/>
      </c>
    </row>
    <row r="123" ht="15" customHeight="1" s="80">
      <c r="J123" s="124">
        <f>IF($A123="","",$B123+$C123+$D123-$E123+$F123-$G123)</f>
        <v/>
      </c>
      <c r="K123" s="124">
        <f>IF($A123="","",MAX(0,$B123-$J123))</f>
        <v/>
      </c>
      <c r="L123" s="124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  <c r="U123" s="124">
        <f>IF($N123="","",$Q123*$R123)</f>
        <v/>
      </c>
    </row>
    <row r="124" ht="15" customHeight="1" s="80">
      <c r="J124" s="124">
        <f>IF($A124="","",$B124+$C124+$D124-$E124+$F124-$G124)</f>
        <v/>
      </c>
      <c r="K124" s="124">
        <f>IF($A124="","",MAX(0,$B124-$J124))</f>
        <v/>
      </c>
      <c r="L124" s="124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  <c r="U124" s="124">
        <f>IF($N124="","",$Q124*$R124)</f>
        <v/>
      </c>
    </row>
    <row r="125" ht="15" customHeight="1" s="80">
      <c r="J125" s="124">
        <f>IF($A125="","",$B125+$C125+$D125-$E125+$F125-$G125)</f>
        <v/>
      </c>
      <c r="K125" s="124">
        <f>IF($A125="","",MAX(0,$B125-$J125))</f>
        <v/>
      </c>
      <c r="L125" s="124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  <c r="U125" s="124">
        <f>IF($N125="","",$Q125*$R125)</f>
        <v/>
      </c>
    </row>
    <row r="126" ht="15" customHeight="1" s="80">
      <c r="J126" s="124">
        <f>IF($A126="","",$B126+$C126+$D126-$E126+$F126-$G126)</f>
        <v/>
      </c>
      <c r="K126" s="124">
        <f>IF($A126="","",MAX(0,$B126-$J126))</f>
        <v/>
      </c>
      <c r="L126" s="124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  <c r="U126" s="124">
        <f>IF($N126="","",$Q126*$R126)</f>
        <v/>
      </c>
    </row>
    <row r="127" ht="15" customHeight="1" s="80">
      <c r="J127" s="124">
        <f>IF($A127="","",$B127+$C127+$D127-$E127+$F127-$G127)</f>
        <v/>
      </c>
      <c r="K127" s="124">
        <f>IF($A127="","",MAX(0,$B127-$J127))</f>
        <v/>
      </c>
      <c r="L127" s="124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  <c r="U127" s="124">
        <f>IF($N127="","",$Q127*$R127)</f>
        <v/>
      </c>
    </row>
    <row r="128" ht="15" customHeight="1" s="80">
      <c r="J128" s="124">
        <f>IF($A128="","",$B128+$C128+$D128-$E128+$F128-$G128)</f>
        <v/>
      </c>
      <c r="K128" s="124">
        <f>IF($A128="","",MAX(0,$B128-$J128))</f>
        <v/>
      </c>
      <c r="L128" s="124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  <c r="U128" s="124">
        <f>IF($N128="","",$Q128*$R128)</f>
        <v/>
      </c>
    </row>
    <row r="129" ht="15" customHeight="1" s="80">
      <c r="J129" s="124">
        <f>IF($A129="","",$B129+$C129+$D129-$E129+$F129-$G129)</f>
        <v/>
      </c>
      <c r="K129" s="124">
        <f>IF($A129="","",MAX(0,$B129-$J129))</f>
        <v/>
      </c>
      <c r="L129" s="124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  <c r="U129" s="124">
        <f>IF($N129="","",$Q129*$R129)</f>
        <v/>
      </c>
    </row>
    <row r="130" ht="15" customHeight="1" s="80">
      <c r="J130" s="124">
        <f>IF($A130="","",$B130+$C130+$D130-$E130+$F130-$G130)</f>
        <v/>
      </c>
      <c r="K130" s="124">
        <f>IF($A130="","",MAX(0,$B130-$J130))</f>
        <v/>
      </c>
      <c r="L130" s="124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  <c r="U130" s="124">
        <f>IF($N130="","",$Q130*$R130)</f>
        <v/>
      </c>
    </row>
    <row r="131" ht="15" customHeight="1" s="80">
      <c r="J131" s="124">
        <f>IF($A131="","",$B131+$C131+$D131-$E131+$F131-$G131)</f>
        <v/>
      </c>
      <c r="K131" s="124">
        <f>IF($A131="","",MAX(0,$B131-$J131))</f>
        <v/>
      </c>
      <c r="L131" s="124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  <c r="U131" s="124">
        <f>IF($N131="","",$Q131*$R131)</f>
        <v/>
      </c>
    </row>
    <row r="132" ht="15" customHeight="1" s="80">
      <c r="J132" s="124">
        <f>IF($A132="","",$B132+$C132+$D132-$E132+$F132-$G132)</f>
        <v/>
      </c>
      <c r="K132" s="124">
        <f>IF($A132="","",MAX(0,$B132-$J132))</f>
        <v/>
      </c>
      <c r="L132" s="124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  <c r="U132" s="124">
        <f>IF($N132="","",$Q132*$R132)</f>
        <v/>
      </c>
    </row>
    <row r="133" ht="15" customHeight="1" s="80">
      <c r="J133" s="124">
        <f>IF($A133="","",$B133+$C133+$D133-$E133+$F133-$G133)</f>
        <v/>
      </c>
      <c r="K133" s="124">
        <f>IF($A133="","",MAX(0,$B133-$J133))</f>
        <v/>
      </c>
      <c r="L133" s="124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  <c r="U133" s="124">
        <f>IF($N133="","",$Q133*$R133)</f>
        <v/>
      </c>
    </row>
    <row r="134" ht="15" customHeight="1" s="80">
      <c r="J134" s="124">
        <f>IF($A134="","",$B134+$C134+$D134-$E134+$F134-$G134)</f>
        <v/>
      </c>
      <c r="K134" s="124">
        <f>IF($A134="","",MAX(0,$B134-$J134))</f>
        <v/>
      </c>
      <c r="L134" s="124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  <c r="U134" s="124">
        <f>IF($N134="","",$Q134*$R134)</f>
        <v/>
      </c>
    </row>
    <row r="135" ht="15" customHeight="1" s="80">
      <c r="J135" s="124">
        <f>IF($A135="","",$B135+$C135+$D135-$E135+$F135-$G135)</f>
        <v/>
      </c>
      <c r="K135" s="124">
        <f>IF($A135="","",MAX(0,$B135-$J135))</f>
        <v/>
      </c>
      <c r="L135" s="124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  <c r="U135" s="124">
        <f>IF($N135="","",$Q135*$R135)</f>
        <v/>
      </c>
    </row>
    <row r="136" ht="15" customHeight="1" s="80">
      <c r="J136" s="124">
        <f>IF($A136="","",$B136+$C136+$D136-$E136+$F136-$G136)</f>
        <v/>
      </c>
      <c r="K136" s="124">
        <f>IF($A136="","",MAX(0,$B136-$J136))</f>
        <v/>
      </c>
      <c r="L136" s="124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  <c r="U136" s="124">
        <f>IF($N136="","",$Q136*$R136)</f>
        <v/>
      </c>
    </row>
    <row r="137" ht="15" customHeight="1" s="80">
      <c r="J137" s="124">
        <f>IF($A137="","",$B137+$C137+$D137-$E137+$F137-$G137)</f>
        <v/>
      </c>
      <c r="K137" s="124">
        <f>IF($A137="","",MAX(0,$B137-$J137))</f>
        <v/>
      </c>
      <c r="L137" s="124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  <c r="U137" s="124">
        <f>IF($N137="","",$Q137*$R137)</f>
        <v/>
      </c>
    </row>
    <row r="138" ht="15" customHeight="1" s="80">
      <c r="J138" s="124">
        <f>IF($A138="","",$B138+$C138+$D138-$E138+$F138-$G138)</f>
        <v/>
      </c>
      <c r="K138" s="124">
        <f>IF($A138="","",MAX(0,$B138-$J138))</f>
        <v/>
      </c>
      <c r="L138" s="124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  <c r="U138" s="124">
        <f>IF($N138="","",$Q138*$R138)</f>
        <v/>
      </c>
    </row>
    <row r="139" ht="15" customHeight="1" s="80">
      <c r="J139" s="124">
        <f>IF($A139="","",$B139+$C139+$D139-$E139+$F139-$G139)</f>
        <v/>
      </c>
      <c r="K139" s="124">
        <f>IF($A139="","",MAX(0,$B139-$J139))</f>
        <v/>
      </c>
      <c r="L139" s="124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  <c r="U139" s="124">
        <f>IF($N139="","",$Q139*$R139)</f>
        <v/>
      </c>
    </row>
    <row r="140" ht="15" customHeight="1" s="80">
      <c r="J140" s="124">
        <f>IF($A140="","",$B140+$C140+$D140-$E140+$F140-$G140)</f>
        <v/>
      </c>
      <c r="K140" s="124">
        <f>IF($A140="","",MAX(0,$B140-$J140))</f>
        <v/>
      </c>
      <c r="L140" s="124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  <c r="U140" s="124">
        <f>IF($N140="","",$Q140*$R140)</f>
        <v/>
      </c>
    </row>
    <row r="141" ht="15" customHeight="1" s="80">
      <c r="J141" s="124">
        <f>IF($A141="","",$B141+$C141+$D141-$E141+$F141-$G141)</f>
        <v/>
      </c>
      <c r="K141" s="124">
        <f>IF($A141="","",MAX(0,$B141-$J141))</f>
        <v/>
      </c>
      <c r="L141" s="124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  <c r="U141" s="124">
        <f>IF($N141="","",$Q141*$R141)</f>
        <v/>
      </c>
    </row>
    <row r="142" ht="15" customHeight="1" s="80">
      <c r="J142" s="124">
        <f>IF($A142="","",$B142+$C142+$D142-$E142+$F142-$G142)</f>
        <v/>
      </c>
      <c r="K142" s="124">
        <f>IF($A142="","",MAX(0,$B142-$J142))</f>
        <v/>
      </c>
      <c r="L142" s="124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  <c r="U142" s="124">
        <f>IF($N142="","",$Q142*$R142)</f>
        <v/>
      </c>
    </row>
    <row r="143" ht="15" customHeight="1" s="80">
      <c r="J143" s="124">
        <f>IF($A143="","",$B143+$C143+$D143-$E143+$F143-$G143)</f>
        <v/>
      </c>
      <c r="K143" s="124">
        <f>IF($A143="","",MAX(0,$B143-$J143))</f>
        <v/>
      </c>
      <c r="L143" s="124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  <c r="U143" s="124">
        <f>IF($N143="","",$Q143*$R143)</f>
        <v/>
      </c>
    </row>
    <row r="144" ht="15" customHeight="1" s="80">
      <c r="J144" s="124">
        <f>IF($A144="","",$B144+$C144+$D144-$E144+$F144-$G144)</f>
        <v/>
      </c>
      <c r="K144" s="124">
        <f>IF($A144="","",MAX(0,$B144-$J144))</f>
        <v/>
      </c>
      <c r="L144" s="124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  <c r="U144" s="124">
        <f>IF($N144="","",$Q144*$R144)</f>
        <v/>
      </c>
    </row>
    <row r="145" ht="15" customHeight="1" s="80">
      <c r="J145" s="124">
        <f>IF($A145="","",$B145+$C145+$D145-$E145+$F145-$G145)</f>
        <v/>
      </c>
      <c r="K145" s="124">
        <f>IF($A145="","",MAX(0,$B145-$J145))</f>
        <v/>
      </c>
      <c r="L145" s="124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  <c r="U145" s="124">
        <f>IF($N145="","",$Q145*$R145)</f>
        <v/>
      </c>
    </row>
    <row r="146" ht="15" customHeight="1" s="80">
      <c r="J146" s="124">
        <f>IF($A146="","",$B146+$C146+$D146-$E146+$F146-$G146)</f>
        <v/>
      </c>
      <c r="K146" s="124">
        <f>IF($A146="","",MAX(0,$B146-$J146))</f>
        <v/>
      </c>
      <c r="L146" s="124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  <c r="U146" s="124">
        <f>IF($N146="","",$Q146*$R146)</f>
        <v/>
      </c>
    </row>
    <row r="147" ht="15" customHeight="1" s="80">
      <c r="J147" s="124">
        <f>IF($A147="","",$B147+$C147+$D147-$E147+$F147-$G147)</f>
        <v/>
      </c>
      <c r="K147" s="124">
        <f>IF($A147="","",MAX(0,$B147-$J147))</f>
        <v/>
      </c>
      <c r="L147" s="124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  <c r="U147" s="124">
        <f>IF($N147="","",$Q147*$R147)</f>
        <v/>
      </c>
    </row>
    <row r="148" ht="15" customHeight="1" s="80">
      <c r="J148" s="124">
        <f>IF($A148="","",$B148+$C148+$D148-$E148+$F148-$G148)</f>
        <v/>
      </c>
      <c r="K148" s="124">
        <f>IF($A148="","",MAX(0,$B148-$J148))</f>
        <v/>
      </c>
      <c r="L148" s="124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  <c r="U148" s="124">
        <f>IF($N148="","",$Q148*$R148)</f>
        <v/>
      </c>
    </row>
    <row r="149" ht="15" customHeight="1" s="80">
      <c r="J149" s="124">
        <f>IF($A149="","",$B149+$C149+$D149-$E149+$F149-$G149)</f>
        <v/>
      </c>
      <c r="K149" s="124">
        <f>IF($A149="","",MAX(0,$B149-$J149))</f>
        <v/>
      </c>
      <c r="L149" s="124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  <c r="U149" s="124">
        <f>IF($N149="","",$Q149*$R149)</f>
        <v/>
      </c>
    </row>
    <row r="150" ht="15" customHeight="1" s="80">
      <c r="J150" s="124">
        <f>IF($A150="","",$B150+$C150+$D150-$E150+$F150-$G150)</f>
        <v/>
      </c>
      <c r="K150" s="124">
        <f>IF($A150="","",MAX(0,$B150-$J150))</f>
        <v/>
      </c>
      <c r="L150" s="124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  <c r="U150" s="124">
        <f>IF($N150="","",$Q150*$R150)</f>
        <v/>
      </c>
    </row>
    <row r="151" ht="15" customHeight="1" s="80">
      <c r="J151" s="124">
        <f>IF($A151="","",$B151+$C151+$D151-$E151+$F151-$G151)</f>
        <v/>
      </c>
      <c r="K151" s="124">
        <f>IF($A151="","",MAX(0,$B151-$J151))</f>
        <v/>
      </c>
      <c r="L151" s="124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  <c r="U151" s="124">
        <f>IF($N151="","",$Q151*$R151)</f>
        <v/>
      </c>
    </row>
    <row r="152" ht="15" customHeight="1" s="80">
      <c r="J152" s="124">
        <f>IF($A152="","",$B152+$C152+$D152-$E152+$F152-$G152)</f>
        <v/>
      </c>
      <c r="K152" s="124">
        <f>IF($A152="","",MAX(0,$B152-$J152))</f>
        <v/>
      </c>
      <c r="L152" s="124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  <c r="U152" s="124">
        <f>IF($N152="","",$Q152*$R152)</f>
        <v/>
      </c>
    </row>
    <row r="153" ht="15" customHeight="1" s="80">
      <c r="J153" s="124">
        <f>IF($A153="","",$B153+$C153+$D153-$E153+$F153-$G153)</f>
        <v/>
      </c>
      <c r="K153" s="124">
        <f>IF($A153="","",MAX(0,$B153-$J153))</f>
        <v/>
      </c>
      <c r="L153" s="124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  <c r="U153" s="124">
        <f>IF($N153="","",$Q153*$R153)</f>
        <v/>
      </c>
    </row>
    <row r="154" ht="15" customHeight="1" s="80">
      <c r="J154" s="124">
        <f>IF($A154="","",$B154+$C154+$D154-$E154+$F154-$G154)</f>
        <v/>
      </c>
      <c r="K154" s="124">
        <f>IF($A154="","",MAX(0,$B154-$J154))</f>
        <v/>
      </c>
      <c r="L154" s="124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  <c r="U154" s="124">
        <f>IF($N154="","",$Q154*$R154)</f>
        <v/>
      </c>
    </row>
    <row r="155" ht="15" customHeight="1" s="80">
      <c r="J155" s="124">
        <f>IF($A155="","",$B155+$C155+$D155-$E155+$F155-$G155)</f>
        <v/>
      </c>
      <c r="K155" s="124">
        <f>IF($A155="","",MAX(0,$B155-$J155))</f>
        <v/>
      </c>
      <c r="L155" s="124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  <c r="U155" s="124">
        <f>IF($N155="","",$Q155*$R155)</f>
        <v/>
      </c>
    </row>
    <row r="156" ht="15" customHeight="1" s="80">
      <c r="J156" s="124">
        <f>IF($A156="","",$B156+$C156+$D156-$E156+$F156-$G156)</f>
        <v/>
      </c>
      <c r="K156" s="124">
        <f>IF($A156="","",MAX(0,$B156-$J156))</f>
        <v/>
      </c>
      <c r="L156" s="124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  <c r="U156" s="124">
        <f>IF($N156="","",$Q156*$R156)</f>
        <v/>
      </c>
    </row>
    <row r="157" ht="15" customHeight="1" s="80">
      <c r="J157" s="124">
        <f>IF($A157="","",$B157+$C157+$D157-$E157+$F157-$G157)</f>
        <v/>
      </c>
      <c r="K157" s="124">
        <f>IF($A157="","",MAX(0,$B157-$J157))</f>
        <v/>
      </c>
      <c r="L157" s="124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  <c r="U157" s="124">
        <f>IF($N157="","",$Q157*$R157)</f>
        <v/>
      </c>
    </row>
    <row r="158" ht="15" customHeight="1" s="80">
      <c r="J158" s="124">
        <f>IF($A158="","",$B158+$C158+$D158-$E158+$F158-$G158)</f>
        <v/>
      </c>
      <c r="K158" s="124">
        <f>IF($A158="","",MAX(0,$B158-$J158))</f>
        <v/>
      </c>
      <c r="L158" s="124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  <c r="U158" s="124">
        <f>IF($N158="","",$Q158*$R158)</f>
        <v/>
      </c>
    </row>
    <row r="159" ht="15" customHeight="1" s="80">
      <c r="J159" s="124">
        <f>IF($A159="","",$B159+$C159+$D159-$E159+$F159-$G159)</f>
        <v/>
      </c>
      <c r="K159" s="124">
        <f>IF($A159="","",MAX(0,$B159-$J159))</f>
        <v/>
      </c>
      <c r="L159" s="124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  <c r="U159" s="124">
        <f>IF($N159="","",$Q159*$R159)</f>
        <v/>
      </c>
    </row>
    <row r="160" ht="15" customHeight="1" s="80">
      <c r="J160" s="124">
        <f>IF($A160="","",$B160+$C160+$D160-$E160+$F160-$G160)</f>
        <v/>
      </c>
      <c r="K160" s="124">
        <f>IF($A160="","",MAX(0,$B160-$J160))</f>
        <v/>
      </c>
      <c r="L160" s="124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  <c r="U160" s="124">
        <f>IF($N160="","",$Q160*$R160)</f>
        <v/>
      </c>
    </row>
    <row r="161" ht="15" customHeight="1" s="80">
      <c r="J161" s="124">
        <f>IF($A161="","",$B161+$C161+$D161-$E161+$F161-$G161)</f>
        <v/>
      </c>
      <c r="K161" s="124">
        <f>IF($A161="","",MAX(0,$B161-$J161))</f>
        <v/>
      </c>
      <c r="L161" s="124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  <c r="U161" s="124">
        <f>IF($N161="","",$Q161*$R161)</f>
        <v/>
      </c>
    </row>
    <row r="162" ht="15" customHeight="1" s="80">
      <c r="J162" s="124">
        <f>IF($A162="","",$B162+$C162+$D162-$E162+$F162-$G162)</f>
        <v/>
      </c>
      <c r="K162" s="124">
        <f>IF($A162="","",MAX(0,$B162-$J162))</f>
        <v/>
      </c>
      <c r="L162" s="124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  <c r="U162" s="124">
        <f>IF($N162="","",$Q162*$R162)</f>
        <v/>
      </c>
    </row>
    <row r="163" ht="15" customHeight="1" s="80">
      <c r="J163" s="124">
        <f>IF($A163="","",$B163+$C163+$D163-$E163+$F163-$G163)</f>
        <v/>
      </c>
      <c r="K163" s="124">
        <f>IF($A163="","",MAX(0,$B163-$J163))</f>
        <v/>
      </c>
      <c r="L163" s="124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  <c r="U163" s="124">
        <f>IF($N163="","",$Q163*$R163)</f>
        <v/>
      </c>
    </row>
    <row r="164" ht="15" customHeight="1" s="80">
      <c r="J164" s="124">
        <f>IF($A164="","",$B164+$C164+$D164-$E164+$F164-$G164)</f>
        <v/>
      </c>
      <c r="K164" s="124">
        <f>IF($A164="","",MAX(0,$B164-$J164))</f>
        <v/>
      </c>
      <c r="L164" s="124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  <c r="U164" s="124">
        <f>IF($N164="","",$Q164*$R164)</f>
        <v/>
      </c>
    </row>
    <row r="165" ht="15" customHeight="1" s="80">
      <c r="J165" s="124">
        <f>IF($A165="","",$B165+$C165+$D165-$E165+$F165-$G165)</f>
        <v/>
      </c>
      <c r="K165" s="124">
        <f>IF($A165="","",MAX(0,$B165-$J165))</f>
        <v/>
      </c>
      <c r="L165" s="124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  <c r="U165" s="124">
        <f>IF($N165="","",$Q165*$R165)</f>
        <v/>
      </c>
    </row>
    <row r="166" ht="15" customHeight="1" s="80">
      <c r="J166" s="124">
        <f>IF($A166="","",$B166+$C166+$D166-$E166+$F166-$G166)</f>
        <v/>
      </c>
      <c r="K166" s="124">
        <f>IF($A166="","",MAX(0,$B166-$J166))</f>
        <v/>
      </c>
      <c r="L166" s="124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  <c r="U166" s="124">
        <f>IF($N166="","",$Q166*$R166)</f>
        <v/>
      </c>
    </row>
    <row r="167" ht="15" customHeight="1" s="80">
      <c r="J167" s="124">
        <f>IF($A167="","",$B167+$C167+$D167-$E167+$F167-$G167)</f>
        <v/>
      </c>
      <c r="K167" s="124">
        <f>IF($A167="","",MAX(0,$B167-$J167))</f>
        <v/>
      </c>
      <c r="L167" s="124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  <c r="U167" s="124">
        <f>IF($N167="","",$Q167*$R167)</f>
        <v/>
      </c>
    </row>
    <row r="168" ht="15" customHeight="1" s="80">
      <c r="J168" s="124">
        <f>IF($A168="","",$B168+$C168+$D168-$E168+$F168-$G168)</f>
        <v/>
      </c>
      <c r="K168" s="124">
        <f>IF($A168="","",MAX(0,$B168-$J168))</f>
        <v/>
      </c>
      <c r="L168" s="124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  <c r="U168" s="124">
        <f>IF($N168="","",$Q168*$R168)</f>
        <v/>
      </c>
    </row>
    <row r="169" ht="15" customHeight="1" s="80">
      <c r="J169" s="124">
        <f>IF($A169="","",$B169+$C169+$D169-$E169+$F169-$G169)</f>
        <v/>
      </c>
      <c r="K169" s="124">
        <f>IF($A169="","",MAX(0,$B169-$J169))</f>
        <v/>
      </c>
      <c r="L169" s="124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  <c r="U169" s="124">
        <f>IF($N169="","",$Q169*$R169)</f>
        <v/>
      </c>
    </row>
    <row r="170" ht="15" customHeight="1" s="80">
      <c r="J170" s="124">
        <f>IF($A170="","",$B170+$C170+$D170-$E170+$F170-$G170)</f>
        <v/>
      </c>
      <c r="K170" s="124">
        <f>IF($A170="","",MAX(0,$B170-$J170))</f>
        <v/>
      </c>
      <c r="L170" s="124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  <c r="U170" s="124">
        <f>IF($N170="","",$Q170*$R170)</f>
        <v/>
      </c>
    </row>
    <row r="171" ht="15" customHeight="1" s="80">
      <c r="J171" s="124">
        <f>IF($A171="","",$B171+$C171+$D171-$E171+$F171-$G171)</f>
        <v/>
      </c>
      <c r="K171" s="124">
        <f>IF($A171="","",MAX(0,$B171-$J171))</f>
        <v/>
      </c>
      <c r="L171" s="124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  <c r="U171" s="124">
        <f>IF($N171="","",$Q171*$R171)</f>
        <v/>
      </c>
    </row>
    <row r="172" ht="15" customHeight="1" s="80">
      <c r="J172" s="124">
        <f>IF($A172="","",$B172+$C172+$D172-$E172+$F172-$G172)</f>
        <v/>
      </c>
      <c r="K172" s="124">
        <f>IF($A172="","",MAX(0,$B172-$J172))</f>
        <v/>
      </c>
      <c r="L172" s="124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  <c r="U172" s="124">
        <f>IF($N172="","",$Q172*$R172)</f>
        <v/>
      </c>
    </row>
    <row r="173" ht="15" customHeight="1" s="80">
      <c r="J173" s="124">
        <f>IF($A173="","",$B173+$C173+$D173-$E173+$F173-$G173)</f>
        <v/>
      </c>
      <c r="K173" s="124">
        <f>IF($A173="","",MAX(0,$B173-$J173))</f>
        <v/>
      </c>
      <c r="L173" s="124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  <c r="U173" s="124">
        <f>IF($N173="","",$Q173*$R173)</f>
        <v/>
      </c>
    </row>
    <row r="174" ht="15" customHeight="1" s="80">
      <c r="J174" s="124">
        <f>IF($A174="","",$B174+$C174+$D174-$E174+$F174-$G174)</f>
        <v/>
      </c>
      <c r="K174" s="124">
        <f>IF($A174="","",MAX(0,$B174-$J174))</f>
        <v/>
      </c>
      <c r="L174" s="124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  <c r="U174" s="124">
        <f>IF($N174="","",$Q174*$R174)</f>
        <v/>
      </c>
    </row>
    <row r="175" ht="15" customHeight="1" s="80">
      <c r="J175" s="124">
        <f>IF($A175="","",$B175+$C175+$D175-$E175+$F175-$G175)</f>
        <v/>
      </c>
      <c r="K175" s="124">
        <f>IF($A175="","",MAX(0,$B175-$J175))</f>
        <v/>
      </c>
      <c r="L175" s="124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  <c r="U175" s="124">
        <f>IF($N175="","",$Q175*$R175)</f>
        <v/>
      </c>
    </row>
    <row r="176" ht="15" customHeight="1" s="80">
      <c r="J176" s="124">
        <f>IF($A176="","",$B176+$C176+$D176-$E176+$F176-$G176)</f>
        <v/>
      </c>
      <c r="K176" s="124">
        <f>IF($A176="","",MAX(0,$B176-$J176))</f>
        <v/>
      </c>
      <c r="L176" s="124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  <c r="U176" s="124">
        <f>IF($N176="","",$Q176*$R176)</f>
        <v/>
      </c>
    </row>
    <row r="177" ht="15" customHeight="1" s="80">
      <c r="J177" s="124">
        <f>IF($A177="","",$B177+$C177+$D177-$E177+$F177-$G177)</f>
        <v/>
      </c>
      <c r="K177" s="124">
        <f>IF($A177="","",MAX(0,$B177-$J177))</f>
        <v/>
      </c>
      <c r="L177" s="124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  <c r="U177" s="124">
        <f>IF($N177="","",$Q177*$R177)</f>
        <v/>
      </c>
    </row>
    <row r="178" ht="15" customHeight="1" s="80">
      <c r="J178" s="124">
        <f>IF($A178="","",$B178+$C178+$D178-$E178+$F178-$G178)</f>
        <v/>
      </c>
      <c r="K178" s="124">
        <f>IF($A178="","",MAX(0,$B178-$J178))</f>
        <v/>
      </c>
      <c r="L178" s="124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  <c r="U178" s="124">
        <f>IF($N178="","",$Q178*$R178)</f>
        <v/>
      </c>
    </row>
    <row r="179" ht="15" customHeight="1" s="80">
      <c r="J179" s="124">
        <f>IF($A179="","",$B179+$C179+$D179-$E179+$F179-$G179)</f>
        <v/>
      </c>
      <c r="K179" s="124">
        <f>IF($A179="","",MAX(0,$B179-$J179))</f>
        <v/>
      </c>
      <c r="L179" s="124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  <c r="U179" s="124">
        <f>IF($N179="","",$Q179*$R179)</f>
        <v/>
      </c>
    </row>
    <row r="180" ht="15" customHeight="1" s="80">
      <c r="J180" s="124">
        <f>IF($A180="","",$B180+$C180+$D180-$E180+$F180-$G180)</f>
        <v/>
      </c>
      <c r="K180" s="124">
        <f>IF($A180="","",MAX(0,$B180-$J180))</f>
        <v/>
      </c>
      <c r="L180" s="124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  <c r="U180" s="124">
        <f>IF($N180="","",$Q180*$R180)</f>
        <v/>
      </c>
    </row>
    <row r="181" ht="15" customHeight="1" s="80">
      <c r="J181" s="124">
        <f>IF($A181="","",$B181+$C181+$D181-$E181+$F181-$G181)</f>
        <v/>
      </c>
      <c r="K181" s="124">
        <f>IF($A181="","",MAX(0,$B181-$J181))</f>
        <v/>
      </c>
      <c r="L181" s="124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  <c r="U181" s="124">
        <f>IF($N181="","",$Q181*$R181)</f>
        <v/>
      </c>
    </row>
    <row r="182" ht="15" customHeight="1" s="80">
      <c r="J182" s="124">
        <f>IF($A182="","",$B182+$C182+$D182-$E182+$F182-$G182)</f>
        <v/>
      </c>
      <c r="K182" s="124">
        <f>IF($A182="","",MAX(0,$B182-$J182))</f>
        <v/>
      </c>
      <c r="L182" s="124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  <c r="U182" s="124">
        <f>IF($N182="","",$Q182*$R182)</f>
        <v/>
      </c>
    </row>
    <row r="183" ht="15" customHeight="1" s="80">
      <c r="J183" s="124">
        <f>IF($A183="","",$B183+$C183+$D183-$E183+$F183-$G183)</f>
        <v/>
      </c>
      <c r="K183" s="124">
        <f>IF($A183="","",MAX(0,$B183-$J183))</f>
        <v/>
      </c>
      <c r="L183" s="124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  <c r="U183" s="124">
        <f>IF($N183="","",$Q183*$R183)</f>
        <v/>
      </c>
    </row>
    <row r="184" ht="15" customHeight="1" s="80">
      <c r="J184" s="124">
        <f>IF($A184="","",$B184+$C184+$D184-$E184+$F184-$G184)</f>
        <v/>
      </c>
      <c r="K184" s="124">
        <f>IF($A184="","",MAX(0,$B184-$J184))</f>
        <v/>
      </c>
      <c r="L184" s="124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  <c r="U184" s="124">
        <f>IF($N184="","",$Q184*$R184)</f>
        <v/>
      </c>
    </row>
    <row r="185" ht="15" customHeight="1" s="80">
      <c r="J185" s="124">
        <f>IF($A185="","",$B185+$C185+$D185-$E185+$F185-$G185)</f>
        <v/>
      </c>
      <c r="K185" s="124">
        <f>IF($A185="","",MAX(0,$B185-$J185))</f>
        <v/>
      </c>
      <c r="L185" s="124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  <c r="U185" s="124">
        <f>IF($N185="","",$Q185*$R185)</f>
        <v/>
      </c>
    </row>
    <row r="186" ht="15" customHeight="1" s="80">
      <c r="J186" s="124">
        <f>IF($A186="","",$B186+$C186+$D186-$E186+$F186-$G186)</f>
        <v/>
      </c>
      <c r="K186" s="124">
        <f>IF($A186="","",MAX(0,$B186-$J186))</f>
        <v/>
      </c>
      <c r="L186" s="124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  <c r="U186" s="124">
        <f>IF($N186="","",$Q186*$R186)</f>
        <v/>
      </c>
    </row>
    <row r="187" ht="15" customHeight="1" s="80">
      <c r="J187" s="124">
        <f>IF($A187="","",$B187+$C187+$D187-$E187+$F187-$G187)</f>
        <v/>
      </c>
      <c r="K187" s="124">
        <f>IF($A187="","",MAX(0,$B187-$J187))</f>
        <v/>
      </c>
      <c r="L187" s="124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  <c r="U187" s="124">
        <f>IF($N187="","",$Q187*$R187)</f>
        <v/>
      </c>
    </row>
    <row r="188" ht="15" customHeight="1" s="80">
      <c r="J188" s="124">
        <f>IF($A188="","",$B188+$C188+$D188-$E188+$F188-$G188)</f>
        <v/>
      </c>
      <c r="K188" s="124">
        <f>IF($A188="","",MAX(0,$B188-$J188))</f>
        <v/>
      </c>
      <c r="L188" s="124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  <c r="U188" s="124">
        <f>IF($N188="","",$Q188*$R188)</f>
        <v/>
      </c>
    </row>
    <row r="189" ht="15" customHeight="1" s="80">
      <c r="J189" s="124">
        <f>IF($A189="","",$B189+$C189+$D189-$E189+$F189-$G189)</f>
        <v/>
      </c>
      <c r="K189" s="124">
        <f>IF($A189="","",MAX(0,$B189-$J189))</f>
        <v/>
      </c>
      <c r="L189" s="124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  <c r="U189" s="124">
        <f>IF($N189="","",$Q189*$R189)</f>
        <v/>
      </c>
    </row>
    <row r="190" ht="15" customHeight="1" s="80">
      <c r="J190" s="124">
        <f>IF($A190="","",$B190+$C190+$D190-$E190+$F190-$G190)</f>
        <v/>
      </c>
      <c r="K190" s="124">
        <f>IF($A190="","",MAX(0,$B190-$J190))</f>
        <v/>
      </c>
      <c r="L190" s="124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  <c r="U190" s="124">
        <f>IF($N190="","",$Q190*$R190)</f>
        <v/>
      </c>
    </row>
    <row r="191" ht="15" customHeight="1" s="80">
      <c r="J191" s="124">
        <f>IF($A191="","",$B191+$C191+$D191-$E191+$F191-$G191)</f>
        <v/>
      </c>
      <c r="K191" s="124">
        <f>IF($A191="","",MAX(0,$B191-$J191))</f>
        <v/>
      </c>
      <c r="L191" s="124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  <c r="U191" s="124">
        <f>IF($N191="","",$Q191*$R191)</f>
        <v/>
      </c>
    </row>
    <row r="192" ht="15" customHeight="1" s="80">
      <c r="J192" s="124">
        <f>IF($A192="","",$B192+$C192+$D192-$E192+$F192-$G192)</f>
        <v/>
      </c>
      <c r="K192" s="124">
        <f>IF($A192="","",MAX(0,$B192-$J192))</f>
        <v/>
      </c>
      <c r="L192" s="124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  <c r="U192" s="124">
        <f>IF($N192="","",$Q192*$R192)</f>
        <v/>
      </c>
    </row>
    <row r="193" ht="15" customHeight="1" s="80">
      <c r="J193" s="124">
        <f>IF($A193="","",$B193+$C193+$D193-$E193+$F193-$G193)</f>
        <v/>
      </c>
      <c r="K193" s="124">
        <f>IF($A193="","",MAX(0,$B193-$J193))</f>
        <v/>
      </c>
      <c r="L193" s="124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  <c r="U193" s="124">
        <f>IF($N193="","",$Q193*$R193)</f>
        <v/>
      </c>
    </row>
    <row r="194" ht="15" customHeight="1" s="80">
      <c r="J194" s="124">
        <f>IF($A194="","",$B194+$C194+$D194-$E194+$F194-$G194)</f>
        <v/>
      </c>
      <c r="K194" s="124">
        <f>IF($A194="","",MAX(0,$B194-$J194))</f>
        <v/>
      </c>
      <c r="L194" s="124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  <c r="U194" s="124">
        <f>IF($N194="","",$Q194*$R194)</f>
        <v/>
      </c>
    </row>
    <row r="195" ht="15" customHeight="1" s="80">
      <c r="J195" s="124">
        <f>IF($A195="","",$B195+$C195+$D195-$E195+$F195-$G195)</f>
        <v/>
      </c>
      <c r="K195" s="124">
        <f>IF($A195="","",MAX(0,$B195-$J195))</f>
        <v/>
      </c>
      <c r="L195" s="124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  <c r="U195" s="124">
        <f>IF($N195="","",$Q195*$R195)</f>
        <v/>
      </c>
    </row>
    <row r="196" ht="15" customHeight="1" s="80">
      <c r="J196" s="124">
        <f>IF($A196="","",$B196+$C196+$D196-$E196+$F196-$G196)</f>
        <v/>
      </c>
      <c r="K196" s="124">
        <f>IF($A196="","",MAX(0,$B196-$J196))</f>
        <v/>
      </c>
      <c r="L196" s="124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  <c r="U196" s="124">
        <f>IF($N196="","",$Q196*$R196)</f>
        <v/>
      </c>
    </row>
    <row r="197" ht="15" customHeight="1" s="80">
      <c r="J197" s="124">
        <f>IF($A197="","",$B197+$C197+$D197-$E197+$F197-$G197)</f>
        <v/>
      </c>
      <c r="K197" s="124">
        <f>IF($A197="","",MAX(0,$B197-$J197))</f>
        <v/>
      </c>
      <c r="L197" s="124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  <c r="U197" s="124">
        <f>IF($N197="","",$Q197*$R197)</f>
        <v/>
      </c>
    </row>
    <row r="198" ht="15" customHeight="1" s="80">
      <c r="J198" s="124">
        <f>IF($A198="","",$B198+$C198+$D198-$E198+$F198-$G198)</f>
        <v/>
      </c>
      <c r="K198" s="124">
        <f>IF($A198="","",MAX(0,$B198-$J198))</f>
        <v/>
      </c>
      <c r="L198" s="124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  <c r="U198" s="124">
        <f>IF($N198="","",$Q198*$R198)</f>
        <v/>
      </c>
    </row>
    <row r="199" ht="15" customHeight="1" s="80">
      <c r="J199" s="124">
        <f>IF($A199="","",$B199+$C199+$D199-$E199+$F199-$G199)</f>
        <v/>
      </c>
      <c r="K199" s="124">
        <f>IF($A199="","",MAX(0,$B199-$J199))</f>
        <v/>
      </c>
      <c r="L199" s="124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  <c r="U199" s="124">
        <f>IF($N199="","",$Q199*$R199)</f>
        <v/>
      </c>
    </row>
    <row r="200" ht="15" customHeight="1" s="80">
      <c r="J200" s="124">
        <f>IF($A200="","",$B200+$C200+$D200-$E200+$F200-$G200)</f>
        <v/>
      </c>
      <c r="K200" s="124">
        <f>IF($A200="","",MAX(0,$B200-$J200))</f>
        <v/>
      </c>
      <c r="L200" s="124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  <c r="U200" s="124">
        <f>IF($N200="","",$Q200*$R200)</f>
        <v/>
      </c>
    </row>
    <row r="201" ht="15" customHeight="1" s="80">
      <c r="J201" s="124">
        <f>IF($A201="","",$B201+$C201+$D201-$E201+$F201-$G201)</f>
        <v/>
      </c>
      <c r="K201" s="124">
        <f>IF($A201="","",MAX(0,$B201-$J201))</f>
        <v/>
      </c>
      <c r="L201" s="124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  <c r="U201" s="124">
        <f>IF($N201="","",$Q201*$R201)</f>
        <v/>
      </c>
    </row>
    <row r="202" ht="15" customHeight="1" s="80">
      <c r="J202" s="124">
        <f>IF($A202="","",$B202+$C202+$D202-$E202+$F202-$G202)</f>
        <v/>
      </c>
      <c r="K202" s="124">
        <f>IF($A202="","",MAX(0,$B202-$J202))</f>
        <v/>
      </c>
      <c r="L202" s="124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  <c r="U202" s="124">
        <f>IF($N202="","",$Q202*$R202)</f>
        <v/>
      </c>
    </row>
    <row r="203" ht="15" customHeight="1" s="80">
      <c r="J203" s="124">
        <f>IF($A203="","",$B203+$C203+$D203-$E203+$F203-$G203)</f>
        <v/>
      </c>
      <c r="K203" s="124">
        <f>IF($A203="","",MAX(0,$B203-$J203))</f>
        <v/>
      </c>
      <c r="L203" s="124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  <c r="U203" s="124">
        <f>IF($N203="","",$Q203*$R203)</f>
        <v/>
      </c>
    </row>
    <row r="204" ht="15" customHeight="1" s="80">
      <c r="J204" s="124">
        <f>IF($A204="","",$B204+$C204+$D204-$E204+$F204-$G204)</f>
        <v/>
      </c>
      <c r="K204" s="124">
        <f>IF($A204="","",MAX(0,$B204-$J204))</f>
        <v/>
      </c>
      <c r="L204" s="124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  <c r="U204" s="124">
        <f>IF($N204="","",$Q204*$R204)</f>
        <v/>
      </c>
    </row>
    <row r="205" ht="15" customHeight="1" s="80">
      <c r="J205" s="124">
        <f>IF($A205="","",$B205+$C205+$D205-$E205+$F205-$G205)</f>
        <v/>
      </c>
      <c r="K205" s="124">
        <f>IF($A205="","",MAX(0,$B205-$J205))</f>
        <v/>
      </c>
      <c r="L205" s="124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  <c r="U205" s="124">
        <f>IF($N205="","",$Q205*$R205)</f>
        <v/>
      </c>
    </row>
    <row r="206" ht="15" customHeight="1" s="80">
      <c r="J206" s="124">
        <f>IF($A206="","",$B206+$C206+$D206-$E206+$F206-$G206)</f>
        <v/>
      </c>
      <c r="K206" s="124">
        <f>IF($A206="","",MAX(0,$B206-$J206))</f>
        <v/>
      </c>
      <c r="L206" s="124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  <c r="U206" s="124">
        <f>IF($N206="","",$Q206*$R206)</f>
        <v/>
      </c>
    </row>
    <row r="207" ht="15" customHeight="1" s="80">
      <c r="J207" s="124">
        <f>IF($A207="","",$B207+$C207+$D207-$E207+$F207-$G207)</f>
        <v/>
      </c>
      <c r="K207" s="124">
        <f>IF($A207="","",MAX(0,$B207-$J207))</f>
        <v/>
      </c>
      <c r="L207" s="124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  <c r="U207" s="124">
        <f>IF($N207="","",$Q207*$R207)</f>
        <v/>
      </c>
    </row>
    <row r="208" ht="15" customHeight="1" s="80">
      <c r="J208" s="124">
        <f>IF($A208="","",$B208+$C208+$D208-$E208+$F208-$G208)</f>
        <v/>
      </c>
      <c r="K208" s="124">
        <f>IF($A208="","",MAX(0,$B208-$J208))</f>
        <v/>
      </c>
      <c r="L208" s="124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  <c r="U208" s="124">
        <f>IF($N208="","",$Q208*$R208)</f>
        <v/>
      </c>
    </row>
    <row r="209" ht="15" customHeight="1" s="80">
      <c r="J209" s="124">
        <f>IF($A209="","",$B209+$C209+$D209-$E209+$F209-$G209)</f>
        <v/>
      </c>
      <c r="K209" s="124">
        <f>IF($A209="","",MAX(0,$B209-$J209))</f>
        <v/>
      </c>
      <c r="L209" s="124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  <c r="U209" s="124">
        <f>IF($N209="","",$Q209*$R209)</f>
        <v/>
      </c>
    </row>
    <row r="210" ht="15" customHeight="1" s="80">
      <c r="J210" s="124">
        <f>IF($A210="","",$B210+$C210+$D210-$E210+$F210-$G210)</f>
        <v/>
      </c>
      <c r="K210" s="124">
        <f>IF($A210="","",MAX(0,$B210-$J210))</f>
        <v/>
      </c>
      <c r="L210" s="124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  <c r="U210" s="124">
        <f>IF($N210="","",$Q210*$R210)</f>
        <v/>
      </c>
    </row>
    <row r="211" ht="15" customHeight="1" s="80">
      <c r="J211" s="124">
        <f>IF($A211="","",$B211+$C211+$D211-$E211+$F211-$G211)</f>
        <v/>
      </c>
      <c r="K211" s="124">
        <f>IF($A211="","",MAX(0,$B211-$J211))</f>
        <v/>
      </c>
      <c r="L211" s="124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  <c r="U211" s="124">
        <f>IF($N211="","",$Q211*$R211)</f>
        <v/>
      </c>
    </row>
    <row r="212" ht="15" customHeight="1" s="80">
      <c r="J212" s="124">
        <f>IF($A212="","",$B212+$C212+$D212-$E212+$F212-$G212)</f>
        <v/>
      </c>
      <c r="K212" s="124">
        <f>IF($A212="","",MAX(0,$B212-$J212))</f>
        <v/>
      </c>
      <c r="L212" s="124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  <c r="U212" s="124">
        <f>IF($N212="","",$Q212*$R212)</f>
        <v/>
      </c>
    </row>
    <row r="213" ht="15" customHeight="1" s="80">
      <c r="J213" s="124">
        <f>IF($A213="","",$B213+$C213+$D213-$E213+$F213-$G213)</f>
        <v/>
      </c>
      <c r="K213" s="124">
        <f>IF($A213="","",MAX(0,$B213-$J213))</f>
        <v/>
      </c>
      <c r="L213" s="124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  <c r="U213" s="124">
        <f>IF($N213="","",$Q213*$R213)</f>
        <v/>
      </c>
    </row>
    <row r="214" ht="15" customHeight="1" s="80">
      <c r="J214" s="124">
        <f>IF($A214="","",$B214+$C214+$D214-$E214+$F214-$G214)</f>
        <v/>
      </c>
      <c r="K214" s="124">
        <f>IF($A214="","",MAX(0,$B214-$J214))</f>
        <v/>
      </c>
      <c r="L214" s="124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  <c r="U214" s="124">
        <f>IF($N214="","",$Q214*$R214)</f>
        <v/>
      </c>
    </row>
    <row r="215" ht="15" customHeight="1" s="80">
      <c r="J215" s="124">
        <f>IF($A215="","",$B215+$C215+$D215-$E215+$F215-$G215)</f>
        <v/>
      </c>
      <c r="K215" s="124">
        <f>IF($A215="","",MAX(0,$B215-$J215))</f>
        <v/>
      </c>
      <c r="L215" s="124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  <c r="U215" s="124">
        <f>IF($N215="","",$Q215*$R215)</f>
        <v/>
      </c>
    </row>
    <row r="216" ht="15" customHeight="1" s="80">
      <c r="J216" s="124">
        <f>IF($A216="","",$B216+$C216+$D216-$E216+$F216-$G216)</f>
        <v/>
      </c>
      <c r="K216" s="124">
        <f>IF($A216="","",MAX(0,$B216-$J216))</f>
        <v/>
      </c>
      <c r="L216" s="124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  <c r="U216" s="124">
        <f>IF($N216="","",$Q216*$R216)</f>
        <v/>
      </c>
    </row>
    <row r="217" ht="15" customHeight="1" s="80">
      <c r="J217" s="124">
        <f>IF($A217="","",$B217+$C217+$D217-$E217+$F217-$G217)</f>
        <v/>
      </c>
      <c r="K217" s="124">
        <f>IF($A217="","",MAX(0,$B217-$J217))</f>
        <v/>
      </c>
      <c r="L217" s="124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  <c r="U217" s="124">
        <f>IF($N217="","",$Q217*$R217)</f>
        <v/>
      </c>
    </row>
    <row r="218" ht="15" customHeight="1" s="80">
      <c r="J218" s="124">
        <f>IF($A218="","",$B218+$C218+$D218-$E218+$F218-$G218)</f>
        <v/>
      </c>
      <c r="K218" s="124">
        <f>IF($A218="","",MAX(0,$B218-$J218))</f>
        <v/>
      </c>
      <c r="L218" s="124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  <c r="U218" s="124">
        <f>IF($N218="","",$Q218*$R218)</f>
        <v/>
      </c>
    </row>
    <row r="219" ht="15" customHeight="1" s="80">
      <c r="J219" s="124">
        <f>IF($A219="","",$B219+$C219+$D219-$E219+$F219-$G219)</f>
        <v/>
      </c>
      <c r="K219" s="124">
        <f>IF($A219="","",MAX(0,$B219-$J219))</f>
        <v/>
      </c>
      <c r="L219" s="124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  <c r="U219" s="124">
        <f>IF($N219="","",$Q219*$R219)</f>
        <v/>
      </c>
    </row>
    <row r="220" ht="15" customHeight="1" s="80">
      <c r="J220" s="124">
        <f>IF($A220="","",$B220+$C220+$D220-$E220+$F220-$G220)</f>
        <v/>
      </c>
      <c r="K220" s="124">
        <f>IF($A220="","",MAX(0,$B220-$J220))</f>
        <v/>
      </c>
      <c r="L220" s="124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  <c r="U220" s="124">
        <f>IF($N220="","",$Q220*$R220)</f>
        <v/>
      </c>
    </row>
    <row r="221" ht="15" customHeight="1" s="80">
      <c r="J221" s="124">
        <f>IF($A221="","",$B221+$C221+$D221-$E221+$F221-$G221)</f>
        <v/>
      </c>
      <c r="K221" s="124">
        <f>IF($A221="","",MAX(0,$B221-$J221))</f>
        <v/>
      </c>
      <c r="L221" s="124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  <c r="U221" s="124">
        <f>IF($N221="","",$Q221*$R221)</f>
        <v/>
      </c>
    </row>
    <row r="222" ht="15" customHeight="1" s="80">
      <c r="J222" s="124">
        <f>IF($A222="","",$B222+$C222+$D222-$E222+$F222-$G222)</f>
        <v/>
      </c>
      <c r="K222" s="124">
        <f>IF($A222="","",MAX(0,$B222-$J222))</f>
        <v/>
      </c>
      <c r="L222" s="124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  <c r="U222" s="124">
        <f>IF($N222="","",$Q222*$R222)</f>
        <v/>
      </c>
    </row>
    <row r="223" ht="15" customHeight="1" s="80">
      <c r="J223" s="124">
        <f>IF($A223="","",$B223+$C223+$D223-$E223+$F223-$G223)</f>
        <v/>
      </c>
      <c r="K223" s="124">
        <f>IF($A223="","",MAX(0,$B223-$J223))</f>
        <v/>
      </c>
      <c r="L223" s="124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  <c r="U223" s="124">
        <f>IF($N223="","",$Q223*$R223)</f>
        <v/>
      </c>
    </row>
    <row r="224" ht="15" customHeight="1" s="80">
      <c r="J224" s="124">
        <f>IF($A224="","",$B224+$C224+$D224-$E224+$F224-$G224)</f>
        <v/>
      </c>
      <c r="K224" s="124">
        <f>IF($A224="","",MAX(0,$B224-$J224))</f>
        <v/>
      </c>
      <c r="L224" s="124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  <c r="U224" s="124">
        <f>IF($N224="","",$Q224*$R224)</f>
        <v/>
      </c>
    </row>
    <row r="225" ht="15" customHeight="1" s="80">
      <c r="J225" s="124">
        <f>IF($A225="","",$B225+$C225+$D225-$E225+$F225-$G225)</f>
        <v/>
      </c>
      <c r="K225" s="124">
        <f>IF($A225="","",MAX(0,$B225-$J225))</f>
        <v/>
      </c>
      <c r="L225" s="124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  <c r="U225" s="124">
        <f>IF($N225="","",$Q225*$R225)</f>
        <v/>
      </c>
    </row>
    <row r="226" ht="15" customHeight="1" s="80">
      <c r="J226" s="124">
        <f>IF($A226="","",$B226+$C226+$D226-$E226+$F226-$G226)</f>
        <v/>
      </c>
      <c r="K226" s="124">
        <f>IF($A226="","",MAX(0,$B226-$J226))</f>
        <v/>
      </c>
      <c r="L226" s="124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  <c r="U226" s="124">
        <f>IF($N226="","",$Q226*$R226)</f>
        <v/>
      </c>
    </row>
    <row r="227" ht="15" customHeight="1" s="80">
      <c r="J227" s="124">
        <f>IF($A227="","",$B227+$C227+$D227-$E227+$F227-$G227)</f>
        <v/>
      </c>
      <c r="K227" s="124">
        <f>IF($A227="","",MAX(0,$B227-$J227))</f>
        <v/>
      </c>
      <c r="L227" s="124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  <c r="U227" s="124">
        <f>IF($N227="","",$Q227*$R227)</f>
        <v/>
      </c>
    </row>
    <row r="228" ht="15" customHeight="1" s="80">
      <c r="J228" s="124">
        <f>IF($A228="","",$B228+$C228+$D228-$E228+$F228-$G228)</f>
        <v/>
      </c>
      <c r="K228" s="124">
        <f>IF($A228="","",MAX(0,$B228-$J228))</f>
        <v/>
      </c>
      <c r="L228" s="124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  <c r="U228" s="124">
        <f>IF($N228="","",$Q228*$R228)</f>
        <v/>
      </c>
    </row>
    <row r="229" ht="15" customHeight="1" s="80">
      <c r="J229" s="124">
        <f>IF($A229="","",$B229+$C229+$D229-$E229+$F229-$G229)</f>
        <v/>
      </c>
      <c r="K229" s="124">
        <f>IF($A229="","",MAX(0,$B229-$J229))</f>
        <v/>
      </c>
      <c r="L229" s="124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  <c r="U229" s="124">
        <f>IF($N229="","",$Q229*$R229)</f>
        <v/>
      </c>
    </row>
    <row r="230" ht="15" customHeight="1" s="80">
      <c r="J230" s="124">
        <f>IF($A230="","",$B230+$C230+$D230-$E230+$F230-$G230)</f>
        <v/>
      </c>
      <c r="K230" s="124">
        <f>IF($A230="","",MAX(0,$B230-$J230))</f>
        <v/>
      </c>
      <c r="L230" s="124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  <c r="U230" s="124">
        <f>IF($N230="","",$Q230*$R230)</f>
        <v/>
      </c>
    </row>
    <row r="231" ht="15" customHeight="1" s="80">
      <c r="J231" s="124">
        <f>IF($A231="","",$B231+$C231+$D231-$E231+$F231-$G231)</f>
        <v/>
      </c>
      <c r="K231" s="124">
        <f>IF($A231="","",MAX(0,$B231-$J231))</f>
        <v/>
      </c>
      <c r="L231" s="124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  <c r="U231" s="124">
        <f>IF($N231="","",$Q231*$R231)</f>
        <v/>
      </c>
    </row>
    <row r="232" ht="15" customHeight="1" s="80">
      <c r="J232" s="124">
        <f>IF($A232="","",$B232+$C232+$D232-$E232+$F232-$G232)</f>
        <v/>
      </c>
      <c r="K232" s="124">
        <f>IF($A232="","",MAX(0,$B232-$J232))</f>
        <v/>
      </c>
      <c r="L232" s="124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  <c r="U232" s="124">
        <f>IF($N232="","",$Q232*$R232)</f>
        <v/>
      </c>
    </row>
    <row r="233" ht="15" customHeight="1" s="80">
      <c r="J233" s="124">
        <f>IF($A233="","",$B233+$C233+$D233-$E233+$F233-$G233)</f>
        <v/>
      </c>
      <c r="K233" s="124">
        <f>IF($A233="","",MAX(0,$B233-$J233))</f>
        <v/>
      </c>
      <c r="L233" s="124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  <c r="U233" s="124">
        <f>IF($N233="","",$Q233*$R233)</f>
        <v/>
      </c>
    </row>
    <row r="234" ht="15" customHeight="1" s="80">
      <c r="J234" s="124">
        <f>IF($A234="","",$B234+$C234+$D234-$E234+$F234-$G234)</f>
        <v/>
      </c>
      <c r="K234" s="124">
        <f>IF($A234="","",MAX(0,$B234-$J234))</f>
        <v/>
      </c>
      <c r="L234" s="124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  <c r="U234" s="124">
        <f>IF($N234="","",$Q234*$R234)</f>
        <v/>
      </c>
    </row>
    <row r="235" ht="15" customHeight="1" s="80">
      <c r="J235" s="124">
        <f>IF($A235="","",$B235+$C235+$D235-$E235+$F235-$G235)</f>
        <v/>
      </c>
      <c r="K235" s="124">
        <f>IF($A235="","",MAX(0,$B235-$J235))</f>
        <v/>
      </c>
      <c r="L235" s="124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  <c r="U235" s="124">
        <f>IF($N235="","",$Q235*$R235)</f>
        <v/>
      </c>
    </row>
    <row r="236" ht="15" customHeight="1" s="80">
      <c r="J236" s="124">
        <f>IF($A236="","",$B236+$C236+$D236-$E236+$F236-$G236)</f>
        <v/>
      </c>
      <c r="K236" s="124">
        <f>IF($A236="","",MAX(0,$B236-$J236))</f>
        <v/>
      </c>
      <c r="L236" s="124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  <c r="U236" s="124">
        <f>IF($N236="","",$Q236*$R236)</f>
        <v/>
      </c>
    </row>
    <row r="237" ht="15" customHeight="1" s="80">
      <c r="J237" s="124">
        <f>IF($A237="","",$B237+$C237+$D237-$E237+$F237-$G237)</f>
        <v/>
      </c>
      <c r="K237" s="124">
        <f>IF($A237="","",MAX(0,$B237-$J237))</f>
        <v/>
      </c>
      <c r="L237" s="124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  <c r="U237" s="124">
        <f>IF($N237="","",$Q237*$R237)</f>
        <v/>
      </c>
    </row>
    <row r="238" ht="15" customHeight="1" s="80">
      <c r="J238" s="124">
        <f>IF($A238="","",$B238+$C238+$D238-$E238+$F238-$G238)</f>
        <v/>
      </c>
      <c r="K238" s="124">
        <f>IF($A238="","",MAX(0,$B238-$J238))</f>
        <v/>
      </c>
      <c r="L238" s="124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  <c r="U238" s="124">
        <f>IF($N238="","",$Q238*$R238)</f>
        <v/>
      </c>
    </row>
    <row r="239" ht="15" customHeight="1" s="80">
      <c r="J239" s="124">
        <f>IF($A239="","",$B239+$C239+$D239-$E239+$F239-$G239)</f>
        <v/>
      </c>
      <c r="K239" s="124">
        <f>IF($A239="","",MAX(0,$B239-$J239))</f>
        <v/>
      </c>
      <c r="L239" s="124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  <c r="U239" s="124">
        <f>IF($N239="","",$Q239*$R239)</f>
        <v/>
      </c>
    </row>
    <row r="240" ht="15" customHeight="1" s="80">
      <c r="J240" s="124">
        <f>IF($A240="","",$B240+$C240+$D240-$E240+$F240-$G240)</f>
        <v/>
      </c>
      <c r="K240" s="124">
        <f>IF($A240="","",MAX(0,$B240-$J240))</f>
        <v/>
      </c>
      <c r="L240" s="124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  <c r="U240" s="124">
        <f>IF($N240="","",$Q240*$R240)</f>
        <v/>
      </c>
    </row>
    <row r="241" ht="15" customHeight="1" s="80">
      <c r="J241" s="124">
        <f>IF($A241="","",$B241+$C241+$D241-$E241+$F241-$G241)</f>
        <v/>
      </c>
      <c r="K241" s="124">
        <f>IF($A241="","",MAX(0,$B241-$J241))</f>
        <v/>
      </c>
      <c r="L241" s="124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  <c r="U241" s="124">
        <f>IF($N241="","",$Q241*$R241)</f>
        <v/>
      </c>
    </row>
    <row r="242" ht="15" customHeight="1" s="80">
      <c r="J242" s="124">
        <f>IF($A242="","",$B242+$C242+$D242-$E242+$F242-$G242)</f>
        <v/>
      </c>
      <c r="K242" s="124">
        <f>IF($A242="","",MAX(0,$B242-$J242))</f>
        <v/>
      </c>
      <c r="L242" s="124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  <c r="U242" s="124">
        <f>IF($N242="","",$Q242*$R242)</f>
        <v/>
      </c>
    </row>
    <row r="243" ht="15" customHeight="1" s="80">
      <c r="J243" s="124">
        <f>IF($A243="","",$B243+$C243+$D243-$E243+$F243-$G243)</f>
        <v/>
      </c>
      <c r="K243" s="124">
        <f>IF($A243="","",MAX(0,$B243-$J243))</f>
        <v/>
      </c>
      <c r="L243" s="124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  <c r="U243" s="124">
        <f>IF($N243="","",$Q243*$R243)</f>
        <v/>
      </c>
    </row>
    <row r="244" ht="15" customHeight="1" s="80">
      <c r="J244" s="124">
        <f>IF($A244="","",$B244+$C244+$D244-$E244+$F244-$G244)</f>
        <v/>
      </c>
      <c r="K244" s="124">
        <f>IF($A244="","",MAX(0,$B244-$J244))</f>
        <v/>
      </c>
      <c r="L244" s="124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  <c r="U244" s="124">
        <f>IF($N244="","",$Q244*$R244)</f>
        <v/>
      </c>
    </row>
    <row r="245" ht="15" customHeight="1" s="80">
      <c r="J245" s="124">
        <f>IF($A245="","",$B245+$C245+$D245-$E245+$F245-$G245)</f>
        <v/>
      </c>
      <c r="K245" s="124">
        <f>IF($A245="","",MAX(0,$B245-$J245))</f>
        <v/>
      </c>
      <c r="L245" s="124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  <c r="U245" s="124">
        <f>IF($N245="","",$Q245*$R245)</f>
        <v/>
      </c>
    </row>
    <row r="246" ht="15" customHeight="1" s="80">
      <c r="J246" s="124">
        <f>IF($A246="","",$B246+$C246+$D246-$E246+$F246-$G246)</f>
        <v/>
      </c>
      <c r="K246" s="124">
        <f>IF($A246="","",MAX(0,$B246-$J246))</f>
        <v/>
      </c>
      <c r="L246" s="124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  <c r="U246" s="124">
        <f>IF($N246="","",$Q246*$R246)</f>
        <v/>
      </c>
    </row>
    <row r="247" ht="15" customHeight="1" s="80">
      <c r="J247" s="124">
        <f>IF($A247="","",$B247+$C247+$D247-$E247+$F247-$G247)</f>
        <v/>
      </c>
      <c r="K247" s="124">
        <f>IF($A247="","",MAX(0,$B247-$J247))</f>
        <v/>
      </c>
      <c r="L247" s="124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  <c r="U247" s="124">
        <f>IF($N247="","",$Q247*$R247)</f>
        <v/>
      </c>
    </row>
    <row r="248" ht="15" customHeight="1" s="80">
      <c r="J248" s="124">
        <f>IF($A248="","",$B248+$C248+$D248-$E248+$F248-$G248)</f>
        <v/>
      </c>
      <c r="K248" s="124">
        <f>IF($A248="","",MAX(0,$B248-$J248))</f>
        <v/>
      </c>
      <c r="L248" s="124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  <c r="U248" s="124">
        <f>IF($N248="","",$Q248*$R248)</f>
        <v/>
      </c>
    </row>
    <row r="249" ht="15" customHeight="1" s="80">
      <c r="J249" s="124">
        <f>IF($A249="","",$B249+$C249+$D249-$E249+$F249-$G249)</f>
        <v/>
      </c>
      <c r="K249" s="124">
        <f>IF($A249="","",MAX(0,$B249-$J249))</f>
        <v/>
      </c>
      <c r="L249" s="124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  <c r="U249" s="124">
        <f>IF($N249="","",$Q249*$R249)</f>
        <v/>
      </c>
    </row>
    <row r="250" ht="15" customHeight="1" s="80">
      <c r="J250" s="124">
        <f>IF($A250="","",$B250+$C250+$D250-$E250+$F250-$G250)</f>
        <v/>
      </c>
      <c r="K250" s="124">
        <f>IF($A250="","",MAX(0,$B250-$J250))</f>
        <v/>
      </c>
      <c r="L250" s="124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  <c r="U250" s="124">
        <f>IF($N250="","",$Q250*$R250)</f>
        <v/>
      </c>
    </row>
    <row r="251" ht="15" customHeight="1" s="80">
      <c r="J251" s="124">
        <f>IF($A251="","",$B251+$C251+$D251-$E251+$F251-$G251)</f>
        <v/>
      </c>
      <c r="K251" s="124">
        <f>IF($A251="","",MAX(0,$B251-$J251))</f>
        <v/>
      </c>
      <c r="L251" s="124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  <c r="U251" s="124">
        <f>IF($N251="","",$Q251*$R251)</f>
        <v/>
      </c>
    </row>
    <row r="252" ht="15" customHeight="1" s="80">
      <c r="J252" s="124">
        <f>IF($A252="","",$B252+$C252+$D252-$E252+$F252-$G252)</f>
        <v/>
      </c>
      <c r="K252" s="124">
        <f>IF($A252="","",MAX(0,$B252-$J252))</f>
        <v/>
      </c>
      <c r="L252" s="124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  <c r="U252" s="124">
        <f>IF($N252="","",$Q252*$R252)</f>
        <v/>
      </c>
    </row>
    <row r="253" ht="15" customHeight="1" s="80">
      <c r="J253" s="124">
        <f>IF($A253="","",$B253+$C253+$D253-$E253+$F253-$G253)</f>
        <v/>
      </c>
      <c r="K253" s="124">
        <f>IF($A253="","",MAX(0,$B253-$J253))</f>
        <v/>
      </c>
      <c r="L253" s="124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  <c r="U253" s="124">
        <f>IF($N253="","",$Q253*$R253)</f>
        <v/>
      </c>
    </row>
    <row r="254" ht="15" customHeight="1" s="80">
      <c r="J254" s="124">
        <f>IF($A254="","",$B254+$C254+$D254-$E254+$F254-$G254)</f>
        <v/>
      </c>
      <c r="K254" s="124">
        <f>IF($A254="","",MAX(0,$B254-$J254))</f>
        <v/>
      </c>
      <c r="L254" s="124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  <c r="U254" s="124">
        <f>IF($N254="","",$Q254*$R254)</f>
        <v/>
      </c>
    </row>
    <row r="255" ht="15" customHeight="1" s="80">
      <c r="J255" s="124">
        <f>IF($A255="","",$B255+$C255+$D255-$E255+$F255-$G255)</f>
        <v/>
      </c>
      <c r="K255" s="124">
        <f>IF($A255="","",MAX(0,$B255-$J255))</f>
        <v/>
      </c>
      <c r="L255" s="124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  <c r="U255" s="124">
        <f>IF($N255="","",$Q255*$R255)</f>
        <v/>
      </c>
    </row>
    <row r="256" ht="15" customHeight="1" s="80">
      <c r="J256" s="124">
        <f>IF($A256="","",$B256+$C256+$D256-$E256+$F256-$G256)</f>
        <v/>
      </c>
      <c r="K256" s="124">
        <f>IF($A256="","",MAX(0,$B256-$J256))</f>
        <v/>
      </c>
      <c r="L256" s="124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  <c r="U256" s="124">
        <f>IF($N256="","",$Q256*$R256)</f>
        <v/>
      </c>
    </row>
    <row r="257" ht="15" customHeight="1" s="80">
      <c r="J257" s="124">
        <f>IF($A257="","",$B257+$C257+$D257-$E257+$F257-$G257)</f>
        <v/>
      </c>
      <c r="K257" s="124">
        <f>IF($A257="","",MAX(0,$B257-$J257))</f>
        <v/>
      </c>
      <c r="L257" s="124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  <c r="U257" s="124">
        <f>IF($N257="","",$Q257*$R257)</f>
        <v/>
      </c>
    </row>
    <row r="258" ht="15" customHeight="1" s="80">
      <c r="J258" s="124">
        <f>IF($A258="","",$B258+$C258+$D258-$E258+$F258-$G258)</f>
        <v/>
      </c>
      <c r="K258" s="124">
        <f>IF($A258="","",MAX(0,$B258-$J258))</f>
        <v/>
      </c>
      <c r="L258" s="124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  <c r="U258" s="124">
        <f>IF($N258="","",$Q258*$R258)</f>
        <v/>
      </c>
    </row>
    <row r="259" ht="15" customHeight="1" s="80">
      <c r="J259" s="124">
        <f>IF($A259="","",$B259+$C259+$D259-$E259+$F259-$G259)</f>
        <v/>
      </c>
      <c r="K259" s="124">
        <f>IF($A259="","",MAX(0,$B259-$J259))</f>
        <v/>
      </c>
      <c r="L259" s="124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  <c r="U259" s="124">
        <f>IF($N259="","",$Q259*$R259)</f>
        <v/>
      </c>
    </row>
    <row r="260" ht="15" customHeight="1" s="80">
      <c r="J260" s="124">
        <f>IF($A260="","",$B260+$C260+$D260-$E260+$F260-$G260)</f>
        <v/>
      </c>
      <c r="K260" s="124">
        <f>IF($A260="","",MAX(0,$B260-$J260))</f>
        <v/>
      </c>
      <c r="L260" s="124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  <c r="U260" s="124">
        <f>IF($N260="","",$Q260*$R260)</f>
        <v/>
      </c>
    </row>
    <row r="261" ht="15" customHeight="1" s="80">
      <c r="J261" s="124">
        <f>IF($A261="","",$B261+$C261+$D261-$E261+$F261-$G261)</f>
        <v/>
      </c>
      <c r="K261" s="124">
        <f>IF($A261="","",MAX(0,$B261-$J261))</f>
        <v/>
      </c>
      <c r="L261" s="124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  <c r="U261" s="124">
        <f>IF($N261="","",$Q261*$R261)</f>
        <v/>
      </c>
    </row>
    <row r="262" ht="15" customHeight="1" s="80">
      <c r="J262" s="124">
        <f>IF($A262="","",$B262+$C262+$D262-$E262+$F262-$G262)</f>
        <v/>
      </c>
      <c r="K262" s="124">
        <f>IF($A262="","",MAX(0,$B262-$J262))</f>
        <v/>
      </c>
      <c r="L262" s="124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  <c r="U262" s="124">
        <f>IF($N262="","",$Q262*$R262)</f>
        <v/>
      </c>
    </row>
    <row r="263" ht="15" customHeight="1" s="80">
      <c r="J263" s="124">
        <f>IF($A263="","",$B263+$C263+$D263-$E263+$F263-$G263)</f>
        <v/>
      </c>
      <c r="K263" s="124">
        <f>IF($A263="","",MAX(0,$B263-$J263))</f>
        <v/>
      </c>
      <c r="L263" s="124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  <c r="U263" s="124">
        <f>IF($N263="","",$Q263*$R263)</f>
        <v/>
      </c>
    </row>
    <row r="264" ht="15" customHeight="1" s="80">
      <c r="J264" s="124">
        <f>IF($A264="","",$B264+$C264+$D264-$E264+$F264-$G264)</f>
        <v/>
      </c>
      <c r="K264" s="124">
        <f>IF($A264="","",MAX(0,$B264-$J264))</f>
        <v/>
      </c>
      <c r="L264" s="124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  <c r="U264" s="124">
        <f>IF($N264="","",$Q264*$R264)</f>
        <v/>
      </c>
    </row>
    <row r="265" ht="15" customHeight="1" s="80">
      <c r="J265" s="124">
        <f>IF($A265="","",$B265+$C265+$D265-$E265+$F265-$G265)</f>
        <v/>
      </c>
      <c r="K265" s="124">
        <f>IF($A265="","",MAX(0,$B265-$J265))</f>
        <v/>
      </c>
      <c r="L265" s="124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  <c r="U265" s="124">
        <f>IF($N265="","",$Q265*$R265)</f>
        <v/>
      </c>
    </row>
    <row r="266" ht="15" customHeight="1" s="80">
      <c r="J266" s="124">
        <f>IF($A266="","",$B266+$C266+$D266-$E266+$F266-$G266)</f>
        <v/>
      </c>
      <c r="K266" s="124">
        <f>IF($A266="","",MAX(0,$B266-$J266))</f>
        <v/>
      </c>
      <c r="L266" s="124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  <c r="U266" s="124">
        <f>IF($N266="","",$Q266*$R266)</f>
        <v/>
      </c>
    </row>
    <row r="267" ht="15" customHeight="1" s="80">
      <c r="J267" s="124">
        <f>IF($A267="","",$B267+$C267+$D267-$E267+$F267-$G267)</f>
        <v/>
      </c>
      <c r="K267" s="124">
        <f>IF($A267="","",MAX(0,$B267-$J267))</f>
        <v/>
      </c>
      <c r="L267" s="124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  <c r="U267" s="124">
        <f>IF($N267="","",$Q267*$R267)</f>
        <v/>
      </c>
    </row>
    <row r="268" ht="15" customHeight="1" s="80">
      <c r="J268" s="124">
        <f>IF($A268="","",$B268+$C268+$D268-$E268+$F268-$G268)</f>
        <v/>
      </c>
      <c r="K268" s="124">
        <f>IF($A268="","",MAX(0,$B268-$J268))</f>
        <v/>
      </c>
      <c r="L268" s="124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  <c r="U268" s="124">
        <f>IF($N268="","",$Q268*$R268)</f>
        <v/>
      </c>
    </row>
    <row r="269" ht="15" customHeight="1" s="80">
      <c r="J269" s="124">
        <f>IF($A269="","",$B269+$C269+$D269-$E269+$F269-$G269)</f>
        <v/>
      </c>
      <c r="K269" s="124">
        <f>IF($A269="","",MAX(0,$B269-$J269))</f>
        <v/>
      </c>
      <c r="L269" s="124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  <c r="U269" s="124">
        <f>IF($N269="","",$Q269*$R269)</f>
        <v/>
      </c>
    </row>
    <row r="270" ht="15" customHeight="1" s="80">
      <c r="J270" s="124">
        <f>IF($A270="","",$B270+$C270+$D270-$E270+$F270-$G270)</f>
        <v/>
      </c>
      <c r="K270" s="124">
        <f>IF($A270="","",MAX(0,$B270-$J270))</f>
        <v/>
      </c>
      <c r="L270" s="124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  <c r="U270" s="124">
        <f>IF($N270="","",$Q270*$R270)</f>
        <v/>
      </c>
    </row>
    <row r="271" ht="15" customHeight="1" s="80">
      <c r="J271" s="124">
        <f>IF($A271="","",$B271+$C271+$D271-$E271+$F271-$G271)</f>
        <v/>
      </c>
      <c r="K271" s="124">
        <f>IF($A271="","",MAX(0,$B271-$J271))</f>
        <v/>
      </c>
      <c r="L271" s="124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  <c r="U271" s="124">
        <f>IF($N271="","",$Q271*$R271)</f>
        <v/>
      </c>
    </row>
    <row r="272" ht="15" customHeight="1" s="80">
      <c r="J272" s="124">
        <f>IF($A272="","",$B272+$C272+$D272-$E272+$F272-$G272)</f>
        <v/>
      </c>
      <c r="K272" s="124">
        <f>IF($A272="","",MAX(0,$B272-$J272))</f>
        <v/>
      </c>
      <c r="L272" s="124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  <c r="U272" s="124">
        <f>IF($N272="","",$Q272*$R272)</f>
        <v/>
      </c>
    </row>
    <row r="273" ht="15" customHeight="1" s="80">
      <c r="J273" s="124">
        <f>IF($A273="","",$B273+$C273+$D273-$E273+$F273-$G273)</f>
        <v/>
      </c>
      <c r="K273" s="124">
        <f>IF($A273="","",MAX(0,$B273-$J273))</f>
        <v/>
      </c>
      <c r="L273" s="124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  <c r="U273" s="124">
        <f>IF($N273="","",$Q273*$R273)</f>
        <v/>
      </c>
    </row>
    <row r="274" ht="15" customHeight="1" s="80">
      <c r="J274" s="124">
        <f>IF($A274="","",$B274+$C274+$D274-$E274+$F274-$G274)</f>
        <v/>
      </c>
      <c r="K274" s="124">
        <f>IF($A274="","",MAX(0,$B274-$J274))</f>
        <v/>
      </c>
      <c r="L274" s="124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  <c r="U274" s="124">
        <f>IF($N274="","",$Q274*$R274)</f>
        <v/>
      </c>
    </row>
    <row r="275" ht="15" customHeight="1" s="80">
      <c r="J275" s="124">
        <f>IF($A275="","",$B275+$C275+$D275-$E275+$F275-$G275)</f>
        <v/>
      </c>
      <c r="K275" s="124">
        <f>IF($A275="","",MAX(0,$B275-$J275))</f>
        <v/>
      </c>
      <c r="L275" s="124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  <c r="U275" s="124">
        <f>IF($N275="","",$Q275*$R275)</f>
        <v/>
      </c>
    </row>
    <row r="276" ht="15" customHeight="1" s="80">
      <c r="J276" s="124">
        <f>IF($A276="","",$B276+$C276+$D276-$E276+$F276-$G276)</f>
        <v/>
      </c>
      <c r="K276" s="124">
        <f>IF($A276="","",MAX(0,$B276-$J276))</f>
        <v/>
      </c>
      <c r="L276" s="124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  <c r="U276" s="124">
        <f>IF($N276="","",$Q276*$R276)</f>
        <v/>
      </c>
    </row>
    <row r="277" ht="15" customHeight="1" s="80">
      <c r="J277" s="124">
        <f>IF($A277="","",$B277+$C277+$D277-$E277+$F277-$G277)</f>
        <v/>
      </c>
      <c r="K277" s="124">
        <f>IF($A277="","",MAX(0,$B277-$J277))</f>
        <v/>
      </c>
      <c r="L277" s="124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  <c r="U277" s="124">
        <f>IF($N277="","",$Q277*$R277)</f>
        <v/>
      </c>
    </row>
    <row r="278" ht="15" customHeight="1" s="80">
      <c r="J278" s="124">
        <f>IF($A278="","",$B278+$C278+$D278-$E278+$F278-$G278)</f>
        <v/>
      </c>
      <c r="K278" s="124">
        <f>IF($A278="","",MAX(0,$B278-$J278))</f>
        <v/>
      </c>
      <c r="L278" s="124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  <c r="U278" s="124">
        <f>IF($N278="","",$Q278*$R278)</f>
        <v/>
      </c>
    </row>
    <row r="279" ht="15" customHeight="1" s="80">
      <c r="J279" s="124">
        <f>IF($A279="","",$B279+$C279+$D279-$E279+$F279-$G279)</f>
        <v/>
      </c>
      <c r="K279" s="124">
        <f>IF($A279="","",MAX(0,$B279-$J279))</f>
        <v/>
      </c>
      <c r="L279" s="124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  <c r="U279" s="124">
        <f>IF($N279="","",$Q279*$R279)</f>
        <v/>
      </c>
    </row>
    <row r="280" ht="15" customHeight="1" s="80">
      <c r="J280" s="124">
        <f>IF($A280="","",$B280+$C280+$D280-$E280+$F280-$G280)</f>
        <v/>
      </c>
      <c r="K280" s="124">
        <f>IF($A280="","",MAX(0,$B280-$J280))</f>
        <v/>
      </c>
      <c r="L280" s="124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  <c r="U280" s="124">
        <f>IF($N280="","",$Q280*$R280)</f>
        <v/>
      </c>
    </row>
    <row r="281" ht="15" customHeight="1" s="80">
      <c r="J281" s="124">
        <f>IF($A281="","",$B281+$C281+$D281-$E281+$F281-$G281)</f>
        <v/>
      </c>
      <c r="K281" s="124">
        <f>IF($A281="","",MAX(0,$B281-$J281))</f>
        <v/>
      </c>
      <c r="L281" s="124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  <c r="U281" s="124">
        <f>IF($N281="","",$Q281*$R281)</f>
        <v/>
      </c>
    </row>
    <row r="282" ht="15" customHeight="1" s="80">
      <c r="J282" s="124">
        <f>IF($A282="","",$B282+$C282+$D282-$E282+$F282-$G282)</f>
        <v/>
      </c>
      <c r="K282" s="124">
        <f>IF($A282="","",MAX(0,$B282-$J282))</f>
        <v/>
      </c>
      <c r="L282" s="124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  <c r="U282" s="124">
        <f>IF($N282="","",$Q282*$R282)</f>
        <v/>
      </c>
    </row>
    <row r="283" ht="15" customHeight="1" s="80">
      <c r="J283" s="124">
        <f>IF($A283="","",$B283+$C283+$D283-$E283+$F283-$G283)</f>
        <v/>
      </c>
      <c r="K283" s="124">
        <f>IF($A283="","",MAX(0,$B283-$J283))</f>
        <v/>
      </c>
      <c r="L283" s="124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  <c r="U283" s="124">
        <f>IF($N283="","",$Q283*$R283)</f>
        <v/>
      </c>
    </row>
    <row r="284" ht="15" customHeight="1" s="80">
      <c r="J284" s="124">
        <f>IF($A284="","",$B284+$C284+$D284-$E284+$F284-$G284)</f>
        <v/>
      </c>
      <c r="K284" s="124">
        <f>IF($A284="","",MAX(0,$B284-$J284))</f>
        <v/>
      </c>
      <c r="L284" s="124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  <c r="U284" s="124">
        <f>IF($N284="","",$Q284*$R284)</f>
        <v/>
      </c>
    </row>
    <row r="285" ht="15" customHeight="1" s="80">
      <c r="J285" s="124">
        <f>IF($A285="","",$B285+$C285+$D285-$E285+$F285-$G285)</f>
        <v/>
      </c>
      <c r="K285" s="124">
        <f>IF($A285="","",MAX(0,$B285-$J285))</f>
        <v/>
      </c>
      <c r="L285" s="124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  <c r="U285" s="124">
        <f>IF($N285="","",$Q285*$R285)</f>
        <v/>
      </c>
    </row>
    <row r="286" ht="15" customHeight="1" s="80">
      <c r="J286" s="124">
        <f>IF($A286="","",$B286+$C286+$D286-$E286+$F286-$G286)</f>
        <v/>
      </c>
      <c r="K286" s="124">
        <f>IF($A286="","",MAX(0,$B286-$J286))</f>
        <v/>
      </c>
      <c r="L286" s="124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  <c r="U286" s="124">
        <f>IF($N286="","",$Q286*$R286)</f>
        <v/>
      </c>
    </row>
    <row r="287" ht="15" customHeight="1" s="80">
      <c r="J287" s="124">
        <f>IF($A287="","",$B287+$C287+$D287-$E287+$F287-$G287)</f>
        <v/>
      </c>
      <c r="K287" s="124">
        <f>IF($A287="","",MAX(0,$B287-$J287))</f>
        <v/>
      </c>
      <c r="L287" s="124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  <c r="U287" s="124">
        <f>IF($N287="","",$Q287*$R287)</f>
        <v/>
      </c>
    </row>
    <row r="288" ht="15" customHeight="1" s="80">
      <c r="J288" s="124">
        <f>IF($A288="","",$B288+$C288+$D288-$E288+$F288-$G288)</f>
        <v/>
      </c>
      <c r="K288" s="124">
        <f>IF($A288="","",MAX(0,$B288-$J288))</f>
        <v/>
      </c>
      <c r="L288" s="124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  <c r="U288" s="124">
        <f>IF($N288="","",$Q288*$R288)</f>
        <v/>
      </c>
    </row>
    <row r="289" ht="15" customHeight="1" s="80">
      <c r="J289" s="124">
        <f>IF($A289="","",$B289+$C289+$D289-$E289+$F289-$G289)</f>
        <v/>
      </c>
      <c r="K289" s="124">
        <f>IF($A289="","",MAX(0,$B289-$J289))</f>
        <v/>
      </c>
      <c r="L289" s="124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  <c r="U289" s="124">
        <f>IF($N289="","",$Q289*$R289)</f>
        <v/>
      </c>
    </row>
    <row r="290" ht="15" customHeight="1" s="80">
      <c r="J290" s="124">
        <f>IF($A290="","",$B290+$C290+$D290-$E290+$F290-$G290)</f>
        <v/>
      </c>
      <c r="K290" s="124">
        <f>IF($A290="","",MAX(0,$B290-$J290))</f>
        <v/>
      </c>
      <c r="L290" s="124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  <c r="U290" s="124">
        <f>IF($N290="","",$Q290*$R290)</f>
        <v/>
      </c>
    </row>
    <row r="291" ht="15" customHeight="1" s="80">
      <c r="J291" s="124">
        <f>IF($A291="","",$B291+$C291+$D291-$E291+$F291-$G291)</f>
        <v/>
      </c>
      <c r="K291" s="124">
        <f>IF($A291="","",MAX(0,$B291-$J291))</f>
        <v/>
      </c>
      <c r="L291" s="124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  <c r="U291" s="124">
        <f>IF($N291="","",$Q291*$R291)</f>
        <v/>
      </c>
    </row>
    <row r="292" ht="15" customHeight="1" s="80">
      <c r="J292" s="124">
        <f>IF($A292="","",$B292+$C292+$D292-$E292+$F292-$G292)</f>
        <v/>
      </c>
      <c r="K292" s="124">
        <f>IF($A292="","",MAX(0,$B292-$J292))</f>
        <v/>
      </c>
      <c r="L292" s="124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  <c r="U292" s="124">
        <f>IF($N292="","",$Q292*$R292)</f>
        <v/>
      </c>
    </row>
    <row r="293" ht="15" customHeight="1" s="80">
      <c r="J293" s="124">
        <f>IF($A293="","",$B293+$C293+$D293-$E293+$F293-$G293)</f>
        <v/>
      </c>
      <c r="K293" s="124">
        <f>IF($A293="","",MAX(0,$B293-$J293))</f>
        <v/>
      </c>
      <c r="L293" s="124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  <c r="U293" s="124">
        <f>IF($N293="","",$Q293*$R293)</f>
        <v/>
      </c>
    </row>
    <row r="294" ht="15" customHeight="1" s="80">
      <c r="J294" s="124">
        <f>IF($A294="","",$B294+$C294+$D294-$E294+$F294-$G294)</f>
        <v/>
      </c>
      <c r="K294" s="124">
        <f>IF($A294="","",MAX(0,$B294-$J294))</f>
        <v/>
      </c>
      <c r="L294" s="124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  <c r="U294" s="124">
        <f>IF($N294="","",$Q294*$R294)</f>
        <v/>
      </c>
    </row>
    <row r="295" ht="15" customHeight="1" s="80">
      <c r="J295" s="124">
        <f>IF($A295="","",$B295+$C295+$D295-$E295+$F295-$G295)</f>
        <v/>
      </c>
      <c r="K295" s="124">
        <f>IF($A295="","",MAX(0,$B295-$J295))</f>
        <v/>
      </c>
      <c r="L295" s="124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  <c r="U295" s="124">
        <f>IF($N295="","",$Q295*$R295)</f>
        <v/>
      </c>
    </row>
    <row r="296" ht="15" customHeight="1" s="80">
      <c r="J296" s="124">
        <f>IF($A296="","",$B296+$C296+$D296-$E296+$F296-$G296)</f>
        <v/>
      </c>
      <c r="K296" s="124">
        <f>IF($A296="","",MAX(0,$B296-$J296))</f>
        <v/>
      </c>
      <c r="L296" s="124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  <c r="U296" s="124">
        <f>IF($N296="","",$Q296*$R296)</f>
        <v/>
      </c>
    </row>
    <row r="297" ht="15" customHeight="1" s="80">
      <c r="J297" s="124">
        <f>IF($A297="","",$B297+$C297+$D297-$E297+$F297-$G297)</f>
        <v/>
      </c>
      <c r="K297" s="124">
        <f>IF($A297="","",MAX(0,$B297-$J297))</f>
        <v/>
      </c>
      <c r="L297" s="124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  <c r="U297" s="124">
        <f>IF($N297="","",$Q297*$R297)</f>
        <v/>
      </c>
    </row>
    <row r="298" ht="15" customHeight="1" s="80">
      <c r="J298" s="124">
        <f>IF($A298="","",$B298+$C298+$D298-$E298+$F298-$G298)</f>
        <v/>
      </c>
      <c r="K298" s="124">
        <f>IF($A298="","",MAX(0,$B298-$J298))</f>
        <v/>
      </c>
      <c r="L298" s="124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  <c r="U298" s="124">
        <f>IF($N298="","",$Q298*$R298)</f>
        <v/>
      </c>
    </row>
    <row r="299" ht="15" customHeight="1" s="80">
      <c r="J299" s="124">
        <f>IF($A299="","",$B299+$C299+$D299-$E299+$F299-$G299)</f>
        <v/>
      </c>
      <c r="K299" s="124">
        <f>IF($A299="","",MAX(0,$B299-$J299))</f>
        <v/>
      </c>
      <c r="L299" s="124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  <c r="U299" s="124">
        <f>IF($N299="","",$Q299*$R299)</f>
        <v/>
      </c>
    </row>
    <row r="300" ht="15" customHeight="1" s="80">
      <c r="J300" s="124">
        <f>IF($A300="","",$B300+$C300+$D300-$E300+$F300-$G300)</f>
        <v/>
      </c>
      <c r="K300" s="124">
        <f>IF($A300="","",MAX(0,$B300-$J300))</f>
        <v/>
      </c>
      <c r="L300" s="124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  <c r="U300" s="124">
        <f>IF($N300="","",$Q300*$R300)</f>
        <v/>
      </c>
    </row>
    <row r="301" ht="15" customHeight="1" s="80">
      <c r="J301" s="124">
        <f>IF($A301="","",$B301+$C301+$D301-$E301+$F301-$G301)</f>
        <v/>
      </c>
      <c r="K301" s="124">
        <f>IF($A301="","",MAX(0,$B301-$J301))</f>
        <v/>
      </c>
      <c r="L301" s="124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  <c r="U301" s="124">
        <f>IF($N301="","",$Q301*$R301)</f>
        <v/>
      </c>
    </row>
    <row r="302" ht="15" customHeight="1" s="80">
      <c r="J302" s="124">
        <f>IF($A302="","",$B302+$C302+$D302-$E302+$F302-$G302)</f>
        <v/>
      </c>
      <c r="K302" s="124">
        <f>IF($A302="","",MAX(0,$B302-$J302))</f>
        <v/>
      </c>
      <c r="L302" s="124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  <c r="U302" s="124">
        <f>IF($N302="","",$Q302*$R302)</f>
        <v/>
      </c>
    </row>
    <row r="303" ht="15" customHeight="1" s="80">
      <c r="J303" s="124">
        <f>IF($A303="","",$B303+$C303+$D303-$E303+$F303-$G303)</f>
        <v/>
      </c>
      <c r="K303" s="124">
        <f>IF($A303="","",MAX(0,$B303-$J303))</f>
        <v/>
      </c>
      <c r="L303" s="124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  <c r="U303" s="124">
        <f>IF($N303="","",$Q303*$R303)</f>
        <v/>
      </c>
    </row>
    <row r="304" ht="15" customHeight="1" s="80">
      <c r="J304" s="124">
        <f>IF($A304="","",$B304+$C304+$D304-$E304+$F304-$G304)</f>
        <v/>
      </c>
      <c r="K304" s="124">
        <f>IF($A304="","",MAX(0,$B304-$J304))</f>
        <v/>
      </c>
      <c r="L304" s="124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  <c r="U304" s="124">
        <f>IF($N304="","",$Q304*$R304)</f>
        <v/>
      </c>
    </row>
    <row r="305" ht="15" customHeight="1" s="80">
      <c r="J305" s="124">
        <f>IF($A305="","",$B305+$C305+$D305-$E305+$F305-$G305)</f>
        <v/>
      </c>
      <c r="K305" s="124">
        <f>IF($A305="","",MAX(0,$B305-$J305))</f>
        <v/>
      </c>
      <c r="L305" s="124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  <c r="U305" s="124">
        <f>IF($N305="","",$Q305*$R305)</f>
        <v/>
      </c>
    </row>
    <row r="306" ht="15" customHeight="1" s="80">
      <c r="J306" s="124">
        <f>IF($A306="","",$B306+$C306+$D306-$E306+$F306-$G306)</f>
        <v/>
      </c>
      <c r="K306" s="124">
        <f>IF($A306="","",MAX(0,$B306-$J306))</f>
        <v/>
      </c>
      <c r="L306" s="124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  <c r="U306" s="124">
        <f>IF($N306="","",$Q306*$R306)</f>
        <v/>
      </c>
    </row>
    <row r="307" ht="15" customHeight="1" s="80">
      <c r="J307" s="124">
        <f>IF($A307="","",$B307+$C307+$D307-$E307+$F307-$G307)</f>
        <v/>
      </c>
      <c r="K307" s="124">
        <f>IF($A307="","",MAX(0,$B307-$J307))</f>
        <v/>
      </c>
      <c r="L307" s="124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  <c r="U307" s="124">
        <f>IF($N307="","",$Q307*$R307)</f>
        <v/>
      </c>
    </row>
    <row r="308" ht="15" customHeight="1" s="80">
      <c r="J308" s="124">
        <f>IF($A308="","",$B308+$C308+$D308-$E308+$F308-$G308)</f>
        <v/>
      </c>
      <c r="K308" s="124">
        <f>IF($A308="","",MAX(0,$B308-$J308))</f>
        <v/>
      </c>
      <c r="L308" s="124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  <c r="U308" s="124">
        <f>IF($N308="","",$Q308*$R308)</f>
        <v/>
      </c>
    </row>
    <row r="309" ht="15" customHeight="1" s="80">
      <c r="J309" s="124">
        <f>IF($A309="","",$B309+$C309+$D309-$E309+$F309-$G309)</f>
        <v/>
      </c>
      <c r="K309" s="124">
        <f>IF($A309="","",MAX(0,$B309-$J309))</f>
        <v/>
      </c>
      <c r="L309" s="124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  <c r="U309" s="124">
        <f>IF($N309="","",$Q309*$R309)</f>
        <v/>
      </c>
    </row>
    <row r="310" ht="15" customHeight="1" s="80">
      <c r="J310" s="124">
        <f>IF($A310="","",$B310+$C310+$D310-$E310+$F310-$G310)</f>
        <v/>
      </c>
      <c r="K310" s="124">
        <f>IF($A310="","",MAX(0,$B310-$J310))</f>
        <v/>
      </c>
      <c r="L310" s="124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  <c r="U310" s="124">
        <f>IF($N310="","",$Q310*$R310)</f>
        <v/>
      </c>
    </row>
    <row r="311" ht="15" customHeight="1" s="80">
      <c r="J311" s="124">
        <f>IF($A311="","",$B311+$C311+$D311-$E311+$F311-$G311)</f>
        <v/>
      </c>
      <c r="K311" s="124">
        <f>IF($A311="","",MAX(0,$B311-$J311))</f>
        <v/>
      </c>
      <c r="L311" s="124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  <c r="U311" s="124">
        <f>IF($N311="","",$Q311*$R311)</f>
        <v/>
      </c>
    </row>
    <row r="312" ht="15" customHeight="1" s="80">
      <c r="J312" s="124">
        <f>IF($A312="","",$B312+$C312+$D312-$E312+$F312-$G312)</f>
        <v/>
      </c>
      <c r="K312" s="124">
        <f>IF($A312="","",MAX(0,$B312-$J312))</f>
        <v/>
      </c>
      <c r="L312" s="124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  <c r="U312" s="124">
        <f>IF($N312="","",$Q312*$R312)</f>
        <v/>
      </c>
    </row>
    <row r="313" ht="15" customHeight="1" s="80">
      <c r="J313" s="124">
        <f>IF($A313="","",$B313+$C313+$D313-$E313+$F313-$G313)</f>
        <v/>
      </c>
      <c r="K313" s="124">
        <f>IF($A313="","",MAX(0,$B313-$J313))</f>
        <v/>
      </c>
      <c r="L313" s="124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  <c r="U313" s="124">
        <f>IF($N313="","",$Q313*$R313)</f>
        <v/>
      </c>
    </row>
    <row r="314" ht="15" customHeight="1" s="80">
      <c r="J314" s="124">
        <f>IF($A314="","",$B314+$C314+$D314-$E314+$F314-$G314)</f>
        <v/>
      </c>
      <c r="K314" s="124">
        <f>IF($A314="","",MAX(0,$B314-$J314))</f>
        <v/>
      </c>
      <c r="L314" s="124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  <c r="U314" s="124">
        <f>IF($N314="","",$Q314*$R314)</f>
        <v/>
      </c>
    </row>
    <row r="315" ht="15" customHeight="1" s="80">
      <c r="J315" s="124">
        <f>IF($A315="","",$B315+$C315+$D315-$E315+$F315-$G315)</f>
        <v/>
      </c>
      <c r="K315" s="124">
        <f>IF($A315="","",MAX(0,$B315-$J315))</f>
        <v/>
      </c>
      <c r="L315" s="124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  <c r="U315" s="124">
        <f>IF($N315="","",$Q315*$R315)</f>
        <v/>
      </c>
    </row>
    <row r="316" ht="15" customHeight="1" s="80">
      <c r="J316" s="124">
        <f>IF($A316="","",$B316+$C316+$D316-$E316+$F316-$G316)</f>
        <v/>
      </c>
      <c r="K316" s="124">
        <f>IF($A316="","",MAX(0,$B316-$J316))</f>
        <v/>
      </c>
      <c r="L316" s="124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  <c r="U316" s="124">
        <f>IF($N316="","",$Q316*$R316)</f>
        <v/>
      </c>
    </row>
    <row r="317" ht="15" customHeight="1" s="80">
      <c r="J317" s="124">
        <f>IF($A317="","",$B317+$C317+$D317-$E317+$F317-$G317)</f>
        <v/>
      </c>
      <c r="K317" s="124">
        <f>IF($A317="","",MAX(0,$B317-$J317))</f>
        <v/>
      </c>
      <c r="L317" s="124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  <c r="U317" s="124">
        <f>IF($N317="","",$Q317*$R317)</f>
        <v/>
      </c>
    </row>
    <row r="318" ht="15" customHeight="1" s="80">
      <c r="J318" s="124">
        <f>IF($A318="","",$B318+$C318+$D318-$E318+$F318-$G318)</f>
        <v/>
      </c>
      <c r="K318" s="124">
        <f>IF($A318="","",MAX(0,$B318-$J318))</f>
        <v/>
      </c>
      <c r="L318" s="124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  <c r="U318" s="124">
        <f>IF($N318="","",$Q318*$R318)</f>
        <v/>
      </c>
    </row>
    <row r="319" ht="15" customHeight="1" s="80">
      <c r="J319" s="124">
        <f>IF($A319="","",$B319+$C319+$D319-$E319+$F319-$G319)</f>
        <v/>
      </c>
      <c r="K319" s="124">
        <f>IF($A319="","",MAX(0,$B319-$J319))</f>
        <v/>
      </c>
      <c r="L319" s="124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  <c r="U319" s="124">
        <f>IF($N319="","",$Q319*$R319)</f>
        <v/>
      </c>
    </row>
    <row r="320" ht="15" customHeight="1" s="80">
      <c r="J320" s="124">
        <f>IF($A320="","",$B320+$C320+$D320-$E320+$F320-$G320)</f>
        <v/>
      </c>
      <c r="K320" s="124">
        <f>IF($A320="","",MAX(0,$B320-$J320))</f>
        <v/>
      </c>
      <c r="L320" s="124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  <c r="U320" s="124">
        <f>IF($N320="","",$Q320*$R320)</f>
        <v/>
      </c>
    </row>
    <row r="321" ht="15" customHeight="1" s="80">
      <c r="J321" s="124">
        <f>IF($A321="","",$B321+$C321+$D321-$E321+$F321-$G321)</f>
        <v/>
      </c>
      <c r="K321" s="124">
        <f>IF($A321="","",MAX(0,$B321-$J321))</f>
        <v/>
      </c>
      <c r="L321" s="124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  <c r="U321" s="124">
        <f>IF($N321="","",$Q321*$R321)</f>
        <v/>
      </c>
    </row>
    <row r="322" ht="15" customHeight="1" s="80">
      <c r="J322" s="124">
        <f>IF($A322="","",$B322+$C322+$D322-$E322+$F322-$G322)</f>
        <v/>
      </c>
      <c r="K322" s="124">
        <f>IF($A322="","",MAX(0,$B322-$J322))</f>
        <v/>
      </c>
      <c r="L322" s="124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  <c r="U322" s="124">
        <f>IF($N322="","",$Q322*$R322)</f>
        <v/>
      </c>
    </row>
    <row r="323" ht="15" customHeight="1" s="80">
      <c r="J323" s="124">
        <f>IF($A323="","",$B323+$C323+$D323-$E323+$F323-$G323)</f>
        <v/>
      </c>
      <c r="K323" s="124">
        <f>IF($A323="","",MAX(0,$B323-$J323))</f>
        <v/>
      </c>
      <c r="L323" s="124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  <c r="U323" s="124">
        <f>IF($N323="","",$Q323*$R323)</f>
        <v/>
      </c>
    </row>
    <row r="324" ht="15" customHeight="1" s="80">
      <c r="J324" s="124">
        <f>IF($A324="","",$B324+$C324+$D324-$E324+$F324-$G324)</f>
        <v/>
      </c>
      <c r="K324" s="124">
        <f>IF($A324="","",MAX(0,$B324-$J324))</f>
        <v/>
      </c>
      <c r="L324" s="124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  <c r="U324" s="124">
        <f>IF($N324="","",$Q324*$R324)</f>
        <v/>
      </c>
    </row>
    <row r="325" ht="15" customHeight="1" s="80">
      <c r="J325" s="124">
        <f>IF($A325="","",$B325+$C325+$D325-$E325+$F325-$G325)</f>
        <v/>
      </c>
      <c r="K325" s="124">
        <f>IF($A325="","",MAX(0,$B325-$J325))</f>
        <v/>
      </c>
      <c r="L325" s="124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  <c r="U325" s="124">
        <f>IF($N325="","",$Q325*$R325)</f>
        <v/>
      </c>
    </row>
    <row r="326" ht="15" customHeight="1" s="80">
      <c r="J326" s="124">
        <f>IF($A326="","",$B326+$C326+$D326-$E326+$F326-$G326)</f>
        <v/>
      </c>
      <c r="K326" s="124">
        <f>IF($A326="","",MAX(0,$B326-$J326))</f>
        <v/>
      </c>
      <c r="L326" s="124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  <c r="U326" s="124">
        <f>IF($N326="","",$Q326*$R326)</f>
        <v/>
      </c>
    </row>
    <row r="327" ht="15" customHeight="1" s="80">
      <c r="J327" s="124">
        <f>IF($A327="","",$B327+$C327+$D327-$E327+$F327-$G327)</f>
        <v/>
      </c>
      <c r="K327" s="124">
        <f>IF($A327="","",MAX(0,$B327-$J327))</f>
        <v/>
      </c>
      <c r="L327" s="124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  <c r="U327" s="124">
        <f>IF($N327="","",$Q327*$R327)</f>
        <v/>
      </c>
    </row>
    <row r="328" ht="15" customHeight="1" s="80">
      <c r="J328" s="124">
        <f>IF($A328="","",$B328+$C328+$D328-$E328+$F328-$G328)</f>
        <v/>
      </c>
      <c r="K328" s="124">
        <f>IF($A328="","",MAX(0,$B328-$J328))</f>
        <v/>
      </c>
      <c r="L328" s="124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  <c r="U328" s="124">
        <f>IF($N328="","",$Q328*$R328)</f>
        <v/>
      </c>
    </row>
    <row r="329" ht="15" customHeight="1" s="80">
      <c r="J329" s="124">
        <f>IF($A329="","",$B329+$C329+$D329-$E329+$F329-$G329)</f>
        <v/>
      </c>
      <c r="K329" s="124">
        <f>IF($A329="","",MAX(0,$B329-$J329))</f>
        <v/>
      </c>
      <c r="L329" s="124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  <c r="U329" s="124">
        <f>IF($N329="","",$Q329*$R329)</f>
        <v/>
      </c>
    </row>
    <row r="330" ht="15" customHeight="1" s="80">
      <c r="J330" s="124">
        <f>IF($A330="","",$B330+$C330+$D330-$E330+$F330-$G330)</f>
        <v/>
      </c>
      <c r="K330" s="124">
        <f>IF($A330="","",MAX(0,$B330-$J330))</f>
        <v/>
      </c>
      <c r="L330" s="124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  <c r="U330" s="124">
        <f>IF($N330="","",$Q330*$R330)</f>
        <v/>
      </c>
    </row>
    <row r="331" ht="15" customHeight="1" s="80">
      <c r="J331" s="124">
        <f>IF($A331="","",$B331+$C331+$D331-$E331+$F331-$G331)</f>
        <v/>
      </c>
      <c r="K331" s="124">
        <f>IF($A331="","",MAX(0,$B331-$J331))</f>
        <v/>
      </c>
      <c r="L331" s="124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  <c r="U331" s="124">
        <f>IF($N331="","",$Q331*$R331)</f>
        <v/>
      </c>
    </row>
    <row r="332" ht="15" customHeight="1" s="80">
      <c r="J332" s="124">
        <f>IF($A332="","",$B332+$C332+$D332-$E332+$F332-$G332)</f>
        <v/>
      </c>
      <c r="K332" s="124">
        <f>IF($A332="","",MAX(0,$B332-$J332))</f>
        <v/>
      </c>
      <c r="L332" s="124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  <c r="U332" s="124">
        <f>IF($N332="","",$Q332*$R332)</f>
        <v/>
      </c>
    </row>
    <row r="333" ht="15" customHeight="1" s="80">
      <c r="J333" s="124">
        <f>IF($A333="","",$B333+$C333+$D333-$E333+$F333-$G333)</f>
        <v/>
      </c>
      <c r="K333" s="124">
        <f>IF($A333="","",MAX(0,$B333-$J333))</f>
        <v/>
      </c>
      <c r="L333" s="124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  <c r="U333" s="124">
        <f>IF($N333="","",$Q333*$R333)</f>
        <v/>
      </c>
    </row>
    <row r="334" ht="15" customHeight="1" s="80">
      <c r="J334" s="124">
        <f>IF($A334="","",$B334+$C334+$D334-$E334+$F334-$G334)</f>
        <v/>
      </c>
      <c r="K334" s="124">
        <f>IF($A334="","",MAX(0,$B334-$J334))</f>
        <v/>
      </c>
      <c r="L334" s="124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  <c r="U334" s="124">
        <f>IF($N334="","",$Q334*$R334)</f>
        <v/>
      </c>
    </row>
    <row r="335" ht="15" customHeight="1" s="80">
      <c r="J335" s="124">
        <f>IF($A335="","",$B335+$C335+$D335-$E335+$F335-$G335)</f>
        <v/>
      </c>
      <c r="K335" s="124">
        <f>IF($A335="","",MAX(0,$B335-$J335))</f>
        <v/>
      </c>
      <c r="L335" s="124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  <c r="U335" s="124">
        <f>IF($N335="","",$Q335*$R335)</f>
        <v/>
      </c>
    </row>
    <row r="336" ht="15" customHeight="1" s="80">
      <c r="J336" s="124">
        <f>IF($A336="","",$B336+$C336+$D336-$E336+$F336-$G336)</f>
        <v/>
      </c>
      <c r="K336" s="124">
        <f>IF($A336="","",MAX(0,$B336-$J336))</f>
        <v/>
      </c>
      <c r="L336" s="124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  <c r="U336" s="124">
        <f>IF($N336="","",$Q336*$R336)</f>
        <v/>
      </c>
    </row>
    <row r="337" ht="15" customHeight="1" s="80">
      <c r="J337" s="124">
        <f>IF($A337="","",$B337+$C337+$D337-$E337+$F337-$G337)</f>
        <v/>
      </c>
      <c r="K337" s="124">
        <f>IF($A337="","",MAX(0,$B337-$J337))</f>
        <v/>
      </c>
      <c r="L337" s="124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  <c r="U337" s="124">
        <f>IF($N337="","",$Q337*$R337)</f>
        <v/>
      </c>
    </row>
    <row r="338" ht="15" customHeight="1" s="80">
      <c r="J338" s="124">
        <f>IF($A338="","",$B338+$C338+$D338-$E338+$F338-$G338)</f>
        <v/>
      </c>
      <c r="K338" s="124">
        <f>IF($A338="","",MAX(0,$B338-$J338))</f>
        <v/>
      </c>
      <c r="L338" s="124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  <c r="U338" s="124">
        <f>IF($N338="","",$Q338*$R338)</f>
        <v/>
      </c>
    </row>
    <row r="339" ht="15" customHeight="1" s="80">
      <c r="J339" s="124">
        <f>IF($A339="","",$B339+$C339+$D339-$E339+$F339-$G339)</f>
        <v/>
      </c>
      <c r="K339" s="124">
        <f>IF($A339="","",MAX(0,$B339-$J339))</f>
        <v/>
      </c>
      <c r="L339" s="124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  <c r="U339" s="124">
        <f>IF($N339="","",$Q339*$R339)</f>
        <v/>
      </c>
    </row>
    <row r="340" ht="15" customHeight="1" s="80">
      <c r="J340" s="124">
        <f>IF($A340="","",$B340+$C340+$D340-$E340+$F340-$G340)</f>
        <v/>
      </c>
      <c r="K340" s="124">
        <f>IF($A340="","",MAX(0,$B340-$J340))</f>
        <v/>
      </c>
      <c r="L340" s="124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  <c r="U340" s="124">
        <f>IF($N340="","",$Q340*$R340)</f>
        <v/>
      </c>
    </row>
    <row r="341" ht="15" customHeight="1" s="80">
      <c r="J341" s="124">
        <f>IF($A341="","",$B341+$C341+$D341-$E341+$F341-$G341)</f>
        <v/>
      </c>
      <c r="K341" s="124">
        <f>IF($A341="","",MAX(0,$B341-$J341))</f>
        <v/>
      </c>
      <c r="L341" s="124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  <c r="U341" s="124">
        <f>IF($N341="","",$Q341*$R341)</f>
        <v/>
      </c>
    </row>
    <row r="342" ht="15" customHeight="1" s="80">
      <c r="J342" s="124">
        <f>IF($A342="","",$B342+$C342+$D342-$E342+$F342-$G342)</f>
        <v/>
      </c>
      <c r="K342" s="124">
        <f>IF($A342="","",MAX(0,$B342-$J342))</f>
        <v/>
      </c>
      <c r="L342" s="124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  <c r="U342" s="124">
        <f>IF($N342="","",$Q342*$R342)</f>
        <v/>
      </c>
    </row>
    <row r="343" ht="15" customHeight="1" s="80">
      <c r="J343" s="124">
        <f>IF($A343="","",$B343+$C343+$D343-$E343+$F343-$G343)</f>
        <v/>
      </c>
      <c r="K343" s="124">
        <f>IF($A343="","",MAX(0,$B343-$J343))</f>
        <v/>
      </c>
      <c r="L343" s="124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  <c r="U343" s="124">
        <f>IF($N343="","",$Q343*$R343)</f>
        <v/>
      </c>
    </row>
    <row r="344" ht="15" customHeight="1" s="80">
      <c r="J344" s="124">
        <f>IF($A344="","",$B344+$C344+$D344-$E344+$F344-$G344)</f>
        <v/>
      </c>
      <c r="K344" s="124">
        <f>IF($A344="","",MAX(0,$B344-$J344))</f>
        <v/>
      </c>
      <c r="L344" s="124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  <c r="U344" s="124">
        <f>IF($N344="","",$Q344*$R344)</f>
        <v/>
      </c>
    </row>
    <row r="345" ht="15" customHeight="1" s="80">
      <c r="J345" s="124">
        <f>IF($A345="","",$B345+$C345+$D345-$E345+$F345-$G345)</f>
        <v/>
      </c>
      <c r="K345" s="124">
        <f>IF($A345="","",MAX(0,$B345-$J345))</f>
        <v/>
      </c>
      <c r="L345" s="124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  <c r="U345" s="124">
        <f>IF($N345="","",$Q345*$R345)</f>
        <v/>
      </c>
    </row>
    <row r="346" ht="15" customHeight="1" s="80">
      <c r="J346" s="124">
        <f>IF($A346="","",$B346+$C346+$D346-$E346+$F346-$G346)</f>
        <v/>
      </c>
      <c r="K346" s="124">
        <f>IF($A346="","",MAX(0,$B346-$J346))</f>
        <v/>
      </c>
      <c r="L346" s="124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  <c r="U346" s="124">
        <f>IF($N346="","",$Q346*$R346)</f>
        <v/>
      </c>
    </row>
    <row r="347" ht="15" customHeight="1" s="80">
      <c r="J347" s="124">
        <f>IF($A347="","",$B347+$C347+$D347-$E347+$F347-$G347)</f>
        <v/>
      </c>
      <c r="K347" s="124">
        <f>IF($A347="","",MAX(0,$B347-$J347))</f>
        <v/>
      </c>
      <c r="L347" s="124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  <c r="U347" s="124">
        <f>IF($N347="","",$Q347*$R347)</f>
        <v/>
      </c>
    </row>
    <row r="348" ht="15" customHeight="1" s="80">
      <c r="J348" s="124">
        <f>IF($A348="","",$B348+$C348+$D348-$E348+$F348-$G348)</f>
        <v/>
      </c>
      <c r="K348" s="124">
        <f>IF($A348="","",MAX(0,$B348-$J348))</f>
        <v/>
      </c>
      <c r="L348" s="124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  <c r="U348" s="124">
        <f>IF($N348="","",$Q348*$R348)</f>
        <v/>
      </c>
    </row>
    <row r="349" ht="15" customHeight="1" s="80">
      <c r="J349" s="124">
        <f>IF($A349="","",$B349+$C349+$D349-$E349+$F349-$G349)</f>
        <v/>
      </c>
      <c r="K349" s="124">
        <f>IF($A349="","",MAX(0,$B349-$J349))</f>
        <v/>
      </c>
      <c r="L349" s="124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  <c r="U349" s="124">
        <f>IF($N349="","",$Q349*$R349)</f>
        <v/>
      </c>
    </row>
    <row r="350" ht="15" customHeight="1" s="80">
      <c r="J350" s="124">
        <f>IF($A350="","",$B350+$C350+$D350-$E350+$F350-$G350)</f>
        <v/>
      </c>
      <c r="K350" s="124">
        <f>IF($A350="","",MAX(0,$B350-$J350))</f>
        <v/>
      </c>
      <c r="L350" s="124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  <c r="U350" s="124">
        <f>IF($N350="","",$Q350*$R350)</f>
        <v/>
      </c>
    </row>
    <row r="351" ht="15" customHeight="1" s="80">
      <c r="J351" s="124">
        <f>IF($A351="","",$B351+$C351+$D351-$E351+$F351-$G351)</f>
        <v/>
      </c>
      <c r="K351" s="124">
        <f>IF($A351="","",MAX(0,$B351-$J351))</f>
        <v/>
      </c>
      <c r="L351" s="124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  <c r="U351" s="124">
        <f>IF($N351="","",$Q351*$R351)</f>
        <v/>
      </c>
    </row>
    <row r="352" ht="15" customHeight="1" s="80">
      <c r="J352" s="124">
        <f>IF($A352="","",$B352+$C352+$D352-$E352+$F352-$G352)</f>
        <v/>
      </c>
      <c r="K352" s="124">
        <f>IF($A352="","",MAX(0,$B352-$J352))</f>
        <v/>
      </c>
      <c r="L352" s="124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  <c r="U352" s="124">
        <f>IF($N352="","",$Q352*$R352)</f>
        <v/>
      </c>
    </row>
    <row r="353" ht="15" customHeight="1" s="80">
      <c r="J353" s="124">
        <f>IF($A353="","",$B353+$C353+$D353-$E353+$F353-$G353)</f>
        <v/>
      </c>
      <c r="K353" s="124">
        <f>IF($A353="","",MAX(0,$B353-$J353))</f>
        <v/>
      </c>
      <c r="L353" s="124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  <c r="U353" s="124">
        <f>IF($N353="","",$Q353*$R353)</f>
        <v/>
      </c>
    </row>
    <row r="354" ht="15" customHeight="1" s="80">
      <c r="J354" s="124">
        <f>IF($A354="","",$B354+$C354+$D354-$E354+$F354-$G354)</f>
        <v/>
      </c>
      <c r="K354" s="124">
        <f>IF($A354="","",MAX(0,$B354-$J354))</f>
        <v/>
      </c>
      <c r="L354" s="124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  <c r="U354" s="124">
        <f>IF($N354="","",$Q354*$R354)</f>
        <v/>
      </c>
    </row>
    <row r="355" ht="15" customHeight="1" s="80">
      <c r="J355" s="124">
        <f>IF($A355="","",$B355+$C355+$D355-$E355+$F355-$G355)</f>
        <v/>
      </c>
      <c r="K355" s="124">
        <f>IF($A355="","",MAX(0,$B355-$J355))</f>
        <v/>
      </c>
      <c r="L355" s="124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  <c r="U355" s="124">
        <f>IF($N355="","",$Q355*$R355)</f>
        <v/>
      </c>
    </row>
    <row r="356" ht="15" customHeight="1" s="80">
      <c r="J356" s="124">
        <f>IF($A356="","",$B356+$C356+$D356-$E356+$F356-$G356)</f>
        <v/>
      </c>
      <c r="K356" s="124">
        <f>IF($A356="","",MAX(0,$B356-$J356))</f>
        <v/>
      </c>
      <c r="L356" s="124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  <c r="U356" s="124">
        <f>IF($N356="","",$Q356*$R356)</f>
        <v/>
      </c>
    </row>
    <row r="357" ht="15" customHeight="1" s="80">
      <c r="J357" s="124">
        <f>IF($A357="","",$B357+$C357+$D357-$E357+$F357-$G357)</f>
        <v/>
      </c>
      <c r="K357" s="124">
        <f>IF($A357="","",MAX(0,$B357-$J357))</f>
        <v/>
      </c>
      <c r="L357" s="124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  <c r="U357" s="124">
        <f>IF($N357="","",$Q357*$R357)</f>
        <v/>
      </c>
    </row>
    <row r="358" ht="15" customHeight="1" s="80">
      <c r="J358" s="124">
        <f>IF($A358="","",$B358+$C358+$D358-$E358+$F358-$G358)</f>
        <v/>
      </c>
      <c r="K358" s="124">
        <f>IF($A358="","",MAX(0,$B358-$J358))</f>
        <v/>
      </c>
      <c r="L358" s="124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  <c r="U358" s="124">
        <f>IF($N358="","",$Q358*$R358)</f>
        <v/>
      </c>
    </row>
    <row r="359" ht="15" customHeight="1" s="80">
      <c r="J359" s="124">
        <f>IF($A359="","",$B359+$C359+$D359-$E359+$F359-$G359)</f>
        <v/>
      </c>
      <c r="K359" s="124">
        <f>IF($A359="","",MAX(0,$B359-$J359))</f>
        <v/>
      </c>
      <c r="L359" s="124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  <c r="U359" s="124">
        <f>IF($N359="","",$Q359*$R359)</f>
        <v/>
      </c>
    </row>
    <row r="360" ht="15" customHeight="1" s="80">
      <c r="J360" s="124">
        <f>IF($A360="","",$B360+$C360+$D360-$E360+$F360-$G360)</f>
        <v/>
      </c>
      <c r="K360" s="124">
        <f>IF($A360="","",MAX(0,$B360-$J360))</f>
        <v/>
      </c>
      <c r="L360" s="124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  <c r="U360" s="124">
        <f>IF($N360="","",$Q360*$R360)</f>
        <v/>
      </c>
    </row>
    <row r="361" ht="15" customHeight="1" s="80">
      <c r="J361" s="124">
        <f>IF($A361="","",$B361+$C361+$D361-$E361+$F361-$G361)</f>
        <v/>
      </c>
      <c r="K361" s="124">
        <f>IF($A361="","",MAX(0,$B361-$J361))</f>
        <v/>
      </c>
      <c r="L361" s="124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  <c r="U361" s="124">
        <f>IF($N361="","",$Q361*$R361)</f>
        <v/>
      </c>
    </row>
    <row r="362" ht="15" customHeight="1" s="80">
      <c r="J362" s="124">
        <f>IF($A362="","",$B362+$C362+$D362-$E362+$F362-$G362)</f>
        <v/>
      </c>
      <c r="K362" s="124">
        <f>IF($A362="","",MAX(0,$B362-$J362))</f>
        <v/>
      </c>
      <c r="L362" s="124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  <c r="U362" s="124">
        <f>IF($N362="","",$Q362*$R362)</f>
        <v/>
      </c>
    </row>
    <row r="363" ht="15" customHeight="1" s="80">
      <c r="J363" s="124">
        <f>IF($A363="","",$B363+$C363+$D363-$E363+$F363-$G363)</f>
        <v/>
      </c>
      <c r="K363" s="124">
        <f>IF($A363="","",MAX(0,$B363-$J363))</f>
        <v/>
      </c>
      <c r="L363" s="124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  <c r="U363" s="124">
        <f>IF($N363="","",$Q363*$R363)</f>
        <v/>
      </c>
    </row>
    <row r="364" ht="15" customHeight="1" s="80">
      <c r="J364" s="124">
        <f>IF($A364="","",$B364+$C364+$D364-$E364+$F364-$G364)</f>
        <v/>
      </c>
      <c r="K364" s="124">
        <f>IF($A364="","",MAX(0,$B364-$J364))</f>
        <v/>
      </c>
      <c r="L364" s="124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  <c r="U364" s="124">
        <f>IF($N364="","",$Q364*$R364)</f>
        <v/>
      </c>
    </row>
    <row r="365" ht="15" customHeight="1" s="80">
      <c r="J365" s="124">
        <f>IF($A365="","",$B365+$C365+$D365-$E365+$F365-$G365)</f>
        <v/>
      </c>
      <c r="K365" s="124">
        <f>IF($A365="","",MAX(0,$B365-$J365))</f>
        <v/>
      </c>
      <c r="L365" s="124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  <c r="U365" s="124">
        <f>IF($N365="","",$Q365*$R365)</f>
        <v/>
      </c>
    </row>
    <row r="366" ht="15" customHeight="1" s="80">
      <c r="J366" s="124">
        <f>IF($A366="","",$B366+$C366+$D366-$E366+$F366-$G366)</f>
        <v/>
      </c>
      <c r="K366" s="124">
        <f>IF($A366="","",MAX(0,$B366-$J366))</f>
        <v/>
      </c>
      <c r="L366" s="124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  <c r="U366" s="124">
        <f>IF($N366="","",$Q366*$R366)</f>
        <v/>
      </c>
    </row>
    <row r="367" ht="15" customHeight="1" s="80">
      <c r="J367" s="124">
        <f>IF($A367="","",$B367+$C367+$D367-$E367+$F367-$G367)</f>
        <v/>
      </c>
      <c r="K367" s="124">
        <f>IF($A367="","",MAX(0,$B367-$J367))</f>
        <v/>
      </c>
      <c r="L367" s="124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  <c r="U367" s="124">
        <f>IF($N367="","",$Q367*$R367)</f>
        <v/>
      </c>
    </row>
    <row r="368" ht="15" customHeight="1" s="80">
      <c r="J368" s="124">
        <f>IF($A368="","",$B368+$C368+$D368-$E368+$F368-$G368)</f>
        <v/>
      </c>
      <c r="K368" s="124">
        <f>IF($A368="","",MAX(0,$B368-$J368))</f>
        <v/>
      </c>
      <c r="L368" s="124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  <c r="U368" s="124">
        <f>IF($N368="","",$Q368*$R368)</f>
        <v/>
      </c>
    </row>
    <row r="369" ht="15" customHeight="1" s="80">
      <c r="J369" s="124">
        <f>IF($A369="","",$B369+$C369+$D369-$E369+$F369-$G369)</f>
        <v/>
      </c>
      <c r="K369" s="124">
        <f>IF($A369="","",MAX(0,$B369-$J369))</f>
        <v/>
      </c>
      <c r="L369" s="124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  <c r="U369" s="124">
        <f>IF($N369="","",$Q369*$R369)</f>
        <v/>
      </c>
    </row>
    <row r="370" ht="15" customHeight="1" s="80">
      <c r="J370" s="124">
        <f>IF($A370="","",$B370+$C370+$D370-$E370+$F370-$G370)</f>
        <v/>
      </c>
      <c r="K370" s="124">
        <f>IF($A370="","",MAX(0,$B370-$J370))</f>
        <v/>
      </c>
      <c r="L370" s="124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  <c r="U370" s="124">
        <f>IF($N370="","",$Q370*$R370)</f>
        <v/>
      </c>
    </row>
    <row r="371" ht="15" customHeight="1" s="80">
      <c r="J371" s="124">
        <f>IF($A371="","",$B371+$C371+$D371-$E371+$F371-$G371)</f>
        <v/>
      </c>
      <c r="K371" s="124">
        <f>IF($A371="","",MAX(0,$B371-$J371))</f>
        <v/>
      </c>
      <c r="L371" s="124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  <c r="U371" s="124">
        <f>IF($N371="","",$Q371*$R371)</f>
        <v/>
      </c>
    </row>
    <row r="372" ht="15" customHeight="1" s="80">
      <c r="J372" s="124">
        <f>IF($A372="","",$B372+$C372+$D372-$E372+$F372-$G372)</f>
        <v/>
      </c>
      <c r="K372" s="124">
        <f>IF($A372="","",MAX(0,$B372-$J372))</f>
        <v/>
      </c>
      <c r="L372" s="124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  <c r="U372" s="124">
        <f>IF($N372="","",$Q372*$R372)</f>
        <v/>
      </c>
    </row>
    <row r="373" ht="15" customHeight="1" s="80">
      <c r="J373" s="124">
        <f>IF($A373="","",$B373+$C373+$D373-$E373+$F373-$G373)</f>
        <v/>
      </c>
      <c r="K373" s="124">
        <f>IF($A373="","",MAX(0,$B373-$J373))</f>
        <v/>
      </c>
      <c r="L373" s="124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  <c r="U373" s="124">
        <f>IF($N373="","",$Q373*$R373)</f>
        <v/>
      </c>
    </row>
    <row r="374" ht="15" customHeight="1" s="80">
      <c r="J374" s="124">
        <f>IF($A374="","",$B374+$C374+$D374-$E374+$F374-$G374)</f>
        <v/>
      </c>
      <c r="K374" s="124">
        <f>IF($A374="","",MAX(0,$B374-$J374))</f>
        <v/>
      </c>
      <c r="L374" s="124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  <c r="U374" s="124">
        <f>IF($N374="","",$Q374*$R374)</f>
        <v/>
      </c>
    </row>
    <row r="375" ht="15" customHeight="1" s="80">
      <c r="J375" s="124">
        <f>IF($A375="","",$B375+$C375+$D375-$E375+$F375-$G375)</f>
        <v/>
      </c>
      <c r="K375" s="124">
        <f>IF($A375="","",MAX(0,$B375-$J375))</f>
        <v/>
      </c>
      <c r="L375" s="124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  <c r="U375" s="124">
        <f>IF($N375="","",$Q375*$R375)</f>
        <v/>
      </c>
    </row>
    <row r="376" ht="15" customHeight="1" s="80">
      <c r="J376" s="124">
        <f>IF($A376="","",$B376+$C376+$D376-$E376+$F376-$G376)</f>
        <v/>
      </c>
      <c r="K376" s="124">
        <f>IF($A376="","",MAX(0,$B376-$J376))</f>
        <v/>
      </c>
      <c r="L376" s="124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  <c r="U376" s="124">
        <f>IF($N376="","",$Q376*$R376)</f>
        <v/>
      </c>
    </row>
    <row r="377" ht="15" customHeight="1" s="80">
      <c r="J377" s="124">
        <f>IF($A377="","",$B377+$C377+$D377-$E377+$F377-$G377)</f>
        <v/>
      </c>
      <c r="K377" s="124">
        <f>IF($A377="","",MAX(0,$B377-$J377))</f>
        <v/>
      </c>
      <c r="L377" s="124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  <c r="U377" s="124">
        <f>IF($N377="","",$Q377*$R377)</f>
        <v/>
      </c>
    </row>
    <row r="378" ht="15" customHeight="1" s="80">
      <c r="J378" s="124">
        <f>IF($A378="","",$B378+$C378+$D378-$E378+$F378-$G378)</f>
        <v/>
      </c>
      <c r="K378" s="124">
        <f>IF($A378="","",MAX(0,$B378-$J378))</f>
        <v/>
      </c>
      <c r="L378" s="124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  <c r="U378" s="124">
        <f>IF($N378="","",$Q378*$R378)</f>
        <v/>
      </c>
    </row>
    <row r="379" ht="15" customHeight="1" s="80">
      <c r="J379" s="124">
        <f>IF($A379="","",$B379+$C379+$D379-$E379+$F379-$G379)</f>
        <v/>
      </c>
      <c r="K379" s="124">
        <f>IF($A379="","",MAX(0,$B379-$J379))</f>
        <v/>
      </c>
      <c r="L379" s="124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  <c r="U379" s="124">
        <f>IF($N379="","",$Q379*$R379)</f>
        <v/>
      </c>
    </row>
    <row r="380" ht="15" customHeight="1" s="80">
      <c r="J380" s="124">
        <f>IF($A380="","",$B380+$C380+$D380-$E380+$F380-$G380)</f>
        <v/>
      </c>
      <c r="K380" s="124">
        <f>IF($A380="","",MAX(0,$B380-$J380))</f>
        <v/>
      </c>
      <c r="L380" s="124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  <c r="U380" s="124">
        <f>IF($N380="","",$Q380*$R380)</f>
        <v/>
      </c>
    </row>
    <row r="381" ht="15" customHeight="1" s="80">
      <c r="J381" s="124">
        <f>IF($A381="","",$B381+$C381+$D381-$E381+$F381-$G381)</f>
        <v/>
      </c>
      <c r="K381" s="124">
        <f>IF($A381="","",MAX(0,$B381-$J381))</f>
        <v/>
      </c>
      <c r="L381" s="124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  <c r="U381" s="124">
        <f>IF($N381="","",$Q381*$R381)</f>
        <v/>
      </c>
    </row>
    <row r="382" ht="15" customHeight="1" s="80">
      <c r="J382" s="124">
        <f>IF($A382="","",$B382+$C382+$D382-$E382+$F382-$G382)</f>
        <v/>
      </c>
      <c r="K382" s="124">
        <f>IF($A382="","",MAX(0,$B382-$J382))</f>
        <v/>
      </c>
      <c r="L382" s="124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  <c r="U382" s="124">
        <f>IF($N382="","",$Q382*$R382)</f>
        <v/>
      </c>
    </row>
    <row r="383" ht="15" customHeight="1" s="80">
      <c r="J383" s="124">
        <f>IF($A383="","",$B383+$C383+$D383-$E383+$F383-$G383)</f>
        <v/>
      </c>
      <c r="K383" s="124">
        <f>IF($A383="","",MAX(0,$B383-$J383))</f>
        <v/>
      </c>
      <c r="L383" s="124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  <c r="U383" s="124">
        <f>IF($N383="","",$Q383*$R383)</f>
        <v/>
      </c>
    </row>
    <row r="384" ht="15" customHeight="1" s="80">
      <c r="J384" s="124">
        <f>IF($A384="","",$B384+$C384+$D384-$E384+$F384-$G384)</f>
        <v/>
      </c>
      <c r="K384" s="124">
        <f>IF($A384="","",MAX(0,$B384-$J384))</f>
        <v/>
      </c>
      <c r="L384" s="124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  <c r="U384" s="124">
        <f>IF($N384="","",$Q384*$R384)</f>
        <v/>
      </c>
    </row>
    <row r="385" ht="15" customHeight="1" s="80">
      <c r="J385" s="124">
        <f>IF($A385="","",$B385+$C385+$D385-$E385+$F385-$G385)</f>
        <v/>
      </c>
      <c r="K385" s="124">
        <f>IF($A385="","",MAX(0,$B385-$J385))</f>
        <v/>
      </c>
      <c r="L385" s="124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  <c r="U385" s="124">
        <f>IF($N385="","",$Q385*$R385)</f>
        <v/>
      </c>
    </row>
    <row r="386" ht="15" customHeight="1" s="80">
      <c r="J386" s="124">
        <f>IF($A386="","",$B386+$C386+$D386-$E386+$F386-$G386)</f>
        <v/>
      </c>
      <c r="K386" s="124">
        <f>IF($A386="","",MAX(0,$B386-$J386))</f>
        <v/>
      </c>
      <c r="L386" s="124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  <c r="U386" s="124">
        <f>IF($N386="","",$Q386*$R386)</f>
        <v/>
      </c>
    </row>
    <row r="387" ht="15" customHeight="1" s="80">
      <c r="J387" s="124">
        <f>IF($A387="","",$B387+$C387+$D387-$E387+$F387-$G387)</f>
        <v/>
      </c>
      <c r="K387" s="124">
        <f>IF($A387="","",MAX(0,$B387-$J387))</f>
        <v/>
      </c>
      <c r="L387" s="124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  <c r="U387" s="124">
        <f>IF($N387="","",$Q387*$R387)</f>
        <v/>
      </c>
    </row>
    <row r="388" ht="15" customHeight="1" s="80">
      <c r="J388" s="124">
        <f>IF($A388="","",$B388+$C388+$D388-$E388+$F388-$G388)</f>
        <v/>
      </c>
      <c r="K388" s="124">
        <f>IF($A388="","",MAX(0,$B388-$J388))</f>
        <v/>
      </c>
      <c r="L388" s="124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  <c r="U388" s="124">
        <f>IF($N388="","",$Q388*$R388)</f>
        <v/>
      </c>
    </row>
    <row r="389" ht="15" customHeight="1" s="80">
      <c r="J389" s="124">
        <f>IF($A389="","",$B389+$C389+$D389-$E389+$F389-$G389)</f>
        <v/>
      </c>
      <c r="K389" s="124">
        <f>IF($A389="","",MAX(0,$B389-$J389))</f>
        <v/>
      </c>
      <c r="L389" s="124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  <c r="U389" s="124">
        <f>IF($N389="","",$Q389*$R389)</f>
        <v/>
      </c>
    </row>
    <row r="390" ht="15" customHeight="1" s="80">
      <c r="J390" s="124">
        <f>IF($A390="","",$B390+$C390+$D390-$E390+$F390-$G390)</f>
        <v/>
      </c>
      <c r="K390" s="124">
        <f>IF($A390="","",MAX(0,$B390-$J390))</f>
        <v/>
      </c>
      <c r="L390" s="124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  <c r="U390" s="124">
        <f>IF($N390="","",$Q390*$R390)</f>
        <v/>
      </c>
    </row>
    <row r="391" ht="15" customHeight="1" s="80">
      <c r="J391" s="124">
        <f>IF($A391="","",$B391+$C391+$D391-$E391+$F391-$G391)</f>
        <v/>
      </c>
      <c r="K391" s="124">
        <f>IF($A391="","",MAX(0,$B391-$J391))</f>
        <v/>
      </c>
      <c r="L391" s="124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  <c r="U391" s="124">
        <f>IF($N391="","",$Q391*$R391)</f>
        <v/>
      </c>
    </row>
    <row r="392" ht="15" customHeight="1" s="80">
      <c r="J392" s="124">
        <f>IF($A392="","",$B392+$C392+$D392-$E392+$F392-$G392)</f>
        <v/>
      </c>
      <c r="K392" s="124">
        <f>IF($A392="","",MAX(0,$B392-$J392))</f>
        <v/>
      </c>
      <c r="L392" s="124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  <c r="U392" s="124">
        <f>IF($N392="","",$Q392*$R392)</f>
        <v/>
      </c>
    </row>
    <row r="393" ht="15" customHeight="1" s="80">
      <c r="J393" s="124">
        <f>IF($A393="","",$B393+$C393+$D393-$E393+$F393-$G393)</f>
        <v/>
      </c>
      <c r="K393" s="124">
        <f>IF($A393="","",MAX(0,$B393-$J393))</f>
        <v/>
      </c>
      <c r="L393" s="124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  <c r="U393" s="124">
        <f>IF($N393="","",$Q393*$R393)</f>
        <v/>
      </c>
    </row>
    <row r="394" ht="15" customHeight="1" s="80">
      <c r="J394" s="124">
        <f>IF($A394="","",$B394+$C394+$D394-$E394+$F394-$G394)</f>
        <v/>
      </c>
      <c r="K394" s="124">
        <f>IF($A394="","",MAX(0,$B394-$J394))</f>
        <v/>
      </c>
      <c r="L394" s="124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  <c r="U394" s="124">
        <f>IF($N394="","",$Q394*$R394)</f>
        <v/>
      </c>
    </row>
    <row r="395" ht="15" customHeight="1" s="80">
      <c r="J395" s="124">
        <f>IF($A395="","",$B395+$C395+$D395-$E395+$F395-$G395)</f>
        <v/>
      </c>
      <c r="K395" s="124">
        <f>IF($A395="","",MAX(0,$B395-$J395))</f>
        <v/>
      </c>
      <c r="L395" s="124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  <c r="U395" s="124">
        <f>IF($N395="","",$Q395*$R395)</f>
        <v/>
      </c>
    </row>
    <row r="396" ht="15" customHeight="1" s="80">
      <c r="J396" s="124">
        <f>IF($A396="","",$B396+$C396+$D396-$E396+$F396-$G396)</f>
        <v/>
      </c>
      <c r="K396" s="124">
        <f>IF($A396="","",MAX(0,$B396-$J396))</f>
        <v/>
      </c>
      <c r="L396" s="124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  <c r="U396" s="124">
        <f>IF($N396="","",$Q396*$R396)</f>
        <v/>
      </c>
    </row>
    <row r="397" ht="15" customHeight="1" s="80">
      <c r="J397" s="124">
        <f>IF($A397="","",$B397+$C397+$D397-$E397+$F397-$G397)</f>
        <v/>
      </c>
      <c r="K397" s="124">
        <f>IF($A397="","",MAX(0,$B397-$J397))</f>
        <v/>
      </c>
      <c r="L397" s="124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  <c r="U397" s="124">
        <f>IF($N397="","",$Q397*$R397)</f>
        <v/>
      </c>
    </row>
    <row r="398" ht="15" customHeight="1" s="80">
      <c r="J398" s="124">
        <f>IF($A398="","",$B398+$C398+$D398-$E398+$F398-$G398)</f>
        <v/>
      </c>
      <c r="K398" s="124">
        <f>IF($A398="","",MAX(0,$B398-$J398))</f>
        <v/>
      </c>
      <c r="L398" s="124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  <c r="U398" s="124">
        <f>IF($N398="","",$Q398*$R398)</f>
        <v/>
      </c>
    </row>
    <row r="399" ht="15" customHeight="1" s="80">
      <c r="J399" s="124">
        <f>IF($A399="","",$B399+$C399+$D399-$E399+$F399-$G399)</f>
        <v/>
      </c>
      <c r="K399" s="124">
        <f>IF($A399="","",MAX(0,$B399-$J399))</f>
        <v/>
      </c>
      <c r="L399" s="124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  <c r="U399" s="124">
        <f>IF($N399="","",$Q399*$R399)</f>
        <v/>
      </c>
    </row>
    <row r="400" ht="15" customHeight="1" s="80">
      <c r="J400" s="124">
        <f>IF($A400="","",$B400+$C400+$D400-$E400+$F400-$G400)</f>
        <v/>
      </c>
      <c r="K400" s="124">
        <f>IF($A400="","",MAX(0,$B400-$J400))</f>
        <v/>
      </c>
      <c r="L400" s="124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  <c r="U400" s="124">
        <f>IF($N400="","",$Q400*$R400)</f>
        <v/>
      </c>
    </row>
    <row r="401" ht="15" customHeight="1" s="80">
      <c r="J401" s="124">
        <f>IF($A401="","",$B401+$C401+$D401-$E401+$F401-$G401)</f>
        <v/>
      </c>
      <c r="K401" s="124">
        <f>IF($A401="","",MAX(0,$B401-$J401))</f>
        <v/>
      </c>
      <c r="L401" s="124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  <c r="U401" s="124">
        <f>IF($N401="","",$Q401*$R401)</f>
        <v/>
      </c>
    </row>
    <row r="402" ht="15" customHeight="1" s="80">
      <c r="J402" s="124">
        <f>IF($A402="","",$B402+$C402+$D402-$E402+$F402-$G402)</f>
        <v/>
      </c>
      <c r="K402" s="124">
        <f>IF($A402="","",MAX(0,$B402-$J402))</f>
        <v/>
      </c>
      <c r="L402" s="124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  <c r="U402" s="124">
        <f>IF($N402="","",$Q402*$R402)</f>
        <v/>
      </c>
    </row>
    <row r="403" ht="15" customHeight="1" s="80">
      <c r="J403" s="124">
        <f>IF($A403="","",$B403+$C403+$D403-$E403+$F403-$G403)</f>
        <v/>
      </c>
      <c r="K403" s="124">
        <f>IF($A403="","",MAX(0,$B403-$J403))</f>
        <v/>
      </c>
      <c r="L403" s="124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  <c r="U403" s="124">
        <f>IF($N403="","",$Q403*$R403)</f>
        <v/>
      </c>
    </row>
    <row r="404" ht="15" customHeight="1" s="80">
      <c r="J404" s="124">
        <f>IF($A404="","",$B404+$C404+$D404-$E404+$F404-$G404)</f>
        <v/>
      </c>
      <c r="K404" s="124">
        <f>IF($A404="","",MAX(0,$B404-$J404))</f>
        <v/>
      </c>
      <c r="L404" s="124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  <c r="U404" s="124">
        <f>IF($N404="","",$Q404*$R404)</f>
        <v/>
      </c>
    </row>
    <row r="405" ht="15" customHeight="1" s="80">
      <c r="J405" s="124">
        <f>IF($A405="","",$B405+$C405+$D405-$E405+$F405-$G405)</f>
        <v/>
      </c>
      <c r="K405" s="124">
        <f>IF($A405="","",MAX(0,$B405-$J405))</f>
        <v/>
      </c>
      <c r="L405" s="124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  <c r="U405" s="124">
        <f>IF($N405="","",$Q405*$R405)</f>
        <v/>
      </c>
    </row>
    <row r="406" ht="15" customHeight="1" s="80">
      <c r="J406" s="124">
        <f>IF($A406="","",$B406+$C406+$D406-$E406+$F406-$G406)</f>
        <v/>
      </c>
      <c r="K406" s="124">
        <f>IF($A406="","",MAX(0,$B406-$J406))</f>
        <v/>
      </c>
      <c r="L406" s="124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  <c r="U406" s="124">
        <f>IF($N406="","",$Q406*$R406)</f>
        <v/>
      </c>
    </row>
    <row r="407" ht="15" customHeight="1" s="80">
      <c r="J407" s="124">
        <f>IF($A407="","",$B407+$C407+$D407-$E407+$F407-$G407)</f>
        <v/>
      </c>
      <c r="K407" s="124">
        <f>IF($A407="","",MAX(0,$B407-$J407))</f>
        <v/>
      </c>
      <c r="L407" s="124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  <c r="U407" s="124">
        <f>IF($N407="","",$Q407*$R407)</f>
        <v/>
      </c>
    </row>
    <row r="408" ht="15" customHeight="1" s="80">
      <c r="J408" s="124">
        <f>IF($A408="","",$B408+$C408+$D408-$E408+$F408-$G408)</f>
        <v/>
      </c>
      <c r="K408" s="124">
        <f>IF($A408="","",MAX(0,$B408-$J408))</f>
        <v/>
      </c>
      <c r="L408" s="124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  <c r="U408" s="124">
        <f>IF($N408="","",$Q408*$R408)</f>
        <v/>
      </c>
    </row>
    <row r="409" ht="15" customHeight="1" s="80">
      <c r="J409" s="124">
        <f>IF($A409="","",$B409+$C409+$D409-$E409+$F409-$G409)</f>
        <v/>
      </c>
      <c r="K409" s="124">
        <f>IF($A409="","",MAX(0,$B409-$J409))</f>
        <v/>
      </c>
      <c r="L409" s="124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  <c r="U409" s="124">
        <f>IF($N409="","",$Q409*$R409)</f>
        <v/>
      </c>
    </row>
    <row r="410" ht="15" customHeight="1" s="80">
      <c r="J410" s="124">
        <f>IF($A410="","",$B410+$C410+$D410-$E410+$F410-$G410)</f>
        <v/>
      </c>
      <c r="K410" s="124">
        <f>IF($A410="","",MAX(0,$B410-$J410))</f>
        <v/>
      </c>
      <c r="L410" s="124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  <c r="U410" s="124">
        <f>IF($N410="","",$Q410*$R410)</f>
        <v/>
      </c>
    </row>
    <row r="411" ht="15" customHeight="1" s="80">
      <c r="J411" s="124">
        <f>IF($A411="","",$B411+$C411+$D411-$E411+$F411-$G411)</f>
        <v/>
      </c>
      <c r="K411" s="124">
        <f>IF($A411="","",MAX(0,$B411-$J411))</f>
        <v/>
      </c>
      <c r="L411" s="124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  <c r="U411" s="124">
        <f>IF($N411="","",$Q411*$R411)</f>
        <v/>
      </c>
    </row>
    <row r="412" ht="15" customHeight="1" s="80">
      <c r="J412" s="124">
        <f>IF($A412="","",$B412+$C412+$D412-$E412+$F412-$G412)</f>
        <v/>
      </c>
      <c r="K412" s="124">
        <f>IF($A412="","",MAX(0,$B412-$J412))</f>
        <v/>
      </c>
      <c r="L412" s="124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  <c r="U412" s="124">
        <f>IF($N412="","",$Q412*$R412)</f>
        <v/>
      </c>
    </row>
    <row r="413" ht="15" customHeight="1" s="80">
      <c r="J413" s="124">
        <f>IF($A413="","",$B413+$C413+$D413-$E413+$F413-$G413)</f>
        <v/>
      </c>
      <c r="K413" s="124">
        <f>IF($A413="","",MAX(0,$B413-$J413))</f>
        <v/>
      </c>
      <c r="L413" s="124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  <c r="U413" s="124">
        <f>IF($N413="","",$Q413*$R413)</f>
        <v/>
      </c>
    </row>
    <row r="414" ht="15" customHeight="1" s="80">
      <c r="J414" s="124">
        <f>IF($A414="","",$B414+$C414+$D414-$E414+$F414-$G414)</f>
        <v/>
      </c>
      <c r="K414" s="124">
        <f>IF($A414="","",MAX(0,$B414-$J414))</f>
        <v/>
      </c>
      <c r="L414" s="124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  <c r="U414" s="124">
        <f>IF($N414="","",$Q414*$R414)</f>
        <v/>
      </c>
    </row>
    <row r="415" ht="15" customHeight="1" s="80">
      <c r="J415" s="124">
        <f>IF($A415="","",$B415+$C415+$D415-$E415+$F415-$G415)</f>
        <v/>
      </c>
      <c r="K415" s="124">
        <f>IF($A415="","",MAX(0,$B415-$J415))</f>
        <v/>
      </c>
      <c r="L415" s="124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  <c r="U415" s="124">
        <f>IF($N415="","",$Q415*$R415)</f>
        <v/>
      </c>
    </row>
    <row r="416" ht="15" customHeight="1" s="80">
      <c r="J416" s="124">
        <f>IF($A416="","",$B416+$C416+$D416-$E416+$F416-$G416)</f>
        <v/>
      </c>
      <c r="K416" s="124">
        <f>IF($A416="","",MAX(0,$B416-$J416))</f>
        <v/>
      </c>
      <c r="L416" s="124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  <c r="U416" s="124">
        <f>IF($N416="","",$Q416*$R416)</f>
        <v/>
      </c>
    </row>
    <row r="417" ht="15" customHeight="1" s="80">
      <c r="J417" s="124">
        <f>IF($A417="","",$B417+$C417+$D417-$E417+$F417-$G417)</f>
        <v/>
      </c>
      <c r="K417" s="124">
        <f>IF($A417="","",MAX(0,$B417-$J417))</f>
        <v/>
      </c>
      <c r="L417" s="124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  <c r="U417" s="124">
        <f>IF($N417="","",$Q417*$R417)</f>
        <v/>
      </c>
    </row>
    <row r="418" ht="15" customHeight="1" s="80">
      <c r="J418" s="124">
        <f>IF($A418="","",$B418+$C418+$D418-$E418+$F418-$G418)</f>
        <v/>
      </c>
      <c r="K418" s="124">
        <f>IF($A418="","",MAX(0,$B418-$J418))</f>
        <v/>
      </c>
      <c r="L418" s="124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  <c r="U418" s="124">
        <f>IF($N418="","",$Q418*$R418)</f>
        <v/>
      </c>
    </row>
    <row r="419" ht="15" customHeight="1" s="80">
      <c r="J419" s="124">
        <f>IF($A419="","",$B419+$C419+$D419-$E419+$F419-$G419)</f>
        <v/>
      </c>
      <c r="K419" s="124">
        <f>IF($A419="","",MAX(0,$B419-$J419))</f>
        <v/>
      </c>
      <c r="L419" s="124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  <c r="U419" s="124">
        <f>IF($N419="","",$Q419*$R419)</f>
        <v/>
      </c>
    </row>
    <row r="420" ht="15" customHeight="1" s="80">
      <c r="J420" s="124">
        <f>IF($A420="","",$B420+$C420+$D420-$E420+$F420-$G420)</f>
        <v/>
      </c>
      <c r="K420" s="124">
        <f>IF($A420="","",MAX(0,$B420-$J420))</f>
        <v/>
      </c>
      <c r="L420" s="124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  <c r="U420" s="124">
        <f>IF($N420="","",$Q420*$R420)</f>
        <v/>
      </c>
    </row>
    <row r="421" ht="15" customHeight="1" s="80">
      <c r="J421" s="124">
        <f>IF($A421="","",$B421+$C421+$D421-$E421+$F421-$G421)</f>
        <v/>
      </c>
      <c r="K421" s="124">
        <f>IF($A421="","",MAX(0,$B421-$J421))</f>
        <v/>
      </c>
      <c r="L421" s="124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  <c r="U421" s="124">
        <f>IF($N421="","",$Q421*$R421)</f>
        <v/>
      </c>
    </row>
    <row r="422" ht="15" customHeight="1" s="80">
      <c r="J422" s="124">
        <f>IF($A422="","",$B422+$C422+$D422-$E422+$F422-$G422)</f>
        <v/>
      </c>
      <c r="K422" s="124">
        <f>IF($A422="","",MAX(0,$B422-$J422))</f>
        <v/>
      </c>
      <c r="L422" s="124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  <c r="U422" s="124">
        <f>IF($N422="","",$Q422*$R422)</f>
        <v/>
      </c>
    </row>
    <row r="423" ht="15" customHeight="1" s="80">
      <c r="J423" s="124">
        <f>IF($A423="","",$B423+$C423+$D423-$E423+$F423-$G423)</f>
        <v/>
      </c>
      <c r="K423" s="124">
        <f>IF($A423="","",MAX(0,$B423-$J423))</f>
        <v/>
      </c>
      <c r="L423" s="124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  <c r="U423" s="124">
        <f>IF($N423="","",$Q423*$R423)</f>
        <v/>
      </c>
    </row>
    <row r="424" ht="15" customHeight="1" s="80">
      <c r="J424" s="124">
        <f>IF($A424="","",$B424+$C424+$D424-$E424+$F424-$G424)</f>
        <v/>
      </c>
      <c r="K424" s="124">
        <f>IF($A424="","",MAX(0,$B424-$J424))</f>
        <v/>
      </c>
      <c r="L424" s="124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  <c r="U424" s="124">
        <f>IF($N424="","",$Q424*$R424)</f>
        <v/>
      </c>
    </row>
    <row r="425" ht="15" customHeight="1" s="80">
      <c r="J425" s="124">
        <f>IF($A425="","",$B425+$C425+$D425-$E425+$F425-$G425)</f>
        <v/>
      </c>
      <c r="K425" s="124">
        <f>IF($A425="","",MAX(0,$B425-$J425))</f>
        <v/>
      </c>
      <c r="L425" s="124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  <c r="U425" s="124">
        <f>IF($N425="","",$Q425*$R425)</f>
        <v/>
      </c>
    </row>
    <row r="426" ht="15" customHeight="1" s="80">
      <c r="J426" s="124">
        <f>IF($A426="","",$B426+$C426+$D426-$E426+$F426-$G426)</f>
        <v/>
      </c>
      <c r="K426" s="124">
        <f>IF($A426="","",MAX(0,$B426-$J426))</f>
        <v/>
      </c>
      <c r="L426" s="124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  <c r="U426" s="124">
        <f>IF($N426="","",$Q426*$R426)</f>
        <v/>
      </c>
    </row>
    <row r="427" ht="15" customHeight="1" s="80">
      <c r="J427" s="124">
        <f>IF($A427="","",$B427+$C427+$D427-$E427+$F427-$G427)</f>
        <v/>
      </c>
      <c r="K427" s="124">
        <f>IF($A427="","",MAX(0,$B427-$J427))</f>
        <v/>
      </c>
      <c r="L427" s="124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  <c r="U427" s="124">
        <f>IF($N427="","",$Q427*$R427)</f>
        <v/>
      </c>
    </row>
    <row r="428" ht="15" customHeight="1" s="80">
      <c r="J428" s="124">
        <f>IF($A428="","",$B428+$C428+$D428-$E428+$F428-$G428)</f>
        <v/>
      </c>
      <c r="K428" s="124">
        <f>IF($A428="","",MAX(0,$B428-$J428))</f>
        <v/>
      </c>
      <c r="L428" s="124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  <c r="U428" s="124">
        <f>IF($N428="","",$Q428*$R428)</f>
        <v/>
      </c>
    </row>
    <row r="429" ht="15" customHeight="1" s="80">
      <c r="J429" s="124">
        <f>IF($A429="","",$B429+$C429+$D429-$E429+$F429-$G429)</f>
        <v/>
      </c>
      <c r="K429" s="124">
        <f>IF($A429="","",MAX(0,$B429-$J429))</f>
        <v/>
      </c>
      <c r="L429" s="124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  <c r="U429" s="124">
        <f>IF($N429="","",$Q429*$R429)</f>
        <v/>
      </c>
    </row>
    <row r="430" ht="15" customHeight="1" s="80">
      <c r="J430" s="124">
        <f>IF($A430="","",$B430+$C430+$D430-$E430+$F430-$G430)</f>
        <v/>
      </c>
      <c r="K430" s="124">
        <f>IF($A430="","",MAX(0,$B430-$J430))</f>
        <v/>
      </c>
      <c r="L430" s="124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  <c r="U430" s="124">
        <f>IF($N430="","",$Q430*$R430)</f>
        <v/>
      </c>
    </row>
    <row r="431" ht="15" customHeight="1" s="80">
      <c r="J431" s="124">
        <f>IF($A431="","",$B431+$C431+$D431-$E431+$F431-$G431)</f>
        <v/>
      </c>
      <c r="K431" s="124">
        <f>IF($A431="","",MAX(0,$B431-$J431))</f>
        <v/>
      </c>
      <c r="L431" s="124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  <c r="U431" s="124">
        <f>IF($N431="","",$Q431*$R431)</f>
        <v/>
      </c>
    </row>
    <row r="432" ht="15" customHeight="1" s="80">
      <c r="J432" s="124">
        <f>IF($A432="","",$B432+$C432+$D432-$E432+$F432-$G432)</f>
        <v/>
      </c>
      <c r="K432" s="124">
        <f>IF($A432="","",MAX(0,$B432-$J432))</f>
        <v/>
      </c>
      <c r="L432" s="124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  <c r="U432" s="124">
        <f>IF($N432="","",$Q432*$R432)</f>
        <v/>
      </c>
    </row>
    <row r="433" ht="15" customHeight="1" s="80">
      <c r="J433" s="124">
        <f>IF($A433="","",$B433+$C433+$D433-$E433+$F433-$G433)</f>
        <v/>
      </c>
      <c r="K433" s="124">
        <f>IF($A433="","",MAX(0,$B433-$J433))</f>
        <v/>
      </c>
      <c r="L433" s="124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  <c r="U433" s="124">
        <f>IF($N433="","",$Q433*$R433)</f>
        <v/>
      </c>
    </row>
    <row r="434" ht="15" customHeight="1" s="80">
      <c r="J434" s="124">
        <f>IF($A434="","",$B434+$C434+$D434-$E434+$F434-$G434)</f>
        <v/>
      </c>
      <c r="K434" s="124">
        <f>IF($A434="","",MAX(0,$B434-$J434))</f>
        <v/>
      </c>
      <c r="L434" s="124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  <c r="U434" s="124">
        <f>IF($N434="","",$Q434*$R434)</f>
        <v/>
      </c>
    </row>
    <row r="435" ht="15" customHeight="1" s="80">
      <c r="J435" s="124">
        <f>IF($A435="","",$B435+$C435+$D435-$E435+$F435-$G435)</f>
        <v/>
      </c>
      <c r="K435" s="124">
        <f>IF($A435="","",MAX(0,$B435-$J435))</f>
        <v/>
      </c>
      <c r="L435" s="124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  <c r="U435" s="124">
        <f>IF($N435="","",$Q435*$R435)</f>
        <v/>
      </c>
    </row>
    <row r="436" ht="15" customHeight="1" s="80">
      <c r="J436" s="124">
        <f>IF($A436="","",$B436+$C436+$D436-$E436+$F436-$G436)</f>
        <v/>
      </c>
      <c r="K436" s="124">
        <f>IF($A436="","",MAX(0,$B436-$J436))</f>
        <v/>
      </c>
      <c r="L436" s="124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  <c r="U436" s="124">
        <f>IF($N436="","",$Q436*$R436)</f>
        <v/>
      </c>
    </row>
    <row r="437" ht="15" customHeight="1" s="80">
      <c r="J437" s="124">
        <f>IF($A437="","",$B437+$C437+$D437-$E437+$F437-$G437)</f>
        <v/>
      </c>
      <c r="K437" s="124">
        <f>IF($A437="","",MAX(0,$B437-$J437))</f>
        <v/>
      </c>
      <c r="L437" s="124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  <c r="U437" s="124">
        <f>IF($N437="","",$Q437*$R437)</f>
        <v/>
      </c>
    </row>
    <row r="438" ht="15" customHeight="1" s="80">
      <c r="J438" s="124">
        <f>IF($A438="","",$B438+$C438+$D438-$E438+$F438-$G438)</f>
        <v/>
      </c>
      <c r="K438" s="124">
        <f>IF($A438="","",MAX(0,$B438-$J438))</f>
        <v/>
      </c>
      <c r="L438" s="124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  <c r="U438" s="124">
        <f>IF($N438="","",$Q438*$R438)</f>
        <v/>
      </c>
    </row>
    <row r="439" ht="15" customHeight="1" s="80">
      <c r="J439" s="124">
        <f>IF($A439="","",$B439+$C439+$D439-$E439+$F439-$G439)</f>
        <v/>
      </c>
      <c r="K439" s="124">
        <f>IF($A439="","",MAX(0,$B439-$J439))</f>
        <v/>
      </c>
      <c r="L439" s="124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  <c r="U439" s="124">
        <f>IF($N439="","",$Q439*$R439)</f>
        <v/>
      </c>
    </row>
    <row r="440" ht="15" customHeight="1" s="80">
      <c r="J440" s="124">
        <f>IF($A440="","",$B440+$C440+$D440-$E440+$F440-$G440)</f>
        <v/>
      </c>
      <c r="K440" s="124">
        <f>IF($A440="","",MAX(0,$B440-$J440))</f>
        <v/>
      </c>
      <c r="L440" s="124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  <c r="U440" s="124">
        <f>IF($N440="","",$Q440*$R440)</f>
        <v/>
      </c>
    </row>
    <row r="441" ht="15" customHeight="1" s="80">
      <c r="J441" s="124">
        <f>IF($A441="","",$B441+$C441+$D441-$E441+$F441-$G441)</f>
        <v/>
      </c>
      <c r="K441" s="124">
        <f>IF($A441="","",MAX(0,$B441-$J441))</f>
        <v/>
      </c>
      <c r="L441" s="124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  <c r="U441" s="124">
        <f>IF($N441="","",$Q441*$R441)</f>
        <v/>
      </c>
    </row>
    <row r="442" ht="15" customHeight="1" s="80">
      <c r="J442" s="124">
        <f>IF($A442="","",$B442+$C442+$D442-$E442+$F442-$G442)</f>
        <v/>
      </c>
      <c r="K442" s="124">
        <f>IF($A442="","",MAX(0,$B442-$J442))</f>
        <v/>
      </c>
      <c r="L442" s="124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  <c r="U442" s="124">
        <f>IF($N442="","",$Q442*$R442)</f>
        <v/>
      </c>
    </row>
    <row r="443" ht="15" customHeight="1" s="80">
      <c r="J443" s="124">
        <f>IF($A443="","",$B443+$C443+$D443-$E443+$F443-$G443)</f>
        <v/>
      </c>
      <c r="K443" s="124">
        <f>IF($A443="","",MAX(0,$B443-$J443))</f>
        <v/>
      </c>
      <c r="L443" s="124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  <c r="U443" s="124">
        <f>IF($N443="","",$Q443*$R443)</f>
        <v/>
      </c>
    </row>
    <row r="444" ht="15" customHeight="1" s="80">
      <c r="J444" s="124">
        <f>IF($A444="","",$B444+$C444+$D444-$E444+$F444-$G444)</f>
        <v/>
      </c>
      <c r="K444" s="124">
        <f>IF($A444="","",MAX(0,$B444-$J444))</f>
        <v/>
      </c>
      <c r="L444" s="124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  <c r="U444" s="124">
        <f>IF($N444="","",$Q444*$R444)</f>
        <v/>
      </c>
    </row>
    <row r="445" ht="15" customHeight="1" s="80">
      <c r="J445" s="124">
        <f>IF($A445="","",$B445+$C445+$D445-$E445+$F445-$G445)</f>
        <v/>
      </c>
      <c r="K445" s="124">
        <f>IF($A445="","",MAX(0,$B445-$J445))</f>
        <v/>
      </c>
      <c r="L445" s="124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  <c r="U445" s="124">
        <f>IF($N445="","",$Q445*$R445)</f>
        <v/>
      </c>
    </row>
    <row r="446" ht="15" customHeight="1" s="80">
      <c r="J446" s="124">
        <f>IF($A446="","",$B446+$C446+$D446-$E446+$F446-$G446)</f>
        <v/>
      </c>
      <c r="K446" s="124">
        <f>IF($A446="","",MAX(0,$B446-$J446))</f>
        <v/>
      </c>
      <c r="L446" s="124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  <c r="U446" s="124">
        <f>IF($N446="","",$Q446*$R446)</f>
        <v/>
      </c>
    </row>
    <row r="447" ht="15" customHeight="1" s="80">
      <c r="J447" s="124">
        <f>IF($A447="","",$B447+$C447+$D447-$E447+$F447-$G447)</f>
        <v/>
      </c>
      <c r="K447" s="124">
        <f>IF($A447="","",MAX(0,$B447-$J447))</f>
        <v/>
      </c>
      <c r="L447" s="124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  <c r="U447" s="124">
        <f>IF($N447="","",$Q447*$R447)</f>
        <v/>
      </c>
    </row>
    <row r="448" ht="15" customHeight="1" s="80">
      <c r="J448" s="124">
        <f>IF($A448="","",$B448+$C448+$D448-$E448+$F448-$G448)</f>
        <v/>
      </c>
      <c r="K448" s="124">
        <f>IF($A448="","",MAX(0,$B448-$J448))</f>
        <v/>
      </c>
      <c r="L448" s="124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  <c r="U448" s="124">
        <f>IF($N448="","",$Q448*$R448)</f>
        <v/>
      </c>
    </row>
    <row r="449" ht="15" customHeight="1" s="80">
      <c r="J449" s="124">
        <f>IF($A449="","",$B449+$C449+$D449-$E449+$F449-$G449)</f>
        <v/>
      </c>
      <c r="K449" s="124">
        <f>IF($A449="","",MAX(0,$B449-$J449))</f>
        <v/>
      </c>
      <c r="L449" s="124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  <c r="U449" s="124">
        <f>IF($N449="","",$Q449*$R449)</f>
        <v/>
      </c>
    </row>
    <row r="450" ht="15" customHeight="1" s="80">
      <c r="J450" s="124">
        <f>IF($A450="","",$B450+$C450+$D450-$E450+$F450-$G450)</f>
        <v/>
      </c>
      <c r="K450" s="124">
        <f>IF($A450="","",MAX(0,$B450-$J450))</f>
        <v/>
      </c>
      <c r="L450" s="124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  <c r="U450" s="124">
        <f>IF($N450="","",$Q450*$R450)</f>
        <v/>
      </c>
    </row>
    <row r="451" ht="15" customHeight="1" s="80">
      <c r="J451" s="124">
        <f>IF($A451="","",$B451+$C451+$D451-$E451+$F451-$G451)</f>
        <v/>
      </c>
      <c r="K451" s="124">
        <f>IF($A451="","",MAX(0,$B451-$J451))</f>
        <v/>
      </c>
      <c r="L451" s="124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  <c r="U451" s="124">
        <f>IF($N451="","",$Q451*$R451)</f>
        <v/>
      </c>
    </row>
    <row r="452" ht="15" customHeight="1" s="80">
      <c r="J452" s="124">
        <f>IF($A452="","",$B452+$C452+$D452-$E452+$F452-$G452)</f>
        <v/>
      </c>
      <c r="K452" s="124">
        <f>IF($A452="","",MAX(0,$B452-$J452))</f>
        <v/>
      </c>
      <c r="L452" s="124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  <c r="U452" s="124">
        <f>IF($N452="","",$Q452*$R452)</f>
        <v/>
      </c>
    </row>
    <row r="453" ht="15" customHeight="1" s="80">
      <c r="J453" s="124">
        <f>IF($A453="","",$B453+$C453+$D453-$E453+$F453-$G453)</f>
        <v/>
      </c>
      <c r="K453" s="124">
        <f>IF($A453="","",MAX(0,$B453-$J453))</f>
        <v/>
      </c>
      <c r="L453" s="124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  <c r="U453" s="124">
        <f>IF($N453="","",$Q453*$R453)</f>
        <v/>
      </c>
    </row>
    <row r="454" ht="15" customHeight="1" s="80">
      <c r="J454" s="124">
        <f>IF($A454="","",$B454+$C454+$D454-$E454+$F454-$G454)</f>
        <v/>
      </c>
      <c r="K454" s="124">
        <f>IF($A454="","",MAX(0,$B454-$J454))</f>
        <v/>
      </c>
      <c r="L454" s="124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  <c r="U454" s="124">
        <f>IF($N454="","",$Q454*$R454)</f>
        <v/>
      </c>
    </row>
    <row r="455" ht="15" customHeight="1" s="80">
      <c r="J455" s="124">
        <f>IF($A455="","",$B455+$C455+$D455-$E455+$F455-$G455)</f>
        <v/>
      </c>
      <c r="K455" s="124">
        <f>IF($A455="","",MAX(0,$B455-$J455))</f>
        <v/>
      </c>
      <c r="L455" s="124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  <c r="U455" s="124">
        <f>IF($N455="","",$Q455*$R455)</f>
        <v/>
      </c>
    </row>
    <row r="456" ht="15" customHeight="1" s="80">
      <c r="J456" s="124">
        <f>IF($A456="","",$B456+$C456+$D456-$E456+$F456-$G456)</f>
        <v/>
      </c>
      <c r="K456" s="124">
        <f>IF($A456="","",MAX(0,$B456-$J456))</f>
        <v/>
      </c>
      <c r="L456" s="124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  <c r="U456" s="124">
        <f>IF($N456="","",$Q456*$R456)</f>
        <v/>
      </c>
    </row>
    <row r="457" ht="15" customHeight="1" s="80">
      <c r="J457" s="124">
        <f>IF($A457="","",$B457+$C457+$D457-$E457+$F457-$G457)</f>
        <v/>
      </c>
      <c r="K457" s="124">
        <f>IF($A457="","",MAX(0,$B457-$J457))</f>
        <v/>
      </c>
      <c r="L457" s="124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  <c r="U457" s="124">
        <f>IF($N457="","",$Q457*$R457)</f>
        <v/>
      </c>
    </row>
    <row r="458" ht="15" customHeight="1" s="80">
      <c r="J458" s="124">
        <f>IF($A458="","",$B458+$C458+$D458-$E458+$F458-$G458)</f>
        <v/>
      </c>
      <c r="K458" s="124">
        <f>IF($A458="","",MAX(0,$B458-$J458))</f>
        <v/>
      </c>
      <c r="L458" s="124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  <c r="U458" s="124">
        <f>IF($N458="","",$Q458*$R458)</f>
        <v/>
      </c>
    </row>
    <row r="459" ht="15" customHeight="1" s="80">
      <c r="J459" s="124">
        <f>IF($A459="","",$B459+$C459+$D459-$E459+$F459-$G459)</f>
        <v/>
      </c>
      <c r="K459" s="124">
        <f>IF($A459="","",MAX(0,$B459-$J459))</f>
        <v/>
      </c>
      <c r="L459" s="124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  <c r="U459" s="124">
        <f>IF($N459="","",$Q459*$R459)</f>
        <v/>
      </c>
    </row>
    <row r="460" ht="15" customHeight="1" s="80">
      <c r="J460" s="124">
        <f>IF($A460="","",$B460+$C460+$D460-$E460+$F460-$G460)</f>
        <v/>
      </c>
      <c r="K460" s="124">
        <f>IF($A460="","",MAX(0,$B460-$J460))</f>
        <v/>
      </c>
      <c r="L460" s="124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  <c r="U460" s="124">
        <f>IF($N460="","",$Q460*$R460)</f>
        <v/>
      </c>
    </row>
    <row r="461" ht="15" customHeight="1" s="80">
      <c r="J461" s="124">
        <f>IF($A461="","",$B461+$C461+$D461-$E461+$F461-$G461)</f>
        <v/>
      </c>
      <c r="K461" s="124">
        <f>IF($A461="","",MAX(0,$B461-$J461))</f>
        <v/>
      </c>
      <c r="L461" s="124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  <c r="U461" s="124">
        <f>IF($N461="","",$Q461*$R461)</f>
        <v/>
      </c>
    </row>
    <row r="462" ht="15" customHeight="1" s="80">
      <c r="J462" s="124">
        <f>IF($A462="","",$B462+$C462+$D462-$E462+$F462-$G462)</f>
        <v/>
      </c>
      <c r="K462" s="124">
        <f>IF($A462="","",MAX(0,$B462-$J462))</f>
        <v/>
      </c>
      <c r="L462" s="124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  <c r="U462" s="124">
        <f>IF($N462="","",$Q462*$R462)</f>
        <v/>
      </c>
    </row>
    <row r="463" ht="15" customHeight="1" s="80">
      <c r="J463" s="124">
        <f>IF($A463="","",$B463+$C463+$D463-$E463+$F463-$G463)</f>
        <v/>
      </c>
      <c r="K463" s="124">
        <f>IF($A463="","",MAX(0,$B463-$J463))</f>
        <v/>
      </c>
      <c r="L463" s="124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  <c r="U463" s="124">
        <f>IF($N463="","",$Q463*$R463)</f>
        <v/>
      </c>
    </row>
    <row r="464" ht="15" customHeight="1" s="80">
      <c r="J464" s="124">
        <f>IF($A464="","",$B464+$C464+$D464-$E464+$F464-$G464)</f>
        <v/>
      </c>
      <c r="K464" s="124">
        <f>IF($A464="","",MAX(0,$B464-$J464))</f>
        <v/>
      </c>
      <c r="L464" s="124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  <c r="U464" s="124">
        <f>IF($N464="","",$Q464*$R464)</f>
        <v/>
      </c>
    </row>
    <row r="465" ht="15" customHeight="1" s="80">
      <c r="J465" s="124">
        <f>IF($A465="","",$B465+$C465+$D465-$E465+$F465-$G465)</f>
        <v/>
      </c>
      <c r="K465" s="124">
        <f>IF($A465="","",MAX(0,$B465-$J465))</f>
        <v/>
      </c>
      <c r="L465" s="124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  <c r="U465" s="124">
        <f>IF($N465="","",$Q465*$R465)</f>
        <v/>
      </c>
    </row>
    <row r="466" ht="15" customHeight="1" s="80">
      <c r="J466" s="124">
        <f>IF($A466="","",$B466+$C466+$D466-$E466+$F466-$G466)</f>
        <v/>
      </c>
      <c r="K466" s="124">
        <f>IF($A466="","",MAX(0,$B466-$J466))</f>
        <v/>
      </c>
      <c r="L466" s="124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  <c r="U466" s="124">
        <f>IF($N466="","",$Q466*$R466)</f>
        <v/>
      </c>
    </row>
    <row r="467" ht="15" customHeight="1" s="80">
      <c r="J467" s="124">
        <f>IF($A467="","",$B467+$C467+$D467-$E467+$F467-$G467)</f>
        <v/>
      </c>
      <c r="K467" s="124">
        <f>IF($A467="","",MAX(0,$B467-$J467))</f>
        <v/>
      </c>
      <c r="L467" s="124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  <c r="U467" s="124">
        <f>IF($N467="","",$Q467*$R467)</f>
        <v/>
      </c>
    </row>
    <row r="468" ht="15" customHeight="1" s="80">
      <c r="J468" s="124">
        <f>IF($A468="","",$B468+$C468+$D468-$E468+$F468-$G468)</f>
        <v/>
      </c>
      <c r="K468" s="124">
        <f>IF($A468="","",MAX(0,$B468-$J468))</f>
        <v/>
      </c>
      <c r="L468" s="124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  <c r="U468" s="124">
        <f>IF($N468="","",$Q468*$R468)</f>
        <v/>
      </c>
    </row>
    <row r="469" ht="15" customHeight="1" s="80">
      <c r="J469" s="124">
        <f>IF($A469="","",$B469+$C469+$D469-$E469+$F469-$G469)</f>
        <v/>
      </c>
      <c r="K469" s="124">
        <f>IF($A469="","",MAX(0,$B469-$J469))</f>
        <v/>
      </c>
      <c r="L469" s="124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  <c r="U469" s="124">
        <f>IF($N469="","",$Q469*$R469)</f>
        <v/>
      </c>
    </row>
    <row r="470" ht="15" customHeight="1" s="80">
      <c r="J470" s="124">
        <f>IF($A470="","",$B470+$C470+$D470-$E470+$F470-$G470)</f>
        <v/>
      </c>
      <c r="K470" s="124">
        <f>IF($A470="","",MAX(0,$B470-$J470))</f>
        <v/>
      </c>
      <c r="L470" s="124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  <c r="U470" s="124">
        <f>IF($N470="","",$Q470*$R470)</f>
        <v/>
      </c>
    </row>
    <row r="471" ht="15" customHeight="1" s="80">
      <c r="J471" s="124">
        <f>IF($A471="","",$B471+$C471+$D471-$E471+$F471-$G471)</f>
        <v/>
      </c>
      <c r="K471" s="124">
        <f>IF($A471="","",MAX(0,$B471-$J471))</f>
        <v/>
      </c>
      <c r="L471" s="124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  <c r="U471" s="124">
        <f>IF($N471="","",$Q471*$R471)</f>
        <v/>
      </c>
    </row>
    <row r="472" ht="15" customHeight="1" s="80">
      <c r="J472" s="124">
        <f>IF($A472="","",$B472+$C472+$D472-$E472+$F472-$G472)</f>
        <v/>
      </c>
      <c r="K472" s="124">
        <f>IF($A472="","",MAX(0,$B472-$J472))</f>
        <v/>
      </c>
      <c r="L472" s="124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  <c r="U472" s="124">
        <f>IF($N472="","",$Q472*$R472)</f>
        <v/>
      </c>
    </row>
    <row r="473" ht="15" customHeight="1" s="80">
      <c r="J473" s="124">
        <f>IF($A473="","",$B473+$C473+$D473-$E473+$F473-$G473)</f>
        <v/>
      </c>
      <c r="K473" s="124">
        <f>IF($A473="","",MAX(0,$B473-$J473))</f>
        <v/>
      </c>
      <c r="L473" s="124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  <c r="U473" s="124">
        <f>IF($N473="","",$Q473*$R473)</f>
        <v/>
      </c>
    </row>
    <row r="474" ht="15" customHeight="1" s="80">
      <c r="J474" s="124">
        <f>IF($A474="","",$B474+$C474+$D474-$E474+$F474-$G474)</f>
        <v/>
      </c>
      <c r="K474" s="124">
        <f>IF($A474="","",MAX(0,$B474-$J474))</f>
        <v/>
      </c>
      <c r="L474" s="124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  <c r="U474" s="124">
        <f>IF($N474="","",$Q474*$R474)</f>
        <v/>
      </c>
    </row>
    <row r="475" ht="15" customHeight="1" s="80">
      <c r="J475" s="124">
        <f>IF($A475="","",$B475+$C475+$D475-$E475+$F475-$G475)</f>
        <v/>
      </c>
      <c r="K475" s="124">
        <f>IF($A475="","",MAX(0,$B475-$J475))</f>
        <v/>
      </c>
      <c r="L475" s="124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  <c r="U475" s="124">
        <f>IF($N475="","",$Q475*$R475)</f>
        <v/>
      </c>
    </row>
    <row r="476" ht="15" customHeight="1" s="80">
      <c r="J476" s="124">
        <f>IF($A476="","",$B476+$C476+$D476-$E476+$F476-$G476)</f>
        <v/>
      </c>
      <c r="K476" s="124">
        <f>IF($A476="","",MAX(0,$B476-$J476))</f>
        <v/>
      </c>
      <c r="L476" s="124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  <c r="U476" s="124">
        <f>IF($N476="","",$Q476*$R476)</f>
        <v/>
      </c>
    </row>
    <row r="477" ht="15" customHeight="1" s="80">
      <c r="J477" s="124">
        <f>IF($A477="","",$B477+$C477+$D477-$E477+$F477-$G477)</f>
        <v/>
      </c>
      <c r="K477" s="124">
        <f>IF($A477="","",MAX(0,$B477-$J477))</f>
        <v/>
      </c>
      <c r="L477" s="124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  <c r="U477" s="124">
        <f>IF($N477="","",$Q477*$R477)</f>
        <v/>
      </c>
    </row>
    <row r="478" ht="15" customHeight="1" s="80">
      <c r="J478" s="124">
        <f>IF($A478="","",$B478+$C478+$D478-$E478+$F478-$G478)</f>
        <v/>
      </c>
      <c r="K478" s="124">
        <f>IF($A478="","",MAX(0,$B478-$J478))</f>
        <v/>
      </c>
      <c r="L478" s="124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  <c r="U478" s="124">
        <f>IF($N478="","",$Q478*$R478)</f>
        <v/>
      </c>
    </row>
    <row r="479" ht="15" customHeight="1" s="80">
      <c r="J479" s="124">
        <f>IF($A479="","",$B479+$C479+$D479-$E479+$F479-$G479)</f>
        <v/>
      </c>
      <c r="K479" s="124">
        <f>IF($A479="","",MAX(0,$B479-$J479))</f>
        <v/>
      </c>
      <c r="L479" s="124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  <c r="U479" s="124">
        <f>IF($N479="","",$Q479*$R479)</f>
        <v/>
      </c>
    </row>
    <row r="480" ht="15" customHeight="1" s="80">
      <c r="J480" s="124">
        <f>IF($A480="","",$B480+$C480+$D480-$E480+$F480-$G480)</f>
        <v/>
      </c>
      <c r="K480" s="124">
        <f>IF($A480="","",MAX(0,$B480-$J480))</f>
        <v/>
      </c>
      <c r="L480" s="124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  <c r="U480" s="124">
        <f>IF($N480="","",$Q480*$R480)</f>
        <v/>
      </c>
    </row>
    <row r="481" ht="15" customHeight="1" s="80">
      <c r="J481" s="124">
        <f>IF($A481="","",$B481+$C481+$D481-$E481+$F481-$G481)</f>
        <v/>
      </c>
      <c r="K481" s="124">
        <f>IF($A481="","",MAX(0,$B481-$J481))</f>
        <v/>
      </c>
      <c r="L481" s="124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  <c r="U481" s="124">
        <f>IF($N481="","",$Q481*$R481)</f>
        <v/>
      </c>
    </row>
    <row r="482" ht="15" customHeight="1" s="80">
      <c r="J482" s="124">
        <f>IF($A482="","",$B482+$C482+$D482-$E482+$F482-$G482)</f>
        <v/>
      </c>
      <c r="K482" s="124">
        <f>IF($A482="","",MAX(0,$B482-$J482))</f>
        <v/>
      </c>
      <c r="L482" s="124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  <c r="U482" s="124">
        <f>IF($N482="","",$Q482*$R482)</f>
        <v/>
      </c>
    </row>
    <row r="483" ht="15" customHeight="1" s="80">
      <c r="J483" s="124">
        <f>IF($A483="","",$B483+$C483+$D483-$E483+$F483-$G483)</f>
        <v/>
      </c>
      <c r="K483" s="124">
        <f>IF($A483="","",MAX(0,$B483-$J483))</f>
        <v/>
      </c>
      <c r="L483" s="124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  <c r="U483" s="124">
        <f>IF($N483="","",$Q483*$R483)</f>
        <v/>
      </c>
    </row>
    <row r="484" ht="15" customHeight="1" s="80">
      <c r="J484" s="124">
        <f>IF($A484="","",$B484+$C484+$D484-$E484+$F484-$G484)</f>
        <v/>
      </c>
      <c r="K484" s="124">
        <f>IF($A484="","",MAX(0,$B484-$J484))</f>
        <v/>
      </c>
      <c r="L484" s="124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  <c r="U484" s="124">
        <f>IF($N484="","",$Q484*$R484)</f>
        <v/>
      </c>
    </row>
    <row r="485" ht="15" customHeight="1" s="80">
      <c r="J485" s="124">
        <f>IF($A485="","",$B485+$C485+$D485-$E485+$F485-$G485)</f>
        <v/>
      </c>
      <c r="K485" s="124">
        <f>IF($A485="","",MAX(0,$B485-$J485))</f>
        <v/>
      </c>
      <c r="L485" s="124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  <c r="U485" s="124">
        <f>IF($N485="","",$Q485*$R485)</f>
        <v/>
      </c>
    </row>
    <row r="486" ht="15" customHeight="1" s="80">
      <c r="J486" s="124">
        <f>IF($A486="","",$B486+$C486+$D486-$E486+$F486-$G486)</f>
        <v/>
      </c>
      <c r="K486" s="124">
        <f>IF($A486="","",MAX(0,$B486-$J486))</f>
        <v/>
      </c>
      <c r="L486" s="124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  <c r="U486" s="124">
        <f>IF($N486="","",$Q486*$R486)</f>
        <v/>
      </c>
    </row>
    <row r="487" ht="15" customHeight="1" s="80">
      <c r="J487" s="124">
        <f>IF($A487="","",$B487+$C487+$D487-$E487+$F487-$G487)</f>
        <v/>
      </c>
      <c r="K487" s="124">
        <f>IF($A487="","",MAX(0,$B487-$J487))</f>
        <v/>
      </c>
      <c r="L487" s="124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  <c r="U487" s="124">
        <f>IF($N487="","",$Q487*$R487)</f>
        <v/>
      </c>
    </row>
    <row r="488" ht="15" customHeight="1" s="80">
      <c r="J488" s="124">
        <f>IF($A488="","",$B488+$C488+$D488-$E488+$F488-$G488)</f>
        <v/>
      </c>
      <c r="K488" s="124">
        <f>IF($A488="","",MAX(0,$B488-$J488))</f>
        <v/>
      </c>
      <c r="L488" s="124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  <c r="U488" s="124">
        <f>IF($N488="","",$Q488*$R488)</f>
        <v/>
      </c>
    </row>
    <row r="489" ht="15" customHeight="1" s="80">
      <c r="J489" s="124">
        <f>IF($A489="","",$B489+$C489+$D489-$E489+$F489-$G489)</f>
        <v/>
      </c>
      <c r="K489" s="124">
        <f>IF($A489="","",MAX(0,$B489-$J489))</f>
        <v/>
      </c>
      <c r="L489" s="124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  <c r="U489" s="124">
        <f>IF($N489="","",$Q489*$R489)</f>
        <v/>
      </c>
    </row>
    <row r="490" ht="15" customHeight="1" s="80">
      <c r="J490" s="124">
        <f>IF($A490="","",$B490+$C490+$D490-$E490+$F490-$G490)</f>
        <v/>
      </c>
      <c r="K490" s="124">
        <f>IF($A490="","",MAX(0,$B490-$J490))</f>
        <v/>
      </c>
      <c r="L490" s="124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  <c r="U490" s="124">
        <f>IF($N490="","",$Q490*$R490)</f>
        <v/>
      </c>
    </row>
    <row r="491" ht="15" customHeight="1" s="80">
      <c r="J491" s="124">
        <f>IF($A491="","",$B491+$C491+$D491-$E491+$F491-$G491)</f>
        <v/>
      </c>
      <c r="K491" s="124">
        <f>IF($A491="","",MAX(0,$B491-$J491))</f>
        <v/>
      </c>
      <c r="L491" s="124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  <c r="U491" s="124">
        <f>IF($N491="","",$Q491*$R491)</f>
        <v/>
      </c>
    </row>
    <row r="492" ht="15" customHeight="1" s="80">
      <c r="J492" s="124">
        <f>IF($A492="","",$B492+$C492+$D492-$E492+$F492-$G492)</f>
        <v/>
      </c>
      <c r="K492" s="124">
        <f>IF($A492="","",MAX(0,$B492-$J492))</f>
        <v/>
      </c>
      <c r="L492" s="124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  <c r="U492" s="124">
        <f>IF($N492="","",$Q492*$R492)</f>
        <v/>
      </c>
    </row>
    <row r="493" ht="15" customHeight="1" s="80">
      <c r="J493" s="124">
        <f>IF($A493="","",$B493+$C493+$D493-$E493+$F493-$G493)</f>
        <v/>
      </c>
      <c r="K493" s="124">
        <f>IF($A493="","",MAX(0,$B493-$J493))</f>
        <v/>
      </c>
      <c r="L493" s="124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  <c r="U493" s="124">
        <f>IF($N493="","",$Q493*$R493)</f>
        <v/>
      </c>
    </row>
    <row r="494" ht="15" customHeight="1" s="80">
      <c r="J494" s="124">
        <f>IF($A494="","",$B494+$C494+$D494-$E494+$F494-$G494)</f>
        <v/>
      </c>
      <c r="K494" s="124">
        <f>IF($A494="","",MAX(0,$B494-$J494))</f>
        <v/>
      </c>
      <c r="L494" s="124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  <c r="U494" s="124">
        <f>IF($N494="","",$Q494*$R494)</f>
        <v/>
      </c>
    </row>
    <row r="495" ht="15" customHeight="1" s="80">
      <c r="J495" s="124">
        <f>IF($A495="","",$B495+$C495+$D495-$E495+$F495-$G495)</f>
        <v/>
      </c>
      <c r="K495" s="124">
        <f>IF($A495="","",MAX(0,$B495-$J495))</f>
        <v/>
      </c>
      <c r="L495" s="124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  <c r="U495" s="124">
        <f>IF($N495="","",$Q495*$R495)</f>
        <v/>
      </c>
    </row>
    <row r="496" ht="15" customHeight="1" s="80">
      <c r="J496" s="124">
        <f>IF($A496="","",$B496+$C496+$D496-$E496+$F496-$G496)</f>
        <v/>
      </c>
      <c r="K496" s="124">
        <f>IF($A496="","",MAX(0,$B496-$J496))</f>
        <v/>
      </c>
      <c r="L496" s="124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  <c r="U496" s="124">
        <f>IF($N496="","",$Q496*$R496)</f>
        <v/>
      </c>
    </row>
    <row r="497" ht="15" customHeight="1" s="80">
      <c r="J497" s="124">
        <f>IF($A497="","",$B497+$C497+$D497-$E497+$F497-$G497)</f>
        <v/>
      </c>
      <c r="K497" s="124">
        <f>IF($A497="","",MAX(0,$B497-$J497))</f>
        <v/>
      </c>
      <c r="L497" s="124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  <c r="U497" s="124">
        <f>IF($N497="","",$Q497*$R497)</f>
        <v/>
      </c>
    </row>
    <row r="498" ht="15" customHeight="1" s="80">
      <c r="J498" s="124">
        <f>IF($A498="","",$B498+$C498+$D498-$E498+$F498-$G498)</f>
        <v/>
      </c>
      <c r="K498" s="124">
        <f>IF($A498="","",MAX(0,$B498-$J498))</f>
        <v/>
      </c>
      <c r="L498" s="124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  <c r="U498" s="124">
        <f>IF($N498="","",$Q498*$R498)</f>
        <v/>
      </c>
    </row>
    <row r="499" ht="15" customHeight="1" s="80">
      <c r="J499" s="124">
        <f>IF($A499="","",$B499+$C499+$D499-$E499+$F499-$G499)</f>
        <v/>
      </c>
      <c r="K499" s="124">
        <f>IF($A499="","",MAX(0,$B499-$J499))</f>
        <v/>
      </c>
      <c r="L499" s="124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  <c r="U499" s="124">
        <f>IF($N499="","",$Q499*$R499)</f>
        <v/>
      </c>
    </row>
    <row r="500" ht="15" customHeight="1" s="80">
      <c r="J500" s="124">
        <f>IF($A500="","",$B500+$C500+$D500-$E500+$F500-$G500)</f>
        <v/>
      </c>
      <c r="K500" s="124">
        <f>IF($A500="","",MAX(0,$B500-$J500))</f>
        <v/>
      </c>
      <c r="L500" s="124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  <c r="U500" s="124">
        <f>IF($N500="","",$Q500*$R500)</f>
        <v/>
      </c>
    </row>
    <row r="501" ht="15" customHeight="1" s="80">
      <c r="J501" s="124">
        <f>IF($A501="","",$B501+$C501+$D501-$E501+$F501-$G501)</f>
        <v/>
      </c>
      <c r="K501" s="124">
        <f>IF($A501="","",MAX(0,$B501-$J501))</f>
        <v/>
      </c>
      <c r="L501" s="124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  <c r="U501" s="124">
        <f>IF($N501="","",$Q501*$R501)</f>
        <v/>
      </c>
    </row>
    <row r="502" ht="15" customHeight="1" s="80">
      <c r="J502" s="124">
        <f>IF($A502="","",$B502+$C502+$D502-$E502+$F502-$G502)</f>
        <v/>
      </c>
      <c r="K502" s="124">
        <f>IF($A502="","",MAX(0,$B502-$J502))</f>
        <v/>
      </c>
      <c r="L502" s="124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  <c r="U502" s="124">
        <f>IF($N502="","",$Q502*$R502)</f>
        <v/>
      </c>
    </row>
    <row r="503" ht="15" customHeight="1" s="80">
      <c r="J503" s="124">
        <f>IF($A503="","",$B503+$C503+$D503-$E503+$F503-$G503)</f>
        <v/>
      </c>
      <c r="K503" s="124">
        <f>IF($A503="","",MAX(0,$B503-$J503))</f>
        <v/>
      </c>
      <c r="L503" s="124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  <c r="U503" s="124">
        <f>IF($N503="","",$Q503*$R503)</f>
        <v/>
      </c>
    </row>
    <row r="504" ht="15" customHeight="1" s="80">
      <c r="J504" s="124">
        <f>IF($A504="","",$B504+$C504+$D504-$E504+$F504-$G504)</f>
        <v/>
      </c>
      <c r="K504" s="124">
        <f>IF($A504="","",MAX(0,$B504-$J504))</f>
        <v/>
      </c>
      <c r="L504" s="124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  <c r="U504" s="124">
        <f>IF($N504="","",$Q504*$R504)</f>
        <v/>
      </c>
    </row>
    <row r="505" ht="15" customHeight="1" s="80">
      <c r="J505" s="124">
        <f>IF($A505="","",$B505+$C505+$D505-$E505+$F505-$G505)</f>
        <v/>
      </c>
      <c r="K505" s="124">
        <f>IF($A505="","",MAX(0,$B505-$J505))</f>
        <v/>
      </c>
      <c r="L505" s="124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  <c r="U505" s="124">
        <f>IF($N505="","",$Q505*$R505)</f>
        <v/>
      </c>
    </row>
    <row r="506" ht="15" customHeight="1" s="80">
      <c r="J506" s="124">
        <f>IF($A506="","",$B506+$C506+$D506-$E506+$F506-$G506)</f>
        <v/>
      </c>
      <c r="K506" s="124">
        <f>IF($A506="","",MAX(0,$B506-$J506))</f>
        <v/>
      </c>
      <c r="L506" s="124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  <c r="U506" s="124">
        <f>IF($N506="","",$Q506*$R506)</f>
        <v/>
      </c>
    </row>
    <row r="507" ht="15" customHeight="1" s="80">
      <c r="J507" s="124">
        <f>IF($A507="","",$B507+$C507+$D507-$E507+$F507-$G507)</f>
        <v/>
      </c>
      <c r="K507" s="124">
        <f>IF($A507="","",MAX(0,$B507-$J507))</f>
        <v/>
      </c>
      <c r="L507" s="124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  <c r="U507" s="124">
        <f>IF($N507="","",$Q507*$R507)</f>
        <v/>
      </c>
    </row>
    <row r="508" ht="15" customHeight="1" s="80">
      <c r="J508" s="124">
        <f>IF($A508="","",$B508+$C508+$D508-$E508+$F508-$G508)</f>
        <v/>
      </c>
      <c r="K508" s="124">
        <f>IF($A508="","",MAX(0,$B508-$J508))</f>
        <v/>
      </c>
      <c r="L508" s="124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  <c r="U508" s="124">
        <f>IF($N508="","",$Q508*$R508)</f>
        <v/>
      </c>
    </row>
    <row r="509" ht="15" customHeight="1" s="80">
      <c r="J509" s="124">
        <f>IF($A509="","",$B509+$C509+$D509-$E509+$F509-$G509)</f>
        <v/>
      </c>
      <c r="K509" s="124">
        <f>IF($A509="","",MAX(0,$B509-$J509))</f>
        <v/>
      </c>
      <c r="L509" s="124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  <c r="U509" s="124">
        <f>IF($N509="","",$Q509*$R509)</f>
        <v/>
      </c>
    </row>
    <row r="510" ht="15" customHeight="1" s="80">
      <c r="J510" s="124">
        <f>IF($A510="","",$B510+$C510+$D510-$E510+$F510-$G510)</f>
        <v/>
      </c>
      <c r="K510" s="124">
        <f>IF($A510="","",MAX(0,$B510-$J510))</f>
        <v/>
      </c>
      <c r="L510" s="124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  <c r="U510" s="124">
        <f>IF($N510="","",$Q510*$R510)</f>
        <v/>
      </c>
    </row>
    <row r="511" ht="15" customHeight="1" s="80">
      <c r="J511" s="124">
        <f>IF($A511="","",$B511+$C511+$D511-$E511+$F511-$G511)</f>
        <v/>
      </c>
      <c r="K511" s="124">
        <f>IF($A511="","",MAX(0,$B511-$J511))</f>
        <v/>
      </c>
      <c r="L511" s="124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  <c r="U511" s="124">
        <f>IF($N511="","",$Q511*$R511)</f>
        <v/>
      </c>
    </row>
    <row r="512" ht="15" customHeight="1" s="80">
      <c r="J512" s="124">
        <f>IF($A512="","",$B512+$C512+$D512-$E512+$F512-$G512)</f>
        <v/>
      </c>
      <c r="K512" s="124">
        <f>IF($A512="","",MAX(0,$B512-$J512))</f>
        <v/>
      </c>
      <c r="L512" s="124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  <c r="U512" s="124">
        <f>IF($N512="","",$Q512*$R512)</f>
        <v/>
      </c>
    </row>
    <row r="513" ht="15" customHeight="1" s="80">
      <c r="J513" s="124">
        <f>IF($A513="","",$B513+$C513+$D513-$E513+$F513-$G513)</f>
        <v/>
      </c>
      <c r="K513" s="124">
        <f>IF($A513="","",MAX(0,$B513-$J513))</f>
        <v/>
      </c>
      <c r="L513" s="124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  <c r="U513" s="124">
        <f>IF($N513="","",$Q513*$R513)</f>
        <v/>
      </c>
    </row>
    <row r="514" ht="15" customHeight="1" s="80">
      <c r="J514" s="124">
        <f>IF($A514="","",$B514+$C514+$D514-$E514+$F514-$G514)</f>
        <v/>
      </c>
      <c r="K514" s="124">
        <f>IF($A514="","",MAX(0,$B514-$J514))</f>
        <v/>
      </c>
      <c r="L514" s="124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  <c r="U514" s="124">
        <f>IF($N514="","",$Q514*$R514)</f>
        <v/>
      </c>
    </row>
    <row r="515" ht="15" customHeight="1" s="80">
      <c r="J515" s="124">
        <f>IF($A515="","",$B515+$C515+$D515-$E515+$F515-$G515)</f>
        <v/>
      </c>
      <c r="K515" s="124">
        <f>IF($A515="","",MAX(0,$B515-$J515))</f>
        <v/>
      </c>
      <c r="L515" s="124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  <c r="U515" s="124">
        <f>IF($N515="","",$Q515*$R515)</f>
        <v/>
      </c>
    </row>
    <row r="516" ht="15" customHeight="1" s="80">
      <c r="J516" s="124">
        <f>IF($A516="","",$B516+$C516+$D516-$E516+$F516-$G516)</f>
        <v/>
      </c>
      <c r="K516" s="124">
        <f>IF($A516="","",MAX(0,$B516-$J516))</f>
        <v/>
      </c>
      <c r="L516" s="124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  <c r="U516" s="124">
        <f>IF($N516="","",$Q516*$R516)</f>
        <v/>
      </c>
    </row>
    <row r="517" ht="15" customHeight="1" s="80">
      <c r="J517" s="124">
        <f>IF($A517="","",$B517+$C517+$D517-$E517+$F517-$G517)</f>
        <v/>
      </c>
      <c r="K517" s="124">
        <f>IF($A517="","",MAX(0,$B517-$J517))</f>
        <v/>
      </c>
      <c r="L517" s="124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  <c r="U517" s="124">
        <f>IF($N517="","",$Q517*$R517)</f>
        <v/>
      </c>
    </row>
    <row r="518" ht="15" customHeight="1" s="80">
      <c r="J518" s="124">
        <f>IF($A518="","",$B518+$C518+$D518-$E518+$F518-$G518)</f>
        <v/>
      </c>
      <c r="K518" s="124">
        <f>IF($A518="","",MAX(0,$B518-$J518))</f>
        <v/>
      </c>
      <c r="L518" s="124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  <c r="U518" s="124">
        <f>IF($N518="","",$Q518*$R518)</f>
        <v/>
      </c>
    </row>
    <row r="519" ht="15" customHeight="1" s="80">
      <c r="J519" s="124">
        <f>IF($A519="","",$B519+$C519+$D519-$E519+$F519-$G519)</f>
        <v/>
      </c>
      <c r="K519" s="124">
        <f>IF($A519="","",MAX(0,$B519-$J519))</f>
        <v/>
      </c>
      <c r="L519" s="124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  <c r="U519" s="124">
        <f>IF($N519="","",$Q519*$R519)</f>
        <v/>
      </c>
    </row>
    <row r="520" ht="15" customHeight="1" s="80">
      <c r="J520" s="124">
        <f>IF($A520="","",$B520+$C520+$D520-$E520+$F520-$G520)</f>
        <v/>
      </c>
      <c r="K520" s="124">
        <f>IF($A520="","",MAX(0,$B520-$J520))</f>
        <v/>
      </c>
      <c r="L520" s="124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  <c r="U520" s="124">
        <f>IF($N520="","",$Q520*$R520)</f>
        <v/>
      </c>
    </row>
    <row r="521" ht="15" customHeight="1" s="80">
      <c r="J521" s="124">
        <f>IF($A521="","",$B521+$C521+$D521-$E521+$F521-$G521)</f>
        <v/>
      </c>
      <c r="K521" s="124">
        <f>IF($A521="","",MAX(0,$B521-$J521))</f>
        <v/>
      </c>
      <c r="L521" s="124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  <c r="U521" s="124">
        <f>IF($N521="","",$Q521*$R521)</f>
        <v/>
      </c>
    </row>
    <row r="522" ht="15" customHeight="1" s="80">
      <c r="J522" s="124">
        <f>IF($A522="","",$B522+$C522+$D522-$E522+$F522-$G522)</f>
        <v/>
      </c>
      <c r="K522" s="124">
        <f>IF($A522="","",MAX(0,$B522-$J522))</f>
        <v/>
      </c>
      <c r="L522" s="124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  <c r="U522" s="124">
        <f>IF($N522="","",$Q522*$R522)</f>
        <v/>
      </c>
    </row>
    <row r="523" ht="15" customHeight="1" s="80">
      <c r="J523" s="124">
        <f>IF($A523="","",$B523+$C523+$D523-$E523+$F523-$G523)</f>
        <v/>
      </c>
      <c r="K523" s="124">
        <f>IF($A523="","",MAX(0,$B523-$J523))</f>
        <v/>
      </c>
      <c r="L523" s="124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  <c r="U523" s="124">
        <f>IF($N523="","",$Q523*$R523)</f>
        <v/>
      </c>
    </row>
    <row r="524" ht="15" customHeight="1" s="80">
      <c r="J524" s="124">
        <f>IF($A524="","",$B524+$C524+$D524-$E524+$F524-$G524)</f>
        <v/>
      </c>
      <c r="K524" s="124">
        <f>IF($A524="","",MAX(0,$B524-$J524))</f>
        <v/>
      </c>
      <c r="L524" s="124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  <c r="U524" s="124">
        <f>IF($N524="","",$Q524*$R524)</f>
        <v/>
      </c>
    </row>
    <row r="525" ht="15" customHeight="1" s="80">
      <c r="J525" s="124">
        <f>IF($A525="","",$B525+$C525+$D525-$E525+$F525-$G525)</f>
        <v/>
      </c>
      <c r="K525" s="124">
        <f>IF($A525="","",MAX(0,$B525-$J525))</f>
        <v/>
      </c>
      <c r="L525" s="124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  <c r="U525" s="124">
        <f>IF($N525="","",$Q525*$R525)</f>
        <v/>
      </c>
    </row>
    <row r="526" ht="15" customHeight="1" s="80">
      <c r="J526" s="124">
        <f>IF($A526="","",$B526+$C526+$D526-$E526+$F526-$G526)</f>
        <v/>
      </c>
      <c r="K526" s="124">
        <f>IF($A526="","",MAX(0,$B526-$J526))</f>
        <v/>
      </c>
      <c r="L526" s="124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  <c r="U526" s="124">
        <f>IF($N526="","",$Q526*$R526)</f>
        <v/>
      </c>
    </row>
    <row r="527" ht="15" customHeight="1" s="80">
      <c r="J527" s="124">
        <f>IF($A527="","",$B527+$C527+$D527-$E527+$F527-$G527)</f>
        <v/>
      </c>
      <c r="K527" s="124">
        <f>IF($A527="","",MAX(0,$B527-$J527))</f>
        <v/>
      </c>
      <c r="L527" s="124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  <c r="U527" s="124">
        <f>IF($N527="","",$Q527*$R527)</f>
        <v/>
      </c>
    </row>
    <row r="528" ht="15" customHeight="1" s="80">
      <c r="J528" s="124">
        <f>IF($A528="","",$B528+$C528+$D528-$E528+$F528-$G528)</f>
        <v/>
      </c>
      <c r="K528" s="124">
        <f>IF($A528="","",MAX(0,$B528-$J528))</f>
        <v/>
      </c>
      <c r="L528" s="124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  <c r="U528" s="124">
        <f>IF($N528="","",$Q528*$R528)</f>
        <v/>
      </c>
    </row>
    <row r="529" ht="15" customHeight="1" s="80">
      <c r="J529" s="124">
        <f>IF($A529="","",$B529+$C529+$D529-$E529+$F529-$G529)</f>
        <v/>
      </c>
      <c r="K529" s="124">
        <f>IF($A529="","",MAX(0,$B529-$J529))</f>
        <v/>
      </c>
      <c r="L529" s="124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  <c r="U529" s="124">
        <f>IF($N529="","",$Q529*$R529)</f>
        <v/>
      </c>
    </row>
    <row r="530" ht="15" customHeight="1" s="80">
      <c r="J530" s="124">
        <f>IF($A530="","",$B530+$C530+$D530-$E530+$F530-$G530)</f>
        <v/>
      </c>
      <c r="K530" s="124">
        <f>IF($A530="","",MAX(0,$B530-$J530))</f>
        <v/>
      </c>
      <c r="L530" s="124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  <c r="U530" s="124">
        <f>IF($N530="","",$Q530*$R530)</f>
        <v/>
      </c>
    </row>
    <row r="531" ht="15" customHeight="1" s="80">
      <c r="J531" s="124">
        <f>IF($A531="","",$B531+$C531+$D531-$E531+$F531-$G531)</f>
        <v/>
      </c>
      <c r="K531" s="124">
        <f>IF($A531="","",MAX(0,$B531-$J531))</f>
        <v/>
      </c>
      <c r="L531" s="124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  <c r="U531" s="124">
        <f>IF($N531="","",$Q531*$R531)</f>
        <v/>
      </c>
    </row>
    <row r="532" ht="15" customHeight="1" s="80">
      <c r="J532" s="124">
        <f>IF($A532="","",$B532+$C532+$D532-$E532+$F532-$G532)</f>
        <v/>
      </c>
      <c r="K532" s="124">
        <f>IF($A532="","",MAX(0,$B532-$J532))</f>
        <v/>
      </c>
      <c r="L532" s="124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  <c r="U532" s="124">
        <f>IF($N532="","",$Q532*$R532)</f>
        <v/>
      </c>
    </row>
    <row r="533" ht="15" customHeight="1" s="80">
      <c r="J533" s="124">
        <f>IF($A533="","",$B533+$C533+$D533-$E533+$F533-$G533)</f>
        <v/>
      </c>
      <c r="K533" s="124">
        <f>IF($A533="","",MAX(0,$B533-$J533))</f>
        <v/>
      </c>
      <c r="L533" s="124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  <c r="U533" s="124">
        <f>IF($N533="","",$Q533*$R533)</f>
        <v/>
      </c>
    </row>
    <row r="534" ht="15" customHeight="1" s="80">
      <c r="J534" s="124">
        <f>IF($A534="","",$B534+$C534+$D534-$E534+$F534-$G534)</f>
        <v/>
      </c>
      <c r="K534" s="124">
        <f>IF($A534="","",MAX(0,$B534-$J534))</f>
        <v/>
      </c>
      <c r="L534" s="124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  <c r="U534" s="124">
        <f>IF($N534="","",$Q534*$R534)</f>
        <v/>
      </c>
    </row>
    <row r="535" ht="15" customHeight="1" s="80">
      <c r="J535" s="124">
        <f>IF($A535="","",$B535+$C535+$D535-$E535+$F535-$G535)</f>
        <v/>
      </c>
      <c r="K535" s="124">
        <f>IF($A535="","",MAX(0,$B535-$J535))</f>
        <v/>
      </c>
      <c r="L535" s="124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  <c r="U535" s="124">
        <f>IF($N535="","",$Q535*$R535)</f>
        <v/>
      </c>
    </row>
    <row r="536" ht="15" customHeight="1" s="80">
      <c r="J536" s="124">
        <f>IF($A536="","",$B536+$C536+$D536-$E536+$F536-$G536)</f>
        <v/>
      </c>
      <c r="K536" s="124">
        <f>IF($A536="","",MAX(0,$B536-$J536))</f>
        <v/>
      </c>
      <c r="L536" s="124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  <c r="U536" s="124">
        <f>IF($N536="","",$Q536*$R536)</f>
        <v/>
      </c>
    </row>
    <row r="537" ht="15" customHeight="1" s="80">
      <c r="J537" s="124">
        <f>IF($A537="","",$B537+$C537+$D537-$E537+$F537-$G537)</f>
        <v/>
      </c>
      <c r="K537" s="124">
        <f>IF($A537="","",MAX(0,$B537-$J537))</f>
        <v/>
      </c>
      <c r="L537" s="124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  <c r="U537" s="124">
        <f>IF($N537="","",$Q537*$R537)</f>
        <v/>
      </c>
    </row>
    <row r="538" ht="15" customHeight="1" s="80">
      <c r="J538" s="124">
        <f>IF($A538="","",$B538+$C538+$D538-$E538+$F538-$G538)</f>
        <v/>
      </c>
      <c r="K538" s="124">
        <f>IF($A538="","",MAX(0,$B538-$J538))</f>
        <v/>
      </c>
      <c r="L538" s="124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  <c r="U538" s="124">
        <f>IF($N538="","",$Q538*$R538)</f>
        <v/>
      </c>
    </row>
    <row r="539" ht="15" customHeight="1" s="80">
      <c r="J539" s="124">
        <f>IF($A539="","",$B539+$C539+$D539-$E539+$F539-$G539)</f>
        <v/>
      </c>
      <c r="K539" s="124">
        <f>IF($A539="","",MAX(0,$B539-$J539))</f>
        <v/>
      </c>
      <c r="L539" s="124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  <c r="U539" s="124">
        <f>IF($N539="","",$Q539*$R539)</f>
        <v/>
      </c>
    </row>
    <row r="540" ht="15" customHeight="1" s="80">
      <c r="J540" s="124">
        <f>IF($A540="","",$B540+$C540+$D540-$E540+$F540-$G540)</f>
        <v/>
      </c>
      <c r="K540" s="124">
        <f>IF($A540="","",MAX(0,$B540-$J540))</f>
        <v/>
      </c>
      <c r="L540" s="124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  <c r="U540" s="124">
        <f>IF($N540="","",$Q540*$R540)</f>
        <v/>
      </c>
    </row>
    <row r="541" ht="15" customHeight="1" s="80">
      <c r="J541" s="124">
        <f>IF($A541="","",$B541+$C541+$D541-$E541+$F541-$G541)</f>
        <v/>
      </c>
      <c r="K541" s="124">
        <f>IF($A541="","",MAX(0,$B541-$J541))</f>
        <v/>
      </c>
      <c r="L541" s="124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  <c r="U541" s="124">
        <f>IF($N541="","",$Q541*$R541)</f>
        <v/>
      </c>
    </row>
    <row r="542" ht="15" customHeight="1" s="80">
      <c r="J542" s="124">
        <f>IF($A542="","",$B542+$C542+$D542-$E542+$F542-$G542)</f>
        <v/>
      </c>
      <c r="K542" s="124">
        <f>IF($A542="","",MAX(0,$B542-$J542))</f>
        <v/>
      </c>
      <c r="L542" s="124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  <c r="U542" s="124">
        <f>IF($N542="","",$Q542*$R542)</f>
        <v/>
      </c>
    </row>
    <row r="543" ht="15" customHeight="1" s="80">
      <c r="J543" s="124">
        <f>IF($A543="","",$B543+$C543+$D543-$E543+$F543-$G543)</f>
        <v/>
      </c>
      <c r="K543" s="124">
        <f>IF($A543="","",MAX(0,$B543-$J543))</f>
        <v/>
      </c>
      <c r="L543" s="124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  <c r="U543" s="124">
        <f>IF($N543="","",$Q543*$R543)</f>
        <v/>
      </c>
    </row>
    <row r="544" ht="15" customHeight="1" s="80">
      <c r="J544" s="124">
        <f>IF($A544="","",$B544+$C544+$D544-$E544+$F544-$G544)</f>
        <v/>
      </c>
      <c r="K544" s="124">
        <f>IF($A544="","",MAX(0,$B544-$J544))</f>
        <v/>
      </c>
      <c r="L544" s="124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  <c r="U544" s="124">
        <f>IF($N544="","",$Q544*$R544)</f>
        <v/>
      </c>
    </row>
    <row r="545" ht="15" customHeight="1" s="80">
      <c r="J545" s="124">
        <f>IF($A545="","",$B545+$C545+$D545-$E545+$F545-$G545)</f>
        <v/>
      </c>
      <c r="K545" s="124">
        <f>IF($A545="","",MAX(0,$B545-$J545))</f>
        <v/>
      </c>
      <c r="L545" s="124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  <c r="U545" s="124">
        <f>IF($N545="","",$Q545*$R545)</f>
        <v/>
      </c>
    </row>
    <row r="546" ht="15" customHeight="1" s="80">
      <c r="J546" s="124">
        <f>IF($A546="","",$B546+$C546+$D546-$E546+$F546-$G546)</f>
        <v/>
      </c>
      <c r="K546" s="124">
        <f>IF($A546="","",MAX(0,$B546-$J546))</f>
        <v/>
      </c>
      <c r="L546" s="124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  <c r="U546" s="124">
        <f>IF($N546="","",$Q546*$R546)</f>
        <v/>
      </c>
    </row>
    <row r="547" ht="15" customHeight="1" s="80">
      <c r="J547" s="124">
        <f>IF($A547="","",$B547+$C547+$D547-$E547+$F547-$G547)</f>
        <v/>
      </c>
      <c r="K547" s="124">
        <f>IF($A547="","",MAX(0,$B547-$J547))</f>
        <v/>
      </c>
      <c r="L547" s="124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  <c r="U547" s="124">
        <f>IF($N547="","",$Q547*$R547)</f>
        <v/>
      </c>
    </row>
    <row r="548" ht="15" customHeight="1" s="80">
      <c r="J548" s="124">
        <f>IF($A548="","",$B548+$C548+$D548-$E548+$F548-$G548)</f>
        <v/>
      </c>
      <c r="K548" s="124">
        <f>IF($A548="","",MAX(0,$B548-$J548))</f>
        <v/>
      </c>
      <c r="L548" s="124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  <c r="U548" s="124">
        <f>IF($N548="","",$Q548*$R548)</f>
        <v/>
      </c>
    </row>
    <row r="549" ht="15" customHeight="1" s="80">
      <c r="J549" s="124">
        <f>IF($A549="","",$B549+$C549+$D549-$E549+$F549-$G549)</f>
        <v/>
      </c>
      <c r="K549" s="124">
        <f>IF($A549="","",MAX(0,$B549-$J549))</f>
        <v/>
      </c>
      <c r="L549" s="124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  <c r="U549" s="124">
        <f>IF($N549="","",$Q549*$R549)</f>
        <v/>
      </c>
    </row>
    <row r="550" ht="15" customHeight="1" s="80">
      <c r="J550" s="124">
        <f>IF($A550="","",$B550+$C550+$D550-$E550+$F550-$G550)</f>
        <v/>
      </c>
      <c r="K550" s="124">
        <f>IF($A550="","",MAX(0,$B550-$J550))</f>
        <v/>
      </c>
      <c r="L550" s="124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  <c r="U550" s="124">
        <f>IF($N550="","",$Q550*$R550)</f>
        <v/>
      </c>
    </row>
    <row r="551" ht="15" customHeight="1" s="80">
      <c r="J551" s="124">
        <f>IF($A551="","",$B551+$C551+$D551-$E551+$F551-$G551)</f>
        <v/>
      </c>
      <c r="K551" s="124">
        <f>IF($A551="","",MAX(0,$B551-$J551))</f>
        <v/>
      </c>
      <c r="L551" s="124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  <c r="U551" s="124">
        <f>IF($N551="","",$Q551*$R551)</f>
        <v/>
      </c>
    </row>
    <row r="552" ht="15" customHeight="1" s="80">
      <c r="J552" s="124">
        <f>IF($A552="","",$B552+$C552+$D552-$E552+$F552-$G552)</f>
        <v/>
      </c>
      <c r="K552" s="124">
        <f>IF($A552="","",MAX(0,$B552-$J552))</f>
        <v/>
      </c>
      <c r="L552" s="124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  <c r="U552" s="124">
        <f>IF($N552="","",$Q552*$R552)</f>
        <v/>
      </c>
    </row>
    <row r="553" ht="15" customHeight="1" s="80">
      <c r="J553" s="124">
        <f>IF($A553="","",$B553+$C553+$D553-$E553+$F553-$G553)</f>
        <v/>
      </c>
      <c r="K553" s="124">
        <f>IF($A553="","",MAX(0,$B553-$J553))</f>
        <v/>
      </c>
      <c r="L553" s="124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  <c r="U553" s="124">
        <f>IF($N553="","",$Q553*$R553)</f>
        <v/>
      </c>
    </row>
    <row r="554" ht="15" customHeight="1" s="80">
      <c r="J554" s="124">
        <f>IF($A554="","",$B554+$C554+$D554-$E554+$F554-$G554)</f>
        <v/>
      </c>
      <c r="K554" s="124">
        <f>IF($A554="","",MAX(0,$B554-$J554))</f>
        <v/>
      </c>
      <c r="L554" s="124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  <c r="U554" s="124">
        <f>IF($N554="","",$Q554*$R554)</f>
        <v/>
      </c>
    </row>
    <row r="555" ht="15" customHeight="1" s="80">
      <c r="J555" s="124">
        <f>IF($A555="","",$B555+$C555+$D555-$E555+$F555-$G555)</f>
        <v/>
      </c>
      <c r="K555" s="124">
        <f>IF($A555="","",MAX(0,$B555-$J555))</f>
        <v/>
      </c>
      <c r="L555" s="124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  <c r="U555" s="124">
        <f>IF($N555="","",$Q555*$R555)</f>
        <v/>
      </c>
    </row>
    <row r="556" ht="15" customHeight="1" s="80">
      <c r="J556" s="124">
        <f>IF($A556="","",$B556+$C556+$D556-$E556+$F556-$G556)</f>
        <v/>
      </c>
      <c r="K556" s="124">
        <f>IF($A556="","",MAX(0,$B556-$J556))</f>
        <v/>
      </c>
      <c r="L556" s="124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  <c r="U556" s="124">
        <f>IF($N556="","",$Q556*$R556)</f>
        <v/>
      </c>
    </row>
    <row r="557" ht="15" customHeight="1" s="80">
      <c r="J557" s="124">
        <f>IF($A557="","",$B557+$C557+$D557-$E557+$F557-$G557)</f>
        <v/>
      </c>
      <c r="K557" s="124">
        <f>IF($A557="","",MAX(0,$B557-$J557))</f>
        <v/>
      </c>
      <c r="L557" s="124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  <c r="U557" s="124">
        <f>IF($N557="","",$Q557*$R557)</f>
        <v/>
      </c>
    </row>
    <row r="558" ht="15" customHeight="1" s="80">
      <c r="J558" s="124">
        <f>IF($A558="","",$B558+$C558+$D558-$E558+$F558-$G558)</f>
        <v/>
      </c>
      <c r="K558" s="124">
        <f>IF($A558="","",MAX(0,$B558-$J558))</f>
        <v/>
      </c>
      <c r="L558" s="124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  <c r="U558" s="124">
        <f>IF($N558="","",$Q558*$R558)</f>
        <v/>
      </c>
    </row>
    <row r="559" ht="15" customHeight="1" s="80">
      <c r="J559" s="124">
        <f>IF($A559="","",$B559+$C559+$D559-$E559+$F559-$G559)</f>
        <v/>
      </c>
      <c r="K559" s="124">
        <f>IF($A559="","",MAX(0,$B559-$J559))</f>
        <v/>
      </c>
      <c r="L559" s="124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  <c r="U559" s="124">
        <f>IF($N559="","",$Q559*$R559)</f>
        <v/>
      </c>
    </row>
    <row r="560" ht="15" customHeight="1" s="80">
      <c r="J560" s="124">
        <f>IF($A560="","",$B560+$C560+$D560-$E560+$F560-$G560)</f>
        <v/>
      </c>
      <c r="K560" s="124">
        <f>IF($A560="","",MAX(0,$B560-$J560))</f>
        <v/>
      </c>
      <c r="L560" s="124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  <c r="U560" s="124">
        <f>IF($N560="","",$Q560*$R560)</f>
        <v/>
      </c>
    </row>
    <row r="561" ht="15" customHeight="1" s="80">
      <c r="J561" s="124">
        <f>IF($A561="","",$B561+$C561+$D561-$E561+$F561-$G561)</f>
        <v/>
      </c>
      <c r="K561" s="124">
        <f>IF($A561="","",MAX(0,$B561-$J561))</f>
        <v/>
      </c>
      <c r="L561" s="124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  <c r="U561" s="124">
        <f>IF($N561="","",$Q561*$R561)</f>
        <v/>
      </c>
    </row>
    <row r="562" ht="15" customHeight="1" s="80">
      <c r="J562" s="124">
        <f>IF($A562="","",$B562+$C562+$D562-$E562+$F562-$G562)</f>
        <v/>
      </c>
      <c r="K562" s="124">
        <f>IF($A562="","",MAX(0,$B562-$J562))</f>
        <v/>
      </c>
      <c r="L562" s="124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  <c r="U562" s="124">
        <f>IF($N562="","",$Q562*$R562)</f>
        <v/>
      </c>
    </row>
    <row r="563" ht="15" customHeight="1" s="80">
      <c r="J563" s="124">
        <f>IF($A563="","",$B563+$C563+$D563-$E563+$F563-$G563)</f>
        <v/>
      </c>
      <c r="K563" s="124">
        <f>IF($A563="","",MAX(0,$B563-$J563))</f>
        <v/>
      </c>
      <c r="L563" s="124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  <c r="U563" s="124">
        <f>IF($N563="","",$Q563*$R563)</f>
        <v/>
      </c>
    </row>
    <row r="564" ht="15" customHeight="1" s="80">
      <c r="J564" s="124">
        <f>IF($A564="","",$B564+$C564+$D564-$E564+$F564-$G564)</f>
        <v/>
      </c>
      <c r="K564" s="124">
        <f>IF($A564="","",MAX(0,$B564-$J564))</f>
        <v/>
      </c>
      <c r="L564" s="124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  <c r="U564" s="124">
        <f>IF($N564="","",$Q564*$R564)</f>
        <v/>
      </c>
    </row>
    <row r="565" ht="15" customHeight="1" s="80">
      <c r="J565" s="124">
        <f>IF($A565="","",$B565+$C565+$D565-$E565+$F565-$G565)</f>
        <v/>
      </c>
      <c r="K565" s="124">
        <f>IF($A565="","",MAX(0,$B565-$J565))</f>
        <v/>
      </c>
      <c r="L565" s="124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  <c r="U565" s="124">
        <f>IF($N565="","",$Q565*$R565)</f>
        <v/>
      </c>
    </row>
    <row r="566" ht="15" customHeight="1" s="80">
      <c r="J566" s="124">
        <f>IF($A566="","",$B566+$C566+$D566-$E566+$F566-$G566)</f>
        <v/>
      </c>
      <c r="K566" s="124">
        <f>IF($A566="","",MAX(0,$B566-$J566))</f>
        <v/>
      </c>
      <c r="L566" s="124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  <c r="U566" s="124">
        <f>IF($N566="","",$Q566*$R566)</f>
        <v/>
      </c>
    </row>
    <row r="567" ht="15" customHeight="1" s="80">
      <c r="J567" s="124">
        <f>IF($A567="","",$B567+$C567+$D567-$E567+$F567-$G567)</f>
        <v/>
      </c>
      <c r="K567" s="124">
        <f>IF($A567="","",MAX(0,$B567-$J567))</f>
        <v/>
      </c>
      <c r="L567" s="124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  <c r="U567" s="124">
        <f>IF($N567="","",$Q567*$R567)</f>
        <v/>
      </c>
    </row>
    <row r="568" ht="15" customHeight="1" s="80">
      <c r="J568" s="124">
        <f>IF($A568="","",$B568+$C568+$D568-$E568+$F568-$G568)</f>
        <v/>
      </c>
      <c r="K568" s="124">
        <f>IF($A568="","",MAX(0,$B568-$J568))</f>
        <v/>
      </c>
      <c r="L568" s="124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  <c r="U568" s="124">
        <f>IF($N568="","",$Q568*$R568)</f>
        <v/>
      </c>
    </row>
    <row r="569" ht="15" customHeight="1" s="80">
      <c r="J569" s="124">
        <f>IF($A569="","",$B569+$C569+$D569-$E569+$F569-$G569)</f>
        <v/>
      </c>
      <c r="K569" s="124">
        <f>IF($A569="","",MAX(0,$B569-$J569))</f>
        <v/>
      </c>
      <c r="L569" s="124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  <c r="U569" s="124">
        <f>IF($N569="","",$Q569*$R569)</f>
        <v/>
      </c>
    </row>
    <row r="570" ht="15" customHeight="1" s="80">
      <c r="J570" s="124">
        <f>IF($A570="","",$B570+$C570+$D570-$E570+$F570-$G570)</f>
        <v/>
      </c>
      <c r="K570" s="124">
        <f>IF($A570="","",MAX(0,$B570-$J570))</f>
        <v/>
      </c>
      <c r="L570" s="124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  <c r="U570" s="124">
        <f>IF($N570="","",$Q570*$R570)</f>
        <v/>
      </c>
    </row>
    <row r="571" ht="15" customHeight="1" s="80">
      <c r="J571" s="124">
        <f>IF($A571="","",$B571+$C571+$D571-$E571+$F571-$G571)</f>
        <v/>
      </c>
      <c r="K571" s="124">
        <f>IF($A571="","",MAX(0,$B571-$J571))</f>
        <v/>
      </c>
      <c r="L571" s="124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  <c r="U571" s="124">
        <f>IF($N571="","",$Q571*$R571)</f>
        <v/>
      </c>
    </row>
    <row r="572" ht="15" customHeight="1" s="80">
      <c r="J572" s="124">
        <f>IF($A572="","",$B572+$C572+$D572-$E572+$F572-$G572)</f>
        <v/>
      </c>
      <c r="K572" s="124">
        <f>IF($A572="","",MAX(0,$B572-$J572))</f>
        <v/>
      </c>
      <c r="L572" s="124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  <c r="U572" s="124">
        <f>IF($N572="","",$Q572*$R572)</f>
        <v/>
      </c>
    </row>
    <row r="573" ht="15" customHeight="1" s="80">
      <c r="J573" s="124">
        <f>IF($A573="","",$B573+$C573+$D573-$E573+$F573-$G573)</f>
        <v/>
      </c>
      <c r="K573" s="124">
        <f>IF($A573="","",MAX(0,$B573-$J573))</f>
        <v/>
      </c>
      <c r="L573" s="124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  <c r="U573" s="124">
        <f>IF($N573="","",$Q573*$R573)</f>
        <v/>
      </c>
    </row>
    <row r="574" ht="15" customHeight="1" s="80">
      <c r="J574" s="124">
        <f>IF($A574="","",$B574+$C574+$D574-$E574+$F574-$G574)</f>
        <v/>
      </c>
      <c r="K574" s="124">
        <f>IF($A574="","",MAX(0,$B574-$J574))</f>
        <v/>
      </c>
      <c r="L574" s="124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  <c r="U574" s="124">
        <f>IF($N574="","",$Q574*$R574)</f>
        <v/>
      </c>
    </row>
    <row r="575" ht="15" customHeight="1" s="80">
      <c r="J575" s="124">
        <f>IF($A575="","",$B575+$C575+$D575-$E575+$F575-$G575)</f>
        <v/>
      </c>
      <c r="K575" s="124">
        <f>IF($A575="","",MAX(0,$B575-$J575))</f>
        <v/>
      </c>
      <c r="L575" s="124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  <c r="U575" s="124">
        <f>IF($N575="","",$Q575*$R575)</f>
        <v/>
      </c>
    </row>
    <row r="576" ht="15" customHeight="1" s="80">
      <c r="J576" s="124">
        <f>IF($A576="","",$B576+$C576+$D576-$E576+$F576-$G576)</f>
        <v/>
      </c>
      <c r="K576" s="124">
        <f>IF($A576="","",MAX(0,$B576-$J576))</f>
        <v/>
      </c>
      <c r="L576" s="124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  <c r="U576" s="124">
        <f>IF($N576="","",$Q576*$R576)</f>
        <v/>
      </c>
    </row>
    <row r="577" ht="15" customHeight="1" s="80">
      <c r="J577" s="124">
        <f>IF($A577="","",$B577+$C577+$D577-$E577+$F577-$G577)</f>
        <v/>
      </c>
      <c r="K577" s="124">
        <f>IF($A577="","",MAX(0,$B577-$J577))</f>
        <v/>
      </c>
      <c r="L577" s="124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  <c r="U577" s="124">
        <f>IF($N577="","",$Q577*$R577)</f>
        <v/>
      </c>
    </row>
    <row r="578" ht="15" customHeight="1" s="80">
      <c r="J578" s="124">
        <f>IF($A578="","",$B578+$C578+$D578-$E578+$F578-$G578)</f>
        <v/>
      </c>
      <c r="K578" s="124">
        <f>IF($A578="","",MAX(0,$B578-$J578))</f>
        <v/>
      </c>
      <c r="L578" s="124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  <c r="U578" s="124">
        <f>IF($N578="","",$Q578*$R578)</f>
        <v/>
      </c>
    </row>
    <row r="579" ht="15" customHeight="1" s="80">
      <c r="J579" s="124">
        <f>IF($A579="","",$B579+$C579+$D579-$E579+$F579-$G579)</f>
        <v/>
      </c>
      <c r="K579" s="124">
        <f>IF($A579="","",MAX(0,$B579-$J579))</f>
        <v/>
      </c>
      <c r="L579" s="124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  <c r="U579" s="124">
        <f>IF($N579="","",$Q579*$R579)</f>
        <v/>
      </c>
    </row>
    <row r="580" ht="15" customHeight="1" s="80">
      <c r="J580" s="124">
        <f>IF($A580="","",$B580+$C580+$D580-$E580+$F580-$G580)</f>
        <v/>
      </c>
      <c r="K580" s="124">
        <f>IF($A580="","",MAX(0,$B580-$J580))</f>
        <v/>
      </c>
      <c r="L580" s="124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  <c r="U580" s="124">
        <f>IF($N580="","",$Q580*$R580)</f>
        <v/>
      </c>
    </row>
    <row r="581" ht="15" customHeight="1" s="80">
      <c r="J581" s="124">
        <f>IF($A581="","",$B581+$C581+$D581-$E581+$F581-$G581)</f>
        <v/>
      </c>
      <c r="K581" s="124">
        <f>IF($A581="","",MAX(0,$B581-$J581))</f>
        <v/>
      </c>
      <c r="L581" s="124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  <c r="U581" s="124">
        <f>IF($N581="","",$Q581*$R581)</f>
        <v/>
      </c>
    </row>
    <row r="582" ht="15" customHeight="1" s="80">
      <c r="J582" s="124">
        <f>IF($A582="","",$B582+$C582+$D582-$E582+$F582-$G582)</f>
        <v/>
      </c>
      <c r="K582" s="124">
        <f>IF($A582="","",MAX(0,$B582-$J582))</f>
        <v/>
      </c>
      <c r="L582" s="124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  <c r="U582" s="124">
        <f>IF($N582="","",$Q582*$R582)</f>
        <v/>
      </c>
    </row>
    <row r="583" ht="15" customHeight="1" s="80">
      <c r="J583" s="124">
        <f>IF($A583="","",$B583+$C583+$D583-$E583+$F583-$G583)</f>
        <v/>
      </c>
      <c r="K583" s="124">
        <f>IF($A583="","",MAX(0,$B583-$J583))</f>
        <v/>
      </c>
      <c r="L583" s="124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  <c r="U583" s="124">
        <f>IF($N583="","",$Q583*$R583)</f>
        <v/>
      </c>
    </row>
    <row r="584" ht="15" customHeight="1" s="80">
      <c r="J584" s="124">
        <f>IF($A584="","",$B584+$C584+$D584-$E584+$F584-$G584)</f>
        <v/>
      </c>
      <c r="K584" s="124">
        <f>IF($A584="","",MAX(0,$B584-$J584))</f>
        <v/>
      </c>
      <c r="L584" s="124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  <c r="U584" s="124">
        <f>IF($N584="","",$Q584*$R584)</f>
        <v/>
      </c>
    </row>
    <row r="585" ht="15" customHeight="1" s="80">
      <c r="J585" s="124">
        <f>IF($A585="","",$B585+$C585+$D585-$E585+$F585-$G585)</f>
        <v/>
      </c>
      <c r="K585" s="124">
        <f>IF($A585="","",MAX(0,$B585-$J585))</f>
        <v/>
      </c>
      <c r="L585" s="124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  <c r="U585" s="124">
        <f>IF($N585="","",$Q585*$R585)</f>
        <v/>
      </c>
    </row>
    <row r="586" ht="15" customHeight="1" s="80">
      <c r="J586" s="124">
        <f>IF($A586="","",$B586+$C586+$D586-$E586+$F586-$G586)</f>
        <v/>
      </c>
      <c r="K586" s="124">
        <f>IF($A586="","",MAX(0,$B586-$J586))</f>
        <v/>
      </c>
      <c r="L586" s="124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  <c r="U586" s="124">
        <f>IF($N586="","",$Q586*$R586)</f>
        <v/>
      </c>
    </row>
    <row r="587" ht="15" customHeight="1" s="80">
      <c r="J587" s="124">
        <f>IF($A587="","",$B587+$C587+$D587-$E587+$F587-$G587)</f>
        <v/>
      </c>
      <c r="K587" s="124">
        <f>IF($A587="","",MAX(0,$B587-$J587))</f>
        <v/>
      </c>
      <c r="L587" s="124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  <c r="U587" s="124">
        <f>IF($N587="","",$Q587*$R587)</f>
        <v/>
      </c>
    </row>
    <row r="588" ht="15" customHeight="1" s="80">
      <c r="J588" s="124">
        <f>IF($A588="","",$B588+$C588+$D588-$E588+$F588-$G588)</f>
        <v/>
      </c>
      <c r="K588" s="124">
        <f>IF($A588="","",MAX(0,$B588-$J588))</f>
        <v/>
      </c>
      <c r="L588" s="124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  <c r="U588" s="124">
        <f>IF($N588="","",$Q588*$R588)</f>
        <v/>
      </c>
    </row>
    <row r="589" ht="15" customHeight="1" s="80">
      <c r="J589" s="124">
        <f>IF($A589="","",$B589+$C589+$D589-$E589+$F589-$G589)</f>
        <v/>
      </c>
      <c r="K589" s="124">
        <f>IF($A589="","",MAX(0,$B589-$J589))</f>
        <v/>
      </c>
      <c r="L589" s="124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  <c r="U589" s="124">
        <f>IF($N589="","",$Q589*$R589)</f>
        <v/>
      </c>
    </row>
    <row r="590" ht="15" customHeight="1" s="80">
      <c r="J590" s="124">
        <f>IF($A590="","",$B590+$C590+$D590-$E590+$F590-$G590)</f>
        <v/>
      </c>
      <c r="K590" s="124">
        <f>IF($A590="","",MAX(0,$B590-$J590))</f>
        <v/>
      </c>
      <c r="L590" s="124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  <c r="U590" s="124">
        <f>IF($N590="","",$Q590*$R590)</f>
        <v/>
      </c>
    </row>
    <row r="591" ht="15" customHeight="1" s="80">
      <c r="J591" s="124">
        <f>IF($A591="","",$B591+$C591+$D591-$E591+$F591-$G591)</f>
        <v/>
      </c>
      <c r="K591" s="124">
        <f>IF($A591="","",MAX(0,$B591-$J591))</f>
        <v/>
      </c>
      <c r="L591" s="124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  <c r="U591" s="124">
        <f>IF($N591="","",$Q591*$R591)</f>
        <v/>
      </c>
    </row>
    <row r="592" ht="15" customHeight="1" s="80">
      <c r="J592" s="124">
        <f>IF($A592="","",$B592+$C592+$D592-$E592+$F592-$G592)</f>
        <v/>
      </c>
      <c r="K592" s="124">
        <f>IF($A592="","",MAX(0,$B592-$J592))</f>
        <v/>
      </c>
      <c r="L592" s="124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  <c r="U592" s="124">
        <f>IF($N592="","",$Q592*$R592)</f>
        <v/>
      </c>
    </row>
    <row r="593" ht="15" customHeight="1" s="80">
      <c r="J593" s="124">
        <f>IF($A593="","",$B593+$C593+$D593-$E593+$F593-$G593)</f>
        <v/>
      </c>
      <c r="K593" s="124">
        <f>IF($A593="","",MAX(0,$B593-$J593))</f>
        <v/>
      </c>
      <c r="L593" s="124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  <c r="U593" s="124">
        <f>IF($N593="","",$Q593*$R593)</f>
        <v/>
      </c>
    </row>
    <row r="594" ht="15" customHeight="1" s="80">
      <c r="J594" s="124">
        <f>IF($A594="","",$B594+$C594+$D594-$E594+$F594-$G594)</f>
        <v/>
      </c>
      <c r="K594" s="124">
        <f>IF($A594="","",MAX(0,$B594-$J594))</f>
        <v/>
      </c>
      <c r="L594" s="124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  <c r="U594" s="124">
        <f>IF($N594="","",$Q594*$R594)</f>
        <v/>
      </c>
    </row>
    <row r="595" ht="15" customHeight="1" s="80">
      <c r="J595" s="124">
        <f>IF($A595="","",$B595+$C595+$D595-$E595+$F595-$G595)</f>
        <v/>
      </c>
      <c r="K595" s="124">
        <f>IF($A595="","",MAX(0,$B595-$J595))</f>
        <v/>
      </c>
      <c r="L595" s="124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  <c r="U595" s="124">
        <f>IF($N595="","",$Q595*$R595)</f>
        <v/>
      </c>
    </row>
    <row r="596" ht="15" customHeight="1" s="80">
      <c r="J596" s="124">
        <f>IF($A596="","",$B596+$C596+$D596-$E596+$F596-$G596)</f>
        <v/>
      </c>
      <c r="K596" s="124">
        <f>IF($A596="","",MAX(0,$B596-$J596))</f>
        <v/>
      </c>
      <c r="L596" s="124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  <c r="U596" s="124">
        <f>IF($N596="","",$Q596*$R596)</f>
        <v/>
      </c>
    </row>
    <row r="597" ht="15" customHeight="1" s="80">
      <c r="J597" s="124">
        <f>IF($A597="","",$B597+$C597+$D597-$E597+$F597-$G597)</f>
        <v/>
      </c>
      <c r="K597" s="124">
        <f>IF($A597="","",MAX(0,$B597-$J597))</f>
        <v/>
      </c>
      <c r="L597" s="124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  <c r="U597" s="124">
        <f>IF($N597="","",$Q597*$R597)</f>
        <v/>
      </c>
    </row>
    <row r="598" ht="15" customHeight="1" s="80">
      <c r="J598" s="124">
        <f>IF($A598="","",$B598+$C598+$D598-$E598+$F598-$G598)</f>
        <v/>
      </c>
      <c r="K598" s="124">
        <f>IF($A598="","",MAX(0,$B598-$J598))</f>
        <v/>
      </c>
      <c r="L598" s="124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  <c r="U598" s="124">
        <f>IF($N598="","",$Q598*$R598)</f>
        <v/>
      </c>
    </row>
    <row r="599" ht="15" customHeight="1" s="80">
      <c r="J599" s="124">
        <f>IF($A599="","",$B599+$C599+$D599-$E599+$F599-$G599)</f>
        <v/>
      </c>
      <c r="K599" s="124">
        <f>IF($A599="","",MAX(0,$B599-$J599))</f>
        <v/>
      </c>
      <c r="L599" s="124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  <c r="U599" s="124">
        <f>IF($N599="","",$Q599*$R599)</f>
        <v/>
      </c>
    </row>
    <row r="600" ht="15" customHeight="1" s="80">
      <c r="J600" s="124">
        <f>IF($A600="","",$B600+$C600+$D600-$E600+$F600-$G600)</f>
        <v/>
      </c>
      <c r="K600" s="124">
        <f>IF($A600="","",MAX(0,$B600-$J600))</f>
        <v/>
      </c>
      <c r="L600" s="124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  <c r="U600" s="124">
        <f>IF($N600="","",$Q600*$R600)</f>
        <v/>
      </c>
    </row>
    <row r="601" ht="15" customHeight="1" s="80">
      <c r="J601" s="124">
        <f>IF($A601="","",$B601+$C601+$D601-$E601+$F601-$G601)</f>
        <v/>
      </c>
      <c r="K601" s="124">
        <f>IF($A601="","",MAX(0,$B601-$J601))</f>
        <v/>
      </c>
      <c r="L601" s="124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  <c r="U601" s="124">
        <f>IF($N601="","",$Q601*$R601)</f>
        <v/>
      </c>
    </row>
    <row r="602" ht="15" customHeight="1" s="80">
      <c r="J602" s="124">
        <f>IF($A602="","",$B602+$C602+$D602-$E602+$F602-$G602)</f>
        <v/>
      </c>
      <c r="K602" s="124">
        <f>IF($A602="","",MAX(0,$B602-$J602))</f>
        <v/>
      </c>
      <c r="L602" s="124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  <c r="U602" s="124">
        <f>IF($N602="","",$Q602*$R602)</f>
        <v/>
      </c>
    </row>
    <row r="603" ht="15" customHeight="1" s="80">
      <c r="J603" s="124">
        <f>IF($A603="","",$B603+$C603+$D603-$E603+$F603-$G603)</f>
        <v/>
      </c>
      <c r="K603" s="124">
        <f>IF($A603="","",MAX(0,$B603-$J603))</f>
        <v/>
      </c>
      <c r="L603" s="124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  <c r="U603" s="124">
        <f>IF($N603="","",$Q603*$R603)</f>
        <v/>
      </c>
    </row>
    <row r="604" ht="15" customHeight="1" s="80">
      <c r="J604" s="124">
        <f>IF($A604="","",$B604+$C604+$D604-$E604+$F604-$G604)</f>
        <v/>
      </c>
      <c r="K604" s="124">
        <f>IF($A604="","",MAX(0,$B604-$J604))</f>
        <v/>
      </c>
      <c r="L604" s="124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  <c r="U604" s="124">
        <f>IF($N604="","",$Q604*$R604)</f>
        <v/>
      </c>
    </row>
    <row r="605" ht="15" customHeight="1" s="80">
      <c r="J605" s="124">
        <f>IF($A605="","",$B605+$C605+$D605-$E605+$F605-$G605)</f>
        <v/>
      </c>
      <c r="K605" s="124">
        <f>IF($A605="","",MAX(0,$B605-$J605))</f>
        <v/>
      </c>
      <c r="L605" s="124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  <c r="U605" s="124">
        <f>IF($N605="","",$Q605*$R605)</f>
        <v/>
      </c>
    </row>
    <row r="606" ht="15" customHeight="1" s="80">
      <c r="J606" s="124">
        <f>IF($A606="","",$B606+$C606+$D606-$E606+$F606-$G606)</f>
        <v/>
      </c>
      <c r="K606" s="124">
        <f>IF($A606="","",MAX(0,$B606-$J606))</f>
        <v/>
      </c>
      <c r="L606" s="124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  <c r="U606" s="124">
        <f>IF($N606="","",$Q606*$R606)</f>
        <v/>
      </c>
    </row>
    <row r="607" ht="15" customHeight="1" s="80">
      <c r="J607" s="124">
        <f>IF($A607="","",$B607+$C607+$D607-$E607+$F607-$G607)</f>
        <v/>
      </c>
      <c r="K607" s="124">
        <f>IF($A607="","",MAX(0,$B607-$J607))</f>
        <v/>
      </c>
      <c r="L607" s="124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  <c r="U607" s="124">
        <f>IF($N607="","",$Q607*$R607)</f>
        <v/>
      </c>
    </row>
    <row r="608" ht="15" customHeight="1" s="80">
      <c r="J608" s="124">
        <f>IF($A608="","",$B608+$C608+$D608-$E608+$F608-$G608)</f>
        <v/>
      </c>
      <c r="K608" s="124">
        <f>IF($A608="","",MAX(0,$B608-$J608))</f>
        <v/>
      </c>
      <c r="L608" s="124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  <c r="U608" s="124">
        <f>IF($N608="","",$Q608*$R608)</f>
        <v/>
      </c>
    </row>
    <row r="609" ht="15" customHeight="1" s="80">
      <c r="J609" s="124">
        <f>IF($A609="","",$B609+$C609+$D609-$E609+$F609-$G609)</f>
        <v/>
      </c>
      <c r="K609" s="124">
        <f>IF($A609="","",MAX(0,$B609-$J609))</f>
        <v/>
      </c>
      <c r="L609" s="124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  <c r="U609" s="124">
        <f>IF($N609="","",$Q609*$R609)</f>
        <v/>
      </c>
    </row>
    <row r="610" ht="15" customHeight="1" s="80">
      <c r="J610" s="124">
        <f>IF($A610="","",$B610+$C610+$D610-$E610+$F610-$G610)</f>
        <v/>
      </c>
      <c r="K610" s="124">
        <f>IF($A610="","",MAX(0,$B610-$J610))</f>
        <v/>
      </c>
      <c r="L610" s="124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  <c r="U610" s="124">
        <f>IF($N610="","",$Q610*$R610)</f>
        <v/>
      </c>
    </row>
    <row r="611" ht="15" customHeight="1" s="80">
      <c r="J611" s="124">
        <f>IF($A611="","",$B611+$C611+$D611-$E611+$F611-$G611)</f>
        <v/>
      </c>
      <c r="K611" s="124">
        <f>IF($A611="","",MAX(0,$B611-$J611))</f>
        <v/>
      </c>
      <c r="L611" s="124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  <c r="U611" s="124">
        <f>IF($N611="","",$Q611*$R611)</f>
        <v/>
      </c>
    </row>
    <row r="612" ht="15" customHeight="1" s="80">
      <c r="J612" s="124">
        <f>IF($A612="","",$B612+$C612+$D612-$E612+$F612-$G612)</f>
        <v/>
      </c>
      <c r="K612" s="124">
        <f>IF($A612="","",MAX(0,$B612-$J612))</f>
        <v/>
      </c>
      <c r="L612" s="124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  <c r="U612" s="124">
        <f>IF($N612="","",$Q612*$R612)</f>
        <v/>
      </c>
    </row>
    <row r="613" ht="15" customHeight="1" s="80">
      <c r="J613" s="124">
        <f>IF($A613="","",$B613+$C613+$D613-$E613+$F613-$G613)</f>
        <v/>
      </c>
      <c r="K613" s="124">
        <f>IF($A613="","",MAX(0,$B613-$J613))</f>
        <v/>
      </c>
      <c r="L613" s="124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  <c r="U613" s="124">
        <f>IF($N613="","",$Q613*$R613)</f>
        <v/>
      </c>
    </row>
    <row r="614" ht="15" customHeight="1" s="80">
      <c r="J614" s="124">
        <f>IF($A614="","",$B614+$C614+$D614-$E614+$F614-$G614)</f>
        <v/>
      </c>
      <c r="K614" s="124">
        <f>IF($A614="","",MAX(0,$B614-$J614))</f>
        <v/>
      </c>
      <c r="L614" s="124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  <c r="U614" s="124">
        <f>IF($N614="","",$Q614*$R614)</f>
        <v/>
      </c>
    </row>
    <row r="615" ht="15" customHeight="1" s="80">
      <c r="J615" s="124">
        <f>IF($A615="","",$B615+$C615+$D615-$E615+$F615-$G615)</f>
        <v/>
      </c>
      <c r="K615" s="124">
        <f>IF($A615="","",MAX(0,$B615-$J615))</f>
        <v/>
      </c>
      <c r="L615" s="124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  <c r="U615" s="124">
        <f>IF($N615="","",$Q615*$R615)</f>
        <v/>
      </c>
    </row>
    <row r="616" ht="15" customHeight="1" s="80">
      <c r="J616" s="124">
        <f>IF($A616="","",$B616+$C616+$D616-$E616+$F616-$G616)</f>
        <v/>
      </c>
      <c r="K616" s="124">
        <f>IF($A616="","",MAX(0,$B616-$J616))</f>
        <v/>
      </c>
      <c r="L616" s="124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  <c r="U616" s="124">
        <f>IF($N616="","",$Q616*$R616)</f>
        <v/>
      </c>
    </row>
    <row r="617" ht="15" customHeight="1" s="80">
      <c r="J617" s="124">
        <f>IF($A617="","",$B617+$C617+$D617-$E617+$F617-$G617)</f>
        <v/>
      </c>
      <c r="K617" s="124">
        <f>IF($A617="","",MAX(0,$B617-$J617))</f>
        <v/>
      </c>
      <c r="L617" s="124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  <c r="U617" s="124">
        <f>IF($N617="","",$Q617*$R617)</f>
        <v/>
      </c>
    </row>
    <row r="618" ht="15" customHeight="1" s="80">
      <c r="J618" s="124">
        <f>IF($A618="","",$B618+$C618+$D618-$E618+$F618-$G618)</f>
        <v/>
      </c>
      <c r="K618" s="124">
        <f>IF($A618="","",MAX(0,$B618-$J618))</f>
        <v/>
      </c>
      <c r="L618" s="124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  <c r="U618" s="124">
        <f>IF($N618="","",$Q618*$R618)</f>
        <v/>
      </c>
    </row>
    <row r="619" ht="15" customHeight="1" s="80">
      <c r="J619" s="124">
        <f>IF($A619="","",$B619+$C619+$D619-$E619+$F619-$G619)</f>
        <v/>
      </c>
      <c r="K619" s="124">
        <f>IF($A619="","",MAX(0,$B619-$J619))</f>
        <v/>
      </c>
      <c r="L619" s="124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  <c r="U619" s="124">
        <f>IF($N619="","",$Q619*$R619)</f>
        <v/>
      </c>
    </row>
    <row r="620" ht="15" customHeight="1" s="80">
      <c r="J620" s="124">
        <f>IF($A620="","",$B620+$C620+$D620-$E620+$F620-$G620)</f>
        <v/>
      </c>
      <c r="K620" s="124">
        <f>IF($A620="","",MAX(0,$B620-$J620))</f>
        <v/>
      </c>
      <c r="L620" s="124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  <c r="U620" s="124">
        <f>IF($N620="","",$Q620*$R620)</f>
        <v/>
      </c>
    </row>
    <row r="621" ht="15" customHeight="1" s="80">
      <c r="J621" s="124">
        <f>IF($A621="","",$B621+$C621+$D621-$E621+$F621-$G621)</f>
        <v/>
      </c>
      <c r="K621" s="124">
        <f>IF($A621="","",MAX(0,$B621-$J621))</f>
        <v/>
      </c>
      <c r="L621" s="124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  <c r="U621" s="124">
        <f>IF($N621="","",$Q621*$R621)</f>
        <v/>
      </c>
    </row>
    <row r="622" ht="15" customHeight="1" s="80">
      <c r="J622" s="124">
        <f>IF($A622="","",$B622+$C622+$D622-$E622+$F622-$G622)</f>
        <v/>
      </c>
      <c r="K622" s="124">
        <f>IF($A622="","",MAX(0,$B622-$J622))</f>
        <v/>
      </c>
      <c r="L622" s="124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  <c r="U622" s="124">
        <f>IF($N622="","",$Q622*$R622)</f>
        <v/>
      </c>
    </row>
    <row r="623" ht="15" customHeight="1" s="80">
      <c r="J623" s="124">
        <f>IF($A623="","",$B623+$C623+$D623-$E623+$F623-$G623)</f>
        <v/>
      </c>
      <c r="K623" s="124">
        <f>IF($A623="","",MAX(0,$B623-$J623))</f>
        <v/>
      </c>
      <c r="L623" s="124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  <c r="U623" s="124">
        <f>IF($N623="","",$Q623*$R623)</f>
        <v/>
      </c>
    </row>
    <row r="624" ht="15" customHeight="1" s="80">
      <c r="J624" s="124">
        <f>IF($A624="","",$B624+$C624+$D624-$E624+$F624-$G624)</f>
        <v/>
      </c>
      <c r="K624" s="124">
        <f>IF($A624="","",MAX(0,$B624-$J624))</f>
        <v/>
      </c>
      <c r="L624" s="124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  <c r="U624" s="124">
        <f>IF($N624="","",$Q624*$R624)</f>
        <v/>
      </c>
    </row>
    <row r="625" ht="15" customHeight="1" s="80">
      <c r="J625" s="124">
        <f>IF($A625="","",$B625+$C625+$D625-$E625+$F625-$G625)</f>
        <v/>
      </c>
      <c r="K625" s="124">
        <f>IF($A625="","",MAX(0,$B625-$J625))</f>
        <v/>
      </c>
      <c r="L625" s="124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  <c r="U625" s="124">
        <f>IF($N625="","",$Q625*$R625)</f>
        <v/>
      </c>
    </row>
    <row r="626" ht="15" customHeight="1" s="80">
      <c r="J626" s="124">
        <f>IF($A626="","",$B626+$C626+$D626-$E626+$F626-$G626)</f>
        <v/>
      </c>
      <c r="K626" s="124">
        <f>IF($A626="","",MAX(0,$B626-$J626))</f>
        <v/>
      </c>
      <c r="L626" s="124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  <c r="U626" s="124">
        <f>IF($N626="","",$Q626*$R626)</f>
        <v/>
      </c>
    </row>
    <row r="627" ht="15" customHeight="1" s="80">
      <c r="J627" s="124">
        <f>IF($A627="","",$B627+$C627+$D627-$E627+$F627-$G627)</f>
        <v/>
      </c>
      <c r="K627" s="124">
        <f>IF($A627="","",MAX(0,$B627-$J627))</f>
        <v/>
      </c>
      <c r="L627" s="124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  <c r="U627" s="124">
        <f>IF($N627="","",$Q627*$R627)</f>
        <v/>
      </c>
    </row>
    <row r="628" ht="15" customHeight="1" s="80">
      <c r="J628" s="124">
        <f>IF($A628="","",$B628+$C628+$D628-$E628+$F628-$G628)</f>
        <v/>
      </c>
      <c r="K628" s="124">
        <f>IF($A628="","",MAX(0,$B628-$J628))</f>
        <v/>
      </c>
      <c r="L628" s="124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  <c r="U628" s="124">
        <f>IF($N628="","",$Q628*$R628)</f>
        <v/>
      </c>
    </row>
    <row r="629" ht="15" customHeight="1" s="80">
      <c r="J629" s="124">
        <f>IF($A629="","",$B629+$C629+$D629-$E629+$F629-$G629)</f>
        <v/>
      </c>
      <c r="K629" s="124">
        <f>IF($A629="","",MAX(0,$B629-$J629))</f>
        <v/>
      </c>
      <c r="L629" s="124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  <c r="U629" s="124">
        <f>IF($N629="","",$Q629*$R629)</f>
        <v/>
      </c>
    </row>
    <row r="630" ht="15" customHeight="1" s="80">
      <c r="J630" s="124">
        <f>IF($A630="","",$B630+$C630+$D630-$E630+$F630-$G630)</f>
        <v/>
      </c>
      <c r="K630" s="124">
        <f>IF($A630="","",MAX(0,$B630-$J630))</f>
        <v/>
      </c>
      <c r="L630" s="124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  <c r="U630" s="124">
        <f>IF($N630="","",$Q630*$R630)</f>
        <v/>
      </c>
    </row>
    <row r="631" ht="15" customHeight="1" s="80">
      <c r="J631" s="124">
        <f>IF($A631="","",$B631+$C631+$D631-$E631+$F631-$G631)</f>
        <v/>
      </c>
      <c r="K631" s="124">
        <f>IF($A631="","",MAX(0,$B631-$J631))</f>
        <v/>
      </c>
      <c r="L631" s="124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  <c r="U631" s="124">
        <f>IF($N631="","",$Q631*$R631)</f>
        <v/>
      </c>
    </row>
    <row r="632" ht="15" customHeight="1" s="80">
      <c r="J632" s="124">
        <f>IF($A632="","",$B632+$C632+$D632-$E632+$F632-$G632)</f>
        <v/>
      </c>
      <c r="K632" s="124">
        <f>IF($A632="","",MAX(0,$B632-$J632))</f>
        <v/>
      </c>
      <c r="L632" s="124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  <c r="U632" s="124">
        <f>IF($N632="","",$Q632*$R632)</f>
        <v/>
      </c>
    </row>
    <row r="633" ht="15" customHeight="1" s="80">
      <c r="J633" s="124">
        <f>IF($A633="","",$B633+$C633+$D633-$E633+$F633-$G633)</f>
        <v/>
      </c>
      <c r="K633" s="124">
        <f>IF($A633="","",MAX(0,$B633-$J633))</f>
        <v/>
      </c>
      <c r="L633" s="124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  <c r="U633" s="124">
        <f>IF($N633="","",$Q633*$R633)</f>
        <v/>
      </c>
    </row>
    <row r="634" ht="15" customHeight="1" s="80">
      <c r="J634" s="124">
        <f>IF($A634="","",$B634+$C634+$D634-$E634+$F634-$G634)</f>
        <v/>
      </c>
      <c r="K634" s="124">
        <f>IF($A634="","",MAX(0,$B634-$J634))</f>
        <v/>
      </c>
      <c r="L634" s="124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  <c r="U634" s="124">
        <f>IF($N634="","",$Q634*$R634)</f>
        <v/>
      </c>
    </row>
    <row r="635" ht="15" customHeight="1" s="80">
      <c r="J635" s="124">
        <f>IF($A635="","",$B635+$C635+$D635-$E635+$F635-$G635)</f>
        <v/>
      </c>
      <c r="K635" s="124">
        <f>IF($A635="","",MAX(0,$B635-$J635))</f>
        <v/>
      </c>
      <c r="L635" s="124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  <c r="U635" s="124">
        <f>IF($N635="","",$Q635*$R635)</f>
        <v/>
      </c>
    </row>
    <row r="636" ht="15" customHeight="1" s="80">
      <c r="J636" s="124">
        <f>IF($A636="","",$B636+$C636+$D636-$E636+$F636-$G636)</f>
        <v/>
      </c>
      <c r="K636" s="124">
        <f>IF($A636="","",MAX(0,$B636-$J636))</f>
        <v/>
      </c>
      <c r="L636" s="124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  <c r="U636" s="124">
        <f>IF($N636="","",$Q636*$R636)</f>
        <v/>
      </c>
    </row>
    <row r="637" ht="15" customHeight="1" s="80">
      <c r="J637" s="124">
        <f>IF($A637="","",$B637+$C637+$D637-$E637+$F637-$G637)</f>
        <v/>
      </c>
      <c r="K637" s="124">
        <f>IF($A637="","",MAX(0,$B637-$J637))</f>
        <v/>
      </c>
      <c r="L637" s="124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  <c r="U637" s="124">
        <f>IF($N637="","",$Q637*$R637)</f>
        <v/>
      </c>
    </row>
    <row r="638" ht="15" customHeight="1" s="80">
      <c r="J638" s="124">
        <f>IF($A638="","",$B638+$C638+$D638-$E638+$F638-$G638)</f>
        <v/>
      </c>
      <c r="K638" s="124">
        <f>IF($A638="","",MAX(0,$B638-$J638))</f>
        <v/>
      </c>
      <c r="L638" s="124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  <c r="U638" s="124">
        <f>IF($N638="","",$Q638*$R638)</f>
        <v/>
      </c>
    </row>
    <row r="639" ht="15" customHeight="1" s="80">
      <c r="J639" s="124">
        <f>IF($A639="","",$B639+$C639+$D639-$E639+$F639-$G639)</f>
        <v/>
      </c>
      <c r="K639" s="124">
        <f>IF($A639="","",MAX(0,$B639-$J639))</f>
        <v/>
      </c>
      <c r="L639" s="124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  <c r="U639" s="124">
        <f>IF($N639="","",$Q639*$R639)</f>
        <v/>
      </c>
    </row>
    <row r="640" ht="15" customHeight="1" s="80">
      <c r="J640" s="124">
        <f>IF($A640="","",$B640+$C640+$D640-$E640+$F640-$G640)</f>
        <v/>
      </c>
      <c r="K640" s="124">
        <f>IF($A640="","",MAX(0,$B640-$J640))</f>
        <v/>
      </c>
      <c r="L640" s="124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  <c r="U640" s="124">
        <f>IF($N640="","",$Q640*$R640)</f>
        <v/>
      </c>
    </row>
    <row r="641" ht="15" customHeight="1" s="80">
      <c r="J641" s="124">
        <f>IF($A641="","",$B641+$C641+$D641-$E641+$F641-$G641)</f>
        <v/>
      </c>
      <c r="K641" s="124">
        <f>IF($A641="","",MAX(0,$B641-$J641))</f>
        <v/>
      </c>
      <c r="L641" s="124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  <c r="U641" s="124">
        <f>IF($N641="","",$Q641*$R641)</f>
        <v/>
      </c>
    </row>
    <row r="642" ht="15" customHeight="1" s="80">
      <c r="J642" s="124">
        <f>IF($A642="","",$B642+$C642+$D642-$E642+$F642-$G642)</f>
        <v/>
      </c>
      <c r="K642" s="124">
        <f>IF($A642="","",MAX(0,$B642-$J642))</f>
        <v/>
      </c>
      <c r="L642" s="124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  <c r="U642" s="124">
        <f>IF($N642="","",$Q642*$R642)</f>
        <v/>
      </c>
    </row>
    <row r="643" ht="15" customHeight="1" s="80">
      <c r="J643" s="124">
        <f>IF($A643="","",$B643+$C643+$D643-$E643+$F643-$G643)</f>
        <v/>
      </c>
      <c r="K643" s="124">
        <f>IF($A643="","",MAX(0,$B643-$J643))</f>
        <v/>
      </c>
      <c r="L643" s="124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  <c r="U643" s="124">
        <f>IF($N643="","",$Q643*$R643)</f>
        <v/>
      </c>
    </row>
    <row r="644" ht="15" customHeight="1" s="80">
      <c r="J644" s="124">
        <f>IF($A644="","",$B644+$C644+$D644-$E644+$F644-$G644)</f>
        <v/>
      </c>
      <c r="K644" s="124">
        <f>IF($A644="","",MAX(0,$B644-$J644))</f>
        <v/>
      </c>
      <c r="L644" s="124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  <c r="U644" s="124">
        <f>IF($N644="","",$Q644*$R644)</f>
        <v/>
      </c>
    </row>
    <row r="645" ht="15" customHeight="1" s="80">
      <c r="J645" s="124">
        <f>IF($A645="","",$B645+$C645+$D645-$E645+$F645-$G645)</f>
        <v/>
      </c>
      <c r="K645" s="124">
        <f>IF($A645="","",MAX(0,$B645-$J645))</f>
        <v/>
      </c>
      <c r="L645" s="124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  <c r="U645" s="124">
        <f>IF($N645="","",$Q645*$R645)</f>
        <v/>
      </c>
    </row>
    <row r="646" ht="15" customHeight="1" s="80">
      <c r="J646" s="124">
        <f>IF($A646="","",$B646+$C646+$D646-$E646+$F646-$G646)</f>
        <v/>
      </c>
      <c r="K646" s="124">
        <f>IF($A646="","",MAX(0,$B646-$J646))</f>
        <v/>
      </c>
      <c r="L646" s="124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  <c r="U646" s="124">
        <f>IF($N646="","",$Q646*$R646)</f>
        <v/>
      </c>
    </row>
    <row r="647" ht="15" customHeight="1" s="80">
      <c r="J647" s="124">
        <f>IF($A647="","",$B647+$C647+$D647-$E647+$F647-$G647)</f>
        <v/>
      </c>
      <c r="K647" s="124">
        <f>IF($A647="","",MAX(0,$B647-$J647))</f>
        <v/>
      </c>
      <c r="L647" s="124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  <c r="U647" s="124">
        <f>IF($N647="","",$Q647*$R647)</f>
        <v/>
      </c>
    </row>
    <row r="648" ht="15" customHeight="1" s="80">
      <c r="J648" s="124">
        <f>IF($A648="","",$B648+$C648+$D648-$E648+$F648-$G648)</f>
        <v/>
      </c>
      <c r="K648" s="124">
        <f>IF($A648="","",MAX(0,$B648-$J648))</f>
        <v/>
      </c>
      <c r="L648" s="124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  <c r="U648" s="124">
        <f>IF($N648="","",$Q648*$R648)</f>
        <v/>
      </c>
    </row>
    <row r="649" ht="15" customHeight="1" s="80">
      <c r="J649" s="124">
        <f>IF($A649="","",$B649+$C649+$D649-$E649+$F649-$G649)</f>
        <v/>
      </c>
      <c r="K649" s="124">
        <f>IF($A649="","",MAX(0,$B649-$J649))</f>
        <v/>
      </c>
      <c r="L649" s="124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  <c r="U649" s="124">
        <f>IF($N649="","",$Q649*$R649)</f>
        <v/>
      </c>
    </row>
    <row r="650" ht="15" customHeight="1" s="80">
      <c r="J650" s="124">
        <f>IF($A650="","",$B650+$C650+$D650-$E650+$F650-$G650)</f>
        <v/>
      </c>
      <c r="K650" s="124">
        <f>IF($A650="","",MAX(0,$B650-$J650))</f>
        <v/>
      </c>
      <c r="L650" s="124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  <c r="U650" s="124">
        <f>IF($N650="","",$Q650*$R650)</f>
        <v/>
      </c>
    </row>
    <row r="651" ht="15" customHeight="1" s="80">
      <c r="J651" s="124">
        <f>IF($A651="","",$B651+$C651+$D651-$E651+$F651-$G651)</f>
        <v/>
      </c>
      <c r="K651" s="124">
        <f>IF($A651="","",MAX(0,$B651-$J651))</f>
        <v/>
      </c>
      <c r="L651" s="124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  <c r="U651" s="124">
        <f>IF($N651="","",$Q651*$R651)</f>
        <v/>
      </c>
    </row>
    <row r="652" ht="15" customHeight="1" s="80">
      <c r="J652" s="124">
        <f>IF($A652="","",$B652+$C652+$D652-$E652+$F652-$G652)</f>
        <v/>
      </c>
      <c r="K652" s="124">
        <f>IF($A652="","",MAX(0,$B652-$J652))</f>
        <v/>
      </c>
      <c r="L652" s="124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  <c r="U652" s="124">
        <f>IF($N652="","",$Q652*$R652)</f>
        <v/>
      </c>
    </row>
    <row r="653" ht="15" customHeight="1" s="80">
      <c r="J653" s="124">
        <f>IF($A653="","",$B653+$C653+$D653-$E653+$F653-$G653)</f>
        <v/>
      </c>
      <c r="K653" s="124">
        <f>IF($A653="","",MAX(0,$B653-$J653))</f>
        <v/>
      </c>
      <c r="L653" s="124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  <c r="U653" s="124">
        <f>IF($N653="","",$Q653*$R653)</f>
        <v/>
      </c>
    </row>
    <row r="654" ht="15" customHeight="1" s="80">
      <c r="J654" s="124">
        <f>IF($A654="","",$B654+$C654+$D654-$E654+$F654-$G654)</f>
        <v/>
      </c>
      <c r="K654" s="124">
        <f>IF($A654="","",MAX(0,$B654-$J654))</f>
        <v/>
      </c>
      <c r="L654" s="124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  <c r="U654" s="124">
        <f>IF($N654="","",$Q654*$R654)</f>
        <v/>
      </c>
    </row>
    <row r="655" ht="15" customHeight="1" s="80">
      <c r="J655" s="124">
        <f>IF($A655="","",$B655+$C655+$D655-$E655+$F655-$G655)</f>
        <v/>
      </c>
      <c r="K655" s="124">
        <f>IF($A655="","",MAX(0,$B655-$J655))</f>
        <v/>
      </c>
      <c r="L655" s="124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  <c r="U655" s="124">
        <f>IF($N655="","",$Q655*$R655)</f>
        <v/>
      </c>
    </row>
    <row r="656" ht="15" customHeight="1" s="80">
      <c r="J656" s="124">
        <f>IF($A656="","",$B656+$C656+$D656-$E656+$F656-$G656)</f>
        <v/>
      </c>
      <c r="K656" s="124">
        <f>IF($A656="","",MAX(0,$B656-$J656))</f>
        <v/>
      </c>
      <c r="L656" s="124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  <c r="U656" s="124">
        <f>IF($N656="","",$Q656*$R656)</f>
        <v/>
      </c>
    </row>
    <row r="657" ht="15" customHeight="1" s="80">
      <c r="J657" s="124">
        <f>IF($A657="","",$B657+$C657+$D657-$E657+$F657-$G657)</f>
        <v/>
      </c>
      <c r="K657" s="124">
        <f>IF($A657="","",MAX(0,$B657-$J657))</f>
        <v/>
      </c>
      <c r="L657" s="124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  <c r="U657" s="124">
        <f>IF($N657="","",$Q657*$R657)</f>
        <v/>
      </c>
    </row>
    <row r="658" ht="15" customHeight="1" s="80">
      <c r="J658" s="124">
        <f>IF($A658="","",$B658+$C658+$D658-$E658+$F658-$G658)</f>
        <v/>
      </c>
      <c r="K658" s="124">
        <f>IF($A658="","",MAX(0,$B658-$J658))</f>
        <v/>
      </c>
      <c r="L658" s="124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  <c r="U658" s="124">
        <f>IF($N658="","",$Q658*$R658)</f>
        <v/>
      </c>
    </row>
    <row r="659" ht="15" customHeight="1" s="80">
      <c r="J659" s="124">
        <f>IF($A659="","",$B659+$C659+$D659-$E659+$F659-$G659)</f>
        <v/>
      </c>
      <c r="K659" s="124">
        <f>IF($A659="","",MAX(0,$B659-$J659))</f>
        <v/>
      </c>
      <c r="L659" s="124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  <c r="U659" s="124">
        <f>IF($N659="","",$Q659*$R659)</f>
        <v/>
      </c>
    </row>
    <row r="660" ht="15" customHeight="1" s="80">
      <c r="J660" s="124">
        <f>IF($A660="","",$B660+$C660+$D660-$E660+$F660-$G660)</f>
        <v/>
      </c>
      <c r="K660" s="124">
        <f>IF($A660="","",MAX(0,$B660-$J660))</f>
        <v/>
      </c>
      <c r="L660" s="124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  <c r="U660" s="124">
        <f>IF($N660="","",$Q660*$R660)</f>
        <v/>
      </c>
    </row>
    <row r="661" ht="15" customHeight="1" s="80">
      <c r="J661" s="124">
        <f>IF($A661="","",$B661+$C661+$D661-$E661+$F661-$G661)</f>
        <v/>
      </c>
      <c r="K661" s="124">
        <f>IF($A661="","",MAX(0,$B661-$J661))</f>
        <v/>
      </c>
      <c r="L661" s="124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  <c r="U661" s="124">
        <f>IF($N661="","",$Q661*$R661)</f>
        <v/>
      </c>
    </row>
    <row r="662" ht="15" customHeight="1" s="80">
      <c r="J662" s="124">
        <f>IF($A662="","",$B662+$C662+$D662-$E662+$F662-$G662)</f>
        <v/>
      </c>
      <c r="K662" s="124">
        <f>IF($A662="","",MAX(0,$B662-$J662))</f>
        <v/>
      </c>
      <c r="L662" s="124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  <c r="U662" s="124">
        <f>IF($N662="","",$Q662*$R662)</f>
        <v/>
      </c>
    </row>
    <row r="663" ht="15" customHeight="1" s="80">
      <c r="J663" s="124">
        <f>IF($A663="","",$B663+$C663+$D663-$E663+$F663-$G663)</f>
        <v/>
      </c>
      <c r="K663" s="124">
        <f>IF($A663="","",MAX(0,$B663-$J663))</f>
        <v/>
      </c>
      <c r="L663" s="124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  <c r="U663" s="124">
        <f>IF($N663="","",$Q663*$R663)</f>
        <v/>
      </c>
    </row>
    <row r="664" ht="15" customHeight="1" s="80">
      <c r="J664" s="124">
        <f>IF($A664="","",$B664+$C664+$D664-$E664+$F664-$G664)</f>
        <v/>
      </c>
      <c r="K664" s="124">
        <f>IF($A664="","",MAX(0,$B664-$J664))</f>
        <v/>
      </c>
      <c r="L664" s="124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  <c r="U664" s="124">
        <f>IF($N664="","",$Q664*$R664)</f>
        <v/>
      </c>
    </row>
    <row r="665" ht="15" customHeight="1" s="80">
      <c r="J665" s="124">
        <f>IF($A665="","",$B665+$C665+$D665-$E665+$F665-$G665)</f>
        <v/>
      </c>
      <c r="K665" s="124">
        <f>IF($A665="","",MAX(0,$B665-$J665))</f>
        <v/>
      </c>
      <c r="L665" s="124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  <c r="U665" s="124">
        <f>IF($N665="","",$Q665*$R665)</f>
        <v/>
      </c>
    </row>
    <row r="666" ht="15" customHeight="1" s="80">
      <c r="J666" s="124">
        <f>IF($A666="","",$B666+$C666+$D666-$E666+$F666-$G666)</f>
        <v/>
      </c>
      <c r="K666" s="124">
        <f>IF($A666="","",MAX(0,$B666-$J666))</f>
        <v/>
      </c>
      <c r="L666" s="124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  <c r="U666" s="124">
        <f>IF($N666="","",$Q666*$R666)</f>
        <v/>
      </c>
    </row>
    <row r="667" ht="15" customHeight="1" s="80">
      <c r="J667" s="124">
        <f>IF($A667="","",$B667+$C667+$D667-$E667+$F667-$G667)</f>
        <v/>
      </c>
      <c r="K667" s="124">
        <f>IF($A667="","",MAX(0,$B667-$J667))</f>
        <v/>
      </c>
      <c r="L667" s="124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  <c r="U667" s="124">
        <f>IF($N667="","",$Q667*$R667)</f>
        <v/>
      </c>
    </row>
    <row r="668" ht="15" customHeight="1" s="80">
      <c r="J668" s="124">
        <f>IF($A668="","",$B668+$C668+$D668-$E668+$F668-$G668)</f>
        <v/>
      </c>
      <c r="K668" s="124">
        <f>IF($A668="","",MAX(0,$B668-$J668))</f>
        <v/>
      </c>
      <c r="L668" s="124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  <c r="U668" s="124">
        <f>IF($N668="","",$Q668*$R668)</f>
        <v/>
      </c>
    </row>
    <row r="669" ht="15" customHeight="1" s="80">
      <c r="J669" s="124">
        <f>IF($A669="","",$B669+$C669+$D669-$E669+$F669-$G669)</f>
        <v/>
      </c>
      <c r="K669" s="124">
        <f>IF($A669="","",MAX(0,$B669-$J669))</f>
        <v/>
      </c>
      <c r="L669" s="124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  <c r="U669" s="124">
        <f>IF($N669="","",$Q669*$R669)</f>
        <v/>
      </c>
    </row>
    <row r="670" ht="15" customHeight="1" s="80">
      <c r="J670" s="124">
        <f>IF($A670="","",$B670+$C670+$D670-$E670+$F670-$G670)</f>
        <v/>
      </c>
      <c r="K670" s="124">
        <f>IF($A670="","",MAX(0,$B670-$J670))</f>
        <v/>
      </c>
      <c r="L670" s="124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  <c r="U670" s="124">
        <f>IF($N670="","",$Q670*$R670)</f>
        <v/>
      </c>
    </row>
    <row r="671" ht="15" customHeight="1" s="80">
      <c r="J671" s="124">
        <f>IF($A671="","",$B671+$C671+$D671-$E671+$F671-$G671)</f>
        <v/>
      </c>
      <c r="K671" s="124">
        <f>IF($A671="","",MAX(0,$B671-$J671))</f>
        <v/>
      </c>
      <c r="L671" s="124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  <c r="U671" s="124">
        <f>IF($N671="","",$Q671*$R671)</f>
        <v/>
      </c>
    </row>
    <row r="672" ht="15" customHeight="1" s="80">
      <c r="J672" s="124">
        <f>IF($A672="","",$B672+$C672+$D672-$E672+$F672-$G672)</f>
        <v/>
      </c>
      <c r="K672" s="124">
        <f>IF($A672="","",MAX(0,$B672-$J672))</f>
        <v/>
      </c>
      <c r="L672" s="124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  <c r="U672" s="124">
        <f>IF($N672="","",$Q672*$R672)</f>
        <v/>
      </c>
    </row>
    <row r="673" ht="15" customHeight="1" s="80">
      <c r="J673" s="124">
        <f>IF($A673="","",$B673+$C673+$D673-$E673+$F673-$G673)</f>
        <v/>
      </c>
      <c r="K673" s="124">
        <f>IF($A673="","",MAX(0,$B673-$J673))</f>
        <v/>
      </c>
      <c r="L673" s="124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  <c r="U673" s="124">
        <f>IF($N673="","",$Q673*$R673)</f>
        <v/>
      </c>
    </row>
    <row r="674" ht="15" customHeight="1" s="80">
      <c r="J674" s="124">
        <f>IF($A674="","",$B674+$C674+$D674-$E674+$F674-$G674)</f>
        <v/>
      </c>
      <c r="K674" s="124">
        <f>IF($A674="","",MAX(0,$B674-$J674))</f>
        <v/>
      </c>
      <c r="L674" s="124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  <c r="U674" s="124">
        <f>IF($N674="","",$Q674*$R674)</f>
        <v/>
      </c>
    </row>
    <row r="675" ht="15" customHeight="1" s="80">
      <c r="J675" s="124">
        <f>IF($A675="","",$B675+$C675+$D675-$E675+$F675-$G675)</f>
        <v/>
      </c>
      <c r="K675" s="124">
        <f>IF($A675="","",MAX(0,$B675-$J675))</f>
        <v/>
      </c>
      <c r="L675" s="124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  <c r="U675" s="124">
        <f>IF($N675="","",$Q675*$R675)</f>
        <v/>
      </c>
    </row>
    <row r="676" ht="15" customHeight="1" s="80">
      <c r="J676" s="124">
        <f>IF($A676="","",$B676+$C676+$D676-$E676+$F676-$G676)</f>
        <v/>
      </c>
      <c r="K676" s="124">
        <f>IF($A676="","",MAX(0,$B676-$J676))</f>
        <v/>
      </c>
      <c r="L676" s="124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  <c r="U676" s="124">
        <f>IF($N676="","",$Q676*$R676)</f>
        <v/>
      </c>
    </row>
    <row r="677" ht="15" customHeight="1" s="80">
      <c r="J677" s="124">
        <f>IF($A677="","",$B677+$C677+$D677-$E677+$F677-$G677)</f>
        <v/>
      </c>
      <c r="K677" s="124">
        <f>IF($A677="","",MAX(0,$B677-$J677))</f>
        <v/>
      </c>
      <c r="L677" s="124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  <c r="U677" s="124">
        <f>IF($N677="","",$Q677*$R677)</f>
        <v/>
      </c>
    </row>
    <row r="678" ht="15" customHeight="1" s="80">
      <c r="J678" s="124">
        <f>IF($A678="","",$B678+$C678+$D678-$E678+$F678-$G678)</f>
        <v/>
      </c>
      <c r="K678" s="124">
        <f>IF($A678="","",MAX(0,$B678-$J678))</f>
        <v/>
      </c>
      <c r="L678" s="124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  <c r="U678" s="124">
        <f>IF($N678="","",$Q678*$R678)</f>
        <v/>
      </c>
    </row>
    <row r="679" ht="15" customHeight="1" s="80">
      <c r="J679" s="124">
        <f>IF($A679="","",$B679+$C679+$D679-$E679+$F679-$G679)</f>
        <v/>
      </c>
      <c r="K679" s="124">
        <f>IF($A679="","",MAX(0,$B679-$J679))</f>
        <v/>
      </c>
      <c r="L679" s="124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  <c r="U679" s="124">
        <f>IF($N679="","",$Q679*$R679)</f>
        <v/>
      </c>
    </row>
    <row r="680" ht="15" customHeight="1" s="80">
      <c r="J680" s="124">
        <f>IF($A680="","",$B680+$C680+$D680-$E680+$F680-$G680)</f>
        <v/>
      </c>
      <c r="K680" s="124">
        <f>IF($A680="","",MAX(0,$B680-$J680))</f>
        <v/>
      </c>
      <c r="L680" s="124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  <c r="U680" s="124">
        <f>IF($N680="","",$Q680*$R680)</f>
        <v/>
      </c>
    </row>
    <row r="681" ht="15" customHeight="1" s="80">
      <c r="J681" s="124">
        <f>IF($A681="","",$B681+$C681+$D681-$E681+$F681-$G681)</f>
        <v/>
      </c>
      <c r="K681" s="124">
        <f>IF($A681="","",MAX(0,$B681-$J681))</f>
        <v/>
      </c>
      <c r="L681" s="124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  <c r="U681" s="124">
        <f>IF($N681="","",$Q681*$R681)</f>
        <v/>
      </c>
    </row>
    <row r="682" ht="15" customHeight="1" s="80">
      <c r="J682" s="124">
        <f>IF($A682="","",$B682+$C682+$D682-$E682+$F682-$G682)</f>
        <v/>
      </c>
      <c r="K682" s="124">
        <f>IF($A682="","",MAX(0,$B682-$J682))</f>
        <v/>
      </c>
      <c r="L682" s="124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  <c r="U682" s="124">
        <f>IF($N682="","",$Q682*$R682)</f>
        <v/>
      </c>
    </row>
    <row r="683" ht="15" customHeight="1" s="80">
      <c r="J683" s="124">
        <f>IF($A683="","",$B683+$C683+$D683-$E683+$F683-$G683)</f>
        <v/>
      </c>
      <c r="K683" s="124">
        <f>IF($A683="","",MAX(0,$B683-$J683))</f>
        <v/>
      </c>
      <c r="L683" s="124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  <c r="U683" s="124">
        <f>IF($N683="","",$Q683*$R683)</f>
        <v/>
      </c>
    </row>
    <row r="684" ht="15" customHeight="1" s="80">
      <c r="J684" s="124">
        <f>IF($A684="","",$B684+$C684+$D684-$E684+$F684-$G684)</f>
        <v/>
      </c>
      <c r="K684" s="124">
        <f>IF($A684="","",MAX(0,$B684-$J684))</f>
        <v/>
      </c>
      <c r="L684" s="124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  <c r="U684" s="124">
        <f>IF($N684="","",$Q684*$R684)</f>
        <v/>
      </c>
    </row>
    <row r="685" ht="15" customHeight="1" s="80">
      <c r="J685" s="124">
        <f>IF($A685="","",$B685+$C685+$D685-$E685+$F685-$G685)</f>
        <v/>
      </c>
      <c r="K685" s="124">
        <f>IF($A685="","",MAX(0,$B685-$J685))</f>
        <v/>
      </c>
      <c r="L685" s="124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  <c r="U685" s="124">
        <f>IF($N685="","",$Q685*$R685)</f>
        <v/>
      </c>
    </row>
    <row r="686" ht="15" customHeight="1" s="80">
      <c r="J686" s="124">
        <f>IF($A686="","",$B686+$C686+$D686-$E686+$F686-$G686)</f>
        <v/>
      </c>
      <c r="K686" s="124">
        <f>IF($A686="","",MAX(0,$B686-$J686))</f>
        <v/>
      </c>
      <c r="L686" s="124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  <c r="U686" s="124">
        <f>IF($N686="","",$Q686*$R686)</f>
        <v/>
      </c>
    </row>
    <row r="687" ht="15" customHeight="1" s="80">
      <c r="J687" s="124">
        <f>IF($A687="","",$B687+$C687+$D687-$E687+$F687-$G687)</f>
        <v/>
      </c>
      <c r="K687" s="124">
        <f>IF($A687="","",MAX(0,$B687-$J687))</f>
        <v/>
      </c>
      <c r="L687" s="124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  <c r="U687" s="124">
        <f>IF($N687="","",$Q687*$R687)</f>
        <v/>
      </c>
    </row>
    <row r="688" ht="15" customHeight="1" s="80">
      <c r="J688" s="124">
        <f>IF($A688="","",$B688+$C688+$D688-$E688+$F688-$G688)</f>
        <v/>
      </c>
      <c r="K688" s="124">
        <f>IF($A688="","",MAX(0,$B688-$J688))</f>
        <v/>
      </c>
      <c r="L688" s="124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  <c r="U688" s="124">
        <f>IF($N688="","",$Q688*$R688)</f>
        <v/>
      </c>
    </row>
    <row r="689" ht="15" customHeight="1" s="80">
      <c r="J689" s="124">
        <f>IF($A689="","",$B689+$C689+$D689-$E689+$F689-$G689)</f>
        <v/>
      </c>
      <c r="K689" s="124">
        <f>IF($A689="","",MAX(0,$B689-$J689))</f>
        <v/>
      </c>
      <c r="L689" s="124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  <c r="U689" s="124">
        <f>IF($N689="","",$Q689*$R689)</f>
        <v/>
      </c>
    </row>
    <row r="690" ht="15" customHeight="1" s="80">
      <c r="J690" s="124">
        <f>IF($A690="","",$B690+$C690+$D690-$E690+$F690-$G690)</f>
        <v/>
      </c>
      <c r="K690" s="124">
        <f>IF($A690="","",MAX(0,$B690-$J690))</f>
        <v/>
      </c>
      <c r="L690" s="124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  <c r="U690" s="124">
        <f>IF($N690="","",$Q690*$R690)</f>
        <v/>
      </c>
    </row>
    <row r="691" ht="15" customHeight="1" s="80">
      <c r="J691" s="124">
        <f>IF($A691="","",$B691+$C691+$D691-$E691+$F691-$G691)</f>
        <v/>
      </c>
      <c r="K691" s="124">
        <f>IF($A691="","",MAX(0,$B691-$J691))</f>
        <v/>
      </c>
      <c r="L691" s="124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  <c r="U691" s="124">
        <f>IF($N691="","",$Q691*$R691)</f>
        <v/>
      </c>
    </row>
    <row r="692" ht="15" customHeight="1" s="80">
      <c r="J692" s="124">
        <f>IF($A692="","",$B692+$C692+$D692-$E692+$F692-$G692)</f>
        <v/>
      </c>
      <c r="K692" s="124">
        <f>IF($A692="","",MAX(0,$B692-$J692))</f>
        <v/>
      </c>
      <c r="L692" s="124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  <c r="U692" s="124">
        <f>IF($N692="","",$Q692*$R692)</f>
        <v/>
      </c>
    </row>
    <row r="693" ht="15" customHeight="1" s="80">
      <c r="J693" s="124">
        <f>IF($A693="","",$B693+$C693+$D693-$E693+$F693-$G693)</f>
        <v/>
      </c>
      <c r="K693" s="124">
        <f>IF($A693="","",MAX(0,$B693-$J693))</f>
        <v/>
      </c>
      <c r="L693" s="124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  <c r="U693" s="124">
        <f>IF($N693="","",$Q693*$R693)</f>
        <v/>
      </c>
    </row>
    <row r="694" ht="15" customHeight="1" s="80">
      <c r="J694" s="124">
        <f>IF($A694="","",$B694+$C694+$D694-$E694+$F694-$G694)</f>
        <v/>
      </c>
      <c r="K694" s="124">
        <f>IF($A694="","",MAX(0,$B694-$J694))</f>
        <v/>
      </c>
      <c r="L694" s="124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  <c r="U694" s="124">
        <f>IF($N694="","",$Q694*$R694)</f>
        <v/>
      </c>
    </row>
    <row r="695" ht="15" customHeight="1" s="80">
      <c r="J695" s="124">
        <f>IF($A695="","",$B695+$C695+$D695-$E695+$F695-$G695)</f>
        <v/>
      </c>
      <c r="K695" s="124">
        <f>IF($A695="","",MAX(0,$B695-$J695))</f>
        <v/>
      </c>
      <c r="L695" s="124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  <c r="U695" s="124">
        <f>IF($N695="","",$Q695*$R695)</f>
        <v/>
      </c>
    </row>
    <row r="696" ht="15" customHeight="1" s="80">
      <c r="J696" s="124">
        <f>IF($A696="","",$B696+$C696+$D696-$E696+$F696-$G696)</f>
        <v/>
      </c>
      <c r="K696" s="124">
        <f>IF($A696="","",MAX(0,$B696-$J696))</f>
        <v/>
      </c>
      <c r="L696" s="124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  <c r="U696" s="124">
        <f>IF($N696="","",$Q696*$R696)</f>
        <v/>
      </c>
    </row>
    <row r="697" ht="15" customHeight="1" s="80">
      <c r="J697" s="124">
        <f>IF($A697="","",$B697+$C697+$D697-$E697+$F697-$G697)</f>
        <v/>
      </c>
      <c r="K697" s="124">
        <f>IF($A697="","",MAX(0,$B697-$J697))</f>
        <v/>
      </c>
      <c r="L697" s="124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  <c r="U697" s="124">
        <f>IF($N697="","",$Q697*$R697)</f>
        <v/>
      </c>
    </row>
    <row r="698" ht="15" customHeight="1" s="80">
      <c r="J698" s="124">
        <f>IF($A698="","",$B698+$C698+$D698-$E698+$F698-$G698)</f>
        <v/>
      </c>
      <c r="K698" s="124">
        <f>IF($A698="","",MAX(0,$B698-$J698))</f>
        <v/>
      </c>
      <c r="L698" s="124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  <c r="U698" s="124">
        <f>IF($N698="","",$Q698*$R698)</f>
        <v/>
      </c>
    </row>
    <row r="699" ht="15" customHeight="1" s="80">
      <c r="J699" s="124">
        <f>IF($A699="","",$B699+$C699+$D699-$E699+$F699-$G699)</f>
        <v/>
      </c>
      <c r="K699" s="124">
        <f>IF($A699="","",MAX(0,$B699-$J699))</f>
        <v/>
      </c>
      <c r="L699" s="124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  <c r="U699" s="124">
        <f>IF($N699="","",$Q699*$R699)</f>
        <v/>
      </c>
    </row>
    <row r="700" ht="15" customHeight="1" s="80">
      <c r="J700" s="124">
        <f>IF($A700="","",$B700+$C700+$D700-$E700+$F700-$G700)</f>
        <v/>
      </c>
      <c r="K700" s="124">
        <f>IF($A700="","",MAX(0,$B700-$J700))</f>
        <v/>
      </c>
      <c r="L700" s="124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  <c r="U700" s="124">
        <f>IF($N700="","",$Q700*$R700)</f>
        <v/>
      </c>
    </row>
    <row r="701" ht="15" customHeight="1" s="80">
      <c r="J701" s="124">
        <f>IF($A701="","",$B701+$C701+$D701-$E701+$F701-$G701)</f>
        <v/>
      </c>
      <c r="K701" s="124">
        <f>IF($A701="","",MAX(0,$B701-$J701))</f>
        <v/>
      </c>
      <c r="L701" s="124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  <c r="U701" s="124">
        <f>IF($N701="","",$Q701*$R701)</f>
        <v/>
      </c>
    </row>
    <row r="702" ht="15" customHeight="1" s="80">
      <c r="J702" s="124">
        <f>IF($A702="","",$B702+$C702+$D702-$E702+$F702-$G702)</f>
        <v/>
      </c>
      <c r="K702" s="124">
        <f>IF($A702="","",MAX(0,$B702-$J702))</f>
        <v/>
      </c>
      <c r="L702" s="124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  <c r="U702" s="124">
        <f>IF($N702="","",$Q702*$R702)</f>
        <v/>
      </c>
    </row>
    <row r="703" ht="15" customHeight="1" s="80">
      <c r="J703" s="124">
        <f>IF($A703="","",$B703+$C703+$D703-$E703+$F703-$G703)</f>
        <v/>
      </c>
      <c r="K703" s="124">
        <f>IF($A703="","",MAX(0,$B703-$J703))</f>
        <v/>
      </c>
      <c r="L703" s="124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  <c r="U703" s="124">
        <f>IF($N703="","",$Q703*$R703)</f>
        <v/>
      </c>
    </row>
    <row r="704" ht="15" customHeight="1" s="80">
      <c r="J704" s="124">
        <f>IF($A704="","",$B704+$C704+$D704-$E704+$F704-$G704)</f>
        <v/>
      </c>
      <c r="K704" s="124">
        <f>IF($A704="","",MAX(0,$B704-$J704))</f>
        <v/>
      </c>
      <c r="L704" s="124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  <c r="U704" s="124">
        <f>IF($N704="","",$Q704*$R704)</f>
        <v/>
      </c>
    </row>
    <row r="705" ht="15" customHeight="1" s="80">
      <c r="J705" s="124">
        <f>IF($A705="","",$B705+$C705+$D705-$E705+$F705-$G705)</f>
        <v/>
      </c>
      <c r="K705" s="124">
        <f>IF($A705="","",MAX(0,$B705-$J705))</f>
        <v/>
      </c>
      <c r="L705" s="124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  <c r="U705" s="124">
        <f>IF($N705="","",$Q705*$R705)</f>
        <v/>
      </c>
    </row>
    <row r="706" ht="15" customHeight="1" s="80">
      <c r="J706" s="124">
        <f>IF($A706="","",$B706+$C706+$D706-$E706+$F706-$G706)</f>
        <v/>
      </c>
      <c r="K706" s="124">
        <f>IF($A706="","",MAX(0,$B706-$J706))</f>
        <v/>
      </c>
      <c r="L706" s="124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  <c r="U706" s="124">
        <f>IF($N706="","",$Q706*$R706)</f>
        <v/>
      </c>
    </row>
    <row r="707" ht="15" customHeight="1" s="80">
      <c r="J707" s="124">
        <f>IF($A707="","",$B707+$C707+$D707-$E707+$F707-$G707)</f>
        <v/>
      </c>
      <c r="K707" s="124">
        <f>IF($A707="","",MAX(0,$B707-$J707))</f>
        <v/>
      </c>
      <c r="L707" s="124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  <c r="U707" s="124">
        <f>IF($N707="","",$Q707*$R707)</f>
        <v/>
      </c>
    </row>
    <row r="708" ht="15" customHeight="1" s="80">
      <c r="J708" s="124">
        <f>IF($A708="","",$B708+$C708+$D708-$E708+$F708-$G708)</f>
        <v/>
      </c>
      <c r="K708" s="124">
        <f>IF($A708="","",MAX(0,$B708-$J708))</f>
        <v/>
      </c>
      <c r="L708" s="124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  <c r="U708" s="124">
        <f>IF($N708="","",$Q708*$R708)</f>
        <v/>
      </c>
    </row>
    <row r="709" ht="15" customHeight="1" s="80">
      <c r="J709" s="124">
        <f>IF($A709="","",$B709+$C709+$D709-$E709+$F709-$G709)</f>
        <v/>
      </c>
      <c r="K709" s="124">
        <f>IF($A709="","",MAX(0,$B709-$J709))</f>
        <v/>
      </c>
      <c r="L709" s="124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  <c r="U709" s="124">
        <f>IF($N709="","",$Q709*$R709)</f>
        <v/>
      </c>
    </row>
    <row r="710" ht="15" customHeight="1" s="80">
      <c r="J710" s="124">
        <f>IF($A710="","",$B710+$C710+$D710-$E710+$F710-$G710)</f>
        <v/>
      </c>
      <c r="K710" s="124">
        <f>IF($A710="","",MAX(0,$B710-$J710))</f>
        <v/>
      </c>
      <c r="L710" s="124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  <c r="U710" s="124">
        <f>IF($N710="","",$Q710*$R710)</f>
        <v/>
      </c>
    </row>
    <row r="711" ht="15" customHeight="1" s="80">
      <c r="J711" s="124">
        <f>IF($A711="","",$B711+$C711+$D711-$E711+$F711-$G711)</f>
        <v/>
      </c>
      <c r="K711" s="124">
        <f>IF($A711="","",MAX(0,$B711-$J711))</f>
        <v/>
      </c>
      <c r="L711" s="124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  <c r="U711" s="124">
        <f>IF($N711="","",$Q711*$R711)</f>
        <v/>
      </c>
    </row>
    <row r="712" ht="15" customHeight="1" s="80">
      <c r="J712" s="124">
        <f>IF($A712="","",$B712+$C712+$D712-$E712+$F712-$G712)</f>
        <v/>
      </c>
      <c r="K712" s="124">
        <f>IF($A712="","",MAX(0,$B712-$J712))</f>
        <v/>
      </c>
      <c r="L712" s="124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  <c r="U712" s="124">
        <f>IF($N712="","",$Q712*$R712)</f>
        <v/>
      </c>
    </row>
    <row r="713" ht="15" customHeight="1" s="80">
      <c r="J713" s="124">
        <f>IF($A713="","",$B713+$C713+$D713-$E713+$F713-$G713)</f>
        <v/>
      </c>
      <c r="K713" s="124">
        <f>IF($A713="","",MAX(0,$B713-$J713))</f>
        <v/>
      </c>
      <c r="L713" s="124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  <c r="U713" s="124">
        <f>IF($N713="","",$Q713*$R713)</f>
        <v/>
      </c>
    </row>
    <row r="714" ht="15" customHeight="1" s="80">
      <c r="J714" s="124">
        <f>IF($A714="","",$B714+$C714+$D714-$E714+$F714-$G714)</f>
        <v/>
      </c>
      <c r="K714" s="124">
        <f>IF($A714="","",MAX(0,$B714-$J714))</f>
        <v/>
      </c>
      <c r="L714" s="124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  <c r="U714" s="124">
        <f>IF($N714="","",$Q714*$R714)</f>
        <v/>
      </c>
    </row>
    <row r="715" ht="15" customHeight="1" s="80">
      <c r="J715" s="124">
        <f>IF($A715="","",$B715+$C715+$D715-$E715+$F715-$G715)</f>
        <v/>
      </c>
      <c r="K715" s="124">
        <f>IF($A715="","",MAX(0,$B715-$J715))</f>
        <v/>
      </c>
      <c r="L715" s="124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  <c r="U715" s="124">
        <f>IF($N715="","",$Q715*$R715)</f>
        <v/>
      </c>
    </row>
    <row r="716" ht="15" customHeight="1" s="80">
      <c r="J716" s="124">
        <f>IF($A716="","",$B716+$C716+$D716-$E716+$F716-$G716)</f>
        <v/>
      </c>
      <c r="K716" s="124">
        <f>IF($A716="","",MAX(0,$B716-$J716))</f>
        <v/>
      </c>
      <c r="L716" s="124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  <c r="U716" s="124">
        <f>IF($N716="","",$Q716*$R716)</f>
        <v/>
      </c>
    </row>
    <row r="717" ht="15" customHeight="1" s="80">
      <c r="J717" s="124">
        <f>IF($A717="","",$B717+$C717+$D717-$E717+$F717-$G717)</f>
        <v/>
      </c>
      <c r="K717" s="124">
        <f>IF($A717="","",MAX(0,$B717-$J717))</f>
        <v/>
      </c>
      <c r="L717" s="124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  <c r="U717" s="124">
        <f>IF($N717="","",$Q717*$R717)</f>
        <v/>
      </c>
    </row>
    <row r="718" ht="15" customHeight="1" s="80">
      <c r="J718" s="124">
        <f>IF($A718="","",$B718+$C718+$D718-$E718+$F718-$G718)</f>
        <v/>
      </c>
      <c r="K718" s="124">
        <f>IF($A718="","",MAX(0,$B718-$J718))</f>
        <v/>
      </c>
      <c r="L718" s="124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  <c r="U718" s="124">
        <f>IF($N718="","",$Q718*$R718)</f>
        <v/>
      </c>
    </row>
    <row r="719" ht="15" customHeight="1" s="80">
      <c r="J719" s="124">
        <f>IF($A719="","",$B719+$C719+$D719-$E719+$F719-$G719)</f>
        <v/>
      </c>
      <c r="K719" s="124">
        <f>IF($A719="","",MAX(0,$B719-$J719))</f>
        <v/>
      </c>
      <c r="L719" s="124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  <c r="U719" s="124">
        <f>IF($N719="","",$Q719*$R719)</f>
        <v/>
      </c>
    </row>
    <row r="720" ht="15" customHeight="1" s="80">
      <c r="J720" s="124">
        <f>IF($A720="","",$B720+$C720+$D720-$E720+$F720-$G720)</f>
        <v/>
      </c>
      <c r="K720" s="124">
        <f>IF($A720="","",MAX(0,$B720-$J720))</f>
        <v/>
      </c>
      <c r="L720" s="124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  <c r="U720" s="124">
        <f>IF($N720="","",$Q720*$R720)</f>
        <v/>
      </c>
    </row>
    <row r="721" ht="15" customHeight="1" s="80">
      <c r="J721" s="124">
        <f>IF($A721="","",$B721+$C721+$D721-$E721+$F721-$G721)</f>
        <v/>
      </c>
      <c r="K721" s="124">
        <f>IF($A721="","",MAX(0,$B721-$J721))</f>
        <v/>
      </c>
      <c r="L721" s="124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  <c r="U721" s="124">
        <f>IF($N721="","",$Q721*$R721)</f>
        <v/>
      </c>
    </row>
    <row r="722" ht="15" customHeight="1" s="80">
      <c r="J722" s="124">
        <f>IF($A722="","",$B722+$C722+$D722-$E722+$F722-$G722)</f>
        <v/>
      </c>
      <c r="K722" s="124">
        <f>IF($A722="","",MAX(0,$B722-$J722))</f>
        <v/>
      </c>
      <c r="L722" s="124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  <c r="U722" s="124">
        <f>IF($N722="","",$Q722*$R722)</f>
        <v/>
      </c>
    </row>
    <row r="723" ht="15" customHeight="1" s="80">
      <c r="J723" s="124">
        <f>IF($A723="","",$B723+$C723+$D723-$E723+$F723-$G723)</f>
        <v/>
      </c>
      <c r="K723" s="124">
        <f>IF($A723="","",MAX(0,$B723-$J723))</f>
        <v/>
      </c>
      <c r="L723" s="124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  <c r="U723" s="124">
        <f>IF($N723="","",$Q723*$R723)</f>
        <v/>
      </c>
    </row>
    <row r="724" ht="15" customHeight="1" s="80">
      <c r="J724" s="124">
        <f>IF($A724="","",$B724+$C724+$D724-$E724+$F724-$G724)</f>
        <v/>
      </c>
      <c r="K724" s="124">
        <f>IF($A724="","",MAX(0,$B724-$J724))</f>
        <v/>
      </c>
      <c r="L724" s="124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  <c r="U724" s="124">
        <f>IF($N724="","",$Q724*$R724)</f>
        <v/>
      </c>
    </row>
    <row r="725" ht="15" customHeight="1" s="80">
      <c r="J725" s="124">
        <f>IF($A725="","",$B725+$C725+$D725-$E725+$F725-$G725)</f>
        <v/>
      </c>
      <c r="K725" s="124">
        <f>IF($A725="","",MAX(0,$B725-$J725))</f>
        <v/>
      </c>
      <c r="L725" s="124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  <c r="U725" s="124">
        <f>IF($N725="","",$Q725*$R725)</f>
        <v/>
      </c>
    </row>
    <row r="726" ht="15" customHeight="1" s="80">
      <c r="J726" s="124">
        <f>IF($A726="","",$B726+$C726+$D726-$E726+$F726-$G726)</f>
        <v/>
      </c>
      <c r="K726" s="124">
        <f>IF($A726="","",MAX(0,$B726-$J726))</f>
        <v/>
      </c>
      <c r="L726" s="124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  <c r="U726" s="124">
        <f>IF($N726="","",$Q726*$R726)</f>
        <v/>
      </c>
    </row>
    <row r="727" ht="15" customHeight="1" s="80">
      <c r="J727" s="124">
        <f>IF($A727="","",$B727+$C727+$D727-$E727+$F727-$G727)</f>
        <v/>
      </c>
      <c r="K727" s="124">
        <f>IF($A727="","",MAX(0,$B727-$J727))</f>
        <v/>
      </c>
      <c r="L727" s="124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  <c r="U727" s="124">
        <f>IF($N727="","",$Q727*$R727)</f>
        <v/>
      </c>
    </row>
    <row r="728" ht="15" customHeight="1" s="80">
      <c r="J728" s="124">
        <f>IF($A728="","",$B728+$C728+$D728-$E728+$F728-$G728)</f>
        <v/>
      </c>
      <c r="K728" s="124">
        <f>IF($A728="","",MAX(0,$B728-$J728))</f>
        <v/>
      </c>
      <c r="L728" s="124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  <c r="U728" s="124">
        <f>IF($N728="","",$Q728*$R728)</f>
        <v/>
      </c>
    </row>
    <row r="729" ht="15" customHeight="1" s="80">
      <c r="J729" s="124">
        <f>IF($A729="","",$B729+$C729+$D729-$E729+$F729-$G729)</f>
        <v/>
      </c>
      <c r="K729" s="124">
        <f>IF($A729="","",MAX(0,$B729-$J729))</f>
        <v/>
      </c>
      <c r="L729" s="124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  <c r="U729" s="124">
        <f>IF($N729="","",$Q729*$R729)</f>
        <v/>
      </c>
    </row>
    <row r="730" ht="15" customHeight="1" s="80">
      <c r="J730" s="124">
        <f>IF($A730="","",$B730+$C730+$D730-$E730+$F730-$G730)</f>
        <v/>
      </c>
      <c r="K730" s="124">
        <f>IF($A730="","",MAX(0,$B730-$J730))</f>
        <v/>
      </c>
      <c r="L730" s="124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  <c r="U730" s="124">
        <f>IF($N730="","",$Q730*$R730)</f>
        <v/>
      </c>
    </row>
    <row r="731" ht="15" customHeight="1" s="80">
      <c r="J731" s="124">
        <f>IF($A731="","",$B731+$C731+$D731-$E731+$F731-$G731)</f>
        <v/>
      </c>
      <c r="K731" s="124">
        <f>IF($A731="","",MAX(0,$B731-$J731))</f>
        <v/>
      </c>
      <c r="L731" s="124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  <c r="U731" s="124">
        <f>IF($N731="","",$Q731*$R731)</f>
        <v/>
      </c>
    </row>
    <row r="732" ht="15" customHeight="1" s="80">
      <c r="J732" s="124">
        <f>IF($A732="","",$B732+$C732+$D732-$E732+$F732-$G732)</f>
        <v/>
      </c>
      <c r="K732" s="124">
        <f>IF($A732="","",MAX(0,$B732-$J732))</f>
        <v/>
      </c>
      <c r="L732" s="124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  <c r="U732" s="124">
        <f>IF($N732="","",$Q732*$R732)</f>
        <v/>
      </c>
    </row>
    <row r="733" ht="15" customHeight="1" s="80">
      <c r="J733" s="124">
        <f>IF($A733="","",$B733+$C733+$D733-$E733+$F733-$G733)</f>
        <v/>
      </c>
      <c r="K733" s="124">
        <f>IF($A733="","",MAX(0,$B733-$J733))</f>
        <v/>
      </c>
      <c r="L733" s="124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  <c r="U733" s="124">
        <f>IF($N733="","",$Q733*$R733)</f>
        <v/>
      </c>
    </row>
    <row r="734" ht="15" customHeight="1" s="80">
      <c r="J734" s="124">
        <f>IF($A734="","",$B734+$C734+$D734-$E734+$F734-$G734)</f>
        <v/>
      </c>
      <c r="K734" s="124">
        <f>IF($A734="","",MAX(0,$B734-$J734))</f>
        <v/>
      </c>
      <c r="L734" s="124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  <c r="U734" s="124">
        <f>IF($N734="","",$Q734*$R734)</f>
        <v/>
      </c>
    </row>
    <row r="735" ht="15" customHeight="1" s="80">
      <c r="J735" s="124">
        <f>IF($A735="","",$B735+$C735+$D735-$E735+$F735-$G735)</f>
        <v/>
      </c>
      <c r="K735" s="124">
        <f>IF($A735="","",MAX(0,$B735-$J735))</f>
        <v/>
      </c>
      <c r="L735" s="124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  <c r="U735" s="124">
        <f>IF($N735="","",$Q735*$R735)</f>
        <v/>
      </c>
    </row>
    <row r="736" ht="15" customHeight="1" s="80">
      <c r="J736" s="124">
        <f>IF($A736="","",$B736+$C736+$D736-$E736+$F736-$G736)</f>
        <v/>
      </c>
      <c r="K736" s="124">
        <f>IF($A736="","",MAX(0,$B736-$J736))</f>
        <v/>
      </c>
      <c r="L736" s="124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  <c r="U736" s="124">
        <f>IF($N736="","",$Q736*$R736)</f>
        <v/>
      </c>
    </row>
    <row r="737" ht="15" customHeight="1" s="80">
      <c r="J737" s="124">
        <f>IF($A737="","",$B737+$C737+$D737-$E737+$F737-$G737)</f>
        <v/>
      </c>
      <c r="K737" s="124">
        <f>IF($A737="","",MAX(0,$B737-$J737))</f>
        <v/>
      </c>
      <c r="L737" s="124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  <c r="U737" s="124">
        <f>IF($N737="","",$Q737*$R737)</f>
        <v/>
      </c>
    </row>
    <row r="738" ht="15" customHeight="1" s="80">
      <c r="J738" s="124">
        <f>IF($A738="","",$B738+$C738+$D738-$E738+$F738-$G738)</f>
        <v/>
      </c>
      <c r="K738" s="124">
        <f>IF($A738="","",MAX(0,$B738-$J738))</f>
        <v/>
      </c>
      <c r="L738" s="124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  <c r="U738" s="124">
        <f>IF($N738="","",$Q738*$R738)</f>
        <v/>
      </c>
    </row>
    <row r="739" ht="15" customHeight="1" s="80">
      <c r="J739" s="124">
        <f>IF($A739="","",$B739+$C739+$D739-$E739+$F739-$G739)</f>
        <v/>
      </c>
      <c r="K739" s="124">
        <f>IF($A739="","",MAX(0,$B739-$J739))</f>
        <v/>
      </c>
      <c r="L739" s="124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  <c r="U739" s="124">
        <f>IF($N739="","",$Q739*$R739)</f>
        <v/>
      </c>
    </row>
    <row r="740" ht="15" customHeight="1" s="80">
      <c r="J740" s="124">
        <f>IF($A740="","",$B740+$C740+$D740-$E740+$F740-$G740)</f>
        <v/>
      </c>
      <c r="K740" s="124">
        <f>IF($A740="","",MAX(0,$B740-$J740))</f>
        <v/>
      </c>
      <c r="L740" s="124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  <c r="U740" s="124">
        <f>IF($N740="","",$Q740*$R740)</f>
        <v/>
      </c>
    </row>
    <row r="741" ht="15" customHeight="1" s="80">
      <c r="J741" s="124">
        <f>IF($A741="","",$B741+$C741+$D741-$E741+$F741-$G741)</f>
        <v/>
      </c>
      <c r="K741" s="124">
        <f>IF($A741="","",MAX(0,$B741-$J741))</f>
        <v/>
      </c>
      <c r="L741" s="124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  <c r="U741" s="124">
        <f>IF($N741="","",$Q741*$R741)</f>
        <v/>
      </c>
    </row>
    <row r="742" ht="15" customHeight="1" s="80">
      <c r="J742" s="124">
        <f>IF($A742="","",$B742+$C742+$D742-$E742+$F742-$G742)</f>
        <v/>
      </c>
      <c r="K742" s="124">
        <f>IF($A742="","",MAX(0,$B742-$J742))</f>
        <v/>
      </c>
      <c r="L742" s="124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  <c r="U742" s="124">
        <f>IF($N742="","",$Q742*$R742)</f>
        <v/>
      </c>
    </row>
    <row r="743" ht="15" customHeight="1" s="80">
      <c r="J743" s="124">
        <f>IF($A743="","",$B743+$C743+$D743-$E743+$F743-$G743)</f>
        <v/>
      </c>
      <c r="K743" s="124">
        <f>IF($A743="","",MAX(0,$B743-$J743))</f>
        <v/>
      </c>
      <c r="L743" s="124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  <c r="U743" s="124">
        <f>IF($N743="","",$Q743*$R743)</f>
        <v/>
      </c>
    </row>
    <row r="744" ht="15" customHeight="1" s="80">
      <c r="J744" s="124">
        <f>IF($A744="","",$B744+$C744+$D744-$E744+$F744-$G744)</f>
        <v/>
      </c>
      <c r="K744" s="124">
        <f>IF($A744="","",MAX(0,$B744-$J744))</f>
        <v/>
      </c>
      <c r="L744" s="124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  <c r="U744" s="124">
        <f>IF($N744="","",$Q744*$R744)</f>
        <v/>
      </c>
    </row>
    <row r="745" ht="15" customHeight="1" s="80">
      <c r="J745" s="124">
        <f>IF($A745="","",$B745+$C745+$D745-$E745+$F745-$G745)</f>
        <v/>
      </c>
      <c r="K745" s="124">
        <f>IF($A745="","",MAX(0,$B745-$J745))</f>
        <v/>
      </c>
      <c r="L745" s="124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  <c r="U745" s="124">
        <f>IF($N745="","",$Q745*$R745)</f>
        <v/>
      </c>
    </row>
    <row r="746" ht="15" customHeight="1" s="80">
      <c r="J746" s="124">
        <f>IF($A746="","",$B746+$C746+$D746-$E746+$F746-$G746)</f>
        <v/>
      </c>
      <c r="K746" s="124">
        <f>IF($A746="","",MAX(0,$B746-$J746))</f>
        <v/>
      </c>
      <c r="L746" s="124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  <c r="U746" s="124">
        <f>IF($N746="","",$Q746*$R746)</f>
        <v/>
      </c>
    </row>
    <row r="747" ht="15" customHeight="1" s="80">
      <c r="J747" s="124">
        <f>IF($A747="","",$B747+$C747+$D747-$E747+$F747-$G747)</f>
        <v/>
      </c>
      <c r="K747" s="124">
        <f>IF($A747="","",MAX(0,$B747-$J747))</f>
        <v/>
      </c>
      <c r="L747" s="124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  <c r="U747" s="124">
        <f>IF($N747="","",$Q747*$R747)</f>
        <v/>
      </c>
    </row>
    <row r="748" ht="15" customHeight="1" s="80">
      <c r="J748" s="124">
        <f>IF($A748="","",$B748+$C748+$D748-$E748+$F748-$G748)</f>
        <v/>
      </c>
      <c r="K748" s="124">
        <f>IF($A748="","",MAX(0,$B748-$J748))</f>
        <v/>
      </c>
      <c r="L748" s="124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  <c r="U748" s="124">
        <f>IF($N748="","",$Q748*$R748)</f>
        <v/>
      </c>
    </row>
    <row r="749" ht="15" customHeight="1" s="80">
      <c r="J749" s="124">
        <f>IF($A749="","",$B749+$C749+$D749-$E749+$F749-$G749)</f>
        <v/>
      </c>
      <c r="K749" s="124">
        <f>IF($A749="","",MAX(0,$B749-$J749))</f>
        <v/>
      </c>
      <c r="L749" s="124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  <c r="U749" s="124">
        <f>IF($N749="","",$Q749*$R749)</f>
        <v/>
      </c>
    </row>
    <row r="750" ht="15" customHeight="1" s="80">
      <c r="J750" s="124">
        <f>IF($A750="","",$B750+$C750+$D750-$E750+$F750-$G750)</f>
        <v/>
      </c>
      <c r="K750" s="124">
        <f>IF($A750="","",MAX(0,$B750-$J750))</f>
        <v/>
      </c>
      <c r="L750" s="124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  <c r="U750" s="124">
        <f>IF($N750="","",$Q750*$R750)</f>
        <v/>
      </c>
    </row>
    <row r="751" ht="15" customHeight="1" s="80">
      <c r="J751" s="124">
        <f>IF($A751="","",$B751+$C751+$D751-$E751+$F751-$G751)</f>
        <v/>
      </c>
      <c r="K751" s="124">
        <f>IF($A751="","",MAX(0,$B751-$J751))</f>
        <v/>
      </c>
      <c r="L751" s="124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  <c r="U751" s="124">
        <f>IF($N751="","",$Q751*$R751)</f>
        <v/>
      </c>
    </row>
    <row r="752" ht="15" customHeight="1" s="80">
      <c r="J752" s="124">
        <f>IF($A752="","",$B752+$C752+$D752-$E752+$F752-$G752)</f>
        <v/>
      </c>
      <c r="K752" s="124">
        <f>IF($A752="","",MAX(0,$B752-$J752))</f>
        <v/>
      </c>
      <c r="L752" s="124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  <c r="U752" s="124">
        <f>IF($N752="","",$Q752*$R752)</f>
        <v/>
      </c>
    </row>
    <row r="753" ht="15" customHeight="1" s="80">
      <c r="J753" s="124">
        <f>IF($A753="","",$B753+$C753+$D753-$E753+$F753-$G753)</f>
        <v/>
      </c>
      <c r="K753" s="124">
        <f>IF($A753="","",MAX(0,$B753-$J753))</f>
        <v/>
      </c>
      <c r="L753" s="124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  <c r="U753" s="124">
        <f>IF($N753="","",$Q753*$R753)</f>
        <v/>
      </c>
    </row>
    <row r="754" ht="15" customHeight="1" s="80">
      <c r="J754" s="124">
        <f>IF($A754="","",$B754+$C754+$D754-$E754+$F754-$G754)</f>
        <v/>
      </c>
      <c r="K754" s="124">
        <f>IF($A754="","",MAX(0,$B754-$J754))</f>
        <v/>
      </c>
      <c r="L754" s="124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  <c r="U754" s="124">
        <f>IF($N754="","",$Q754*$R754)</f>
        <v/>
      </c>
    </row>
    <row r="755" ht="15" customHeight="1" s="80">
      <c r="J755" s="124">
        <f>IF($A755="","",$B755+$C755+$D755-$E755+$F755-$G755)</f>
        <v/>
      </c>
      <c r="K755" s="124">
        <f>IF($A755="","",MAX(0,$B755-$J755))</f>
        <v/>
      </c>
      <c r="L755" s="124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  <c r="U755" s="124">
        <f>IF($N755="","",$Q755*$R755)</f>
        <v/>
      </c>
    </row>
    <row r="756" ht="15" customHeight="1" s="80">
      <c r="J756" s="124">
        <f>IF($A756="","",$B756+$C756+$D756-$E756+$F756-$G756)</f>
        <v/>
      </c>
      <c r="K756" s="124">
        <f>IF($A756="","",MAX(0,$B756-$J756))</f>
        <v/>
      </c>
      <c r="L756" s="124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  <c r="U756" s="124">
        <f>IF($N756="","",$Q756*$R756)</f>
        <v/>
      </c>
    </row>
    <row r="757" ht="15" customHeight="1" s="80">
      <c r="J757" s="124">
        <f>IF($A757="","",$B757+$C757+$D757-$E757+$F757-$G757)</f>
        <v/>
      </c>
      <c r="K757" s="124">
        <f>IF($A757="","",MAX(0,$B757-$J757))</f>
        <v/>
      </c>
      <c r="L757" s="124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  <c r="U757" s="124">
        <f>IF($N757="","",$Q757*$R757)</f>
        <v/>
      </c>
    </row>
    <row r="758" ht="15" customHeight="1" s="80">
      <c r="J758" s="124">
        <f>IF($A758="","",$B758+$C758+$D758-$E758+$F758-$G758)</f>
        <v/>
      </c>
      <c r="K758" s="124">
        <f>IF($A758="","",MAX(0,$B758-$J758))</f>
        <v/>
      </c>
      <c r="L758" s="124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  <c r="U758" s="124">
        <f>IF($N758="","",$Q758*$R758)</f>
        <v/>
      </c>
    </row>
    <row r="759" ht="15" customHeight="1" s="80">
      <c r="J759" s="124">
        <f>IF($A759="","",$B759+$C759+$D759-$E759+$F759-$G759)</f>
        <v/>
      </c>
      <c r="K759" s="124">
        <f>IF($A759="","",MAX(0,$B759-$J759))</f>
        <v/>
      </c>
      <c r="L759" s="124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  <c r="U759" s="124">
        <f>IF($N759="","",$Q759*$R759)</f>
        <v/>
      </c>
    </row>
    <row r="760" ht="15" customHeight="1" s="80">
      <c r="J760" s="124">
        <f>IF($A760="","",$B760+$C760+$D760-$E760+$F760-$G760)</f>
        <v/>
      </c>
      <c r="K760" s="124">
        <f>IF($A760="","",MAX(0,$B760-$J760))</f>
        <v/>
      </c>
      <c r="L760" s="124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  <c r="U760" s="124">
        <f>IF($N760="","",$Q760*$R760)</f>
        <v/>
      </c>
    </row>
    <row r="761" ht="15" customHeight="1" s="80">
      <c r="J761" s="124">
        <f>IF($A761="","",$B761+$C761+$D761-$E761+$F761-$G761)</f>
        <v/>
      </c>
      <c r="K761" s="124">
        <f>IF($A761="","",MAX(0,$B761-$J761))</f>
        <v/>
      </c>
      <c r="L761" s="124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  <c r="U761" s="124">
        <f>IF($N761="","",$Q761*$R761)</f>
        <v/>
      </c>
    </row>
    <row r="762" ht="15" customHeight="1" s="80">
      <c r="J762" s="124">
        <f>IF($A762="","",$B762+$C762+$D762-$E762+$F762-$G762)</f>
        <v/>
      </c>
      <c r="K762" s="124">
        <f>IF($A762="","",MAX(0,$B762-$J762))</f>
        <v/>
      </c>
      <c r="L762" s="124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  <c r="U762" s="124">
        <f>IF($N762="","",$Q762*$R762)</f>
        <v/>
      </c>
    </row>
    <row r="763" ht="15" customHeight="1" s="80">
      <c r="J763" s="124">
        <f>IF($A763="","",$B763+$C763+$D763-$E763+$F763-$G763)</f>
        <v/>
      </c>
      <c r="K763" s="124">
        <f>IF($A763="","",MAX(0,$B763-$J763))</f>
        <v/>
      </c>
      <c r="L763" s="124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  <c r="U763" s="124">
        <f>IF($N763="","",$Q763*$R763)</f>
        <v/>
      </c>
    </row>
    <row r="764" ht="15" customHeight="1" s="80">
      <c r="J764" s="124">
        <f>IF($A764="","",$B764+$C764+$D764-$E764+$F764-$G764)</f>
        <v/>
      </c>
      <c r="K764" s="124">
        <f>IF($A764="","",MAX(0,$B764-$J764))</f>
        <v/>
      </c>
      <c r="L764" s="124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  <c r="U764" s="124">
        <f>IF($N764="","",$Q764*$R764)</f>
        <v/>
      </c>
    </row>
    <row r="765" ht="15" customHeight="1" s="80">
      <c r="J765" s="124">
        <f>IF($A765="","",$B765+$C765+$D765-$E765+$F765-$G765)</f>
        <v/>
      </c>
      <c r="K765" s="124">
        <f>IF($A765="","",MAX(0,$B765-$J765))</f>
        <v/>
      </c>
      <c r="L765" s="124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  <c r="U765" s="124">
        <f>IF($N765="","",$Q765*$R765)</f>
        <v/>
      </c>
    </row>
    <row r="766" ht="15" customHeight="1" s="80">
      <c r="J766" s="124">
        <f>IF($A766="","",$B766+$C766+$D766-$E766+$F766-$G766)</f>
        <v/>
      </c>
      <c r="K766" s="124">
        <f>IF($A766="","",MAX(0,$B766-$J766))</f>
        <v/>
      </c>
      <c r="L766" s="124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  <c r="U766" s="124">
        <f>IF($N766="","",$Q766*$R766)</f>
        <v/>
      </c>
    </row>
    <row r="767" ht="15" customHeight="1" s="80">
      <c r="J767" s="124">
        <f>IF($A767="","",$B767+$C767+$D767-$E767+$F767-$G767)</f>
        <v/>
      </c>
      <c r="K767" s="124">
        <f>IF($A767="","",MAX(0,$B767-$J767))</f>
        <v/>
      </c>
      <c r="L767" s="124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  <c r="U767" s="124">
        <f>IF($N767="","",$Q767*$R767)</f>
        <v/>
      </c>
    </row>
    <row r="768" ht="15" customHeight="1" s="80">
      <c r="J768" s="124">
        <f>IF($A768="","",$B768+$C768+$D768-$E768+$F768-$G768)</f>
        <v/>
      </c>
      <c r="K768" s="124">
        <f>IF($A768="","",MAX(0,$B768-$J768))</f>
        <v/>
      </c>
      <c r="L768" s="124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  <c r="U768" s="124">
        <f>IF($N768="","",$Q768*$R768)</f>
        <v/>
      </c>
    </row>
    <row r="769" ht="15" customHeight="1" s="80">
      <c r="J769" s="124">
        <f>IF($A769="","",$B769+$C769+$D769-$E769+$F769-$G769)</f>
        <v/>
      </c>
      <c r="K769" s="124">
        <f>IF($A769="","",MAX(0,$B769-$J769))</f>
        <v/>
      </c>
      <c r="L769" s="124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  <c r="U769" s="124">
        <f>IF($N769="","",$Q769*$R769)</f>
        <v/>
      </c>
    </row>
    <row r="770" ht="15" customHeight="1" s="80">
      <c r="J770" s="124">
        <f>IF($A770="","",$B770+$C770+$D770-$E770+$F770-$G770)</f>
        <v/>
      </c>
      <c r="K770" s="124">
        <f>IF($A770="","",MAX(0,$B770-$J770))</f>
        <v/>
      </c>
      <c r="L770" s="124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  <c r="U770" s="124">
        <f>IF($N770="","",$Q770*$R770)</f>
        <v/>
      </c>
    </row>
    <row r="771" ht="15" customHeight="1" s="80">
      <c r="J771" s="124">
        <f>IF($A771="","",$B771+$C771+$D771-$E771+$F771-$G771)</f>
        <v/>
      </c>
      <c r="K771" s="124">
        <f>IF($A771="","",MAX(0,$B771-$J771))</f>
        <v/>
      </c>
      <c r="L771" s="124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  <c r="U771" s="124">
        <f>IF($N771="","",$Q771*$R771)</f>
        <v/>
      </c>
    </row>
    <row r="772" ht="15" customHeight="1" s="80">
      <c r="J772" s="124">
        <f>IF($A772="","",$B772+$C772+$D772-$E772+$F772-$G772)</f>
        <v/>
      </c>
      <c r="K772" s="124">
        <f>IF($A772="","",MAX(0,$B772-$J772))</f>
        <v/>
      </c>
      <c r="L772" s="124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  <c r="U772" s="124">
        <f>IF($N772="","",$Q772*$R772)</f>
        <v/>
      </c>
    </row>
    <row r="773" ht="15" customHeight="1" s="80">
      <c r="J773" s="124">
        <f>IF($A773="","",$B773+$C773+$D773-$E773+$F773-$G773)</f>
        <v/>
      </c>
      <c r="K773" s="124">
        <f>IF($A773="","",MAX(0,$B773-$J773))</f>
        <v/>
      </c>
      <c r="L773" s="124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  <c r="U773" s="124">
        <f>IF($N773="","",$Q773*$R773)</f>
        <v/>
      </c>
    </row>
    <row r="774" ht="15" customHeight="1" s="80">
      <c r="J774" s="124">
        <f>IF($A774="","",$B774+$C774+$D774-$E774+$F774-$G774)</f>
        <v/>
      </c>
      <c r="K774" s="124">
        <f>IF($A774="","",MAX(0,$B774-$J774))</f>
        <v/>
      </c>
      <c r="L774" s="124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  <c r="U774" s="124">
        <f>IF($N774="","",$Q774*$R774)</f>
        <v/>
      </c>
    </row>
    <row r="775" ht="15" customHeight="1" s="80">
      <c r="J775" s="124">
        <f>IF($A775="","",$B775+$C775+$D775-$E775+$F775-$G775)</f>
        <v/>
      </c>
      <c r="K775" s="124">
        <f>IF($A775="","",MAX(0,$B775-$J775))</f>
        <v/>
      </c>
      <c r="L775" s="124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  <c r="U775" s="124">
        <f>IF($N775="","",$Q775*$R775)</f>
        <v/>
      </c>
    </row>
    <row r="776" ht="15" customHeight="1" s="80">
      <c r="J776" s="124">
        <f>IF($A776="","",$B776+$C776+$D776-$E776+$F776-$G776)</f>
        <v/>
      </c>
      <c r="K776" s="124">
        <f>IF($A776="","",MAX(0,$B776-$J776))</f>
        <v/>
      </c>
      <c r="L776" s="124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  <c r="U776" s="124">
        <f>IF($N776="","",$Q776*$R776)</f>
        <v/>
      </c>
    </row>
    <row r="777" ht="15" customHeight="1" s="80">
      <c r="J777" s="124">
        <f>IF($A777="","",$B777+$C777+$D777-$E777+$F777-$G777)</f>
        <v/>
      </c>
      <c r="K777" s="124">
        <f>IF($A777="","",MAX(0,$B777-$J777))</f>
        <v/>
      </c>
      <c r="L777" s="124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  <c r="U777" s="124">
        <f>IF($N777="","",$Q777*$R777)</f>
        <v/>
      </c>
    </row>
    <row r="778" ht="15" customHeight="1" s="80">
      <c r="J778" s="124">
        <f>IF($A778="","",$B778+$C778+$D778-$E778+$F778-$G778)</f>
        <v/>
      </c>
      <c r="K778" s="124">
        <f>IF($A778="","",MAX(0,$B778-$J778))</f>
        <v/>
      </c>
      <c r="L778" s="124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  <c r="U778" s="124">
        <f>IF($N778="","",$Q778*$R778)</f>
        <v/>
      </c>
    </row>
    <row r="779" ht="15" customHeight="1" s="80">
      <c r="J779" s="124">
        <f>IF($A779="","",$B779+$C779+$D779-$E779+$F779-$G779)</f>
        <v/>
      </c>
      <c r="K779" s="124">
        <f>IF($A779="","",MAX(0,$B779-$J779))</f>
        <v/>
      </c>
      <c r="L779" s="124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  <c r="U779" s="124">
        <f>IF($N779="","",$Q779*$R779)</f>
        <v/>
      </c>
    </row>
    <row r="780" ht="15" customHeight="1" s="80">
      <c r="J780" s="124">
        <f>IF($A780="","",$B780+$C780+$D780-$E780+$F780-$G780)</f>
        <v/>
      </c>
      <c r="K780" s="124">
        <f>IF($A780="","",MAX(0,$B780-$J780))</f>
        <v/>
      </c>
      <c r="L780" s="124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  <c r="U780" s="124">
        <f>IF($N780="","",$Q780*$R780)</f>
        <v/>
      </c>
    </row>
    <row r="781" ht="15" customHeight="1" s="80">
      <c r="J781" s="124">
        <f>IF($A781="","",$B781+$C781+$D781-$E781+$F781-$G781)</f>
        <v/>
      </c>
      <c r="K781" s="124">
        <f>IF($A781="","",MAX(0,$B781-$J781))</f>
        <v/>
      </c>
      <c r="L781" s="124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  <c r="U781" s="124">
        <f>IF($N781="","",$Q781*$R781)</f>
        <v/>
      </c>
    </row>
    <row r="782" ht="15" customHeight="1" s="80">
      <c r="J782" s="124">
        <f>IF($A782="","",$B782+$C782+$D782-$E782+$F782-$G782)</f>
        <v/>
      </c>
      <c r="K782" s="124">
        <f>IF($A782="","",MAX(0,$B782-$J782))</f>
        <v/>
      </c>
      <c r="L782" s="124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  <c r="U782" s="124">
        <f>IF($N782="","",$Q782*$R782)</f>
        <v/>
      </c>
    </row>
    <row r="783" ht="15" customHeight="1" s="80">
      <c r="J783" s="124">
        <f>IF($A783="","",$B783+$C783+$D783-$E783+$F783-$G783)</f>
        <v/>
      </c>
      <c r="K783" s="124">
        <f>IF($A783="","",MAX(0,$B783-$J783))</f>
        <v/>
      </c>
      <c r="L783" s="124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  <c r="U783" s="124">
        <f>IF($N783="","",$Q783*$R783)</f>
        <v/>
      </c>
    </row>
    <row r="784" ht="15" customHeight="1" s="80">
      <c r="J784" s="124">
        <f>IF($A784="","",$B784+$C784+$D784-$E784+$F784-$G784)</f>
        <v/>
      </c>
      <c r="K784" s="124">
        <f>IF($A784="","",MAX(0,$B784-$J784))</f>
        <v/>
      </c>
      <c r="L784" s="124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  <c r="U784" s="124">
        <f>IF($N784="","",$Q784*$R784)</f>
        <v/>
      </c>
    </row>
    <row r="785" ht="15" customHeight="1" s="80">
      <c r="J785" s="124">
        <f>IF($A785="","",$B785+$C785+$D785-$E785+$F785-$G785)</f>
        <v/>
      </c>
      <c r="K785" s="124">
        <f>IF($A785="","",MAX(0,$B785-$J785))</f>
        <v/>
      </c>
      <c r="L785" s="124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  <c r="U785" s="124">
        <f>IF($N785="","",$Q785*$R785)</f>
        <v/>
      </c>
    </row>
    <row r="786" ht="15" customHeight="1" s="80">
      <c r="J786" s="124">
        <f>IF($A786="","",$B786+$C786+$D786-$E786+$F786-$G786)</f>
        <v/>
      </c>
      <c r="K786" s="124">
        <f>IF($A786="","",MAX(0,$B786-$J786))</f>
        <v/>
      </c>
      <c r="L786" s="124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  <c r="U786" s="124">
        <f>IF($N786="","",$Q786*$R786)</f>
        <v/>
      </c>
    </row>
    <row r="787" ht="15" customHeight="1" s="80">
      <c r="J787" s="124">
        <f>IF($A787="","",$B787+$C787+$D787-$E787+$F787-$G787)</f>
        <v/>
      </c>
      <c r="K787" s="124">
        <f>IF($A787="","",MAX(0,$B787-$J787))</f>
        <v/>
      </c>
      <c r="L787" s="124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  <c r="U787" s="124">
        <f>IF($N787="","",$Q787*$R787)</f>
        <v/>
      </c>
    </row>
    <row r="788" ht="15" customHeight="1" s="80">
      <c r="J788" s="124">
        <f>IF($A788="","",$B788+$C788+$D788-$E788+$F788-$G788)</f>
        <v/>
      </c>
      <c r="K788" s="124">
        <f>IF($A788="","",MAX(0,$B788-$J788))</f>
        <v/>
      </c>
      <c r="L788" s="124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  <c r="U788" s="124">
        <f>IF($N788="","",$Q788*$R788)</f>
        <v/>
      </c>
    </row>
    <row r="789" ht="15" customHeight="1" s="80">
      <c r="J789" s="124">
        <f>IF($A789="","",$B789+$C789+$D789-$E789+$F789-$G789)</f>
        <v/>
      </c>
      <c r="K789" s="124">
        <f>IF($A789="","",MAX(0,$B789-$J789))</f>
        <v/>
      </c>
      <c r="L789" s="124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  <c r="U789" s="124">
        <f>IF($N789="","",$Q789*$R789)</f>
        <v/>
      </c>
    </row>
    <row r="790" ht="15" customHeight="1" s="80">
      <c r="J790" s="124">
        <f>IF($A790="","",$B790+$C790+$D790-$E790+$F790-$G790)</f>
        <v/>
      </c>
      <c r="K790" s="124">
        <f>IF($A790="","",MAX(0,$B790-$J790))</f>
        <v/>
      </c>
      <c r="L790" s="124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  <c r="U790" s="124">
        <f>IF($N790="","",$Q790*$R790)</f>
        <v/>
      </c>
    </row>
    <row r="791" ht="15" customHeight="1" s="80">
      <c r="J791" s="124">
        <f>IF($A791="","",$B791+$C791+$D791-$E791+$F791-$G791)</f>
        <v/>
      </c>
      <c r="K791" s="124">
        <f>IF($A791="","",MAX(0,$B791-$J791))</f>
        <v/>
      </c>
      <c r="L791" s="124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  <c r="U791" s="124">
        <f>IF($N791="","",$Q791*$R791)</f>
        <v/>
      </c>
    </row>
    <row r="792" ht="15" customHeight="1" s="80">
      <c r="J792" s="124">
        <f>IF($A792="","",$B792+$C792+$D792-$E792+$F792-$G792)</f>
        <v/>
      </c>
      <c r="K792" s="124">
        <f>IF($A792="","",MAX(0,$B792-$J792))</f>
        <v/>
      </c>
      <c r="L792" s="124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  <c r="U792" s="124">
        <f>IF($N792="","",$Q792*$R792)</f>
        <v/>
      </c>
    </row>
    <row r="793" ht="15" customHeight="1" s="80">
      <c r="J793" s="124">
        <f>IF($A793="","",$B793+$C793+$D793-$E793+$F793-$G793)</f>
        <v/>
      </c>
      <c r="K793" s="124">
        <f>IF($A793="","",MAX(0,$B793-$J793))</f>
        <v/>
      </c>
      <c r="L793" s="124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  <c r="U793" s="124">
        <f>IF($N793="","",$Q793*$R793)</f>
        <v/>
      </c>
    </row>
    <row r="794" ht="15" customHeight="1" s="80">
      <c r="J794" s="124">
        <f>IF($A794="","",$B794+$C794+$D794-$E794+$F794-$G794)</f>
        <v/>
      </c>
      <c r="K794" s="124">
        <f>IF($A794="","",MAX(0,$B794-$J794))</f>
        <v/>
      </c>
      <c r="L794" s="124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  <c r="U794" s="124">
        <f>IF($N794="","",$Q794*$R794)</f>
        <v/>
      </c>
    </row>
    <row r="795" ht="15" customHeight="1" s="80">
      <c r="J795" s="124">
        <f>IF($A795="","",$B795+$C795+$D795-$E795+$F795-$G795)</f>
        <v/>
      </c>
      <c r="K795" s="124">
        <f>IF($A795="","",MAX(0,$B795-$J795))</f>
        <v/>
      </c>
      <c r="L795" s="124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  <c r="U795" s="124">
        <f>IF($N795="","",$Q795*$R795)</f>
        <v/>
      </c>
    </row>
    <row r="796" ht="15" customHeight="1" s="80">
      <c r="J796" s="124">
        <f>IF($A796="","",$B796+$C796+$D796-$E796+$F796-$G796)</f>
        <v/>
      </c>
      <c r="K796" s="124">
        <f>IF($A796="","",MAX(0,$B796-$J796))</f>
        <v/>
      </c>
      <c r="L796" s="124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  <c r="U796" s="124">
        <f>IF($N796="","",$Q796*$R796)</f>
        <v/>
      </c>
    </row>
    <row r="797" ht="15" customHeight="1" s="80">
      <c r="J797" s="124">
        <f>IF($A797="","",$B797+$C797+$D797-$E797+$F797-$G797)</f>
        <v/>
      </c>
      <c r="K797" s="124">
        <f>IF($A797="","",MAX(0,$B797-$J797))</f>
        <v/>
      </c>
      <c r="L797" s="124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  <c r="U797" s="124">
        <f>IF($N797="","",$Q797*$R797)</f>
        <v/>
      </c>
    </row>
    <row r="798" ht="15" customHeight="1" s="80">
      <c r="J798" s="124">
        <f>IF($A798="","",$B798+$C798+$D798-$E798+$F798-$G798)</f>
        <v/>
      </c>
      <c r="K798" s="124">
        <f>IF($A798="","",MAX(0,$B798-$J798))</f>
        <v/>
      </c>
      <c r="L798" s="124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  <c r="U798" s="124">
        <f>IF($N798="","",$Q798*$R798)</f>
        <v/>
      </c>
    </row>
    <row r="799" ht="15" customHeight="1" s="80">
      <c r="J799" s="124">
        <f>IF($A799="","",$B799+$C799+$D799-$E799+$F799-$G799)</f>
        <v/>
      </c>
      <c r="K799" s="124">
        <f>IF($A799="","",MAX(0,$B799-$J799))</f>
        <v/>
      </c>
      <c r="L799" s="124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  <c r="U799" s="124">
        <f>IF($N799="","",$Q799*$R799)</f>
        <v/>
      </c>
    </row>
    <row r="800" ht="15" customHeight="1" s="80">
      <c r="J800" s="124">
        <f>IF($A800="","",$B800+$C800+$D800-$E800+$F800-$G800)</f>
        <v/>
      </c>
      <c r="K800" s="124">
        <f>IF($A800="","",MAX(0,$B800-$J800))</f>
        <v/>
      </c>
      <c r="L800" s="124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  <c r="U800" s="124">
        <f>IF($N800="","",$Q800*$R800)</f>
        <v/>
      </c>
    </row>
    <row r="801" ht="15" customHeight="1" s="80">
      <c r="J801" s="124">
        <f>IF($A801="","",$B801+$C801+$D801-$E801+$F801-$G801)</f>
        <v/>
      </c>
      <c r="K801" s="124">
        <f>IF($A801="","",MAX(0,$B801-$J801))</f>
        <v/>
      </c>
      <c r="L801" s="124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  <c r="U801" s="124">
        <f>IF($N801="","",$Q801*$R801)</f>
        <v/>
      </c>
    </row>
    <row r="802" ht="15" customHeight="1" s="80">
      <c r="J802" s="124">
        <f>IF($A802="","",$B802+$C802+$D802-$E802+$F802-$G802)</f>
        <v/>
      </c>
      <c r="K802" s="124">
        <f>IF($A802="","",MAX(0,$B802-$J802))</f>
        <v/>
      </c>
      <c r="L802" s="124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  <c r="U802" s="124">
        <f>IF($N802="","",$Q802*$R802)</f>
        <v/>
      </c>
    </row>
    <row r="803" ht="15" customHeight="1" s="80">
      <c r="J803" s="124">
        <f>IF($A803="","",$B803+$C803+$D803-$E803+$F803-$G803)</f>
        <v/>
      </c>
      <c r="K803" s="124">
        <f>IF($A803="","",MAX(0,$B803-$J803))</f>
        <v/>
      </c>
      <c r="L803" s="124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  <c r="U803" s="124">
        <f>IF($N803="","",$Q803*$R803)</f>
        <v/>
      </c>
    </row>
    <row r="804" ht="15" customHeight="1" s="80">
      <c r="J804" s="124">
        <f>IF($A804="","",$B804+$C804+$D804-$E804+$F804-$G804)</f>
        <v/>
      </c>
      <c r="K804" s="124">
        <f>IF($A804="","",MAX(0,$B804-$J804))</f>
        <v/>
      </c>
      <c r="L804" s="124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  <c r="U804" s="124">
        <f>IF($N804="","",$Q804*$R804)</f>
        <v/>
      </c>
    </row>
    <row r="805" ht="15" customHeight="1" s="80">
      <c r="J805" s="124">
        <f>IF($A805="","",$B805+$C805+$D805-$E805+$F805-$G805)</f>
        <v/>
      </c>
      <c r="K805" s="124">
        <f>IF($A805="","",MAX(0,$B805-$J805))</f>
        <v/>
      </c>
      <c r="L805" s="124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  <c r="U805" s="124">
        <f>IF($N805="","",$Q805*$R805)</f>
        <v/>
      </c>
    </row>
    <row r="806" ht="15" customHeight="1" s="80">
      <c r="J806" s="124">
        <f>IF($A806="","",$B806+$C806+$D806-$E806+$F806-$G806)</f>
        <v/>
      </c>
      <c r="K806" s="124">
        <f>IF($A806="","",MAX(0,$B806-$J806))</f>
        <v/>
      </c>
      <c r="L806" s="124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  <c r="U806" s="124">
        <f>IF($N806="","",$Q806*$R806)</f>
        <v/>
      </c>
    </row>
    <row r="807" ht="15" customHeight="1" s="80">
      <c r="J807" s="124">
        <f>IF($A807="","",$B807+$C807+$D807-$E807+$F807-$G807)</f>
        <v/>
      </c>
      <c r="K807" s="124">
        <f>IF($A807="","",MAX(0,$B807-$J807))</f>
        <v/>
      </c>
      <c r="L807" s="124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  <c r="U807" s="124">
        <f>IF($N807="","",$Q807*$R807)</f>
        <v/>
      </c>
    </row>
    <row r="808" ht="15" customHeight="1" s="80">
      <c r="J808" s="124">
        <f>IF($A808="","",$B808+$C808+$D808-$E808+$F808-$G808)</f>
        <v/>
      </c>
      <c r="K808" s="124">
        <f>IF($A808="","",MAX(0,$B808-$J808))</f>
        <v/>
      </c>
      <c r="L808" s="124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  <c r="U808" s="124">
        <f>IF($N808="","",$Q808*$R808)</f>
        <v/>
      </c>
    </row>
    <row r="809" ht="15" customHeight="1" s="80">
      <c r="J809" s="124">
        <f>IF($A809="","",$B809+$C809+$D809-$E809+$F809-$G809)</f>
        <v/>
      </c>
      <c r="K809" s="124">
        <f>IF($A809="","",MAX(0,$B809-$J809))</f>
        <v/>
      </c>
      <c r="L809" s="124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  <c r="U809" s="124">
        <f>IF($N809="","",$Q809*$R809)</f>
        <v/>
      </c>
    </row>
    <row r="810" ht="15" customHeight="1" s="80">
      <c r="J810" s="124">
        <f>IF($A810="","",$B810+$C810+$D810-$E810+$F810-$G810)</f>
        <v/>
      </c>
      <c r="K810" s="124">
        <f>IF($A810="","",MAX(0,$B810-$J810))</f>
        <v/>
      </c>
      <c r="L810" s="124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  <c r="U810" s="124">
        <f>IF($N810="","",$Q810*$R810)</f>
        <v/>
      </c>
    </row>
    <row r="811" ht="15" customHeight="1" s="80">
      <c r="J811" s="124">
        <f>IF($A811="","",$B811+$C811+$D811-$E811+$F811-$G811)</f>
        <v/>
      </c>
      <c r="K811" s="124">
        <f>IF($A811="","",MAX(0,$B811-$J811))</f>
        <v/>
      </c>
      <c r="L811" s="124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  <c r="U811" s="124">
        <f>IF($N811="","",$Q811*$R811)</f>
        <v/>
      </c>
    </row>
    <row r="812" ht="15" customHeight="1" s="80">
      <c r="J812" s="124">
        <f>IF($A812="","",$B812+$C812+$D812-$E812+$F812-$G812)</f>
        <v/>
      </c>
      <c r="K812" s="124">
        <f>IF($A812="","",MAX(0,$B812-$J812))</f>
        <v/>
      </c>
      <c r="L812" s="124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  <c r="U812" s="124">
        <f>IF($N812="","",$Q812*$R812)</f>
        <v/>
      </c>
    </row>
    <row r="813" ht="15" customHeight="1" s="80">
      <c r="J813" s="124">
        <f>IF($A813="","",$B813+$C813+$D813-$E813+$F813-$G813)</f>
        <v/>
      </c>
      <c r="K813" s="124">
        <f>IF($A813="","",MAX(0,$B813-$J813))</f>
        <v/>
      </c>
      <c r="L813" s="124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  <c r="U813" s="124">
        <f>IF($N813="","",$Q813*$R813)</f>
        <v/>
      </c>
    </row>
    <row r="814" ht="15" customHeight="1" s="80">
      <c r="J814" s="124">
        <f>IF($A814="","",$B814+$C814+$D814-$E814+$F814-$G814)</f>
        <v/>
      </c>
      <c r="K814" s="124">
        <f>IF($A814="","",MAX(0,$B814-$J814))</f>
        <v/>
      </c>
      <c r="L814" s="124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  <c r="U814" s="124">
        <f>IF($N814="","",$Q814*$R814)</f>
        <v/>
      </c>
    </row>
    <row r="815" ht="15" customHeight="1" s="80">
      <c r="J815" s="124">
        <f>IF($A815="","",$B815+$C815+$D815-$E815+$F815-$G815)</f>
        <v/>
      </c>
      <c r="K815" s="124">
        <f>IF($A815="","",MAX(0,$B815-$J815))</f>
        <v/>
      </c>
      <c r="L815" s="124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  <c r="U815" s="124">
        <f>IF($N815="","",$Q815*$R815)</f>
        <v/>
      </c>
    </row>
    <row r="816" ht="15" customHeight="1" s="80">
      <c r="J816" s="124">
        <f>IF($A816="","",$B816+$C816+$D816-$E816+$F816-$G816)</f>
        <v/>
      </c>
      <c r="K816" s="124">
        <f>IF($A816="","",MAX(0,$B816-$J816))</f>
        <v/>
      </c>
      <c r="L816" s="124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  <c r="U816" s="124">
        <f>IF($N816="","",$Q816*$R816)</f>
        <v/>
      </c>
    </row>
    <row r="817" ht="15" customHeight="1" s="80">
      <c r="J817" s="124">
        <f>IF($A817="","",$B817+$C817+$D817-$E817+$F817-$G817)</f>
        <v/>
      </c>
      <c r="K817" s="124">
        <f>IF($A817="","",MAX(0,$B817-$J817))</f>
        <v/>
      </c>
      <c r="L817" s="124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  <c r="U817" s="124">
        <f>IF($N817="","",$Q817*$R817)</f>
        <v/>
      </c>
    </row>
    <row r="818" ht="15" customHeight="1" s="80">
      <c r="J818" s="124">
        <f>IF($A818="","",$B818+$C818+$D818-$E818+$F818-$G818)</f>
        <v/>
      </c>
      <c r="K818" s="124">
        <f>IF($A818="","",MAX(0,$B818-$J818))</f>
        <v/>
      </c>
      <c r="L818" s="124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  <c r="U818" s="124">
        <f>IF($N818="","",$Q818*$R818)</f>
        <v/>
      </c>
    </row>
    <row r="819" ht="15" customHeight="1" s="80">
      <c r="J819" s="124">
        <f>IF($A819="","",$B819+$C819+$D819-$E819+$F819-$G819)</f>
        <v/>
      </c>
      <c r="K819" s="124">
        <f>IF($A819="","",MAX(0,$B819-$J819))</f>
        <v/>
      </c>
      <c r="L819" s="124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  <c r="U819" s="124">
        <f>IF($N819="","",$Q819*$R819)</f>
        <v/>
      </c>
    </row>
    <row r="820" ht="15" customHeight="1" s="80">
      <c r="J820" s="124">
        <f>IF($A820="","",$B820+$C820+$D820-$E820+$F820-$G820)</f>
        <v/>
      </c>
      <c r="K820" s="124">
        <f>IF($A820="","",MAX(0,$B820-$J820))</f>
        <v/>
      </c>
      <c r="L820" s="124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  <c r="U820" s="124">
        <f>IF($N820="","",$Q820*$R820)</f>
        <v/>
      </c>
    </row>
    <row r="821" ht="15" customHeight="1" s="80">
      <c r="J821" s="124">
        <f>IF($A821="","",$B821+$C821+$D821-$E821+$F821-$G821)</f>
        <v/>
      </c>
      <c r="K821" s="124">
        <f>IF($A821="","",MAX(0,$B821-$J821))</f>
        <v/>
      </c>
      <c r="L821" s="124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  <c r="U821" s="124">
        <f>IF($N821="","",$Q821*$R821)</f>
        <v/>
      </c>
    </row>
    <row r="822" ht="15" customHeight="1" s="80">
      <c r="J822" s="124">
        <f>IF($A822="","",$B822+$C822+$D822-$E822+$F822-$G822)</f>
        <v/>
      </c>
      <c r="K822" s="124">
        <f>IF($A822="","",MAX(0,$B822-$J822))</f>
        <v/>
      </c>
      <c r="L822" s="124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  <c r="U822" s="124">
        <f>IF($N822="","",$Q822*$R822)</f>
        <v/>
      </c>
    </row>
    <row r="823" ht="15" customHeight="1" s="80">
      <c r="J823" s="124">
        <f>IF($A823="","",$B823+$C823+$D823-$E823+$F823-$G823)</f>
        <v/>
      </c>
      <c r="K823" s="124">
        <f>IF($A823="","",MAX(0,$B823-$J823))</f>
        <v/>
      </c>
      <c r="L823" s="124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  <c r="U823" s="124">
        <f>IF($N823="","",$Q823*$R823)</f>
        <v/>
      </c>
    </row>
    <row r="824" ht="15" customHeight="1" s="80">
      <c r="J824" s="124">
        <f>IF($A824="","",$B824+$C824+$D824-$E824+$F824-$G824)</f>
        <v/>
      </c>
      <c r="K824" s="124">
        <f>IF($A824="","",MAX(0,$B824-$J824))</f>
        <v/>
      </c>
      <c r="L824" s="124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  <c r="U824" s="124">
        <f>IF($N824="","",$Q824*$R824)</f>
        <v/>
      </c>
    </row>
    <row r="825" ht="15" customHeight="1" s="80">
      <c r="J825" s="124">
        <f>IF($A825="","",$B825+$C825+$D825-$E825+$F825-$G825)</f>
        <v/>
      </c>
      <c r="K825" s="124">
        <f>IF($A825="","",MAX(0,$B825-$J825))</f>
        <v/>
      </c>
      <c r="L825" s="124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  <c r="U825" s="124">
        <f>IF($N825="","",$Q825*$R825)</f>
        <v/>
      </c>
    </row>
    <row r="826" ht="15" customHeight="1" s="80">
      <c r="J826" s="124">
        <f>IF($A826="","",$B826+$C826+$D826-$E826+$F826-$G826)</f>
        <v/>
      </c>
      <c r="K826" s="124">
        <f>IF($A826="","",MAX(0,$B826-$J826))</f>
        <v/>
      </c>
      <c r="L826" s="124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  <c r="U826" s="124">
        <f>IF($N826="","",$Q826*$R826)</f>
        <v/>
      </c>
    </row>
    <row r="827" ht="15" customHeight="1" s="80">
      <c r="J827" s="124">
        <f>IF($A827="","",$B827+$C827+$D827-$E827+$F827-$G827)</f>
        <v/>
      </c>
      <c r="K827" s="124">
        <f>IF($A827="","",MAX(0,$B827-$J827))</f>
        <v/>
      </c>
      <c r="L827" s="124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  <c r="U827" s="124">
        <f>IF($N827="","",$Q827*$R827)</f>
        <v/>
      </c>
    </row>
    <row r="828" ht="15" customHeight="1" s="80">
      <c r="J828" s="124">
        <f>IF($A828="","",$B828+$C828+$D828-$E828+$F828-$G828)</f>
        <v/>
      </c>
      <c r="K828" s="124">
        <f>IF($A828="","",MAX(0,$B828-$J828))</f>
        <v/>
      </c>
      <c r="L828" s="124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  <c r="U828" s="124">
        <f>IF($N828="","",$Q828*$R828)</f>
        <v/>
      </c>
    </row>
    <row r="829" ht="15" customHeight="1" s="80">
      <c r="J829" s="124">
        <f>IF($A829="","",$B829+$C829+$D829-$E829+$F829-$G829)</f>
        <v/>
      </c>
      <c r="K829" s="124">
        <f>IF($A829="","",MAX(0,$B829-$J829))</f>
        <v/>
      </c>
      <c r="L829" s="124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  <c r="U829" s="124">
        <f>IF($N829="","",$Q829*$R829)</f>
        <v/>
      </c>
    </row>
    <row r="830" ht="15" customHeight="1" s="80">
      <c r="J830" s="124">
        <f>IF($A830="","",$B830+$C830+$D830-$E830+$F830-$G830)</f>
        <v/>
      </c>
      <c r="K830" s="124">
        <f>IF($A830="","",MAX(0,$B830-$J830))</f>
        <v/>
      </c>
      <c r="L830" s="124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  <c r="U830" s="124">
        <f>IF($N830="","",$Q830*$R830)</f>
        <v/>
      </c>
    </row>
    <row r="831" ht="15" customHeight="1" s="80">
      <c r="J831" s="124">
        <f>IF($A831="","",$B831+$C831+$D831-$E831+$F831-$G831)</f>
        <v/>
      </c>
      <c r="K831" s="124">
        <f>IF($A831="","",MAX(0,$B831-$J831))</f>
        <v/>
      </c>
      <c r="L831" s="124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  <c r="U831" s="124">
        <f>IF($N831="","",$Q831*$R831)</f>
        <v/>
      </c>
    </row>
    <row r="832" ht="15" customHeight="1" s="80">
      <c r="J832" s="124">
        <f>IF($A832="","",$B832+$C832+$D832-$E832+$F832-$G832)</f>
        <v/>
      </c>
      <c r="K832" s="124">
        <f>IF($A832="","",MAX(0,$B832-$J832))</f>
        <v/>
      </c>
      <c r="L832" s="124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  <c r="U832" s="124">
        <f>IF($N832="","",$Q832*$R832)</f>
        <v/>
      </c>
    </row>
    <row r="833" ht="15" customHeight="1" s="80">
      <c r="J833" s="124">
        <f>IF($A833="","",$B833+$C833+$D833-$E833+$F833-$G833)</f>
        <v/>
      </c>
      <c r="K833" s="124">
        <f>IF($A833="","",MAX(0,$B833-$J833))</f>
        <v/>
      </c>
      <c r="L833" s="124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  <c r="U833" s="124">
        <f>IF($N833="","",$Q833*$R833)</f>
        <v/>
      </c>
    </row>
    <row r="834" ht="15" customHeight="1" s="80">
      <c r="J834" s="124">
        <f>IF($A834="","",$B834+$C834+$D834-$E834+$F834-$G834)</f>
        <v/>
      </c>
      <c r="K834" s="124">
        <f>IF($A834="","",MAX(0,$B834-$J834))</f>
        <v/>
      </c>
      <c r="L834" s="124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  <c r="U834" s="124">
        <f>IF($N834="","",$Q834*$R834)</f>
        <v/>
      </c>
    </row>
    <row r="835" ht="15" customHeight="1" s="80">
      <c r="J835" s="124">
        <f>IF($A835="","",$B835+$C835+$D835-$E835+$F835-$G835)</f>
        <v/>
      </c>
      <c r="K835" s="124">
        <f>IF($A835="","",MAX(0,$B835-$J835))</f>
        <v/>
      </c>
      <c r="L835" s="124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  <c r="U835" s="124">
        <f>IF($N835="","",$Q835*$R835)</f>
        <v/>
      </c>
    </row>
    <row r="836" ht="15" customHeight="1" s="80">
      <c r="J836" s="124">
        <f>IF($A836="","",$B836+$C836+$D836-$E836+$F836-$G836)</f>
        <v/>
      </c>
      <c r="K836" s="124">
        <f>IF($A836="","",MAX(0,$B836-$J836))</f>
        <v/>
      </c>
      <c r="L836" s="124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  <c r="U836" s="124">
        <f>IF($N836="","",$Q836*$R836)</f>
        <v/>
      </c>
    </row>
    <row r="837" ht="15" customHeight="1" s="80">
      <c r="J837" s="124">
        <f>IF($A837="","",$B837+$C837+$D837-$E837+$F837-$G837)</f>
        <v/>
      </c>
      <c r="K837" s="124">
        <f>IF($A837="","",MAX(0,$B837-$J837))</f>
        <v/>
      </c>
      <c r="L837" s="124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  <c r="U837" s="124">
        <f>IF($N837="","",$Q837*$R837)</f>
        <v/>
      </c>
    </row>
    <row r="838" ht="15" customHeight="1" s="80">
      <c r="J838" s="124">
        <f>IF($A838="","",$B838+$C838+$D838-$E838+$F838-$G838)</f>
        <v/>
      </c>
      <c r="K838" s="124">
        <f>IF($A838="","",MAX(0,$B838-$J838))</f>
        <v/>
      </c>
      <c r="L838" s="124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  <c r="U838" s="124">
        <f>IF($N838="","",$Q838*$R838)</f>
        <v/>
      </c>
    </row>
    <row r="839" ht="15" customHeight="1" s="80">
      <c r="J839" s="124">
        <f>IF($A839="","",$B839+$C839+$D839-$E839+$F839-$G839)</f>
        <v/>
      </c>
      <c r="K839" s="124">
        <f>IF($A839="","",MAX(0,$B839-$J839))</f>
        <v/>
      </c>
      <c r="L839" s="124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  <c r="U839" s="124">
        <f>IF($N839="","",$Q839*$R839)</f>
        <v/>
      </c>
    </row>
    <row r="840" ht="15" customHeight="1" s="80">
      <c r="J840" s="124">
        <f>IF($A840="","",$B840+$C840+$D840-$E840+$F840-$G840)</f>
        <v/>
      </c>
      <c r="K840" s="124">
        <f>IF($A840="","",MAX(0,$B840-$J840))</f>
        <v/>
      </c>
      <c r="L840" s="124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  <c r="U840" s="124">
        <f>IF($N840="","",$Q840*$R840)</f>
        <v/>
      </c>
    </row>
    <row r="841" ht="15" customHeight="1" s="80">
      <c r="J841" s="124">
        <f>IF($A841="","",$B841+$C841+$D841-$E841+$F841-$G841)</f>
        <v/>
      </c>
      <c r="K841" s="124">
        <f>IF($A841="","",MAX(0,$B841-$J841))</f>
        <v/>
      </c>
      <c r="L841" s="124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  <c r="U841" s="124">
        <f>IF($N841="","",$Q841*$R841)</f>
        <v/>
      </c>
    </row>
    <row r="842" ht="15" customHeight="1" s="80">
      <c r="J842" s="124">
        <f>IF($A842="","",$B842+$C842+$D842-$E842+$F842-$G842)</f>
        <v/>
      </c>
      <c r="K842" s="124">
        <f>IF($A842="","",MAX(0,$B842-$J842))</f>
        <v/>
      </c>
      <c r="L842" s="124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  <c r="U842" s="124">
        <f>IF($N842="","",$Q842*$R842)</f>
        <v/>
      </c>
    </row>
    <row r="843" ht="15" customHeight="1" s="80">
      <c r="J843" s="124">
        <f>IF($A843="","",$B843+$C843+$D843-$E843+$F843-$G843)</f>
        <v/>
      </c>
      <c r="K843" s="124">
        <f>IF($A843="","",MAX(0,$B843-$J843))</f>
        <v/>
      </c>
      <c r="L843" s="124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  <c r="U843" s="124">
        <f>IF($N843="","",$Q843*$R843)</f>
        <v/>
      </c>
    </row>
    <row r="844" ht="15" customHeight="1" s="80">
      <c r="J844" s="124">
        <f>IF($A844="","",$B844+$C844+$D844-$E844+$F844-$G844)</f>
        <v/>
      </c>
      <c r="K844" s="124">
        <f>IF($A844="","",MAX(0,$B844-$J844))</f>
        <v/>
      </c>
      <c r="L844" s="124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  <c r="U844" s="124">
        <f>IF($N844="","",$Q844*$R844)</f>
        <v/>
      </c>
    </row>
    <row r="845" ht="15" customHeight="1" s="80">
      <c r="J845" s="124">
        <f>IF($A845="","",$B845+$C845+$D845-$E845+$F845-$G845)</f>
        <v/>
      </c>
      <c r="K845" s="124">
        <f>IF($A845="","",MAX(0,$B845-$J845))</f>
        <v/>
      </c>
      <c r="L845" s="124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  <c r="U845" s="124">
        <f>IF($N845="","",$Q845*$R845)</f>
        <v/>
      </c>
    </row>
    <row r="846" ht="15" customHeight="1" s="80">
      <c r="J846" s="124">
        <f>IF($A846="","",$B846+$C846+$D846-$E846+$F846-$G846)</f>
        <v/>
      </c>
      <c r="K846" s="124">
        <f>IF($A846="","",MAX(0,$B846-$J846))</f>
        <v/>
      </c>
      <c r="L846" s="124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  <c r="U846" s="124">
        <f>IF($N846="","",$Q846*$R846)</f>
        <v/>
      </c>
    </row>
    <row r="847" ht="15" customHeight="1" s="80">
      <c r="J847" s="124">
        <f>IF($A847="","",$B847+$C847+$D847-$E847+$F847-$G847)</f>
        <v/>
      </c>
      <c r="K847" s="124">
        <f>IF($A847="","",MAX(0,$B847-$J847))</f>
        <v/>
      </c>
      <c r="L847" s="124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  <c r="U847" s="124">
        <f>IF($N847="","",$Q847*$R847)</f>
        <v/>
      </c>
    </row>
    <row r="848" ht="15" customHeight="1" s="80">
      <c r="J848" s="124">
        <f>IF($A848="","",$B848+$C848+$D848-$E848+$F848-$G848)</f>
        <v/>
      </c>
      <c r="K848" s="124">
        <f>IF($A848="","",MAX(0,$B848-$J848))</f>
        <v/>
      </c>
      <c r="L848" s="124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  <c r="U848" s="124">
        <f>IF($N848="","",$Q848*$R848)</f>
        <v/>
      </c>
    </row>
    <row r="849" ht="15" customHeight="1" s="80">
      <c r="J849" s="124">
        <f>IF($A849="","",$B849+$C849+$D849-$E849+$F849-$G849)</f>
        <v/>
      </c>
      <c r="K849" s="124">
        <f>IF($A849="","",MAX(0,$B849-$J849))</f>
        <v/>
      </c>
      <c r="L849" s="124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  <c r="U849" s="124">
        <f>IF($N849="","",$Q849*$R849)</f>
        <v/>
      </c>
    </row>
    <row r="850" ht="15" customHeight="1" s="80">
      <c r="J850" s="124">
        <f>IF($A850="","",$B850+$C850+$D850-$E850+$F850-$G850)</f>
        <v/>
      </c>
      <c r="K850" s="124">
        <f>IF($A850="","",MAX(0,$B850-$J850))</f>
        <v/>
      </c>
      <c r="L850" s="124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  <c r="U850" s="124">
        <f>IF($N850="","",$Q850*$R850)</f>
        <v/>
      </c>
    </row>
    <row r="851" ht="15" customHeight="1" s="80">
      <c r="J851" s="124">
        <f>IF($A851="","",$B851+$C851+$D851-$E851+$F851-$G851)</f>
        <v/>
      </c>
      <c r="K851" s="124">
        <f>IF($A851="","",MAX(0,$B851-$J851))</f>
        <v/>
      </c>
      <c r="L851" s="124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  <c r="U851" s="124">
        <f>IF($N851="","",$Q851*$R851)</f>
        <v/>
      </c>
    </row>
    <row r="852" ht="15" customHeight="1" s="80">
      <c r="J852" s="124">
        <f>IF($A852="","",$B852+$C852+$D852-$E852+$F852-$G852)</f>
        <v/>
      </c>
      <c r="K852" s="124">
        <f>IF($A852="","",MAX(0,$B852-$J852))</f>
        <v/>
      </c>
      <c r="L852" s="124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  <c r="U852" s="124">
        <f>IF($N852="","",$Q852*$R852)</f>
        <v/>
      </c>
    </row>
    <row r="853" ht="15" customHeight="1" s="80">
      <c r="J853" s="124">
        <f>IF($A853="","",$B853+$C853+$D853-$E853+$F853-$G853)</f>
        <v/>
      </c>
      <c r="K853" s="124">
        <f>IF($A853="","",MAX(0,$B853-$J853))</f>
        <v/>
      </c>
      <c r="L853" s="124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  <c r="U853" s="124">
        <f>IF($N853="","",$Q853*$R853)</f>
        <v/>
      </c>
    </row>
    <row r="854" ht="15" customHeight="1" s="80">
      <c r="J854" s="124">
        <f>IF($A854="","",$B854+$C854+$D854-$E854+$F854-$G854)</f>
        <v/>
      </c>
      <c r="K854" s="124">
        <f>IF($A854="","",MAX(0,$B854-$J854))</f>
        <v/>
      </c>
      <c r="L854" s="124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  <c r="U854" s="124">
        <f>IF($N854="","",$Q854*$R854)</f>
        <v/>
      </c>
    </row>
    <row r="855" ht="15" customHeight="1" s="80">
      <c r="J855" s="124">
        <f>IF($A855="","",$B855+$C855+$D855-$E855+$F855-$G855)</f>
        <v/>
      </c>
      <c r="K855" s="124">
        <f>IF($A855="","",MAX(0,$B855-$J855))</f>
        <v/>
      </c>
      <c r="L855" s="124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  <c r="U855" s="124">
        <f>IF($N855="","",$Q855*$R855)</f>
        <v/>
      </c>
    </row>
    <row r="856" ht="15" customHeight="1" s="80">
      <c r="J856" s="124">
        <f>IF($A856="","",$B856+$C856+$D856-$E856+$F856-$G856)</f>
        <v/>
      </c>
      <c r="K856" s="124">
        <f>IF($A856="","",MAX(0,$B856-$J856))</f>
        <v/>
      </c>
      <c r="L856" s="124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  <c r="U856" s="124">
        <f>IF($N856="","",$Q856*$R856)</f>
        <v/>
      </c>
    </row>
    <row r="857" ht="15" customHeight="1" s="80">
      <c r="J857" s="124">
        <f>IF($A857="","",$B857+$C857+$D857-$E857+$F857-$G857)</f>
        <v/>
      </c>
      <c r="K857" s="124">
        <f>IF($A857="","",MAX(0,$B857-$J857))</f>
        <v/>
      </c>
      <c r="L857" s="124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  <c r="U857" s="124">
        <f>IF($N857="","",$Q857*$R857)</f>
        <v/>
      </c>
    </row>
    <row r="858" ht="15" customHeight="1" s="80">
      <c r="J858" s="124">
        <f>IF($A858="","",$B858+$C858+$D858-$E858+$F858-$G858)</f>
        <v/>
      </c>
      <c r="K858" s="124">
        <f>IF($A858="","",MAX(0,$B858-$J858))</f>
        <v/>
      </c>
      <c r="L858" s="124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  <c r="U858" s="124">
        <f>IF($N858="","",$Q858*$R858)</f>
        <v/>
      </c>
    </row>
    <row r="859" ht="15" customHeight="1" s="80">
      <c r="J859" s="124">
        <f>IF($A859="","",$B859+$C859+$D859-$E859+$F859-$G859)</f>
        <v/>
      </c>
      <c r="K859" s="124">
        <f>IF($A859="","",MAX(0,$B859-$J859))</f>
        <v/>
      </c>
      <c r="L859" s="124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  <c r="U859" s="124">
        <f>IF($N859="","",$Q859*$R859)</f>
        <v/>
      </c>
    </row>
    <row r="860" ht="15" customHeight="1" s="80">
      <c r="J860" s="124">
        <f>IF($A860="","",$B860+$C860+$D860-$E860+$F860-$G860)</f>
        <v/>
      </c>
      <c r="K860" s="124">
        <f>IF($A860="","",MAX(0,$B860-$J860))</f>
        <v/>
      </c>
      <c r="L860" s="124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  <c r="U860" s="124">
        <f>IF($N860="","",$Q860*$R860)</f>
        <v/>
      </c>
    </row>
    <row r="861" ht="15" customHeight="1" s="80">
      <c r="J861" s="124">
        <f>IF($A861="","",$B861+$C861+$D861-$E861+$F861-$G861)</f>
        <v/>
      </c>
      <c r="K861" s="124">
        <f>IF($A861="","",MAX(0,$B861-$J861))</f>
        <v/>
      </c>
      <c r="L861" s="124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  <c r="U861" s="124">
        <f>IF($N861="","",$Q861*$R861)</f>
        <v/>
      </c>
    </row>
    <row r="862" ht="15" customHeight="1" s="80">
      <c r="J862" s="124">
        <f>IF($A862="","",$B862+$C862+$D862-$E862+$F862-$G862)</f>
        <v/>
      </c>
      <c r="K862" s="124">
        <f>IF($A862="","",MAX(0,$B862-$J862))</f>
        <v/>
      </c>
      <c r="L862" s="124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  <c r="U862" s="124">
        <f>IF($N862="","",$Q862*$R862)</f>
        <v/>
      </c>
    </row>
    <row r="863" ht="15" customHeight="1" s="80">
      <c r="J863" s="124">
        <f>IF($A863="","",$B863+$C863+$D863-$E863+$F863-$G863)</f>
        <v/>
      </c>
      <c r="K863" s="124">
        <f>IF($A863="","",MAX(0,$B863-$J863))</f>
        <v/>
      </c>
      <c r="L863" s="124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  <c r="U863" s="124">
        <f>IF($N863="","",$Q863*$R863)</f>
        <v/>
      </c>
    </row>
    <row r="864" ht="15" customHeight="1" s="80">
      <c r="J864" s="124">
        <f>IF($A864="","",$B864+$C864+$D864-$E864+$F864-$G864)</f>
        <v/>
      </c>
      <c r="K864" s="124">
        <f>IF($A864="","",MAX(0,$B864-$J864))</f>
        <v/>
      </c>
      <c r="L864" s="124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  <c r="U864" s="124">
        <f>IF($N864="","",$Q864*$R864)</f>
        <v/>
      </c>
    </row>
    <row r="865" ht="15" customHeight="1" s="80">
      <c r="J865" s="124">
        <f>IF($A865="","",$B865+$C865+$D865-$E865+$F865-$G865)</f>
        <v/>
      </c>
      <c r="K865" s="124">
        <f>IF($A865="","",MAX(0,$B865-$J865))</f>
        <v/>
      </c>
      <c r="L865" s="124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  <c r="U865" s="124">
        <f>IF($N865="","",$Q865*$R865)</f>
        <v/>
      </c>
    </row>
    <row r="866" ht="15" customHeight="1" s="80">
      <c r="J866" s="124">
        <f>IF($A866="","",$B866+$C866+$D866-$E866+$F866-$G866)</f>
        <v/>
      </c>
      <c r="K866" s="124">
        <f>IF($A866="","",MAX(0,$B866-$J866))</f>
        <v/>
      </c>
      <c r="L866" s="124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  <c r="U866" s="124">
        <f>IF($N866="","",$Q866*$R866)</f>
        <v/>
      </c>
    </row>
    <row r="867" ht="15" customHeight="1" s="80">
      <c r="J867" s="124">
        <f>IF($A867="","",$B867+$C867+$D867-$E867+$F867-$G867)</f>
        <v/>
      </c>
      <c r="K867" s="124">
        <f>IF($A867="","",MAX(0,$B867-$J867))</f>
        <v/>
      </c>
      <c r="L867" s="124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  <c r="U867" s="124">
        <f>IF($N867="","",$Q867*$R867)</f>
        <v/>
      </c>
    </row>
    <row r="868" ht="15" customHeight="1" s="80">
      <c r="J868" s="124">
        <f>IF($A868="","",$B868+$C868+$D868-$E868+$F868-$G868)</f>
        <v/>
      </c>
      <c r="K868" s="124">
        <f>IF($A868="","",MAX(0,$B868-$J868))</f>
        <v/>
      </c>
      <c r="L868" s="124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  <c r="U868" s="124">
        <f>IF($N868="","",$Q868*$R868)</f>
        <v/>
      </c>
    </row>
    <row r="869" ht="15" customHeight="1" s="80">
      <c r="J869" s="124">
        <f>IF($A869="","",$B869+$C869+$D869-$E869+$F869-$G869)</f>
        <v/>
      </c>
      <c r="K869" s="124">
        <f>IF($A869="","",MAX(0,$B869-$J869))</f>
        <v/>
      </c>
      <c r="L869" s="124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  <c r="U869" s="124">
        <f>IF($N869="","",$Q869*$R869)</f>
        <v/>
      </c>
    </row>
    <row r="870" ht="15" customHeight="1" s="80">
      <c r="J870" s="124">
        <f>IF($A870="","",$B870+$C870+$D870-$E870+$F870-$G870)</f>
        <v/>
      </c>
      <c r="K870" s="124">
        <f>IF($A870="","",MAX(0,$B870-$J870))</f>
        <v/>
      </c>
      <c r="L870" s="124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  <c r="U870" s="124">
        <f>IF($N870="","",$Q870*$R870)</f>
        <v/>
      </c>
    </row>
    <row r="871" ht="15" customHeight="1" s="80">
      <c r="J871" s="124">
        <f>IF($A871="","",$B871+$C871+$D871-$E871+$F871-$G871)</f>
        <v/>
      </c>
      <c r="K871" s="124">
        <f>IF($A871="","",MAX(0,$B871-$J871))</f>
        <v/>
      </c>
      <c r="L871" s="124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  <c r="U871" s="124">
        <f>IF($N871="","",$Q871*$R871)</f>
        <v/>
      </c>
    </row>
    <row r="872" ht="15" customHeight="1" s="80">
      <c r="J872" s="124">
        <f>IF($A872="","",$B872+$C872+$D872-$E872+$F872-$G872)</f>
        <v/>
      </c>
      <c r="K872" s="124">
        <f>IF($A872="","",MAX(0,$B872-$J872))</f>
        <v/>
      </c>
      <c r="L872" s="124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  <c r="U872" s="124">
        <f>IF($N872="","",$Q872*$R872)</f>
        <v/>
      </c>
    </row>
    <row r="873" ht="15" customHeight="1" s="80">
      <c r="J873" s="124">
        <f>IF($A873="","",$B873+$C873+$D873-$E873+$F873-$G873)</f>
        <v/>
      </c>
      <c r="K873" s="124">
        <f>IF($A873="","",MAX(0,$B873-$J873))</f>
        <v/>
      </c>
      <c r="L873" s="124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  <c r="U873" s="124">
        <f>IF($N873="","",$Q873*$R873)</f>
        <v/>
      </c>
    </row>
    <row r="874" ht="15" customHeight="1" s="80">
      <c r="J874" s="124">
        <f>IF($A874="","",$B874+$C874+$D874-$E874+$F874-$G874)</f>
        <v/>
      </c>
      <c r="K874" s="124">
        <f>IF($A874="","",MAX(0,$B874-$J874))</f>
        <v/>
      </c>
      <c r="L874" s="124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  <c r="U874" s="124">
        <f>IF($N874="","",$Q874*$R874)</f>
        <v/>
      </c>
    </row>
    <row r="875" ht="15" customHeight="1" s="80">
      <c r="J875" s="124">
        <f>IF($A875="","",$B875+$C875+$D875-$E875+$F875-$G875)</f>
        <v/>
      </c>
      <c r="K875" s="124">
        <f>IF($A875="","",MAX(0,$B875-$J875))</f>
        <v/>
      </c>
      <c r="L875" s="124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  <c r="U875" s="124">
        <f>IF($N875="","",$Q875*$R875)</f>
        <v/>
      </c>
    </row>
    <row r="876" ht="15" customHeight="1" s="80">
      <c r="J876" s="124">
        <f>IF($A876="","",$B876+$C876+$D876-$E876+$F876-$G876)</f>
        <v/>
      </c>
      <c r="K876" s="124">
        <f>IF($A876="","",MAX(0,$B876-$J876))</f>
        <v/>
      </c>
      <c r="L876" s="124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  <c r="U876" s="124">
        <f>IF($N876="","",$Q876*$R876)</f>
        <v/>
      </c>
    </row>
    <row r="877" ht="15" customHeight="1" s="80">
      <c r="J877" s="124">
        <f>IF($A877="","",$B877+$C877+$D877-$E877+$F877-$G877)</f>
        <v/>
      </c>
      <c r="K877" s="124">
        <f>IF($A877="","",MAX(0,$B877-$J877))</f>
        <v/>
      </c>
      <c r="L877" s="124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  <c r="U877" s="124">
        <f>IF($N877="","",$Q877*$R877)</f>
        <v/>
      </c>
    </row>
    <row r="878" ht="15" customHeight="1" s="80">
      <c r="J878" s="124">
        <f>IF($A878="","",$B878+$C878+$D878-$E878+$F878-$G878)</f>
        <v/>
      </c>
      <c r="K878" s="124">
        <f>IF($A878="","",MAX(0,$B878-$J878))</f>
        <v/>
      </c>
      <c r="L878" s="124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  <c r="U878" s="124">
        <f>IF($N878="","",$Q878*$R878)</f>
        <v/>
      </c>
    </row>
    <row r="879" ht="15" customHeight="1" s="80">
      <c r="J879" s="124">
        <f>IF($A879="","",$B879+$C879+$D879-$E879+$F879-$G879)</f>
        <v/>
      </c>
      <c r="K879" s="124">
        <f>IF($A879="","",MAX(0,$B879-$J879))</f>
        <v/>
      </c>
      <c r="L879" s="124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  <c r="U879" s="124">
        <f>IF($N879="","",$Q879*$R879)</f>
        <v/>
      </c>
    </row>
    <row r="880" ht="15" customHeight="1" s="80">
      <c r="J880" s="124">
        <f>IF($A880="","",$B880+$C880+$D880-$E880+$F880-$G880)</f>
        <v/>
      </c>
      <c r="K880" s="124">
        <f>IF($A880="","",MAX(0,$B880-$J880))</f>
        <v/>
      </c>
      <c r="L880" s="124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  <c r="U880" s="124">
        <f>IF($N880="","",$Q880*$R880)</f>
        <v/>
      </c>
    </row>
    <row r="881" ht="15" customHeight="1" s="80">
      <c r="J881" s="124">
        <f>IF($A881="","",$B881+$C881+$D881-$E881+$F881-$G881)</f>
        <v/>
      </c>
      <c r="K881" s="124">
        <f>IF($A881="","",MAX(0,$B881-$J881))</f>
        <v/>
      </c>
      <c r="L881" s="124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  <c r="U881" s="124">
        <f>IF($N881="","",$Q881*$R881)</f>
        <v/>
      </c>
    </row>
    <row r="882" ht="15" customHeight="1" s="80">
      <c r="J882" s="124">
        <f>IF($A882="","",$B882+$C882+$D882-$E882+$F882-$G882)</f>
        <v/>
      </c>
      <c r="K882" s="124">
        <f>IF($A882="","",MAX(0,$B882-$J882))</f>
        <v/>
      </c>
      <c r="L882" s="124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  <c r="U882" s="124">
        <f>IF($N882="","",$Q882*$R882)</f>
        <v/>
      </c>
    </row>
    <row r="883" ht="15" customHeight="1" s="80">
      <c r="J883" s="124">
        <f>IF($A883="","",$B883+$C883+$D883-$E883+$F883-$G883)</f>
        <v/>
      </c>
      <c r="K883" s="124">
        <f>IF($A883="","",MAX(0,$B883-$J883))</f>
        <v/>
      </c>
      <c r="L883" s="124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  <c r="U883" s="124">
        <f>IF($N883="","",$Q883*$R883)</f>
        <v/>
      </c>
    </row>
    <row r="884" ht="15" customHeight="1" s="80">
      <c r="J884" s="124">
        <f>IF($A884="","",$B884+$C884+$D884-$E884+$F884-$G884)</f>
        <v/>
      </c>
      <c r="K884" s="124">
        <f>IF($A884="","",MAX(0,$B884-$J884))</f>
        <v/>
      </c>
      <c r="L884" s="124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  <c r="U884" s="124">
        <f>IF($N884="","",$Q884*$R884)</f>
        <v/>
      </c>
    </row>
    <row r="885" ht="15" customHeight="1" s="80">
      <c r="J885" s="124">
        <f>IF($A885="","",$B885+$C885+$D885-$E885+$F885-$G885)</f>
        <v/>
      </c>
      <c r="K885" s="124">
        <f>IF($A885="","",MAX(0,$B885-$J885))</f>
        <v/>
      </c>
      <c r="L885" s="124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  <c r="U885" s="124">
        <f>IF($N885="","",$Q885*$R885)</f>
        <v/>
      </c>
    </row>
    <row r="886" ht="15" customHeight="1" s="80">
      <c r="J886" s="124">
        <f>IF($A886="","",$B886+$C886+$D886-$E886+$F886-$G886)</f>
        <v/>
      </c>
      <c r="K886" s="124">
        <f>IF($A886="","",MAX(0,$B886-$J886))</f>
        <v/>
      </c>
      <c r="L886" s="124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  <c r="U886" s="124">
        <f>IF($N886="","",$Q886*$R886)</f>
        <v/>
      </c>
    </row>
    <row r="887" ht="15" customHeight="1" s="80">
      <c r="J887" s="124">
        <f>IF($A887="","",$B887+$C887+$D887-$E887+$F887-$G887)</f>
        <v/>
      </c>
      <c r="K887" s="124">
        <f>IF($A887="","",MAX(0,$B887-$J887))</f>
        <v/>
      </c>
      <c r="L887" s="124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  <c r="U887" s="124">
        <f>IF($N887="","",$Q887*$R887)</f>
        <v/>
      </c>
    </row>
    <row r="888" ht="15" customHeight="1" s="80">
      <c r="J888" s="124">
        <f>IF($A888="","",$B888+$C888+$D888-$E888+$F888-$G888)</f>
        <v/>
      </c>
      <c r="K888" s="124">
        <f>IF($A888="","",MAX(0,$B888-$J888))</f>
        <v/>
      </c>
      <c r="L888" s="124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  <c r="U888" s="124">
        <f>IF($N888="","",$Q888*$R888)</f>
        <v/>
      </c>
    </row>
    <row r="889" ht="15" customHeight="1" s="80">
      <c r="J889" s="124">
        <f>IF($A889="","",$B889+$C889+$D889-$E889+$F889-$G889)</f>
        <v/>
      </c>
      <c r="K889" s="124">
        <f>IF($A889="","",MAX(0,$B889-$J889))</f>
        <v/>
      </c>
      <c r="L889" s="124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  <c r="U889" s="124">
        <f>IF($N889="","",$Q889*$R889)</f>
        <v/>
      </c>
    </row>
    <row r="890" ht="15" customHeight="1" s="80">
      <c r="J890" s="124">
        <f>IF($A890="","",$B890+$C890+$D890-$E890+$F890-$G890)</f>
        <v/>
      </c>
      <c r="K890" s="124">
        <f>IF($A890="","",MAX(0,$B890-$J890))</f>
        <v/>
      </c>
      <c r="L890" s="124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  <c r="U890" s="124">
        <f>IF($N890="","",$Q890*$R890)</f>
        <v/>
      </c>
    </row>
    <row r="891" ht="15" customHeight="1" s="80">
      <c r="J891" s="124">
        <f>IF($A891="","",$B891+$C891+$D891-$E891+$F891-$G891)</f>
        <v/>
      </c>
      <c r="K891" s="124">
        <f>IF($A891="","",MAX(0,$B891-$J891))</f>
        <v/>
      </c>
      <c r="L891" s="124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  <c r="U891" s="124">
        <f>IF($N891="","",$Q891*$R891)</f>
        <v/>
      </c>
    </row>
    <row r="892" ht="15" customHeight="1" s="80">
      <c r="J892" s="124">
        <f>IF($A892="","",$B892+$C892+$D892-$E892+$F892-$G892)</f>
        <v/>
      </c>
      <c r="K892" s="124">
        <f>IF($A892="","",MAX(0,$B892-$J892))</f>
        <v/>
      </c>
      <c r="L892" s="124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  <c r="U892" s="124">
        <f>IF($N892="","",$Q892*$R892)</f>
        <v/>
      </c>
    </row>
    <row r="893" ht="15" customHeight="1" s="80">
      <c r="J893" s="124">
        <f>IF($A893="","",$B893+$C893+$D893-$E893+$F893-$G893)</f>
        <v/>
      </c>
      <c r="K893" s="124">
        <f>IF($A893="","",MAX(0,$B893-$J893))</f>
        <v/>
      </c>
      <c r="L893" s="124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  <c r="U893" s="124">
        <f>IF($N893="","",$Q893*$R893)</f>
        <v/>
      </c>
    </row>
    <row r="894" ht="15" customHeight="1" s="80">
      <c r="J894" s="124">
        <f>IF($A894="","",$B894+$C894+$D894-$E894+$F894-$G894)</f>
        <v/>
      </c>
      <c r="K894" s="124">
        <f>IF($A894="","",MAX(0,$B894-$J894))</f>
        <v/>
      </c>
      <c r="L894" s="124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  <c r="U894" s="124">
        <f>IF($N894="","",$Q894*$R894)</f>
        <v/>
      </c>
    </row>
    <row r="895" ht="15" customHeight="1" s="80">
      <c r="J895" s="124">
        <f>IF($A895="","",$B895+$C895+$D895-$E895+$F895-$G895)</f>
        <v/>
      </c>
      <c r="K895" s="124">
        <f>IF($A895="","",MAX(0,$B895-$J895))</f>
        <v/>
      </c>
      <c r="L895" s="124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  <c r="U895" s="124">
        <f>IF($N895="","",$Q895*$R895)</f>
        <v/>
      </c>
    </row>
    <row r="896" ht="15" customHeight="1" s="80">
      <c r="J896" s="124">
        <f>IF($A896="","",$B896+$C896+$D896-$E896+$F896-$G896)</f>
        <v/>
      </c>
      <c r="K896" s="124">
        <f>IF($A896="","",MAX(0,$B896-$J896))</f>
        <v/>
      </c>
      <c r="L896" s="124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  <c r="U896" s="124">
        <f>IF($N896="","",$Q896*$R896)</f>
        <v/>
      </c>
    </row>
    <row r="897" ht="15" customHeight="1" s="80">
      <c r="J897" s="124">
        <f>IF($A897="","",$B897+$C897+$D897-$E897+$F897-$G897)</f>
        <v/>
      </c>
      <c r="K897" s="124">
        <f>IF($A897="","",MAX(0,$B897-$J897))</f>
        <v/>
      </c>
      <c r="L897" s="124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  <c r="U897" s="124">
        <f>IF($N897="","",$Q897*$R897)</f>
        <v/>
      </c>
    </row>
    <row r="898" ht="15" customHeight="1" s="80">
      <c r="J898" s="124">
        <f>IF($A898="","",$B898+$C898+$D898-$E898+$F898-$G898)</f>
        <v/>
      </c>
      <c r="K898" s="124">
        <f>IF($A898="","",MAX(0,$B898-$J898))</f>
        <v/>
      </c>
      <c r="L898" s="124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  <c r="U898" s="124">
        <f>IF($N898="","",$Q898*$R898)</f>
        <v/>
      </c>
    </row>
    <row r="899" ht="15" customHeight="1" s="80">
      <c r="J899" s="124">
        <f>IF($A899="","",$B899+$C899+$D899-$E899+$F899-$G899)</f>
        <v/>
      </c>
      <c r="K899" s="124">
        <f>IF($A899="","",MAX(0,$B899-$J899))</f>
        <v/>
      </c>
      <c r="L899" s="124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  <c r="U899" s="124">
        <f>IF($N899="","",$Q899*$R899)</f>
        <v/>
      </c>
    </row>
    <row r="900" ht="15" customHeight="1" s="80">
      <c r="J900" s="124">
        <f>IF($A900="","",$B900+$C900+$D900-$E900+$F900-$G900)</f>
        <v/>
      </c>
      <c r="K900" s="124">
        <f>IF($A900="","",MAX(0,$B900-$J900))</f>
        <v/>
      </c>
      <c r="L900" s="124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  <c r="U900" s="124">
        <f>IF($N900="","",$Q900*$R900)</f>
        <v/>
      </c>
    </row>
    <row r="901" ht="15" customHeight="1" s="80">
      <c r="J901" s="124">
        <f>IF($A901="","",$B901+$C901+$D901-$E901+$F901-$G901)</f>
        <v/>
      </c>
      <c r="K901" s="124">
        <f>IF($A901="","",MAX(0,$B901-$J901))</f>
        <v/>
      </c>
      <c r="L901" s="124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  <c r="U901" s="124">
        <f>IF($N901="","",$Q901*$R901)</f>
        <v/>
      </c>
    </row>
    <row r="902" ht="15" customHeight="1" s="80">
      <c r="J902" s="124">
        <f>IF($A902="","",$B902+$C902+$D902-$E902+$F902-$G902)</f>
        <v/>
      </c>
      <c r="K902" s="124">
        <f>IF($A902="","",MAX(0,$B902-$J902))</f>
        <v/>
      </c>
      <c r="L902" s="124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  <c r="U902" s="124">
        <f>IF($N902="","",$Q902*$R902)</f>
        <v/>
      </c>
    </row>
    <row r="903" ht="15" customHeight="1" s="80">
      <c r="J903" s="124">
        <f>IF($A903="","",$B903+$C903+$D903-$E903+$F903-$G903)</f>
        <v/>
      </c>
      <c r="K903" s="124">
        <f>IF($A903="","",MAX(0,$B903-$J903))</f>
        <v/>
      </c>
      <c r="L903" s="124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  <c r="U903" s="124">
        <f>IF($N903="","",$Q903*$R903)</f>
        <v/>
      </c>
    </row>
    <row r="904" ht="15" customHeight="1" s="80">
      <c r="J904" s="124">
        <f>IF($A904="","",$B904+$C904+$D904-$E904+$F904-$G904)</f>
        <v/>
      </c>
      <c r="K904" s="124">
        <f>IF($A904="","",MAX(0,$B904-$J904))</f>
        <v/>
      </c>
      <c r="L904" s="124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  <c r="U904" s="124">
        <f>IF($N904="","",$Q904*$R904)</f>
        <v/>
      </c>
    </row>
    <row r="905" ht="15" customHeight="1" s="80">
      <c r="J905" s="124">
        <f>IF($A905="","",$B905+$C905+$D905-$E905+$F905-$G905)</f>
        <v/>
      </c>
      <c r="K905" s="124">
        <f>IF($A905="","",MAX(0,$B905-$J905))</f>
        <v/>
      </c>
      <c r="L905" s="124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  <c r="U905" s="124">
        <f>IF($N905="","",$Q905*$R905)</f>
        <v/>
      </c>
    </row>
    <row r="906" ht="15" customHeight="1" s="80">
      <c r="J906" s="124">
        <f>IF($A906="","",$B906+$C906+$D906-$E906+$F906-$G906)</f>
        <v/>
      </c>
      <c r="K906" s="124">
        <f>IF($A906="","",MAX(0,$B906-$J906))</f>
        <v/>
      </c>
      <c r="L906" s="124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  <c r="U906" s="124">
        <f>IF($N906="","",$Q906*$R906)</f>
        <v/>
      </c>
    </row>
    <row r="907" ht="15" customHeight="1" s="80">
      <c r="J907" s="124">
        <f>IF($A907="","",$B907+$C907+$D907-$E907+$F907-$G907)</f>
        <v/>
      </c>
      <c r="K907" s="124">
        <f>IF($A907="","",MAX(0,$B907-$J907))</f>
        <v/>
      </c>
      <c r="L907" s="124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  <c r="U907" s="124">
        <f>IF($N907="","",$Q907*$R907)</f>
        <v/>
      </c>
    </row>
    <row r="908" ht="15" customHeight="1" s="80">
      <c r="J908" s="124">
        <f>IF($A908="","",$B908+$C908+$D908-$E908+$F908-$G908)</f>
        <v/>
      </c>
      <c r="K908" s="124">
        <f>IF($A908="","",MAX(0,$B908-$J908))</f>
        <v/>
      </c>
      <c r="L908" s="124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  <c r="U908" s="124">
        <f>IF($N908="","",$Q908*$R908)</f>
        <v/>
      </c>
    </row>
    <row r="909" ht="15" customHeight="1" s="80">
      <c r="J909" s="124">
        <f>IF($A909="","",$B909+$C909+$D909-$E909+$F909-$G909)</f>
        <v/>
      </c>
      <c r="K909" s="124">
        <f>IF($A909="","",MAX(0,$B909-$J909))</f>
        <v/>
      </c>
      <c r="L909" s="124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  <c r="U909" s="124">
        <f>IF($N909="","",$Q909*$R909)</f>
        <v/>
      </c>
    </row>
    <row r="910" ht="15" customHeight="1" s="80">
      <c r="J910" s="124">
        <f>IF($A910="","",$B910+$C910+$D910-$E910+$F910-$G910)</f>
        <v/>
      </c>
      <c r="K910" s="124">
        <f>IF($A910="","",MAX(0,$B910-$J910))</f>
        <v/>
      </c>
      <c r="L910" s="124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  <c r="U910" s="124">
        <f>IF($N910="","",$Q910*$R910)</f>
        <v/>
      </c>
    </row>
    <row r="911" ht="15" customHeight="1" s="80">
      <c r="J911" s="124">
        <f>IF($A911="","",$B911+$C911+$D911-$E911+$F911-$G911)</f>
        <v/>
      </c>
      <c r="K911" s="124">
        <f>IF($A911="","",MAX(0,$B911-$J911))</f>
        <v/>
      </c>
      <c r="L911" s="124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  <c r="U911" s="124">
        <f>IF($N911="","",$Q911*$R911)</f>
        <v/>
      </c>
    </row>
    <row r="912" ht="15" customHeight="1" s="80">
      <c r="J912" s="124">
        <f>IF($A912="","",$B912+$C912+$D912-$E912+$F912-$G912)</f>
        <v/>
      </c>
      <c r="K912" s="124">
        <f>IF($A912="","",MAX(0,$B912-$J912))</f>
        <v/>
      </c>
      <c r="L912" s="124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  <c r="U912" s="124">
        <f>IF($N912="","",$Q912*$R912)</f>
        <v/>
      </c>
    </row>
    <row r="913" ht="15" customHeight="1" s="80">
      <c r="J913" s="124">
        <f>IF($A913="","",$B913+$C913+$D913-$E913+$F913-$G913)</f>
        <v/>
      </c>
      <c r="K913" s="124">
        <f>IF($A913="","",MAX(0,$B913-$J913))</f>
        <v/>
      </c>
      <c r="L913" s="124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  <c r="U913" s="124">
        <f>IF($N913="","",$Q913*$R913)</f>
        <v/>
      </c>
    </row>
    <row r="914" ht="15" customHeight="1" s="80">
      <c r="J914" s="124">
        <f>IF($A914="","",$B914+$C914+$D914-$E914+$F914-$G914)</f>
        <v/>
      </c>
      <c r="K914" s="124">
        <f>IF($A914="","",MAX(0,$B914-$J914))</f>
        <v/>
      </c>
      <c r="L914" s="124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  <c r="U914" s="124">
        <f>IF($N914="","",$Q914*$R914)</f>
        <v/>
      </c>
    </row>
    <row r="915" ht="15" customHeight="1" s="80">
      <c r="J915" s="124">
        <f>IF($A915="","",$B915+$C915+$D915-$E915+$F915-$G915)</f>
        <v/>
      </c>
      <c r="K915" s="124">
        <f>IF($A915="","",MAX(0,$B915-$J915))</f>
        <v/>
      </c>
      <c r="L915" s="124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  <c r="U915" s="124">
        <f>IF($N915="","",$Q915*$R915)</f>
        <v/>
      </c>
    </row>
    <row r="916" ht="15" customHeight="1" s="80">
      <c r="J916" s="124">
        <f>IF($A916="","",$B916+$C916+$D916-$E916+$F916-$G916)</f>
        <v/>
      </c>
      <c r="K916" s="124">
        <f>IF($A916="","",MAX(0,$B916-$J916))</f>
        <v/>
      </c>
      <c r="L916" s="124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  <c r="U916" s="124">
        <f>IF($N916="","",$Q916*$R916)</f>
        <v/>
      </c>
    </row>
    <row r="917" ht="15" customHeight="1" s="80">
      <c r="J917" s="124">
        <f>IF($A917="","",$B917+$C917+$D917-$E917+$F917-$G917)</f>
        <v/>
      </c>
      <c r="K917" s="124">
        <f>IF($A917="","",MAX(0,$B917-$J917))</f>
        <v/>
      </c>
      <c r="L917" s="124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  <c r="U917" s="124">
        <f>IF($N917="","",$Q917*$R917)</f>
        <v/>
      </c>
    </row>
    <row r="918" ht="15" customHeight="1" s="80">
      <c r="J918" s="124">
        <f>IF($A918="","",$B918+$C918+$D918-$E918+$F918-$G918)</f>
        <v/>
      </c>
      <c r="K918" s="124">
        <f>IF($A918="","",MAX(0,$B918-$J918))</f>
        <v/>
      </c>
      <c r="L918" s="124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  <c r="U918" s="124">
        <f>IF($N918="","",$Q918*$R918)</f>
        <v/>
      </c>
    </row>
    <row r="919" ht="15" customHeight="1" s="80">
      <c r="J919" s="124">
        <f>IF($A919="","",$B919+$C919+$D919-$E919+$F919-$G919)</f>
        <v/>
      </c>
      <c r="K919" s="124">
        <f>IF($A919="","",MAX(0,$B919-$J919))</f>
        <v/>
      </c>
      <c r="L919" s="124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  <c r="U919" s="124">
        <f>IF($N919="","",$Q919*$R919)</f>
        <v/>
      </c>
    </row>
    <row r="920" ht="15" customHeight="1" s="80">
      <c r="J920" s="124">
        <f>IF($A920="","",$B920+$C920+$D920-$E920+$F920-$G920)</f>
        <v/>
      </c>
      <c r="K920" s="124">
        <f>IF($A920="","",MAX(0,$B920-$J920))</f>
        <v/>
      </c>
      <c r="L920" s="124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  <c r="U920" s="124">
        <f>IF($N920="","",$Q920*$R920)</f>
        <v/>
      </c>
    </row>
    <row r="921" ht="15" customHeight="1" s="80">
      <c r="J921" s="124">
        <f>IF($A921="","",$B921+$C921+$D921-$E921+$F921-$G921)</f>
        <v/>
      </c>
      <c r="K921" s="124">
        <f>IF($A921="","",MAX(0,$B921-$J921))</f>
        <v/>
      </c>
      <c r="L921" s="124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  <c r="U921" s="124">
        <f>IF($N921="","",$Q921*$R921)</f>
        <v/>
      </c>
    </row>
    <row r="922" ht="15" customHeight="1" s="80">
      <c r="J922" s="124">
        <f>IF($A922="","",$B922+$C922+$D922-$E922+$F922-$G922)</f>
        <v/>
      </c>
      <c r="K922" s="124">
        <f>IF($A922="","",MAX(0,$B922-$J922))</f>
        <v/>
      </c>
      <c r="L922" s="124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  <c r="U922" s="124">
        <f>IF($N922="","",$Q922*$R922)</f>
        <v/>
      </c>
    </row>
    <row r="923" ht="15" customHeight="1" s="80">
      <c r="J923" s="124">
        <f>IF($A923="","",$B923+$C923+$D923-$E923+$F923-$G923)</f>
        <v/>
      </c>
      <c r="K923" s="124">
        <f>IF($A923="","",MAX(0,$B923-$J923))</f>
        <v/>
      </c>
      <c r="L923" s="124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  <c r="U923" s="124">
        <f>IF($N923="","",$Q923*$R923)</f>
        <v/>
      </c>
    </row>
    <row r="924" ht="15" customHeight="1" s="80">
      <c r="J924" s="124">
        <f>IF($A924="","",$B924+$C924+$D924-$E924+$F924-$G924)</f>
        <v/>
      </c>
      <c r="K924" s="124">
        <f>IF($A924="","",MAX(0,$B924-$J924))</f>
        <v/>
      </c>
      <c r="L924" s="124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  <c r="U924" s="124">
        <f>IF($N924="","",$Q924*$R924)</f>
        <v/>
      </c>
    </row>
    <row r="925" ht="15" customHeight="1" s="80">
      <c r="J925" s="124">
        <f>IF($A925="","",$B925+$C925+$D925-$E925+$F925-$G925)</f>
        <v/>
      </c>
      <c r="K925" s="124">
        <f>IF($A925="","",MAX(0,$B925-$J925))</f>
        <v/>
      </c>
      <c r="L925" s="124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  <c r="U925" s="124">
        <f>IF($N925="","",$Q925*$R925)</f>
        <v/>
      </c>
    </row>
    <row r="926" ht="15" customHeight="1" s="80">
      <c r="J926" s="124">
        <f>IF($A926="","",$B926+$C926+$D926-$E926+$F926-$G926)</f>
        <v/>
      </c>
      <c r="K926" s="124">
        <f>IF($A926="","",MAX(0,$B926-$J926))</f>
        <v/>
      </c>
      <c r="L926" s="124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  <c r="U926" s="124">
        <f>IF($N926="","",$Q926*$R926)</f>
        <v/>
      </c>
    </row>
    <row r="927" ht="15" customHeight="1" s="80">
      <c r="J927" s="124">
        <f>IF($A927="","",$B927+$C927+$D927-$E927+$F927-$G927)</f>
        <v/>
      </c>
      <c r="K927" s="124">
        <f>IF($A927="","",MAX(0,$B927-$J927))</f>
        <v/>
      </c>
      <c r="L927" s="124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  <c r="U927" s="124">
        <f>IF($N927="","",$Q927*$R927)</f>
        <v/>
      </c>
    </row>
    <row r="928" ht="15" customHeight="1" s="80">
      <c r="J928" s="124">
        <f>IF($A928="","",$B928+$C928+$D928-$E928+$F928-$G928)</f>
        <v/>
      </c>
      <c r="K928" s="124">
        <f>IF($A928="","",MAX(0,$B928-$J928))</f>
        <v/>
      </c>
      <c r="L928" s="124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  <c r="U928" s="124">
        <f>IF($N928="","",$Q928*$R928)</f>
        <v/>
      </c>
    </row>
    <row r="929" ht="15" customHeight="1" s="80">
      <c r="J929" s="124">
        <f>IF($A929="","",$B929+$C929+$D929-$E929+$F929-$G929)</f>
        <v/>
      </c>
      <c r="K929" s="124">
        <f>IF($A929="","",MAX(0,$B929-$J929))</f>
        <v/>
      </c>
      <c r="L929" s="124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  <c r="U929" s="124">
        <f>IF($N929="","",$Q929*$R929)</f>
        <v/>
      </c>
    </row>
    <row r="930" ht="15" customHeight="1" s="80">
      <c r="J930" s="124">
        <f>IF($A930="","",$B930+$C930+$D930-$E930+$F930-$G930)</f>
        <v/>
      </c>
      <c r="K930" s="124">
        <f>IF($A930="","",MAX(0,$B930-$J930))</f>
        <v/>
      </c>
      <c r="L930" s="124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  <c r="U930" s="124">
        <f>IF($N930="","",$Q930*$R930)</f>
        <v/>
      </c>
    </row>
    <row r="931" ht="15" customHeight="1" s="80">
      <c r="J931" s="124">
        <f>IF($A931="","",$B931+$C931+$D931-$E931+$F931-$G931)</f>
        <v/>
      </c>
      <c r="K931" s="124">
        <f>IF($A931="","",MAX(0,$B931-$J931))</f>
        <v/>
      </c>
      <c r="L931" s="124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  <c r="U931" s="124">
        <f>IF($N931="","",$Q931*$R931)</f>
        <v/>
      </c>
    </row>
    <row r="932" ht="15" customHeight="1" s="80">
      <c r="J932" s="124">
        <f>IF($A932="","",$B932+$C932+$D932-$E932+$F932-$G932)</f>
        <v/>
      </c>
      <c r="K932" s="124">
        <f>IF($A932="","",MAX(0,$B932-$J932))</f>
        <v/>
      </c>
      <c r="L932" s="124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  <c r="U932" s="124">
        <f>IF($N932="","",$Q932*$R932)</f>
        <v/>
      </c>
    </row>
    <row r="933" ht="15" customHeight="1" s="80">
      <c r="J933" s="124">
        <f>IF($A933="","",$B933+$C933+$D933-$E933+$F933-$G933)</f>
        <v/>
      </c>
      <c r="K933" s="124">
        <f>IF($A933="","",MAX(0,$B933-$J933))</f>
        <v/>
      </c>
      <c r="L933" s="124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  <c r="U933" s="124">
        <f>IF($N933="","",$Q933*$R933)</f>
        <v/>
      </c>
    </row>
    <row r="934" ht="15" customHeight="1" s="80">
      <c r="J934" s="124">
        <f>IF($A934="","",$B934+$C934+$D934-$E934+$F934-$G934)</f>
        <v/>
      </c>
      <c r="K934" s="124">
        <f>IF($A934="","",MAX(0,$B934-$J934))</f>
        <v/>
      </c>
      <c r="L934" s="124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  <c r="U934" s="124">
        <f>IF($N934="","",$Q934*$R934)</f>
        <v/>
      </c>
    </row>
    <row r="935" ht="15" customHeight="1" s="80">
      <c r="J935" s="124">
        <f>IF($A935="","",$B935+$C935+$D935-$E935+$F935-$G935)</f>
        <v/>
      </c>
      <c r="K935" s="124">
        <f>IF($A935="","",MAX(0,$B935-$J935))</f>
        <v/>
      </c>
      <c r="L935" s="124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  <c r="U935" s="124">
        <f>IF($N935="","",$Q935*$R935)</f>
        <v/>
      </c>
    </row>
    <row r="936" ht="15" customHeight="1" s="80">
      <c r="J936" s="124">
        <f>IF($A936="","",$B936+$C936+$D936-$E936+$F936-$G936)</f>
        <v/>
      </c>
      <c r="K936" s="124">
        <f>IF($A936="","",MAX(0,$B936-$J936))</f>
        <v/>
      </c>
      <c r="L936" s="124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  <c r="U936" s="124">
        <f>IF($N936="","",$Q936*$R936)</f>
        <v/>
      </c>
    </row>
    <row r="937" ht="15" customHeight="1" s="80">
      <c r="J937" s="124">
        <f>IF($A937="","",$B937+$C937+$D937-$E937+$F937-$G937)</f>
        <v/>
      </c>
      <c r="K937" s="124">
        <f>IF($A937="","",MAX(0,$B937-$J937))</f>
        <v/>
      </c>
      <c r="L937" s="124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  <c r="U937" s="124">
        <f>IF($N937="","",$Q937*$R937)</f>
        <v/>
      </c>
    </row>
    <row r="938" ht="15" customHeight="1" s="80">
      <c r="J938" s="124">
        <f>IF($A938="","",$B938+$C938+$D938-$E938+$F938-$G938)</f>
        <v/>
      </c>
      <c r="K938" s="124">
        <f>IF($A938="","",MAX(0,$B938-$J938))</f>
        <v/>
      </c>
      <c r="L938" s="124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  <c r="U938" s="124">
        <f>IF($N938="","",$Q938*$R938)</f>
        <v/>
      </c>
    </row>
    <row r="939" ht="15" customHeight="1" s="80">
      <c r="J939" s="124">
        <f>IF($A939="","",$B939+$C939+$D939-$E939+$F939-$G939)</f>
        <v/>
      </c>
      <c r="K939" s="124">
        <f>IF($A939="","",MAX(0,$B939-$J939))</f>
        <v/>
      </c>
      <c r="L939" s="124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  <c r="U939" s="124">
        <f>IF($N939="","",$Q939*$R939)</f>
        <v/>
      </c>
    </row>
    <row r="940" ht="15" customHeight="1" s="80">
      <c r="J940" s="124">
        <f>IF($A940="","",$B940+$C940+$D940-$E940+$F940-$G940)</f>
        <v/>
      </c>
      <c r="K940" s="124">
        <f>IF($A940="","",MAX(0,$B940-$J940))</f>
        <v/>
      </c>
      <c r="L940" s="124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  <c r="U940" s="124">
        <f>IF($N940="","",$Q940*$R940)</f>
        <v/>
      </c>
    </row>
    <row r="941" ht="15" customHeight="1" s="80">
      <c r="J941" s="124">
        <f>IF($A941="","",$B941+$C941+$D941-$E941+$F941-$G941)</f>
        <v/>
      </c>
      <c r="K941" s="124">
        <f>IF($A941="","",MAX(0,$B941-$J941))</f>
        <v/>
      </c>
      <c r="L941" s="124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  <c r="U941" s="124">
        <f>IF($N941="","",$Q941*$R941)</f>
        <v/>
      </c>
    </row>
    <row r="942" ht="15" customHeight="1" s="80">
      <c r="J942" s="124">
        <f>IF($A942="","",$B942+$C942+$D942-$E942+$F942-$G942)</f>
        <v/>
      </c>
      <c r="K942" s="124">
        <f>IF($A942="","",MAX(0,$B942-$J942))</f>
        <v/>
      </c>
      <c r="L942" s="124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  <c r="U942" s="124">
        <f>IF($N942="","",$Q942*$R942)</f>
        <v/>
      </c>
    </row>
    <row r="943" ht="15" customHeight="1" s="80">
      <c r="J943" s="124">
        <f>IF($A943="","",$B943+$C943+$D943-$E943+$F943-$G943)</f>
        <v/>
      </c>
      <c r="K943" s="124">
        <f>IF($A943="","",MAX(0,$B943-$J943))</f>
        <v/>
      </c>
      <c r="L943" s="124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  <c r="U943" s="124">
        <f>IF($N943="","",$Q943*$R943)</f>
        <v/>
      </c>
    </row>
    <row r="944" ht="15" customHeight="1" s="80">
      <c r="J944" s="124">
        <f>IF($A944="","",$B944+$C944+$D944-$E944+$F944-$G944)</f>
        <v/>
      </c>
      <c r="K944" s="124">
        <f>IF($A944="","",MAX(0,$B944-$J944))</f>
        <v/>
      </c>
      <c r="L944" s="124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  <c r="U944" s="124">
        <f>IF($N944="","",$Q944*$R944)</f>
        <v/>
      </c>
    </row>
    <row r="945" ht="15" customHeight="1" s="80">
      <c r="J945" s="124">
        <f>IF($A945="","",$B945+$C945+$D945-$E945+$F945-$G945)</f>
        <v/>
      </c>
      <c r="K945" s="124">
        <f>IF($A945="","",MAX(0,$B945-$J945))</f>
        <v/>
      </c>
      <c r="L945" s="124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  <c r="U945" s="124">
        <f>IF($N945="","",$Q945*$R945)</f>
        <v/>
      </c>
    </row>
    <row r="946" ht="15" customHeight="1" s="80">
      <c r="J946" s="124">
        <f>IF($A946="","",$B946+$C946+$D946-$E946+$F946-$G946)</f>
        <v/>
      </c>
      <c r="K946" s="124">
        <f>IF($A946="","",MAX(0,$B946-$J946))</f>
        <v/>
      </c>
      <c r="L946" s="124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  <c r="U946" s="124">
        <f>IF($N946="","",$Q946*$R946)</f>
        <v/>
      </c>
    </row>
    <row r="947" ht="15" customHeight="1" s="80">
      <c r="J947" s="124">
        <f>IF($A947="","",$B947+$C947+$D947-$E947+$F947-$G947)</f>
        <v/>
      </c>
      <c r="K947" s="124">
        <f>IF($A947="","",MAX(0,$B947-$J947))</f>
        <v/>
      </c>
      <c r="L947" s="124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  <c r="U947" s="124">
        <f>IF($N947="","",$Q947*$R947)</f>
        <v/>
      </c>
    </row>
    <row r="948" ht="15" customHeight="1" s="80">
      <c r="J948" s="124">
        <f>IF($A948="","",$B948+$C948+$D948-$E948+$F948-$G948)</f>
        <v/>
      </c>
      <c r="K948" s="124">
        <f>IF($A948="","",MAX(0,$B948-$J948))</f>
        <v/>
      </c>
      <c r="L948" s="124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  <c r="U948" s="124">
        <f>IF($N948="","",$Q948*$R948)</f>
        <v/>
      </c>
    </row>
    <row r="949" ht="15" customHeight="1" s="80">
      <c r="J949" s="124">
        <f>IF($A949="","",$B949+$C949+$D949-$E949+$F949-$G949)</f>
        <v/>
      </c>
      <c r="K949" s="124">
        <f>IF($A949="","",MAX(0,$B949-$J949))</f>
        <v/>
      </c>
      <c r="L949" s="124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  <c r="U949" s="124">
        <f>IF($N949="","",$Q949*$R949)</f>
        <v/>
      </c>
    </row>
    <row r="950" ht="15" customHeight="1" s="80">
      <c r="J950" s="124">
        <f>IF($A950="","",$B950+$C950+$D950-$E950+$F950-$G950)</f>
        <v/>
      </c>
      <c r="K950" s="124">
        <f>IF($A950="","",MAX(0,$B950-$J950))</f>
        <v/>
      </c>
      <c r="L950" s="124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  <c r="U950" s="124">
        <f>IF($N950="","",$Q950*$R950)</f>
        <v/>
      </c>
    </row>
    <row r="951" ht="15" customHeight="1" s="80">
      <c r="J951" s="124">
        <f>IF($A951="","",$B951+$C951+$D951-$E951+$F951-$G951)</f>
        <v/>
      </c>
      <c r="K951" s="124">
        <f>IF($A951="","",MAX(0,$B951-$J951))</f>
        <v/>
      </c>
      <c r="L951" s="124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  <c r="U951" s="124">
        <f>IF($N951="","",$Q951*$R951)</f>
        <v/>
      </c>
    </row>
    <row r="952" ht="15" customHeight="1" s="80">
      <c r="J952" s="124">
        <f>IF($A952="","",$B952+$C952+$D952-$E952+$F952-$G952)</f>
        <v/>
      </c>
      <c r="K952" s="124">
        <f>IF($A952="","",MAX(0,$B952-$J952))</f>
        <v/>
      </c>
      <c r="L952" s="124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  <c r="U952" s="124">
        <f>IF($N952="","",$Q952*$R952)</f>
        <v/>
      </c>
    </row>
    <row r="953" ht="15" customHeight="1" s="80">
      <c r="J953" s="124">
        <f>IF($A953="","",$B953+$C953+$D953-$E953+$F953-$G953)</f>
        <v/>
      </c>
      <c r="K953" s="124">
        <f>IF($A953="","",MAX(0,$B953-$J953))</f>
        <v/>
      </c>
      <c r="L953" s="124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  <c r="U953" s="124">
        <f>IF($N953="","",$Q953*$R953)</f>
        <v/>
      </c>
    </row>
    <row r="954" ht="15" customHeight="1" s="80">
      <c r="J954" s="124">
        <f>IF($A954="","",$B954+$C954+$D954-$E954+$F954-$G954)</f>
        <v/>
      </c>
      <c r="K954" s="124">
        <f>IF($A954="","",MAX(0,$B954-$J954))</f>
        <v/>
      </c>
      <c r="L954" s="124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  <c r="U954" s="124">
        <f>IF($N954="","",$Q954*$R954)</f>
        <v/>
      </c>
    </row>
    <row r="955" ht="15" customHeight="1" s="80">
      <c r="J955" s="124">
        <f>IF($A955="","",$B955+$C955+$D955-$E955+$F955-$G955)</f>
        <v/>
      </c>
      <c r="K955" s="124">
        <f>IF($A955="","",MAX(0,$B955-$J955))</f>
        <v/>
      </c>
      <c r="L955" s="124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  <c r="U955" s="124">
        <f>IF($N955="","",$Q955*$R955)</f>
        <v/>
      </c>
    </row>
    <row r="956" ht="15" customHeight="1" s="80">
      <c r="J956" s="124">
        <f>IF($A956="","",$B956+$C956+$D956-$E956+$F956-$G956)</f>
        <v/>
      </c>
      <c r="K956" s="124">
        <f>IF($A956="","",MAX(0,$B956-$J956))</f>
        <v/>
      </c>
      <c r="L956" s="124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  <c r="U956" s="124">
        <f>IF($N956="","",$Q956*$R956)</f>
        <v/>
      </c>
    </row>
    <row r="957" ht="15" customHeight="1" s="80">
      <c r="J957" s="124">
        <f>IF($A957="","",$B957+$C957+$D957-$E957+$F957-$G957)</f>
        <v/>
      </c>
      <c r="K957" s="124">
        <f>IF($A957="","",MAX(0,$B957-$J957))</f>
        <v/>
      </c>
      <c r="L957" s="124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  <c r="U957" s="124">
        <f>IF($N957="","",$Q957*$R957)</f>
        <v/>
      </c>
    </row>
    <row r="958" ht="15" customHeight="1" s="80">
      <c r="J958" s="124">
        <f>IF($A958="","",$B958+$C958+$D958-$E958+$F958-$G958)</f>
        <v/>
      </c>
      <c r="K958" s="124">
        <f>IF($A958="","",MAX(0,$B958-$J958))</f>
        <v/>
      </c>
      <c r="L958" s="124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  <c r="U958" s="124">
        <f>IF($N958="","",$Q958*$R958)</f>
        <v/>
      </c>
    </row>
    <row r="959" ht="15" customHeight="1" s="80">
      <c r="J959" s="124">
        <f>IF($A959="","",$B959+$C959+$D959-$E959+$F959-$G959)</f>
        <v/>
      </c>
      <c r="K959" s="124">
        <f>IF($A959="","",MAX(0,$B959-$J959))</f>
        <v/>
      </c>
      <c r="L959" s="124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  <c r="U959" s="124">
        <f>IF($N959="","",$Q959*$R959)</f>
        <v/>
      </c>
    </row>
    <row r="960" ht="15" customHeight="1" s="80">
      <c r="J960" s="124">
        <f>IF($A960="","",$B960+$C960+$D960-$E960+$F960-$G960)</f>
        <v/>
      </c>
      <c r="K960" s="124">
        <f>IF($A960="","",MAX(0,$B960-$J960))</f>
        <v/>
      </c>
      <c r="L960" s="124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  <c r="U960" s="124">
        <f>IF($N960="","",$Q960*$R960)</f>
        <v/>
      </c>
    </row>
    <row r="961" ht="15" customHeight="1" s="80">
      <c r="J961" s="124">
        <f>IF($A961="","",$B961+$C961+$D961-$E961+$F961-$G961)</f>
        <v/>
      </c>
      <c r="K961" s="124">
        <f>IF($A961="","",MAX(0,$B961-$J961))</f>
        <v/>
      </c>
      <c r="L961" s="124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  <c r="U961" s="124">
        <f>IF($N961="","",$Q961*$R961)</f>
        <v/>
      </c>
    </row>
    <row r="962" ht="15" customHeight="1" s="80">
      <c r="J962" s="124">
        <f>IF($A962="","",$B962+$C962+$D962-$E962+$F962-$G962)</f>
        <v/>
      </c>
      <c r="K962" s="124">
        <f>IF($A962="","",MAX(0,$B962-$J962))</f>
        <v/>
      </c>
      <c r="L962" s="124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  <c r="U962" s="124">
        <f>IF($N962="","",$Q962*$R962)</f>
        <v/>
      </c>
    </row>
    <row r="963" ht="15" customHeight="1" s="80">
      <c r="J963" s="124">
        <f>IF($A963="","",$B963+$C963+$D963-$E963+$F963-$G963)</f>
        <v/>
      </c>
      <c r="K963" s="124">
        <f>IF($A963="","",MAX(0,$B963-$J963))</f>
        <v/>
      </c>
      <c r="L963" s="124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  <c r="U963" s="124">
        <f>IF($N963="","",$Q963*$R963)</f>
        <v/>
      </c>
    </row>
    <row r="964" ht="15" customHeight="1" s="80">
      <c r="J964" s="124">
        <f>IF($A964="","",$B964+$C964+$D964-$E964+$F964-$G964)</f>
        <v/>
      </c>
      <c r="K964" s="124">
        <f>IF($A964="","",MAX(0,$B964-$J964))</f>
        <v/>
      </c>
      <c r="L964" s="124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  <c r="U964" s="124">
        <f>IF($N964="","",$Q964*$R964)</f>
        <v/>
      </c>
    </row>
    <row r="965" ht="15" customHeight="1" s="80">
      <c r="J965" s="124">
        <f>IF($A965="","",$B965+$C965+$D965-$E965+$F965-$G965)</f>
        <v/>
      </c>
      <c r="K965" s="124">
        <f>IF($A965="","",MAX(0,$B965-$J965))</f>
        <v/>
      </c>
      <c r="L965" s="124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  <c r="U965" s="124">
        <f>IF($N965="","",$Q965*$R965)</f>
        <v/>
      </c>
    </row>
    <row r="966" ht="15" customHeight="1" s="80">
      <c r="J966" s="124">
        <f>IF($A966="","",$B966+$C966+$D966-$E966+$F966-$G966)</f>
        <v/>
      </c>
      <c r="K966" s="124">
        <f>IF($A966="","",MAX(0,$B966-$J966))</f>
        <v/>
      </c>
      <c r="L966" s="124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  <c r="U966" s="124">
        <f>IF($N966="","",$Q966*$R966)</f>
        <v/>
      </c>
    </row>
    <row r="967" ht="15" customHeight="1" s="80">
      <c r="J967" s="124">
        <f>IF($A967="","",$B967+$C967+$D967-$E967+$F967-$G967)</f>
        <v/>
      </c>
      <c r="K967" s="124">
        <f>IF($A967="","",MAX(0,$B967-$J967))</f>
        <v/>
      </c>
      <c r="L967" s="124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  <c r="U967" s="124">
        <f>IF($N967="","",$Q967*$R967)</f>
        <v/>
      </c>
    </row>
    <row r="968" ht="15" customHeight="1" s="80">
      <c r="J968" s="124">
        <f>IF($A968="","",$B968+$C968+$D968-$E968+$F968-$G968)</f>
        <v/>
      </c>
      <c r="K968" s="124">
        <f>IF($A968="","",MAX(0,$B968-$J968))</f>
        <v/>
      </c>
      <c r="L968" s="124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  <c r="U968" s="124">
        <f>IF($N968="","",$Q968*$R968)</f>
        <v/>
      </c>
    </row>
    <row r="969" ht="15" customHeight="1" s="80">
      <c r="J969" s="124">
        <f>IF($A969="","",$B969+$C969+$D969-$E969+$F969-$G969)</f>
        <v/>
      </c>
      <c r="K969" s="124">
        <f>IF($A969="","",MAX(0,$B969-$J969))</f>
        <v/>
      </c>
      <c r="L969" s="124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  <c r="U969" s="124">
        <f>IF($N969="","",$Q969*$R969)</f>
        <v/>
      </c>
    </row>
    <row r="970" ht="15" customHeight="1" s="80">
      <c r="J970" s="124">
        <f>IF($A970="","",$B970+$C970+$D970-$E970+$F970-$G970)</f>
        <v/>
      </c>
      <c r="K970" s="124">
        <f>IF($A970="","",MAX(0,$B970-$J970))</f>
        <v/>
      </c>
      <c r="L970" s="124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  <c r="U970" s="124">
        <f>IF($N970="","",$Q970*$R970)</f>
        <v/>
      </c>
    </row>
    <row r="971" ht="15" customHeight="1" s="80">
      <c r="J971" s="124">
        <f>IF($A971="","",$B971+$C971+$D971-$E971+$F971-$G971)</f>
        <v/>
      </c>
      <c r="K971" s="124">
        <f>IF($A971="","",MAX(0,$B971-$J971))</f>
        <v/>
      </c>
      <c r="L971" s="124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  <c r="U971" s="124">
        <f>IF($N971="","",$Q971*$R971)</f>
        <v/>
      </c>
    </row>
    <row r="972" ht="15" customHeight="1" s="80">
      <c r="J972" s="124">
        <f>IF($A972="","",$B972+$C972+$D972-$E972+$F972-$G972)</f>
        <v/>
      </c>
      <c r="K972" s="124">
        <f>IF($A972="","",MAX(0,$B972-$J972))</f>
        <v/>
      </c>
      <c r="L972" s="124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  <c r="U972" s="124">
        <f>IF($N972="","",$Q972*$R972)</f>
        <v/>
      </c>
    </row>
    <row r="973" ht="15" customHeight="1" s="80">
      <c r="J973" s="124">
        <f>IF($A973="","",$B973+$C973+$D973-$E973+$F973-$G973)</f>
        <v/>
      </c>
      <c r="K973" s="124">
        <f>IF($A973="","",MAX(0,$B973-$J973))</f>
        <v/>
      </c>
      <c r="L973" s="124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  <c r="U973" s="124">
        <f>IF($N973="","",$Q973*$R973)</f>
        <v/>
      </c>
    </row>
    <row r="974" ht="15" customHeight="1" s="80">
      <c r="J974" s="124">
        <f>IF($A974="","",$B974+$C974+$D974-$E974+$F974-$G974)</f>
        <v/>
      </c>
      <c r="K974" s="124">
        <f>IF($A974="","",MAX(0,$B974-$J974))</f>
        <v/>
      </c>
      <c r="L974" s="124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  <c r="U974" s="124">
        <f>IF($N974="","",$Q974*$R974)</f>
        <v/>
      </c>
    </row>
    <row r="975" ht="15" customHeight="1" s="80">
      <c r="J975" s="124">
        <f>IF($A975="","",$B975+$C975+$D975-$E975+$F975-$G975)</f>
        <v/>
      </c>
      <c r="K975" s="124">
        <f>IF($A975="","",MAX(0,$B975-$J975))</f>
        <v/>
      </c>
      <c r="L975" s="124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  <c r="U975" s="124">
        <f>IF($N975="","",$Q975*$R975)</f>
        <v/>
      </c>
    </row>
    <row r="976" ht="15" customHeight="1" s="80">
      <c r="J976" s="124">
        <f>IF($A976="","",$B976+$C976+$D976-$E976+$F976-$G976)</f>
        <v/>
      </c>
      <c r="K976" s="124">
        <f>IF($A976="","",MAX(0,$B976-$J976))</f>
        <v/>
      </c>
      <c r="L976" s="124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  <c r="U976" s="124">
        <f>IF($N976="","",$Q976*$R976)</f>
        <v/>
      </c>
    </row>
    <row r="977" ht="15" customHeight="1" s="80">
      <c r="J977" s="124">
        <f>IF($A977="","",$B977+$C977+$D977-$E977+$F977-$G977)</f>
        <v/>
      </c>
      <c r="K977" s="124">
        <f>IF($A977="","",MAX(0,$B977-$J977))</f>
        <v/>
      </c>
      <c r="L977" s="124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  <c r="U977" s="124">
        <f>IF($N977="","",$Q977*$R977)</f>
        <v/>
      </c>
    </row>
    <row r="978" ht="15" customHeight="1" s="80">
      <c r="J978" s="124">
        <f>IF($A978="","",$B978+$C978+$D978-$E978+$F978-$G978)</f>
        <v/>
      </c>
      <c r="K978" s="124">
        <f>IF($A978="","",MAX(0,$B978-$J978))</f>
        <v/>
      </c>
      <c r="L978" s="124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  <c r="U978" s="124">
        <f>IF($N978="","",$Q978*$R978)</f>
        <v/>
      </c>
    </row>
    <row r="979" ht="15" customHeight="1" s="80">
      <c r="J979" s="124">
        <f>IF($A979="","",$B979+$C979+$D979-$E979+$F979-$G979)</f>
        <v/>
      </c>
      <c r="K979" s="124">
        <f>IF($A979="","",MAX(0,$B979-$J979))</f>
        <v/>
      </c>
      <c r="L979" s="124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  <c r="U979" s="124">
        <f>IF($N979="","",$Q979*$R979)</f>
        <v/>
      </c>
    </row>
    <row r="980" ht="15" customHeight="1" s="80">
      <c r="J980" s="124">
        <f>IF($A980="","",$B980+$C980+$D980-$E980+$F980-$G980)</f>
        <v/>
      </c>
      <c r="K980" s="124">
        <f>IF($A980="","",MAX(0,$B980-$J980))</f>
        <v/>
      </c>
      <c r="L980" s="124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  <c r="U980" s="124">
        <f>IF($N980="","",$Q980*$R980)</f>
        <v/>
      </c>
    </row>
    <row r="981" ht="15" customHeight="1" s="80">
      <c r="J981" s="124">
        <f>IF($A981="","",$B981+$C981+$D981-$E981+$F981-$G981)</f>
        <v/>
      </c>
      <c r="K981" s="124">
        <f>IF($A981="","",MAX(0,$B981-$J981))</f>
        <v/>
      </c>
      <c r="L981" s="124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  <c r="U981" s="124">
        <f>IF($N981="","",$Q981*$R981)</f>
        <v/>
      </c>
    </row>
    <row r="982" ht="15" customHeight="1" s="80">
      <c r="J982" s="124">
        <f>IF($A982="","",$B982+$C982+$D982-$E982+$F982-$G982)</f>
        <v/>
      </c>
      <c r="K982" s="124">
        <f>IF($A982="","",MAX(0,$B982-$J982))</f>
        <v/>
      </c>
      <c r="L982" s="124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  <c r="U982" s="124">
        <f>IF($N982="","",$Q982*$R982)</f>
        <v/>
      </c>
    </row>
    <row r="983" ht="15" customHeight="1" s="80">
      <c r="J983" s="124">
        <f>IF($A983="","",$B983+$C983+$D983-$E983+$F983-$G983)</f>
        <v/>
      </c>
      <c r="K983" s="124">
        <f>IF($A983="","",MAX(0,$B983-$J983))</f>
        <v/>
      </c>
      <c r="L983" s="124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  <c r="U983" s="124">
        <f>IF($N983="","",$Q983*$R983)</f>
        <v/>
      </c>
    </row>
    <row r="984" ht="15" customHeight="1" s="80">
      <c r="J984" s="124">
        <f>IF($A984="","",$B984+$C984+$D984-$E984+$F984-$G984)</f>
        <v/>
      </c>
      <c r="K984" s="124">
        <f>IF($A984="","",MAX(0,$B984-$J984))</f>
        <v/>
      </c>
      <c r="L984" s="124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  <c r="U984" s="124">
        <f>IF($N984="","",$Q984*$R984)</f>
        <v/>
      </c>
    </row>
    <row r="985" ht="15" customHeight="1" s="80">
      <c r="J985" s="124">
        <f>IF($A985="","",$B985+$C985+$D985-$E985+$F985-$G985)</f>
        <v/>
      </c>
      <c r="K985" s="124">
        <f>IF($A985="","",MAX(0,$B985-$J985))</f>
        <v/>
      </c>
      <c r="L985" s="124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  <c r="U985" s="124">
        <f>IF($N985="","",$Q985*$R985)</f>
        <v/>
      </c>
    </row>
    <row r="986" ht="15" customHeight="1" s="80">
      <c r="J986" s="124">
        <f>IF($A986="","",$B986+$C986+$D986-$E986+$F986-$G986)</f>
        <v/>
      </c>
      <c r="K986" s="124">
        <f>IF($A986="","",MAX(0,$B986-$J986))</f>
        <v/>
      </c>
      <c r="L986" s="124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  <c r="U986" s="124">
        <f>IF($N986="","",$Q986*$R986)</f>
        <v/>
      </c>
    </row>
    <row r="987" ht="15" customHeight="1" s="80">
      <c r="J987" s="124">
        <f>IF($A987="","",$B987+$C987+$D987-$E987+$F987-$G987)</f>
        <v/>
      </c>
      <c r="K987" s="124">
        <f>IF($A987="","",MAX(0,$B987-$J987))</f>
        <v/>
      </c>
      <c r="L987" s="124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  <c r="U987" s="124">
        <f>IF($N987="","",$Q987*$R987)</f>
        <v/>
      </c>
    </row>
    <row r="988" ht="15" customHeight="1" s="80">
      <c r="J988" s="124">
        <f>IF($A988="","",$B988+$C988+$D988-$E988+$F988-$G988)</f>
        <v/>
      </c>
      <c r="K988" s="124">
        <f>IF($A988="","",MAX(0,$B988-$J988))</f>
        <v/>
      </c>
      <c r="L988" s="124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  <c r="U988" s="124">
        <f>IF($N988="","",$Q988*$R988)</f>
        <v/>
      </c>
    </row>
    <row r="989" ht="15" customHeight="1" s="80">
      <c r="J989" s="124">
        <f>IF($A989="","",$B989+$C989+$D989-$E989+$F989-$G989)</f>
        <v/>
      </c>
      <c r="K989" s="124">
        <f>IF($A989="","",MAX(0,$B989-$J989))</f>
        <v/>
      </c>
      <c r="L989" s="124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  <c r="U989" s="124">
        <f>IF($N989="","",$Q989*$R989)</f>
        <v/>
      </c>
    </row>
    <row r="990" ht="15" customHeight="1" s="80">
      <c r="J990" s="124">
        <f>IF($A990="","",$B990+$C990+$D990-$E990+$F990-$G990)</f>
        <v/>
      </c>
      <c r="K990" s="124">
        <f>IF($A990="","",MAX(0,$B990-$J990))</f>
        <v/>
      </c>
      <c r="L990" s="124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  <c r="U990" s="124">
        <f>IF($N990="","",$Q990*$R990)</f>
        <v/>
      </c>
    </row>
    <row r="991" ht="15" customHeight="1" s="80">
      <c r="J991" s="124">
        <f>IF($A991="","",$B991+$C991+$D991-$E991+$F991-$G991)</f>
        <v/>
      </c>
      <c r="K991" s="124">
        <f>IF($A991="","",MAX(0,$B991-$J991))</f>
        <v/>
      </c>
      <c r="L991" s="124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  <c r="U991" s="124">
        <f>IF($N991="","",$Q991*$R991)</f>
        <v/>
      </c>
    </row>
    <row r="992" ht="15" customHeight="1" s="80">
      <c r="J992" s="124">
        <f>IF($A992="","",$B992+$C992+$D992-$E992+$F992-$G992)</f>
        <v/>
      </c>
      <c r="K992" s="124">
        <f>IF($A992="","",MAX(0,$B992-$J992))</f>
        <v/>
      </c>
      <c r="L992" s="124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  <c r="U992" s="124">
        <f>IF($N992="","",$Q992*$R992)</f>
        <v/>
      </c>
    </row>
    <row r="993" ht="15" customHeight="1" s="80">
      <c r="J993" s="124">
        <f>IF($A993="","",$B993+$C993+$D993-$E993+$F993-$G993)</f>
        <v/>
      </c>
      <c r="K993" s="124">
        <f>IF($A993="","",MAX(0,$B993-$J993))</f>
        <v/>
      </c>
      <c r="L993" s="124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  <c r="U993" s="124">
        <f>IF($N993="","",$Q993*$R993)</f>
        <v/>
      </c>
    </row>
    <row r="994" ht="15" customHeight="1" s="80">
      <c r="J994" s="124">
        <f>IF($A994="","",$B994+$C994+$D994-$E994+$F994-$G994)</f>
        <v/>
      </c>
      <c r="K994" s="124">
        <f>IF($A994="","",MAX(0,$B994-$J994))</f>
        <v/>
      </c>
      <c r="L994" s="124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  <c r="U994" s="124">
        <f>IF($N994="","",$Q994*$R994)</f>
        <v/>
      </c>
    </row>
    <row r="995" ht="15" customHeight="1" s="80">
      <c r="J995" s="124">
        <f>IF($A995="","",$B995+$C995+$D995-$E995+$F995-$G995)</f>
        <v/>
      </c>
      <c r="K995" s="124">
        <f>IF($A995="","",MAX(0,$B995-$J995))</f>
        <v/>
      </c>
      <c r="L995" s="124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  <c r="U995" s="124">
        <f>IF($N995="","",$Q995*$R995)</f>
        <v/>
      </c>
    </row>
    <row r="996" ht="15" customHeight="1" s="80">
      <c r="J996" s="124">
        <f>IF($A996="","",$B996+$C996+$D996-$E996+$F996-$G996)</f>
        <v/>
      </c>
      <c r="K996" s="124">
        <f>IF($A996="","",MAX(0,$B996-$J996))</f>
        <v/>
      </c>
      <c r="L996" s="124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  <c r="U996" s="124">
        <f>IF($N996="","",$Q996*$R996)</f>
        <v/>
      </c>
    </row>
    <row r="997" ht="15" customHeight="1" s="80">
      <c r="J997" s="124">
        <f>IF($A997="","",$B997+$C997+$D997-$E997+$F997-$G997)</f>
        <v/>
      </c>
      <c r="K997" s="124">
        <f>IF($A997="","",MAX(0,$B997-$J997))</f>
        <v/>
      </c>
      <c r="L997" s="124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  <c r="U997" s="124">
        <f>IF($N997="","",$Q997*$R997)</f>
        <v/>
      </c>
    </row>
    <row r="998" ht="15" customHeight="1" s="80">
      <c r="J998" s="124">
        <f>IF($A998="","",$B998+$C998+$D998-$E998+$F998-$G998)</f>
        <v/>
      </c>
      <c r="K998" s="124">
        <f>IF($A998="","",MAX(0,$B998-$J998))</f>
        <v/>
      </c>
      <c r="L998" s="124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  <c r="U998" s="124">
        <f>IF($N998="","",$Q998*$R998)</f>
        <v/>
      </c>
    </row>
    <row r="999" ht="15" customHeight="1" s="80">
      <c r="J999" s="124">
        <f>IF($A999="","",$B999+$C999+$D999-$E999+$F999-$G999)</f>
        <v/>
      </c>
      <c r="K999" s="124">
        <f>IF($A999="","",MAX(0,$B999-$J999))</f>
        <v/>
      </c>
      <c r="L999" s="124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  <c r="U999" s="124">
        <f>IF($N999="","",$Q999*$R999)</f>
        <v/>
      </c>
    </row>
    <row r="1000" ht="15" customHeight="1" s="80">
      <c r="J1000" s="124">
        <f>IF($A1000="","",$B1000+$C1000+$D1000-$E1000+$F1000-$G1000)</f>
        <v/>
      </c>
      <c r="K1000" s="124">
        <f>IF($A1000="","",MAX(0,$B1000-$J1000))</f>
        <v/>
      </c>
      <c r="L1000" s="124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  <c r="U1000" s="124">
        <f>IF($N1000="","",$Q1000*$R1000)</f>
        <v/>
      </c>
    </row>
    <row r="1001" ht="15" customHeight="1" s="80">
      <c r="J1001" s="124">
        <f>IF($A1001="","",$B1001+$C1001+$D1001-$E1001+$F1001-$G1001)</f>
        <v/>
      </c>
      <c r="K1001" s="124">
        <f>IF($A1001="","",MAX(0,$B1001-$J1001))</f>
        <v/>
      </c>
      <c r="L1001" s="124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  <c r="U1001" s="124">
        <f>IF($N1001="","",$Q1001*$R1001)</f>
        <v/>
      </c>
    </row>
    <row r="1002" ht="15" customHeight="1" s="80">
      <c r="J1002" s="124">
        <f>IF($A1002="","",$B1002+$C1002+$D1002-$E1002+$F1002-$G1002)</f>
        <v/>
      </c>
      <c r="K1002" s="124">
        <f>IF($A1002="","",MAX(0,$B1002-$J1002))</f>
        <v/>
      </c>
      <c r="L1002" s="124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  <c r="U1002" s="124">
        <f>IF($N1002="","",$Q1002*$R1002)</f>
        <v/>
      </c>
    </row>
    <row r="1003" ht="15" customHeight="1" s="80">
      <c r="J1003" s="124">
        <f>IF($A1003="","",$B1003+$C1003+$D1003-$E1003+$F1003-$G1003)</f>
        <v/>
      </c>
      <c r="K1003" s="124">
        <f>IF($A1003="","",MAX(0,$B1003-$J1003))</f>
        <v/>
      </c>
      <c r="L1003" s="124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  <c r="U1003" s="124">
        <f>IF($N1003="","",$Q1003*$R1003)</f>
        <v/>
      </c>
    </row>
    <row r="1004" ht="15" customHeight="1" s="80"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  <c r="U1004" s="124">
        <f>IF($N1004="","",$Q1004*$R1004)</f>
        <v/>
      </c>
    </row>
    <row r="1006" ht="19.5" customHeight="1" s="80">
      <c r="A1006" s="126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L6:L1004">
    <cfRule type="cellIs" rank="0" priority="11" equalAverage="0" operator="greaterThan" aboveAverage="0" dxfId="11" text="" percent="0" bottom="0">
      <formula>0.666667</formula>
    </cfRule>
    <cfRule type="cellIs" rank="0" priority="12" equalAverage="0" operator="between" aboveAverage="0" dxfId="12" text="" percent="0" bottom="0">
      <formula>0.333333</formula>
      <formula>0.666667</formula>
    </cfRule>
    <cfRule type="cellIs" rank="0" priority="13" equalAverage="0" operator="lessThan" aboveAverage="0" dxfId="13" text="" percent="0" bottom="0">
      <formula>0.333333</formula>
    </cfRule>
  </conditionalFormatting>
  <conditionalFormatting sqref="M6:M1004">
    <cfRule type="cellIs" rank="0" priority="14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eski35_sirket-oz-kaynagi-eridi-mi-ttk-376-sermaye-tamamlama-cetveli_uretildi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eski35_sirket-oz-kaynagi-eridi-mi-ttk-376-sermaye-tamamlama-cetveli_uretildi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Şirket Öz Kaynağı Eridi Mi? (TTK 376 Sermaye Tamamlama Cetveli)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80">
      <c r="A5" s="162" t="inlineStr">
        <is>
          <t>01.08.2026</t>
        </is>
      </c>
      <c r="B5" s="162" t="inlineStr">
        <is>
          <t>1.0.0</t>
        </is>
      </c>
      <c r="C5" s="162" t="inlineStr">
        <is>
          <t>İlk üretim</t>
        </is>
      </c>
      <c r="D5" s="162" t="inlineStr">
        <is>
          <t>Ürünün yayına hazırlanması</t>
        </is>
      </c>
      <c r="E5" s="16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2" customWidth="1" style="106" min="3" max="3"/>
    <col width="14" customWidth="1" style="106" min="5" max="5"/>
  </cols>
  <sheetData>
    <row r="1" ht="25.5" customHeight="1" s="80">
      <c r="A1" s="107" t="inlineStr">
        <is>
          <t>LISTELER — Şirket Öz Kaynağı Eridi Mi? (TTK 376 Sermaye Tamamlama Cetveli)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6" t="inlineStr">
        <is>
          <t>Borç Türü</t>
        </is>
      </c>
      <c r="C6" s="156" t="inlineStr">
        <is>
          <t>Ay</t>
        </is>
      </c>
      <c r="E6" s="156" t="inlineStr">
        <is>
          <t>Evet / Hayır</t>
        </is>
      </c>
    </row>
    <row r="7" ht="15" customHeight="1" s="80">
      <c r="A7" s="166" t="inlineStr">
        <is>
          <t>Banka Kredisi</t>
        </is>
      </c>
      <c r="C7" s="166" t="inlineStr">
        <is>
          <t>2026-01</t>
        </is>
      </c>
      <c r="E7" s="166" t="inlineStr">
        <is>
          <t>Evet</t>
        </is>
      </c>
    </row>
    <row r="8" ht="15" customHeight="1" s="80">
      <c r="A8" s="166" t="inlineStr">
        <is>
          <t>Tedarikçi Borcu</t>
        </is>
      </c>
      <c r="C8" s="166" t="inlineStr">
        <is>
          <t>2026-02</t>
        </is>
      </c>
      <c r="E8" s="166" t="inlineStr">
        <is>
          <t>Hayır</t>
        </is>
      </c>
    </row>
    <row r="9" ht="15" customHeight="1" s="80">
      <c r="A9" s="166" t="inlineStr">
        <is>
          <t>Finansal Kiralama</t>
        </is>
      </c>
      <c r="C9" s="166" t="inlineStr">
        <is>
          <t>2026-03</t>
        </is>
      </c>
    </row>
    <row r="10" ht="15" customHeight="1" s="80">
      <c r="A10" s="166" t="inlineStr">
        <is>
          <t>Tahvil</t>
        </is>
      </c>
      <c r="C10" s="166" t="inlineStr">
        <is>
          <t>2026-04</t>
        </is>
      </c>
    </row>
    <row r="11" ht="15" customHeight="1" s="80">
      <c r="A11" s="166" t="inlineStr">
        <is>
          <t>Ortak Borcu</t>
        </is>
      </c>
      <c r="C11" s="166" t="inlineStr">
        <is>
          <t>2026-05</t>
        </is>
      </c>
    </row>
    <row r="12" ht="15" customHeight="1" s="80">
      <c r="A12" s="166" t="inlineStr">
        <is>
          <t>Diğer</t>
        </is>
      </c>
      <c r="C12" s="166" t="inlineStr">
        <is>
          <t>2026-06</t>
        </is>
      </c>
    </row>
    <row r="13" ht="15" customHeight="1" s="80">
      <c r="C13" s="166" t="inlineStr">
        <is>
          <t>2026-07</t>
        </is>
      </c>
    </row>
    <row r="14" ht="15" customHeight="1" s="80">
      <c r="C14" s="166" t="inlineStr">
        <is>
          <t>2026-08</t>
        </is>
      </c>
    </row>
    <row r="15" ht="15" customHeight="1" s="80">
      <c r="C15" s="166" t="inlineStr">
        <is>
          <t>2026-09</t>
        </is>
      </c>
    </row>
    <row r="16" ht="15" customHeight="1" s="80">
      <c r="C16" s="166" t="inlineStr">
        <is>
          <t>2026-10</t>
        </is>
      </c>
    </row>
    <row r="17" ht="15" customHeight="1" s="80">
      <c r="C17" s="166" t="inlineStr">
        <is>
          <t>2026-11</t>
        </is>
      </c>
    </row>
    <row r="18" ht="15" customHeight="1" s="80">
      <c r="C18" s="166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Şirket Öz Kaynağı Eridi Mi? (TTK 376 Sermaye Tamamlama Cetveli)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2" t="inlineStr">
        <is>
          <t>Metin</t>
        </is>
      </c>
      <c r="D7" s="169" t="n"/>
      <c r="E7" s="169" t="n"/>
      <c r="F7" s="117" t="inlineStr">
        <is>
          <t>Rapor ve kapakta görünen firma adı.</t>
        </is>
      </c>
      <c r="G7" s="112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2" t="inlineStr">
        <is>
          <t>Tarih</t>
        </is>
      </c>
      <c r="D8" s="169" t="n"/>
      <c r="E8" s="169" t="n"/>
      <c r="F8" s="117" t="inlineStr">
        <is>
          <t>Tüm hesapların ve kararın alındığı tarih.</t>
        </is>
      </c>
      <c r="G8" s="112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2" t="inlineStr">
        <is>
          <t>Metin</t>
        </is>
      </c>
      <c r="D9" s="169" t="n"/>
      <c r="E9" s="169" t="n"/>
      <c r="F9" s="117" t="inlineStr">
        <is>
          <t>Raporu hazırlayan kişi/rol.</t>
        </is>
      </c>
      <c r="G9" s="112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2" t="inlineStr">
        <is>
          <t>Metin</t>
        </is>
      </c>
      <c r="D10" s="169" t="n"/>
      <c r="E10" s="169" t="n"/>
      <c r="F10" s="117" t="inlineStr">
        <is>
          <t>Ürün sürüm bilgisi; rapor alt bilgisinde görünür.</t>
        </is>
      </c>
      <c r="G10" s="112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TtkUcteBirEsik</t>
        </is>
      </c>
      <c r="B11" s="172" t="n">
        <v>0.333333</v>
      </c>
      <c r="C11" s="112" t="inlineStr">
        <is>
          <t>Oran</t>
        </is>
      </c>
      <c r="D11" s="169" t="n">
        <v>0.05</v>
      </c>
      <c r="E11" s="169" t="n">
        <v>0.5</v>
      </c>
      <c r="F11" s="117" t="inlineStr">
        <is>
          <t>TTK 376 1/3 sermaye kaybı eşiği; altına düşen öz kaynak işlemi tetikler.</t>
        </is>
      </c>
      <c r="G11" s="112" t="inlineStr">
        <is>
          <t>Mevzuat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TtkUcteIkiEsik</t>
        </is>
      </c>
      <c r="B12" s="172" t="n">
        <v>0.666667</v>
      </c>
      <c r="C12" s="112" t="inlineStr">
        <is>
          <t>Oran</t>
        </is>
      </c>
      <c r="D12" s="169" t="n">
        <v>0.3</v>
      </c>
      <c r="E12" s="169" t="n">
        <v>1</v>
      </c>
      <c r="F12" s="117" t="inlineStr">
        <is>
          <t>TTK 376 2/3 sermaye kaybı eşiği; bu eşikte genel kurul derhal toplanır.</t>
        </is>
      </c>
      <c r="G12" s="112" t="inlineStr">
        <is>
          <t>Mevzuat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TtkTahminCarpan</t>
        </is>
      </c>
      <c r="B13" s="172" t="n">
        <v>1.645</v>
      </c>
      <c r="C13" s="112" t="inlineStr">
        <is>
          <t>Oran</t>
        </is>
      </c>
      <c r="D13" s="169" t="n">
        <v>0</v>
      </c>
      <c r="E13" s="169" t="n">
        <v>3</v>
      </c>
      <c r="F13" s="117" t="inlineStr">
        <is>
          <t>Tahmin bandı genişliği (standart sapma katı).</t>
        </is>
      </c>
      <c r="G13" s="112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TtkIyiSenaryo</t>
        </is>
      </c>
      <c r="B14" s="172" t="n">
        <v>0.6</v>
      </c>
      <c r="C14" s="112" t="inlineStr">
        <is>
          <t>Oran</t>
        </is>
      </c>
      <c r="D14" s="169" t="n">
        <v>0.1</v>
      </c>
      <c r="E14" s="169" t="n">
        <v>1</v>
      </c>
      <c r="F14" s="117" t="inlineStr">
        <is>
          <t>İyimser senaryoda dönem zararı bu çarpanla hesaplanır (0.6 = %40 azalış).</t>
        </is>
      </c>
      <c r="G14" s="112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TtkBazSenaryo</t>
        </is>
      </c>
      <c r="B15" s="172" t="n">
        <v>1</v>
      </c>
      <c r="C15" s="112" t="inlineStr">
        <is>
          <t>Oran</t>
        </is>
      </c>
      <c r="D15" s="169" t="n">
        <v>0.1</v>
      </c>
      <c r="E15" s="169" t="n">
        <v>2</v>
      </c>
      <c r="F15" s="117" t="inlineStr">
        <is>
          <t>Baz senaryoda dönem zararı bu çarpanla hesaplanır.</t>
        </is>
      </c>
      <c r="G15" s="112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TtkKotuSenaryo</t>
        </is>
      </c>
      <c r="B16" s="172" t="n">
        <v>1.5</v>
      </c>
      <c r="C16" s="112" t="inlineStr">
        <is>
          <t>Oran</t>
        </is>
      </c>
      <c r="D16" s="169" t="n">
        <v>0.1</v>
      </c>
      <c r="E16" s="169" t="n">
        <v>3</v>
      </c>
      <c r="F16" s="117" t="inlineStr">
        <is>
          <t>Kötümser senaryoda dönem zararı bu çarpanla hesaplanır (1.5 = %50 artış).</t>
        </is>
      </c>
      <c r="G16" s="112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TtkTornadoZarar</t>
        </is>
      </c>
      <c r="B17" s="172" t="n">
        <v>0.01</v>
      </c>
      <c r="C17" s="112" t="inlineStr">
        <is>
          <t>Oran</t>
        </is>
      </c>
      <c r="D17" s="169" t="n">
        <v>0</v>
      </c>
      <c r="E17" s="169" t="n">
        <v>0.2</v>
      </c>
      <c r="F17" s="117" t="inlineStr">
        <is>
          <t>Tornado analizinde dönem zararının %1 artış etkisi.</t>
        </is>
      </c>
      <c r="G17" s="112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TtkKaliteIyi</t>
        </is>
      </c>
      <c r="B18" s="173" t="n">
        <v>90</v>
      </c>
      <c r="C18" s="112" t="inlineStr">
        <is>
          <t>Skor</t>
        </is>
      </c>
      <c r="D18" s="169" t="n">
        <v>0</v>
      </c>
      <c r="E18" s="169" t="n">
        <v>100</v>
      </c>
      <c r="F18" s="117" t="inlineStr">
        <is>
          <t>Kalite skoru bu eşiğin üzerindeyse YÜKSEK kalite.</t>
        </is>
      </c>
      <c r="G18" s="112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TtkKaliteOrta</t>
        </is>
      </c>
      <c r="B19" s="173" t="n">
        <v>70</v>
      </c>
      <c r="C19" s="112" t="inlineStr">
        <is>
          <t>Skor</t>
        </is>
      </c>
      <c r="D19" s="169" t="n">
        <v>0</v>
      </c>
      <c r="E19" s="169" t="n">
        <v>100</v>
      </c>
      <c r="F19" s="117" t="inlineStr">
        <is>
          <t>Kalite skoru bu eşiğin üzerindeyse ORTA kalite.</t>
        </is>
      </c>
      <c r="G19" s="112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TtkAksiyon1_ACIKLAMA</t>
        </is>
      </c>
      <c r="B20" s="174" t="inlineStr">
        <is>
          <t>1/3 eşiğine yaklaşılıyorsa ödenmiş sermayeyi koruyacak şekilde ortaklardan sermaye taahhüdü veya borç/kâr transferi planlayın.</t>
        </is>
      </c>
      <c r="C20" s="112" t="inlineStr">
        <is>
          <t>Metin</t>
        </is>
      </c>
      <c r="D20" s="169" t="n"/>
      <c r="E20" s="169" t="n"/>
      <c r="F20" s="117" t="inlineStr">
        <is>
          <t>İNCELE kararında gösterilen ilk öneri.</t>
        </is>
      </c>
      <c r="G20" s="112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TtkAksiyon2_ACIKLAMA</t>
        </is>
      </c>
      <c r="B21" s="174" t="inlineStr">
        <is>
          <t>2/3 kayıp durumunda genel kurulu derhal toplayın; sermaye artırımı, azaltım veya infisah kararı için hukuki ve mali danışman desteği alın.</t>
        </is>
      </c>
      <c r="C21" s="112" t="inlineStr">
        <is>
          <t>Metin</t>
        </is>
      </c>
      <c r="D21" s="169" t="n"/>
      <c r="E21" s="169" t="n"/>
      <c r="F21" s="117" t="inlineStr">
        <is>
          <t>DURDUR kararında gösterilen ikinci öneri.</t>
        </is>
      </c>
      <c r="G21" s="112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TtkAksiyon3_ACIKLAMA</t>
        </is>
      </c>
      <c r="B22" s="174" t="inlineStr">
        <is>
          <t>Borca batıklıkta aktif değerlemesini yeniden yapın; bilanço güncellemesi ve mahkeme bildirimi sürecini mali müşavirle birlikte yürütün.</t>
        </is>
      </c>
      <c r="C22" s="112" t="inlineStr">
        <is>
          <t>Metin</t>
        </is>
      </c>
      <c r="D22" s="169" t="n"/>
      <c r="E22" s="169" t="n"/>
      <c r="F22" s="117" t="inlineStr">
        <is>
          <t>DURDUR kararında gösterilen üçüncü öneri.</t>
        </is>
      </c>
      <c r="G22" s="112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TtkP90Oran</t>
        </is>
      </c>
      <c r="B23" s="172" t="n">
        <v>0.9</v>
      </c>
      <c r="C23" s="112" t="inlineStr">
        <is>
          <t>Oran</t>
        </is>
      </c>
      <c r="D23" s="169" t="n">
        <v>0.5</v>
      </c>
      <c r="E23" s="169" t="n">
        <v>1</v>
      </c>
      <c r="F23" s="117" t="inlineStr">
        <is>
          <t>Borç tutarı dağılımında üst yüzdelik dilimin oranı.</t>
        </is>
      </c>
      <c r="G23" s="112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TtkAzamiBilancoTutari</t>
        </is>
      </c>
      <c r="B24" s="175" t="n">
        <v>100000000000</v>
      </c>
      <c r="C24" s="112" t="inlineStr">
        <is>
          <t>TL</t>
        </is>
      </c>
      <c r="D24" s="169" t="n">
        <v>0</v>
      </c>
      <c r="E24" s="169" t="n">
        <v>100000000000000</v>
      </c>
      <c r="F24" s="117" t="inlineStr">
        <is>
          <t>Gerçekçilik üst sınırı; toplam borç bu tutarı aşarsa uç değer işareti üretilir ve karar İNCELE kalır.</t>
        </is>
      </c>
      <c r="G24" s="112" t="inlineStr">
        <is>
          <t>Varsayım</t>
        </is>
      </c>
      <c r="H24" s="170" t="n">
        <v>46023</v>
      </c>
      <c r="I24" s="170" t="n">
        <v>46244</v>
      </c>
    </row>
    <row r="26" ht="25.5" customHeight="1" s="80">
      <c r="A26" s="176" t="inlineStr">
        <is>
          <t>TtkPanelSatir1</t>
        </is>
      </c>
      <c r="B26" s="177" t="n">
        <v>1</v>
      </c>
      <c r="C26" s="112" t="inlineStr">
        <is>
          <t>Satır</t>
        </is>
      </c>
      <c r="F26" s="117" t="inlineStr">
        <is>
          <t>PANO'daki aylık öz kaynak grafiği serisinin tablodaki veri satırı (1. veri).</t>
        </is>
      </c>
      <c r="G26" s="112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TtkPanelSatir2</t>
        </is>
      </c>
      <c r="B27" s="177" t="n">
        <v>2</v>
      </c>
      <c r="C27" s="112" t="inlineStr">
        <is>
          <t>Satır</t>
        </is>
      </c>
      <c r="F27" s="117" t="inlineStr">
        <is>
          <t>PANO'daki aylık öz kaynak grafiği serisinin tablodaki veri satırı (2. veri).</t>
        </is>
      </c>
      <c r="G27" s="112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TtkPanelSatir3</t>
        </is>
      </c>
      <c r="B28" s="177" t="n">
        <v>3</v>
      </c>
      <c r="C28" s="112" t="inlineStr">
        <is>
          <t>Satır</t>
        </is>
      </c>
      <c r="F28" s="117" t="inlineStr">
        <is>
          <t>PANO'daki aylık öz kaynak grafiği serisinin tablodaki veri satırı (3. veri).</t>
        </is>
      </c>
      <c r="G28" s="112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TtkPanelSatir4</t>
        </is>
      </c>
      <c r="B29" s="177" t="n">
        <v>4</v>
      </c>
      <c r="C29" s="112" t="inlineStr">
        <is>
          <t>Satır</t>
        </is>
      </c>
      <c r="F29" s="117" t="inlineStr">
        <is>
          <t>PANO'daki aylık öz kaynak grafiği serisinin tablodaki veri satırı (4. veri).</t>
        </is>
      </c>
      <c r="G29" s="112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TtkPanelSatir5</t>
        </is>
      </c>
      <c r="B30" s="177" t="n">
        <v>5</v>
      </c>
      <c r="C30" s="112" t="inlineStr">
        <is>
          <t>Satır</t>
        </is>
      </c>
      <c r="F30" s="117" t="inlineStr">
        <is>
          <t>PANO'daki aylık öz kaynak grafiği serisinin tablodaki veri satırı (5. veri).</t>
        </is>
      </c>
      <c r="G30" s="112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TtkPanelSatir6</t>
        </is>
      </c>
      <c r="B31" s="177" t="n">
        <v>6</v>
      </c>
      <c r="C31" s="112" t="inlineStr">
        <is>
          <t>Satır</t>
        </is>
      </c>
      <c r="F31" s="117" t="inlineStr">
        <is>
          <t>PANO'daki aylık öz kaynak grafiği serisinin tablodaki veri satırı (6. veri).</t>
        </is>
      </c>
      <c r="G31" s="112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TtkPanelSatir7</t>
        </is>
      </c>
      <c r="B32" s="177" t="n">
        <v>7</v>
      </c>
      <c r="C32" s="112" t="inlineStr">
        <is>
          <t>Satır</t>
        </is>
      </c>
      <c r="F32" s="117" t="inlineStr">
        <is>
          <t>PANO'daki aylık öz kaynak grafiği serisinin tablodaki veri satırı (7. veri).</t>
        </is>
      </c>
      <c r="G32" s="112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TtkPanelSatir8</t>
        </is>
      </c>
      <c r="B33" s="177" t="n">
        <v>8</v>
      </c>
      <c r="C33" s="112" t="inlineStr">
        <is>
          <t>Satır</t>
        </is>
      </c>
      <c r="F33" s="117" t="inlineStr">
        <is>
          <t>PANO'daki aylık öz kaynak grafiği serisinin tablodaki veri satırı (8. veri).</t>
        </is>
      </c>
      <c r="G33" s="112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TtkPanelSatir9</t>
        </is>
      </c>
      <c r="B34" s="177" t="n">
        <v>9</v>
      </c>
      <c r="C34" s="112" t="inlineStr">
        <is>
          <t>Satır</t>
        </is>
      </c>
      <c r="F34" s="117" t="inlineStr">
        <is>
          <t>PANO'daki aylık öz kaynak grafiği serisinin tablodaki veri satırı (9. veri).</t>
        </is>
      </c>
      <c r="G34" s="112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TtkPanelSatir10</t>
        </is>
      </c>
      <c r="B35" s="177" t="n">
        <v>10</v>
      </c>
      <c r="C35" s="112" t="inlineStr">
        <is>
          <t>Satır</t>
        </is>
      </c>
      <c r="F35" s="117" t="inlineStr">
        <is>
          <t>PANO'daki aylık öz kaynak grafiği serisinin tablodaki veri satırı (10. veri).</t>
        </is>
      </c>
      <c r="G35" s="112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TtkPanelSatir11</t>
        </is>
      </c>
      <c r="B36" s="177" t="n">
        <v>11</v>
      </c>
      <c r="C36" s="112" t="inlineStr">
        <is>
          <t>Satır</t>
        </is>
      </c>
      <c r="F36" s="117" t="inlineStr">
        <is>
          <t>PANO'daki aylık öz kaynak grafiği serisinin tablodaki veri satırı (11. veri).</t>
        </is>
      </c>
      <c r="G36" s="112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TtkPanelSatir12</t>
        </is>
      </c>
      <c r="B37" s="177" t="n">
        <v>12</v>
      </c>
      <c r="C37" s="112" t="inlineStr">
        <is>
          <t>Satır</t>
        </is>
      </c>
      <c r="F37" s="117" t="inlineStr">
        <is>
          <t>PANO'daki aylık öz kaynak grafiği serisinin tablodaki veri satırı (12. veri).</t>
        </is>
      </c>
      <c r="G37" s="112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67" t="inlineStr">
        <is>
          <t>TtkDonemGirisKolon</t>
        </is>
      </c>
      <c r="B38" s="173" t="n">
        <v>9</v>
      </c>
      <c r="C38" s="112" t="inlineStr">
        <is>
          <t>Adet</t>
        </is>
      </c>
      <c r="D38" s="169" t="n">
        <v>1</v>
      </c>
      <c r="E38" s="169" t="n">
        <v>100</v>
      </c>
      <c r="F38" s="117" t="inlineStr">
        <is>
          <t>DONEM_BILANCO tablosunda satır başına manuel giriş kolonu sayısı.</t>
        </is>
      </c>
      <c r="G38" s="112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67" t="inlineStr">
        <is>
          <t>TtkBorcGirisKolon</t>
        </is>
      </c>
      <c r="B39" s="173" t="n">
        <v>9</v>
      </c>
      <c r="C39" s="112" t="inlineStr">
        <is>
          <t>Adet</t>
        </is>
      </c>
      <c r="D39" s="169" t="n">
        <v>1</v>
      </c>
      <c r="E39" s="169" t="n">
        <v>100</v>
      </c>
      <c r="F39" s="117" t="inlineStr">
        <is>
          <t>BORC_LISTESI tablosunda satır başına manuel giriş kolonu sayısı.</t>
        </is>
      </c>
      <c r="G39" s="112" t="inlineStr">
        <is>
          <t>Kullanıcı</t>
        </is>
      </c>
      <c r="H39" s="170" t="n">
        <v>46023</v>
      </c>
      <c r="I39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3">
    <dataValidation sqref="B11" showDropDown="0" showInputMessage="0" showErrorMessage="1" allowBlank="0" errorTitle="Değer aralık dışı" error="TTK 376 1/3 sermaye kaybı eşiği; altına düşen öz kaynak işlemi tetikler." promptTitle="TtkUcteBirEsik" prompt="TTK 376 1/3 sermaye kaybı eşiği; altına düşen öz kaynak işlemi tetikler." type="decimal" errorStyle="stop" operator="between">
      <formula1>0.05</formula1>
      <formula2>0.5</formula2>
    </dataValidation>
    <dataValidation sqref="B12" showDropDown="0" showInputMessage="0" showErrorMessage="1" allowBlank="0" errorTitle="Değer aralık dışı" error="TTK 376 2/3 sermaye kaybı eşiği; bu eşikte genel kurul derhal toplanır." promptTitle="TtkUcteIkiEsik" prompt="TTK 376 2/3 sermaye kaybı eşiği; bu eşikte genel kurul derhal toplanır." type="decimal" errorStyle="stop" operator="between">
      <formula1>0.3</formula1>
      <formula2>1</formula2>
    </dataValidation>
    <dataValidation sqref="B13" showDropDown="0" showInputMessage="0" showErrorMessage="1" allowBlank="0" errorTitle="Değer aralık dışı" error="Tahmin bandı genişliği (standart sapma katı)." promptTitle="TtkTahminCarpan" prompt="Tahmin bandı genişliği (standart sapma katı)." type="decimal" errorStyle="stop" operator="between">
      <formula1>0</formula1>
      <formula2>3</formula2>
    </dataValidation>
    <dataValidation sqref="B14" showDropDown="0" showInputMessage="0" showErrorMessage="1" allowBlank="0" errorTitle="Değer aralık dışı" error="İyimser senaryoda dönem zararı bu çarpanla hesaplanır (0.6 = %40 azalış)." promptTitle="TtkIyiSenaryo" prompt="İyimser senaryoda dönem zararı bu çarpanla hesaplanır (0.6 = %40 azalış)." type="decimal" errorStyle="stop" operator="between">
      <formula1>0.1</formula1>
      <formula2>1</formula2>
    </dataValidation>
    <dataValidation sqref="B15" showDropDown="0" showInputMessage="0" showErrorMessage="1" allowBlank="0" errorTitle="Değer aralık dışı" error="Baz senaryoda dönem zararı bu çarpanla hesaplanır." promptTitle="TtkBazSenaryo" prompt="Baz senaryoda dönem zararı bu çarpanla hesaplanır." type="decimal" errorStyle="stop" operator="between">
      <formula1>0.1</formula1>
      <formula2>2</formula2>
    </dataValidation>
    <dataValidation sqref="B16" showDropDown="0" showInputMessage="0" showErrorMessage="1" allowBlank="0" errorTitle="Değer aralık dışı" error="Kötümser senaryoda dönem zararı bu çarpanla hesaplanır (1.5 = %50 artış)." promptTitle="TtkKotuSenaryo" prompt="Kötümser senaryoda dönem zararı bu çarpanla hesaplanır (1.5 = %50 artış)." type="decimal" errorStyle="stop" operator="between">
      <formula1>0.1</formula1>
      <formula2>3</formula2>
    </dataValidation>
    <dataValidation sqref="B17" showDropDown="0" showInputMessage="0" showErrorMessage="1" allowBlank="0" errorTitle="Değer aralık dışı" error="Tornado analizinde dönem zararının %1 artış etkisi." promptTitle="TtkTornadoZarar" prompt="Tornado analizinde dönem zararının %1 artış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Kalite skoru bu eşiğin üzerindeyse YÜKSEK kalite." promptTitle="TtkKaliteIyi" prompt="Kalite skoru bu eşiğin üzerindeyse YÜKSEK kalite." type="decimal" errorStyle="stop" operator="between">
      <formula1>0</formula1>
      <formula2>100</formula2>
    </dataValidation>
    <dataValidation sqref="B19" showDropDown="0" showInputMessage="0" showErrorMessage="1" allowBlank="0" errorTitle="Değer aralık dışı" error="Kalite skoru bu eşiğin üzerindeyse ORTA kalite." promptTitle="TtkKaliteOrta" prompt="Kalite skoru bu eşiğin üzerindeyse ORTA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Borç tutarı dağılımında üst yüzdelik dilimin oranı." promptTitle="TtkP90Oran" prompt="Borç tutarı dağılımında üst yüzdelik dilimin oranı." type="decimal" errorStyle="stop" operator="between">
      <formula1>0.5</formula1>
      <formula2>1</formula2>
    </dataValidation>
    <dataValidation sqref="B24" showDropDown="0" showInputMessage="0" showErrorMessage="1" allowBlank="0" errorTitle="Değer aralık dışı" error="Gerçekçilik üst sınırı; toplam borç bu tutarı aşarsa uç değer işareti üretilir ve karar İNCELE kalır." promptTitle="TtkAzamiBilancoTutari" prompt="Gerçekçilik üst sınırı; toplam borç bu tutarı aşarsa uç değer işareti üretilir ve karar İNCELE kalır." type="decimal" errorStyle="stop" operator="between">
      <formula1>0</formula1>
      <formula2>100000000000000</formula2>
    </dataValidation>
    <dataValidation sqref="B38" showDropDown="0" showInputMessage="0" showErrorMessage="1" allowBlank="0" errorTitle="Değer aralık dışı" error="DONEM_BILANCO tablosunda satır başına manuel giriş kolonu sayısı." promptTitle="TtkDonemGirisKolon" prompt="DONEM_BILANCO tablosunda satır başına manuel giriş kolonu sayısı." type="decimal" errorStyle="stop" operator="between">
      <formula1>1</formula1>
      <formula2>100</formula2>
    </dataValidation>
    <dataValidation sqref="B39" showDropDown="0" showInputMessage="0" showErrorMessage="1" allowBlank="0" errorTitle="Değer aralık dışı" error="BORC_LISTESI tablosunda satır başına manuel giriş kolonu sayısı." promptTitle="TtkBorcGirisKolon" prompt="BORC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Şirket Öz Kaynağı Eridi Mi? (TTK 376 Sermaye Tamamlama Cetveli)</t>
        </is>
      </c>
    </row>
    <row r="3" ht="15.75" customHeight="1" s="80">
      <c r="A3" s="113" t="inlineStr">
        <is>
          <t>Kullanım Kılavuzu</t>
        </is>
      </c>
    </row>
    <row r="5" ht="15" customHeight="1" s="80">
      <c r="A5" s="114" t="inlineStr">
        <is>
          <t>Veri girişi</t>
        </is>
      </c>
      <c r="B5" s="111" t="inlineStr">
        <is>
          <t>DONEM_BILANCO sayfasındaki sarı hücrelere aylık bilanço bileşenlerinizi (ödenmiş sermaye, yedekler, geçmiş yıl kâr/zarar, dönem kâr/zarar, borç ve aktif) girin; BORC_LISTESI sayfasına borçlarınızı ve türlerini ekleyin.</t>
        </is>
      </c>
    </row>
    <row r="6" ht="15" customHeight="1" s="80">
      <c r="A6" s="114" t="inlineStr">
        <is>
          <t>Hesap katmanı</t>
        </is>
      </c>
      <c r="B6" s="111" t="inlineStr">
        <is>
          <t>HESAP sayfası öz kaynağı, sermaye kaybı tutarını, kayıp oranını ve TTK 376'daki 1/3 ile 2/3 eşiklerini otomatik özetler.</t>
        </is>
      </c>
    </row>
    <row r="7" ht="15" customHeight="1" s="80">
      <c r="A7" s="114" t="inlineStr">
        <is>
          <t>Karar ve rapor</t>
        </is>
      </c>
      <c r="B7" s="111" t="inlineStr">
        <is>
          <t>KARAR sayfası UYGUN/İNCELE/DURDUR kararını üretir; RAPOR genel kurul ve yönetim kuruluna sunulabilir.</t>
        </is>
      </c>
    </row>
    <row r="8" ht="15" customHeight="1" s="80">
      <c r="A8" s="114" t="inlineStr">
        <is>
          <t>Ayarlar</t>
        </is>
      </c>
      <c r="B8" s="111" t="inlineStr">
        <is>
          <t>AYARLAR sayfasındaki 1/3 ve 2/3 eşiklerini ve senaryo çarpanlarını mali müşavirinize göre güncelleyin.</t>
        </is>
      </c>
    </row>
    <row r="9" ht="15" customHeight="1" s="80">
      <c r="A9" s="114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7" t="inlineStr">
        <is>
          <t>Bu dosya karar destek aracıdır; hukuki ve mali müşavir görüşü, genel kurul kararı ve tescil süreci yerine geçmez.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Tahmin Çarpanı (standart sapma katı)</t>
        </is>
      </c>
    </row>
    <row r="16" ht="15" customHeight="1" s="80">
      <c r="A16" s="178" t="inlineStr">
        <is>
          <t>• İyimser, Baz ve Kötümser Senaryo Çarpanları</t>
        </is>
      </c>
    </row>
    <row r="17" ht="15" customHeight="1" s="80">
      <c r="A17" s="178" t="inlineStr">
        <is>
          <t>• Tornado Dönem Zararı Etkisi</t>
        </is>
      </c>
    </row>
    <row r="18" ht="15" customHeight="1" s="80">
      <c r="A18" s="178" t="inlineStr">
        <is>
          <t>• Kalite Skoru İyi ve Orta Eşikleri</t>
        </is>
      </c>
    </row>
    <row r="19" ht="15" customHeight="1" s="80">
      <c r="A19" s="178" t="inlineStr">
        <is>
          <t>• P90 Yüzdelik Oranı</t>
        </is>
      </c>
    </row>
    <row r="20" ht="15" customHeight="1" s="80">
      <c r="A20" s="178" t="inlineStr">
        <is>
          <t>• Aksiyon Önerisi Açıklamaları</t>
        </is>
      </c>
    </row>
    <row r="21" ht="15" customHeight="1" s="80">
      <c r="A21" s="178" t="inlineStr">
        <is>
          <t>• Panel Satır Numaraları</t>
        </is>
      </c>
    </row>
    <row r="24" ht="24.75" customHeight="1" s="80">
      <c r="A24" s="117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2026-08-10T14:56:20Z</dcterms:created>
  <dcterms:modified xmlns:dcterms="http://purl.org/dc/terms/" xmlns:xsi="http://www.w3.org/2001/XMLSchema-instance" xsi:type="dcterms:W3CDTF">2026-09-25T15:13:53Z</dcterms:modified>
  <cp:revision>0</cp:revision>
</cp:coreProperties>
</file>