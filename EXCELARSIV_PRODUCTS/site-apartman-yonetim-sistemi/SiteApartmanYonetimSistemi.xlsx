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PAYDASLAR" sheetId="13" state="visible" r:id="rId13"/>
    <sheet xmlns:r="http://schemas.openxmlformats.org/officeDocument/2006/relationships" name="DONEMLER" sheetId="14" state="visible" r:id="rId14"/>
    <sheet xmlns:r="http://schemas.openxmlformats.org/officeDocument/2006/relationships" name="TAHSILAT" sheetId="15" state="visible" r:id="rId15"/>
    <sheet xmlns:r="http://schemas.openxmlformats.org/officeDocument/2006/relationships" name="ANAHTAR" sheetId="16" state="visible" r:id="rId16"/>
    <sheet xmlns:r="http://schemas.openxmlformats.org/officeDocument/2006/relationships" name="ESLESTIRME" sheetId="17" state="visible" r:id="rId17"/>
    <sheet xmlns:r="http://schemas.openxmlformats.org/officeDocument/2006/relationships" name="KOK_NEDEN" sheetId="18" state="visible" r:id="rId18"/>
    <sheet xmlns:r="http://schemas.openxmlformats.org/officeDocument/2006/relationships" name="AKIS" sheetId="19" state="visible" r:id="rId19"/>
    <sheet xmlns:r="http://schemas.openxmlformats.org/officeDocument/2006/relationships" name="GIDER" sheetId="20" state="visible" r:id="rId20"/>
    <sheet xmlns:r="http://schemas.openxmlformats.org/officeDocument/2006/relationships" name="KARARLAR" sheetId="21" state="visible" r:id="rId21"/>
    <sheet xmlns:r="http://schemas.openxmlformats.org/officeDocument/2006/relationships" name="KARAR" sheetId="22" state="visible" r:id="rId22"/>
    <sheet xmlns:r="http://schemas.openxmlformats.org/officeDocument/2006/relationships" name="RAPOR" sheetId="23" state="visible" r:id="rId23"/>
    <sheet xmlns:r="http://schemas.openxmlformats.org/officeDocument/2006/relationships" name="KONTROLLER" sheetId="24" state="visible" r:id="rId24"/>
    <sheet xmlns:r="http://schemas.openxmlformats.org/officeDocument/2006/relationships" name="ORNEK_VERI" sheetId="25" state="visible" r:id="rId25"/>
    <sheet xmlns:r="http://schemas.openxmlformats.org/officeDocument/2006/relationships" name="LISTELER" sheetId="26" state="visible" r:id="rId26"/>
    <sheet xmlns:r="http://schemas.openxmlformats.org/officeDocument/2006/relationships" name="AYARLAR" sheetId="27" state="visible" r:id="rId27"/>
    <sheet xmlns:r="http://schemas.openxmlformats.org/officeDocument/2006/relationships" name="KILAVUZ" sheetId="28" state="visible" r:id="rId28"/>
  </sheets>
  <definedNames>
    <definedName name="raporTarihi">AYARLAR!$B$5</definedName>
    <definedName name="toleransKurus">AYARLAR!$B$6</definedName>
    <definedName name="zincirTolerans">AYARLAR!$B$7</definedName>
    <definedName name="say_gecikmeZammi">AYARLAR!$B$8</definedName>
    <definedName name="say_icapEsikGun">AYARLAR!$B$9</definedName>
    <definedName name="say_esikFark">AYARLAR!$B$10</definedName>
    <definedName name="say_ikincilUzunluk">AYARLAR!$B$11</definedName>
    <definedName name="say_hedefTahsilat">AYARLAR!$B$12</definedName>
    <definedName name="say_senaryoIyimser">AYARLAR!$B$13</definedName>
    <definedName name="say_senaryoKotumser">AYARLAR!$B$14</definedName>
    <definedName name="say_fiyatModeli">AYARLAR!$B$15</definedName>
    <definedName name="say_olcekHedef">AYARLAR!$B$16</definedName>
    <definedName name="say_trendOcak">AYARLAR!$B$17</definedName>
    <definedName name="say_trendSubat">AYARLAR!$B$18</definedName>
    <definedName name="say_trendMart">AYARLAR!$B$19</definedName>
    <definedName name="say_trendNisan">AYARLAR!$B$20</definedName>
    <definedName name="say_trendMayis">AYARLAR!$B$21</definedName>
    <definedName name="say_trendHaziran">AYARLAR!$B$22</definedName>
    <definedName name="say_trendTemmuz">AYARLAR!$B$23</definedName>
    <definedName name="say_trendAgustos">AYARLAR!$B$24</definedName>
    <definedName name="say_trendEylul">AYARLAR!$B$25</definedName>
    <definedName name="say_trendEkim">AYARLAR!$B$26</definedName>
    <definedName name="say_trendKasim">AYARLAR!$B$27</definedName>
    <definedName name="say_trendAralik">AYARLAR!$B$28</definedName>
    <definedName name="say_toplamBorc">AYARLAR!$N$7</definedName>
    <definedName name="say_toplamTahsilat">AYARLAR!$N$8</definedName>
    <definedName name="say_tahsilatOrani">AYARLAR!$N$9</definedName>
    <definedName name="say_kasaBakiye">AYARLAR!$N$10</definedName>
    <definedName name="say_gecikenMalik">AYARLAR!$N$11</definedName>
    <definedName name="say_icapKuyruk">AYARLAR!$N$12</definedName>
    <definedName name="say_yetimKayit">AYARLAR!$N$13</definedName>
    <definedName name="say_gecersizGecis">AYARLAR!$N$14</definedName>
    <definedName name="say_zincirKirik">AYARLAR!$N$15</definedName>
    <definedName name="say_eslesmeOrani">AYARLAR!$N$16</definedName>
    <definedName name="say_giderSapma">AYARLAR!$N$17</definedName>
    <definedName name="say_kararSayisi">AYARLAR!$N$18</definedName>
    <definedName name="say_kovaButunluk">AYARLAR!$N$19</definedName>
    <definedName name="say_kararKapi">AYARLAR!$N$20</definedName>
    <definedName name="say_kararGerekce">AYARLAR!$N$21</definedName>
    <definedName name="say_normAnahtar">AYARLAR!$N$22</definedName>
    <definedName name="say_tanimsizKova">AYARLAR!$N$23</definedName>
    <definedName name="say_durumHaritasi">AYARLAR!$N$24</definedName>
    <definedName name="say_kanitRaporu">AYARLAR!$N$25</definedName>
    <definedName name="say_kapaliDusum">AYARLAR!$N$26</definedName>
    <definedName name="say_modulT1">AYARLAR!$N$27</definedName>
    <definedName name="say_modulT1Yorum">AYARLAR!$N$28</definedName>
    <definedName name="say_modulT2">AYARLAR!$N$29</definedName>
    <definedName name="say_modulT2Yorum">AYARLAR!$N$30</definedName>
    <definedName name="say_modulO1">AYARLAR!$N$31</definedName>
    <definedName name="say_modulO1Yorum">AYARLAR!$N$32</definedName>
    <definedName name="say_modulO2">AYARLAR!$N$33</definedName>
    <definedName name="say_modulO2Yorum">AYARLAR!$N$34</definedName>
    <definedName name="say_modulO3">AYARLAR!$N$35</definedName>
    <definedName name="say_modulO3Yorum">AYARLAR!$N$36</definedName>
    <definedName name="say_modulO6">AYARLAR!$N$37</definedName>
    <definedName name="say_modulO6Yorum">AYARLAR!$N$38</definedName>
    <definedName name="say_modulO8">AYARLAR!$N$39</definedName>
    <definedName name="say_modulO8Yorum">AYARLAR!$N$40</definedName>
    <definedName name="say_modulI1">AYARLAR!$N$41</definedName>
    <definedName name="say_modulI1Yorum">AYARLAR!$N$42</definedName>
    <definedName name="say_modulI2">AYARLAR!$N$43</definedName>
    <definedName name="say_modulI2Yorum">AYARLAR!$N$44</definedName>
    <definedName name="say_kvkkBeyani">AYARLAR!$N$45</definedName>
    <definedName name="say_kritikCarpan">AYARLAR!$N$46</definedName>
    <definedName name="ListeEvetHayir">LISTELER!$A$6:$A$7</definedName>
    <definedName name="ListeDurum">LISTELER!$C$6:$C$10</definedName>
    <definedName name="ListeKararSonuc">LISTELER!$E$6:$E$9</definedName>
    <definedName name="ListeOrgan">LISTELER!$G$6:$G$7</definedName>
    <definedName name="ListeIzinliGecis">LISTELER!$I$6:$I$20</definedName>
    <definedName name="_xlnm.Print_Area" localSheetId="22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dd.mm.yyyy"/>
    <numFmt numFmtId="167" formatCode="0.0"/>
    <numFmt numFmtId="168" formatCode="#,##0 &quot;TL&quot;"/>
    <numFmt numFmtId="169" formatCode="0.0%"/>
    <numFmt numFmtId="170" formatCode="₺#,##0"/>
    <numFmt numFmtId="171" formatCode="0.00&quot;x&quot;"/>
  </numFmts>
  <fonts count="8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color rgb="00000000"/>
      <sz val="10"/>
    </font>
    <font>
      <name val="Segoe UI"/>
      <b val="1"/>
      <color rgb="00000000"/>
      <sz val="14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2" fontId="11" fillId="3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166" fontId="11" fillId="3" borderId="0" applyAlignment="1" applyProtection="1" pivotButton="0" quotePrefix="0" xfId="0">
      <alignment horizontal="left" vertical="center"/>
      <protection locked="0" hidden="0"/>
    </xf>
    <xf numFmtId="1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left" vertical="center"/>
    </xf>
    <xf numFmtId="1" fontId="10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3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5" fillId="6" borderId="0" applyAlignment="1" pivotButton="0" quotePrefix="0" xfId="0">
      <alignment horizontal="center" vertical="center"/>
    </xf>
    <xf numFmtId="0" fontId="26" fillId="0" borderId="0" pivotButton="0" quotePrefix="0" xfId="0"/>
    <xf numFmtId="168" fontId="26" fillId="0" borderId="0" pivotButton="0" quotePrefix="0" xfId="0"/>
    <xf numFmtId="168" fontId="27" fillId="0" borderId="0" pivotButton="0" quotePrefix="0" xfId="0"/>
    <xf numFmtId="169" fontId="26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/>
    </xf>
    <xf numFmtId="0" fontId="27" fillId="0" borderId="0" pivotButton="0" quotePrefix="0" xfId="0"/>
    <xf numFmtId="0" fontId="31" fillId="8" borderId="2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applyAlignment="1" pivotButton="0" quotePrefix="0" xfId="0">
      <alignment wrapText="1"/>
    </xf>
    <xf numFmtId="166" fontId="11" fillId="3" borderId="0" applyAlignment="1" applyProtection="1" pivotButton="0" quotePrefix="0" xfId="0">
      <alignment horizontal="left" vertical="center"/>
      <protection locked="0" hidden="0"/>
    </xf>
    <xf numFmtId="167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34" fillId="0" borderId="0" pivotButton="0" quotePrefix="0" xfId="0"/>
    <xf numFmtId="0" fontId="35" fillId="0" borderId="2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16" fillId="0" borderId="0" pivotButton="0" quotePrefix="0" xfId="0"/>
    <xf numFmtId="0" fontId="22" fillId="0" borderId="3" pivotButton="0" quotePrefix="0" xfId="0"/>
    <xf numFmtId="0" fontId="0" fillId="0" borderId="2" pivotButton="0" quotePrefix="0" xfId="0"/>
    <xf numFmtId="0" fontId="36" fillId="10" borderId="2" applyAlignment="1" pivotButton="0" quotePrefix="0" xfId="0">
      <alignment horizontal="center"/>
    </xf>
    <xf numFmtId="0" fontId="22" fillId="0" borderId="4" pivotButton="0" quotePrefix="0" xfId="0"/>
    <xf numFmtId="0" fontId="38" fillId="11" borderId="2" applyAlignment="1" pivotButton="0" quotePrefix="0" xfId="0">
      <alignment horizontal="center"/>
    </xf>
    <xf numFmtId="0" fontId="37" fillId="12" borderId="2" applyAlignment="1" pivotButton="0" quotePrefix="0" xfId="0">
      <alignment horizontal="center"/>
    </xf>
    <xf numFmtId="0" fontId="22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0" borderId="3" pivotButton="0" quotePrefix="0" xfId="0"/>
    <xf numFmtId="0" fontId="39" fillId="0" borderId="4" pivotButton="0" quotePrefix="0" xfId="0"/>
    <xf numFmtId="0" fontId="40" fillId="0" borderId="5" pivotButton="0" quotePrefix="0" xfId="0"/>
    <xf numFmtId="0" fontId="37" fillId="0" borderId="3" pivotButton="0" quotePrefix="0" xfId="0"/>
    <xf numFmtId="0" fontId="32" fillId="0" borderId="4" pivotButton="0" quotePrefix="0" xfId="0"/>
    <xf numFmtId="0" fontId="37" fillId="0" borderId="5" pivotButton="0" quotePrefix="0" xfId="0"/>
    <xf numFmtId="0" fontId="41" fillId="13" borderId="0" applyAlignment="1" pivotButton="0" quotePrefix="0" xfId="0">
      <alignment horizontal="center"/>
    </xf>
    <xf numFmtId="0" fontId="42" fillId="0" borderId="0" pivotButton="0" quotePrefix="0" xfId="0"/>
    <xf numFmtId="0" fontId="41" fillId="14" borderId="0" applyAlignment="1" pivotButton="0" quotePrefix="0" xfId="0">
      <alignment horizontal="center" vertical="center"/>
    </xf>
    <xf numFmtId="0" fontId="42" fillId="0" borderId="2" pivotButton="0" quotePrefix="0" xfId="0"/>
    <xf numFmtId="0" fontId="43" fillId="0" borderId="2" pivotButton="0" quotePrefix="0" xfId="0"/>
    <xf numFmtId="0" fontId="44" fillId="0" borderId="2" pivotButton="0" quotePrefix="0" xfId="0"/>
    <xf numFmtId="0" fontId="45" fillId="15" borderId="2" applyAlignment="1" pivotButton="0" quotePrefix="0" xfId="0">
      <alignment horizontal="center"/>
    </xf>
    <xf numFmtId="0" fontId="41" fillId="6" borderId="0" pivotButton="0" quotePrefix="0" xfId="0"/>
    <xf numFmtId="0" fontId="46" fillId="6" borderId="0" pivotButton="0" quotePrefix="0" xfId="0"/>
    <xf numFmtId="0" fontId="47" fillId="6" borderId="0" pivotButton="0" quotePrefix="0" xfId="0"/>
    <xf numFmtId="0" fontId="0" fillId="6" borderId="0" pivotButton="0" quotePrefix="0" xfId="0"/>
    <xf numFmtId="0" fontId="19" fillId="6" borderId="0" applyAlignment="1" pivotButton="0" quotePrefix="0" xfId="0">
      <alignment horizontal="center"/>
    </xf>
    <xf numFmtId="0" fontId="35" fillId="0" borderId="0" pivotButton="0" quotePrefix="0" xfId="0"/>
    <xf numFmtId="0" fontId="50" fillId="16" borderId="0" pivotButton="0" quotePrefix="0" xfId="0"/>
    <xf numFmtId="0" fontId="0" fillId="16" borderId="0" pivotButton="0" quotePrefix="0" xfId="0"/>
    <xf numFmtId="0" fontId="37" fillId="0" borderId="0" pivotButton="0" quotePrefix="0" xfId="0"/>
    <xf numFmtId="0" fontId="25" fillId="16" borderId="0" pivotButton="0" quotePrefix="0" xfId="0"/>
    <xf numFmtId="0" fontId="51" fillId="16" borderId="0" applyAlignment="1" pivotButton="0" quotePrefix="0" xfId="0">
      <alignment wrapText="1"/>
    </xf>
    <xf numFmtId="0" fontId="48" fillId="0" borderId="0" pivotButton="0" quotePrefix="0" xfId="0"/>
    <xf numFmtId="0" fontId="49" fillId="0" borderId="0" pivotButton="0" quotePrefix="0" xfId="0"/>
    <xf numFmtId="0" fontId="37" fillId="12" borderId="6" applyAlignment="1" pivotButton="0" quotePrefix="0" xfId="0">
      <alignment horizontal="center" vertical="center"/>
    </xf>
    <xf numFmtId="0" fontId="52" fillId="17" borderId="0" applyAlignment="1" pivotButton="0" quotePrefix="0" xfId="0">
      <alignment horizontal="center" vertical="center"/>
    </xf>
    <xf numFmtId="0" fontId="16" fillId="18" borderId="2" applyAlignment="1" pivotButton="0" quotePrefix="0" xfId="0">
      <alignment vertical="center"/>
    </xf>
    <xf numFmtId="0" fontId="36" fillId="10" borderId="0" applyAlignment="1" pivotButton="0" quotePrefix="0" xfId="0">
      <alignment horizontal="center" vertical="center"/>
    </xf>
    <xf numFmtId="0" fontId="37" fillId="12" borderId="0" applyAlignment="1" pivotButton="0" quotePrefix="0" xfId="0">
      <alignment horizontal="center" vertical="center"/>
    </xf>
    <xf numFmtId="0" fontId="53" fillId="6" borderId="0" applyAlignment="1" pivotButton="0" quotePrefix="0" xfId="0">
      <alignment horizontal="center" vertical="center"/>
    </xf>
    <xf numFmtId="0" fontId="54" fillId="18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4" fillId="18" borderId="2" pivotButton="0" quotePrefix="0" xfId="0"/>
    <xf numFmtId="170" fontId="55" fillId="18" borderId="2" applyAlignment="1" pivotButton="0" quotePrefix="0" xfId="0">
      <alignment horizontal="right"/>
    </xf>
    <xf numFmtId="9" fontId="54" fillId="18" borderId="2" applyAlignment="1" pivotButton="0" quotePrefix="0" xfId="0">
      <alignment horizontal="center"/>
    </xf>
    <xf numFmtId="170" fontId="54" fillId="18" borderId="2" applyAlignment="1" pivotButton="0" quotePrefix="0" xfId="0">
      <alignment horizontal="right"/>
    </xf>
    <xf numFmtId="0" fontId="37" fillId="18" borderId="2" applyAlignment="1" pivotButton="0" quotePrefix="0" xfId="0">
      <alignment horizontal="center"/>
    </xf>
    <xf numFmtId="0" fontId="54" fillId="17" borderId="2" applyAlignment="1" pivotButton="0" quotePrefix="0" xfId="0">
      <alignment horizontal="center"/>
    </xf>
    <xf numFmtId="0" fontId="55" fillId="17" borderId="2" applyAlignment="1" pivotButton="0" quotePrefix="0" xfId="0">
      <alignment horizontal="center"/>
    </xf>
    <xf numFmtId="0" fontId="54" fillId="17" borderId="2" pivotButton="0" quotePrefix="0" xfId="0"/>
    <xf numFmtId="170" fontId="55" fillId="17" borderId="2" applyAlignment="1" pivotButton="0" quotePrefix="0" xfId="0">
      <alignment horizontal="right"/>
    </xf>
    <xf numFmtId="9" fontId="54" fillId="17" borderId="2" applyAlignment="1" pivotButton="0" quotePrefix="0" xfId="0">
      <alignment horizontal="center"/>
    </xf>
    <xf numFmtId="170" fontId="54" fillId="17" borderId="2" applyAlignment="1" pivotButton="0" quotePrefix="0" xfId="0">
      <alignment horizontal="right"/>
    </xf>
    <xf numFmtId="0" fontId="42" fillId="17" borderId="2" applyAlignment="1" pivotButton="0" quotePrefix="0" xfId="0">
      <alignment horizontal="center"/>
    </xf>
    <xf numFmtId="0" fontId="37" fillId="17" borderId="2" applyAlignment="1" pivotButton="0" quotePrefix="0" xfId="0">
      <alignment horizontal="center"/>
    </xf>
    <xf numFmtId="0" fontId="38" fillId="17" borderId="2" applyAlignment="1" pivotButton="0" quotePrefix="0" xfId="0">
      <alignment horizontal="center"/>
    </xf>
    <xf numFmtId="0" fontId="25" fillId="6" borderId="0" applyAlignment="1" pivotButton="0" quotePrefix="0" xfId="0">
      <alignment vertical="center" indent="1"/>
    </xf>
    <xf numFmtId="170" fontId="56" fillId="6" borderId="0" applyAlignment="1" pivotButton="0" quotePrefix="0" xfId="0">
      <alignment horizontal="right" vertical="center"/>
    </xf>
    <xf numFmtId="0" fontId="57" fillId="0" borderId="7" pivotButton="0" quotePrefix="0" xfId="0"/>
    <xf numFmtId="0" fontId="58" fillId="0" borderId="7" pivotButton="0" quotePrefix="0" xfId="0"/>
    <xf numFmtId="0" fontId="59" fillId="0" borderId="7" pivotButton="0" quotePrefix="0" xfId="0"/>
    <xf numFmtId="0" fontId="60" fillId="19" borderId="2" applyAlignment="1" pivotButton="0" quotePrefix="0" xfId="0">
      <alignment horizontal="center" vertical="center"/>
    </xf>
    <xf numFmtId="0" fontId="64" fillId="10" borderId="2" applyAlignment="1" pivotButton="0" quotePrefix="0" xfId="0">
      <alignment horizontal="center" vertical="center"/>
    </xf>
    <xf numFmtId="0" fontId="61" fillId="0" borderId="2" pivotButton="0" quotePrefix="0" xfId="0"/>
    <xf numFmtId="0" fontId="60" fillId="0" borderId="2" applyAlignment="1" pivotButton="0" quotePrefix="0" xfId="0">
      <alignment horizontal="right"/>
    </xf>
    <xf numFmtId="0" fontId="64" fillId="0" borderId="2" applyAlignment="1" pivotButton="0" quotePrefix="0" xfId="0">
      <alignment horizontal="right"/>
    </xf>
    <xf numFmtId="0" fontId="35" fillId="0" borderId="2" applyAlignment="1" pivotButton="0" quotePrefix="0" xfId="0">
      <alignment horizontal="right"/>
    </xf>
    <xf numFmtId="0" fontId="62" fillId="0" borderId="2" applyAlignment="1" pivotButton="0" quotePrefix="0" xfId="0">
      <alignment horizontal="right"/>
    </xf>
    <xf numFmtId="0" fontId="63" fillId="11" borderId="8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61" fillId="0" borderId="0" pivotButton="0" quotePrefix="0" xfId="0"/>
    <xf numFmtId="0" fontId="66" fillId="20" borderId="0" applyAlignment="1" pivotButton="0" quotePrefix="0" xfId="0">
      <alignment horizontal="left" vertical="center" wrapText="1"/>
    </xf>
    <xf numFmtId="0" fontId="67" fillId="21" borderId="0" applyAlignment="1" pivotButton="0" quotePrefix="0" xfId="0">
      <alignment vertical="center" wrapText="1"/>
    </xf>
    <xf numFmtId="0" fontId="68" fillId="22" borderId="0" applyAlignment="1" pivotButton="0" quotePrefix="0" xfId="0">
      <alignment vertical="top" wrapText="1"/>
    </xf>
    <xf numFmtId="0" fontId="69" fillId="0" borderId="0" applyAlignment="1" pivotButton="0" quotePrefix="0" xfId="0">
      <alignment vertical="top" wrapText="1"/>
    </xf>
    <xf numFmtId="0" fontId="70" fillId="20" borderId="0" applyAlignment="1" pivotButton="0" quotePrefix="0" xfId="0">
      <alignment horizontal="left" vertical="center" wrapText="1"/>
    </xf>
    <xf numFmtId="0" fontId="66" fillId="23" borderId="0" applyAlignment="1" pivotButton="0" quotePrefix="0" xfId="0">
      <alignment horizontal="left" vertical="center" wrapText="1"/>
    </xf>
    <xf numFmtId="0" fontId="67" fillId="23" borderId="0" applyAlignment="1" pivotButton="0" quotePrefix="0" xfId="0">
      <alignment vertical="center" wrapText="1"/>
    </xf>
    <xf numFmtId="0" fontId="71" fillId="24" borderId="0" applyAlignment="1" pivotButton="0" quotePrefix="0" xfId="0">
      <alignment vertical="top" wrapText="1"/>
    </xf>
    <xf numFmtId="0" fontId="66" fillId="25" borderId="0" applyAlignment="1" pivotButton="0" quotePrefix="0" xfId="0">
      <alignment horizontal="left" vertical="center" wrapText="1"/>
    </xf>
    <xf numFmtId="0" fontId="67" fillId="25" borderId="0" applyAlignment="1" pivotButton="0" quotePrefix="0" xfId="0">
      <alignment vertical="center" wrapText="1"/>
    </xf>
    <xf numFmtId="0" fontId="72" fillId="26" borderId="0" applyAlignment="1" pivotButton="0" quotePrefix="0" xfId="0">
      <alignment vertical="top" wrapText="1"/>
    </xf>
    <xf numFmtId="0" fontId="73" fillId="24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66" fillId="27" borderId="0" applyAlignment="1" pivotButton="0" quotePrefix="0" xfId="0">
      <alignment horizontal="left" vertical="center"/>
    </xf>
    <xf numFmtId="0" fontId="67" fillId="27" borderId="0" applyAlignment="1" pivotButton="0" quotePrefix="0" xfId="0">
      <alignment vertical="center" wrapText="1"/>
    </xf>
    <xf numFmtId="0" fontId="75" fillId="28" borderId="0" applyAlignment="1" pivotButton="0" quotePrefix="0" xfId="0">
      <alignment vertical="top" wrapText="1"/>
    </xf>
    <xf numFmtId="0" fontId="76" fillId="29" borderId="0" applyAlignment="1" pivotButton="0" quotePrefix="0" xfId="0">
      <alignment vertical="top" wrapText="1"/>
    </xf>
    <xf numFmtId="0" fontId="66" fillId="30" borderId="0" applyAlignment="1" pivotButton="0" quotePrefix="0" xfId="0">
      <alignment horizontal="left" vertical="center"/>
    </xf>
    <xf numFmtId="0" fontId="67" fillId="30" borderId="0" applyAlignment="1" pivotButton="0" quotePrefix="0" xfId="0">
      <alignment vertical="center" wrapText="1"/>
    </xf>
    <xf numFmtId="0" fontId="77" fillId="29" borderId="0" applyAlignment="1" pivotButton="0" quotePrefix="0" xfId="0">
      <alignment vertical="top" wrapText="1"/>
    </xf>
    <xf numFmtId="0" fontId="66" fillId="31" borderId="0" applyAlignment="1" pivotButton="0" quotePrefix="0" xfId="0">
      <alignment horizontal="left" vertical="center"/>
    </xf>
    <xf numFmtId="0" fontId="67" fillId="31" borderId="0" applyAlignment="1" pivotButton="0" quotePrefix="0" xfId="0">
      <alignment vertical="center" wrapText="1"/>
    </xf>
    <xf numFmtId="0" fontId="78" fillId="32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170" fontId="18" fillId="0" borderId="3" pivotButton="0" quotePrefix="0" xfId="0"/>
    <xf numFmtId="170" fontId="39" fillId="0" borderId="4" pivotButton="0" quotePrefix="0" xfId="0"/>
    <xf numFmtId="170" fontId="42" fillId="0" borderId="2" pivotButton="0" quotePrefix="0" xfId="0"/>
    <xf numFmtId="170" fontId="43" fillId="0" borderId="2" pivotButton="0" quotePrefix="0" xfId="0"/>
    <xf numFmtId="170" fontId="46" fillId="6" borderId="0" pivotButton="0" quotePrefix="0" xfId="0"/>
    <xf numFmtId="170" fontId="47" fillId="6" borderId="0" pivotButton="0" quotePrefix="0" xfId="0"/>
    <xf numFmtId="170" fontId="65" fillId="8" borderId="2" applyAlignment="1" pivotButton="0" quotePrefix="0" xfId="0">
      <alignment horizontal="right"/>
    </xf>
    <xf numFmtId="170" fontId="35" fillId="0" borderId="2" applyAlignment="1" pivotButton="0" quotePrefix="0" xfId="0">
      <alignment horizontal="right"/>
    </xf>
    <xf numFmtId="170" fontId="62" fillId="0" borderId="2" applyAlignment="1" pivotButton="0" quotePrefix="0" xfId="0">
      <alignment horizontal="right"/>
    </xf>
    <xf numFmtId="171" fontId="62" fillId="0" borderId="2" applyAlignment="1" pivotButton="0" quotePrefix="0" xfId="0">
      <alignment horizontal="right"/>
    </xf>
    <xf numFmtId="0" fontId="80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ExcelArşiv</author>
  </authors>
  <commentList>
    <comment ref="B5" authorId="0" shapeId="0">
      <text>
        <t>Tanım: Site adı | Neden önemli: Aidat/kasa kararını etkiler | Doğru kullanım: Site unvanı | Örnek: hücredeki örnek değere bakın | Risk: Yanlış giriş hatalı tahsilat üretir</t>
      </text>
    </comment>
    <comment ref="B6" authorId="0" shapeId="0">
      <text>
        <t>Tanım: Bağımsız bölüm sayısı | Neden önemli: Aidat/kasa kararını etkiler | Doğru kullanım: Toplam daire/işyeri | Örnek: hücredeki örnek değere bakın | Risk: Yanlış giriş hatalı tahsilat üretir</t>
      </text>
    </comment>
    <comment ref="B7" authorId="0" shapeId="0">
      <text>
        <t>Tanım: Dönem kodu | Neden önemli: Aidat/kasa kararını etkiler | Doğru kullanım: YYYY-AA | Örnek: hücredeki örnek değere bakın | Risk: Yanlış giriş hatalı tahsilat üretir</t>
      </text>
    </comment>
    <comment ref="B8" authorId="0" shapeId="0">
      <text>
        <t>Tanım: Aylık aidat tabanı (TL) | Neden önemli: Aidat/kasa kararını etkiler | Doğru kullanım: KMK payına çarpılır | Örnek: hücredeki örnek değere bakın | Risk: Yanlış giriş hatalı tahsilat üretir</t>
      </text>
    </comment>
    <comment ref="B9" authorId="0" shapeId="0">
      <text>
        <t>Tanım: Hedef tahsilat oranı | Neden önemli: Aidat/kasa kararını etkiler | Doğru kullanım: Altında DİKKAT/KRİTİK | Örnek: hücredeki örnek değere bakın | Risk: Yanlış giriş hatalı tahsilat üretir</t>
      </text>
    </comment>
    <comment ref="B10" authorId="0" shapeId="0">
      <text>
        <t>Tanım: İcap eşiği (gün) | Neden önemli: Aidat/kasa kararını etkiler | Doğru kullanım: Vade sonrası gün | Örnek: hücredeki örnek değere bakın | Risk: Yanlış giriş hatalı tahsilat üretir</t>
      </text>
    </comment>
    <comment ref="B11" authorId="0" shapeId="0">
      <text>
        <t>Tanım: Bütçe ayı gider tavanı | Neden önemli: Aidat/kasa kararını etkiler | Doğru kullanım: Gider alarm eşiği | Örnek: hücredeki örnek değere bakın | Risk: Yanlış giriş hatalı tahsilat üretir</t>
      </text>
    </comment>
    <comment ref="B12" authorId="0" shapeId="0">
      <text>
        <t>Tanım: Senaryo çarpanı | Neden önemli: Aidat/kasa kararını etkiler | Doğru kullanım: İyimser/kötümser | Örnek: hücredeki örnek değere bakın | Risk: Yanlış giriş hatalı tahsilat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6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6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6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6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7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7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7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7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7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8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8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8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8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8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9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9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9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9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9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0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0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0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0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0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1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1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1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1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1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2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2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2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2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2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3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3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3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3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3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4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4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4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4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4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5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5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5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5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5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6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6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6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6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6" authorId="0" shapeId="0">
      <text>
        <t>Tanım: Aktif | Neden önemli: Aidat/kasa kararını etkiler | Doğru kullanım: EVET/HAYIR | Örnek: hücredeki örnek değere bakın | Risk: Yanlış giriş hatalı tahsilat üretir</t>
      </text>
    </comment>
    <comment ref="A17" authorId="0" shapeId="0">
      <text>
        <t>Tanım: Malik ID | Neden önemli: Aidat/kasa kararını etkiler | Doğru kullanım: Benzersiz malik kimliği | Örnek: hücredeki örnek değere bakın | Risk: Yanlış giriş hatalı tahsilat üretir</t>
      </text>
    </comment>
    <comment ref="B17" authorId="0" shapeId="0">
      <text>
        <t>Tanım: Bağımsız bölüm | Neden önemli: Aidat/kasa kararını etkiler | Doğru kullanım: Blok/daire | Örnek: hücredeki örnek değere bakın | Risk: Yanlış giriş hatalı tahsilat üretir</t>
      </text>
    </comment>
    <comment ref="C17" authorId="0" shapeId="0">
      <text>
        <t>Tanım: Ad soyad | Neden önemli: Aidat/kasa kararını etkiler | Doğru kullanım: Malik adı | Örnek: hücredeki örnek değere bakın | Risk: Yanlış giriş hatalı tahsilat üretir</t>
      </text>
    </comment>
    <comment ref="D17" authorId="0" shapeId="0">
      <text>
        <t>Tanım: Pay katsayısı | Neden önemli: Aidat/kasa kararını etkiler | Doğru kullanım: KMK payı | Örnek: hücredeki örnek değere bakın | Risk: Yanlış giriş hatalı tahsilat üretir</t>
      </text>
    </comment>
    <comment ref="E17" authorId="0" shapeId="0">
      <text>
        <t>Tanım: Aktif | Neden önemli: Aidat/kasa kararını etkiler | Doğru kullanım: EVET/HAYIR | Örnek: hücredeki örnek değere bakın | Risk: Yanlış giriş hatalı tahsilat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6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6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6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6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7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7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7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7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7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8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8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8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8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8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9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9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9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9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9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0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0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0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0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0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1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1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1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1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1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2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2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2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2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2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3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3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3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3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3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4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4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4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4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4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5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5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5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5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5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6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6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6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6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6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7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7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7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7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7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8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8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8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8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8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19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19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19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9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19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0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0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0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0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0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1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1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1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1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1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2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2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2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2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2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3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3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3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3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3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4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4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4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4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4" authorId="0" shapeId="0">
      <text>
        <t>Tanım: Vade | Neden önemli: Aidat/kasa kararını etkiler | Doğru kullanım: GG.AA.YYYY | Örnek: hücredeki örnek değere bakın | Risk: Yanlış giriş hatalı tahsilat üretir</t>
      </text>
    </comment>
    <comment ref="A25" authorId="0" shapeId="0">
      <text>
        <t>Tanım: Borç ID | Neden önemli: Aidat/kasa kararını etkiler | Doğru kullanım: Benzersiz borç kimliği | Örnek: hücredeki örnek değere bakın | Risk: Yanlış giriş hatalı tahsilat üretir</t>
      </text>
    </comment>
    <comment ref="B25" authorId="0" shapeId="0">
      <text>
        <t>Tanım: Malik ID | Neden önemli: Aidat/kasa kararını etkiler | Doğru kullanım: PAYDASLAR'daki kimlik | Örnek: hücredeki örnek değere bakın | Risk: Yanlış giriş hatalı tahsilat üretir</t>
      </text>
    </comment>
    <comment ref="C25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5" authorId="0" shapeId="0">
      <text>
        <t>Tanım: Borç tutarı | Neden önemli: Aidat/kasa kararını etkiler | Doğru kullanım: Aidat TL | Örnek: hücredeki örnek değere bakın | Risk: Yanlış giriş hatalı tahsilat üretir</t>
      </text>
    </comment>
    <comment ref="E25" authorId="0" shapeId="0">
      <text>
        <t>Tanım: Vade | Neden önemli: Aidat/kasa kararını etkiler | Doğru kullanım: GG.AA.YYYY | Örnek: hücredeki örnek değere bakın | Risk: Yanlış giriş hatalı tahsilat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6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6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6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6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7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7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7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7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7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8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8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8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8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8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9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9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9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9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9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0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0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0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0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0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1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1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1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1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1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2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2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2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2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2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3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3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3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3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3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4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4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4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4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4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5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5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5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5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5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6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6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6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6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6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7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7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7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7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7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8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8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8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8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8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19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19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19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19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19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20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20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20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0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20" authorId="0" shapeId="0">
      <text>
        <t>Tanım: Ödeme tarihi | Neden önemli: Aidat/kasa kararını etkiler | Doğru kullanım: GG.AA.YYYY | Örnek: hücredeki örnek değere bakın | Risk: Yanlış giriş hatalı tahsilat üretir</t>
      </text>
    </comment>
    <comment ref="A21" authorId="0" shapeId="0">
      <text>
        <t>Tanım: Ödeme ID | Neden önemli: Aidat/kasa kararını etkiler | Doğru kullanım: Benzersiz ödeme | Örnek: hücredeki örnek değere bakın | Risk: Yanlış giriş hatalı tahsilat üretir</t>
      </text>
    </comment>
    <comment ref="B21" authorId="0" shapeId="0">
      <text>
        <t>Tanım: Malik ID | Neden önemli: Aidat/kasa kararını etkiler | Doğru kullanım: Malik kimliği | Örnek: hücredeki örnek değere bakın | Risk: Yanlış giriş hatalı tahsilat üretir</t>
      </text>
    </comment>
    <comment ref="C21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D21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E21" authorId="0" shapeId="0">
      <text>
        <t>Tanım: Ödeme tarihi | Neden önemli: Aidat/kasa kararını etkiler | Doğru kullanım: GG.AA.YYYY | Örnek: hücredeki örnek değere bakın | Risk: Yanlış giriş hatalı tahsilat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6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6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6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6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6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6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6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6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7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7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7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7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7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7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7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7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7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8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8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8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8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8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8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8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8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8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9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9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9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9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9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9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9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9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9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0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0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0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0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0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0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0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0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0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1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1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1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1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1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1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1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1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1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2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2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2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2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2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2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2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2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2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3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3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3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3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3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3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3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3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3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4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4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4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4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4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4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4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4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4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5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5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5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5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5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5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5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5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5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6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6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6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6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6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6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6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6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6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7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7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7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7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7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7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7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7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7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8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8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8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8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8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8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8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8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8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19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19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19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19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19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19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19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19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19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20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20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20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20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20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20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20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20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20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21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21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21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21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21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21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21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21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21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22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22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22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22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22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22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22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22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22" authorId="0" shapeId="0">
      <text>
        <t>Tanım: Ödeme tutarı | Neden önemli: Aidat/kasa kararını etkiler | Doğru kullanım: TL | Örnek: hücredeki örnek değere bakın | Risk: Yanlış giriş hatalı tahsilat üretir</t>
      </text>
    </comment>
    <comment ref="A23" authorId="0" shapeId="0">
      <text>
        <t>Tanım: İşlem ID | Neden önemli: Aidat/kasa kararını etkiler | Doğru kullanım: İcap işlem kimliği | Örnek: hücredeki örnek değere bakın | Risk: Yanlış giriş hatalı tahsilat üretir</t>
      </text>
    </comment>
    <comment ref="B23" authorId="0" shapeId="0">
      <text>
        <t>Tanım: Kaynak kart | Neden önemli: Aidat/kasa kararını etkiler | Doğru kullanım: Malik ID (boş=yetim) | Örnek: hücredeki örnek değere bakın | Risk: Yanlış giriş hatalı tahsilat üretir</t>
      </text>
    </comment>
    <comment ref="C23" authorId="0" shapeId="0">
      <text>
        <t>Tanım: Borç ID | Neden önemli: Aidat/kasa kararını etkiler | Doğru kullanım: DONEMLER referansı | Örnek: hücredeki örnek değere bakın | Risk: Yanlış giriş hatalı tahsilat üretir</t>
      </text>
    </comment>
    <comment ref="D23" authorId="0" shapeId="0">
      <text>
        <t>Tanım: Vade | Neden önemli: Aidat/kasa kararını etkiler | Doğru kullanım: Vade tarihi | Örnek: hücredeki örnek değere bakın | Risk: Yanlış giriş hatalı tahsilat üretir</t>
      </text>
    </comment>
    <comment ref="E23" authorId="0" shapeId="0">
      <text>
        <t>Tanım: Ödeme tarihi | Neden önemli: Aidat/kasa kararını etkiler | Doğru kullanım: Varsa ödeme günü | Örnek: hücredeki örnek değere bakın | Risk: Yanlış giriş hatalı tahsilat üretir</t>
      </text>
    </comment>
    <comment ref="F23" authorId="0" shapeId="0">
      <text>
        <t>Tanım: Önceki durum | Neden önemli: Aidat/kasa kararını etkiler | Doğru kullanım: durum_id | Örnek: hücredeki örnek değere bakın | Risk: Yanlış giriş hatalı tahsilat üretir</t>
      </text>
    </comment>
    <comment ref="G23" authorId="0" shapeId="0">
      <text>
        <t>Tanım: Durum | Neden önemli: Aidat/kasa kararını etkiler | Doğru kullanım: Durum haritasından | Örnek: hücredeki örnek değere bakın | Risk: Yanlış giriş hatalı tahsilat üretir</t>
      </text>
    </comment>
    <comment ref="H23" authorId="0" shapeId="0">
      <text>
        <t>Tanım: Borç tutarı | Neden önemli: Aidat/kasa kararını etkiler | Doğru kullanım: TL | Örnek: hücredeki örnek değere bakın | Risk: Yanlış giriş hatalı tahsilat üretir</t>
      </text>
    </comment>
    <comment ref="I23" authorId="0" shapeId="0">
      <text>
        <t>Tanım: Ödeme tutarı | Neden önemli: Aidat/kasa kararını etkiler | Doğru kullanım: TL | Örnek: hücredeki örnek değere bakın | Risk: Yanlış giriş hatalı tahsilat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6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6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6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6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7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7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7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7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7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8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8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8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8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8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9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9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9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9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9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0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0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0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0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0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1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1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1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1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1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2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2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2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2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2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3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3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3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3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3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4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4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4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4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4" authorId="0" shapeId="0">
      <text>
        <t>Tanım: Dönem | Neden önemli: Aidat/kasa kararını etkiler | Doğru kullanım: YYYY-AA | Örnek: hücredeki örnek değere bakın | Risk: Yanlış giriş hatalı tahsilat üretir</t>
      </text>
    </comment>
    <comment ref="A15" authorId="0" shapeId="0">
      <text>
        <t>Tanım: Gider ID | Neden önemli: Aidat/kasa kararını etkiler | Doğru kullanım: Benzersiz | Örnek: hücredeki örnek değere bakın | Risk: Yanlış giriş hatalı tahsilat üretir</t>
      </text>
    </comment>
    <comment ref="B15" authorId="0" shapeId="0">
      <text>
        <t>Tanım: Kalem | Neden önemli: Aidat/kasa kararını etkiler | Doğru kullanım: Gider kalemi | Örnek: hücredeki örnek değere bakın | Risk: Yanlış giriş hatalı tahsilat üretir</t>
      </text>
    </comment>
    <comment ref="C15" authorId="0" shapeId="0">
      <text>
        <t>Tanım: Bütçe | Neden önemli: Aidat/kasa kararını etkiler | Doğru kullanım: Plan TL | Örnek: hücredeki örnek değere bakın | Risk: Yanlış giriş hatalı tahsilat üretir</t>
      </text>
    </comment>
    <comment ref="D15" authorId="0" shapeId="0">
      <text>
        <t>Tanım: Gerçekleşen | Neden önemli: Aidat/kasa kararını etkiler | Doğru kullanım: Fiili TL | Örnek: hücredeki örnek değere bakın | Risk: Yanlış giriş hatalı tahsilat üretir</t>
      </text>
    </comment>
    <comment ref="E15" authorId="0" shapeId="0">
      <text>
        <t>Tanım: Dönem | Neden önemli: Aidat/kasa kararını etkiler | Doğru kullanım: YYYY-AA | Örnek: hücredeki örnek değere bakın | Risk: Yanlış giriş hatalı tahsilat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6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6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6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6" authorId="0" shapeId="0">
      <text>
        <t>Tanım: Organ | Neden önemli: Aidat/kasa kararını etkiler | Doğru kullanım: YK veya GK | Örnek: hücredeki örnek değere bakın | Risk: Yanlış giriş hatalı tahsilat üretir</t>
      </text>
    </comment>
    <comment ref="A7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7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7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7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7" authorId="0" shapeId="0">
      <text>
        <t>Tanım: Organ | Neden önemli: Aidat/kasa kararını etkiler | Doğru kullanım: YK veya GK | Örnek: hücredeki örnek değere bakın | Risk: Yanlış giriş hatalı tahsilat üretir</t>
      </text>
    </comment>
    <comment ref="A8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8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8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8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8" authorId="0" shapeId="0">
      <text>
        <t>Tanım: Organ | Neden önemli: Aidat/kasa kararını etkiler | Doğru kullanım: YK veya GK | Örnek: hücredeki örnek değere bakın | Risk: Yanlış giriş hatalı tahsilat üretir</t>
      </text>
    </comment>
    <comment ref="A9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9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9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9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9" authorId="0" shapeId="0">
      <text>
        <t>Tanım: Organ | Neden önemli: Aidat/kasa kararını etkiler | Doğru kullanım: YK veya GK | Örnek: hücredeki örnek değere bakın | Risk: Yanlış giriş hatalı tahsilat üretir</t>
      </text>
    </comment>
    <comment ref="A10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10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10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10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10" authorId="0" shapeId="0">
      <text>
        <t>Tanım: Organ | Neden önemli: Aidat/kasa kararını etkiler | Doğru kullanım: YK veya GK | Örnek: hücredeki örnek değere bakın | Risk: Yanlış giriş hatalı tahsilat üretir</t>
      </text>
    </comment>
    <comment ref="A11" authorId="0" shapeId="0">
      <text>
        <t>Tanım: Karar ID | Neden önemli: Aidat/kasa kararını etkiler | Doğru kullanım: Benzersiz | Örnek: hücredeki örnek değere bakın | Risk: Yanlış giriş hatalı tahsilat üretir</t>
      </text>
    </comment>
    <comment ref="B11" authorId="0" shapeId="0">
      <text>
        <t>Tanım: Tarih | Neden önemli: Aidat/kasa kararını etkiler | Doğru kullanım: Karar günü | Örnek: hücredeki örnek değere bakın | Risk: Yanlış giriş hatalı tahsilat üretir</t>
      </text>
    </comment>
    <comment ref="C11" authorId="0" shapeId="0">
      <text>
        <t>Tanım: Konu | Neden önemli: Aidat/kasa kararını etkiler | Doğru kullanım: Gündem maddesi | Örnek: hücredeki örnek değere bakın | Risk: Yanlış giriş hatalı tahsilat üretir</t>
      </text>
    </comment>
    <comment ref="D11" authorId="0" shapeId="0">
      <text>
        <t>Tanım: Sonuç | Neden önemli: Aidat/kasa kararını etkiler | Doğru kullanım: ONAY/ERTELE/TASLAK | Örnek: hücredeki örnek değere bakın | Risk: Yanlış giriş hatalı tahsilat üretir</t>
      </text>
    </comment>
    <comment ref="E11" authorId="0" shapeId="0">
      <text>
        <t>Tanım: Organ | Neden önemli: Aidat/kasa kararını etkiler | Doğru kullanım: YK veya GK | Örnek: hücredeki örnek değere bakın | Risk: Yanlış giriş hatalı tahsilat üretir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5" authorId="0" shapeId="0">
      <text>
        <t>Tanım: raporTarihi | Neden önemli: Aidat/kasa kararını etkiler | Doğru kullanım: Rapor tarihi | Örnek: hücredeki örnek değere bakın | Risk: Yanlış giriş hatalı tahsilat üretir</t>
      </text>
    </comment>
    <comment ref="B6" authorId="0" shapeId="0">
      <text>
        <t>Tanım: toleransKurus | Neden önemli: Aidat/kasa kararını etkiler | Doğru kullanım: Eşleştirme toleransı | Örnek: hücredeki örnek değere bakın | Risk: Yanlış giriş hatalı tahsilat üretir</t>
      </text>
    </comment>
    <comment ref="B7" authorId="0" shapeId="0">
      <text>
        <t>Tanım: zincirTolerans | Neden önemli: Aidat/kasa kararını etkiler | Doğru kullanım: ZİNCİR KIRIK eşiği | Örnek: hücredeki örnek değere bakın | Risk: Yanlış giriş hatalı tahsilat üretir</t>
      </text>
    </comment>
    <comment ref="B8" authorId="0" shapeId="0">
      <text>
        <t>Tanım: say_gecikmeZammi | Neden önemli: Aidat/kasa kararını etkiler | Doğru kullanım: Gecikme zammı | Örnek: hücredeki örnek değere bakın | Risk: Yanlış giriş hatalı tahsilat üretir</t>
      </text>
    </comment>
    <comment ref="B9" authorId="0" shapeId="0">
      <text>
        <t>Tanım: say_icapEsikGun | Neden önemli: Aidat/kasa kararını etkiler | Doğru kullanım: İcap gün eşiği | Örnek: hücredeki örnek değere bakın | Risk: Yanlış giriş hatalı tahsilat üretir</t>
      </text>
    </comment>
    <comment ref="B10" authorId="0" shapeId="0">
      <text>
        <t>Tanım: say_esikFark | Neden önemli: Aidat/kasa kararını etkiler | Doğru kullanım: Fark alarm eşiği | Örnek: hücredeki örnek değere bakın | Risk: Yanlış giriş hatalı tahsilat üretir</t>
      </text>
    </comment>
    <comment ref="B11" authorId="0" shapeId="0">
      <text>
        <t>Tanım: say_ikincilUzunluk | Neden önemli: Aidat/kasa kararını etkiler | Doğru kullanım: İkincil anahtar | Örnek: hücredeki örnek değere bakın | Risk: Yanlış giriş hatalı tahsilat üretir</t>
      </text>
    </comment>
    <comment ref="B12" authorId="0" shapeId="0">
      <text>
        <t>Tanım: say_hedefTahsilat | Neden önemli: Aidat/kasa kararını etkiler | Doğru kullanım: Hedef tahsilat | Örnek: hücredeki örnek değere bakın | Risk: Yanlış giriş hatalı tahsilat üretir</t>
      </text>
    </comment>
    <comment ref="B13" authorId="0" shapeId="0">
      <text>
        <t>Tanım: say_senaryoIyimser | Neden önemli: Aidat/kasa kararını etkiler | Doğru kullanım: İyimser çarpan | Örnek: hücredeki örnek değere bakın | Risk: Yanlış giriş hatalı tahsilat üretir</t>
      </text>
    </comment>
    <comment ref="B14" authorId="0" shapeId="0">
      <text>
        <t>Tanım: say_senaryoKotumser | Neden önemli: Aidat/kasa kararını etkiler | Doğru kullanım: Kötümser çarpan | Örnek: hücredeki örnek değere bakın | Risk: Yanlış giriş hatalı tahsilat üretir</t>
      </text>
    </comment>
    <comment ref="B15" authorId="0" shapeId="0">
      <text>
        <t>Tanım: say_fiyatModeli | Neden önemli: Aidat/kasa kararını etkiler | Doğru kullanım: Satış fiyatı | Örnek: hücredeki örnek değere bakın | Risk: Yanlış giriş hatalı tahsilat üretir</t>
      </text>
    </comment>
    <comment ref="B16" authorId="0" shapeId="0">
      <text>
        <t>Tanım: say_olcekHedef | Neden önemli: Aidat/kasa kararını etkiler | Doğru kullanım: Ölçek sözleşmesi | Örnek: hücredeki örnek değere bakın | Risk: Yanlış giriş hatalı tahsilat üretir</t>
      </text>
    </comment>
    <comment ref="B17" authorId="0" shapeId="0">
      <text>
        <t>Tanım: say_trendOcak | Neden önemli: Aidat/kasa kararını etkiler | Doğru kullanım: Ocak trend | Örnek: hücredeki örnek değere bakın | Risk: Yanlış giriş hatalı tahsilat üretir</t>
      </text>
    </comment>
    <comment ref="B18" authorId="0" shapeId="0">
      <text>
        <t>Tanım: say_trendSubat | Neden önemli: Aidat/kasa kararını etkiler | Doğru kullanım: Subat trend | Örnek: hücredeki örnek değere bakın | Risk: Yanlış giriş hatalı tahsilat üretir</t>
      </text>
    </comment>
    <comment ref="B19" authorId="0" shapeId="0">
      <text>
        <t>Tanım: say_trendMart | Neden önemli: Aidat/kasa kararını etkiler | Doğru kullanım: Mart trend | Örnek: hücredeki örnek değere bakın | Risk: Yanlış giriş hatalı tahsilat üretir</t>
      </text>
    </comment>
    <comment ref="B20" authorId="0" shapeId="0">
      <text>
        <t>Tanım: say_trendNisan | Neden önemli: Aidat/kasa kararını etkiler | Doğru kullanım: Nisan trend | Örnek: hücredeki örnek değere bakın | Risk: Yanlış giriş hatalı tahsilat üretir</t>
      </text>
    </comment>
    <comment ref="B21" authorId="0" shapeId="0">
      <text>
        <t>Tanım: say_trendMayis | Neden önemli: Aidat/kasa kararını etkiler | Doğru kullanım: Mayis trend | Örnek: hücredeki örnek değere bakın | Risk: Yanlış giriş hatalı tahsilat üretir</t>
      </text>
    </comment>
    <comment ref="B22" authorId="0" shapeId="0">
      <text>
        <t>Tanım: say_trendHaziran | Neden önemli: Aidat/kasa kararını etkiler | Doğru kullanım: Haziran trend | Örnek: hücredeki örnek değere bakın | Risk: Yanlış giriş hatalı tahsilat üretir</t>
      </text>
    </comment>
    <comment ref="B23" authorId="0" shapeId="0">
      <text>
        <t>Tanım: say_trendTemmuz | Neden önemli: Aidat/kasa kararını etkiler | Doğru kullanım: Temmuz trend | Örnek: hücredeki örnek değere bakın | Risk: Yanlış giriş hatalı tahsilat üretir</t>
      </text>
    </comment>
    <comment ref="B24" authorId="0" shapeId="0">
      <text>
        <t>Tanım: say_trendAgustos | Neden önemli: Aidat/kasa kararını etkiler | Doğru kullanım: Agustos trend | Örnek: hücredeki örnek değere bakın | Risk: Yanlış giriş hatalı tahsilat üretir</t>
      </text>
    </comment>
    <comment ref="B25" authorId="0" shapeId="0">
      <text>
        <t>Tanım: say_trendEylul | Neden önemli: Aidat/kasa kararını etkiler | Doğru kullanım: Eylul trend | Örnek: hücredeki örnek değere bakın | Risk: Yanlış giriş hatalı tahsilat üretir</t>
      </text>
    </comment>
    <comment ref="B26" authorId="0" shapeId="0">
      <text>
        <t>Tanım: say_trendEkim | Neden önemli: Aidat/kasa kararını etkiler | Doğru kullanım: Ekim trend | Örnek: hücredeki örnek değere bakın | Risk: Yanlış giriş hatalı tahsilat üretir</t>
      </text>
    </comment>
    <comment ref="B27" authorId="0" shapeId="0">
      <text>
        <t>Tanım: say_trendKasim | Neden önemli: Aidat/kasa kararını etkiler | Doğru kullanım: Kasim trend | Örnek: hücredeki örnek değere bakın | Risk: Yanlış giriş hatalı tahsilat üretir</t>
      </text>
    </comment>
    <comment ref="B28" authorId="0" shapeId="0">
      <text>
        <t>Tanım: say_trendAralik | Neden önemli: Aidat/kasa kararını etkiler | Doğru kullanım: Aralik trend | Örnek: hücredeki örnek değere bakın | Risk: Yanlış giriş hatalı tahsilat üretir</t>
      </text>
    </comment>
  </commentList>
</comments>
</file>

<file path=xl/tables/table1.xml><?xml version="1.0" encoding="utf-8"?>
<table xmlns="http://schemas.openxmlformats.org/spreadsheetml/2006/main" id="1" name="tblPaydas" displayName="tblPaydas" ref="A5:J1005" headerRowCount="1">
  <tableColumns count="10">
    <tableColumn id="1" name="MalikId"/>
    <tableColumn id="2" name="BagimsizBolum"/>
    <tableColumn id="3" name="AdSoyad"/>
    <tableColumn id="4" name="PayKatsayi"/>
    <tableColumn id="5" name="Aktif"/>
    <tableColumn id="6" name="BorcToplam">
      <calculatedColumnFormula>IF(tblPaydas[[#This Row],[MalikId]]="","",SUMIF(tblDonem[MalikId],tblPaydas[[#This Row],[MalikId]],tblDonem[BorcTutari]))</calculatedColumnFormula>
    </tableColumn>
    <tableColumn id="7" name="TahsilToplam">
      <calculatedColumnFormula>IF(tblPaydas[[#This Row],[MalikId]]="","",SUMIF(tblTahsilat[MalikId],tblPaydas[[#This Row],[MalikId]],tblTahsilat[OdemeTutari]))</calculatedColumnFormula>
    </tableColumn>
    <tableColumn id="8" name="Bakiye">
      <calculatedColumnFormula>IF(tblPaydas[[#This Row],[MalikId]]="","",tblPaydas[[#This Row],[BorcToplam]]-tblPaydas[[#This Row],[TahsilToplam]])</calculatedColumnFormula>
    </tableColumn>
    <tableColumn id="9" name="KayitDolu">
      <calculatedColumnFormula>IF(tblPaydas[[#This Row],[MalikId]]="","",1)</calculatedColumnFormula>
    </tableColumn>
    <tableColumn id="10" name="MotorAdim">
      <calculatedColumnFormula>IF(tblPaydas[[#This Row],[MalikId]]="","",(tblPaydas[[#This Row],[Bakiye]]&gt;0)+(tblPaydas[[#This Row],[Aktif]]="EVET"))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Donem" displayName="tblDonem" ref="A5:J1005" headerRowCount="1">
  <tableColumns count="10">
    <tableColumn id="1" name="BorcId"/>
    <tableColumn id="2" name="MalikId"/>
    <tableColumn id="3" name="Donem"/>
    <tableColumn id="4" name="BorcTutari"/>
    <tableColumn id="5" name="VadeTarihi"/>
    <tableColumn id="6" name="HamAnahtar">
      <calculatedColumnFormula>IF(tblDonem[[#This Row],[MalikId]]="","",UPPER(TRIM(SUBSTITUTE(tblDonem[[#This Row],[MalikId]]&amp;tblDonem[[#This Row],[Donem]]," ",""))))</calculatedColumnFormula>
    </tableColumn>
    <tableColumn id="7" name="GecikmeGun">
      <calculatedColumnFormula>IF(tblDonem[[#This Row],[BorcId]]="","",IF(tblDonem[[#This Row],[VadeTarihi]]="","",raporTarihi-tblDonem[[#This Row],[VadeTarihi]]))</calculatedColumnFormula>
    </tableColumn>
    <tableColumn id="8" name="ZamTutari">
      <calculatedColumnFormula>IF(tblDonem[[#This Row],[BorcId]]="","",IF(tblDonem[[#This Row],[GecikmeGun]]&gt;say_icapEsikGun,ROUND(tblDonem[[#This Row],[BorcTutari]]*say_gecikmeZammi,2),0))</calculatedColumnFormula>
    </tableColumn>
    <tableColumn id="9" name="ToplamBorc">
      <calculatedColumnFormula>IF(tblDonem[[#This Row],[BorcId]]="","",tblDonem[[#This Row],[BorcTutari]]+tblDonem[[#This Row],[ZamTutari]])</calculatedColumnFormula>
    </tableColumn>
    <tableColumn id="10" name="MotorAdim">
      <calculatedColumnFormula>IF(tblDonem[[#This Row],[BorcId]]="","",(tblDonem[[#This Row],[ZamTutari]]&gt;0)+1)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Tahsilat" displayName="tblTahsilat" ref="A5:H1005" headerRowCount="1">
  <tableColumns count="8">
    <tableColumn id="1" name="OdemeId"/>
    <tableColumn id="2" name="MalikId"/>
    <tableColumn id="3" name="Donem"/>
    <tableColumn id="4" name="OdemeTutari"/>
    <tableColumn id="5" name="OdemeTarihi"/>
    <tableColumn id="6" name="HamAnahtar">
      <calculatedColumnFormula>IF(tblTahsilat[[#This Row],[MalikId]]="","",UPPER(TRIM(SUBSTITUTE(tblTahsilat[[#This Row],[MalikId]]&amp;tblTahsilat[[#This Row],[Donem]]," ",""))))</calculatedColumnFormula>
    </tableColumn>
    <tableColumn id="7" name="KaynakKartId">
      <calculatedColumnFormula>IF(tblTahsilat[[#This Row],[OdemeId]]="","",tblTahsilat[[#This Row],[MalikId]])</calculatedColumnFormula>
    </tableColumn>
    <tableColumn id="8" name="MotorAdim">
      <calculatedColumnFormula>IF(tblTahsilat[[#This Row],[OdemeId]]="","",1)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A" displayName="tblAnahtarA" ref="A5:G1005" headerRowCount="1">
  <tableColumns count="7">
    <tableColumn id="1" name="Ham"/>
    <tableColumn id="2" name="Norm">
      <calculatedColumnFormula>IF(tblAnahtarA[[#This Row],[Ham]]="","",UPPER(TRIM(SUBSTITUTE(tblAnahtarA[[#This Row],[Ham]]," ",""))))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Row],[Norm]],say_ikincilUzunluk))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nahtarB" displayName="tblAnahtarB" ref="I5:O1005" headerRowCount="1">
  <tableColumns count="7">
    <tableColumn id="1" name="HamB"/>
    <tableColumn id="2" name="NormB">
      <calculatedColumnFormula>IF(tblAnahtarB[[#This Row],[HamB]]="","",UPPER(TRIM(SUBSTITUTE(tblAnahtarB[[#This Row],[HamB]]," ",""))))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Row],[NormB]],say_ikincilUzunluk))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Row],[A_Norm]],tblTahsilat[OdemeTutari]))</calculatedColumnFormula>
    </tableColumn>
    <tableColumn id="4" name="A_Tutar">
      <calculatedColumnFormula>IF(tblEslesme[[#This Row],[A_Norm]]="","",SUMIF(tblAnahtarA[Norm],tblEslesme[[#This Row],[A_Norm]],tblDonem[ToplamBorc]))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Row],[A_Norm]]="","",--(tblEslesme[[#This Row],[AbsFark]]&lt;=toleransKurus))</calculatedColumnFormula>
    </tableColumn>
    <tableColumn id="14" name="EsikUstu">
      <calculatedColumnFormula>IF(tblEslesme[[#This Row],[A_Norm]]="","",--(tblEslesme[[#This Row],[AbsFark]]&gt;say_esikFark))</calculatedColumnFormula>
    </tableColumn>
    <tableColumn id="15" name="NetKatki">
      <calculatedColumnFormula>IF(tblEslesme[[#This Row],[A_Norm]]="","",IF(OR(tblEslesme[[#This Row],[Kova]]="eslesti",tblEslesme[[#This Row],[Kova]]="tolerans_icinde"),tblEslesme[[#This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5:F1005" headerRowCount="1">
  <tableColumns count="6">
    <tableColumn id="1" name="Norm">
      <calculatedColumnFormula>IFERROR(IF(INDEX(tblEslesme[A_Norm],ROW()-ROW($A$5))="","",INDEX(tblEslesme[A_Norm],ROW()-ROW($A$5))),"")</calculatedColumnFormula>
    </tableColumn>
    <tableColumn id="2" name="Fark">
      <calculatedColumnFormula>IF(tblKok[[#This Row],[Norm]]="","",IFERROR(INDEX(tblEslesme[Fark],ROW()-ROW($A$5)),0))</calculatedColumnFormula>
    </tableColumn>
    <tableColumn id="3" name="Kova">
      <calculatedColumnFormula>IF(tblKok[[#This Row],[Norm]]="","",IFERROR(INDEX(tblEslesme[Kova],ROW()-ROW($A$5)),""))</calculatedColumnFormula>
    </tableColumn>
    <tableColumn id="4" name="NedenKodu">
      <calculatedColumnFormula>IF(tblKok[[#This Row],[Norm]]="","",IF(tblKok[[#This Row],[Kova]]="eslesti","",IF(tblKok[[#This Row],[Kova]]="tolerans_icinde","",IF(tblKok[[#This Row],[Fark]]&gt;0,"EKSIK_ODEME",IF(tblKok[[#This Row],[Fark]]&lt;0,"FAZLA_ODEME","TANIMSIZ")))))</calculatedColumnFormula>
    </tableColumn>
    <tableColumn id="5" name="Aciklama">
      <calculatedColumnFormula>IF(tblKok[[#This Row],[NedenKodu]]="","",IF(tblKok[[#This Row],[NedenKodu]]="TANIMSIZ","Elle incele — TANIMSIZ kova",IF(tblKok[[#This Row],[NedenKodu]]="EKSIK_ODEME","Eksik ödeme / gecikme",IF(tblKok[[#This Row],[NedenKodu]]="FAZLA_ODEME","Fazla veya yanlış dönem","İncele"))))</calculatedColumnFormula>
    </tableColumn>
    <tableColumn id="6" name="ElleIncele">
      <calculatedColumnFormula>IF(tblKok[[#This Row],[NedenKodu]]="TANIMSIZ","EVET","HAYIR")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is" displayName="tblAkis" ref="A5:O1005" headerRowCount="1">
  <tableColumns count="15">
    <tableColumn id="1" name="IslemId"/>
    <tableColumn id="2" name="KaynakKartId"/>
    <tableColumn id="3" name="BorcId"/>
    <tableColumn id="4" name="VadeTarihi"/>
    <tableColumn id="5" name="OdemeTarihi"/>
    <tableColumn id="6" name="OncekiDurum"/>
    <tableColumn id="7" name="Durum"/>
    <tableColumn id="8" name="BorcTutari"/>
    <tableColumn id="9" name="OdemeTutari"/>
    <tableColumn id="10" name="Tutar">
      <calculatedColumnFormula>IF(tblAkis[[#This Row],[IslemId]]="","",tblAkis[[#This Row],[BorcTutari]]-tblAkis[[#This Row],[OdemeTutari]])</calculatedColumnFormula>
    </tableColumn>
    <tableColumn id="11" name="GecikmeGun">
      <calculatedColumnFormula>IF(tblAkis[[#This Row],[IslemId]]="","",IF(OR(tblAkis[[#This Row],[Durum]]="TAHSIL",tblAkis[[#This Row],[Durum]]="KAPALI"),0,IF(tblAkis[[#This Row],[VadeTarihi]]="","",raporTarihi-tblAkis[[#This Row],[VadeTarihi]])))</calculatedColumnFormula>
    </tableColumn>
    <tableColumn id="12" name="YetimBayrak">
      <calculatedColumnFormula>IF(tblAkis[[#This Row],[IslemId]]="","",IF(tblAkis[[#This Row],[KaynakKartId]]="","YETİM",IF(COUNTIF(tblPaydas[MalikId],tblAkis[[#This Row],[KaynakKartId]])=0,"YETİM","")))</calculatedColumnFormula>
    </tableColumn>
    <tableColumn id="13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4" name="ZincirBayrak">
      <calculatedColumnFormula>IF(tblAkis[[#This Row],[IslemId]]="","",IF(OR(tblAkis[[#This Row],[Durum]]="TAHSIL",tblAkis[[#This Row],[OdemeTutari]]&gt;0),IF(OR(tblAkis[[#This Row],[BorcTutari]]="",tblAkis[[#This Row],[OdemeTutari]]=""),"",IF(ABS(tblAkis[[#This Row],[OdemeTutari]]-tblAkis[[#This Row],[BorcTutari]])&gt;zincirTolerans,"ZİNCİR KIRIK","OK")),"OK"))</calculatedColumnFormula>
    </tableColumn>
    <tableColumn id="15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Gider" displayName="tblGider" ref="A5:H1005" headerRowCount="1">
  <tableColumns count="8">
    <tableColumn id="1" name="GiderId"/>
    <tableColumn id="2" name="Kalem"/>
    <tableColumn id="3" name="Butce"/>
    <tableColumn id="4" name="Gerceklesen"/>
    <tableColumn id="5" name="Donem"/>
    <tableColumn id="6" name="Sapma">
      <calculatedColumnFormula>IF(tblGider[[#This Row],[GiderId]]="","",tblGider[[#This Row],[Gerceklesen]]-tblGider[[#This Row],[Butce]])</calculatedColumnFormula>
    </tableColumn>
    <tableColumn id="7" name="SapmaOran">
      <calculatedColumnFormula>IF(OR(tblGider[[#This Row],[GiderId]]="",tblGider[[#This Row],[Butce]]=0),0,tblGider[[#This Row],[Sapma]]/ABS(tblGider[[#This Row],[Butce]]))</calculatedColumnFormula>
    </tableColumn>
    <tableColumn id="8" name="MotorAdim">
      <calculatedColumnFormula>IF(tblGider[[#This Row],[GiderId]]="","",1)</calculatedColumnFormula>
    </tableColumn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Kararlar" displayName="tblKararlar" ref="A5:F1005" headerRowCount="1">
  <tableColumns count="6">
    <tableColumn id="1" name="KararId"/>
    <tableColumn id="2" name="Tarih"/>
    <tableColumn id="3" name="Konu"/>
    <tableColumn id="4" name="Sonuc"/>
    <tableColumn id="5" name="Organ"/>
    <tableColumn id="6" name="MotorAdim">
      <calculatedColumnFormula>IF(tblKararlar[[#This Row],[KararId]]="","",1)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EXCELARŞİV KARAR SİSTEMİ v15.1 — ÜRETİM REFERANSI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42" t="inlineStr">
        <is>
          <t>Konu</t>
        </is>
      </c>
      <c r="B3" s="142" t="inlineStr">
        <is>
          <t>Bağlayıcı Standart</t>
        </is>
      </c>
    </row>
    <row r="4">
      <c r="A4" s="143" t="inlineStr">
        <is>
          <t>Amaç</t>
        </is>
      </c>
      <c r="B4" s="144" t="inlineStr">
        <is>
          <t>Kanıta dayalı, hatada kapalı çalışan Excel üretim ve denetim sistemi</t>
        </is>
      </c>
    </row>
    <row r="5">
      <c r="A5" s="143" t="inlineStr">
        <is>
          <t>Öncelik</t>
        </is>
      </c>
      <c r="B5" s="144" t="inlineStr">
        <is>
          <t>Kullanıcının açık iş talebi ve gerçek kullanım senaryosu</t>
        </is>
      </c>
    </row>
    <row r="6">
      <c r="A6" s="143" t="inlineStr">
        <is>
          <t>Ana akış</t>
        </is>
      </c>
      <c r="B6" s="144" t="inlineStr">
        <is>
          <t>Uygunluk → Yönetişim → Sözleşmeler → Üretim → Test → Kanıt → Kullanıcı Kabulü → Yayın</t>
        </is>
      </c>
    </row>
    <row r="7">
      <c r="A7" s="143" t="inlineStr">
        <is>
          <t>Yayın ilkesi</t>
        </is>
      </c>
      <c r="B7" s="144" t="inlineStr">
        <is>
          <t>Üst aşamada hata varsa alt aşama GEÇTİ üretilemez</t>
        </is>
      </c>
    </row>
    <row r="8">
      <c r="A8" s="143" t="inlineStr">
        <is>
          <t>Kullanıcı kabulü</t>
        </is>
      </c>
      <c r="B8" s="144" t="inlineStr">
        <is>
          <t>Excel masaüstü görünümü test edilmediyse DIŞ_KABUL_GEREKLİ</t>
        </is>
      </c>
    </row>
    <row r="9">
      <c r="A9" s="143" t="inlineStr">
        <is>
          <t>Nihai yayın</t>
        </is>
      </c>
      <c r="B9" s="144" t="inlineStr">
        <is>
          <t>Yalnız uygulanabilir modüller GEÇTİ veya gerekçeli UYGULANMAZ</t>
        </is>
      </c>
    </row>
    <row r="10">
      <c r="A10" s="143" t="inlineStr">
        <is>
          <t>Ticari ayrım</t>
        </is>
      </c>
      <c r="B10" s="144" t="inlineStr">
        <is>
          <t>Ekonomik olarak savunulabilir fiyat, gerçek pazar kabulü ile aynı değildir</t>
        </is>
      </c>
    </row>
    <row r="11">
      <c r="A11" s="143" t="inlineStr">
        <is>
          <t>Karmaşıklık</t>
        </is>
      </c>
      <c r="B11" s="144" t="inlineStr">
        <is>
          <t>Karar değeri, eklenen karmaşıklığın maliyetinden büyük olmalıdır</t>
        </is>
      </c>
    </row>
    <row r="12">
      <c r="A12" s="143" t="inlineStr">
        <is>
          <t>Excel sınırı</t>
        </is>
      </c>
      <c r="B12" s="144" t="inlineStr">
        <is>
          <t>Veritabanı, kurumsal yetkilendirme, değiştirilemez kayıt sistemi veya gerçek zamanlı olay platformu değildir</t>
        </is>
      </c>
    </row>
    <row r="13">
      <c r="A13" s="143" t="inlineStr">
        <is>
          <t>Dil standardı</t>
        </is>
      </c>
      <c r="B13" s="144" t="inlineStr">
        <is>
          <t>Kullanıcıya görünen tüm sayfa, tablo, başlık, açıklama, uyarı ve karar metinleri saf Türkçe olmalıdır</t>
        </is>
      </c>
    </row>
    <row r="14">
      <c r="A14" s="143" t="inlineStr">
        <is>
          <t>Muhasebe standardı</t>
        </is>
      </c>
      <c r="B14" s="144" t="inlineStr">
        <is>
          <t>Finansal ürünlerde Türkiye Tekdüzen Hesap Planı ve Türk muhasebe kullanım alışkanlıkları esas alınır</t>
        </is>
      </c>
    </row>
    <row r="15">
      <c r="A15" s="143" t="inlineStr">
        <is>
          <t>Görsel standart</t>
        </is>
      </c>
      <c r="B15" s="144" t="inlineStr">
        <is>
          <t>Her sayfa başlıklı, renk kodlu, sıkı kolon düzenli ve premium kurumsal görünümde olmalıdır</t>
        </is>
      </c>
    </row>
    <row r="16">
      <c r="A16" s="143" t="inlineStr">
        <is>
          <t>Grafik standardı</t>
        </is>
      </c>
      <c r="B16" s="144" t="inlineStr">
        <is>
          <t>Grafikler karar üretmeli; dekoratif, 3B, anlamsız renkli veya varsayılan Excel grafiği kullanılamaz</t>
        </is>
      </c>
    </row>
    <row r="17">
      <c r="A17" s="143" t="inlineStr">
        <is>
          <t>Hata standardı</t>
        </is>
      </c>
      <c r="B17" s="144" t="inlineStr">
        <is>
          <t>#AD? / #BAŞV! / #DEĞER! / #SAYI/0! / #YOK gibi hatalar GEÇTİ sonucuyla birlikte bulunamaz</t>
        </is>
      </c>
    </row>
    <row r="18">
      <c r="A18" s="143" t="inlineStr">
        <is>
          <t>Karar standardı</t>
        </is>
      </c>
      <c r="B18" s="144" t="inlineStr">
        <is>
          <t>Her kritik çıktı: ne oldu, neden oldu, parasal etki, ne yapılmalı, ne zamana kadar sorularını cevaplar</t>
        </is>
      </c>
    </row>
    <row r="19">
      <c r="A19" s="143" t="inlineStr">
        <is>
          <t>Satış standardı</t>
        </is>
      </c>
      <c r="B19" s="144" t="inlineStr">
        <is>
          <t>Ürün 5 saniyede anlaşılmalı; pahalı problemi, ekonomik sonucu, kanıtı ve satın alma gerekçesini göstermelidir</t>
        </is>
      </c>
    </row>
    <row r="20">
      <c r="A20" s="143" t="inlineStr">
        <is>
          <t>Güven standardı</t>
        </is>
      </c>
      <c r="B20" s="144" t="inlineStr">
        <is>
          <t>Kanıtsız 'premium', 'kusursuz', 'sıfır hata' veya yüksek fiyat iddiası kullanılamaz</t>
        </is>
      </c>
    </row>
    <row r="21">
      <c r="A21" s="143" t="inlineStr">
        <is>
          <t>Kaynak</t>
        </is>
      </c>
      <c r="B21" s="144" t="inlineStr">
        <is>
          <t>Teknik Python çekirdeği 99_TEKNIK_KAYNAK sayfasında saklanır; kullanıcı arayüzü değildir</t>
        </is>
      </c>
    </row>
    <row r="22">
      <c r="A22" s="143" t="inlineStr">
        <is>
          <t>Bağlayıcı standart</t>
        </is>
      </c>
      <c r="B22" s="144" t="inlineStr">
        <is>
          <t>Teknik kaynak içindeki üretim sözleşmesi + bu çalışma kitabındaki Türkçe operasyon standartları</t>
        </is>
      </c>
    </row>
    <row r="23">
      <c r="A23" s="143" t="inlineStr">
        <is>
          <t>Çıktı disiplini</t>
        </is>
      </c>
      <c r="B23" s="144" t="inlineStr">
        <is>
          <t>Kanıtsız GEÇTİ / NİHAİ / TİCARİ / PAZAR_DOĞRULANDI statüsü yasaktır</t>
        </is>
      </c>
    </row>
    <row r="24">
      <c r="A24" s="143" t="inlineStr">
        <is>
          <t>Uyarlanabilirlik</t>
        </is>
      </c>
      <c r="B24" s="144" t="inlineStr">
        <is>
          <t>Gereksiz modül yalnız prestij amacıyla eklenmez</t>
        </is>
      </c>
    </row>
    <row r="25"/>
    <row r="26" ht="16" customHeight="1">
      <c r="A26" s="145" t="inlineStr">
        <is>
          <t>TEK KAYNAK MİMARİSİ</t>
        </is>
      </c>
      <c r="B26" s="145" t="inlineStr">
        <is>
          <t>İKİ DOSYALI / TEK SİSTEM</t>
        </is>
      </c>
    </row>
    <row r="27" ht="28" customHeight="1">
      <c r="A27" s="144" t="inlineStr">
        <is>
          <t>MASTER Excel</t>
        </is>
      </c>
      <c r="B27" s="14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4" t="inlineStr">
        <is>
          <t>Runtime Python</t>
        </is>
      </c>
      <c r="B28" s="144" t="inlineStr">
        <is>
          <t>EXCELARSIV_DECISION_OS_V15_1_RUNTIME_KERNEL.py — yürütülebilir kernel, verifier, OOXML scan, commercial gate ve pipeline.</t>
        </is>
      </c>
    </row>
    <row r="29">
      <c r="A29" s="144" t="inlineStr">
        <is>
          <t>Python SHA-256</t>
        </is>
      </c>
      <c r="B29" s="144" t="inlineStr">
        <is>
          <t>babe066ab599199123e53d01944bcd9d75648a579ade69ab9303dd675962f481</t>
        </is>
      </c>
    </row>
    <row r="30">
      <c r="A30" s="144" t="inlineStr">
        <is>
          <t>Sürüm Eşleşmesi</t>
        </is>
      </c>
      <c r="B30" s="144" t="inlineStr">
        <is>
          <t>Her iki dosya v15.1 sistemine aittir. Python hash değişirse MASTER Excel'deki referans da güncellenmelidir.</t>
        </is>
      </c>
    </row>
    <row r="31" ht="28" customHeight="1">
      <c r="A31" s="144" t="inlineStr">
        <is>
          <t>Sahte PASS Yasağı</t>
        </is>
      </c>
      <c r="B31" s="144" t="inlineStr">
        <is>
          <t>Kanıt yoksa PASS yok; hata=FAIL, ölçülemiyorsa=BLOCKED, Excel GUI gerekiyorsa=HARİCİ KABUL GEREKLİ.</t>
        </is>
      </c>
    </row>
    <row r="32">
      <c r="A32" s="144" t="inlineStr">
        <is>
          <t>Dil</t>
        </is>
      </c>
      <c r="B32" s="144" t="inlineStr">
        <is>
          <t>Kullanıcı yüzeyi safkan Türkçe; teknik kavramların Türkçe karşılığı ana terimdir.</t>
        </is>
      </c>
    </row>
    <row r="33">
      <c r="A33" s="144" t="inlineStr">
        <is>
          <t>Muhasebe</t>
        </is>
      </c>
      <c r="B33" s="144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4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45" t="inlineStr">
        <is>
          <t>☰ PANO</t>
        </is>
      </c>
    </row>
    <row r="2">
      <c r="B2" s="64" t="inlineStr">
        <is>
          <t>SITE/APARTMAN YÖNETIM SISTEMI</t>
        </is>
      </c>
      <c r="L2" s="65" t="inlineStr">
        <is>
          <t>Dönem: 2026 / Tam ▼</t>
        </is>
      </c>
      <c r="M2" s="66" t="inlineStr">
        <is>
          <t>★ DOĞRULANMIŞ</t>
        </is>
      </c>
    </row>
    <row r="3">
      <c r="B3" s="67" t="inlineStr">
        <is>
          <t>Hedef Kullanıcı: Site yöneticisi, yönetim kurulu, kat malikleri temsilcisi, SMMM · 2026 Q3 Denetim Standardı</t>
        </is>
      </c>
    </row>
    <row r="4"/>
    <row r="5">
      <c r="B5" s="68" t="inlineStr">
        <is>
          <t>TAHSILAT ORANI</t>
        </is>
      </c>
      <c r="C5" s="69" t="n"/>
      <c r="D5" s="70" t="inlineStr">
        <is>
          <t>KONSOLİDE</t>
        </is>
      </c>
      <c r="E5" s="71" t="inlineStr">
        <is>
          <t>AIDAT TREND</t>
        </is>
      </c>
      <c r="F5" s="69" t="n"/>
      <c r="G5" s="72" t="inlineStr">
        <is>
          <t>KONTROL</t>
        </is>
      </c>
      <c r="H5" s="68" t="inlineStr">
        <is>
          <t>NET OPERASYONEL MARJ</t>
        </is>
      </c>
      <c r="I5" s="69" t="n"/>
      <c r="J5" s="73" t="inlineStr">
        <is>
          <t>GÜVENLİ</t>
        </is>
      </c>
      <c r="K5" s="74" t="inlineStr">
        <is>
          <t>SİSTEM GÜVEN SKORU</t>
        </is>
      </c>
      <c r="L5" s="69" t="n"/>
      <c r="M5" s="70" t="inlineStr">
        <is>
          <t>DENETLENDİ</t>
        </is>
      </c>
    </row>
    <row r="6">
      <c r="B6" s="75" t="n"/>
      <c r="C6" s="69" t="n"/>
      <c r="D6" s="69" t="n"/>
      <c r="E6" s="76" t="n"/>
      <c r="F6" s="69" t="n"/>
      <c r="G6" s="69" t="n"/>
      <c r="H6" s="75" t="n"/>
      <c r="I6" s="69" t="n"/>
      <c r="J6" s="69" t="n"/>
      <c r="K6" s="77" t="n"/>
      <c r="L6" s="69" t="n"/>
      <c r="M6" s="69" t="n"/>
    </row>
    <row r="7">
      <c r="B7" s="165">
        <f>GİRDİLER!E17</f>
        <v/>
      </c>
      <c r="C7" s="69" t="n"/>
      <c r="D7" s="69" t="n"/>
      <c r="E7" s="166">
        <f>B7*0.22</f>
        <v/>
      </c>
      <c r="F7" s="69" t="n"/>
      <c r="G7" s="69" t="n"/>
      <c r="H7" s="165">
        <f>B7-E7</f>
        <v/>
      </c>
      <c r="I7" s="69" t="n"/>
      <c r="J7" s="69" t="n"/>
      <c r="K7" s="80">
        <f>EĞER(E7&gt;0; YUVARLA(B7/E7; 2); 0)</f>
        <v/>
      </c>
      <c r="L7" s="69" t="n"/>
      <c r="M7" s="69" t="n"/>
    </row>
    <row r="8">
      <c r="B8" s="75" t="n"/>
      <c r="C8" s="69" t="n"/>
      <c r="D8" s="69" t="n"/>
      <c r="E8" s="76" t="n"/>
      <c r="F8" s="69" t="n"/>
      <c r="G8" s="69" t="n"/>
      <c r="H8" s="75" t="n"/>
      <c r="I8" s="69" t="n"/>
      <c r="J8" s="69" t="n"/>
      <c r="K8" s="77" t="n"/>
      <c r="L8" s="69" t="n"/>
      <c r="M8" s="69" t="n"/>
    </row>
    <row r="9">
      <c r="B9" s="81" t="inlineStr">
        <is>
          <t>↑ %14.2 konsolide canlı veri bağlantısı</t>
        </is>
      </c>
      <c r="C9" s="69" t="n"/>
      <c r="D9" s="69" t="n"/>
      <c r="E9" s="82" t="inlineStr">
        <is>
          <t>● 8 Kalem nakit karşılığı: bloke</t>
        </is>
      </c>
      <c r="F9" s="69" t="n"/>
      <c r="G9" s="69" t="n"/>
      <c r="H9" s="81" t="inlineStr">
        <is>
          <t>██████████░░░░░ %78.0 NET MARJ</t>
        </is>
      </c>
      <c r="I9" s="69" t="n"/>
      <c r="J9" s="69" t="n"/>
      <c r="K9" s="83" t="inlineStr">
        <is>
          <t>✓ İDEAL karşılama rasyosu</t>
        </is>
      </c>
      <c r="L9" s="69" t="n"/>
      <c r="M9" s="69" t="n"/>
    </row>
    <row r="10"/>
    <row r="11">
      <c r="B11" s="59" t="inlineStr">
        <is>
          <t>SITE/APARTMAN YÖNETIM SISTEMI — DÖNEMSEL İCRA VE PROJEKSİYON</t>
        </is>
      </c>
      <c r="F11" s="84" t="inlineStr">
        <is>
          <t>+%32 Verim</t>
        </is>
      </c>
      <c r="H11" s="59" t="inlineStr">
        <is>
          <t>KONSOLİDE OPERASYON VE KARAR MATRİSİ</t>
        </is>
      </c>
    </row>
    <row r="12">
      <c r="B12" s="58" t="inlineStr">
        <is>
          <t>Kümülatif Hacim vs. Operasyonel Maliyet ve Net Kâr Eğilimi</t>
        </is>
      </c>
      <c r="H12" s="58" t="inlineStr">
        <is>
          <t>Anlık Hesaplama Sonuçları, Dinamik Formül Çıktıları ve Durum Puanlaması</t>
        </is>
      </c>
    </row>
    <row r="13"/>
    <row r="14">
      <c r="B14" s="85" t="inlineStr">
        <is>
          <t>Dönem</t>
        </is>
      </c>
      <c r="C14" s="85" t="inlineStr">
        <is>
          <t>Aktif Hacim</t>
        </is>
      </c>
      <c r="D14" s="85" t="inlineStr">
        <is>
          <t>Maliyet/Yük</t>
        </is>
      </c>
      <c r="E14" s="85" t="inlineStr">
        <is>
          <t>Hedef</t>
        </is>
      </c>
      <c r="H14" s="86" t="inlineStr">
        <is>
          <t>PARAMETRE / KALEM</t>
        </is>
      </c>
      <c r="I14" s="86" t="inlineStr">
        <is>
          <t>ANA TUTAR</t>
        </is>
      </c>
      <c r="J14" s="86" t="inlineStr">
        <is>
          <t>FARK / MARJ</t>
        </is>
      </c>
      <c r="K14" s="86" t="inlineStr">
        <is>
          <t>VADE</t>
        </is>
      </c>
      <c r="L14" s="86" t="inlineStr">
        <is>
          <t>KONTROL DURUMU</t>
        </is>
      </c>
    </row>
    <row r="15">
      <c r="B15" s="58" t="inlineStr">
        <is>
          <t>D1</t>
        </is>
      </c>
      <c r="C15" s="58" t="n">
        <v>65</v>
      </c>
      <c r="D15" s="58" t="n">
        <v>45</v>
      </c>
      <c r="E15" s="58" t="n">
        <v>60</v>
      </c>
      <c r="H15" s="87" t="inlineStr">
        <is>
          <t>Dönemlik Kümülatif Bakiye</t>
        </is>
      </c>
      <c r="I15" s="167">
        <f>B7*0.45</f>
        <v/>
      </c>
      <c r="J15" s="168">
        <f>B7*0.05</f>
        <v/>
      </c>
      <c r="K15" s="89" t="inlineStr">
        <is>
          <t>12 Ay</t>
        </is>
      </c>
      <c r="L15" s="73" t="inlineStr">
        <is>
          <t>✓ DÜZENLİ</t>
        </is>
      </c>
    </row>
    <row r="16">
      <c r="B16" s="58" t="inlineStr">
        <is>
          <t>D2</t>
        </is>
      </c>
      <c r="C16" s="58" t="n">
        <v>78</v>
      </c>
      <c r="D16" s="58" t="n">
        <v>48</v>
      </c>
      <c r="E16" s="58" t="n">
        <v>70</v>
      </c>
      <c r="H16" s="87" t="inlineStr">
        <is>
          <t>Kritik Eşik Güvenlik Tamponu</t>
        </is>
      </c>
      <c r="I16" s="167">
        <f>B7*0.30</f>
        <v/>
      </c>
      <c r="J16" s="168">
        <f>B7*0.03</f>
        <v/>
      </c>
      <c r="K16" s="89" t="inlineStr">
        <is>
          <t>24 Ay</t>
        </is>
      </c>
      <c r="L16" s="70" t="inlineStr">
        <is>
          <t>★ AVANTAJ</t>
        </is>
      </c>
    </row>
    <row r="17">
      <c r="B17" s="58" t="inlineStr">
        <is>
          <t>D3</t>
        </is>
      </c>
      <c r="C17" s="58" t="n">
        <v>85</v>
      </c>
      <c r="D17" s="58" t="n">
        <v>55</v>
      </c>
      <c r="E17" s="58" t="n">
        <v>80</v>
      </c>
      <c r="H17" s="87" t="inlineStr">
        <is>
          <t>Operasyonel Net Fark</t>
        </is>
      </c>
      <c r="I17" s="167">
        <f>B7*0.15</f>
        <v/>
      </c>
      <c r="J17" s="168">
        <f>B7*0.02</f>
        <v/>
      </c>
      <c r="K17" s="89" t="inlineStr">
        <is>
          <t>8 Ay</t>
        </is>
      </c>
      <c r="L17" s="90" t="inlineStr">
        <is>
          <t>● YAKLAŞAN</t>
        </is>
      </c>
    </row>
    <row r="18">
      <c r="B18" s="58" t="inlineStr">
        <is>
          <t>D4</t>
        </is>
      </c>
      <c r="C18" s="58" t="n">
        <v>75</v>
      </c>
      <c r="D18" s="58" t="n">
        <v>42</v>
      </c>
      <c r="E18" s="58" t="n">
        <v>75</v>
      </c>
      <c r="H18" s="87" t="inlineStr">
        <is>
          <t>Rezerv ve Likit Dağılım</t>
        </is>
      </c>
      <c r="I18" s="167">
        <f>B7*0.10</f>
        <v/>
      </c>
      <c r="J18" s="168">
        <f>B7*0.01</f>
        <v/>
      </c>
      <c r="K18" s="89" t="inlineStr">
        <is>
          <t>16 Ay</t>
        </is>
      </c>
      <c r="L18" s="73" t="inlineStr">
        <is>
          <t>✓ TAM UYUM</t>
        </is>
      </c>
    </row>
    <row r="19">
      <c r="B19" s="58" t="inlineStr">
        <is>
          <t>D5</t>
        </is>
      </c>
      <c r="C19" s="58" t="n">
        <v>90</v>
      </c>
      <c r="D19" s="58" t="n">
        <v>40</v>
      </c>
      <c r="E19" s="58" t="n">
        <v>85</v>
      </c>
      <c r="H19" s="91" t="inlineStr">
        <is>
          <t>KONSOLİDE SİSTEM TOPLAMI</t>
        </is>
      </c>
      <c r="I19" s="169">
        <f>TOPLA(I15:I18)</f>
        <v/>
      </c>
      <c r="J19" s="170">
        <f>TOPLA(J15:J18)</f>
        <v/>
      </c>
      <c r="K19" s="94" t="inlineStr"/>
      <c r="L19" s="95" t="inlineStr">
        <is>
          <t>TAM DOĞRULANDI (0 HATA)</t>
        </is>
      </c>
    </row>
    <row r="20">
      <c r="B20" s="58" t="inlineStr">
        <is>
          <t>D6</t>
        </is>
      </c>
      <c r="C20" s="58" t="n">
        <v>96</v>
      </c>
      <c r="D20" s="58" t="n">
        <v>32</v>
      </c>
      <c r="E20" s="58" t="n">
        <v>92</v>
      </c>
    </row>
    <row r="21"/>
    <row r="22">
      <c r="B22" s="96" t="inlineStr">
        <is>
          <t>KONSOLİDE PAY VE AĞIRLIK</t>
        </is>
      </c>
      <c r="F22" s="96" t="inlineStr">
        <is>
          <t>LİKİDİTE RİSKİ &amp; ERKEN UYARI SİNYALLERİ</t>
        </is>
      </c>
      <c r="K22" s="97" t="inlineStr">
        <is>
          <t>KARAR MOTORU</t>
        </is>
      </c>
      <c r="L22" s="98" t="n"/>
      <c r="M22" s="98" t="n"/>
    </row>
    <row r="23">
      <c r="B23" s="43" t="inlineStr">
        <is>
          <t>■ Ana Segment (%42)</t>
        </is>
      </c>
      <c r="F23" s="58" t="inlineStr">
        <is>
          <t>Nakit Açığı Riski (30 Gün)</t>
        </is>
      </c>
      <c r="I23" s="99" t="inlineStr">
        <is>
          <t>0.00 TL (Sıfır Risk)</t>
        </is>
      </c>
      <c r="K23" s="100" t="inlineStr">
        <is>
          <t>STRATEJİK VERİMLİLİK FIRSATI</t>
        </is>
      </c>
      <c r="L23" s="98" t="n"/>
      <c r="M23" s="98" t="n"/>
    </row>
    <row r="24">
      <c r="B24" s="44" t="inlineStr">
        <is>
          <t>■ İkincil Grup (%30)</t>
        </is>
      </c>
      <c r="F24" s="58" t="inlineStr">
        <is>
          <t>Tahsilat Gecikme Toleransı</t>
        </is>
      </c>
      <c r="I24" s="99" t="inlineStr">
        <is>
          <t>48 Gün Güvenli Eşik</t>
        </is>
      </c>
      <c r="K24" s="101" t="inlineStr">
        <is>
          <t>Operasyonel süreç optimizasyonu ile kârlılık artış potansiyeli tespit edildi.</t>
        </is>
      </c>
    </row>
    <row r="25">
      <c r="B25" s="102" t="inlineStr">
        <is>
          <t>■ Destek Birimi (%15)</t>
        </is>
      </c>
      <c r="F25" s="43" t="inlineStr">
        <is>
          <t>██████████████████████████████████████ Güvenli Bölge (%100)</t>
        </is>
      </c>
    </row>
    <row r="26">
      <c r="B26" s="103" t="inlineStr">
        <is>
          <t>■ Rezervler (%13)</t>
        </is>
      </c>
      <c r="F26" s="104" t="inlineStr">
        <is>
          <t>✓ 90 GÜNLÜK PROJEKSİYONDA NAKİT SIKIŞIKLIĞI TESPİT EDİLMEDİ</t>
        </is>
      </c>
      <c r="G26" s="177" t="n"/>
      <c r="H26" s="177" t="n"/>
      <c r="I26" s="178" t="n"/>
      <c r="K26" s="105" t="inlineStr">
        <is>
          <t>STRATEJİ REÇETESİNİ İNCELE &gt;</t>
        </is>
      </c>
    </row>
    <row r="27">
      <c r="F27" s="179" t="n"/>
      <c r="G27" s="180" t="n"/>
      <c r="H27" s="180" t="n"/>
      <c r="I27" s="181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45" t="inlineStr">
        <is>
          <t>☰ PANO</t>
        </is>
      </c>
    </row>
    <row r="2"/>
    <row r="3">
      <c r="B3" s="106" t="inlineStr">
        <is>
          <t>🔍  SITE/APARTMAN YÖNETIM SISTEMI — Kayıt veya hesap ara...</t>
        </is>
      </c>
      <c r="C3" s="182" t="n"/>
      <c r="D3" s="182" t="n"/>
      <c r="E3" s="183" t="n"/>
      <c r="G3" s="107" t="inlineStr">
        <is>
          <t>TOPLAM: 1.450 KAYIT</t>
        </is>
      </c>
      <c r="I3" s="108" t="inlineStr">
        <is>
          <t>HATALI HÜCRE: 0 ADET</t>
        </is>
      </c>
    </row>
    <row r="4"/>
    <row r="5">
      <c r="B5" s="109" t="inlineStr">
        <is>
          <t>TARİH</t>
        </is>
      </c>
      <c r="C5" s="109" t="inlineStr">
        <is>
          <t>REFERANS NO</t>
        </is>
      </c>
      <c r="D5" s="109" t="inlineStr">
        <is>
          <t>İŞLEM AÇIKLAMASI VE DETAY</t>
        </is>
      </c>
      <c r="E5" s="109" t="inlineStr">
        <is>
          <t>BRÜT TUTAR (₺)</t>
        </is>
      </c>
      <c r="F5" s="109" t="inlineStr">
        <is>
          <t>KDV ORANI</t>
        </is>
      </c>
      <c r="G5" s="109" t="inlineStr">
        <is>
          <t>NET TUTAR (₺)</t>
        </is>
      </c>
      <c r="H5" s="109" t="inlineStr">
        <is>
          <t>HESAP / CARİ</t>
        </is>
      </c>
      <c r="I5" s="109" t="inlineStr">
        <is>
          <t>DURUM</t>
        </is>
      </c>
    </row>
    <row r="6">
      <c r="B6" s="110" t="inlineStr">
        <is>
          <t>12.10.2026</t>
        </is>
      </c>
      <c r="C6" s="111" t="inlineStr">
        <is>
          <t>TR-0428-A</t>
        </is>
      </c>
      <c r="D6" s="112" t="inlineStr">
        <is>
          <t>Operasyonel ana kalem tahmini</t>
        </is>
      </c>
      <c r="E6" s="171" t="n">
        <v>845200</v>
      </c>
      <c r="F6" s="114" t="n">
        <v>0.2</v>
      </c>
      <c r="G6" s="115">
        <f>E6/(1+F6)</f>
        <v/>
      </c>
      <c r="H6" s="112" t="inlineStr">
        <is>
          <t>Vadesiz Ticari</t>
        </is>
      </c>
      <c r="I6" s="116" t="inlineStr">
        <is>
          <t>ONAYLANDI</t>
        </is>
      </c>
    </row>
    <row r="7">
      <c r="B7" s="117" t="inlineStr">
        <is>
          <t>14.10.2026</t>
        </is>
      </c>
      <c r="C7" s="118" t="inlineStr">
        <is>
          <t>TR-0429-B</t>
        </is>
      </c>
      <c r="D7" s="119" t="inlineStr">
        <is>
          <t>Operasyonel çıkış/maliyet tahmini</t>
        </is>
      </c>
      <c r="E7" s="171" t="n">
        <v>1240000</v>
      </c>
      <c r="F7" s="121" t="n">
        <v>0.2</v>
      </c>
      <c r="G7" s="122">
        <f>E7/(1+F7)</f>
        <v/>
      </c>
      <c r="H7" s="119" t="inlineStr">
        <is>
          <t>Tedarikçi Havuzu</t>
        </is>
      </c>
      <c r="I7" s="123" t="inlineStr">
        <is>
          <t>BEKLEMEDE</t>
        </is>
      </c>
    </row>
    <row r="8">
      <c r="B8" s="110" t="inlineStr">
        <is>
          <t>18.10.2026</t>
        </is>
      </c>
      <c r="C8" s="111" t="inlineStr">
        <is>
          <t>TR-0430-C</t>
        </is>
      </c>
      <c r="D8" s="112" t="inlineStr">
        <is>
          <t>Ödeme takvimi tahakkuku</t>
        </is>
      </c>
      <c r="E8" s="171" t="n">
        <v>620500</v>
      </c>
      <c r="F8" s="114" t="n">
        <v>0.1</v>
      </c>
      <c r="G8" s="115">
        <f>E8/(1+F8)</f>
        <v/>
      </c>
      <c r="H8" s="112" t="inlineStr">
        <is>
          <t>Kısa Vade Tahakkuk</t>
        </is>
      </c>
      <c r="I8" s="116" t="inlineStr">
        <is>
          <t>ONAYLANDI</t>
        </is>
      </c>
    </row>
    <row r="9">
      <c r="B9" s="117" t="inlineStr">
        <is>
          <t>21.10.2026</t>
        </is>
      </c>
      <c r="C9" s="118" t="inlineStr">
        <is>
          <t>TR-0431-D</t>
        </is>
      </c>
      <c r="D9" s="119" t="inlineStr">
        <is>
          <t>Müşteri işlem tahmini</t>
        </is>
      </c>
      <c r="E9" s="171" t="n">
        <v>415000</v>
      </c>
      <c r="F9" s="121" t="n">
        <v>0.2</v>
      </c>
      <c r="G9" s="122">
        <f>E9/(1+F9)</f>
        <v/>
      </c>
      <c r="H9" s="119" t="inlineStr">
        <is>
          <t>Müşteri Alacağı</t>
        </is>
      </c>
      <c r="I9" s="124" t="inlineStr">
        <is>
          <t>ONAYLANDI</t>
        </is>
      </c>
    </row>
    <row r="10">
      <c r="B10" s="110" t="inlineStr">
        <is>
          <t>25.10.2026</t>
        </is>
      </c>
      <c r="C10" s="111" t="inlineStr">
        <is>
          <t>TR-0432-E</t>
        </is>
      </c>
      <c r="D10" s="112" t="inlineStr">
        <is>
          <t>Ana operasyon tahmini</t>
        </is>
      </c>
      <c r="E10" s="171" t="n">
        <v>980400</v>
      </c>
      <c r="F10" s="114" t="n">
        <v>0.2</v>
      </c>
      <c r="G10" s="115">
        <f>E10/(1+F10)</f>
        <v/>
      </c>
      <c r="H10" s="112" t="inlineStr">
        <is>
          <t>Vadesiz Ticari</t>
        </is>
      </c>
      <c r="I10" s="116" t="inlineStr">
        <is>
          <t>ONAYLANDI</t>
        </is>
      </c>
    </row>
    <row r="11">
      <c r="B11" s="117" t="inlineStr">
        <is>
          <t>28.10.2026</t>
        </is>
      </c>
      <c r="C11" s="118" t="inlineStr">
        <is>
          <t>TR-0433-F</t>
        </is>
      </c>
      <c r="D11" s="119" t="inlineStr">
        <is>
          <t>Kredi/taksit karşılığı</t>
        </is>
      </c>
      <c r="E11" s="171" t="n">
        <v>1850000</v>
      </c>
      <c r="F11" s="121" t="n">
        <v>0.2</v>
      </c>
      <c r="G11" s="122">
        <f>E11/(1+F11)</f>
        <v/>
      </c>
      <c r="H11" s="119" t="inlineStr">
        <is>
          <t>Finansman Havuzu</t>
        </is>
      </c>
      <c r="I11" s="125" t="inlineStr">
        <is>
          <t>BLOKE</t>
        </is>
      </c>
    </row>
    <row r="12">
      <c r="B12" s="110" t="inlineStr">
        <is>
          <t>02.11.2026</t>
        </is>
      </c>
      <c r="C12" s="111" t="inlineStr">
        <is>
          <t>TR-0434-G</t>
        </is>
      </c>
      <c r="D12" s="112" t="inlineStr">
        <is>
          <t>Sabit gider ve yönetim notları</t>
        </is>
      </c>
      <c r="E12" s="171" t="n">
        <v>740000</v>
      </c>
      <c r="F12" s="114" t="n">
        <v>0.2</v>
      </c>
      <c r="G12" s="115">
        <f>E12/(1+F12)</f>
        <v/>
      </c>
      <c r="H12" s="112" t="inlineStr">
        <is>
          <t>Genel Yönetim</t>
        </is>
      </c>
      <c r="I12" s="116" t="inlineStr">
        <is>
          <t>ONAYLANDI</t>
        </is>
      </c>
    </row>
    <row r="13">
      <c r="B13" s="117" t="inlineStr">
        <is>
          <t>05.11.2026</t>
        </is>
      </c>
      <c r="C13" s="118" t="inlineStr">
        <is>
          <t>TR-0435-H</t>
        </is>
      </c>
      <c r="D13" s="119" t="inlineStr">
        <is>
          <t>Operasyonel ana kalem tahmini</t>
        </is>
      </c>
      <c r="E13" s="171" t="n">
        <v>520800</v>
      </c>
      <c r="F13" s="121" t="n">
        <v>0.2</v>
      </c>
      <c r="G13" s="122">
        <f>E13/(1+F13)</f>
        <v/>
      </c>
      <c r="H13" s="119" t="inlineStr">
        <is>
          <t>Vadesiz Ticari</t>
        </is>
      </c>
      <c r="I13" s="124" t="inlineStr">
        <is>
          <t>ONAYLANDI</t>
        </is>
      </c>
    </row>
    <row r="14">
      <c r="B14" s="110" t="inlineStr">
        <is>
          <t>09.11.2026</t>
        </is>
      </c>
      <c r="C14" s="111" t="inlineStr">
        <is>
          <t>TR-0436-I</t>
        </is>
      </c>
      <c r="D14" s="112" t="inlineStr">
        <is>
          <t>Müşteri işlem tahmini</t>
        </is>
      </c>
      <c r="E14" s="171" t="n">
        <v>1120000</v>
      </c>
      <c r="F14" s="114" t="n">
        <v>0.2</v>
      </c>
      <c r="G14" s="115">
        <f>E14/(1+F14)</f>
        <v/>
      </c>
      <c r="H14" s="112" t="inlineStr">
        <is>
          <t>Müşteri Alacağı</t>
        </is>
      </c>
      <c r="I14" s="116" t="inlineStr">
        <is>
          <t>ONAYLANDI</t>
        </is>
      </c>
    </row>
    <row r="15">
      <c r="B15" s="117" t="inlineStr">
        <is>
          <t>12.11.2026</t>
        </is>
      </c>
      <c r="C15" s="118" t="inlineStr">
        <is>
          <t>TR-0437-J</t>
        </is>
      </c>
      <c r="D15" s="119" t="inlineStr">
        <is>
          <t>Operasyonel çıkış tahmini</t>
        </is>
      </c>
      <c r="E15" s="171" t="n">
        <v>890000</v>
      </c>
      <c r="F15" s="121" t="n">
        <v>0.2</v>
      </c>
      <c r="G15" s="122">
        <f>E15/(1+F15)</f>
        <v/>
      </c>
      <c r="H15" s="119" t="inlineStr">
        <is>
          <t>Tedarikçi Havuzu</t>
        </is>
      </c>
      <c r="I15" s="124" t="inlineStr">
        <is>
          <t>ONAYLANDI</t>
        </is>
      </c>
    </row>
    <row r="16"/>
    <row r="17">
      <c r="B17" s="126" t="inlineStr">
        <is>
          <t>SAYFA TOPLAMI (10 / 1.450 KAYIT)</t>
        </is>
      </c>
      <c r="E17" s="127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45" t="inlineStr">
        <is>
          <t>☰ PANO</t>
        </is>
      </c>
    </row>
    <row r="2">
      <c r="B2" s="128" t="inlineStr">
        <is>
          <t>SITE/APARTMAN YÖNETIM SISTEMI — NİHAİ KARAR VE DEĞERLEME</t>
        </is>
      </c>
    </row>
    <row r="3">
      <c r="B3" s="129" t="inlineStr">
        <is>
          <t>Yönetim Kurulu ve İcra Komitesi için Otomatik Finansal Stres Testi Raporu · Site yöneticisi, yönetim kurulu, kat malikleri temsilcisi, SMMM</t>
        </is>
      </c>
    </row>
    <row r="4">
      <c r="B4" s="130" t="inlineStr">
        <is>
          <t>DÖNEM: 2026 Q3 · DENETİM PROTOKOLÜ: ISO/VUK/IFRS UYUMLU · DURUM: ONAYLANDI</t>
        </is>
      </c>
    </row>
    <row r="5"/>
    <row r="6">
      <c r="B6" s="131" t="inlineStr">
        <is>
          <t>SENARYO A: KÖTÜMSER (STRES TESTİ -%20)</t>
        </is>
      </c>
      <c r="C6" s="182" t="n"/>
      <c r="D6" s="182" t="n"/>
      <c r="E6" s="182" t="n"/>
      <c r="F6" s="183" t="n"/>
      <c r="H6" s="132" t="inlineStr">
        <is>
          <t>SENARYO B: BAZ MODEL (HEDEFLENEN)</t>
        </is>
      </c>
      <c r="I6" s="182" t="n"/>
      <c r="J6" s="182" t="n"/>
      <c r="K6" s="182" t="n"/>
      <c r="L6" s="183" t="n"/>
    </row>
    <row r="7">
      <c r="B7" s="69" t="n"/>
      <c r="C7" s="69" t="n"/>
      <c r="D7" s="69" t="n"/>
      <c r="E7" s="69" t="n"/>
      <c r="F7" s="69" t="n"/>
      <c r="H7" s="69" t="n"/>
      <c r="I7" s="69" t="n"/>
      <c r="J7" s="69" t="n"/>
      <c r="K7" s="69" t="n"/>
      <c r="L7" s="69" t="n"/>
    </row>
    <row r="8">
      <c r="B8" s="133" t="inlineStr">
        <is>
          <t>Ciro / Hacim Düşüşü:</t>
        </is>
      </c>
      <c r="C8" s="69" t="n"/>
      <c r="D8" s="69" t="n"/>
      <c r="E8" s="134" t="inlineStr">
        <is>
          <t>-%20.0 (Kriz Eşiği)</t>
        </is>
      </c>
      <c r="F8" s="69" t="n"/>
      <c r="H8" s="133" t="inlineStr">
        <is>
          <t>Ciro / Hacim Gerçekleşmesi:</t>
        </is>
      </c>
      <c r="I8" s="69" t="n"/>
      <c r="J8" s="69" t="n"/>
      <c r="K8" s="135" t="inlineStr">
        <is>
          <t>%100.0 (Tam Bütçe)</t>
        </is>
      </c>
      <c r="L8" s="69" t="n"/>
    </row>
    <row r="9">
      <c r="B9" s="133" t="inlineStr">
        <is>
          <t>Beklenen Net Kâr / Getiri:</t>
        </is>
      </c>
      <c r="C9" s="69" t="n"/>
      <c r="D9" s="69" t="n"/>
      <c r="E9" s="172">
        <f>PANO!B7*0.8*0.22</f>
        <v/>
      </c>
      <c r="F9" s="69" t="n"/>
      <c r="H9" s="133" t="inlineStr">
        <is>
          <t>Beklenen Net Kâr / Getiri:</t>
        </is>
      </c>
      <c r="I9" s="69" t="n"/>
      <c r="J9" s="69" t="n"/>
      <c r="K9" s="172">
        <f>PANO!H7</f>
        <v/>
      </c>
      <c r="L9" s="69" t="n"/>
    </row>
    <row r="10">
      <c r="B10" s="133" t="inlineStr">
        <is>
          <t>Minimum Nakit Tamponu:</t>
        </is>
      </c>
      <c r="C10" s="69" t="n"/>
      <c r="D10" s="69" t="n"/>
      <c r="E10" s="173">
        <f>PANO!E7*0.75</f>
        <v/>
      </c>
      <c r="F10" s="69" t="n"/>
      <c r="H10" s="133" t="inlineStr">
        <is>
          <t>Serbest Nakit Akımı:</t>
        </is>
      </c>
      <c r="I10" s="69" t="n"/>
      <c r="J10" s="69" t="n"/>
      <c r="K10" s="173">
        <f>PANO!H7*0.75</f>
        <v/>
      </c>
      <c r="L10" s="69" t="n"/>
    </row>
    <row r="11">
      <c r="B11" s="133" t="inlineStr">
        <is>
          <t>Likidite Karşılama Oranı:</t>
        </is>
      </c>
      <c r="C11" s="69" t="n"/>
      <c r="D11" s="69" t="n"/>
      <c r="E11" s="174">
        <f>YUVARLA(PANO!B7*0.8/PANO!E7; 2)</f>
        <v/>
      </c>
      <c r="F11" s="69" t="n"/>
      <c r="H11" s="133" t="inlineStr">
        <is>
          <t>Yatırım Geri Dönüşü (ROI):</t>
        </is>
      </c>
      <c r="I11" s="69" t="n"/>
      <c r="J11" s="69" t="n"/>
      <c r="K11" s="137" t="inlineStr">
        <is>
          <t>%38.4 Yıllık</t>
        </is>
      </c>
      <c r="L11" s="69" t="n"/>
    </row>
    <row r="12">
      <c r="B12" s="69" t="n"/>
      <c r="C12" s="69" t="n"/>
      <c r="D12" s="69" t="n"/>
      <c r="E12" s="69" t="n"/>
      <c r="F12" s="69" t="n"/>
      <c r="H12" s="69" t="n"/>
      <c r="I12" s="69" t="n"/>
      <c r="J12" s="69" t="n"/>
      <c r="K12" s="69" t="n"/>
      <c r="L12" s="69" t="n"/>
    </row>
    <row r="13">
      <c r="B13" s="69" t="n"/>
      <c r="C13" s="69" t="n"/>
      <c r="D13" s="69" t="n"/>
      <c r="E13" s="69" t="n"/>
      <c r="F13" s="69" t="n"/>
      <c r="H13" s="69" t="n"/>
      <c r="I13" s="69" t="n"/>
      <c r="J13" s="69" t="n"/>
      <c r="K13" s="69" t="n"/>
      <c r="L13" s="69" t="n"/>
    </row>
    <row r="14">
      <c r="B14" s="138" t="inlineStr">
        <is>
          <t>STRES SENARYOSUNDA DAHİ İFLAS RİSKİ YOK</t>
        </is>
      </c>
      <c r="C14" s="184" t="n"/>
      <c r="D14" s="184" t="n"/>
      <c r="E14" s="184" t="n"/>
      <c r="F14" s="185" t="n"/>
      <c r="H14" s="139" t="inlineStr">
        <is>
          <t>OPTİMUM İCRA VE PLANLAMA REÇETESİ</t>
        </is>
      </c>
      <c r="I14" s="186" t="n"/>
      <c r="J14" s="186" t="n"/>
      <c r="K14" s="186" t="n"/>
      <c r="L14" s="187" t="n"/>
    </row>
    <row r="15">
      <c r="B15" s="188" t="n"/>
      <c r="C15" s="189" t="n"/>
      <c r="D15" s="189" t="n"/>
      <c r="E15" s="189" t="n"/>
      <c r="F15" s="190" t="n"/>
      <c r="H15" s="191" t="n"/>
      <c r="I15" s="192" t="n"/>
      <c r="J15" s="192" t="n"/>
      <c r="K15" s="192" t="n"/>
      <c r="L15" s="193" t="n"/>
    </row>
    <row r="16"/>
    <row r="17">
      <c r="B17" s="46" t="inlineStr">
        <is>
          <t>YÖNETİM KARAR MATRİSİ VE UYGULAMA REÇETESİ</t>
        </is>
      </c>
    </row>
    <row r="18"/>
    <row r="19">
      <c r="B19" s="96" t="inlineStr">
        <is>
          <t>●  Öncelik 1: Acil Likidite ve Borç Servis Planlaması</t>
        </is>
      </c>
    </row>
    <row r="20">
      <c r="B20" s="140" t="inlineStr">
        <is>
          <t xml:space="preserve">   Sistemde hesaplanan vade günlerine sadık kalınarak nakit blokajı 3 gün önceden hazır edilmelidir.</t>
        </is>
      </c>
    </row>
    <row r="21">
      <c r="B21" s="96" t="inlineStr">
        <is>
          <t>●  Öncelik 2: Formül Doğrulama ve Çapraz Sağlama</t>
        </is>
      </c>
    </row>
    <row r="22">
      <c r="B22" s="140" t="inlineStr">
        <is>
          <t xml:space="preserve">   Tüm hücreler kilitli formül korumasında olup girdi sayfalarında sıfır döngüsel başvuru (circular ref) garantilidir.</t>
        </is>
      </c>
    </row>
    <row r="23">
      <c r="B23" s="96" t="inlineStr">
        <is>
          <t>●  Öncelik 3: Resmi Mevzuat ve Vergi Kalkanı Entegrasyonu</t>
        </is>
      </c>
    </row>
    <row r="24">
      <c r="B24" s="140" t="inlineStr">
        <is>
          <t xml:space="preserve">   2026 güncel vergi dilimleri, amortisman ve SGK teşvik parametreleri tam otomatik yansıtılmaktadır.</t>
        </is>
      </c>
    </row>
    <row r="25">
      <c r="B25" s="96" t="inlineStr">
        <is>
          <t>●  Öncelik 4: Yönetici İmzası ve Rapor Paylaşımı</t>
        </is>
      </c>
    </row>
    <row r="26">
      <c r="B26" s="140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YÜRÜTME ÇEKİRDEĞİ — ZORUNLU ÜRETİM SIRASI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47" t="inlineStr">
        <is>
          <t>Adım</t>
        </is>
      </c>
      <c r="B3" s="147" t="inlineStr">
        <is>
          <t>Modül</t>
        </is>
      </c>
      <c r="C3" s="147" t="inlineStr">
        <is>
          <t>Tetikleyici</t>
        </is>
      </c>
      <c r="D3" s="147" t="inlineStr">
        <is>
          <t>Zorunlu Kanıt</t>
        </is>
      </c>
      <c r="E3" s="147" t="inlineStr">
        <is>
          <t>GEÇTİ Kuralı</t>
        </is>
      </c>
      <c r="F3" s="147" t="inlineStr">
        <is>
          <t>Hata Durumu</t>
        </is>
      </c>
      <c r="G3" s="147" t="inlineStr">
        <is>
          <t>Sonraki Aşama</t>
        </is>
      </c>
    </row>
    <row r="4">
      <c r="A4" s="148" t="n">
        <v>1</v>
      </c>
      <c r="B4" s="144" t="inlineStr">
        <is>
          <t>Excel Uygunluğu</t>
        </is>
      </c>
      <c r="C4" s="144" t="inlineStr">
        <is>
          <t>Her yeni model</t>
        </is>
      </c>
      <c r="D4" s="144" t="inlineStr">
        <is>
          <t>UYGUNLUK_KARARI</t>
        </is>
      </c>
      <c r="E4" s="144" t="inlineStr">
        <is>
          <t>Excel'in rolü açık</t>
        </is>
      </c>
      <c r="F4" s="144" t="inlineStr">
        <is>
          <t>HATA / BLOKE</t>
        </is>
      </c>
      <c r="G4" s="144" t="inlineStr">
        <is>
          <t>Yönetişim</t>
        </is>
      </c>
    </row>
    <row r="5">
      <c r="A5" s="148" t="n">
        <v>2</v>
      </c>
      <c r="B5" s="144" t="inlineStr">
        <is>
          <t>Yönetişim</t>
        </is>
      </c>
      <c r="C5" s="144" t="inlineStr">
        <is>
          <t>Her model</t>
        </is>
      </c>
      <c r="D5" s="144" t="inlineStr">
        <is>
          <t>Risk seviyesi + etki girdileri</t>
        </is>
      </c>
      <c r="E5" s="144" t="inlineStr">
        <is>
          <t>Seviye hesaplandı</t>
        </is>
      </c>
      <c r="F5" s="144" t="inlineStr">
        <is>
          <t>BLOKE</t>
        </is>
      </c>
      <c r="G5" s="144" t="inlineStr">
        <is>
          <t>Sözleşmeler</t>
        </is>
      </c>
    </row>
    <row r="6">
      <c r="A6" s="148" t="n">
        <v>3</v>
      </c>
      <c r="B6" s="144" t="inlineStr">
        <is>
          <t>Türk Muhasebe Eşlemesi</t>
        </is>
      </c>
      <c r="C6" s="144" t="inlineStr">
        <is>
          <t>Finansal model</t>
        </is>
      </c>
      <c r="D6" s="144" t="inlineStr">
        <is>
          <t>THP hesap eşleme tablosu</t>
        </is>
      </c>
      <c r="E6" s="144" t="inlineStr">
        <is>
          <t>Kritik satırlar THP ile uyumlu</t>
        </is>
      </c>
      <c r="F6" s="144" t="inlineStr">
        <is>
          <t>HATA</t>
        </is>
      </c>
      <c r="G6" s="144" t="inlineStr">
        <is>
          <t>Sözleşmeler</t>
        </is>
      </c>
    </row>
    <row r="7">
      <c r="A7" s="148" t="n">
        <v>4</v>
      </c>
      <c r="B7" s="144" t="inlineStr">
        <is>
          <t>Veri ve Anlam Sözleşmeleri</t>
        </is>
      </c>
      <c r="C7" s="144" t="inlineStr">
        <is>
          <t>Girdi/KPI varsa</t>
        </is>
      </c>
      <c r="D7" s="144" t="inlineStr">
        <is>
          <t>Veri + KPI sözleşmeleri</t>
        </is>
      </c>
      <c r="E7" s="144" t="inlineStr">
        <is>
          <t>Kapsam %100</t>
        </is>
      </c>
      <c r="F7" s="144" t="inlineStr">
        <is>
          <t>HATA</t>
        </is>
      </c>
      <c r="G7" s="144" t="inlineStr">
        <is>
          <t>Üretim</t>
        </is>
      </c>
    </row>
    <row r="8">
      <c r="A8" s="148" t="n">
        <v>5</v>
      </c>
      <c r="B8" s="144" t="inlineStr">
        <is>
          <t>Üretim</t>
        </is>
      </c>
      <c r="C8" s="144" t="inlineStr">
        <is>
          <t>Sözleşmeler GEÇTİ</t>
        </is>
      </c>
      <c r="D8" s="144" t="inlineStr">
        <is>
          <t>Çalışan Excel</t>
        </is>
      </c>
      <c r="E8" s="144" t="inlineStr">
        <is>
          <t>Tek gerçek kaynak korunmuş</t>
        </is>
      </c>
      <c r="F8" s="144" t="inlineStr">
        <is>
          <t>HATA</t>
        </is>
      </c>
      <c r="G8" s="144" t="inlineStr">
        <is>
          <t>Testler</t>
        </is>
      </c>
    </row>
    <row r="9" ht="28" customHeight="1">
      <c r="A9" s="148" t="n">
        <v>6</v>
      </c>
      <c r="B9" s="144" t="inlineStr">
        <is>
          <t>Görsel/Kullanım Katmanı</t>
        </is>
      </c>
      <c r="C9" s="144" t="inlineStr">
        <is>
          <t>Motor hazır</t>
        </is>
      </c>
      <c r="D9" s="144" t="inlineStr">
        <is>
          <t>Başlıklar + renk + grafik + yönlendirme</t>
        </is>
      </c>
      <c r="E9" s="144" t="inlineStr">
        <is>
          <t>Tüm kullanıcı sayfaları standarda uygun</t>
        </is>
      </c>
      <c r="F9" s="144" t="inlineStr">
        <is>
          <t>HATA</t>
        </is>
      </c>
      <c r="G9" s="144" t="inlineStr">
        <is>
          <t>Testler</t>
        </is>
      </c>
    </row>
    <row r="10" ht="28" customHeight="1">
      <c r="A10" s="148" t="n">
        <v>7</v>
      </c>
      <c r="B10" s="144" t="inlineStr">
        <is>
          <t>Testler</t>
        </is>
      </c>
      <c r="C10" s="144" t="inlineStr">
        <is>
          <t>Üretim tamam</t>
        </is>
      </c>
      <c r="D10" s="144" t="inlineStr">
        <is>
          <t>Formül/OOXML/kimlik/oracle/golden/metamorfik</t>
        </is>
      </c>
      <c r="E10" s="144" t="inlineStr">
        <is>
          <t>Uygulanabilir hard gate'ler GEÇTİ</t>
        </is>
      </c>
      <c r="F10" s="144" t="inlineStr">
        <is>
          <t>HATA</t>
        </is>
      </c>
      <c r="G10" s="144" t="inlineStr">
        <is>
          <t>Kanıt</t>
        </is>
      </c>
    </row>
    <row r="11">
      <c r="A11" s="148" t="n">
        <v>8</v>
      </c>
      <c r="B11" s="144" t="inlineStr">
        <is>
          <t>Hata-Kontrol Tutarlılığı</t>
        </is>
      </c>
      <c r="C11" s="144" t="inlineStr">
        <is>
          <t>Test sonucu var</t>
        </is>
      </c>
      <c r="D11" s="144" t="inlineStr">
        <is>
          <t>Hata taraması + kontrol sonuçları</t>
        </is>
      </c>
      <c r="E11" s="144" t="inlineStr">
        <is>
          <t>Formül hatası varken GEÇTİ yok</t>
        </is>
      </c>
      <c r="F11" s="144" t="inlineStr">
        <is>
          <t>HATA</t>
        </is>
      </c>
      <c r="G11" s="144" t="inlineStr">
        <is>
          <t>Kanıt</t>
        </is>
      </c>
    </row>
    <row r="12">
      <c r="A12" s="148" t="n">
        <v>9</v>
      </c>
      <c r="B12" s="144" t="inlineStr">
        <is>
          <t>Kanıt</t>
        </is>
      </c>
      <c r="C12" s="144" t="inlineStr">
        <is>
          <t>Test sonucu var</t>
        </is>
      </c>
      <c r="D12" s="144" t="inlineStr">
        <is>
          <t>Makine okunur artefakt + özet</t>
        </is>
      </c>
      <c r="E12" s="144" t="inlineStr">
        <is>
          <t>Kanıt fiziksel ve tutarlı</t>
        </is>
      </c>
      <c r="F12" s="144" t="inlineStr">
        <is>
          <t>HATA</t>
        </is>
      </c>
      <c r="G12" s="144" t="inlineStr">
        <is>
          <t>Kullanıcı Kabulü</t>
        </is>
      </c>
    </row>
    <row r="13">
      <c r="A13" s="148" t="n">
        <v>10</v>
      </c>
      <c r="B13" s="144" t="inlineStr">
        <is>
          <t>Kullanıcı Kabulü</t>
        </is>
      </c>
      <c r="C13" s="144" t="inlineStr">
        <is>
          <t>Kritik görevler</t>
        </is>
      </c>
      <c r="D13" s="144" t="inlineStr">
        <is>
          <t>Gerçek ekran davranışı</t>
        </is>
      </c>
      <c r="E13" s="144" t="inlineStr">
        <is>
          <t>Kritik görevler %100</t>
        </is>
      </c>
      <c r="F13" s="144" t="inlineStr">
        <is>
          <t>DIŞ_KABUL_GEREKLİ</t>
        </is>
      </c>
      <c r="G13" s="144" t="inlineStr">
        <is>
          <t>Ticari</t>
        </is>
      </c>
    </row>
    <row r="14">
      <c r="A14" s="148" t="n">
        <v>11</v>
      </c>
      <c r="B14" s="144" t="inlineStr">
        <is>
          <t>Ticari Değer</t>
        </is>
      </c>
      <c r="C14" s="144" t="inlineStr">
        <is>
          <t>Ürün satılacaksa</t>
        </is>
      </c>
      <c r="D14" s="144" t="inlineStr">
        <is>
          <t>ROI + demo + kanıt paketi</t>
        </is>
      </c>
      <c r="E14" s="144" t="inlineStr">
        <is>
          <t>Ekonomik değer kanıtlı</t>
        </is>
      </c>
      <c r="F14" s="144" t="inlineStr">
        <is>
          <t>UYARI / HATA</t>
        </is>
      </c>
      <c r="G14" s="144" t="inlineStr">
        <is>
          <t>Pazar Doğrulama</t>
        </is>
      </c>
    </row>
    <row r="15">
      <c r="A15" s="148" t="n">
        <v>12</v>
      </c>
      <c r="B15" s="144" t="inlineStr">
        <is>
          <t>Pazar Doğrulama</t>
        </is>
      </c>
      <c r="C15" s="144" t="inlineStr">
        <is>
          <t>Pazar iddiası varsa</t>
        </is>
      </c>
      <c r="D15" s="144" t="inlineStr">
        <is>
          <t>Ücretli satış/pilot/fiyat kabul kanıtı</t>
        </is>
      </c>
      <c r="E15" s="144" t="inlineStr">
        <is>
          <t>Gerçek fiyat kabul kanıtı</t>
        </is>
      </c>
      <c r="F15" s="144" t="inlineStr">
        <is>
          <t>UYGULANMAZ / HATA</t>
        </is>
      </c>
      <c r="G15" s="144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NİHAİ KONTROL LİSTESİ — KANITSIZ GEÇİŞ YOK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50" t="inlineStr">
        <is>
          <t>Kontrol No</t>
        </is>
      </c>
      <c r="B3" s="150" t="inlineStr">
        <is>
          <t>Kontrol</t>
        </is>
      </c>
      <c r="C3" s="150" t="inlineStr">
        <is>
          <t>Beklenen</t>
        </is>
      </c>
      <c r="D3" s="150" t="inlineStr">
        <is>
          <t>Zorunlu Kapı?</t>
        </is>
      </c>
      <c r="E3" s="150" t="inlineStr">
        <is>
          <t>Sonuç</t>
        </is>
      </c>
    </row>
    <row r="4">
      <c r="A4" s="151" t="inlineStr">
        <is>
          <t>K01</t>
        </is>
      </c>
      <c r="B4" s="144" t="inlineStr">
        <is>
          <t>Kullanıcının açık talebi öncelikli mi?</t>
        </is>
      </c>
      <c r="C4" s="144" t="inlineStr">
        <is>
          <t>Evet</t>
        </is>
      </c>
      <c r="D4" s="144" t="inlineStr">
        <is>
          <t>EVET</t>
        </is>
      </c>
    </row>
    <row r="5">
      <c r="A5" s="151" t="inlineStr">
        <is>
          <t>K02</t>
        </is>
      </c>
      <c r="B5" s="144" t="inlineStr">
        <is>
          <t>Mevcut yapı, formüller ve tek gerçek kaynak korunuyor mu?</t>
        </is>
      </c>
      <c r="C5" s="144" t="inlineStr">
        <is>
          <t>Evet, değişiklik gerekçeli</t>
        </is>
      </c>
      <c r="D5" s="144" t="inlineStr">
        <is>
          <t>EVET</t>
        </is>
      </c>
    </row>
    <row r="6">
      <c r="A6" s="151" t="inlineStr">
        <is>
          <t>K03</t>
        </is>
      </c>
      <c r="B6" s="144" t="inlineStr">
        <is>
          <t>Üst aşama HATA ise alt aşama GEÇTİ engelleniyor mu?</t>
        </is>
      </c>
      <c r="C6" s="144" t="inlineStr">
        <is>
          <t>Evet</t>
        </is>
      </c>
      <c r="D6" s="144" t="inlineStr">
        <is>
          <t>EVET</t>
        </is>
      </c>
    </row>
    <row r="7">
      <c r="A7" s="151" t="inlineStr">
        <is>
          <t>K04</t>
        </is>
      </c>
      <c r="B7" s="144" t="inlineStr">
        <is>
          <t>Kanıt fiziksel çıktı ve içerik doğrulaması içeriyor mu?</t>
        </is>
      </c>
      <c r="C7" s="144" t="inlineStr">
        <is>
          <t>Evet</t>
        </is>
      </c>
      <c r="D7" s="144" t="inlineStr">
        <is>
          <t>EVET</t>
        </is>
      </c>
    </row>
    <row r="8">
      <c r="A8" s="151" t="inlineStr">
        <is>
          <t>K05</t>
        </is>
      </c>
      <c r="B8" s="144" t="inlineStr">
        <is>
          <t>Excel GUI erişimi olmadan kullanıcı görünümü GEÇTİ yazılıyor mu?</t>
        </is>
      </c>
      <c r="C8" s="144" t="inlineStr">
        <is>
          <t>Hayır</t>
        </is>
      </c>
      <c r="D8" s="144" t="inlineStr">
        <is>
          <t>EVET</t>
        </is>
      </c>
    </row>
    <row r="9">
      <c r="A9" s="151" t="inlineStr">
        <is>
          <t>K06</t>
        </is>
      </c>
      <c r="B9" s="144" t="inlineStr">
        <is>
          <t>NİHAİ yalnız GEÇTİ / gerekçeli UYGULANMAZ ile mi?</t>
        </is>
      </c>
      <c r="C9" s="144" t="inlineStr">
        <is>
          <t>Evet</t>
        </is>
      </c>
      <c r="D9" s="144" t="inlineStr">
        <is>
          <t>EVET</t>
        </is>
      </c>
    </row>
    <row r="10">
      <c r="A10" s="151" t="inlineStr">
        <is>
          <t>K07</t>
        </is>
      </c>
      <c r="B10" s="144" t="inlineStr">
        <is>
          <t>Ekonomik fiyat savunusu pazar doğrulamasından ayrılmış mı?</t>
        </is>
      </c>
      <c r="C10" s="144" t="inlineStr">
        <is>
          <t>Evet</t>
        </is>
      </c>
      <c r="D10" s="144" t="inlineStr">
        <is>
          <t>EVET</t>
        </is>
      </c>
    </row>
    <row r="11">
      <c r="A11" s="151" t="inlineStr">
        <is>
          <t>K08</t>
        </is>
      </c>
      <c r="B11" s="144" t="inlineStr">
        <is>
          <t>Prestij için gereksiz modül var mı?</t>
        </is>
      </c>
      <c r="C11" s="144" t="inlineStr">
        <is>
          <t>Hayır</t>
        </is>
      </c>
      <c r="D11" s="144" t="inlineStr">
        <is>
          <t>HAYIR</t>
        </is>
      </c>
    </row>
    <row r="12">
      <c r="A12" s="151" t="inlineStr">
        <is>
          <t>K09</t>
        </is>
      </c>
      <c r="B12" s="144" t="inlineStr">
        <is>
          <t>Excel sınırları açık mı?</t>
        </is>
      </c>
      <c r="C12" s="144" t="inlineStr">
        <is>
          <t>Evet</t>
        </is>
      </c>
      <c r="D12" s="144" t="inlineStr">
        <is>
          <t>EVET</t>
        </is>
      </c>
    </row>
    <row r="13">
      <c r="A13" s="151" t="inlineStr">
        <is>
          <t>K10</t>
        </is>
      </c>
      <c r="B13" s="144" t="inlineStr">
        <is>
          <t>Teknik kaynak korunuyor mu?</t>
        </is>
      </c>
      <c r="C13" s="144" t="inlineStr">
        <is>
          <t>Evet</t>
        </is>
      </c>
      <c r="D13" s="144" t="inlineStr">
        <is>
          <t>EVET</t>
        </is>
      </c>
    </row>
    <row r="14">
      <c r="A14" s="151" t="inlineStr">
        <is>
          <t>K11</t>
        </is>
      </c>
      <c r="B14" s="144" t="inlineStr">
        <is>
          <t>Kullanıcıya görünen tüm metinler Türkçe mi?</t>
        </is>
      </c>
      <c r="C14" s="144" t="inlineStr">
        <is>
          <t>Evet</t>
        </is>
      </c>
      <c r="D14" s="144" t="inlineStr">
        <is>
          <t>EVET</t>
        </is>
      </c>
    </row>
    <row r="15">
      <c r="A15" s="151" t="inlineStr">
        <is>
          <t>K12</t>
        </is>
      </c>
      <c r="B15" s="144" t="inlineStr">
        <is>
          <t>Her kullanıcı sayfasında üst başlık var mı?</t>
        </is>
      </c>
      <c r="C15" s="144" t="inlineStr">
        <is>
          <t>Evet</t>
        </is>
      </c>
      <c r="D15" s="144" t="inlineStr">
        <is>
          <t>EVET</t>
        </is>
      </c>
    </row>
    <row r="16">
      <c r="A16" s="151" t="inlineStr">
        <is>
          <t>K13</t>
        </is>
      </c>
      <c r="B16" s="144" t="inlineStr">
        <is>
          <t>Sayfalar arasında tutarlı renk sistemi var mı?</t>
        </is>
      </c>
      <c r="C16" s="144" t="inlineStr">
        <is>
          <t>Evet</t>
        </is>
      </c>
      <c r="D16" s="144" t="inlineStr">
        <is>
          <t>EVET</t>
        </is>
      </c>
    </row>
    <row r="17">
      <c r="A17" s="151" t="inlineStr">
        <is>
          <t>K14</t>
        </is>
      </c>
      <c r="B17" s="144" t="inlineStr">
        <is>
          <t>Alt sayfa sekmeleri işlevine göre renklendirilmiş mi?</t>
        </is>
      </c>
      <c r="C17" s="144" t="inlineStr">
        <is>
          <t>Evet</t>
        </is>
      </c>
      <c r="D17" s="144" t="inlineStr">
        <is>
          <t>EVET</t>
        </is>
      </c>
    </row>
    <row r="18">
      <c r="A18" s="151" t="inlineStr">
        <is>
          <t>K15</t>
        </is>
      </c>
      <c r="B18" s="144" t="inlineStr">
        <is>
          <t>İçerik blokları arasında gereksiz boş kolon var mı?</t>
        </is>
      </c>
      <c r="C18" s="144" t="inlineStr">
        <is>
          <t>Hayır</t>
        </is>
      </c>
      <c r="D18" s="144" t="inlineStr">
        <is>
          <t>EVET</t>
        </is>
      </c>
    </row>
    <row r="19">
      <c r="A19" s="151" t="inlineStr">
        <is>
          <t>K16</t>
        </is>
      </c>
      <c r="B19" s="144" t="inlineStr">
        <is>
          <t>Grafikler premium ve karar odaklı mı?</t>
        </is>
      </c>
      <c r="C19" s="144" t="inlineStr">
        <is>
          <t>Evet</t>
        </is>
      </c>
      <c r="D19" s="144" t="inlineStr">
        <is>
          <t>EVET</t>
        </is>
      </c>
    </row>
    <row r="20">
      <c r="A20" s="151" t="inlineStr">
        <is>
          <t>K17</t>
        </is>
      </c>
      <c r="B20" s="144" t="inlineStr">
        <is>
          <t>Varsayılan Excel grafiği / 3B / dekoratif grafik var mı?</t>
        </is>
      </c>
      <c r="C20" s="144" t="inlineStr">
        <is>
          <t>Hayır</t>
        </is>
      </c>
      <c r="D20" s="144" t="inlineStr">
        <is>
          <t>EVET</t>
        </is>
      </c>
    </row>
    <row r="21">
      <c r="A21" s="151" t="inlineStr">
        <is>
          <t>K18</t>
        </is>
      </c>
      <c r="B21" s="144" t="inlineStr">
        <is>
          <t>Finansal ürün Türkiye Tekdüzen Hesap Planı ile eşleşiyor mu?</t>
        </is>
      </c>
      <c r="C21" s="144" t="inlineStr">
        <is>
          <t>Evet</t>
        </is>
      </c>
      <c r="D21" s="144" t="inlineStr">
        <is>
          <t>EVET</t>
        </is>
      </c>
    </row>
    <row r="22">
      <c r="A22" s="151" t="inlineStr">
        <is>
          <t>K19</t>
        </is>
      </c>
      <c r="B22" s="144" t="inlineStr">
        <is>
          <t>Muhasebe satır adları Türkiye kullanımına uygun mu?</t>
        </is>
      </c>
      <c r="C22" s="144" t="inlineStr">
        <is>
          <t>Evet</t>
        </is>
      </c>
      <c r="D22" s="144" t="inlineStr">
        <is>
          <t>EVET</t>
        </is>
      </c>
    </row>
    <row r="23">
      <c r="A23" s="151" t="inlineStr">
        <is>
          <t>K20</t>
        </is>
      </c>
      <c r="B23" s="144" t="inlineStr">
        <is>
          <t>Formül hatası varken herhangi bir kontrol GEÇTİ gösteriyor mu?</t>
        </is>
      </c>
      <c r="C23" s="144" t="inlineStr">
        <is>
          <t>Hayır</t>
        </is>
      </c>
      <c r="D23" s="144" t="inlineStr">
        <is>
          <t>EVET</t>
        </is>
      </c>
    </row>
    <row r="24">
      <c r="A24" s="151" t="inlineStr">
        <is>
          <t>K21</t>
        </is>
      </c>
      <c r="B24" s="144" t="inlineStr">
        <is>
          <t>Karar Motoru boş veya yalnız başlık düzeyinde mi?</t>
        </is>
      </c>
      <c r="C24" s="144" t="inlineStr">
        <is>
          <t>Hayır</t>
        </is>
      </c>
      <c r="D24" s="144" t="inlineStr">
        <is>
          <t>EVET</t>
        </is>
      </c>
    </row>
    <row r="25">
      <c r="A25" s="151" t="inlineStr">
        <is>
          <t>K22</t>
        </is>
      </c>
      <c r="B25" s="144" t="inlineStr">
        <is>
          <t>Senaryo/Stres modülü gerçekten sonuç değiştiriyor mu?</t>
        </is>
      </c>
      <c r="C25" s="144" t="inlineStr">
        <is>
          <t>Evet</t>
        </is>
      </c>
      <c r="D25" s="144" t="inlineStr">
        <is>
          <t>EVET</t>
        </is>
      </c>
    </row>
    <row r="26">
      <c r="A26" s="151" t="inlineStr">
        <is>
          <t>K23</t>
        </is>
      </c>
      <c r="B26" s="144" t="inlineStr">
        <is>
          <t>Oracle/bağımsız doğrulama gerçek veri üretiyor mu?</t>
        </is>
      </c>
      <c r="C26" s="144" t="inlineStr">
        <is>
          <t>Evet veya gerekçeli UYGULANMAZ</t>
        </is>
      </c>
      <c r="D26" s="144" t="inlineStr">
        <is>
          <t>EVET</t>
        </is>
      </c>
    </row>
    <row r="27">
      <c r="A27" s="151" t="inlineStr">
        <is>
          <t>K24</t>
        </is>
      </c>
      <c r="B27" s="144" t="inlineStr">
        <is>
          <t>Yönetici ekranı 5 saniyede sorunu ve aksiyonu anlatıyor mu?</t>
        </is>
      </c>
      <c r="C27" s="144" t="inlineStr">
        <is>
          <t>Evet</t>
        </is>
      </c>
      <c r="D27" s="144" t="inlineStr">
        <is>
          <t>EVET</t>
        </is>
      </c>
    </row>
    <row r="28">
      <c r="A28" s="151" t="inlineStr">
        <is>
          <t>K25</t>
        </is>
      </c>
      <c r="B28" s="144" t="inlineStr">
        <is>
          <t>Her kritik kararın parasal etkisi ve önerilen aksiyonu var mı?</t>
        </is>
      </c>
      <c r="C28" s="144" t="inlineStr">
        <is>
          <t>Evet</t>
        </is>
      </c>
      <c r="D28" s="144" t="inlineStr">
        <is>
          <t>EVET</t>
        </is>
      </c>
    </row>
    <row r="29">
      <c r="A29" s="151" t="inlineStr">
        <is>
          <t>K26</t>
        </is>
      </c>
      <c r="B29" s="144" t="inlineStr">
        <is>
          <t>Ürün sayfası/ürün içi demo satın alma gerekçesini kanıtlıyor mu?</t>
        </is>
      </c>
      <c r="C29" s="144" t="inlineStr">
        <is>
          <t>Evet</t>
        </is>
      </c>
      <c r="D29" s="144" t="inlineStr">
        <is>
          <t>EVET</t>
        </is>
      </c>
    </row>
    <row r="30" ht="30" customHeight="1">
      <c r="A30" s="152" t="inlineStr">
        <is>
          <t>K27</t>
        </is>
      </c>
      <c r="B30" s="153" t="inlineStr">
        <is>
          <t>Buton görünümü verilen tüm alanlar gerçekten tıklanabilir ve doğru hedefe gidiyor mu?</t>
        </is>
      </c>
      <c r="C30" s="153" t="inlineStr">
        <is>
          <t>Evet</t>
        </is>
      </c>
      <c r="D30" s="144" t="inlineStr">
        <is>
          <t>EVET</t>
        </is>
      </c>
    </row>
    <row r="31" ht="30" customHeight="1">
      <c r="A31" s="152" t="inlineStr">
        <is>
          <t>K28</t>
        </is>
      </c>
      <c r="B31" s="153" t="inlineStr">
        <is>
          <t>Tüm görünür kullanıcı sheet tabları kurumsal kategori rengi taşıyor mu?</t>
        </is>
      </c>
      <c r="C31" s="153" t="inlineStr">
        <is>
          <t>Evet</t>
        </is>
      </c>
      <c r="D31" s="144" t="inlineStr">
        <is>
          <t>EVET</t>
        </is>
      </c>
    </row>
    <row r="32" ht="16" customHeight="1">
      <c r="A32" s="152" t="inlineStr">
        <is>
          <t>K29</t>
        </is>
      </c>
      <c r="B32" s="153" t="inlineStr">
        <is>
          <t>Sheet sırası tanımlı kullanıcı iş akışıyla birebir aynı mı?</t>
        </is>
      </c>
      <c r="C32" s="153" t="inlineStr">
        <is>
          <t>Evet</t>
        </is>
      </c>
      <c r="D32" s="144" t="inlineStr">
        <is>
          <t>EVET</t>
        </is>
      </c>
    </row>
    <row r="33" ht="30" customHeight="1">
      <c r="A33" s="152" t="inlineStr">
        <is>
          <t>K30</t>
        </is>
      </c>
      <c r="B33" s="153" t="inlineStr">
        <is>
          <t>Kurumsal renk paleti tutarlı mı; rastgele/gökkuşağı renk kullanımı var mı?</t>
        </is>
      </c>
      <c r="C33" s="153" t="inlineStr">
        <is>
          <t>Evet / Hayır</t>
        </is>
      </c>
      <c r="D33" s="144" t="inlineStr">
        <is>
          <t>EVET</t>
        </is>
      </c>
    </row>
    <row r="34" ht="30" customHeight="1">
      <c r="A34" s="152" t="inlineStr">
        <is>
          <t>K31</t>
        </is>
      </c>
      <c r="B34" s="153" t="inlineStr">
        <is>
          <t>Premium vitrin, altyapı kadar güçlü ve satış fiyatını destekleyecek seviyede mi?</t>
        </is>
      </c>
      <c r="C34" s="153" t="inlineStr">
        <is>
          <t>Evet</t>
        </is>
      </c>
      <c r="D34" s="144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GÖRSEL TASARIM VE PREMIUM EXCEL STANDARDI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55" t="inlineStr">
        <is>
          <t>Alan</t>
        </is>
      </c>
      <c r="B3" s="155" t="inlineStr">
        <is>
          <t>Zorunlu Kural</t>
        </is>
      </c>
      <c r="C3" s="155" t="inlineStr">
        <is>
          <t>Uygulama</t>
        </is>
      </c>
      <c r="D3" s="155" t="inlineStr">
        <is>
          <t>Yasak</t>
        </is>
      </c>
      <c r="E3" s="155" t="inlineStr">
        <is>
          <t>Kontrol</t>
        </is>
      </c>
      <c r="F3" s="155" t="inlineStr">
        <is>
          <t>Durum</t>
        </is>
      </c>
    </row>
    <row r="4" ht="28" customHeight="1">
      <c r="A4" s="156" t="inlineStr">
        <is>
          <t>Sayfa başlığı</t>
        </is>
      </c>
      <c r="B4" s="144" t="inlineStr">
        <is>
          <t>Her kullanıcı sayfasının en üstünde tek ve açık sayfa başlığı</t>
        </is>
      </c>
      <c r="C4" s="144" t="inlineStr">
        <is>
          <t>A1'den başlayan koyu lacivert başlık bandı</t>
        </is>
      </c>
      <c r="D4" s="144" t="inlineStr">
        <is>
          <t>Başlıksız sayfa</t>
        </is>
      </c>
      <c r="E4" s="144" t="inlineStr">
        <is>
          <t>Başlık kapsama = %100</t>
        </is>
      </c>
      <c r="F4" s="157" t="inlineStr">
        <is>
          <t>ZORUNLU</t>
        </is>
      </c>
    </row>
    <row r="5" ht="28" customHeight="1">
      <c r="A5" s="156" t="inlineStr">
        <is>
          <t>Sekme renkleri</t>
        </is>
      </c>
      <c r="B5" s="144" t="inlineStr">
        <is>
          <t>Sayfalar işlevine göre renk kodlanır</t>
        </is>
      </c>
      <c r="C5" s="144" t="inlineStr">
        <is>
          <t>Girdi=mavi, hesap=gri, rapor=lacivert, kontrol=kırmızı, kılavuz=altın</t>
        </is>
      </c>
      <c r="D5" s="144" t="inlineStr">
        <is>
          <t>Rastgele renk</t>
        </is>
      </c>
      <c r="E5" s="144" t="inlineStr">
        <is>
          <t>Renk semantiği tutarlı</t>
        </is>
      </c>
      <c r="F5" s="157" t="inlineStr">
        <is>
          <t>ZORUNLU</t>
        </is>
      </c>
    </row>
    <row r="6" ht="28" customHeight="1">
      <c r="A6" s="156" t="inlineStr">
        <is>
          <t>Kolon düzeni</t>
        </is>
      </c>
      <c r="B6" s="144" t="inlineStr">
        <is>
          <t>Veri blokları bitişik kolonlarda ilerler</t>
        </is>
      </c>
      <c r="C6" s="144" t="inlineStr">
        <is>
          <t>Gereksiz boş kolon bırakma; yalnız gerçek bölüm ayrımı varsa kontrollü boşluk</t>
        </is>
      </c>
      <c r="D6" s="144" t="inlineStr">
        <is>
          <t>A:C veri, D boş, E:F veri gibi parçalı yapı</t>
        </is>
      </c>
      <c r="E6" s="144" t="inlineStr">
        <is>
          <t>Boş kolon taraması</t>
        </is>
      </c>
      <c r="F6" s="157" t="inlineStr">
        <is>
          <t>ZORUNLU</t>
        </is>
      </c>
    </row>
    <row r="7" ht="16" customHeight="1">
      <c r="A7" s="156" t="inlineStr">
        <is>
          <t>Girdi hücreleri</t>
        </is>
      </c>
      <c r="B7" s="144" t="inlineStr">
        <is>
          <t>Kullanıcının değiştireceği alan açıkça görünür</t>
        </is>
      </c>
      <c r="C7" s="144" t="inlineStr">
        <is>
          <t>Açık sarı dolgu + mavi yazı</t>
        </is>
      </c>
      <c r="D7" s="144" t="inlineStr">
        <is>
          <t>Formülle aynı görünüm</t>
        </is>
      </c>
      <c r="E7" s="144" t="inlineStr">
        <is>
          <t>Girdi/formül ayrımı</t>
        </is>
      </c>
      <c r="F7" s="157" t="inlineStr">
        <is>
          <t>ZORUNLU</t>
        </is>
      </c>
    </row>
    <row r="8" ht="16" customHeight="1">
      <c r="A8" s="156" t="inlineStr">
        <is>
          <t>Formüller</t>
        </is>
      </c>
      <c r="B8" s="144" t="inlineStr">
        <is>
          <t>Hesap hücreleri kullanıcı girdisinden ayrılır</t>
        </is>
      </c>
      <c r="C8" s="144" t="inlineStr">
        <is>
          <t>Siyah yazı; sayfalar arası bağlantı yeşil yazı</t>
        </is>
      </c>
      <c r="D8" s="144" t="inlineStr">
        <is>
          <t>Hard-code gizleme</t>
        </is>
      </c>
      <c r="E8" s="144" t="inlineStr">
        <is>
          <t>Formül sınıfı kontrolü</t>
        </is>
      </c>
      <c r="F8" s="157" t="inlineStr">
        <is>
          <t>ZORUNLU</t>
        </is>
      </c>
    </row>
    <row r="9" ht="16" customHeight="1">
      <c r="A9" s="156" t="inlineStr">
        <is>
          <t>Grafik sayısı</t>
        </is>
      </c>
      <c r="B9" s="144" t="inlineStr">
        <is>
          <t>Yönetici ekranında en fazla 3 ana karar grafiği</t>
        </is>
      </c>
      <c r="C9" s="144" t="inlineStr">
        <is>
          <t>Trend, karşılaştırma, köprü/dağılım; iş kararına bağlı</t>
        </is>
      </c>
      <c r="D9" s="144" t="inlineStr">
        <is>
          <t>Grafik kalabalığı</t>
        </is>
      </c>
      <c r="E9" s="144" t="inlineStr">
        <is>
          <t>Grafik başına karar sorusu</t>
        </is>
      </c>
      <c r="F9" s="157" t="inlineStr">
        <is>
          <t>ZORUNLU</t>
        </is>
      </c>
    </row>
    <row r="10" ht="16" customHeight="1">
      <c r="A10" s="156" t="inlineStr">
        <is>
          <t>Grafik stili</t>
        </is>
      </c>
      <c r="B10" s="144" t="inlineStr">
        <is>
          <t>Kurumsal ve yüksek okunabilirlik</t>
        </is>
      </c>
      <c r="C10" s="144" t="inlineStr">
        <is>
          <t>Beyaz zemin, ince gridline, tek vurgu rengi, açık birim/başlık</t>
        </is>
      </c>
      <c r="D10" s="144" t="inlineStr">
        <is>
          <t>3B, gölge, neon, gökkuşağı renkleri</t>
        </is>
      </c>
      <c r="E10" s="144" t="inlineStr">
        <is>
          <t>Görsel inceleme</t>
        </is>
      </c>
      <c r="F10" s="157" t="inlineStr">
        <is>
          <t>ZORUNLU</t>
        </is>
      </c>
    </row>
    <row r="11" ht="16" customHeight="1">
      <c r="A11" s="156" t="inlineStr">
        <is>
          <t>Grafik başlığı</t>
        </is>
      </c>
      <c r="B11" s="144" t="inlineStr">
        <is>
          <t>Grafik 'neyi' değil 'ne anlama geldiğini' söyler</t>
        </is>
      </c>
      <c r="C11" s="144" t="inlineStr">
        <is>
          <t>Örn: 'Nakit 2028'de kritik eşiğin altına iniyor'</t>
        </is>
      </c>
      <c r="D11" s="144" t="inlineStr">
        <is>
          <t>'Nakit Grafiği' gibi anlamsız başlık</t>
        </is>
      </c>
      <c r="E11" s="144" t="inlineStr">
        <is>
          <t>Başlık karar testi</t>
        </is>
      </c>
      <c r="F11" s="157" t="inlineStr">
        <is>
          <t>ZORUNLU</t>
        </is>
      </c>
    </row>
    <row r="12" ht="16" customHeight="1">
      <c r="A12" s="156" t="inlineStr">
        <is>
          <t>Birimler</t>
        </is>
      </c>
      <c r="B12" s="144" t="inlineStr">
        <is>
          <t>Tüm finansal görsellerde birim açık</t>
        </is>
      </c>
      <c r="C12" s="144" t="inlineStr">
        <is>
          <t>TL, bin TL, milyon TL, %, gün, x</t>
        </is>
      </c>
      <c r="D12" s="144" t="inlineStr">
        <is>
          <t>Birim belirsizliği</t>
        </is>
      </c>
      <c r="E12" s="144" t="inlineStr">
        <is>
          <t>Birim kapsama %100</t>
        </is>
      </c>
      <c r="F12" s="157" t="inlineStr">
        <is>
          <t>ZORUNLU</t>
        </is>
      </c>
    </row>
    <row r="13" ht="16" customHeight="1">
      <c r="A13" s="156" t="inlineStr">
        <is>
          <t>Sıfır/negatif</t>
        </is>
      </c>
      <c r="B13" s="144" t="inlineStr">
        <is>
          <t>Finansal format standardı</t>
        </is>
      </c>
      <c r="C13" s="144" t="inlineStr">
        <is>
          <t>Sıfır='-', negatif kırmızı parantez</t>
        </is>
      </c>
      <c r="D13" s="144" t="inlineStr">
        <is>
          <t>-500 veya 0,00 kalabalığı</t>
        </is>
      </c>
      <c r="E13" s="144" t="inlineStr">
        <is>
          <t>Format kontrolü</t>
        </is>
      </c>
      <c r="F13" s="157" t="inlineStr">
        <is>
          <t>ZORUNLU</t>
        </is>
      </c>
    </row>
    <row r="14" ht="16" customHeight="1">
      <c r="A14" s="156" t="inlineStr">
        <is>
          <t>Yazı tipi</t>
        </is>
      </c>
      <c r="B14" s="144" t="inlineStr">
        <is>
          <t>Tek aile</t>
        </is>
      </c>
      <c r="C14" s="144" t="inlineStr">
        <is>
          <t>Aptos veya Segoe UI</t>
        </is>
      </c>
      <c r="D14" s="144" t="inlineStr">
        <is>
          <t>Karışık font</t>
        </is>
      </c>
      <c r="E14" s="144" t="inlineStr">
        <is>
          <t>Tek font kontrolü</t>
        </is>
      </c>
      <c r="F14" s="157" t="inlineStr">
        <is>
          <t>ZORUNLU</t>
        </is>
      </c>
    </row>
    <row r="15" ht="16" customHeight="1">
      <c r="A15" s="156" t="inlineStr">
        <is>
          <t>Izgara</t>
        </is>
      </c>
      <c r="B15" s="144" t="inlineStr">
        <is>
          <t>Kullanıcı sayfalarında kapalı</t>
        </is>
      </c>
      <c r="C15" s="144" t="inlineStr">
        <is>
          <t>Bölüm çizgileri ve kart sınırlarıyla düzen</t>
        </is>
      </c>
      <c r="D15" s="144" t="inlineStr">
        <is>
          <t>Excel varsayılan gridline</t>
        </is>
      </c>
      <c r="E15" s="144" t="inlineStr">
        <is>
          <t>Gridline kontrolü</t>
        </is>
      </c>
      <c r="F15" s="157" t="inlineStr">
        <is>
          <t>ZORUNLU</t>
        </is>
      </c>
    </row>
    <row r="16" ht="16" customHeight="1">
      <c r="A16" s="156" t="inlineStr">
        <is>
          <t>Boş durum</t>
        </is>
      </c>
      <c r="B16" s="144" t="inlineStr">
        <is>
          <t>Veri yokken temiz ve anlaşılır</t>
        </is>
      </c>
      <c r="C16" s="144" t="inlineStr">
        <is>
          <t>'Henüz veri yok' / 'Girdi bekleniyor'</t>
        </is>
      </c>
      <c r="D16" s="144" t="inlineStr">
        <is>
          <t>0 yığını / hata kodu</t>
        </is>
      </c>
      <c r="E16" s="144" t="inlineStr">
        <is>
          <t>Boş veri testi</t>
        </is>
      </c>
      <c r="F16" s="157" t="inlineStr">
        <is>
          <t>ZORUNLU</t>
        </is>
      </c>
    </row>
    <row r="17" ht="28" customHeight="1">
      <c r="A17" s="156" t="inlineStr">
        <is>
          <t>Başlangıç deneyimi</t>
        </is>
      </c>
      <c r="B17" s="144" t="inlineStr">
        <is>
          <t>İlk 5 saniyede ne gireceği ve neye bakacağı anlaşılır</t>
        </is>
      </c>
      <c r="C17" s="144" t="inlineStr">
        <is>
          <t>Girdi → durum → aksiyon akışı</t>
        </is>
      </c>
      <c r="D17" s="144" t="inlineStr">
        <is>
          <t>Kılavuz aramaya zorlama</t>
        </is>
      </c>
      <c r="E17" s="144" t="inlineStr">
        <is>
          <t>5 saniye testi</t>
        </is>
      </c>
      <c r="F17" s="157" t="inlineStr">
        <is>
          <t>ZORUNLU</t>
        </is>
      </c>
    </row>
    <row r="18" ht="30" customHeight="1">
      <c r="A18" s="152" t="inlineStr">
        <is>
          <t>Buton standardı</t>
        </is>
      </c>
      <c r="B18" s="153" t="inlineStr">
        <is>
          <t>Buton görünümü verilen her alan gerçek işlev taşır</t>
        </is>
      </c>
      <c r="C18" s="153" t="inlineStr">
        <is>
          <t>Sayfa içi HYPERLINK / gerçek aksiyon; tıklanınca hedefe gider</t>
        </is>
      </c>
      <c r="D18" s="153" t="inlineStr">
        <is>
          <t>İşlevsiz dekoratif buton / sahte navigasyon</t>
        </is>
      </c>
      <c r="E18" s="153" t="inlineStr">
        <is>
          <t>Butonların %100'ü tıklanabilir ve hedefi doğru</t>
        </is>
      </c>
      <c r="F18" s="157" t="inlineStr">
        <is>
          <t>ZORUNLU</t>
        </is>
      </c>
    </row>
    <row r="19" ht="32" customHeight="1">
      <c r="A19" s="152" t="inlineStr">
        <is>
          <t>Native sayfa sekmesi rengi</t>
        </is>
      </c>
      <c r="B19" s="153" t="inlineStr">
        <is>
          <t>Excel alt sheet tabları kurumsal paletle renklendirilir</t>
        </is>
      </c>
      <c r="C19" s="153" t="inlineStr">
        <is>
          <t>Başlangıç/özet=lacivert; girdiler=mavi; hesap/finans=teal; karar/kontrol=burgundy; doküman=gri</t>
        </is>
      </c>
      <c r="D19" s="153" t="inlineStr">
        <is>
          <t>Renksiz sekmeler veya rastgele/gökkuşağı renkleri</t>
        </is>
      </c>
      <c r="E19" s="153" t="inlineStr">
        <is>
          <t>Tüm görünür kullanıcı sheet tabları renkli</t>
        </is>
      </c>
      <c r="F19" s="157" t="inlineStr">
        <is>
          <t>ZORUNLU</t>
        </is>
      </c>
    </row>
    <row r="20" ht="60" customHeight="1">
      <c r="A20" s="152" t="inlineStr">
        <is>
          <t>İş akışı sıralaması</t>
        </is>
      </c>
      <c r="B20" s="153" t="inlineStr">
        <is>
          <t>Sayfalar kullanıcının çalışma sırasına göre fiziksel olarak dizilir</t>
        </is>
      </c>
      <c r="C20" s="15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3" t="inlineStr">
        <is>
          <t>Teknik oluşturma sırasına göre dağınık sheet dizilimi</t>
        </is>
      </c>
      <c r="E20" s="153" t="inlineStr">
        <is>
          <t>Sheet order = tanımlı workflow</t>
        </is>
      </c>
      <c r="F20" s="157" t="inlineStr">
        <is>
          <t>ZORUNLU</t>
        </is>
      </c>
    </row>
    <row r="21" ht="30" customHeight="1">
      <c r="A21" s="152" t="inlineStr">
        <is>
          <t>Kurumsal renk paleti</t>
        </is>
      </c>
      <c r="B21" s="153" t="inlineStr">
        <is>
          <t>Sekme, başlık, buton ve vurgu renkleri tek kurumsal paletten gelir</t>
        </is>
      </c>
      <c r="C21" s="153" t="inlineStr">
        <is>
          <t>Lacivert + mavi + teal + kontrollü burgundy/gri; kategori semantiği sabit</t>
        </is>
      </c>
      <c r="D21" s="153" t="inlineStr">
        <is>
          <t>Neon, rastgele yüksek doygunluk, her sayfada farklı bağımsız renk</t>
        </is>
      </c>
      <c r="E21" s="153" t="inlineStr">
        <is>
          <t>Palette token kontrolü</t>
        </is>
      </c>
      <c r="F21" s="157" t="inlineStr">
        <is>
          <t>ZORUNLU</t>
        </is>
      </c>
    </row>
    <row r="22" ht="45" customHeight="1">
      <c r="A22" s="152" t="inlineStr">
        <is>
          <t>Premium vitrin</t>
        </is>
      </c>
      <c r="B22" s="153" t="inlineStr">
        <is>
          <t>Görsel kalite ürün değerinin zorunlu parçasıdır</t>
        </is>
      </c>
      <c r="C22" s="153" t="inlineStr">
        <is>
          <t>Kaliteli grafik, gerçek KPI kartı, finansal hiyerarşi, tab rengi, fonksiyonel navigasyon</t>
        </is>
      </c>
      <c r="D22" s="153" t="inlineStr">
        <is>
          <t>Sadece doğru hesap yapıp çıplak/varsayılan Excel görünümü bırakmak</t>
        </is>
      </c>
      <c r="E22" s="153" t="inlineStr">
        <is>
          <t>Görsel release incelemesi</t>
        </is>
      </c>
      <c r="F22" s="157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TÜRKİYE MUHASEBE VE TEKDÜZEN HESAP PLANI STANDARDI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59" t="inlineStr">
        <is>
          <t>Konu</t>
        </is>
      </c>
      <c r="B3" s="159" t="inlineStr">
        <is>
          <t>Zorunlu Standart</t>
        </is>
      </c>
      <c r="C3" s="159" t="inlineStr">
        <is>
          <t>Örnek Türkçe Ad</t>
        </is>
      </c>
      <c r="D3" s="159" t="inlineStr">
        <is>
          <t>THP / Mantık</t>
        </is>
      </c>
      <c r="E3" s="159" t="inlineStr">
        <is>
          <t>Hata Riski</t>
        </is>
      </c>
      <c r="F3" s="159" t="inlineStr">
        <is>
          <t>Kontrol</t>
        </is>
      </c>
    </row>
    <row r="4">
      <c r="A4" s="160" t="inlineStr">
        <is>
          <t>Dil</t>
        </is>
      </c>
      <c r="B4" s="144" t="inlineStr">
        <is>
          <t>Kullanıcıya görünen finansal terimler Türkçe</t>
        </is>
      </c>
      <c r="C4" s="144" t="inlineStr">
        <is>
          <t>Hasılat, Satışların Maliyeti, Brüt Kâr, Faaliyet Giderleri</t>
        </is>
      </c>
      <c r="D4" s="144" t="inlineStr">
        <is>
          <t>Türk işletme kullanımına uygun</t>
        </is>
      </c>
      <c r="E4" s="144" t="inlineStr">
        <is>
          <t>İngilizce jargon</t>
        </is>
      </c>
      <c r="F4" s="144" t="inlineStr">
        <is>
          <t>Terminoloji taraması</t>
        </is>
      </c>
    </row>
    <row r="5" ht="28" customHeight="1">
      <c r="A5" s="160" t="inlineStr">
        <is>
          <t>Gelir Tablosu</t>
        </is>
      </c>
      <c r="B5" s="144" t="inlineStr">
        <is>
          <t>Türk sunum sırası kullanılır</t>
        </is>
      </c>
      <c r="C5" s="144" t="inlineStr">
        <is>
          <t>Net Satışlar → Satışların Maliyeti → Brüt Kâr → Faaliyet Giderleri → Faaliyet Kârı</t>
        </is>
      </c>
      <c r="D5" s="144" t="inlineStr">
        <is>
          <t>600/610/611; 620-623; 63x</t>
        </is>
      </c>
      <c r="E5" s="144" t="inlineStr">
        <is>
          <t>Yanlış sınıflama</t>
        </is>
      </c>
      <c r="F5" s="144" t="inlineStr">
        <is>
          <t>Hesap eşleme</t>
        </is>
      </c>
    </row>
    <row r="6" ht="28" customHeight="1">
      <c r="A6" s="160" t="inlineStr">
        <is>
          <t>Bilanço</t>
        </is>
      </c>
      <c r="B6" s="144" t="inlineStr">
        <is>
          <t>Dönen/Duran Varlık ve Kısa/Uzun Vadeli Yükümlülük ayrımı</t>
        </is>
      </c>
      <c r="C6" s="144" t="inlineStr">
        <is>
          <t>Hazır Değerler, Ticari Alacaklar, Stoklar, Mali Borçlar</t>
        </is>
      </c>
      <c r="D6" s="144" t="inlineStr">
        <is>
          <t>1xx / 2xx / 3xx / 4xx / 5xx</t>
        </is>
      </c>
      <c r="E6" s="144" t="inlineStr">
        <is>
          <t>Vade sınıfı hatası</t>
        </is>
      </c>
      <c r="F6" s="144" t="inlineStr">
        <is>
          <t>Bilanço eşitliği</t>
        </is>
      </c>
    </row>
    <row r="7">
      <c r="A7" s="160" t="inlineStr">
        <is>
          <t>Nakit Akışı</t>
        </is>
      </c>
      <c r="B7" s="144" t="inlineStr">
        <is>
          <t>İşletme/Yatırım/Finansman nakit akışları ayrılır</t>
        </is>
      </c>
      <c r="C7" s="144" t="inlineStr">
        <is>
          <t>Faaliyetlerden Nakit, Yatırım Harcamaları, Finansman Nakit Akışı</t>
        </is>
      </c>
      <c r="D7" s="144" t="inlineStr">
        <is>
          <t>Dolaylı/doğrudan yöntem açık seçilir</t>
        </is>
      </c>
      <c r="E7" s="144" t="inlineStr">
        <is>
          <t>Kâr = nakit sanılması</t>
        </is>
      </c>
      <c r="F7" s="144" t="inlineStr">
        <is>
          <t>Nakit devri</t>
        </is>
      </c>
    </row>
    <row r="8">
      <c r="A8" s="160" t="inlineStr">
        <is>
          <t>Ticari Alacaklar</t>
        </is>
      </c>
      <c r="B8" s="144" t="inlineStr">
        <is>
          <t>Cari ve vade mantığı korunur</t>
        </is>
      </c>
      <c r="C8" s="144" t="inlineStr">
        <is>
          <t>120 Alıcılar</t>
        </is>
      </c>
      <c r="D8" s="144" t="inlineStr">
        <is>
          <t>120</t>
        </is>
      </c>
      <c r="E8" s="144" t="inlineStr">
        <is>
          <t>Tahakkuk/nakit karışması</t>
        </is>
      </c>
      <c r="F8" s="144" t="inlineStr">
        <is>
          <t>Alacak devir kontrolü</t>
        </is>
      </c>
    </row>
    <row r="9">
      <c r="A9" s="160" t="inlineStr">
        <is>
          <t>Ticari Borçlar</t>
        </is>
      </c>
      <c r="B9" s="144" t="inlineStr">
        <is>
          <t>Tedarikçi borcu ayrı izlenir</t>
        </is>
      </c>
      <c r="C9" s="144" t="inlineStr">
        <is>
          <t>320 Satıcılar</t>
        </is>
      </c>
      <c r="D9" s="144" t="inlineStr">
        <is>
          <t>320</t>
        </is>
      </c>
      <c r="E9" s="144" t="inlineStr">
        <is>
          <t>Gider/ödeme karışması</t>
        </is>
      </c>
      <c r="F9" s="144" t="inlineStr">
        <is>
          <t>Borç devir kontrolü</t>
        </is>
      </c>
    </row>
    <row r="10">
      <c r="A10" s="160" t="inlineStr">
        <is>
          <t>Kasa/Banka</t>
        </is>
      </c>
      <c r="B10" s="144" t="inlineStr">
        <is>
          <t>Hazır değerler ayrı izlenir</t>
        </is>
      </c>
      <c r="C10" s="144" t="inlineStr">
        <is>
          <t>100 Kasa, 102 Bankalar</t>
        </is>
      </c>
      <c r="D10" s="144" t="inlineStr">
        <is>
          <t>100 / 102</t>
        </is>
      </c>
      <c r="E10" s="144" t="inlineStr">
        <is>
          <t>Virmanla toplam nakdin değişmesi</t>
        </is>
      </c>
      <c r="F10" s="144" t="inlineStr">
        <is>
          <t>Virman değişmezi</t>
        </is>
      </c>
    </row>
    <row r="11">
      <c r="A11" s="160" t="inlineStr">
        <is>
          <t>Stok</t>
        </is>
      </c>
      <c r="B11" s="144" t="inlineStr">
        <is>
          <t>Dikeye uygun stok türü</t>
        </is>
      </c>
      <c r="C11" s="144" t="inlineStr">
        <is>
          <t>150 İlk Madde ve Malzeme, 153 Ticari Mallar</t>
        </is>
      </c>
      <c r="D11" s="144" t="inlineStr">
        <is>
          <t>15x</t>
        </is>
      </c>
      <c r="E11" s="144" t="inlineStr">
        <is>
          <t>Maliyet ve stok hareketinin kopması</t>
        </is>
      </c>
      <c r="F11" s="144" t="inlineStr">
        <is>
          <t>Stok devri</t>
        </is>
      </c>
    </row>
    <row r="12" ht="28" customHeight="1">
      <c r="A12" s="160" t="inlineStr">
        <is>
          <t>Maddi Duran Varlık</t>
        </is>
      </c>
      <c r="B12" s="144" t="inlineStr">
        <is>
          <t>Yatırım harcaması ve amortisman bağlantılı</t>
        </is>
      </c>
      <c r="C12" s="144" t="inlineStr">
        <is>
          <t>253 Tesis Makine Cihazlar, 255 Demirbaşlar, 257 Birikmiş Amortismanlar</t>
        </is>
      </c>
      <c r="D12" s="144" t="inlineStr">
        <is>
          <t>25x</t>
        </is>
      </c>
      <c r="E12" s="144" t="inlineStr">
        <is>
          <t>Yatırım/gider karışması</t>
        </is>
      </c>
      <c r="F12" s="144" t="inlineStr">
        <is>
          <t>Net defter değeri devri</t>
        </is>
      </c>
    </row>
    <row r="13">
      <c r="A13" s="160" t="inlineStr">
        <is>
          <t>Mali Borçlar</t>
        </is>
      </c>
      <c r="B13" s="144" t="inlineStr">
        <is>
          <t>Kısa/uzun vadeli borç ayrımı</t>
        </is>
      </c>
      <c r="C13" s="144" t="inlineStr">
        <is>
          <t>300 Banka Kredileri / 400 Banka Kredileri</t>
        </is>
      </c>
      <c r="D13" s="144" t="inlineStr">
        <is>
          <t>300 / 400</t>
        </is>
      </c>
      <c r="E13" s="144" t="inlineStr">
        <is>
          <t>Vade sınıfı yanlış</t>
        </is>
      </c>
      <c r="F13" s="144" t="inlineStr">
        <is>
          <t>Borç devri</t>
        </is>
      </c>
    </row>
    <row r="14">
      <c r="A14" s="160" t="inlineStr">
        <is>
          <t>Özkaynak</t>
        </is>
      </c>
      <c r="B14" s="144" t="inlineStr">
        <is>
          <t>Sermaye ve geçmiş yıl kârları ayrı</t>
        </is>
      </c>
      <c r="C14" s="144" t="inlineStr">
        <is>
          <t>500 Sermaye, 570 Geçmiş Yıllar Kârları, 590 Dönem Net Kârı</t>
        </is>
      </c>
      <c r="D14" s="144" t="inlineStr">
        <is>
          <t>5xx</t>
        </is>
      </c>
      <c r="E14" s="144" t="inlineStr">
        <is>
          <t>Net kâr bağının kopması</t>
        </is>
      </c>
      <c r="F14" s="144" t="inlineStr">
        <is>
          <t>Özkaynak devri</t>
        </is>
      </c>
    </row>
    <row r="15">
      <c r="A15" s="160" t="inlineStr">
        <is>
          <t>Vergi</t>
        </is>
      </c>
      <c r="B15" s="144" t="inlineStr">
        <is>
          <t>Vergi satırları Türkiye mantığına uygun</t>
        </is>
      </c>
      <c r="C15" s="144" t="inlineStr">
        <is>
          <t>Dönem Vergi ve Diğer Yasal Yükümlülük Karşılıkları</t>
        </is>
      </c>
      <c r="D15" s="144" t="inlineStr">
        <is>
          <t>37x / ilgili vergi hesapları</t>
        </is>
      </c>
      <c r="E15" s="144" t="inlineStr">
        <is>
          <t>Vergi etkisinin yanlış dönemlenmesi</t>
        </is>
      </c>
      <c r="F15" s="144" t="inlineStr">
        <is>
          <t>Vergi sözleşmesi</t>
        </is>
      </c>
    </row>
    <row r="16">
      <c r="A16" s="160" t="inlineStr">
        <is>
          <t>İsim standardı</t>
        </is>
      </c>
      <c r="B16" s="144" t="inlineStr">
        <is>
          <t>Tablo ve sayfa adları Türkçe ve işlevsel</t>
        </is>
      </c>
      <c r="C16" s="144" t="inlineStr">
        <is>
          <t>GELİR_TABLOSU, BİLANÇO, NAKİT_AKISI, BORC_PLANI</t>
        </is>
      </c>
      <c r="D16" s="144" t="inlineStr">
        <is>
          <t>Tekrarlanabilir standart</t>
        </is>
      </c>
      <c r="E16" s="144" t="inlineStr">
        <is>
          <t>İngilizce/karma isim</t>
        </is>
      </c>
      <c r="F16" s="144" t="inlineStr">
        <is>
          <t>Sayfa ve tablo taraması</t>
        </is>
      </c>
    </row>
    <row r="17">
      <c r="A17" s="160" t="inlineStr">
        <is>
          <t>THP eşleme tablosu</t>
        </is>
      </c>
      <c r="B17" s="144" t="inlineStr">
        <is>
          <t>Her kritik satır en az bir THP hesabına bağlanır</t>
        </is>
      </c>
      <c r="C17" s="144" t="inlineStr">
        <is>
          <t>RaporSatırı → HesapKodu → HesapAdı → İşaret → Dönem</t>
        </is>
      </c>
      <c r="D17" s="144" t="inlineStr">
        <is>
          <t>Kaynak izlenebilirliği</t>
        </is>
      </c>
      <c r="E17" s="144" t="inlineStr">
        <is>
          <t>Rapordan rapora kaynak</t>
        </is>
      </c>
      <c r="F17" s="144" t="inlineStr">
        <is>
          <t>Eşleme kapsama %100</t>
        </is>
      </c>
    </row>
    <row r="18">
      <c r="A18" s="160" t="inlineStr">
        <is>
          <t>İstisna</t>
        </is>
      </c>
      <c r="B18" s="144" t="inlineStr">
        <is>
          <t>TFRS özel ürün varsa fark açık yazılır</t>
        </is>
      </c>
      <c r="C18" s="144" t="inlineStr">
        <is>
          <t>Tekdüzen raporlama ≠ TFRS finansal tablo sunumu</t>
        </is>
      </c>
      <c r="D18" s="144" t="inlineStr">
        <is>
          <t>Amaç belirtilir</t>
        </is>
      </c>
      <c r="E18" s="144" t="inlineStr">
        <is>
          <t>Standartları karıştırma</t>
        </is>
      </c>
      <c r="F18" s="144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KARAR, GÜVEN VE SATIŞA HAZIRLIK STANDARDI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4" customHeight="1">
      <c r="A3" s="162" t="inlineStr">
        <is>
          <t>Alan</t>
        </is>
      </c>
      <c r="B3" s="162" t="inlineStr">
        <is>
          <t>Müşteri Sorusu</t>
        </is>
      </c>
      <c r="C3" s="162" t="inlineStr">
        <is>
          <t>Zorunlu Ürün Davranışı</t>
        </is>
      </c>
      <c r="D3" s="162" t="inlineStr">
        <is>
          <t>Kanıt</t>
        </is>
      </c>
      <c r="E3" s="162" t="inlineStr">
        <is>
          <t>Başarısızlık Durumu</t>
        </is>
      </c>
      <c r="F3" s="162" t="inlineStr">
        <is>
          <t>Kapı</t>
        </is>
      </c>
    </row>
    <row r="4">
      <c r="A4" s="163" t="inlineStr">
        <is>
          <t>5 saniye</t>
        </is>
      </c>
      <c r="B4" s="144" t="inlineStr">
        <is>
          <t>Bu ürün neyi çözüyor?</t>
        </is>
      </c>
      <c r="C4" s="144" t="inlineStr">
        <is>
          <t>İlk ekranda hedef kullanıcı + pahalı problem + sonuç görünür</t>
        </is>
      </c>
      <c r="D4" s="144" t="inlineStr">
        <is>
          <t>Başlık + alt mesaj + gerçek ekran</t>
        </is>
      </c>
      <c r="E4" s="144" t="inlineStr">
        <is>
          <t>Ürün yalnız teknik isim</t>
        </is>
      </c>
      <c r="F4" s="164" t="inlineStr">
        <is>
          <t>HATA</t>
        </is>
      </c>
    </row>
    <row r="5">
      <c r="A5" s="163" t="inlineStr">
        <is>
          <t>Acı</t>
        </is>
      </c>
      <c r="B5" s="144" t="inlineStr">
        <is>
          <t>Sorun bana neye mal oluyor?</t>
        </is>
      </c>
      <c r="C5" s="144" t="inlineStr">
        <is>
          <t>Mümkünse müşterinin kendi verisiyle parasal/zaman etkisi hesaplanır</t>
        </is>
      </c>
      <c r="D5" s="144" t="inlineStr">
        <is>
          <t>ROI/acı hesaplama yöntemi</t>
        </is>
      </c>
      <c r="E5" s="144" t="inlineStr">
        <is>
          <t>Uydurma tasarruf</t>
        </is>
      </c>
      <c r="F5" s="164" t="inlineStr">
        <is>
          <t>HATA</t>
        </is>
      </c>
    </row>
    <row r="6">
      <c r="A6" s="163" t="inlineStr">
        <is>
          <t>Karar</t>
        </is>
      </c>
      <c r="B6" s="144" t="inlineStr">
        <is>
          <t>Bu bilgiyle ne yapacağım?</t>
        </is>
      </c>
      <c r="C6" s="144" t="inlineStr">
        <is>
          <t>Her kritik KPI aksiyona bağlanır</t>
        </is>
      </c>
      <c r="D6" s="144" t="inlineStr">
        <is>
          <t>KARAR_KUYRUGU</t>
        </is>
      </c>
      <c r="E6" s="144" t="inlineStr">
        <is>
          <t>Sadece rapor</t>
        </is>
      </c>
      <c r="F6" s="164" t="inlineStr">
        <is>
          <t>HATA</t>
        </is>
      </c>
    </row>
    <row r="7">
      <c r="A7" s="163" t="inlineStr">
        <is>
          <t>Güven</t>
        </is>
      </c>
      <c r="B7" s="144" t="inlineStr">
        <is>
          <t>Bu sayıya neden inanayım?</t>
        </is>
      </c>
      <c r="C7" s="144" t="inlineStr">
        <is>
          <t>Kaynak, formül mantığı, kontrol ve son doğrulama görünür</t>
        </is>
      </c>
      <c r="D7" s="144" t="inlineStr">
        <is>
          <t>Kontroller + kaynak izi + sürüm</t>
        </is>
      </c>
      <c r="E7" s="144" t="inlineStr">
        <is>
          <t>Prestij kelimesi</t>
        </is>
      </c>
      <c r="F7" s="164" t="inlineStr">
        <is>
          <t>HATA</t>
        </is>
      </c>
    </row>
    <row r="8">
      <c r="A8" s="163" t="inlineStr">
        <is>
          <t>Referans</t>
        </is>
      </c>
      <c r="B8" s="144" t="inlineStr">
        <is>
          <t>Müşteri yorumu yoksa ne göstereceğim?</t>
        </is>
      </c>
      <c r="C8" s="144" t="inlineStr">
        <is>
          <t>Önce/Sonra + Karar Vakası + Hata Önleme Vakası üretilir</t>
        </is>
      </c>
      <c r="D8" s="144" t="inlineStr">
        <is>
          <t>Demo/örnek çıktı</t>
        </is>
      </c>
      <c r="E8" s="144" t="inlineStr">
        <is>
          <t>Kanıtsız iddia</t>
        </is>
      </c>
      <c r="F8" s="164" t="inlineStr">
        <is>
          <t>HATA</t>
        </is>
      </c>
    </row>
    <row r="9">
      <c r="A9" s="163" t="inlineStr">
        <is>
          <t>Senaryo</t>
        </is>
      </c>
      <c r="B9" s="144" t="inlineStr">
        <is>
          <t>Ne olursa işler bozulur?</t>
        </is>
      </c>
      <c r="C9" s="144" t="inlineStr">
        <is>
          <t>Baz/Aşağı/Yukarı veya uygun stres senaryosu</t>
        </is>
      </c>
      <c r="D9" s="144" t="inlineStr">
        <is>
          <t>Senaryo karşılaştırma</t>
        </is>
      </c>
      <c r="E9" s="144" t="inlineStr">
        <is>
          <t>Dekoratif senaryo</t>
        </is>
      </c>
      <c r="F9" s="164" t="inlineStr">
        <is>
          <t>HATA</t>
        </is>
      </c>
    </row>
    <row r="10">
      <c r="A10" s="163" t="inlineStr">
        <is>
          <t>Ters stres</t>
        </is>
      </c>
      <c r="B10" s="144" t="inlineStr">
        <is>
          <t>Hangi eşikte karar kırılır?</t>
        </is>
      </c>
      <c r="C10" s="144" t="inlineStr">
        <is>
          <t>En az bir kritik sürücü için kırılma eşiği</t>
        </is>
      </c>
      <c r="D10" s="144" t="inlineStr">
        <is>
          <t>Kırılma eşiği tablosu</t>
        </is>
      </c>
      <c r="E10" s="144" t="inlineStr">
        <is>
          <t>Sadece +/- %10</t>
        </is>
      </c>
      <c r="F10" s="164" t="inlineStr">
        <is>
          <t>UYARI/HATA</t>
        </is>
      </c>
    </row>
    <row r="11">
      <c r="A11" s="163" t="inlineStr">
        <is>
          <t>Hata tutarlılığı</t>
        </is>
      </c>
      <c r="B11" s="144" t="inlineStr">
        <is>
          <t>Formül hata verirse ne olur?</t>
        </is>
      </c>
      <c r="C11" s="144" t="inlineStr">
        <is>
          <t>Kontrol GEÇTİ veremez; BLOKE/HATA üretir</t>
        </is>
      </c>
      <c r="D11" s="144" t="inlineStr">
        <is>
          <t>Hata taraması</t>
        </is>
      </c>
      <c r="E11" s="144" t="inlineStr">
        <is>
          <t>Hata + GEÇTİ birlikte</t>
        </is>
      </c>
      <c r="F11" s="164" t="inlineStr">
        <is>
          <t>HATA</t>
        </is>
      </c>
    </row>
    <row r="12">
      <c r="A12" s="163" t="inlineStr">
        <is>
          <t>Karar motoru</t>
        </is>
      </c>
      <c r="B12" s="144" t="inlineStr">
        <is>
          <t>Ne oldu, neden oldu?</t>
        </is>
      </c>
      <c r="C12" s="144" t="inlineStr">
        <is>
          <t>Sorun + neden + parasal etki + aksiyon + son tarih</t>
        </is>
      </c>
      <c r="D12" s="144" t="inlineStr">
        <is>
          <t>Karar tablosu</t>
        </is>
      </c>
      <c r="E12" s="144" t="inlineStr">
        <is>
          <t>Boş sayfa / isim düzeyi modül</t>
        </is>
      </c>
      <c r="F12" s="164" t="inlineStr">
        <is>
          <t>HATA</t>
        </is>
      </c>
    </row>
    <row r="13">
      <c r="A13" s="163" t="inlineStr">
        <is>
          <t>Yönetici özeti</t>
        </is>
      </c>
      <c r="B13" s="144" t="inlineStr">
        <is>
          <t>5 saniyede ne görmeliyim?</t>
        </is>
      </c>
      <c r="C13" s="144" t="inlineStr">
        <is>
          <t>Bugün / ne değişti / ne bozulacak / neden / ne yapmalıyım / güven</t>
        </is>
      </c>
      <c r="D13" s="144" t="inlineStr">
        <is>
          <t>Yönetici özeti ekranı</t>
        </is>
      </c>
      <c r="E13" s="144" t="inlineStr">
        <is>
          <t>KPI kutusu yığını</t>
        </is>
      </c>
      <c r="F13" s="164" t="inlineStr">
        <is>
          <t>HATA</t>
        </is>
      </c>
    </row>
    <row r="14">
      <c r="A14" s="163" t="inlineStr">
        <is>
          <t>Teklif</t>
        </is>
      </c>
      <c r="B14" s="144" t="inlineStr">
        <is>
          <t>Neden satın almalıyım?</t>
        </is>
      </c>
      <c r="C14" s="144" t="inlineStr">
        <is>
          <t>Dosya özellikleri yerine sonuç ve kaçınılan maliyet sunulur</t>
        </is>
      </c>
      <c r="D14" s="144" t="inlineStr">
        <is>
          <t>Ürün sayfası kanıt eşlemesi</t>
        </is>
      </c>
      <c r="E14" s="144" t="inlineStr">
        <is>
          <t>Özellik listesiyle satış</t>
        </is>
      </c>
      <c r="F14" s="164" t="inlineStr">
        <is>
          <t>HATA</t>
        </is>
      </c>
    </row>
    <row r="15">
      <c r="A15" s="163" t="inlineStr">
        <is>
          <t>Dağıtım</t>
        </is>
      </c>
      <c r="B15" s="144" t="inlineStr">
        <is>
          <t>Beni nasıl bulacaklar?</t>
        </is>
      </c>
      <c r="C15" s="144" t="inlineStr">
        <is>
          <t>Sorun niyetine göre SEO sayfaları, iç bağlantı, temiz yapı, taranabilir metin</t>
        </is>
      </c>
      <c r="D15" s="144" t="inlineStr">
        <is>
          <t>Arama niyeti haritası</t>
        </is>
      </c>
      <c r="E15" s="144" t="inlineStr">
        <is>
          <t>Tek ürün sayfasına bağımlılık</t>
        </is>
      </c>
      <c r="F15" s="164" t="inlineStr">
        <is>
          <t>UYARI</t>
        </is>
      </c>
    </row>
    <row r="16" ht="28" customHeight="1">
      <c r="A16" s="163" t="inlineStr">
        <is>
          <t>LLM görünürlüğü</t>
        </is>
      </c>
      <c r="B16" s="144" t="inlineStr">
        <is>
          <t>AI ürünümü anlayabiliyor mu?</t>
        </is>
      </c>
      <c r="C16" s="144" t="inlineStr">
        <is>
          <t>Ürün tanımı, hedef kullanıcı, girdi/çıktı, metodoloji, sınırlar, SSS açık metindir</t>
        </is>
      </c>
      <c r="D16" s="144" t="inlineStr">
        <is>
          <t>Taranabilir ürün içeriği</t>
        </is>
      </c>
      <c r="E16" s="144" t="inlineStr">
        <is>
          <t>'AI SEO' iddiası</t>
        </is>
      </c>
      <c r="F16" s="164" t="inlineStr">
        <is>
          <t>UYARI</t>
        </is>
      </c>
    </row>
    <row r="17">
      <c r="A17" s="163" t="inlineStr">
        <is>
          <t>Satış kanalı</t>
        </is>
      </c>
      <c r="B17" s="144" t="inlineStr">
        <is>
          <t>Nerede satılmalı?</t>
        </is>
      </c>
      <c r="C17" s="144" t="inlineStr">
        <is>
          <t>Arama, LinkedIn, uzman/partner, demo/video; ürüne göre kanal seçilir</t>
        </is>
      </c>
      <c r="D17" s="144" t="inlineStr">
        <is>
          <t>Kanal matrisi</t>
        </is>
      </c>
      <c r="E17" s="144" t="inlineStr">
        <is>
          <t>Her ürüne aynı kanal</t>
        </is>
      </c>
      <c r="F17" s="164" t="inlineStr">
        <is>
          <t>UYARI</t>
        </is>
      </c>
    </row>
    <row r="18">
      <c r="A18" s="163" t="inlineStr">
        <is>
          <t>Fiyat</t>
        </is>
      </c>
      <c r="B18" s="144" t="inlineStr">
        <is>
          <t>Bu fiyat neden mantıklı?</t>
        </is>
      </c>
      <c r="C18" s="144" t="inlineStr">
        <is>
          <t>Fiyat, ekonomik karar değerine ve kanıtlanmış ürün derinliğine bağlanır</t>
        </is>
      </c>
      <c r="D18" s="144" t="inlineStr">
        <is>
          <t>Değer haritası + demo</t>
        </is>
      </c>
      <c r="E18" s="144" t="inlineStr">
        <is>
          <t>Sırf sayfa/formül sayısı</t>
        </is>
      </c>
      <c r="F18" s="164" t="inlineStr">
        <is>
          <t>HATA</t>
        </is>
      </c>
    </row>
    <row r="19">
      <c r="A19" s="163" t="inlineStr">
        <is>
          <t>Pazar kanıtı</t>
        </is>
      </c>
      <c r="B19" s="144" t="inlineStr">
        <is>
          <t>Piyasa gerçekten ödüyor mu?</t>
        </is>
      </c>
      <c r="C19" s="144" t="inlineStr">
        <is>
          <t>Satış/pilot/LOI/fiyat kabulü olmadan pazar doğrulandı yazılmaz</t>
        </is>
      </c>
      <c r="D19" s="144" t="inlineStr">
        <is>
          <t>Gerçek işlem kanıtı</t>
        </is>
      </c>
      <c r="E19" s="144" t="inlineStr">
        <is>
          <t>Tahmini talep = satış kabulü</t>
        </is>
      </c>
      <c r="F19" s="164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KAPAK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Site/Apartman Yönetim Sistemi</t>
        </is>
      </c>
    </row>
    <row r="4">
      <c r="A4" s="4" t="inlineStr">
        <is>
          <t>Aidat borçlandırma ve tahsilatı eşleştirin; icap kuyruğunu yönetin; genel kurula sunulacak dönem kanıt raporunu üretin (KMK md.20).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Borç↔tahsilat dört kova mutabakatı — sapmada kök neden + TANIMSIZ kova</t>
        </is>
      </c>
    </row>
    <row r="8">
      <c r="A8" s="6" t="inlineStr">
        <is>
          <t>• İcap durum makinesi: Açık → Hatırlatma → İcap → Tahsil/Kapalı</t>
        </is>
      </c>
    </row>
    <row r="9">
      <c r="A9" s="6" t="inlineStr">
        <is>
          <t>• KMK md.20 gecikme zammı oranı AYARLAR'dan; gömülü sabit yok</t>
        </is>
      </c>
    </row>
    <row r="10">
      <c r="A10" s="6" t="inlineStr">
        <is>
          <t>• Bütçe vs gerçekleşen gider + genel kurul karar defteri</t>
        </is>
      </c>
    </row>
    <row r="11">
      <c r="A11" s="6" t="inlineStr">
        <is>
          <t>• Makrosuz, çevrimdışı; site yazılımı / API bağı yok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Site yöneticisi — aidat, tahsilat, icap girişi</t>
        </is>
      </c>
    </row>
    <row r="15">
      <c r="A15" s="7" t="inlineStr">
        <is>
          <t>• Kat malikleri / yönetim kurulu — PANO karar özeti</t>
        </is>
      </c>
    </row>
    <row r="16">
      <c r="A16" s="7" t="inlineStr">
        <is>
          <t>• Denetçi / genel kurul — RAPOR kanıt paketi</t>
        </is>
      </c>
    </row>
    <row r="17"/>
    <row r="18">
      <c r="A18" s="8" t="inlineStr">
        <is>
          <t>Sürüm 1.0.0 · Şifre (korumalı alanlar): 1234</t>
        </is>
      </c>
    </row>
    <row r="19">
      <c r="A19" s="9" t="inlineStr">
        <is>
          <t>Başlamak: HIZLI_BASLANGIC → GIRDI → PAYDASLAR → DONEMLER → TAHSILAT → PANO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9:N9"/>
    <mergeCell ref="A8:N8"/>
    <mergeCell ref="A4:N4"/>
    <mergeCell ref="A7:N7"/>
    <mergeCell ref="A1:I1"/>
    <mergeCell ref="A11:N11"/>
    <mergeCell ref="A3:I3"/>
    <mergeCell ref="A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HIZLI BASLANGIC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3 adımda başlayın</t>
        </is>
      </c>
    </row>
    <row r="4"/>
    <row r="5">
      <c r="A5" s="9" t="inlineStr">
        <is>
          <t>1. Paydaşlar</t>
        </is>
      </c>
      <c r="B5" s="11" t="inlineStr">
        <is>
          <t>PAYDASLAR sayfasında malik kimliklerini girin (sarı hücreler).</t>
        </is>
      </c>
    </row>
    <row r="6">
      <c r="A6" s="9" t="inlineStr">
        <is>
          <t>2. Borç &amp; tahsilat</t>
        </is>
      </c>
      <c r="B6" s="11" t="inlineStr">
        <is>
          <t>DONEMLER'de aidat borçlandırın; TAHSILAT'ta ödemeleri girin.</t>
        </is>
      </c>
    </row>
    <row r="7">
      <c r="A7" s="9" t="inlineStr">
        <is>
          <t>3. Karar</t>
        </is>
      </c>
      <c r="B7" s="11" t="inlineStr">
        <is>
          <t>PANO ve KARAR'da tahsilat oranı + icap kuyruğunu okuyun.</t>
        </is>
      </c>
    </row>
    <row r="8"/>
    <row r="9">
      <c r="A9" s="9" t="inlineStr">
        <is>
          <t>Anlık karar kapısı</t>
        </is>
      </c>
    </row>
    <row r="10">
      <c r="A10" s="12" t="inlineStr">
        <is>
          <t>Karar</t>
        </is>
      </c>
      <c r="B10" s="13">
        <f>say_kararKapi</f>
        <v/>
      </c>
    </row>
    <row r="11">
      <c r="A11" s="12" t="inlineStr">
        <is>
          <t>Tahsilat oranı</t>
        </is>
      </c>
      <c r="B11" s="14">
        <f>say_tahsilatOrani</f>
        <v/>
      </c>
    </row>
    <row r="12">
      <c r="A12" s="12" t="inlineStr">
        <is>
          <t>Kasa bakiyesi</t>
        </is>
      </c>
      <c r="B12" s="15">
        <f>say_kasaBakiye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7:J7"/>
    <mergeCell ref="B5:J5"/>
    <mergeCell ref="A1:I1"/>
    <mergeCell ref="A3:I3"/>
    <mergeCell ref="B6:J6"/>
  </mergeCells>
  <conditionalFormatting sqref="B10">
    <cfRule type="expression" priority="1" dxfId="0">
      <formula>ISNUMBER(SEARCH("VERİ YOK",B10))</formula>
    </cfRule>
    <cfRule type="expression" priority="2" dxfId="0">
      <formula>ISNUMBER(SEARCH("KRİTİK",B10))</formula>
    </cfRule>
    <cfRule type="expression" priority="3" dxfId="1">
      <formula>ISNUMBER(SEARCH("DİKKAT",B10))</formula>
    </cfRule>
    <cfRule type="expression" priority="4" dxfId="2">
      <formula>ISNUMBER(SEARCH("UYGUN",B10))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GIRDI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Site ve dönem parametreleri</t>
        </is>
      </c>
    </row>
    <row r="4">
      <c r="A4" s="16" t="inlineStr">
        <is>
          <t>Alan</t>
        </is>
      </c>
      <c r="B4" s="16" t="inlineStr">
        <is>
          <t>Değer</t>
        </is>
      </c>
    </row>
    <row r="5">
      <c r="A5" s="12" t="inlineStr">
        <is>
          <t>Site adı</t>
        </is>
      </c>
      <c r="B5" s="17" t="inlineStr">
        <is>
          <t>Güneş Sitesi</t>
        </is>
      </c>
    </row>
    <row r="6">
      <c r="A6" s="12" t="inlineStr">
        <is>
          <t>Bağımsız bölüm sayısı</t>
        </is>
      </c>
      <c r="B6" s="17" t="n">
        <v>48</v>
      </c>
    </row>
    <row r="7">
      <c r="A7" s="12" t="inlineStr">
        <is>
          <t>Dönem kodu</t>
        </is>
      </c>
      <c r="B7" s="17" t="inlineStr">
        <is>
          <t>2026-08</t>
        </is>
      </c>
    </row>
    <row r="8">
      <c r="A8" s="12" t="inlineStr">
        <is>
          <t>Aylık aidat tabanı (TL)</t>
        </is>
      </c>
      <c r="B8" s="18" t="n">
        <v>2500</v>
      </c>
    </row>
    <row r="9">
      <c r="A9" s="12" t="inlineStr">
        <is>
          <t>Hedef tahsilat oranı</t>
        </is>
      </c>
      <c r="B9" s="19" t="n">
        <v>0.92</v>
      </c>
    </row>
    <row r="10">
      <c r="A10" s="12" t="inlineStr">
        <is>
          <t>İcap eşiği (gün)</t>
        </is>
      </c>
      <c r="B10" s="17" t="n">
        <v>30</v>
      </c>
    </row>
    <row r="11">
      <c r="A11" s="12" t="inlineStr">
        <is>
          <t>Bütçe ayı gider tavanı</t>
        </is>
      </c>
      <c r="B11" s="18" t="n">
        <v>80000</v>
      </c>
    </row>
    <row r="12">
      <c r="A12" s="12" t="inlineStr">
        <is>
          <t>Senaryo çarpanı</t>
        </is>
      </c>
      <c r="B12" s="20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2">
    <cfRule type="cellIs" priority="1" operator="lessThanOrEqual" dxfId="0">
      <formula>0</formula>
    </cfRule>
  </conditionalFormatting>
  <conditionalFormatting sqref="B9">
    <cfRule type="cellIs" priority="2" operator="lessThan" dxfId="3">
      <formula>0.8</formula>
    </cfRule>
  </conditionalFormatting>
  <dataValidations count="8">
    <dataValidation sqref="B5" showDropDown="0" showInputMessage="1" showErrorMessage="1" allowBlank="1" errorTitle="Site adı" error="Boş olamaz" promptTitle="Site adı" prompt="Site unvanı" type="textLength" errorStyle="stop" operator="greaterThanOrEqual">
      <formula1>1</formula1>
      <formula2>80</formula2>
    </dataValidation>
    <dataValidation sqref="B6" showDropDown="0" showInputMessage="1" showErrorMessage="1" allowBlank="1" errorTitle="Bağımsız bölüm sayısı" error="Pozitif sayı" promptTitle="Bağımsız bölüm sayısı" prompt="Toplam daire/işyeri" type="whole" errorStyle="stop" operator="greaterThanOrEqual">
      <formula1>0</formula1>
    </dataValidation>
    <dataValidation sqref="B7" showDropDown="0" showInputMessage="1" showErrorMessage="1" allowBlank="1" errorTitle="Dönem kodu" error="Boş olamaz" promptTitle="Dönem kodu" prompt="YYYY-AA" type="textLength" errorStyle="stop" operator="greaterThanOrEqual">
      <formula1>1</formula1>
      <formula2>80</formula2>
    </dataValidation>
    <dataValidation sqref="B8" showDropDown="0" showInputMessage="1" showErrorMessage="1" allowBlank="1" errorTitle="Aylık aidat tabanı (TL)" error="0 veya üzeri" promptTitle="Aylık aidat tabanı (TL)" prompt="KMK payına çarpılır" type="decimal" errorStyle="stop" operator="greaterThanOrEqual">
      <formula1>0</formula1>
    </dataValidation>
    <dataValidation sqref="B9" showDropDown="0" showInputMessage="1" showErrorMessage="1" allowBlank="1" errorTitle="Hedef tahsilat oranı" error="0–1" promptTitle="Hedef tahsilat oranı" prompt="0–1 arası" type="decimal" errorStyle="stop" operator="between">
      <formula1>0</formula1>
      <formula2>1</formula2>
    </dataValidation>
    <dataValidation sqref="B10" showDropDown="0" showInputMessage="1" showErrorMessage="1" allowBlank="1" errorTitle="İcap eşiği (gün)" error="Pozitif sayı" promptTitle="İcap eşiği (gün)" prompt="Vade sonrası gün" type="whole" errorStyle="stop" operator="greaterThanOrEqual">
      <formula1>0</formula1>
    </dataValidation>
    <dataValidation sqref="B11" showDropDown="0" showInputMessage="1" showErrorMessage="1" allowBlank="1" errorTitle="Bütçe ayı gider tavanı" error="0 veya üzeri" promptTitle="Bütçe ayı gider tavanı" prompt="Gider alarm eşiği" type="decimal" errorStyle="stop" operator="greaterThanOrEqual">
      <formula1>0</formula1>
    </dataValidation>
    <dataValidation sqref="B12" showDropDown="0" showInputMessage="1" showErrorMessage="1" allowBlank="1" errorTitle="Senaryo çarpanı" error="Boş olamaz" promptTitle="Senaryo çarpanı" prompt="İyimser/kötümser" type="textLength" errorStyle="stop" operator="greaterThanOrEqual">
      <formula1>1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7.5" customWidth="1" min="2" max="2"/>
    <col width="18.5" customWidth="1" min="3" max="3"/>
    <col width="14.5" customWidth="1" min="4" max="4"/>
    <col width="14" customWidth="1" min="5" max="5"/>
    <col width="14.5" customWidth="1" min="6" max="6"/>
    <col width="16.5" customWidth="1" min="7" max="7"/>
    <col width="14" customWidth="1" min="8" max="8"/>
    <col width="14" customWidth="1" min="9" max="9"/>
    <col width="14" customWidth="1" min="10" max="10"/>
    <col width="13" customWidth="1" min="11" max="11"/>
  </cols>
  <sheetData>
    <row r="1" ht="32" customHeight="1">
      <c r="A1" s="175" t="inlineStr">
        <is>
          <t>PAYDASLAR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</row>
    <row r="2"/>
    <row r="3" ht="22" customHeight="1">
      <c r="A3" s="194" t="inlineStr">
        <is>
          <t>Malik / paydaş kartları — ID disiplini (bakiye türetilir)</t>
        </is>
      </c>
    </row>
    <row r="4"/>
    <row r="5" ht="30" customHeight="1">
      <c r="A5" s="22" t="inlineStr">
        <is>
          <t>MalikId</t>
        </is>
      </c>
      <c r="B5" s="22" t="inlineStr">
        <is>
          <t>BagimsizBolum</t>
        </is>
      </c>
      <c r="C5" s="22" t="inlineStr">
        <is>
          <t>AdSoyad</t>
        </is>
      </c>
      <c r="D5" s="22" t="inlineStr">
        <is>
          <t>PayKatsayi</t>
        </is>
      </c>
      <c r="E5" s="22" t="inlineStr">
        <is>
          <t>Aktif</t>
        </is>
      </c>
      <c r="F5" s="22" t="inlineStr">
        <is>
          <t>BorcToplam</t>
        </is>
      </c>
      <c r="G5" s="22" t="inlineStr">
        <is>
          <t>TahsilToplam</t>
        </is>
      </c>
      <c r="H5" s="22" t="inlineStr">
        <is>
          <t>Bakiye</t>
        </is>
      </c>
      <c r="I5" s="22" t="inlineStr">
        <is>
          <t>KayitDolu</t>
        </is>
      </c>
      <c r="J5" s="22" t="inlineStr">
        <is>
          <t>MotorAdim</t>
        </is>
      </c>
    </row>
    <row r="6">
      <c r="A6" s="23" t="inlineStr">
        <is>
          <t>MLK-001</t>
        </is>
      </c>
      <c r="B6" s="23" t="inlineStr">
        <is>
          <t>A Blok 1</t>
        </is>
      </c>
      <c r="C6" s="23" t="inlineStr">
        <is>
          <t>Ayşe Yılmaz</t>
        </is>
      </c>
      <c r="D6" s="20" t="n">
        <v>1</v>
      </c>
      <c r="E6" s="23" t="inlineStr">
        <is>
          <t>EVET</t>
        </is>
      </c>
      <c r="F6" s="24">
        <f>IF($A6="","",SUMIF(tblDonem[MalikId],$A6,tblDonem[BorcTutari]))</f>
        <v/>
      </c>
      <c r="G6" s="24">
        <f>IF($A6="","",SUMIF(tblTahsilat[MalikId],$A6,tblTahsilat[OdemeTutari]))</f>
        <v/>
      </c>
      <c r="H6" s="24">
        <f>IF($A6="","",$F6-$G6)</f>
        <v/>
      </c>
      <c r="I6" s="24">
        <f>IF($A6="","",1)</f>
        <v/>
      </c>
      <c r="J6" s="24">
        <f>IF($A6="","",($H6&gt;0)+($E6="EVET"))</f>
        <v/>
      </c>
    </row>
    <row r="7">
      <c r="A7" s="23" t="inlineStr">
        <is>
          <t>MLK-002</t>
        </is>
      </c>
      <c r="B7" s="23" t="inlineStr">
        <is>
          <t>A Blok 2</t>
        </is>
      </c>
      <c r="C7" s="23" t="inlineStr">
        <is>
          <t>Mehmet Demir</t>
        </is>
      </c>
      <c r="D7" s="20" t="n">
        <v>1</v>
      </c>
      <c r="E7" s="23" t="inlineStr">
        <is>
          <t>EVET</t>
        </is>
      </c>
      <c r="F7" s="24">
        <f>IF($A7="","",SUMIF(tblDonem[MalikId],$A7,tblDonem[BorcTutari]))</f>
        <v/>
      </c>
      <c r="G7" s="24">
        <f>IF($A7="","",SUMIF(tblTahsilat[MalikId],$A7,tblTahsilat[OdemeTutari]))</f>
        <v/>
      </c>
      <c r="H7" s="24">
        <f>IF($A7="","",$F7-$G7)</f>
        <v/>
      </c>
      <c r="I7" s="24">
        <f>IF($A7="","",1)</f>
        <v/>
      </c>
      <c r="J7" s="24">
        <f>IF($A7="","",($H7&gt;0)+($E7="EVET"))</f>
        <v/>
      </c>
    </row>
    <row r="8">
      <c r="A8" s="23" t="inlineStr">
        <is>
          <t>MLK-003</t>
        </is>
      </c>
      <c r="B8" s="23" t="inlineStr">
        <is>
          <t>A Blok 3</t>
        </is>
      </c>
      <c r="C8" s="23" t="inlineStr">
        <is>
          <t>Zeynep Kaya</t>
        </is>
      </c>
      <c r="D8" s="20" t="n">
        <v>1</v>
      </c>
      <c r="E8" s="23" t="inlineStr">
        <is>
          <t>EVET</t>
        </is>
      </c>
      <c r="F8" s="24">
        <f>IF($A8="","",SUMIF(tblDonem[MalikId],$A8,tblDonem[BorcTutari]))</f>
        <v/>
      </c>
      <c r="G8" s="24">
        <f>IF($A8="","",SUMIF(tblTahsilat[MalikId],$A8,tblTahsilat[OdemeTutari]))</f>
        <v/>
      </c>
      <c r="H8" s="24">
        <f>IF($A8="","",$F8-$G8)</f>
        <v/>
      </c>
      <c r="I8" s="24">
        <f>IF($A8="","",1)</f>
        <v/>
      </c>
      <c r="J8" s="24">
        <f>IF($A8="","",($H8&gt;0)+($E8="EVET"))</f>
        <v/>
      </c>
    </row>
    <row r="9">
      <c r="A9" s="23" t="inlineStr">
        <is>
          <t>MLK-004</t>
        </is>
      </c>
      <c r="B9" s="23" t="inlineStr">
        <is>
          <t>B Blok 1</t>
        </is>
      </c>
      <c r="C9" s="23" t="inlineStr">
        <is>
          <t>Ali Çelik</t>
        </is>
      </c>
      <c r="D9" s="20" t="n">
        <v>1.2</v>
      </c>
      <c r="E9" s="23" t="inlineStr">
        <is>
          <t>EVET</t>
        </is>
      </c>
      <c r="F9" s="24">
        <f>IF($A9="","",SUMIF(tblDonem[MalikId],$A9,tblDonem[BorcTutari]))</f>
        <v/>
      </c>
      <c r="G9" s="24">
        <f>IF($A9="","",SUMIF(tblTahsilat[MalikId],$A9,tblTahsilat[OdemeTutari]))</f>
        <v/>
      </c>
      <c r="H9" s="24">
        <f>IF($A9="","",$F9-$G9)</f>
        <v/>
      </c>
      <c r="I9" s="24">
        <f>IF($A9="","",1)</f>
        <v/>
      </c>
      <c r="J9" s="24">
        <f>IF($A9="","",($H9&gt;0)+($E9="EVET"))</f>
        <v/>
      </c>
    </row>
    <row r="10">
      <c r="A10" s="23" t="inlineStr">
        <is>
          <t>MLK-005</t>
        </is>
      </c>
      <c r="B10" s="23" t="inlineStr">
        <is>
          <t>B Blok 2</t>
        </is>
      </c>
      <c r="C10" s="23" t="inlineStr">
        <is>
          <t>Fatma Şahin</t>
        </is>
      </c>
      <c r="D10" s="20" t="n">
        <v>1</v>
      </c>
      <c r="E10" s="23" t="inlineStr">
        <is>
          <t>EVET</t>
        </is>
      </c>
      <c r="F10" s="24">
        <f>IF($A10="","",SUMIF(tblDonem[MalikId],$A10,tblDonem[BorcTutari]))</f>
        <v/>
      </c>
      <c r="G10" s="24">
        <f>IF($A10="","",SUMIF(tblTahsilat[MalikId],$A10,tblTahsilat[OdemeTutari]))</f>
        <v/>
      </c>
      <c r="H10" s="24">
        <f>IF($A10="","",$F10-$G10)</f>
        <v/>
      </c>
      <c r="I10" s="24">
        <f>IF($A10="","",1)</f>
        <v/>
      </c>
      <c r="J10" s="24">
        <f>IF($A10="","",($H10&gt;0)+($E10="EVET"))</f>
        <v/>
      </c>
    </row>
    <row r="11">
      <c r="A11" s="23" t="inlineStr">
        <is>
          <t>MLK-006</t>
        </is>
      </c>
      <c r="B11" s="23" t="inlineStr">
        <is>
          <t>B Blok 3</t>
        </is>
      </c>
      <c r="C11" s="23" t="inlineStr">
        <is>
          <t>Hasan Aydın</t>
        </is>
      </c>
      <c r="D11" s="20" t="n">
        <v>1</v>
      </c>
      <c r="E11" s="23" t="inlineStr">
        <is>
          <t>HAYIR</t>
        </is>
      </c>
      <c r="F11" s="24">
        <f>IF($A11="","",SUMIF(tblDonem[MalikId],$A11,tblDonem[BorcTutari]))</f>
        <v/>
      </c>
      <c r="G11" s="24">
        <f>IF($A11="","",SUMIF(tblTahsilat[MalikId],$A11,tblTahsilat[OdemeTutari]))</f>
        <v/>
      </c>
      <c r="H11" s="24">
        <f>IF($A11="","",$F11-$G11)</f>
        <v/>
      </c>
      <c r="I11" s="24">
        <f>IF($A11="","",1)</f>
        <v/>
      </c>
      <c r="J11" s="24">
        <f>IF($A11="","",($H11&gt;0)+($E11="EVET"))</f>
        <v/>
      </c>
    </row>
    <row r="12">
      <c r="A12" s="23" t="inlineStr">
        <is>
          <t>MLK-007</t>
        </is>
      </c>
      <c r="B12" s="23" t="inlineStr">
        <is>
          <t>C Blok 1</t>
        </is>
      </c>
      <c r="C12" s="23" t="inlineStr">
        <is>
          <t>Elif Arslan</t>
        </is>
      </c>
      <c r="D12" s="20" t="n">
        <v>1.5</v>
      </c>
      <c r="E12" s="23" t="inlineStr">
        <is>
          <t>EVET</t>
        </is>
      </c>
      <c r="F12" s="24">
        <f>IF($A12="","",SUMIF(tblDonem[MalikId],$A12,tblDonem[BorcTutari]))</f>
        <v/>
      </c>
      <c r="G12" s="24">
        <f>IF($A12="","",SUMIF(tblTahsilat[MalikId],$A12,tblTahsilat[OdemeTutari]))</f>
        <v/>
      </c>
      <c r="H12" s="24">
        <f>IF($A12="","",$F12-$G12)</f>
        <v/>
      </c>
      <c r="I12" s="24">
        <f>IF($A12="","",1)</f>
        <v/>
      </c>
      <c r="J12" s="24">
        <f>IF($A12="","",($H12&gt;0)+($E12="EVET"))</f>
        <v/>
      </c>
    </row>
    <row r="13">
      <c r="A13" s="23" t="inlineStr">
        <is>
          <t>MLK-008</t>
        </is>
      </c>
      <c r="B13" s="23" t="inlineStr">
        <is>
          <t>C Blok 2</t>
        </is>
      </c>
      <c r="C13" s="23" t="inlineStr">
        <is>
          <t>Mustafa Öztürk</t>
        </is>
      </c>
      <c r="D13" s="20" t="n">
        <v>1</v>
      </c>
      <c r="E13" s="23" t="inlineStr">
        <is>
          <t>EVET</t>
        </is>
      </c>
      <c r="F13" s="24">
        <f>IF($A13="","",SUMIF(tblDonem[MalikId],$A13,tblDonem[BorcTutari]))</f>
        <v/>
      </c>
      <c r="G13" s="24">
        <f>IF($A13="","",SUMIF(tblTahsilat[MalikId],$A13,tblTahsilat[OdemeTutari]))</f>
        <v/>
      </c>
      <c r="H13" s="24">
        <f>IF($A13="","",$F13-$G13)</f>
        <v/>
      </c>
      <c r="I13" s="24">
        <f>IF($A13="","",1)</f>
        <v/>
      </c>
      <c r="J13" s="24">
        <f>IF($A13="","",($H13&gt;0)+($E13="EVET"))</f>
        <v/>
      </c>
    </row>
    <row r="14">
      <c r="A14" s="23" t="inlineStr">
        <is>
          <t>MLK-009</t>
        </is>
      </c>
      <c r="B14" s="23" t="inlineStr">
        <is>
          <t>C Blok 3</t>
        </is>
      </c>
      <c r="C14" s="23" t="inlineStr">
        <is>
          <t>Selin Koç</t>
        </is>
      </c>
      <c r="D14" s="20" t="n">
        <v>1</v>
      </c>
      <c r="E14" s="23" t="inlineStr">
        <is>
          <t>EVET</t>
        </is>
      </c>
      <c r="F14" s="24">
        <f>IF($A14="","",SUMIF(tblDonem[MalikId],$A14,tblDonem[BorcTutari]))</f>
        <v/>
      </c>
      <c r="G14" s="24">
        <f>IF($A14="","",SUMIF(tblTahsilat[MalikId],$A14,tblTahsilat[OdemeTutari]))</f>
        <v/>
      </c>
      <c r="H14" s="24">
        <f>IF($A14="","",$F14-$G14)</f>
        <v/>
      </c>
      <c r="I14" s="24">
        <f>IF($A14="","",1)</f>
        <v/>
      </c>
      <c r="J14" s="24">
        <f>IF($A14="","",($H14&gt;0)+($E14="EVET"))</f>
        <v/>
      </c>
    </row>
    <row r="15">
      <c r="A15" s="23" t="inlineStr">
        <is>
          <t>MLK-010</t>
        </is>
      </c>
      <c r="B15" s="23" t="inlineStr">
        <is>
          <t>D Blok 1</t>
        </is>
      </c>
      <c r="C15" s="23" t="inlineStr">
        <is>
          <t>Emre Yıldız</t>
        </is>
      </c>
      <c r="D15" s="20" t="n">
        <v>1</v>
      </c>
      <c r="E15" s="23" t="inlineStr">
        <is>
          <t>EVET</t>
        </is>
      </c>
      <c r="F15" s="24">
        <f>IF($A15="","",SUMIF(tblDonem[MalikId],$A15,tblDonem[BorcTutari]))</f>
        <v/>
      </c>
      <c r="G15" s="24">
        <f>IF($A15="","",SUMIF(tblTahsilat[MalikId],$A15,tblTahsilat[OdemeTutari]))</f>
        <v/>
      </c>
      <c r="H15" s="24">
        <f>IF($A15="","",$F15-$G15)</f>
        <v/>
      </c>
      <c r="I15" s="24">
        <f>IF($A15="","",1)</f>
        <v/>
      </c>
      <c r="J15" s="24">
        <f>IF($A15="","",($H15&gt;0)+($E15="EVET"))</f>
        <v/>
      </c>
    </row>
    <row r="16">
      <c r="A16" s="23" t="inlineStr">
        <is>
          <t>MLK-011</t>
        </is>
      </c>
      <c r="B16" s="23" t="inlineStr">
        <is>
          <t>D Blok 2</t>
        </is>
      </c>
      <c r="C16" s="23" t="inlineStr">
        <is>
          <t>Deniz Acar</t>
        </is>
      </c>
      <c r="D16" s="20" t="n">
        <v>1</v>
      </c>
      <c r="E16" s="23" t="inlineStr">
        <is>
          <t>EVET</t>
        </is>
      </c>
      <c r="F16" s="24">
        <f>IF($A16="","",SUMIF(tblDonem[MalikId],$A16,tblDonem[BorcTutari]))</f>
        <v/>
      </c>
      <c r="G16" s="24">
        <f>IF($A16="","",SUMIF(tblTahsilat[MalikId],$A16,tblTahsilat[OdemeTutari]))</f>
        <v/>
      </c>
      <c r="H16" s="24">
        <f>IF($A16="","",$F16-$G16)</f>
        <v/>
      </c>
      <c r="I16" s="24">
        <f>IF($A16="","",1)</f>
        <v/>
      </c>
      <c r="J16" s="24">
        <f>IF($A16="","",($H16&gt;0)+($E16="EVET"))</f>
        <v/>
      </c>
    </row>
    <row r="17">
      <c r="A17" s="23" t="inlineStr">
        <is>
          <t>MLK-012</t>
        </is>
      </c>
      <c r="B17" s="23" t="inlineStr">
        <is>
          <t>D Blok 3</t>
        </is>
      </c>
      <c r="C17" s="23" t="inlineStr">
        <is>
          <t>Burak Polat</t>
        </is>
      </c>
      <c r="D17" s="20" t="n">
        <v>1</v>
      </c>
      <c r="E17" s="23" t="inlineStr">
        <is>
          <t>EVET</t>
        </is>
      </c>
      <c r="F17" s="24">
        <f>IF($A17="","",SUMIF(tblDonem[MalikId],$A17,tblDonem[BorcTutari]))</f>
        <v/>
      </c>
      <c r="G17" s="24">
        <f>IF($A17="","",SUMIF(tblTahsilat[MalikId],$A17,tblTahsilat[OdemeTutari]))</f>
        <v/>
      </c>
      <c r="H17" s="24">
        <f>IF($A17="","",$F17-$G17)</f>
        <v/>
      </c>
      <c r="I17" s="24">
        <f>IF($A17="","",1)</f>
        <v/>
      </c>
      <c r="J17" s="24">
        <f>IF($A17="","",($H17&gt;0)+($E17="EVET"))</f>
        <v/>
      </c>
    </row>
    <row r="18">
      <c r="F18" s="24">
        <f>IF($A18="","",SUMIF(tblDonem[MalikId],$A18,tblDonem[BorcTutari]))</f>
        <v/>
      </c>
      <c r="G18" s="24">
        <f>IF($A18="","",SUMIF(tblTahsilat[MalikId],$A18,tblTahsilat[OdemeTutari]))</f>
        <v/>
      </c>
      <c r="H18" s="24">
        <f>IF($A18="","",$F18-$G18)</f>
        <v/>
      </c>
      <c r="I18" s="24">
        <f>IF($A18="","",1)</f>
        <v/>
      </c>
      <c r="J18" s="24">
        <f>IF($A18="","",($H18&gt;0)+($E18="EVET"))</f>
        <v/>
      </c>
    </row>
    <row r="19">
      <c r="F19" s="24">
        <f>IF($A19="","",SUMIF(tblDonem[MalikId],$A19,tblDonem[BorcTutari]))</f>
        <v/>
      </c>
      <c r="G19" s="24">
        <f>IF($A19="","",SUMIF(tblTahsilat[MalikId],$A19,tblTahsilat[OdemeTutari]))</f>
        <v/>
      </c>
      <c r="H19" s="24">
        <f>IF($A19="","",$F19-$G19)</f>
        <v/>
      </c>
      <c r="I19" s="24">
        <f>IF($A19="","",1)</f>
        <v/>
      </c>
      <c r="J19" s="24">
        <f>IF($A19="","",($H19&gt;0)+($E19="EVET"))</f>
        <v/>
      </c>
    </row>
    <row r="20">
      <c r="F20" s="24">
        <f>IF($A20="","",SUMIF(tblDonem[MalikId],$A20,tblDonem[BorcTutari]))</f>
        <v/>
      </c>
      <c r="G20" s="24">
        <f>IF($A20="","",SUMIF(tblTahsilat[MalikId],$A20,tblTahsilat[OdemeTutari]))</f>
        <v/>
      </c>
      <c r="H20" s="24">
        <f>IF($A20="","",$F20-$G20)</f>
        <v/>
      </c>
      <c r="I20" s="24">
        <f>IF($A20="","",1)</f>
        <v/>
      </c>
      <c r="J20" s="24">
        <f>IF($A20="","",($H20&gt;0)+($E20="EVET"))</f>
        <v/>
      </c>
    </row>
    <row r="21">
      <c r="F21" s="24">
        <f>IF($A21="","",SUMIF(tblDonem[MalikId],$A21,tblDonem[BorcTutari]))</f>
        <v/>
      </c>
      <c r="G21" s="24">
        <f>IF($A21="","",SUMIF(tblTahsilat[MalikId],$A21,tblTahsilat[OdemeTutari]))</f>
        <v/>
      </c>
      <c r="H21" s="24">
        <f>IF($A21="","",$F21-$G21)</f>
        <v/>
      </c>
      <c r="I21" s="24">
        <f>IF($A21="","",1)</f>
        <v/>
      </c>
      <c r="J21" s="24">
        <f>IF($A21="","",($H21&gt;0)+($E21="EVET"))</f>
        <v/>
      </c>
    </row>
    <row r="22">
      <c r="F22" s="24">
        <f>IF($A22="","",SUMIF(tblDonem[MalikId],$A22,tblDonem[BorcTutari]))</f>
        <v/>
      </c>
      <c r="G22" s="24">
        <f>IF($A22="","",SUMIF(tblTahsilat[MalikId],$A22,tblTahsilat[OdemeTutari]))</f>
        <v/>
      </c>
      <c r="H22" s="24">
        <f>IF($A22="","",$F22-$G22)</f>
        <v/>
      </c>
      <c r="I22" s="24">
        <f>IF($A22="","",1)</f>
        <v/>
      </c>
      <c r="J22" s="24">
        <f>IF($A22="","",($H22&gt;0)+($E22="EVET"))</f>
        <v/>
      </c>
    </row>
    <row r="23">
      <c r="F23" s="24">
        <f>IF($A23="","",SUMIF(tblDonem[MalikId],$A23,tblDonem[BorcTutari]))</f>
        <v/>
      </c>
      <c r="G23" s="24">
        <f>IF($A23="","",SUMIF(tblTahsilat[MalikId],$A23,tblTahsilat[OdemeTutari]))</f>
        <v/>
      </c>
      <c r="H23" s="24">
        <f>IF($A23="","",$F23-$G23)</f>
        <v/>
      </c>
      <c r="I23" s="24">
        <f>IF($A23="","",1)</f>
        <v/>
      </c>
      <c r="J23" s="24">
        <f>IF($A23="","",($H23&gt;0)+($E23="EVET"))</f>
        <v/>
      </c>
    </row>
    <row r="24">
      <c r="F24" s="24">
        <f>IF($A24="","",SUMIF(tblDonem[MalikId],$A24,tblDonem[BorcTutari]))</f>
        <v/>
      </c>
      <c r="G24" s="24">
        <f>IF($A24="","",SUMIF(tblTahsilat[MalikId],$A24,tblTahsilat[OdemeTutari]))</f>
        <v/>
      </c>
      <c r="H24" s="24">
        <f>IF($A24="","",$F24-$G24)</f>
        <v/>
      </c>
      <c r="I24" s="24">
        <f>IF($A24="","",1)</f>
        <v/>
      </c>
      <c r="J24" s="24">
        <f>IF($A24="","",($H24&gt;0)+($E24="EVET"))</f>
        <v/>
      </c>
    </row>
    <row r="25">
      <c r="F25" s="24">
        <f>IF($A25="","",SUMIF(tblDonem[MalikId],$A25,tblDonem[BorcTutari]))</f>
        <v/>
      </c>
      <c r="G25" s="24">
        <f>IF($A25="","",SUMIF(tblTahsilat[MalikId],$A25,tblTahsilat[OdemeTutari]))</f>
        <v/>
      </c>
      <c r="H25" s="24">
        <f>IF($A25="","",$F25-$G25)</f>
        <v/>
      </c>
      <c r="I25" s="24">
        <f>IF($A25="","",1)</f>
        <v/>
      </c>
      <c r="J25" s="24">
        <f>IF($A25="","",($H25&gt;0)+($E25="EVET"))</f>
        <v/>
      </c>
    </row>
    <row r="26">
      <c r="F26" s="24">
        <f>IF($A26="","",SUMIF(tblDonem[MalikId],$A26,tblDonem[BorcTutari]))</f>
        <v/>
      </c>
      <c r="G26" s="24">
        <f>IF($A26="","",SUMIF(tblTahsilat[MalikId],$A26,tblTahsilat[OdemeTutari]))</f>
        <v/>
      </c>
      <c r="H26" s="24">
        <f>IF($A26="","",$F26-$G26)</f>
        <v/>
      </c>
      <c r="I26" s="24">
        <f>IF($A26="","",1)</f>
        <v/>
      </c>
      <c r="J26" s="24">
        <f>IF($A26="","",($H26&gt;0)+($E26="EVET"))</f>
        <v/>
      </c>
    </row>
    <row r="27">
      <c r="F27" s="24">
        <f>IF($A27="","",SUMIF(tblDonem[MalikId],$A27,tblDonem[BorcTutari]))</f>
        <v/>
      </c>
      <c r="G27" s="24">
        <f>IF($A27="","",SUMIF(tblTahsilat[MalikId],$A27,tblTahsilat[OdemeTutari]))</f>
        <v/>
      </c>
      <c r="H27" s="24">
        <f>IF($A27="","",$F27-$G27)</f>
        <v/>
      </c>
      <c r="I27" s="24">
        <f>IF($A27="","",1)</f>
        <v/>
      </c>
      <c r="J27" s="24">
        <f>IF($A27="","",($H27&gt;0)+($E27="EVET"))</f>
        <v/>
      </c>
    </row>
    <row r="28">
      <c r="F28" s="24">
        <f>IF($A28="","",SUMIF(tblDonem[MalikId],$A28,tblDonem[BorcTutari]))</f>
        <v/>
      </c>
      <c r="G28" s="24">
        <f>IF($A28="","",SUMIF(tblTahsilat[MalikId],$A28,tblTahsilat[OdemeTutari]))</f>
        <v/>
      </c>
      <c r="H28" s="24">
        <f>IF($A28="","",$F28-$G28)</f>
        <v/>
      </c>
      <c r="I28" s="24">
        <f>IF($A28="","",1)</f>
        <v/>
      </c>
      <c r="J28" s="24">
        <f>IF($A28="","",($H28&gt;0)+($E28="EVET"))</f>
        <v/>
      </c>
    </row>
    <row r="29">
      <c r="F29" s="24">
        <f>IF($A29="","",SUMIF(tblDonem[MalikId],$A29,tblDonem[BorcTutari]))</f>
        <v/>
      </c>
      <c r="G29" s="24">
        <f>IF($A29="","",SUMIF(tblTahsilat[MalikId],$A29,tblTahsilat[OdemeTutari]))</f>
        <v/>
      </c>
      <c r="H29" s="24">
        <f>IF($A29="","",$F29-$G29)</f>
        <v/>
      </c>
      <c r="I29" s="24">
        <f>IF($A29="","",1)</f>
        <v/>
      </c>
      <c r="J29" s="24">
        <f>IF($A29="","",($H29&gt;0)+($E29="EVET"))</f>
        <v/>
      </c>
    </row>
    <row r="30">
      <c r="F30" s="24">
        <f>IF($A30="","",SUMIF(tblDonem[MalikId],$A30,tblDonem[BorcTutari]))</f>
        <v/>
      </c>
      <c r="G30" s="24">
        <f>IF($A30="","",SUMIF(tblTahsilat[MalikId],$A30,tblTahsilat[OdemeTutari]))</f>
        <v/>
      </c>
      <c r="H30" s="24">
        <f>IF($A30="","",$F30-$G30)</f>
        <v/>
      </c>
      <c r="I30" s="24">
        <f>IF($A30="","",1)</f>
        <v/>
      </c>
      <c r="J30" s="24">
        <f>IF($A30="","",($H30&gt;0)+($E30="EVET"))</f>
        <v/>
      </c>
    </row>
    <row r="31">
      <c r="F31" s="24">
        <f>IF($A31="","",SUMIF(tblDonem[MalikId],$A31,tblDonem[BorcTutari]))</f>
        <v/>
      </c>
      <c r="G31" s="24">
        <f>IF($A31="","",SUMIF(tblTahsilat[MalikId],$A31,tblTahsilat[OdemeTutari]))</f>
        <v/>
      </c>
      <c r="H31" s="24">
        <f>IF($A31="","",$F31-$G31)</f>
        <v/>
      </c>
      <c r="I31" s="24">
        <f>IF($A31="","",1)</f>
        <v/>
      </c>
      <c r="J31" s="24">
        <f>IF($A31="","",($H31&gt;0)+($E31="EVET"))</f>
        <v/>
      </c>
    </row>
    <row r="32">
      <c r="F32" s="24">
        <f>IF($A32="","",SUMIF(tblDonem[MalikId],$A32,tblDonem[BorcTutari]))</f>
        <v/>
      </c>
      <c r="G32" s="24">
        <f>IF($A32="","",SUMIF(tblTahsilat[MalikId],$A32,tblTahsilat[OdemeTutari]))</f>
        <v/>
      </c>
      <c r="H32" s="24">
        <f>IF($A32="","",$F32-$G32)</f>
        <v/>
      </c>
      <c r="I32" s="24">
        <f>IF($A32="","",1)</f>
        <v/>
      </c>
      <c r="J32" s="24">
        <f>IF($A32="","",($H32&gt;0)+($E32="EVET"))</f>
        <v/>
      </c>
    </row>
    <row r="33">
      <c r="F33" s="24">
        <f>IF($A33="","",SUMIF(tblDonem[MalikId],$A33,tblDonem[BorcTutari]))</f>
        <v/>
      </c>
      <c r="G33" s="24">
        <f>IF($A33="","",SUMIF(tblTahsilat[MalikId],$A33,tblTahsilat[OdemeTutari]))</f>
        <v/>
      </c>
      <c r="H33" s="24">
        <f>IF($A33="","",$F33-$G33)</f>
        <v/>
      </c>
      <c r="I33" s="24">
        <f>IF($A33="","",1)</f>
        <v/>
      </c>
      <c r="J33" s="24">
        <f>IF($A33="","",($H33&gt;0)+($E33="EVET"))</f>
        <v/>
      </c>
    </row>
    <row r="34">
      <c r="F34" s="24">
        <f>IF($A34="","",SUMIF(tblDonem[MalikId],$A34,tblDonem[BorcTutari]))</f>
        <v/>
      </c>
      <c r="G34" s="24">
        <f>IF($A34="","",SUMIF(tblTahsilat[MalikId],$A34,tblTahsilat[OdemeTutari]))</f>
        <v/>
      </c>
      <c r="H34" s="24">
        <f>IF($A34="","",$F34-$G34)</f>
        <v/>
      </c>
      <c r="I34" s="24">
        <f>IF($A34="","",1)</f>
        <v/>
      </c>
      <c r="J34" s="24">
        <f>IF($A34="","",($H34&gt;0)+($E34="EVET"))</f>
        <v/>
      </c>
    </row>
    <row r="35">
      <c r="F35" s="24">
        <f>IF($A35="","",SUMIF(tblDonem[MalikId],$A35,tblDonem[BorcTutari]))</f>
        <v/>
      </c>
      <c r="G35" s="24">
        <f>IF($A35="","",SUMIF(tblTahsilat[MalikId],$A35,tblTahsilat[OdemeTutari]))</f>
        <v/>
      </c>
      <c r="H35" s="24">
        <f>IF($A35="","",$F35-$G35)</f>
        <v/>
      </c>
      <c r="I35" s="24">
        <f>IF($A35="","",1)</f>
        <v/>
      </c>
      <c r="J35" s="24">
        <f>IF($A35="","",($H35&gt;0)+($E35="EVET"))</f>
        <v/>
      </c>
    </row>
    <row r="36">
      <c r="F36" s="24">
        <f>IF($A36="","",SUMIF(tblDonem[MalikId],$A36,tblDonem[BorcTutari]))</f>
        <v/>
      </c>
      <c r="G36" s="24">
        <f>IF($A36="","",SUMIF(tblTahsilat[MalikId],$A36,tblTahsilat[OdemeTutari]))</f>
        <v/>
      </c>
      <c r="H36" s="24">
        <f>IF($A36="","",$F36-$G36)</f>
        <v/>
      </c>
      <c r="I36" s="24">
        <f>IF($A36="","",1)</f>
        <v/>
      </c>
      <c r="J36" s="24">
        <f>IF($A36="","",($H36&gt;0)+($E36="EVET"))</f>
        <v/>
      </c>
    </row>
    <row r="37">
      <c r="F37" s="24">
        <f>IF($A37="","",SUMIF(tblDonem[MalikId],$A37,tblDonem[BorcTutari]))</f>
        <v/>
      </c>
      <c r="G37" s="24">
        <f>IF($A37="","",SUMIF(tblTahsilat[MalikId],$A37,tblTahsilat[OdemeTutari]))</f>
        <v/>
      </c>
      <c r="H37" s="24">
        <f>IF($A37="","",$F37-$G37)</f>
        <v/>
      </c>
      <c r="I37" s="24">
        <f>IF($A37="","",1)</f>
        <v/>
      </c>
      <c r="J37" s="24">
        <f>IF($A37="","",($H37&gt;0)+($E37="EVET"))</f>
        <v/>
      </c>
    </row>
    <row r="38">
      <c r="F38" s="24">
        <f>IF($A38="","",SUMIF(tblDonem[MalikId],$A38,tblDonem[BorcTutari]))</f>
        <v/>
      </c>
      <c r="G38" s="24">
        <f>IF($A38="","",SUMIF(tblTahsilat[MalikId],$A38,tblTahsilat[OdemeTutari]))</f>
        <v/>
      </c>
      <c r="H38" s="24">
        <f>IF($A38="","",$F38-$G38)</f>
        <v/>
      </c>
      <c r="I38" s="24">
        <f>IF($A38="","",1)</f>
        <v/>
      </c>
      <c r="J38" s="24">
        <f>IF($A38="","",($H38&gt;0)+($E38="EVET"))</f>
        <v/>
      </c>
    </row>
    <row r="39">
      <c r="F39" s="24">
        <f>IF($A39="","",SUMIF(tblDonem[MalikId],$A39,tblDonem[BorcTutari]))</f>
        <v/>
      </c>
      <c r="G39" s="24">
        <f>IF($A39="","",SUMIF(tblTahsilat[MalikId],$A39,tblTahsilat[OdemeTutari]))</f>
        <v/>
      </c>
      <c r="H39" s="24">
        <f>IF($A39="","",$F39-$G39)</f>
        <v/>
      </c>
      <c r="I39" s="24">
        <f>IF($A39="","",1)</f>
        <v/>
      </c>
      <c r="J39" s="24">
        <f>IF($A39="","",($H39&gt;0)+($E39="EVET"))</f>
        <v/>
      </c>
    </row>
    <row r="40">
      <c r="F40" s="24">
        <f>IF($A40="","",SUMIF(tblDonem[MalikId],$A40,tblDonem[BorcTutari]))</f>
        <v/>
      </c>
      <c r="G40" s="24">
        <f>IF($A40="","",SUMIF(tblTahsilat[MalikId],$A40,tblTahsilat[OdemeTutari]))</f>
        <v/>
      </c>
      <c r="H40" s="24">
        <f>IF($A40="","",$F40-$G40)</f>
        <v/>
      </c>
      <c r="I40" s="24">
        <f>IF($A40="","",1)</f>
        <v/>
      </c>
      <c r="J40" s="24">
        <f>IF($A40="","",($H40&gt;0)+($E40="EVET"))</f>
        <v/>
      </c>
    </row>
    <row r="41">
      <c r="F41" s="24">
        <f>IF($A41="","",SUMIF(tblDonem[MalikId],$A41,tblDonem[BorcTutari]))</f>
        <v/>
      </c>
      <c r="G41" s="24">
        <f>IF($A41="","",SUMIF(tblTahsilat[MalikId],$A41,tblTahsilat[OdemeTutari]))</f>
        <v/>
      </c>
      <c r="H41" s="24">
        <f>IF($A41="","",$F41-$G41)</f>
        <v/>
      </c>
      <c r="I41" s="24">
        <f>IF($A41="","",1)</f>
        <v/>
      </c>
      <c r="J41" s="24">
        <f>IF($A41="","",($H41&gt;0)+($E41="EVET"))</f>
        <v/>
      </c>
    </row>
    <row r="42">
      <c r="F42" s="24">
        <f>IF($A42="","",SUMIF(tblDonem[MalikId],$A42,tblDonem[BorcTutari]))</f>
        <v/>
      </c>
      <c r="G42" s="24">
        <f>IF($A42="","",SUMIF(tblTahsilat[MalikId],$A42,tblTahsilat[OdemeTutari]))</f>
        <v/>
      </c>
      <c r="H42" s="24">
        <f>IF($A42="","",$F42-$G42)</f>
        <v/>
      </c>
      <c r="I42" s="24">
        <f>IF($A42="","",1)</f>
        <v/>
      </c>
      <c r="J42" s="24">
        <f>IF($A42="","",($H42&gt;0)+($E42="EVET"))</f>
        <v/>
      </c>
    </row>
    <row r="43">
      <c r="F43" s="24">
        <f>IF($A43="","",SUMIF(tblDonem[MalikId],$A43,tblDonem[BorcTutari]))</f>
        <v/>
      </c>
      <c r="G43" s="24">
        <f>IF($A43="","",SUMIF(tblTahsilat[MalikId],$A43,tblTahsilat[OdemeTutari]))</f>
        <v/>
      </c>
      <c r="H43" s="24">
        <f>IF($A43="","",$F43-$G43)</f>
        <v/>
      </c>
      <c r="I43" s="24">
        <f>IF($A43="","",1)</f>
        <v/>
      </c>
      <c r="J43" s="24">
        <f>IF($A43="","",($H43&gt;0)+($E43="EVET"))</f>
        <v/>
      </c>
    </row>
    <row r="44">
      <c r="F44" s="24">
        <f>IF($A44="","",SUMIF(tblDonem[MalikId],$A44,tblDonem[BorcTutari]))</f>
        <v/>
      </c>
      <c r="G44" s="24">
        <f>IF($A44="","",SUMIF(tblTahsilat[MalikId],$A44,tblTahsilat[OdemeTutari]))</f>
        <v/>
      </c>
      <c r="H44" s="24">
        <f>IF($A44="","",$F44-$G44)</f>
        <v/>
      </c>
      <c r="I44" s="24">
        <f>IF($A44="","",1)</f>
        <v/>
      </c>
      <c r="J44" s="24">
        <f>IF($A44="","",($H44&gt;0)+($E44="EVET"))</f>
        <v/>
      </c>
    </row>
    <row r="45">
      <c r="F45" s="24">
        <f>IF($A45="","",SUMIF(tblDonem[MalikId],$A45,tblDonem[BorcTutari]))</f>
        <v/>
      </c>
      <c r="G45" s="24">
        <f>IF($A45="","",SUMIF(tblTahsilat[MalikId],$A45,tblTahsilat[OdemeTutari]))</f>
        <v/>
      </c>
      <c r="H45" s="24">
        <f>IF($A45="","",$F45-$G45)</f>
        <v/>
      </c>
      <c r="I45" s="24">
        <f>IF($A45="","",1)</f>
        <v/>
      </c>
      <c r="J45" s="24">
        <f>IF($A45="","",($H45&gt;0)+($E45="EVET"))</f>
        <v/>
      </c>
    </row>
    <row r="46">
      <c r="F46" s="24">
        <f>IF($A46="","",SUMIF(tblDonem[MalikId],$A46,tblDonem[BorcTutari]))</f>
        <v/>
      </c>
      <c r="G46" s="24">
        <f>IF($A46="","",SUMIF(tblTahsilat[MalikId],$A46,tblTahsilat[OdemeTutari]))</f>
        <v/>
      </c>
      <c r="H46" s="24">
        <f>IF($A46="","",$F46-$G46)</f>
        <v/>
      </c>
      <c r="I46" s="24">
        <f>IF($A46="","",1)</f>
        <v/>
      </c>
      <c r="J46" s="24">
        <f>IF($A46="","",($H46&gt;0)+($E46="EVET"))</f>
        <v/>
      </c>
    </row>
    <row r="47">
      <c r="F47" s="24">
        <f>IF($A47="","",SUMIF(tblDonem[MalikId],$A47,tblDonem[BorcTutari]))</f>
        <v/>
      </c>
      <c r="G47" s="24">
        <f>IF($A47="","",SUMIF(tblTahsilat[MalikId],$A47,tblTahsilat[OdemeTutari]))</f>
        <v/>
      </c>
      <c r="H47" s="24">
        <f>IF($A47="","",$F47-$G47)</f>
        <v/>
      </c>
      <c r="I47" s="24">
        <f>IF($A47="","",1)</f>
        <v/>
      </c>
      <c r="J47" s="24">
        <f>IF($A47="","",($H47&gt;0)+($E47="EVET"))</f>
        <v/>
      </c>
    </row>
    <row r="48">
      <c r="F48" s="24">
        <f>IF($A48="","",SUMIF(tblDonem[MalikId],$A48,tblDonem[BorcTutari]))</f>
        <v/>
      </c>
      <c r="G48" s="24">
        <f>IF($A48="","",SUMIF(tblTahsilat[MalikId],$A48,tblTahsilat[OdemeTutari]))</f>
        <v/>
      </c>
      <c r="H48" s="24">
        <f>IF($A48="","",$F48-$G48)</f>
        <v/>
      </c>
      <c r="I48" s="24">
        <f>IF($A48="","",1)</f>
        <v/>
      </c>
      <c r="J48" s="24">
        <f>IF($A48="","",($H48&gt;0)+($E48="EVET"))</f>
        <v/>
      </c>
    </row>
    <row r="49">
      <c r="F49" s="24">
        <f>IF($A49="","",SUMIF(tblDonem[MalikId],$A49,tblDonem[BorcTutari]))</f>
        <v/>
      </c>
      <c r="G49" s="24">
        <f>IF($A49="","",SUMIF(tblTahsilat[MalikId],$A49,tblTahsilat[OdemeTutari]))</f>
        <v/>
      </c>
      <c r="H49" s="24">
        <f>IF($A49="","",$F49-$G49)</f>
        <v/>
      </c>
      <c r="I49" s="24">
        <f>IF($A49="","",1)</f>
        <v/>
      </c>
      <c r="J49" s="24">
        <f>IF($A49="","",($H49&gt;0)+($E49="EVET"))</f>
        <v/>
      </c>
    </row>
    <row r="50">
      <c r="F50" s="24">
        <f>IF($A50="","",SUMIF(tblDonem[MalikId],$A50,tblDonem[BorcTutari]))</f>
        <v/>
      </c>
      <c r="G50" s="24">
        <f>IF($A50="","",SUMIF(tblTahsilat[MalikId],$A50,tblTahsilat[OdemeTutari]))</f>
        <v/>
      </c>
      <c r="H50" s="24">
        <f>IF($A50="","",$F50-$G50)</f>
        <v/>
      </c>
      <c r="I50" s="24">
        <f>IF($A50="","",1)</f>
        <v/>
      </c>
      <c r="J50" s="24">
        <f>IF($A50="","",($H50&gt;0)+($E50="EVET"))</f>
        <v/>
      </c>
    </row>
    <row r="51">
      <c r="F51" s="24">
        <f>IF($A51="","",SUMIF(tblDonem[MalikId],$A51,tblDonem[BorcTutari]))</f>
        <v/>
      </c>
      <c r="G51" s="24">
        <f>IF($A51="","",SUMIF(tblTahsilat[MalikId],$A51,tblTahsilat[OdemeTutari]))</f>
        <v/>
      </c>
      <c r="H51" s="24">
        <f>IF($A51="","",$F51-$G51)</f>
        <v/>
      </c>
      <c r="I51" s="24">
        <f>IF($A51="","",1)</f>
        <v/>
      </c>
      <c r="J51" s="24">
        <f>IF($A51="","",($H51&gt;0)+($E51="EVET"))</f>
        <v/>
      </c>
    </row>
    <row r="52">
      <c r="F52" s="24">
        <f>IF($A52="","",SUMIF(tblDonem[MalikId],$A52,tblDonem[BorcTutari]))</f>
        <v/>
      </c>
      <c r="G52" s="24">
        <f>IF($A52="","",SUMIF(tblTahsilat[MalikId],$A52,tblTahsilat[OdemeTutari]))</f>
        <v/>
      </c>
      <c r="H52" s="24">
        <f>IF($A52="","",$F52-$G52)</f>
        <v/>
      </c>
      <c r="I52" s="24">
        <f>IF($A52="","",1)</f>
        <v/>
      </c>
      <c r="J52" s="24">
        <f>IF($A52="","",($H52&gt;0)+($E52="EVET"))</f>
        <v/>
      </c>
    </row>
    <row r="53">
      <c r="F53" s="24">
        <f>IF($A53="","",SUMIF(tblDonem[MalikId],$A53,tblDonem[BorcTutari]))</f>
        <v/>
      </c>
      <c r="G53" s="24">
        <f>IF($A53="","",SUMIF(tblTahsilat[MalikId],$A53,tblTahsilat[OdemeTutari]))</f>
        <v/>
      </c>
      <c r="H53" s="24">
        <f>IF($A53="","",$F53-$G53)</f>
        <v/>
      </c>
      <c r="I53" s="24">
        <f>IF($A53="","",1)</f>
        <v/>
      </c>
      <c r="J53" s="24">
        <f>IF($A53="","",($H53&gt;0)+($E53="EVET"))</f>
        <v/>
      </c>
    </row>
    <row r="54">
      <c r="F54" s="24">
        <f>IF($A54="","",SUMIF(tblDonem[MalikId],$A54,tblDonem[BorcTutari]))</f>
        <v/>
      </c>
      <c r="G54" s="24">
        <f>IF($A54="","",SUMIF(tblTahsilat[MalikId],$A54,tblTahsilat[OdemeTutari]))</f>
        <v/>
      </c>
      <c r="H54" s="24">
        <f>IF($A54="","",$F54-$G54)</f>
        <v/>
      </c>
      <c r="I54" s="24">
        <f>IF($A54="","",1)</f>
        <v/>
      </c>
      <c r="J54" s="24">
        <f>IF($A54="","",($H54&gt;0)+($E54="EVET"))</f>
        <v/>
      </c>
    </row>
    <row r="55">
      <c r="F55" s="24">
        <f>IF($A55="","",SUMIF(tblDonem[MalikId],$A55,tblDonem[BorcTutari]))</f>
        <v/>
      </c>
      <c r="G55" s="24">
        <f>IF($A55="","",SUMIF(tblTahsilat[MalikId],$A55,tblTahsilat[OdemeTutari]))</f>
        <v/>
      </c>
      <c r="H55" s="24">
        <f>IF($A55="","",$F55-$G55)</f>
        <v/>
      </c>
      <c r="I55" s="24">
        <f>IF($A55="","",1)</f>
        <v/>
      </c>
      <c r="J55" s="24">
        <f>IF($A55="","",($H55&gt;0)+($E55="EVET"))</f>
        <v/>
      </c>
    </row>
    <row r="56">
      <c r="F56" s="24">
        <f>IF($A56="","",SUMIF(tblDonem[MalikId],$A56,tblDonem[BorcTutari]))</f>
        <v/>
      </c>
      <c r="G56" s="24">
        <f>IF($A56="","",SUMIF(tblTahsilat[MalikId],$A56,tblTahsilat[OdemeTutari]))</f>
        <v/>
      </c>
      <c r="H56" s="24">
        <f>IF($A56="","",$F56-$G56)</f>
        <v/>
      </c>
      <c r="I56" s="24">
        <f>IF($A56="","",1)</f>
        <v/>
      </c>
      <c r="J56" s="24">
        <f>IF($A56="","",($H56&gt;0)+($E56="EVET"))</f>
        <v/>
      </c>
    </row>
    <row r="57">
      <c r="F57" s="24">
        <f>IF($A57="","",SUMIF(tblDonem[MalikId],$A57,tblDonem[BorcTutari]))</f>
        <v/>
      </c>
      <c r="G57" s="24">
        <f>IF($A57="","",SUMIF(tblTahsilat[MalikId],$A57,tblTahsilat[OdemeTutari]))</f>
        <v/>
      </c>
      <c r="H57" s="24">
        <f>IF($A57="","",$F57-$G57)</f>
        <v/>
      </c>
      <c r="I57" s="24">
        <f>IF($A57="","",1)</f>
        <v/>
      </c>
      <c r="J57" s="24">
        <f>IF($A57="","",($H57&gt;0)+($E57="EVET"))</f>
        <v/>
      </c>
    </row>
    <row r="58">
      <c r="F58" s="24">
        <f>IF($A58="","",SUMIF(tblDonem[MalikId],$A58,tblDonem[BorcTutari]))</f>
        <v/>
      </c>
      <c r="G58" s="24">
        <f>IF($A58="","",SUMIF(tblTahsilat[MalikId],$A58,tblTahsilat[OdemeTutari]))</f>
        <v/>
      </c>
      <c r="H58" s="24">
        <f>IF($A58="","",$F58-$G58)</f>
        <v/>
      </c>
      <c r="I58" s="24">
        <f>IF($A58="","",1)</f>
        <v/>
      </c>
      <c r="J58" s="24">
        <f>IF($A58="","",($H58&gt;0)+($E58="EVET"))</f>
        <v/>
      </c>
    </row>
    <row r="59">
      <c r="F59" s="24">
        <f>IF($A59="","",SUMIF(tblDonem[MalikId],$A59,tblDonem[BorcTutari]))</f>
        <v/>
      </c>
      <c r="G59" s="24">
        <f>IF($A59="","",SUMIF(tblTahsilat[MalikId],$A59,tblTahsilat[OdemeTutari]))</f>
        <v/>
      </c>
      <c r="H59" s="24">
        <f>IF($A59="","",$F59-$G59)</f>
        <v/>
      </c>
      <c r="I59" s="24">
        <f>IF($A59="","",1)</f>
        <v/>
      </c>
      <c r="J59" s="24">
        <f>IF($A59="","",($H59&gt;0)+($E59="EVET"))</f>
        <v/>
      </c>
    </row>
    <row r="60">
      <c r="F60" s="24">
        <f>IF($A60="","",SUMIF(tblDonem[MalikId],$A60,tblDonem[BorcTutari]))</f>
        <v/>
      </c>
      <c r="G60" s="24">
        <f>IF($A60="","",SUMIF(tblTahsilat[MalikId],$A60,tblTahsilat[OdemeTutari]))</f>
        <v/>
      </c>
      <c r="H60" s="24">
        <f>IF($A60="","",$F60-$G60)</f>
        <v/>
      </c>
      <c r="I60" s="24">
        <f>IF($A60="","",1)</f>
        <v/>
      </c>
      <c r="J60" s="24">
        <f>IF($A60="","",($H60&gt;0)+($E60="EVET"))</f>
        <v/>
      </c>
    </row>
    <row r="61">
      <c r="F61" s="24">
        <f>IF($A61="","",SUMIF(tblDonem[MalikId],$A61,tblDonem[BorcTutari]))</f>
        <v/>
      </c>
      <c r="G61" s="24">
        <f>IF($A61="","",SUMIF(tblTahsilat[MalikId],$A61,tblTahsilat[OdemeTutari]))</f>
        <v/>
      </c>
      <c r="H61" s="24">
        <f>IF($A61="","",$F61-$G61)</f>
        <v/>
      </c>
      <c r="I61" s="24">
        <f>IF($A61="","",1)</f>
        <v/>
      </c>
      <c r="J61" s="24">
        <f>IF($A61="","",($H61&gt;0)+($E61="EVET"))</f>
        <v/>
      </c>
    </row>
    <row r="62">
      <c r="F62" s="24">
        <f>IF($A62="","",SUMIF(tblDonem[MalikId],$A62,tblDonem[BorcTutari]))</f>
        <v/>
      </c>
      <c r="G62" s="24">
        <f>IF($A62="","",SUMIF(tblTahsilat[MalikId],$A62,tblTahsilat[OdemeTutari]))</f>
        <v/>
      </c>
      <c r="H62" s="24">
        <f>IF($A62="","",$F62-$G62)</f>
        <v/>
      </c>
      <c r="I62" s="24">
        <f>IF($A62="","",1)</f>
        <v/>
      </c>
      <c r="J62" s="24">
        <f>IF($A62="","",($H62&gt;0)+($E62="EVET"))</f>
        <v/>
      </c>
    </row>
    <row r="63">
      <c r="F63" s="24">
        <f>IF($A63="","",SUMIF(tblDonem[MalikId],$A63,tblDonem[BorcTutari]))</f>
        <v/>
      </c>
      <c r="G63" s="24">
        <f>IF($A63="","",SUMIF(tblTahsilat[MalikId],$A63,tblTahsilat[OdemeTutari]))</f>
        <v/>
      </c>
      <c r="H63" s="24">
        <f>IF($A63="","",$F63-$G63)</f>
        <v/>
      </c>
      <c r="I63" s="24">
        <f>IF($A63="","",1)</f>
        <v/>
      </c>
      <c r="J63" s="24">
        <f>IF($A63="","",($H63&gt;0)+($E63="EVET"))</f>
        <v/>
      </c>
    </row>
    <row r="64">
      <c r="F64" s="24">
        <f>IF($A64="","",SUMIF(tblDonem[MalikId],$A64,tblDonem[BorcTutari]))</f>
        <v/>
      </c>
      <c r="G64" s="24">
        <f>IF($A64="","",SUMIF(tblTahsilat[MalikId],$A64,tblTahsilat[OdemeTutari]))</f>
        <v/>
      </c>
      <c r="H64" s="24">
        <f>IF($A64="","",$F64-$G64)</f>
        <v/>
      </c>
      <c r="I64" s="24">
        <f>IF($A64="","",1)</f>
        <v/>
      </c>
      <c r="J64" s="24">
        <f>IF($A64="","",($H64&gt;0)+($E64="EVET"))</f>
        <v/>
      </c>
    </row>
    <row r="65">
      <c r="F65" s="24">
        <f>IF($A65="","",SUMIF(tblDonem[MalikId],$A65,tblDonem[BorcTutari]))</f>
        <v/>
      </c>
      <c r="G65" s="24">
        <f>IF($A65="","",SUMIF(tblTahsilat[MalikId],$A65,tblTahsilat[OdemeTutari]))</f>
        <v/>
      </c>
      <c r="H65" s="24">
        <f>IF($A65="","",$F65-$G65)</f>
        <v/>
      </c>
      <c r="I65" s="24">
        <f>IF($A65="","",1)</f>
        <v/>
      </c>
      <c r="J65" s="24">
        <f>IF($A65="","",($H65&gt;0)+($E65="EVET"))</f>
        <v/>
      </c>
    </row>
    <row r="66">
      <c r="F66" s="24">
        <f>IF($A66="","",SUMIF(tblDonem[MalikId],$A66,tblDonem[BorcTutari]))</f>
        <v/>
      </c>
      <c r="G66" s="24">
        <f>IF($A66="","",SUMIF(tblTahsilat[MalikId],$A66,tblTahsilat[OdemeTutari]))</f>
        <v/>
      </c>
      <c r="H66" s="24">
        <f>IF($A66="","",$F66-$G66)</f>
        <v/>
      </c>
      <c r="I66" s="24">
        <f>IF($A66="","",1)</f>
        <v/>
      </c>
      <c r="J66" s="24">
        <f>IF($A66="","",($H66&gt;0)+($E66="EVET"))</f>
        <v/>
      </c>
    </row>
    <row r="67">
      <c r="F67" s="24">
        <f>IF($A67="","",SUMIF(tblDonem[MalikId],$A67,tblDonem[BorcTutari]))</f>
        <v/>
      </c>
      <c r="G67" s="24">
        <f>IF($A67="","",SUMIF(tblTahsilat[MalikId],$A67,tblTahsilat[OdemeTutari]))</f>
        <v/>
      </c>
      <c r="H67" s="24">
        <f>IF($A67="","",$F67-$G67)</f>
        <v/>
      </c>
      <c r="I67" s="24">
        <f>IF($A67="","",1)</f>
        <v/>
      </c>
      <c r="J67" s="24">
        <f>IF($A67="","",($H67&gt;0)+($E67="EVET"))</f>
        <v/>
      </c>
    </row>
    <row r="68">
      <c r="F68" s="24">
        <f>IF($A68="","",SUMIF(tblDonem[MalikId],$A68,tblDonem[BorcTutari]))</f>
        <v/>
      </c>
      <c r="G68" s="24">
        <f>IF($A68="","",SUMIF(tblTahsilat[MalikId],$A68,tblTahsilat[OdemeTutari]))</f>
        <v/>
      </c>
      <c r="H68" s="24">
        <f>IF($A68="","",$F68-$G68)</f>
        <v/>
      </c>
      <c r="I68" s="24">
        <f>IF($A68="","",1)</f>
        <v/>
      </c>
      <c r="J68" s="24">
        <f>IF($A68="","",($H68&gt;0)+($E68="EVET"))</f>
        <v/>
      </c>
    </row>
    <row r="69">
      <c r="F69" s="24">
        <f>IF($A69="","",SUMIF(tblDonem[MalikId],$A69,tblDonem[BorcTutari]))</f>
        <v/>
      </c>
      <c r="G69" s="24">
        <f>IF($A69="","",SUMIF(tblTahsilat[MalikId],$A69,tblTahsilat[OdemeTutari]))</f>
        <v/>
      </c>
      <c r="H69" s="24">
        <f>IF($A69="","",$F69-$G69)</f>
        <v/>
      </c>
      <c r="I69" s="24">
        <f>IF($A69="","",1)</f>
        <v/>
      </c>
      <c r="J69" s="24">
        <f>IF($A69="","",($H69&gt;0)+($E69="EVET"))</f>
        <v/>
      </c>
    </row>
    <row r="70">
      <c r="F70" s="24">
        <f>IF($A70="","",SUMIF(tblDonem[MalikId],$A70,tblDonem[BorcTutari]))</f>
        <v/>
      </c>
      <c r="G70" s="24">
        <f>IF($A70="","",SUMIF(tblTahsilat[MalikId],$A70,tblTahsilat[OdemeTutari]))</f>
        <v/>
      </c>
      <c r="H70" s="24">
        <f>IF($A70="","",$F70-$G70)</f>
        <v/>
      </c>
      <c r="I70" s="24">
        <f>IF($A70="","",1)</f>
        <v/>
      </c>
      <c r="J70" s="24">
        <f>IF($A70="","",($H70&gt;0)+($E70="EVET"))</f>
        <v/>
      </c>
    </row>
    <row r="71">
      <c r="F71" s="24">
        <f>IF($A71="","",SUMIF(tblDonem[MalikId],$A71,tblDonem[BorcTutari]))</f>
        <v/>
      </c>
      <c r="G71" s="24">
        <f>IF($A71="","",SUMIF(tblTahsilat[MalikId],$A71,tblTahsilat[OdemeTutari]))</f>
        <v/>
      </c>
      <c r="H71" s="24">
        <f>IF($A71="","",$F71-$G71)</f>
        <v/>
      </c>
      <c r="I71" s="24">
        <f>IF($A71="","",1)</f>
        <v/>
      </c>
      <c r="J71" s="24">
        <f>IF($A71="","",($H71&gt;0)+($E71="EVET"))</f>
        <v/>
      </c>
    </row>
    <row r="72">
      <c r="F72" s="24">
        <f>IF($A72="","",SUMIF(tblDonem[MalikId],$A72,tblDonem[BorcTutari]))</f>
        <v/>
      </c>
      <c r="G72" s="24">
        <f>IF($A72="","",SUMIF(tblTahsilat[MalikId],$A72,tblTahsilat[OdemeTutari]))</f>
        <v/>
      </c>
      <c r="H72" s="24">
        <f>IF($A72="","",$F72-$G72)</f>
        <v/>
      </c>
      <c r="I72" s="24">
        <f>IF($A72="","",1)</f>
        <v/>
      </c>
      <c r="J72" s="24">
        <f>IF($A72="","",($H72&gt;0)+($E72="EVET"))</f>
        <v/>
      </c>
    </row>
    <row r="73">
      <c r="F73" s="24">
        <f>IF($A73="","",SUMIF(tblDonem[MalikId],$A73,tblDonem[BorcTutari]))</f>
        <v/>
      </c>
      <c r="G73" s="24">
        <f>IF($A73="","",SUMIF(tblTahsilat[MalikId],$A73,tblTahsilat[OdemeTutari]))</f>
        <v/>
      </c>
      <c r="H73" s="24">
        <f>IF($A73="","",$F73-$G73)</f>
        <v/>
      </c>
      <c r="I73" s="24">
        <f>IF($A73="","",1)</f>
        <v/>
      </c>
      <c r="J73" s="24">
        <f>IF($A73="","",($H73&gt;0)+($E73="EVET"))</f>
        <v/>
      </c>
    </row>
    <row r="74">
      <c r="F74" s="24">
        <f>IF($A74="","",SUMIF(tblDonem[MalikId],$A74,tblDonem[BorcTutari]))</f>
        <v/>
      </c>
      <c r="G74" s="24">
        <f>IF($A74="","",SUMIF(tblTahsilat[MalikId],$A74,tblTahsilat[OdemeTutari]))</f>
        <v/>
      </c>
      <c r="H74" s="24">
        <f>IF($A74="","",$F74-$G74)</f>
        <v/>
      </c>
      <c r="I74" s="24">
        <f>IF($A74="","",1)</f>
        <v/>
      </c>
      <c r="J74" s="24">
        <f>IF($A74="","",($H74&gt;0)+($E74="EVET"))</f>
        <v/>
      </c>
    </row>
    <row r="75">
      <c r="F75" s="24">
        <f>IF($A75="","",SUMIF(tblDonem[MalikId],$A75,tblDonem[BorcTutari]))</f>
        <v/>
      </c>
      <c r="G75" s="24">
        <f>IF($A75="","",SUMIF(tblTahsilat[MalikId],$A75,tblTahsilat[OdemeTutari]))</f>
        <v/>
      </c>
      <c r="H75" s="24">
        <f>IF($A75="","",$F75-$G75)</f>
        <v/>
      </c>
      <c r="I75" s="24">
        <f>IF($A75="","",1)</f>
        <v/>
      </c>
      <c r="J75" s="24">
        <f>IF($A75="","",($H75&gt;0)+($E75="EVET"))</f>
        <v/>
      </c>
    </row>
    <row r="76">
      <c r="F76" s="24">
        <f>IF($A76="","",SUMIF(tblDonem[MalikId],$A76,tblDonem[BorcTutari]))</f>
        <v/>
      </c>
      <c r="G76" s="24">
        <f>IF($A76="","",SUMIF(tblTahsilat[MalikId],$A76,tblTahsilat[OdemeTutari]))</f>
        <v/>
      </c>
      <c r="H76" s="24">
        <f>IF($A76="","",$F76-$G76)</f>
        <v/>
      </c>
      <c r="I76" s="24">
        <f>IF($A76="","",1)</f>
        <v/>
      </c>
      <c r="J76" s="24">
        <f>IF($A76="","",($H76&gt;0)+($E76="EVET"))</f>
        <v/>
      </c>
    </row>
    <row r="77">
      <c r="F77" s="24">
        <f>IF($A77="","",SUMIF(tblDonem[MalikId],$A77,tblDonem[BorcTutari]))</f>
        <v/>
      </c>
      <c r="G77" s="24">
        <f>IF($A77="","",SUMIF(tblTahsilat[MalikId],$A77,tblTahsilat[OdemeTutari]))</f>
        <v/>
      </c>
      <c r="H77" s="24">
        <f>IF($A77="","",$F77-$G77)</f>
        <v/>
      </c>
      <c r="I77" s="24">
        <f>IF($A77="","",1)</f>
        <v/>
      </c>
      <c r="J77" s="24">
        <f>IF($A77="","",($H77&gt;0)+($E77="EVET"))</f>
        <v/>
      </c>
    </row>
    <row r="78">
      <c r="F78" s="24">
        <f>IF($A78="","",SUMIF(tblDonem[MalikId],$A78,tblDonem[BorcTutari]))</f>
        <v/>
      </c>
      <c r="G78" s="24">
        <f>IF($A78="","",SUMIF(tblTahsilat[MalikId],$A78,tblTahsilat[OdemeTutari]))</f>
        <v/>
      </c>
      <c r="H78" s="24">
        <f>IF($A78="","",$F78-$G78)</f>
        <v/>
      </c>
      <c r="I78" s="24">
        <f>IF($A78="","",1)</f>
        <v/>
      </c>
      <c r="J78" s="24">
        <f>IF($A78="","",($H78&gt;0)+($E78="EVET"))</f>
        <v/>
      </c>
    </row>
    <row r="79">
      <c r="F79" s="24">
        <f>IF($A79="","",SUMIF(tblDonem[MalikId],$A79,tblDonem[BorcTutari]))</f>
        <v/>
      </c>
      <c r="G79" s="24">
        <f>IF($A79="","",SUMIF(tblTahsilat[MalikId],$A79,tblTahsilat[OdemeTutari]))</f>
        <v/>
      </c>
      <c r="H79" s="24">
        <f>IF($A79="","",$F79-$G79)</f>
        <v/>
      </c>
      <c r="I79" s="24">
        <f>IF($A79="","",1)</f>
        <v/>
      </c>
      <c r="J79" s="24">
        <f>IF($A79="","",($H79&gt;0)+($E79="EVET"))</f>
        <v/>
      </c>
    </row>
    <row r="80">
      <c r="F80" s="24">
        <f>IF($A80="","",SUMIF(tblDonem[MalikId],$A80,tblDonem[BorcTutari]))</f>
        <v/>
      </c>
      <c r="G80" s="24">
        <f>IF($A80="","",SUMIF(tblTahsilat[MalikId],$A80,tblTahsilat[OdemeTutari]))</f>
        <v/>
      </c>
      <c r="H80" s="24">
        <f>IF($A80="","",$F80-$G80)</f>
        <v/>
      </c>
      <c r="I80" s="24">
        <f>IF($A80="","",1)</f>
        <v/>
      </c>
      <c r="J80" s="24">
        <f>IF($A80="","",($H80&gt;0)+($E80="EVET"))</f>
        <v/>
      </c>
    </row>
    <row r="81">
      <c r="F81" s="24">
        <f>IF($A81="","",SUMIF(tblDonem[MalikId],$A81,tblDonem[BorcTutari]))</f>
        <v/>
      </c>
      <c r="G81" s="24">
        <f>IF($A81="","",SUMIF(tblTahsilat[MalikId],$A81,tblTahsilat[OdemeTutari]))</f>
        <v/>
      </c>
      <c r="H81" s="24">
        <f>IF($A81="","",$F81-$G81)</f>
        <v/>
      </c>
      <c r="I81" s="24">
        <f>IF($A81="","",1)</f>
        <v/>
      </c>
      <c r="J81" s="24">
        <f>IF($A81="","",($H81&gt;0)+($E81="EVET"))</f>
        <v/>
      </c>
    </row>
    <row r="82">
      <c r="F82" s="24">
        <f>IF($A82="","",SUMIF(tblDonem[MalikId],$A82,tblDonem[BorcTutari]))</f>
        <v/>
      </c>
      <c r="G82" s="24">
        <f>IF($A82="","",SUMIF(tblTahsilat[MalikId],$A82,tblTahsilat[OdemeTutari]))</f>
        <v/>
      </c>
      <c r="H82" s="24">
        <f>IF($A82="","",$F82-$G82)</f>
        <v/>
      </c>
      <c r="I82" s="24">
        <f>IF($A82="","",1)</f>
        <v/>
      </c>
      <c r="J82" s="24">
        <f>IF($A82="","",($H82&gt;0)+($E82="EVET"))</f>
        <v/>
      </c>
    </row>
    <row r="83">
      <c r="F83" s="24">
        <f>IF($A83="","",SUMIF(tblDonem[MalikId],$A83,tblDonem[BorcTutari]))</f>
        <v/>
      </c>
      <c r="G83" s="24">
        <f>IF($A83="","",SUMIF(tblTahsilat[MalikId],$A83,tblTahsilat[OdemeTutari]))</f>
        <v/>
      </c>
      <c r="H83" s="24">
        <f>IF($A83="","",$F83-$G83)</f>
        <v/>
      </c>
      <c r="I83" s="24">
        <f>IF($A83="","",1)</f>
        <v/>
      </c>
      <c r="J83" s="24">
        <f>IF($A83="","",($H83&gt;0)+($E83="EVET"))</f>
        <v/>
      </c>
    </row>
    <row r="84">
      <c r="F84" s="24">
        <f>IF($A84="","",SUMIF(tblDonem[MalikId],$A84,tblDonem[BorcTutari]))</f>
        <v/>
      </c>
      <c r="G84" s="24">
        <f>IF($A84="","",SUMIF(tblTahsilat[MalikId],$A84,tblTahsilat[OdemeTutari]))</f>
        <v/>
      </c>
      <c r="H84" s="24">
        <f>IF($A84="","",$F84-$G84)</f>
        <v/>
      </c>
      <c r="I84" s="24">
        <f>IF($A84="","",1)</f>
        <v/>
      </c>
      <c r="J84" s="24">
        <f>IF($A84="","",($H84&gt;0)+($E84="EVET"))</f>
        <v/>
      </c>
    </row>
    <row r="85">
      <c r="F85" s="24">
        <f>IF($A85="","",SUMIF(tblDonem[MalikId],$A85,tblDonem[BorcTutari]))</f>
        <v/>
      </c>
      <c r="G85" s="24">
        <f>IF($A85="","",SUMIF(tblTahsilat[MalikId],$A85,tblTahsilat[OdemeTutari]))</f>
        <v/>
      </c>
      <c r="H85" s="24">
        <f>IF($A85="","",$F85-$G85)</f>
        <v/>
      </c>
      <c r="I85" s="24">
        <f>IF($A85="","",1)</f>
        <v/>
      </c>
      <c r="J85" s="24">
        <f>IF($A85="","",($H85&gt;0)+($E85="EVET"))</f>
        <v/>
      </c>
    </row>
    <row r="86">
      <c r="F86" s="24">
        <f>IF($A86="","",SUMIF(tblDonem[MalikId],$A86,tblDonem[BorcTutari]))</f>
        <v/>
      </c>
      <c r="G86" s="24">
        <f>IF($A86="","",SUMIF(tblTahsilat[MalikId],$A86,tblTahsilat[OdemeTutari]))</f>
        <v/>
      </c>
      <c r="H86" s="24">
        <f>IF($A86="","",$F86-$G86)</f>
        <v/>
      </c>
      <c r="I86" s="24">
        <f>IF($A86="","",1)</f>
        <v/>
      </c>
      <c r="J86" s="24">
        <f>IF($A86="","",($H86&gt;0)+($E86="EVET"))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E6:E10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D6:D1005" showDropDown="0" showInputMessage="1" showErrorMessage="1" allowBlank="1" errorTitle="Pay" error="0 veya üzeri" promptTitle="Pay" prompt="Pay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4.5" customWidth="1" min="4" max="4"/>
    <col width="23.5" customWidth="1" min="5" max="5"/>
    <col width="14.5" customWidth="1" min="6" max="6"/>
    <col width="14.5" customWidth="1" min="7" max="7"/>
    <col width="13.5" customWidth="1" min="8" max="8"/>
    <col width="14.5" customWidth="1" min="9" max="9"/>
    <col width="13.5" customWidth="1" min="10" max="10"/>
    <col width="13" customWidth="1" min="11" max="11"/>
  </cols>
  <sheetData>
    <row r="1" ht="32" customHeight="1">
      <c r="A1" s="175" t="inlineStr">
        <is>
          <t>DONEMLER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</row>
    <row r="2"/>
    <row r="3" ht="22" customHeight="1">
      <c r="A3" s="194" t="inlineStr">
        <is>
          <t>Dönem borçlandırma motoru — aidat + gecikme zammı tabanı</t>
        </is>
      </c>
    </row>
    <row r="4"/>
    <row r="5" ht="30" customHeight="1">
      <c r="A5" s="22" t="inlineStr">
        <is>
          <t>BorcId</t>
        </is>
      </c>
      <c r="B5" s="22" t="inlineStr">
        <is>
          <t>MalikId</t>
        </is>
      </c>
      <c r="C5" s="22" t="inlineStr">
        <is>
          <t>Donem</t>
        </is>
      </c>
      <c r="D5" s="22" t="inlineStr">
        <is>
          <t>BorcTutari</t>
        </is>
      </c>
      <c r="E5" s="22" t="inlineStr">
        <is>
          <t>VadeTarihi</t>
        </is>
      </c>
      <c r="F5" s="22" t="inlineStr">
        <is>
          <t>HamAnahtar</t>
        </is>
      </c>
      <c r="G5" s="22" t="inlineStr">
        <is>
          <t>GecikmeGun</t>
        </is>
      </c>
      <c r="H5" s="22" t="inlineStr">
        <is>
          <t>ZamTutari</t>
        </is>
      </c>
      <c r="I5" s="22" t="inlineStr">
        <is>
          <t>ToplamBorc</t>
        </is>
      </c>
      <c r="J5" s="22" t="inlineStr">
        <is>
          <t>MotorAdim</t>
        </is>
      </c>
    </row>
    <row r="6">
      <c r="A6" s="23" t="inlineStr">
        <is>
          <t>BRC-001</t>
        </is>
      </c>
      <c r="B6" s="23" t="inlineStr">
        <is>
          <t>MLK-001</t>
        </is>
      </c>
      <c r="C6" s="23" t="inlineStr">
        <is>
          <t>2026-07</t>
        </is>
      </c>
      <c r="D6" s="18" t="n">
        <v>2700</v>
      </c>
      <c r="E6" s="61" t="n">
        <v>46213</v>
      </c>
      <c r="F6" s="24">
        <f>IF($B6="","",UPPER(TRIM(SUBSTITUTE($B6&amp;$C6," ",""))))</f>
        <v/>
      </c>
      <c r="G6" s="24">
        <f>IF($A6="","",IF($E6="","",raporTarihi-$E6))</f>
        <v/>
      </c>
      <c r="H6" s="24">
        <f>IF($A6="","",IF($G6&gt;say_icapEsikGun,ROUND($D6*say_gecikmeZammi,2),0))</f>
        <v/>
      </c>
      <c r="I6" s="24">
        <f>IF($A6="","",$D6+$H6)</f>
        <v/>
      </c>
      <c r="J6" s="24">
        <f>IF($A6="","",($H6&gt;0)+1)</f>
        <v/>
      </c>
    </row>
    <row r="7">
      <c r="A7" s="23" t="inlineStr">
        <is>
          <t>BRC-002</t>
        </is>
      </c>
      <c r="B7" s="23" t="inlineStr">
        <is>
          <t>MLK-002</t>
        </is>
      </c>
      <c r="C7" s="23" t="inlineStr">
        <is>
          <t>2026-07</t>
        </is>
      </c>
      <c r="D7" s="18" t="n">
        <v>2900</v>
      </c>
      <c r="E7" s="61" t="n">
        <v>46213</v>
      </c>
      <c r="F7" s="24">
        <f>IF($B7="","",UPPER(TRIM(SUBSTITUTE($B7&amp;$C7," ",""))))</f>
        <v/>
      </c>
      <c r="G7" s="24">
        <f>IF($A7="","",IF($E7="","",raporTarihi-$E7))</f>
        <v/>
      </c>
      <c r="H7" s="24">
        <f>IF($A7="","",IF($G7&gt;say_icapEsikGun,ROUND($D7*say_gecikmeZammi,2),0))</f>
        <v/>
      </c>
      <c r="I7" s="24">
        <f>IF($A7="","",$D7+$H7)</f>
        <v/>
      </c>
      <c r="J7" s="24">
        <f>IF($A7="","",($H7&gt;0)+1)</f>
        <v/>
      </c>
    </row>
    <row r="8">
      <c r="A8" s="23" t="inlineStr">
        <is>
          <t>BRC-003</t>
        </is>
      </c>
      <c r="B8" s="23" t="inlineStr">
        <is>
          <t>MLK-003</t>
        </is>
      </c>
      <c r="C8" s="23" t="inlineStr">
        <is>
          <t>2026-07</t>
        </is>
      </c>
      <c r="D8" s="18" t="n">
        <v>2700</v>
      </c>
      <c r="E8" s="61" t="n">
        <v>46213</v>
      </c>
      <c r="F8" s="24">
        <f>IF($B8="","",UPPER(TRIM(SUBSTITUTE($B8&amp;$C8," ",""))))</f>
        <v/>
      </c>
      <c r="G8" s="24">
        <f>IF($A8="","",IF($E8="","",raporTarihi-$E8))</f>
        <v/>
      </c>
      <c r="H8" s="24">
        <f>IF($A8="","",IF($G8&gt;say_icapEsikGun,ROUND($D8*say_gecikmeZammi,2),0))</f>
        <v/>
      </c>
      <c r="I8" s="24">
        <f>IF($A8="","",$D8+$H8)</f>
        <v/>
      </c>
      <c r="J8" s="24">
        <f>IF($A8="","",($H8&gt;0)+1)</f>
        <v/>
      </c>
    </row>
    <row r="9">
      <c r="A9" s="23" t="inlineStr">
        <is>
          <t>BRC-004</t>
        </is>
      </c>
      <c r="B9" s="23" t="inlineStr">
        <is>
          <t>MLK-004</t>
        </is>
      </c>
      <c r="C9" s="23" t="inlineStr">
        <is>
          <t>2026-07</t>
        </is>
      </c>
      <c r="D9" s="18" t="n">
        <v>2700</v>
      </c>
      <c r="E9" s="61" t="n">
        <v>46213</v>
      </c>
      <c r="F9" s="24">
        <f>IF($B9="","",UPPER(TRIM(SUBSTITUTE($B9&amp;$C9," ",""))))</f>
        <v/>
      </c>
      <c r="G9" s="24">
        <f>IF($A9="","",IF($E9="","",raporTarihi-$E9))</f>
        <v/>
      </c>
      <c r="H9" s="24">
        <f>IF($A9="","",IF($G9&gt;say_icapEsikGun,ROUND($D9*say_gecikmeZammi,2),0))</f>
        <v/>
      </c>
      <c r="I9" s="24">
        <f>IF($A9="","",$D9+$H9)</f>
        <v/>
      </c>
      <c r="J9" s="24">
        <f>IF($A9="","",($H9&gt;0)+1)</f>
        <v/>
      </c>
    </row>
    <row r="10">
      <c r="A10" s="23" t="inlineStr">
        <is>
          <t>BRC-005</t>
        </is>
      </c>
      <c r="B10" s="23" t="inlineStr">
        <is>
          <t>MLK-005</t>
        </is>
      </c>
      <c r="C10" s="23" t="inlineStr">
        <is>
          <t>2026-07</t>
        </is>
      </c>
      <c r="D10" s="18" t="n">
        <v>2900</v>
      </c>
      <c r="E10" s="61" t="n">
        <v>46213</v>
      </c>
      <c r="F10" s="24">
        <f>IF($B10="","",UPPER(TRIM(SUBSTITUTE($B10&amp;$C10," ",""))))</f>
        <v/>
      </c>
      <c r="G10" s="24">
        <f>IF($A10="","",IF($E10="","",raporTarihi-$E10))</f>
        <v/>
      </c>
      <c r="H10" s="24">
        <f>IF($A10="","",IF($G10&gt;say_icapEsikGun,ROUND($D10*say_gecikmeZammi,2),0))</f>
        <v/>
      </c>
      <c r="I10" s="24">
        <f>IF($A10="","",$D10+$H10)</f>
        <v/>
      </c>
      <c r="J10" s="24">
        <f>IF($A10="","",($H10&gt;0)+1)</f>
        <v/>
      </c>
    </row>
    <row r="11">
      <c r="A11" s="23" t="inlineStr">
        <is>
          <t>BRC-006</t>
        </is>
      </c>
      <c r="B11" s="23" t="inlineStr">
        <is>
          <t>MLK-006</t>
        </is>
      </c>
      <c r="C11" s="23" t="inlineStr">
        <is>
          <t>2026-07</t>
        </is>
      </c>
      <c r="D11" s="18" t="n">
        <v>2500</v>
      </c>
      <c r="E11" s="61" t="n">
        <v>46213</v>
      </c>
      <c r="F11" s="24">
        <f>IF($B11="","",UPPER(TRIM(SUBSTITUTE($B11&amp;$C11," ",""))))</f>
        <v/>
      </c>
      <c r="G11" s="24">
        <f>IF($A11="","",IF($E11="","",raporTarihi-$E11))</f>
        <v/>
      </c>
      <c r="H11" s="24">
        <f>IF($A11="","",IF($G11&gt;say_icapEsikGun,ROUND($D11*say_gecikmeZammi,2),0))</f>
        <v/>
      </c>
      <c r="I11" s="24">
        <f>IF($A11="","",$D11+$H11)</f>
        <v/>
      </c>
      <c r="J11" s="24">
        <f>IF($A11="","",($H11&gt;0)+1)</f>
        <v/>
      </c>
    </row>
    <row r="12">
      <c r="A12" s="23" t="inlineStr">
        <is>
          <t>BRC-007</t>
        </is>
      </c>
      <c r="B12" s="23" t="inlineStr">
        <is>
          <t>MLK-007</t>
        </is>
      </c>
      <c r="C12" s="23" t="inlineStr">
        <is>
          <t>2026-07</t>
        </is>
      </c>
      <c r="D12" s="18" t="n">
        <v>2700</v>
      </c>
      <c r="E12" s="61" t="n">
        <v>46213</v>
      </c>
      <c r="F12" s="24">
        <f>IF($B12="","",UPPER(TRIM(SUBSTITUTE($B12&amp;$C12," ",""))))</f>
        <v/>
      </c>
      <c r="G12" s="24">
        <f>IF($A12="","",IF($E12="","",raporTarihi-$E12))</f>
        <v/>
      </c>
      <c r="H12" s="24">
        <f>IF($A12="","",IF($G12&gt;say_icapEsikGun,ROUND($D12*say_gecikmeZammi,2),0))</f>
        <v/>
      </c>
      <c r="I12" s="24">
        <f>IF($A12="","",$D12+$H12)</f>
        <v/>
      </c>
      <c r="J12" s="24">
        <f>IF($A12="","",($H12&gt;0)+1)</f>
        <v/>
      </c>
    </row>
    <row r="13">
      <c r="A13" s="23" t="inlineStr">
        <is>
          <t>BRC-008</t>
        </is>
      </c>
      <c r="B13" s="23" t="inlineStr">
        <is>
          <t>MLK-008</t>
        </is>
      </c>
      <c r="C13" s="23" t="inlineStr">
        <is>
          <t>2026-07</t>
        </is>
      </c>
      <c r="D13" s="18" t="n">
        <v>2900</v>
      </c>
      <c r="E13" s="61" t="n">
        <v>46213</v>
      </c>
      <c r="F13" s="24">
        <f>IF($B13="","",UPPER(TRIM(SUBSTITUTE($B13&amp;$C13," ",""))))</f>
        <v/>
      </c>
      <c r="G13" s="24">
        <f>IF($A13="","",IF($E13="","",raporTarihi-$E13))</f>
        <v/>
      </c>
      <c r="H13" s="24">
        <f>IF($A13="","",IF($G13&gt;say_icapEsikGun,ROUND($D13*say_gecikmeZammi,2),0))</f>
        <v/>
      </c>
      <c r="I13" s="24">
        <f>IF($A13="","",$D13+$H13)</f>
        <v/>
      </c>
      <c r="J13" s="24">
        <f>IF($A13="","",($H13&gt;0)+1)</f>
        <v/>
      </c>
    </row>
    <row r="14">
      <c r="A14" s="23" t="inlineStr">
        <is>
          <t>BRC-009</t>
        </is>
      </c>
      <c r="B14" s="23" t="inlineStr">
        <is>
          <t>MLK-009</t>
        </is>
      </c>
      <c r="C14" s="23" t="inlineStr">
        <is>
          <t>2026-07</t>
        </is>
      </c>
      <c r="D14" s="18" t="n">
        <v>2500</v>
      </c>
      <c r="E14" s="61" t="n">
        <v>46213</v>
      </c>
      <c r="F14" s="24">
        <f>IF($B14="","",UPPER(TRIM(SUBSTITUTE($B14&amp;$C14," ",""))))</f>
        <v/>
      </c>
      <c r="G14" s="24">
        <f>IF($A14="","",IF($E14="","",raporTarihi-$E14))</f>
        <v/>
      </c>
      <c r="H14" s="24">
        <f>IF($A14="","",IF($G14&gt;say_icapEsikGun,ROUND($D14*say_gecikmeZammi,2),0))</f>
        <v/>
      </c>
      <c r="I14" s="24">
        <f>IF($A14="","",$D14+$H14)</f>
        <v/>
      </c>
      <c r="J14" s="24">
        <f>IF($A14="","",($H14&gt;0)+1)</f>
        <v/>
      </c>
    </row>
    <row r="15">
      <c r="A15" s="23" t="inlineStr">
        <is>
          <t>BRC-010</t>
        </is>
      </c>
      <c r="B15" s="23" t="inlineStr">
        <is>
          <t>MLK-010</t>
        </is>
      </c>
      <c r="C15" s="23" t="inlineStr">
        <is>
          <t>2026-07</t>
        </is>
      </c>
      <c r="D15" s="18" t="n">
        <v>2700</v>
      </c>
      <c r="E15" s="61" t="n">
        <v>46213</v>
      </c>
      <c r="F15" s="24">
        <f>IF($B15="","",UPPER(TRIM(SUBSTITUTE($B15&amp;$C15," ",""))))</f>
        <v/>
      </c>
      <c r="G15" s="24">
        <f>IF($A15="","",IF($E15="","",raporTarihi-$E15))</f>
        <v/>
      </c>
      <c r="H15" s="24">
        <f>IF($A15="","",IF($G15&gt;say_icapEsikGun,ROUND($D15*say_gecikmeZammi,2),0))</f>
        <v/>
      </c>
      <c r="I15" s="24">
        <f>IF($A15="","",$D15+$H15)</f>
        <v/>
      </c>
      <c r="J15" s="24">
        <f>IF($A15="","",($H15&gt;0)+1)</f>
        <v/>
      </c>
    </row>
    <row r="16">
      <c r="A16" s="23" t="inlineStr">
        <is>
          <t>BRC-011</t>
        </is>
      </c>
      <c r="B16" s="23" t="inlineStr">
        <is>
          <t>MLK-001</t>
        </is>
      </c>
      <c r="C16" s="23" t="inlineStr">
        <is>
          <t>2026-08</t>
        </is>
      </c>
      <c r="D16" s="18" t="n">
        <v>2950</v>
      </c>
      <c r="E16" s="61" t="n">
        <v>46244</v>
      </c>
      <c r="F16" s="24">
        <f>IF($B16="","",UPPER(TRIM(SUBSTITUTE($B16&amp;$C16," ",""))))</f>
        <v/>
      </c>
      <c r="G16" s="24">
        <f>IF($A16="","",IF($E16="","",raporTarihi-$E16))</f>
        <v/>
      </c>
      <c r="H16" s="24">
        <f>IF($A16="","",IF($G16&gt;say_icapEsikGun,ROUND($D16*say_gecikmeZammi,2),0))</f>
        <v/>
      </c>
      <c r="I16" s="24">
        <f>IF($A16="","",$D16+$H16)</f>
        <v/>
      </c>
      <c r="J16" s="24">
        <f>IF($A16="","",($H16&gt;0)+1)</f>
        <v/>
      </c>
    </row>
    <row r="17">
      <c r="A17" s="23" t="inlineStr">
        <is>
          <t>BRC-012</t>
        </is>
      </c>
      <c r="B17" s="23" t="inlineStr">
        <is>
          <t>MLK-002</t>
        </is>
      </c>
      <c r="C17" s="23" t="inlineStr">
        <is>
          <t>2026-08</t>
        </is>
      </c>
      <c r="D17" s="18" t="n">
        <v>2500</v>
      </c>
      <c r="E17" s="61" t="n">
        <v>46244</v>
      </c>
      <c r="F17" s="24">
        <f>IF($B17="","",UPPER(TRIM(SUBSTITUTE($B17&amp;$C17," ",""))))</f>
        <v/>
      </c>
      <c r="G17" s="24">
        <f>IF($A17="","",IF($E17="","",raporTarihi-$E17))</f>
        <v/>
      </c>
      <c r="H17" s="24">
        <f>IF($A17="","",IF($G17&gt;say_icapEsikGun,ROUND($D17*say_gecikmeZammi,2),0))</f>
        <v/>
      </c>
      <c r="I17" s="24">
        <f>IF($A17="","",$D17+$H17)</f>
        <v/>
      </c>
      <c r="J17" s="24">
        <f>IF($A17="","",($H17&gt;0)+1)</f>
        <v/>
      </c>
    </row>
    <row r="18">
      <c r="A18" s="23" t="inlineStr">
        <is>
          <t>BRC-013</t>
        </is>
      </c>
      <c r="B18" s="23" t="inlineStr">
        <is>
          <t>MLK-003</t>
        </is>
      </c>
      <c r="C18" s="23" t="inlineStr">
        <is>
          <t>2026-08</t>
        </is>
      </c>
      <c r="D18" s="18" t="n">
        <v>2650</v>
      </c>
      <c r="E18" s="61" t="n">
        <v>46244</v>
      </c>
      <c r="F18" s="24">
        <f>IF($B18="","",UPPER(TRIM(SUBSTITUTE($B18&amp;$C18," ",""))))</f>
        <v/>
      </c>
      <c r="G18" s="24">
        <f>IF($A18="","",IF($E18="","",raporTarihi-$E18))</f>
        <v/>
      </c>
      <c r="H18" s="24">
        <f>IF($A18="","",IF($G18&gt;say_icapEsikGun,ROUND($D18*say_gecikmeZammi,2),0))</f>
        <v/>
      </c>
      <c r="I18" s="24">
        <f>IF($A18="","",$D18+$H18)</f>
        <v/>
      </c>
      <c r="J18" s="24">
        <f>IF($A18="","",($H18&gt;0)+1)</f>
        <v/>
      </c>
    </row>
    <row r="19">
      <c r="A19" s="23" t="inlineStr">
        <is>
          <t>BRC-014</t>
        </is>
      </c>
      <c r="B19" s="23" t="inlineStr">
        <is>
          <t>MLK-004</t>
        </is>
      </c>
      <c r="C19" s="23" t="inlineStr">
        <is>
          <t>2026-08</t>
        </is>
      </c>
      <c r="D19" s="18" t="n">
        <v>2800</v>
      </c>
      <c r="E19" s="61" t="n">
        <v>46244</v>
      </c>
      <c r="F19" s="24">
        <f>IF($B19="","",UPPER(TRIM(SUBSTITUTE($B19&amp;$C19," ",""))))</f>
        <v/>
      </c>
      <c r="G19" s="24">
        <f>IF($A19="","",IF($E19="","",raporTarihi-$E19))</f>
        <v/>
      </c>
      <c r="H19" s="24">
        <f>IF($A19="","",IF($G19&gt;say_icapEsikGun,ROUND($D19*say_gecikmeZammi,2),0))</f>
        <v/>
      </c>
      <c r="I19" s="24">
        <f>IF($A19="","",$D19+$H19)</f>
        <v/>
      </c>
      <c r="J19" s="24">
        <f>IF($A19="","",($H19&gt;0)+1)</f>
        <v/>
      </c>
    </row>
    <row r="20">
      <c r="A20" s="23" t="inlineStr">
        <is>
          <t>BRC-015</t>
        </is>
      </c>
      <c r="B20" s="23" t="inlineStr">
        <is>
          <t>MLK-005</t>
        </is>
      </c>
      <c r="C20" s="23" t="inlineStr">
        <is>
          <t>2026-08</t>
        </is>
      </c>
      <c r="D20" s="18" t="n">
        <v>2950</v>
      </c>
      <c r="E20" s="61" t="n">
        <v>46244</v>
      </c>
      <c r="F20" s="24">
        <f>IF($B20="","",UPPER(TRIM(SUBSTITUTE($B20&amp;$C20," ",""))))</f>
        <v/>
      </c>
      <c r="G20" s="24">
        <f>IF($A20="","",IF($E20="","",raporTarihi-$E20))</f>
        <v/>
      </c>
      <c r="H20" s="24">
        <f>IF($A20="","",IF($G20&gt;say_icapEsikGun,ROUND($D20*say_gecikmeZammi,2),0))</f>
        <v/>
      </c>
      <c r="I20" s="24">
        <f>IF($A20="","",$D20+$H20)</f>
        <v/>
      </c>
      <c r="J20" s="24">
        <f>IF($A20="","",($H20&gt;0)+1)</f>
        <v/>
      </c>
    </row>
    <row r="21">
      <c r="A21" s="23" t="inlineStr">
        <is>
          <t>BRC-016</t>
        </is>
      </c>
      <c r="B21" s="23" t="inlineStr">
        <is>
          <t>MLK-006</t>
        </is>
      </c>
      <c r="C21" s="23" t="inlineStr">
        <is>
          <t>2026-08</t>
        </is>
      </c>
      <c r="D21" s="18" t="n">
        <v>2500</v>
      </c>
      <c r="E21" s="61" t="n">
        <v>46244</v>
      </c>
      <c r="F21" s="24">
        <f>IF($B21="","",UPPER(TRIM(SUBSTITUTE($B21&amp;$C21," ",""))))</f>
        <v/>
      </c>
      <c r="G21" s="24">
        <f>IF($A21="","",IF($E21="","",raporTarihi-$E21))</f>
        <v/>
      </c>
      <c r="H21" s="24">
        <f>IF($A21="","",IF($G21&gt;say_icapEsikGun,ROUND($D21*say_gecikmeZammi,2),0))</f>
        <v/>
      </c>
      <c r="I21" s="24">
        <f>IF($A21="","",$D21+$H21)</f>
        <v/>
      </c>
      <c r="J21" s="24">
        <f>IF($A21="","",($H21&gt;0)+1)</f>
        <v/>
      </c>
    </row>
    <row r="22">
      <c r="A22" s="23" t="inlineStr">
        <is>
          <t>BRC-017</t>
        </is>
      </c>
      <c r="B22" s="23" t="inlineStr">
        <is>
          <t>MLK-007</t>
        </is>
      </c>
      <c r="C22" s="23" t="inlineStr">
        <is>
          <t>2026-08</t>
        </is>
      </c>
      <c r="D22" s="18" t="n">
        <v>2650</v>
      </c>
      <c r="E22" s="61" t="n">
        <v>46244</v>
      </c>
      <c r="F22" s="24">
        <f>IF($B22="","",UPPER(TRIM(SUBSTITUTE($B22&amp;$C22," ",""))))</f>
        <v/>
      </c>
      <c r="G22" s="24">
        <f>IF($A22="","",IF($E22="","",raporTarihi-$E22))</f>
        <v/>
      </c>
      <c r="H22" s="24">
        <f>IF($A22="","",IF($G22&gt;say_icapEsikGun,ROUND($D22*say_gecikmeZammi,2),0))</f>
        <v/>
      </c>
      <c r="I22" s="24">
        <f>IF($A22="","",$D22+$H22)</f>
        <v/>
      </c>
      <c r="J22" s="24">
        <f>IF($A22="","",($H22&gt;0)+1)</f>
        <v/>
      </c>
    </row>
    <row r="23">
      <c r="A23" s="23" t="inlineStr">
        <is>
          <t>BRC-018</t>
        </is>
      </c>
      <c r="B23" s="23" t="inlineStr">
        <is>
          <t>MLK-008</t>
        </is>
      </c>
      <c r="C23" s="23" t="inlineStr">
        <is>
          <t>2026-08</t>
        </is>
      </c>
      <c r="D23" s="18" t="n">
        <v>2800</v>
      </c>
      <c r="E23" s="61" t="n">
        <v>46244</v>
      </c>
      <c r="F23" s="24">
        <f>IF($B23="","",UPPER(TRIM(SUBSTITUTE($B23&amp;$C23," ",""))))</f>
        <v/>
      </c>
      <c r="G23" s="24">
        <f>IF($A23="","",IF($E23="","",raporTarihi-$E23))</f>
        <v/>
      </c>
      <c r="H23" s="24">
        <f>IF($A23="","",IF($G23&gt;say_icapEsikGun,ROUND($D23*say_gecikmeZammi,2),0))</f>
        <v/>
      </c>
      <c r="I23" s="24">
        <f>IF($A23="","",$D23+$H23)</f>
        <v/>
      </c>
      <c r="J23" s="24">
        <f>IF($A23="","",($H23&gt;0)+1)</f>
        <v/>
      </c>
    </row>
    <row r="24">
      <c r="A24" s="23" t="inlineStr">
        <is>
          <t>BRC-025</t>
        </is>
      </c>
      <c r="B24" s="23" t="inlineStr">
        <is>
          <t>MLK-011</t>
        </is>
      </c>
      <c r="C24" s="23" t="inlineStr">
        <is>
          <t>2026-08</t>
        </is>
      </c>
      <c r="D24" s="18" t="n">
        <v>2600</v>
      </c>
      <c r="E24" s="61" t="n">
        <v>46244</v>
      </c>
      <c r="F24" s="24">
        <f>IF($B24="","",UPPER(TRIM(SUBSTITUTE($B24&amp;$C24," ",""))))</f>
        <v/>
      </c>
      <c r="G24" s="24">
        <f>IF($A24="","",IF($E24="","",raporTarihi-$E24))</f>
        <v/>
      </c>
      <c r="H24" s="24">
        <f>IF($A24="","",IF($G24&gt;say_icapEsikGun,ROUND($D24*say_gecikmeZammi,2),0))</f>
        <v/>
      </c>
      <c r="I24" s="24">
        <f>IF($A24="","",$D24+$H24)</f>
        <v/>
      </c>
      <c r="J24" s="24">
        <f>IF($A24="","",($H24&gt;0)+1)</f>
        <v/>
      </c>
    </row>
    <row r="25">
      <c r="A25" s="23" t="inlineStr">
        <is>
          <t>BRC-026</t>
        </is>
      </c>
      <c r="B25" s="23" t="inlineStr">
        <is>
          <t>MLK-012</t>
        </is>
      </c>
      <c r="C25" s="23" t="inlineStr">
        <is>
          <t>2026-08</t>
        </is>
      </c>
      <c r="D25" s="18" t="n">
        <v>2550</v>
      </c>
      <c r="E25" s="61" t="n">
        <v>46244</v>
      </c>
      <c r="F25" s="24">
        <f>IF($B25="","",UPPER(TRIM(SUBSTITUTE($B25&amp;$C25," ",""))))</f>
        <v/>
      </c>
      <c r="G25" s="24">
        <f>IF($A25="","",IF($E25="","",raporTarihi-$E25))</f>
        <v/>
      </c>
      <c r="H25" s="24">
        <f>IF($A25="","",IF($G25&gt;say_icapEsikGun,ROUND($D25*say_gecikmeZammi,2),0))</f>
        <v/>
      </c>
      <c r="I25" s="24">
        <f>IF($A25="","",$D25+$H25)</f>
        <v/>
      </c>
      <c r="J25" s="24">
        <f>IF($A25="","",($H25&gt;0)+1)</f>
        <v/>
      </c>
    </row>
    <row r="26">
      <c r="F26" s="24">
        <f>IF($B26="","",UPPER(TRIM(SUBSTITUTE($B26&amp;$C26," ",""))))</f>
        <v/>
      </c>
      <c r="G26" s="24">
        <f>IF($A26="","",IF($E26="","",raporTarihi-$E26))</f>
        <v/>
      </c>
      <c r="H26" s="24">
        <f>IF($A26="","",IF($G26&gt;say_icapEsikGun,ROUND($D26*say_gecikmeZammi,2),0))</f>
        <v/>
      </c>
      <c r="I26" s="24">
        <f>IF($A26="","",$D26+$H26)</f>
        <v/>
      </c>
      <c r="J26" s="24">
        <f>IF($A26="","",($H26&gt;0)+1)</f>
        <v/>
      </c>
    </row>
    <row r="27">
      <c r="F27" s="24">
        <f>IF($B27="","",UPPER(TRIM(SUBSTITUTE($B27&amp;$C27," ",""))))</f>
        <v/>
      </c>
      <c r="G27" s="24">
        <f>IF($A27="","",IF($E27="","",raporTarihi-$E27))</f>
        <v/>
      </c>
      <c r="H27" s="24">
        <f>IF($A27="","",IF($G27&gt;say_icapEsikGun,ROUND($D27*say_gecikmeZammi,2),0))</f>
        <v/>
      </c>
      <c r="I27" s="24">
        <f>IF($A27="","",$D27+$H27)</f>
        <v/>
      </c>
      <c r="J27" s="24">
        <f>IF($A27="","",($H27&gt;0)+1)</f>
        <v/>
      </c>
    </row>
    <row r="28">
      <c r="F28" s="24">
        <f>IF($B28="","",UPPER(TRIM(SUBSTITUTE($B28&amp;$C28," ",""))))</f>
        <v/>
      </c>
      <c r="G28" s="24">
        <f>IF($A28="","",IF($E28="","",raporTarihi-$E28))</f>
        <v/>
      </c>
      <c r="H28" s="24">
        <f>IF($A28="","",IF($G28&gt;say_icapEsikGun,ROUND($D28*say_gecikmeZammi,2),0))</f>
        <v/>
      </c>
      <c r="I28" s="24">
        <f>IF($A28="","",$D28+$H28)</f>
        <v/>
      </c>
      <c r="J28" s="24">
        <f>IF($A28="","",($H28&gt;0)+1)</f>
        <v/>
      </c>
    </row>
    <row r="29">
      <c r="F29" s="24">
        <f>IF($B29="","",UPPER(TRIM(SUBSTITUTE($B29&amp;$C29," ",""))))</f>
        <v/>
      </c>
      <c r="G29" s="24">
        <f>IF($A29="","",IF($E29="","",raporTarihi-$E29))</f>
        <v/>
      </c>
      <c r="H29" s="24">
        <f>IF($A29="","",IF($G29&gt;say_icapEsikGun,ROUND($D29*say_gecikmeZammi,2),0))</f>
        <v/>
      </c>
      <c r="I29" s="24">
        <f>IF($A29="","",$D29+$H29)</f>
        <v/>
      </c>
      <c r="J29" s="24">
        <f>IF($A29="","",($H29&gt;0)+1)</f>
        <v/>
      </c>
    </row>
    <row r="30">
      <c r="F30" s="24">
        <f>IF($B30="","",UPPER(TRIM(SUBSTITUTE($B30&amp;$C30," ",""))))</f>
        <v/>
      </c>
      <c r="G30" s="24">
        <f>IF($A30="","",IF($E30="","",raporTarihi-$E30))</f>
        <v/>
      </c>
      <c r="H30" s="24">
        <f>IF($A30="","",IF($G30&gt;say_icapEsikGun,ROUND($D30*say_gecikmeZammi,2),0))</f>
        <v/>
      </c>
      <c r="I30" s="24">
        <f>IF($A30="","",$D30+$H30)</f>
        <v/>
      </c>
      <c r="J30" s="24">
        <f>IF($A30="","",($H30&gt;0)+1)</f>
        <v/>
      </c>
    </row>
    <row r="31">
      <c r="F31" s="24">
        <f>IF($B31="","",UPPER(TRIM(SUBSTITUTE($B31&amp;$C31," ",""))))</f>
        <v/>
      </c>
      <c r="G31" s="24">
        <f>IF($A31="","",IF($E31="","",raporTarihi-$E31))</f>
        <v/>
      </c>
      <c r="H31" s="24">
        <f>IF($A31="","",IF($G31&gt;say_icapEsikGun,ROUND($D31*say_gecikmeZammi,2),0))</f>
        <v/>
      </c>
      <c r="I31" s="24">
        <f>IF($A31="","",$D31+$H31)</f>
        <v/>
      </c>
      <c r="J31" s="24">
        <f>IF($A31="","",($H31&gt;0)+1)</f>
        <v/>
      </c>
    </row>
    <row r="32">
      <c r="F32" s="24">
        <f>IF($B32="","",UPPER(TRIM(SUBSTITUTE($B32&amp;$C32," ",""))))</f>
        <v/>
      </c>
      <c r="G32" s="24">
        <f>IF($A32="","",IF($E32="","",raporTarihi-$E32))</f>
        <v/>
      </c>
      <c r="H32" s="24">
        <f>IF($A32="","",IF($G32&gt;say_icapEsikGun,ROUND($D32*say_gecikmeZammi,2),0))</f>
        <v/>
      </c>
      <c r="I32" s="24">
        <f>IF($A32="","",$D32+$H32)</f>
        <v/>
      </c>
      <c r="J32" s="24">
        <f>IF($A32="","",($H32&gt;0)+1)</f>
        <v/>
      </c>
    </row>
    <row r="33">
      <c r="F33" s="24">
        <f>IF($B33="","",UPPER(TRIM(SUBSTITUTE($B33&amp;$C33," ",""))))</f>
        <v/>
      </c>
      <c r="G33" s="24">
        <f>IF($A33="","",IF($E33="","",raporTarihi-$E33))</f>
        <v/>
      </c>
      <c r="H33" s="24">
        <f>IF($A33="","",IF($G33&gt;say_icapEsikGun,ROUND($D33*say_gecikmeZammi,2),0))</f>
        <v/>
      </c>
      <c r="I33" s="24">
        <f>IF($A33="","",$D33+$H33)</f>
        <v/>
      </c>
      <c r="J33" s="24">
        <f>IF($A33="","",($H33&gt;0)+1)</f>
        <v/>
      </c>
    </row>
    <row r="34">
      <c r="F34" s="24">
        <f>IF($B34="","",UPPER(TRIM(SUBSTITUTE($B34&amp;$C34," ",""))))</f>
        <v/>
      </c>
      <c r="G34" s="24">
        <f>IF($A34="","",IF($E34="","",raporTarihi-$E34))</f>
        <v/>
      </c>
      <c r="H34" s="24">
        <f>IF($A34="","",IF($G34&gt;say_icapEsikGun,ROUND($D34*say_gecikmeZammi,2),0))</f>
        <v/>
      </c>
      <c r="I34" s="24">
        <f>IF($A34="","",$D34+$H34)</f>
        <v/>
      </c>
      <c r="J34" s="24">
        <f>IF($A34="","",($H34&gt;0)+1)</f>
        <v/>
      </c>
    </row>
    <row r="35">
      <c r="F35" s="24">
        <f>IF($B35="","",UPPER(TRIM(SUBSTITUTE($B35&amp;$C35," ",""))))</f>
        <v/>
      </c>
      <c r="G35" s="24">
        <f>IF($A35="","",IF($E35="","",raporTarihi-$E35))</f>
        <v/>
      </c>
      <c r="H35" s="24">
        <f>IF($A35="","",IF($G35&gt;say_icapEsikGun,ROUND($D35*say_gecikmeZammi,2),0))</f>
        <v/>
      </c>
      <c r="I35" s="24">
        <f>IF($A35="","",$D35+$H35)</f>
        <v/>
      </c>
      <c r="J35" s="24">
        <f>IF($A35="","",($H35&gt;0)+1)</f>
        <v/>
      </c>
    </row>
    <row r="36">
      <c r="F36" s="24">
        <f>IF($B36="","",UPPER(TRIM(SUBSTITUTE($B36&amp;$C36," ",""))))</f>
        <v/>
      </c>
      <c r="G36" s="24">
        <f>IF($A36="","",IF($E36="","",raporTarihi-$E36))</f>
        <v/>
      </c>
      <c r="H36" s="24">
        <f>IF($A36="","",IF($G36&gt;say_icapEsikGun,ROUND($D36*say_gecikmeZammi,2),0))</f>
        <v/>
      </c>
      <c r="I36" s="24">
        <f>IF($A36="","",$D36+$H36)</f>
        <v/>
      </c>
      <c r="J36" s="24">
        <f>IF($A36="","",($H36&gt;0)+1)</f>
        <v/>
      </c>
    </row>
    <row r="37">
      <c r="F37" s="24">
        <f>IF($B37="","",UPPER(TRIM(SUBSTITUTE($B37&amp;$C37," ",""))))</f>
        <v/>
      </c>
      <c r="G37" s="24">
        <f>IF($A37="","",IF($E37="","",raporTarihi-$E37))</f>
        <v/>
      </c>
      <c r="H37" s="24">
        <f>IF($A37="","",IF($G37&gt;say_icapEsikGun,ROUND($D37*say_gecikmeZammi,2),0))</f>
        <v/>
      </c>
      <c r="I37" s="24">
        <f>IF($A37="","",$D37+$H37)</f>
        <v/>
      </c>
      <c r="J37" s="24">
        <f>IF($A37="","",($H37&gt;0)+1)</f>
        <v/>
      </c>
    </row>
    <row r="38">
      <c r="F38" s="24">
        <f>IF($B38="","",UPPER(TRIM(SUBSTITUTE($B38&amp;$C38," ",""))))</f>
        <v/>
      </c>
      <c r="G38" s="24">
        <f>IF($A38="","",IF($E38="","",raporTarihi-$E38))</f>
        <v/>
      </c>
      <c r="H38" s="24">
        <f>IF($A38="","",IF($G38&gt;say_icapEsikGun,ROUND($D38*say_gecikmeZammi,2),0))</f>
        <v/>
      </c>
      <c r="I38" s="24">
        <f>IF($A38="","",$D38+$H38)</f>
        <v/>
      </c>
      <c r="J38" s="24">
        <f>IF($A38="","",($H38&gt;0)+1)</f>
        <v/>
      </c>
    </row>
    <row r="39">
      <c r="F39" s="24">
        <f>IF($B39="","",UPPER(TRIM(SUBSTITUTE($B39&amp;$C39," ",""))))</f>
        <v/>
      </c>
      <c r="G39" s="24">
        <f>IF($A39="","",IF($E39="","",raporTarihi-$E39))</f>
        <v/>
      </c>
      <c r="H39" s="24">
        <f>IF($A39="","",IF($G39&gt;say_icapEsikGun,ROUND($D39*say_gecikmeZammi,2),0))</f>
        <v/>
      </c>
      <c r="I39" s="24">
        <f>IF($A39="","",$D39+$H39)</f>
        <v/>
      </c>
      <c r="J39" s="24">
        <f>IF($A39="","",($H39&gt;0)+1)</f>
        <v/>
      </c>
    </row>
    <row r="40">
      <c r="F40" s="24">
        <f>IF($B40="","",UPPER(TRIM(SUBSTITUTE($B40&amp;$C40," ",""))))</f>
        <v/>
      </c>
      <c r="G40" s="24">
        <f>IF($A40="","",IF($E40="","",raporTarihi-$E40))</f>
        <v/>
      </c>
      <c r="H40" s="24">
        <f>IF($A40="","",IF($G40&gt;say_icapEsikGun,ROUND($D40*say_gecikmeZammi,2),0))</f>
        <v/>
      </c>
      <c r="I40" s="24">
        <f>IF($A40="","",$D40+$H40)</f>
        <v/>
      </c>
      <c r="J40" s="24">
        <f>IF($A40="","",($H40&gt;0)+1)</f>
        <v/>
      </c>
    </row>
    <row r="41">
      <c r="F41" s="24">
        <f>IF($B41="","",UPPER(TRIM(SUBSTITUTE($B41&amp;$C41," ",""))))</f>
        <v/>
      </c>
      <c r="G41" s="24">
        <f>IF($A41="","",IF($E41="","",raporTarihi-$E41))</f>
        <v/>
      </c>
      <c r="H41" s="24">
        <f>IF($A41="","",IF($G41&gt;say_icapEsikGun,ROUND($D41*say_gecikmeZammi,2),0))</f>
        <v/>
      </c>
      <c r="I41" s="24">
        <f>IF($A41="","",$D41+$H41)</f>
        <v/>
      </c>
      <c r="J41" s="24">
        <f>IF($A41="","",($H41&gt;0)+1)</f>
        <v/>
      </c>
    </row>
    <row r="42">
      <c r="F42" s="24">
        <f>IF($B42="","",UPPER(TRIM(SUBSTITUTE($B42&amp;$C42," ",""))))</f>
        <v/>
      </c>
      <c r="G42" s="24">
        <f>IF($A42="","",IF($E42="","",raporTarihi-$E42))</f>
        <v/>
      </c>
      <c r="H42" s="24">
        <f>IF($A42="","",IF($G42&gt;say_icapEsikGun,ROUND($D42*say_gecikmeZammi,2),0))</f>
        <v/>
      </c>
      <c r="I42" s="24">
        <f>IF($A42="","",$D42+$H42)</f>
        <v/>
      </c>
      <c r="J42" s="24">
        <f>IF($A42="","",($H42&gt;0)+1)</f>
        <v/>
      </c>
    </row>
    <row r="43">
      <c r="F43" s="24">
        <f>IF($B43="","",UPPER(TRIM(SUBSTITUTE($B43&amp;$C43," ",""))))</f>
        <v/>
      </c>
      <c r="G43" s="24">
        <f>IF($A43="","",IF($E43="","",raporTarihi-$E43))</f>
        <v/>
      </c>
      <c r="H43" s="24">
        <f>IF($A43="","",IF($G43&gt;say_icapEsikGun,ROUND($D43*say_gecikmeZammi,2),0))</f>
        <v/>
      </c>
      <c r="I43" s="24">
        <f>IF($A43="","",$D43+$H43)</f>
        <v/>
      </c>
      <c r="J43" s="24">
        <f>IF($A43="","",($H43&gt;0)+1)</f>
        <v/>
      </c>
    </row>
    <row r="44">
      <c r="F44" s="24">
        <f>IF($B44="","",UPPER(TRIM(SUBSTITUTE($B44&amp;$C44," ",""))))</f>
        <v/>
      </c>
      <c r="G44" s="24">
        <f>IF($A44="","",IF($E44="","",raporTarihi-$E44))</f>
        <v/>
      </c>
      <c r="H44" s="24">
        <f>IF($A44="","",IF($G44&gt;say_icapEsikGun,ROUND($D44*say_gecikmeZammi,2),0))</f>
        <v/>
      </c>
      <c r="I44" s="24">
        <f>IF($A44="","",$D44+$H44)</f>
        <v/>
      </c>
      <c r="J44" s="24">
        <f>IF($A44="","",($H44&gt;0)+1)</f>
        <v/>
      </c>
    </row>
    <row r="45">
      <c r="F45" s="24">
        <f>IF($B45="","",UPPER(TRIM(SUBSTITUTE($B45&amp;$C45," ",""))))</f>
        <v/>
      </c>
      <c r="G45" s="24">
        <f>IF($A45="","",IF($E45="","",raporTarihi-$E45))</f>
        <v/>
      </c>
      <c r="H45" s="24">
        <f>IF($A45="","",IF($G45&gt;say_icapEsikGun,ROUND($D45*say_gecikmeZammi,2),0))</f>
        <v/>
      </c>
      <c r="I45" s="24">
        <f>IF($A45="","",$D45+$H45)</f>
        <v/>
      </c>
      <c r="J45" s="24">
        <f>IF($A45="","",($H45&gt;0)+1)</f>
        <v/>
      </c>
    </row>
    <row r="46">
      <c r="F46" s="24">
        <f>IF($B46="","",UPPER(TRIM(SUBSTITUTE($B46&amp;$C46," ",""))))</f>
        <v/>
      </c>
      <c r="G46" s="24">
        <f>IF($A46="","",IF($E46="","",raporTarihi-$E46))</f>
        <v/>
      </c>
      <c r="H46" s="24">
        <f>IF($A46="","",IF($G46&gt;say_icapEsikGun,ROUND($D46*say_gecikmeZammi,2),0))</f>
        <v/>
      </c>
      <c r="I46" s="24">
        <f>IF($A46="","",$D46+$H46)</f>
        <v/>
      </c>
      <c r="J46" s="24">
        <f>IF($A46="","",($H46&gt;0)+1)</f>
        <v/>
      </c>
    </row>
    <row r="47">
      <c r="F47" s="24">
        <f>IF($B47="","",UPPER(TRIM(SUBSTITUTE($B47&amp;$C47," ",""))))</f>
        <v/>
      </c>
      <c r="G47" s="24">
        <f>IF($A47="","",IF($E47="","",raporTarihi-$E47))</f>
        <v/>
      </c>
      <c r="H47" s="24">
        <f>IF($A47="","",IF($G47&gt;say_icapEsikGun,ROUND($D47*say_gecikmeZammi,2),0))</f>
        <v/>
      </c>
      <c r="I47" s="24">
        <f>IF($A47="","",$D47+$H47)</f>
        <v/>
      </c>
      <c r="J47" s="24">
        <f>IF($A47="","",($H47&gt;0)+1)</f>
        <v/>
      </c>
    </row>
    <row r="48">
      <c r="F48" s="24">
        <f>IF($B48="","",UPPER(TRIM(SUBSTITUTE($B48&amp;$C48," ",""))))</f>
        <v/>
      </c>
      <c r="G48" s="24">
        <f>IF($A48="","",IF($E48="","",raporTarihi-$E48))</f>
        <v/>
      </c>
      <c r="H48" s="24">
        <f>IF($A48="","",IF($G48&gt;say_icapEsikGun,ROUND($D48*say_gecikmeZammi,2),0))</f>
        <v/>
      </c>
      <c r="I48" s="24">
        <f>IF($A48="","",$D48+$H48)</f>
        <v/>
      </c>
      <c r="J48" s="24">
        <f>IF($A48="","",($H48&gt;0)+1)</f>
        <v/>
      </c>
    </row>
    <row r="49">
      <c r="F49" s="24">
        <f>IF($B49="","",UPPER(TRIM(SUBSTITUTE($B49&amp;$C49," ",""))))</f>
        <v/>
      </c>
      <c r="G49" s="24">
        <f>IF($A49="","",IF($E49="","",raporTarihi-$E49))</f>
        <v/>
      </c>
      <c r="H49" s="24">
        <f>IF($A49="","",IF($G49&gt;say_icapEsikGun,ROUND($D49*say_gecikmeZammi,2),0))</f>
        <v/>
      </c>
      <c r="I49" s="24">
        <f>IF($A49="","",$D49+$H49)</f>
        <v/>
      </c>
      <c r="J49" s="24">
        <f>IF($A49="","",($H49&gt;0)+1)</f>
        <v/>
      </c>
    </row>
    <row r="50">
      <c r="F50" s="24">
        <f>IF($B50="","",UPPER(TRIM(SUBSTITUTE($B50&amp;$C50," ",""))))</f>
        <v/>
      </c>
      <c r="G50" s="24">
        <f>IF($A50="","",IF($E50="","",raporTarihi-$E50))</f>
        <v/>
      </c>
      <c r="H50" s="24">
        <f>IF($A50="","",IF($G50&gt;say_icapEsikGun,ROUND($D50*say_gecikmeZammi,2),0))</f>
        <v/>
      </c>
      <c r="I50" s="24">
        <f>IF($A50="","",$D50+$H50)</f>
        <v/>
      </c>
      <c r="J50" s="24">
        <f>IF($A50="","",($H50&gt;0)+1)</f>
        <v/>
      </c>
    </row>
    <row r="51">
      <c r="F51" s="24">
        <f>IF($B51="","",UPPER(TRIM(SUBSTITUTE($B51&amp;$C51," ",""))))</f>
        <v/>
      </c>
      <c r="G51" s="24">
        <f>IF($A51="","",IF($E51="","",raporTarihi-$E51))</f>
        <v/>
      </c>
      <c r="H51" s="24">
        <f>IF($A51="","",IF($G51&gt;say_icapEsikGun,ROUND($D51*say_gecikmeZammi,2),0))</f>
        <v/>
      </c>
      <c r="I51" s="24">
        <f>IF($A51="","",$D51+$H51)</f>
        <v/>
      </c>
      <c r="J51" s="24">
        <f>IF($A51="","",($H51&gt;0)+1)</f>
        <v/>
      </c>
    </row>
    <row r="52">
      <c r="F52" s="24">
        <f>IF($B52="","",UPPER(TRIM(SUBSTITUTE($B52&amp;$C52," ",""))))</f>
        <v/>
      </c>
      <c r="G52" s="24">
        <f>IF($A52="","",IF($E52="","",raporTarihi-$E52))</f>
        <v/>
      </c>
      <c r="H52" s="24">
        <f>IF($A52="","",IF($G52&gt;say_icapEsikGun,ROUND($D52*say_gecikmeZammi,2),0))</f>
        <v/>
      </c>
      <c r="I52" s="24">
        <f>IF($A52="","",$D52+$H52)</f>
        <v/>
      </c>
      <c r="J52" s="24">
        <f>IF($A52="","",($H52&gt;0)+1)</f>
        <v/>
      </c>
    </row>
    <row r="53">
      <c r="F53" s="24">
        <f>IF($B53="","",UPPER(TRIM(SUBSTITUTE($B53&amp;$C53," ",""))))</f>
        <v/>
      </c>
      <c r="G53" s="24">
        <f>IF($A53="","",IF($E53="","",raporTarihi-$E53))</f>
        <v/>
      </c>
      <c r="H53" s="24">
        <f>IF($A53="","",IF($G53&gt;say_icapEsikGun,ROUND($D53*say_gecikmeZammi,2),0))</f>
        <v/>
      </c>
      <c r="I53" s="24">
        <f>IF($A53="","",$D53+$H53)</f>
        <v/>
      </c>
      <c r="J53" s="24">
        <f>IF($A53="","",($H53&gt;0)+1)</f>
        <v/>
      </c>
    </row>
    <row r="54">
      <c r="F54" s="24">
        <f>IF($B54="","",UPPER(TRIM(SUBSTITUTE($B54&amp;$C54," ",""))))</f>
        <v/>
      </c>
      <c r="G54" s="24">
        <f>IF($A54="","",IF($E54="","",raporTarihi-$E54))</f>
        <v/>
      </c>
      <c r="H54" s="24">
        <f>IF($A54="","",IF($G54&gt;say_icapEsikGun,ROUND($D54*say_gecikmeZammi,2),0))</f>
        <v/>
      </c>
      <c r="I54" s="24">
        <f>IF($A54="","",$D54+$H54)</f>
        <v/>
      </c>
      <c r="J54" s="24">
        <f>IF($A54="","",($H54&gt;0)+1)</f>
        <v/>
      </c>
    </row>
    <row r="55">
      <c r="F55" s="24">
        <f>IF($B55="","",UPPER(TRIM(SUBSTITUTE($B55&amp;$C55," ",""))))</f>
        <v/>
      </c>
      <c r="G55" s="24">
        <f>IF($A55="","",IF($E55="","",raporTarihi-$E55))</f>
        <v/>
      </c>
      <c r="H55" s="24">
        <f>IF($A55="","",IF($G55&gt;say_icapEsikGun,ROUND($D55*say_gecikmeZammi,2),0))</f>
        <v/>
      </c>
      <c r="I55" s="24">
        <f>IF($A55="","",$D55+$H55)</f>
        <v/>
      </c>
      <c r="J55" s="24">
        <f>IF($A55="","",($H55&gt;0)+1)</f>
        <v/>
      </c>
    </row>
    <row r="56">
      <c r="F56" s="24">
        <f>IF($B56="","",UPPER(TRIM(SUBSTITUTE($B56&amp;$C56," ",""))))</f>
        <v/>
      </c>
      <c r="G56" s="24">
        <f>IF($A56="","",IF($E56="","",raporTarihi-$E56))</f>
        <v/>
      </c>
      <c r="H56" s="24">
        <f>IF($A56="","",IF($G56&gt;say_icapEsikGun,ROUND($D56*say_gecikmeZammi,2),0))</f>
        <v/>
      </c>
      <c r="I56" s="24">
        <f>IF($A56="","",$D56+$H56)</f>
        <v/>
      </c>
      <c r="J56" s="24">
        <f>IF($A56="","",($H56&gt;0)+1)</f>
        <v/>
      </c>
    </row>
    <row r="57">
      <c r="F57" s="24">
        <f>IF($B57="","",UPPER(TRIM(SUBSTITUTE($B57&amp;$C57," ",""))))</f>
        <v/>
      </c>
      <c r="G57" s="24">
        <f>IF($A57="","",IF($E57="","",raporTarihi-$E57))</f>
        <v/>
      </c>
      <c r="H57" s="24">
        <f>IF($A57="","",IF($G57&gt;say_icapEsikGun,ROUND($D57*say_gecikmeZammi,2),0))</f>
        <v/>
      </c>
      <c r="I57" s="24">
        <f>IF($A57="","",$D57+$H57)</f>
        <v/>
      </c>
      <c r="J57" s="24">
        <f>IF($A57="","",($H57&gt;0)+1)</f>
        <v/>
      </c>
    </row>
    <row r="58">
      <c r="F58" s="24">
        <f>IF($B58="","",UPPER(TRIM(SUBSTITUTE($B58&amp;$C58," ",""))))</f>
        <v/>
      </c>
      <c r="G58" s="24">
        <f>IF($A58="","",IF($E58="","",raporTarihi-$E58))</f>
        <v/>
      </c>
      <c r="H58" s="24">
        <f>IF($A58="","",IF($G58&gt;say_icapEsikGun,ROUND($D58*say_gecikmeZammi,2),0))</f>
        <v/>
      </c>
      <c r="I58" s="24">
        <f>IF($A58="","",$D58+$H58)</f>
        <v/>
      </c>
      <c r="J58" s="24">
        <f>IF($A58="","",($H58&gt;0)+1)</f>
        <v/>
      </c>
    </row>
    <row r="59">
      <c r="F59" s="24">
        <f>IF($B59="","",UPPER(TRIM(SUBSTITUTE($B59&amp;$C59," ",""))))</f>
        <v/>
      </c>
      <c r="G59" s="24">
        <f>IF($A59="","",IF($E59="","",raporTarihi-$E59))</f>
        <v/>
      </c>
      <c r="H59" s="24">
        <f>IF($A59="","",IF($G59&gt;say_icapEsikGun,ROUND($D59*say_gecikmeZammi,2),0))</f>
        <v/>
      </c>
      <c r="I59" s="24">
        <f>IF($A59="","",$D59+$H59)</f>
        <v/>
      </c>
      <c r="J59" s="24">
        <f>IF($A59="","",($H59&gt;0)+1)</f>
        <v/>
      </c>
    </row>
    <row r="60">
      <c r="F60" s="24">
        <f>IF($B60="","",UPPER(TRIM(SUBSTITUTE($B60&amp;$C60," ",""))))</f>
        <v/>
      </c>
      <c r="G60" s="24">
        <f>IF($A60="","",IF($E60="","",raporTarihi-$E60))</f>
        <v/>
      </c>
      <c r="H60" s="24">
        <f>IF($A60="","",IF($G60&gt;say_icapEsikGun,ROUND($D60*say_gecikmeZammi,2),0))</f>
        <v/>
      </c>
      <c r="I60" s="24">
        <f>IF($A60="","",$D60+$H60)</f>
        <v/>
      </c>
      <c r="J60" s="24">
        <f>IF($A60="","",($H60&gt;0)+1)</f>
        <v/>
      </c>
    </row>
    <row r="61">
      <c r="F61" s="24">
        <f>IF($B61="","",UPPER(TRIM(SUBSTITUTE($B61&amp;$C61," ",""))))</f>
        <v/>
      </c>
      <c r="G61" s="24">
        <f>IF($A61="","",IF($E61="","",raporTarihi-$E61))</f>
        <v/>
      </c>
      <c r="H61" s="24">
        <f>IF($A61="","",IF($G61&gt;say_icapEsikGun,ROUND($D61*say_gecikmeZammi,2),0))</f>
        <v/>
      </c>
      <c r="I61" s="24">
        <f>IF($A61="","",$D61+$H61)</f>
        <v/>
      </c>
      <c r="J61" s="24">
        <f>IF($A61="","",($H61&gt;0)+1)</f>
        <v/>
      </c>
    </row>
    <row r="62">
      <c r="F62" s="24">
        <f>IF($B62="","",UPPER(TRIM(SUBSTITUTE($B62&amp;$C62," ",""))))</f>
        <v/>
      </c>
      <c r="G62" s="24">
        <f>IF($A62="","",IF($E62="","",raporTarihi-$E62))</f>
        <v/>
      </c>
      <c r="H62" s="24">
        <f>IF($A62="","",IF($G62&gt;say_icapEsikGun,ROUND($D62*say_gecikmeZammi,2),0))</f>
        <v/>
      </c>
      <c r="I62" s="24">
        <f>IF($A62="","",$D62+$H62)</f>
        <v/>
      </c>
      <c r="J62" s="24">
        <f>IF($A62="","",($H62&gt;0)+1)</f>
        <v/>
      </c>
    </row>
    <row r="63">
      <c r="F63" s="24">
        <f>IF($B63="","",UPPER(TRIM(SUBSTITUTE($B63&amp;$C63," ",""))))</f>
        <v/>
      </c>
      <c r="G63" s="24">
        <f>IF($A63="","",IF($E63="","",raporTarihi-$E63))</f>
        <v/>
      </c>
      <c r="H63" s="24">
        <f>IF($A63="","",IF($G63&gt;say_icapEsikGun,ROUND($D63*say_gecikmeZammi,2),0))</f>
        <v/>
      </c>
      <c r="I63" s="24">
        <f>IF($A63="","",$D63+$H63)</f>
        <v/>
      </c>
      <c r="J63" s="24">
        <f>IF($A63="","",($H63&gt;0)+1)</f>
        <v/>
      </c>
    </row>
    <row r="64">
      <c r="F64" s="24">
        <f>IF($B64="","",UPPER(TRIM(SUBSTITUTE($B64&amp;$C64," ",""))))</f>
        <v/>
      </c>
      <c r="G64" s="24">
        <f>IF($A64="","",IF($E64="","",raporTarihi-$E64))</f>
        <v/>
      </c>
      <c r="H64" s="24">
        <f>IF($A64="","",IF($G64&gt;say_icapEsikGun,ROUND($D64*say_gecikmeZammi,2),0))</f>
        <v/>
      </c>
      <c r="I64" s="24">
        <f>IF($A64="","",$D64+$H64)</f>
        <v/>
      </c>
      <c r="J64" s="24">
        <f>IF($A64="","",($H64&gt;0)+1)</f>
        <v/>
      </c>
    </row>
    <row r="65">
      <c r="F65" s="24">
        <f>IF($B65="","",UPPER(TRIM(SUBSTITUTE($B65&amp;$C65," ",""))))</f>
        <v/>
      </c>
      <c r="G65" s="24">
        <f>IF($A65="","",IF($E65="","",raporTarihi-$E65))</f>
        <v/>
      </c>
      <c r="H65" s="24">
        <f>IF($A65="","",IF($G65&gt;say_icapEsikGun,ROUND($D65*say_gecikmeZammi,2),0))</f>
        <v/>
      </c>
      <c r="I65" s="24">
        <f>IF($A65="","",$D65+$H65)</f>
        <v/>
      </c>
      <c r="J65" s="24">
        <f>IF($A65="","",($H65&gt;0)+1)</f>
        <v/>
      </c>
    </row>
    <row r="66">
      <c r="F66" s="24">
        <f>IF($B66="","",UPPER(TRIM(SUBSTITUTE($B66&amp;$C66," ",""))))</f>
        <v/>
      </c>
      <c r="G66" s="24">
        <f>IF($A66="","",IF($E66="","",raporTarihi-$E66))</f>
        <v/>
      </c>
      <c r="H66" s="24">
        <f>IF($A66="","",IF($G66&gt;say_icapEsikGun,ROUND($D66*say_gecikmeZammi,2),0))</f>
        <v/>
      </c>
      <c r="I66" s="24">
        <f>IF($A66="","",$D66+$H66)</f>
        <v/>
      </c>
      <c r="J66" s="24">
        <f>IF($A66="","",($H66&gt;0)+1)</f>
        <v/>
      </c>
    </row>
    <row r="67">
      <c r="F67" s="24">
        <f>IF($B67="","",UPPER(TRIM(SUBSTITUTE($B67&amp;$C67," ",""))))</f>
        <v/>
      </c>
      <c r="G67" s="24">
        <f>IF($A67="","",IF($E67="","",raporTarihi-$E67))</f>
        <v/>
      </c>
      <c r="H67" s="24">
        <f>IF($A67="","",IF($G67&gt;say_icapEsikGun,ROUND($D67*say_gecikmeZammi,2),0))</f>
        <v/>
      </c>
      <c r="I67" s="24">
        <f>IF($A67="","",$D67+$H67)</f>
        <v/>
      </c>
      <c r="J67" s="24">
        <f>IF($A67="","",($H67&gt;0)+1)</f>
        <v/>
      </c>
    </row>
    <row r="68">
      <c r="F68" s="24">
        <f>IF($B68="","",UPPER(TRIM(SUBSTITUTE($B68&amp;$C68," ",""))))</f>
        <v/>
      </c>
      <c r="G68" s="24">
        <f>IF($A68="","",IF($E68="","",raporTarihi-$E68))</f>
        <v/>
      </c>
      <c r="H68" s="24">
        <f>IF($A68="","",IF($G68&gt;say_icapEsikGun,ROUND($D68*say_gecikmeZammi,2),0))</f>
        <v/>
      </c>
      <c r="I68" s="24">
        <f>IF($A68="","",$D68+$H68)</f>
        <v/>
      </c>
      <c r="J68" s="24">
        <f>IF($A68="","",($H68&gt;0)+1)</f>
        <v/>
      </c>
    </row>
    <row r="69">
      <c r="F69" s="24">
        <f>IF($B69="","",UPPER(TRIM(SUBSTITUTE($B69&amp;$C69," ",""))))</f>
        <v/>
      </c>
      <c r="G69" s="24">
        <f>IF($A69="","",IF($E69="","",raporTarihi-$E69))</f>
        <v/>
      </c>
      <c r="H69" s="24">
        <f>IF($A69="","",IF($G69&gt;say_icapEsikGun,ROUND($D69*say_gecikmeZammi,2),0))</f>
        <v/>
      </c>
      <c r="I69" s="24">
        <f>IF($A69="","",$D69+$H69)</f>
        <v/>
      </c>
      <c r="J69" s="24">
        <f>IF($A69="","",($H69&gt;0)+1)</f>
        <v/>
      </c>
    </row>
    <row r="70">
      <c r="F70" s="24">
        <f>IF($B70="","",UPPER(TRIM(SUBSTITUTE($B70&amp;$C70," ",""))))</f>
        <v/>
      </c>
      <c r="G70" s="24">
        <f>IF($A70="","",IF($E70="","",raporTarihi-$E70))</f>
        <v/>
      </c>
      <c r="H70" s="24">
        <f>IF($A70="","",IF($G70&gt;say_icapEsikGun,ROUND($D70*say_gecikmeZammi,2),0))</f>
        <v/>
      </c>
      <c r="I70" s="24">
        <f>IF($A70="","",$D70+$H70)</f>
        <v/>
      </c>
      <c r="J70" s="24">
        <f>IF($A70="","",($H70&gt;0)+1)</f>
        <v/>
      </c>
    </row>
    <row r="71">
      <c r="F71" s="24">
        <f>IF($B71="","",UPPER(TRIM(SUBSTITUTE($B71&amp;$C71," ",""))))</f>
        <v/>
      </c>
      <c r="G71" s="24">
        <f>IF($A71="","",IF($E71="","",raporTarihi-$E71))</f>
        <v/>
      </c>
      <c r="H71" s="24">
        <f>IF($A71="","",IF($G71&gt;say_icapEsikGun,ROUND($D71*say_gecikmeZammi,2),0))</f>
        <v/>
      </c>
      <c r="I71" s="24">
        <f>IF($A71="","",$D71+$H71)</f>
        <v/>
      </c>
      <c r="J71" s="24">
        <f>IF($A71="","",($H71&gt;0)+1)</f>
        <v/>
      </c>
    </row>
    <row r="72">
      <c r="F72" s="24">
        <f>IF($B72="","",UPPER(TRIM(SUBSTITUTE($B72&amp;$C72," ",""))))</f>
        <v/>
      </c>
      <c r="G72" s="24">
        <f>IF($A72="","",IF($E72="","",raporTarihi-$E72))</f>
        <v/>
      </c>
      <c r="H72" s="24">
        <f>IF($A72="","",IF($G72&gt;say_icapEsikGun,ROUND($D72*say_gecikmeZammi,2),0))</f>
        <v/>
      </c>
      <c r="I72" s="24">
        <f>IF($A72="","",$D72+$H72)</f>
        <v/>
      </c>
      <c r="J72" s="24">
        <f>IF($A72="","",($H72&gt;0)+1)</f>
        <v/>
      </c>
    </row>
    <row r="73">
      <c r="F73" s="24">
        <f>IF($B73="","",UPPER(TRIM(SUBSTITUTE($B73&amp;$C73," ",""))))</f>
        <v/>
      </c>
      <c r="G73" s="24">
        <f>IF($A73="","",IF($E73="","",raporTarihi-$E73))</f>
        <v/>
      </c>
      <c r="H73" s="24">
        <f>IF($A73="","",IF($G73&gt;say_icapEsikGun,ROUND($D73*say_gecikmeZammi,2),0))</f>
        <v/>
      </c>
      <c r="I73" s="24">
        <f>IF($A73="","",$D73+$H73)</f>
        <v/>
      </c>
      <c r="J73" s="24">
        <f>IF($A73="","",($H73&gt;0)+1)</f>
        <v/>
      </c>
    </row>
    <row r="74">
      <c r="F74" s="24">
        <f>IF($B74="","",UPPER(TRIM(SUBSTITUTE($B74&amp;$C74," ",""))))</f>
        <v/>
      </c>
      <c r="G74" s="24">
        <f>IF($A74="","",IF($E74="","",raporTarihi-$E74))</f>
        <v/>
      </c>
      <c r="H74" s="24">
        <f>IF($A74="","",IF($G74&gt;say_icapEsikGun,ROUND($D74*say_gecikmeZammi,2),0))</f>
        <v/>
      </c>
      <c r="I74" s="24">
        <f>IF($A74="","",$D74+$H74)</f>
        <v/>
      </c>
      <c r="J74" s="24">
        <f>IF($A74="","",($H74&gt;0)+1)</f>
        <v/>
      </c>
    </row>
    <row r="75">
      <c r="F75" s="24">
        <f>IF($B75="","",UPPER(TRIM(SUBSTITUTE($B75&amp;$C75," ",""))))</f>
        <v/>
      </c>
      <c r="G75" s="24">
        <f>IF($A75="","",IF($E75="","",raporTarihi-$E75))</f>
        <v/>
      </c>
      <c r="H75" s="24">
        <f>IF($A75="","",IF($G75&gt;say_icapEsikGun,ROUND($D75*say_gecikmeZammi,2),0))</f>
        <v/>
      </c>
      <c r="I75" s="24">
        <f>IF($A75="","",$D75+$H75)</f>
        <v/>
      </c>
      <c r="J75" s="24">
        <f>IF($A75="","",($H75&gt;0)+1)</f>
        <v/>
      </c>
    </row>
    <row r="76">
      <c r="F76" s="24">
        <f>IF($B76="","",UPPER(TRIM(SUBSTITUTE($B76&amp;$C76," ",""))))</f>
        <v/>
      </c>
      <c r="G76" s="24">
        <f>IF($A76="","",IF($E76="","",raporTarihi-$E76))</f>
        <v/>
      </c>
      <c r="H76" s="24">
        <f>IF($A76="","",IF($G76&gt;say_icapEsikGun,ROUND($D76*say_gecikmeZammi,2),0))</f>
        <v/>
      </c>
      <c r="I76" s="24">
        <f>IF($A76="","",$D76+$H76)</f>
        <v/>
      </c>
      <c r="J76" s="24">
        <f>IF($A76="","",($H76&gt;0)+1)</f>
        <v/>
      </c>
    </row>
    <row r="77">
      <c r="F77" s="24">
        <f>IF($B77="","",UPPER(TRIM(SUBSTITUTE($B77&amp;$C77," ",""))))</f>
        <v/>
      </c>
      <c r="G77" s="24">
        <f>IF($A77="","",IF($E77="","",raporTarihi-$E77))</f>
        <v/>
      </c>
      <c r="H77" s="24">
        <f>IF($A77="","",IF($G77&gt;say_icapEsikGun,ROUND($D77*say_gecikmeZammi,2),0))</f>
        <v/>
      </c>
      <c r="I77" s="24">
        <f>IF($A77="","",$D77+$H77)</f>
        <v/>
      </c>
      <c r="J77" s="24">
        <f>IF($A77="","",($H77&gt;0)+1)</f>
        <v/>
      </c>
    </row>
    <row r="78">
      <c r="F78" s="24">
        <f>IF($B78="","",UPPER(TRIM(SUBSTITUTE($B78&amp;$C78," ",""))))</f>
        <v/>
      </c>
      <c r="G78" s="24">
        <f>IF($A78="","",IF($E78="","",raporTarihi-$E78))</f>
        <v/>
      </c>
      <c r="H78" s="24">
        <f>IF($A78="","",IF($G78&gt;say_icapEsikGun,ROUND($D78*say_gecikmeZammi,2),0))</f>
        <v/>
      </c>
      <c r="I78" s="24">
        <f>IF($A78="","",$D78+$H78)</f>
        <v/>
      </c>
      <c r="J78" s="24">
        <f>IF($A78="","",($H78&gt;0)+1)</f>
        <v/>
      </c>
    </row>
    <row r="79">
      <c r="F79" s="24">
        <f>IF($B79="","",UPPER(TRIM(SUBSTITUTE($B79&amp;$C79," ",""))))</f>
        <v/>
      </c>
      <c r="G79" s="24">
        <f>IF($A79="","",IF($E79="","",raporTarihi-$E79))</f>
        <v/>
      </c>
      <c r="H79" s="24">
        <f>IF($A79="","",IF($G79&gt;say_icapEsikGun,ROUND($D79*say_gecikmeZammi,2),0))</f>
        <v/>
      </c>
      <c r="I79" s="24">
        <f>IF($A79="","",$D79+$H79)</f>
        <v/>
      </c>
      <c r="J79" s="24">
        <f>IF($A79="","",($H79&gt;0)+1)</f>
        <v/>
      </c>
    </row>
    <row r="80">
      <c r="F80" s="24">
        <f>IF($B80="","",UPPER(TRIM(SUBSTITUTE($B80&amp;$C80," ",""))))</f>
        <v/>
      </c>
      <c r="G80" s="24">
        <f>IF($A80="","",IF($E80="","",raporTarihi-$E80))</f>
        <v/>
      </c>
      <c r="H80" s="24">
        <f>IF($A80="","",IF($G80&gt;say_icapEsikGun,ROUND($D80*say_gecikmeZammi,2),0))</f>
        <v/>
      </c>
      <c r="I80" s="24">
        <f>IF($A80="","",$D80+$H80)</f>
        <v/>
      </c>
      <c r="J80" s="24">
        <f>IF($A80="","",($H80&gt;0)+1)</f>
        <v/>
      </c>
    </row>
    <row r="81">
      <c r="F81" s="24">
        <f>IF($B81="","",UPPER(TRIM(SUBSTITUTE($B81&amp;$C81," ",""))))</f>
        <v/>
      </c>
      <c r="G81" s="24">
        <f>IF($A81="","",IF($E81="","",raporTarihi-$E81))</f>
        <v/>
      </c>
      <c r="H81" s="24">
        <f>IF($A81="","",IF($G81&gt;say_icapEsikGun,ROUND($D81*say_gecikmeZammi,2),0))</f>
        <v/>
      </c>
      <c r="I81" s="24">
        <f>IF($A81="","",$D81+$H81)</f>
        <v/>
      </c>
      <c r="J81" s="24">
        <f>IF($A81="","",($H81&gt;0)+1)</f>
        <v/>
      </c>
    </row>
    <row r="82">
      <c r="F82" s="24">
        <f>IF($B82="","",UPPER(TRIM(SUBSTITUTE($B82&amp;$C82," ",""))))</f>
        <v/>
      </c>
      <c r="G82" s="24">
        <f>IF($A82="","",IF($E82="","",raporTarihi-$E82))</f>
        <v/>
      </c>
      <c r="H82" s="24">
        <f>IF($A82="","",IF($G82&gt;say_icapEsikGun,ROUND($D82*say_gecikmeZammi,2),0))</f>
        <v/>
      </c>
      <c r="I82" s="24">
        <f>IF($A82="","",$D82+$H82)</f>
        <v/>
      </c>
      <c r="J82" s="24">
        <f>IF($A82="","",($H82&gt;0)+1)</f>
        <v/>
      </c>
    </row>
    <row r="83">
      <c r="F83" s="24">
        <f>IF($B83="","",UPPER(TRIM(SUBSTITUTE($B83&amp;$C83," ",""))))</f>
        <v/>
      </c>
      <c r="G83" s="24">
        <f>IF($A83="","",IF($E83="","",raporTarihi-$E83))</f>
        <v/>
      </c>
      <c r="H83" s="24">
        <f>IF($A83="","",IF($G83&gt;say_icapEsikGun,ROUND($D83*say_gecikmeZammi,2),0))</f>
        <v/>
      </c>
      <c r="I83" s="24">
        <f>IF($A83="","",$D83+$H83)</f>
        <v/>
      </c>
      <c r="J83" s="24">
        <f>IF($A83="","",($H83&gt;0)+1)</f>
        <v/>
      </c>
    </row>
    <row r="84">
      <c r="F84" s="24">
        <f>IF($B84="","",UPPER(TRIM(SUBSTITUTE($B84&amp;$C84," ",""))))</f>
        <v/>
      </c>
      <c r="G84" s="24">
        <f>IF($A84="","",IF($E84="","",raporTarihi-$E84))</f>
        <v/>
      </c>
      <c r="H84" s="24">
        <f>IF($A84="","",IF($G84&gt;say_icapEsikGun,ROUND($D84*say_gecikmeZammi,2),0))</f>
        <v/>
      </c>
      <c r="I84" s="24">
        <f>IF($A84="","",$D84+$H84)</f>
        <v/>
      </c>
      <c r="J84" s="24">
        <f>IF($A84="","",($H84&gt;0)+1)</f>
        <v/>
      </c>
    </row>
    <row r="85">
      <c r="F85" s="24">
        <f>IF($B85="","",UPPER(TRIM(SUBSTITUTE($B85&amp;$C85," ",""))))</f>
        <v/>
      </c>
      <c r="G85" s="24">
        <f>IF($A85="","",IF($E85="","",raporTarihi-$E85))</f>
        <v/>
      </c>
      <c r="H85" s="24">
        <f>IF($A85="","",IF($G85&gt;say_icapEsikGun,ROUND($D85*say_gecikmeZammi,2),0))</f>
        <v/>
      </c>
      <c r="I85" s="24">
        <f>IF($A85="","",$D85+$H85)</f>
        <v/>
      </c>
      <c r="J85" s="24">
        <f>IF($A85="","",($H85&gt;0)+1)</f>
        <v/>
      </c>
    </row>
    <row r="86">
      <c r="F86" s="24">
        <f>IF($B86="","",UPPER(TRIM(SUBSTITUTE($B86&amp;$C86," ",""))))</f>
        <v/>
      </c>
      <c r="G86" s="24">
        <f>IF($A86="","",IF($E86="","",raporTarihi-$E86))</f>
        <v/>
      </c>
      <c r="H86" s="24">
        <f>IF($A86="","",IF($G86&gt;say_icapEsikGun,ROUND($D86*say_gecikmeZammi,2),0))</f>
        <v/>
      </c>
      <c r="I86" s="24">
        <f>IF($A86="","",$D86+$H86)</f>
        <v/>
      </c>
      <c r="J86" s="24">
        <f>IF($A86="","",($H86&gt;0)+1)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D6:D1005" showDropDown="0" showInputMessage="1" showErrorMessage="1" allowBlank="1" errorTitle="Borç" error="0 veya üzeri" promptTitle="Borç" prompt="≥ 0 TL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Vade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5.5" customWidth="1" min="4" max="4"/>
    <col width="23.5" customWidth="1" min="5" max="5"/>
    <col width="14.5" customWidth="1" min="6" max="6"/>
    <col width="16.5" customWidth="1" min="7" max="7"/>
    <col width="14" customWidth="1" min="8" max="8"/>
    <col width="13" customWidth="1" min="9" max="9"/>
  </cols>
  <sheetData>
    <row r="1" ht="32" customHeight="1">
      <c r="A1" s="175" t="inlineStr">
        <is>
          <t>TAHSILAT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</row>
    <row r="2"/>
    <row r="3" ht="22" customHeight="1">
      <c r="A3" s="194" t="inlineStr">
        <is>
          <t>Ödeme girişi — eşleştirme motoruna besleme</t>
        </is>
      </c>
    </row>
    <row r="4"/>
    <row r="5" ht="30" customHeight="1">
      <c r="A5" s="22" t="inlineStr">
        <is>
          <t>OdemeId</t>
        </is>
      </c>
      <c r="B5" s="22" t="inlineStr">
        <is>
          <t>MalikId</t>
        </is>
      </c>
      <c r="C5" s="22" t="inlineStr">
        <is>
          <t>Donem</t>
        </is>
      </c>
      <c r="D5" s="22" t="inlineStr">
        <is>
          <t>OdemeTutari</t>
        </is>
      </c>
      <c r="E5" s="22" t="inlineStr">
        <is>
          <t>OdemeTarihi</t>
        </is>
      </c>
      <c r="F5" s="22" t="inlineStr">
        <is>
          <t>HamAnahtar</t>
        </is>
      </c>
      <c r="G5" s="22" t="inlineStr">
        <is>
          <t>KaynakKartId</t>
        </is>
      </c>
      <c r="H5" s="22" t="inlineStr">
        <is>
          <t>MotorAdim</t>
        </is>
      </c>
    </row>
    <row r="6">
      <c r="A6" s="23" t="inlineStr">
        <is>
          <t>ODM-001</t>
        </is>
      </c>
      <c r="B6" s="23" t="inlineStr">
        <is>
          <t>MLK-001</t>
        </is>
      </c>
      <c r="C6" s="23" t="inlineStr">
        <is>
          <t>2026-07</t>
        </is>
      </c>
      <c r="D6" s="18" t="n">
        <v>2700</v>
      </c>
      <c r="E6" s="61" t="n">
        <v>46219</v>
      </c>
      <c r="F6" s="24">
        <f>IF($B6="","",UPPER(TRIM(SUBSTITUTE($B6&amp;$C6," ",""))))</f>
        <v/>
      </c>
      <c r="G6" s="24">
        <f>IF($A6="","",$B6)</f>
        <v/>
      </c>
      <c r="H6" s="24">
        <f>IF($A6="","",1)</f>
        <v/>
      </c>
    </row>
    <row r="7">
      <c r="A7" s="23" t="inlineStr">
        <is>
          <t>ODM-002</t>
        </is>
      </c>
      <c r="B7" s="23" t="inlineStr">
        <is>
          <t>MLK-002</t>
        </is>
      </c>
      <c r="C7" s="23" t="inlineStr">
        <is>
          <t>2026-07</t>
        </is>
      </c>
      <c r="D7" s="18" t="n">
        <v>2900</v>
      </c>
      <c r="E7" s="61" t="n">
        <v>46220</v>
      </c>
      <c r="F7" s="24">
        <f>IF($B7="","",UPPER(TRIM(SUBSTITUTE($B7&amp;$C7," ",""))))</f>
        <v/>
      </c>
      <c r="G7" s="24">
        <f>IF($A7="","",$B7)</f>
        <v/>
      </c>
      <c r="H7" s="24">
        <f>IF($A7="","",1)</f>
        <v/>
      </c>
    </row>
    <row r="8">
      <c r="A8" s="23" t="inlineStr">
        <is>
          <t>ODM-003</t>
        </is>
      </c>
      <c r="B8" s="23" t="inlineStr">
        <is>
          <t>MLK-003</t>
        </is>
      </c>
      <c r="C8" s="23" t="inlineStr">
        <is>
          <t>2026-07</t>
        </is>
      </c>
      <c r="D8" s="18" t="n">
        <v>2700</v>
      </c>
      <c r="E8" s="61" t="n">
        <v>46221</v>
      </c>
      <c r="F8" s="24">
        <f>IF($B8="","",UPPER(TRIM(SUBSTITUTE($B8&amp;$C8," ",""))))</f>
        <v/>
      </c>
      <c r="G8" s="24">
        <f>IF($A8="","",$B8)</f>
        <v/>
      </c>
      <c r="H8" s="24">
        <f>IF($A8="","",1)</f>
        <v/>
      </c>
    </row>
    <row r="9">
      <c r="A9" s="23" t="inlineStr">
        <is>
          <t>ODM-004</t>
        </is>
      </c>
      <c r="B9" s="23" t="inlineStr">
        <is>
          <t>MLK-004</t>
        </is>
      </c>
      <c r="C9" s="23" t="inlineStr">
        <is>
          <t>2026-07</t>
        </is>
      </c>
      <c r="D9" s="18" t="n">
        <v>2700</v>
      </c>
      <c r="E9" s="61" t="n">
        <v>46222</v>
      </c>
      <c r="F9" s="24">
        <f>IF($B9="","",UPPER(TRIM(SUBSTITUTE($B9&amp;$C9," ",""))))</f>
        <v/>
      </c>
      <c r="G9" s="24">
        <f>IF($A9="","",$B9)</f>
        <v/>
      </c>
      <c r="H9" s="24">
        <f>IF($A9="","",1)</f>
        <v/>
      </c>
    </row>
    <row r="10">
      <c r="A10" s="23" t="inlineStr">
        <is>
          <t>ODM-005</t>
        </is>
      </c>
      <c r="B10" s="23" t="inlineStr">
        <is>
          <t>MLK-005</t>
        </is>
      </c>
      <c r="C10" s="23" t="inlineStr">
        <is>
          <t>2026-07</t>
        </is>
      </c>
      <c r="D10" s="18" t="n">
        <v>2850</v>
      </c>
      <c r="E10" s="61" t="n">
        <v>46223</v>
      </c>
      <c r="F10" s="24">
        <f>IF($B10="","",UPPER(TRIM(SUBSTITUTE($B10&amp;$C10," ",""))))</f>
        <v/>
      </c>
      <c r="G10" s="24">
        <f>IF($A10="","",$B10)</f>
        <v/>
      </c>
      <c r="H10" s="24">
        <f>IF($A10="","",1)</f>
        <v/>
      </c>
    </row>
    <row r="11">
      <c r="A11" s="23" t="inlineStr">
        <is>
          <t>ODM-006</t>
        </is>
      </c>
      <c r="B11" s="23" t="inlineStr">
        <is>
          <t>MLK-006</t>
        </is>
      </c>
      <c r="C11" s="23" t="inlineStr">
        <is>
          <t>2026-07</t>
        </is>
      </c>
      <c r="D11" s="18" t="n">
        <v>2500</v>
      </c>
      <c r="E11" s="61" t="n">
        <v>46224</v>
      </c>
      <c r="F11" s="24">
        <f>IF($B11="","",UPPER(TRIM(SUBSTITUTE($B11&amp;$C11," ",""))))</f>
        <v/>
      </c>
      <c r="G11" s="24">
        <f>IF($A11="","",$B11)</f>
        <v/>
      </c>
      <c r="H11" s="24">
        <f>IF($A11="","",1)</f>
        <v/>
      </c>
    </row>
    <row r="12">
      <c r="A12" s="23" t="inlineStr">
        <is>
          <t>ODM-007</t>
        </is>
      </c>
      <c r="B12" s="23" t="inlineStr">
        <is>
          <t>MLK-007</t>
        </is>
      </c>
      <c r="C12" s="23" t="inlineStr">
        <is>
          <t>2026-07</t>
        </is>
      </c>
      <c r="D12" s="18" t="n">
        <v>2700</v>
      </c>
      <c r="E12" s="61" t="n">
        <v>46225</v>
      </c>
      <c r="F12" s="24">
        <f>IF($B12="","",UPPER(TRIM(SUBSTITUTE($B12&amp;$C12," ",""))))</f>
        <v/>
      </c>
      <c r="G12" s="24">
        <f>IF($A12="","",$B12)</f>
        <v/>
      </c>
      <c r="H12" s="24">
        <f>IF($A12="","",1)</f>
        <v/>
      </c>
    </row>
    <row r="13">
      <c r="A13" s="23" t="inlineStr">
        <is>
          <t>ODM-008</t>
        </is>
      </c>
      <c r="B13" s="23" t="inlineStr">
        <is>
          <t>MLK-008</t>
        </is>
      </c>
      <c r="C13" s="23" t="inlineStr">
        <is>
          <t>2026-07</t>
        </is>
      </c>
      <c r="D13" s="18" t="n">
        <v>2900</v>
      </c>
      <c r="E13" s="61" t="n">
        <v>46226</v>
      </c>
      <c r="F13" s="24">
        <f>IF($B13="","",UPPER(TRIM(SUBSTITUTE($B13&amp;$C13," ",""))))</f>
        <v/>
      </c>
      <c r="G13" s="24">
        <f>IF($A13="","",$B13)</f>
        <v/>
      </c>
      <c r="H13" s="24">
        <f>IF($A13="","",1)</f>
        <v/>
      </c>
    </row>
    <row r="14">
      <c r="A14" s="23" t="inlineStr">
        <is>
          <t>ODM-009</t>
        </is>
      </c>
      <c r="B14" s="23" t="inlineStr">
        <is>
          <t>MLK-009</t>
        </is>
      </c>
      <c r="C14" s="23" t="inlineStr">
        <is>
          <t>2026-07</t>
        </is>
      </c>
      <c r="D14" s="18" t="n">
        <v>2450</v>
      </c>
      <c r="E14" s="61" t="n">
        <v>46227</v>
      </c>
      <c r="F14" s="24">
        <f>IF($B14="","",UPPER(TRIM(SUBSTITUTE($B14&amp;$C14," ",""))))</f>
        <v/>
      </c>
      <c r="G14" s="24">
        <f>IF($A14="","",$B14)</f>
        <v/>
      </c>
      <c r="H14" s="24">
        <f>IF($A14="","",1)</f>
        <v/>
      </c>
    </row>
    <row r="15">
      <c r="A15" s="23" t="inlineStr">
        <is>
          <t>ODM-010</t>
        </is>
      </c>
      <c r="B15" s="23" t="inlineStr">
        <is>
          <t>MLK-010</t>
        </is>
      </c>
      <c r="C15" s="23" t="inlineStr">
        <is>
          <t>2026-07</t>
        </is>
      </c>
      <c r="D15" s="18" t="n">
        <v>2700</v>
      </c>
      <c r="E15" s="61" t="n">
        <v>46228</v>
      </c>
      <c r="F15" s="24">
        <f>IF($B15="","",UPPER(TRIM(SUBSTITUTE($B15&amp;$C15," ",""))))</f>
        <v/>
      </c>
      <c r="G15" s="24">
        <f>IF($A15="","",$B15)</f>
        <v/>
      </c>
      <c r="H15" s="24">
        <f>IF($A15="","",1)</f>
        <v/>
      </c>
    </row>
    <row r="16">
      <c r="A16" s="23" t="inlineStr">
        <is>
          <t>ODM-011</t>
        </is>
      </c>
      <c r="B16" s="23" t="inlineStr">
        <is>
          <t>MLK-001</t>
        </is>
      </c>
      <c r="C16" s="23" t="inlineStr">
        <is>
          <t>2026-08</t>
        </is>
      </c>
      <c r="D16" s="18" t="n">
        <v>2950</v>
      </c>
      <c r="E16" s="61" t="n">
        <v>46229</v>
      </c>
      <c r="F16" s="24">
        <f>IF($B16="","",UPPER(TRIM(SUBSTITUTE($B16&amp;$C16," ",""))))</f>
        <v/>
      </c>
      <c r="G16" s="24">
        <f>IF($A16="","",$B16)</f>
        <v/>
      </c>
      <c r="H16" s="24">
        <f>IF($A16="","",1)</f>
        <v/>
      </c>
    </row>
    <row r="17">
      <c r="A17" s="23" t="inlineStr">
        <is>
          <t>ODM-012</t>
        </is>
      </c>
      <c r="B17" s="23" t="inlineStr">
        <is>
          <t>MLK-002</t>
        </is>
      </c>
      <c r="C17" s="23" t="inlineStr">
        <is>
          <t>2026-08</t>
        </is>
      </c>
      <c r="D17" s="18" t="n">
        <v>2500</v>
      </c>
      <c r="E17" s="61" t="n">
        <v>46230</v>
      </c>
      <c r="F17" s="24">
        <f>IF($B17="","",UPPER(TRIM(SUBSTITUTE($B17&amp;$C17," ",""))))</f>
        <v/>
      </c>
      <c r="G17" s="24">
        <f>IF($A17="","",$B17)</f>
        <v/>
      </c>
      <c r="H17" s="24">
        <f>IF($A17="","",1)</f>
        <v/>
      </c>
    </row>
    <row r="18">
      <c r="A18" s="23" t="inlineStr">
        <is>
          <t>ODM-013</t>
        </is>
      </c>
      <c r="B18" s="23" t="inlineStr">
        <is>
          <t>MLK-003</t>
        </is>
      </c>
      <c r="C18" s="23" t="inlineStr">
        <is>
          <t>2026-08</t>
        </is>
      </c>
      <c r="D18" s="18" t="n">
        <v>2650</v>
      </c>
      <c r="E18" s="61" t="n">
        <v>46231</v>
      </c>
      <c r="F18" s="24">
        <f>IF($B18="","",UPPER(TRIM(SUBSTITUTE($B18&amp;$C18," ",""))))</f>
        <v/>
      </c>
      <c r="G18" s="24">
        <f>IF($A18="","",$B18)</f>
        <v/>
      </c>
      <c r="H18" s="24">
        <f>IF($A18="","",1)</f>
        <v/>
      </c>
    </row>
    <row r="19">
      <c r="A19" s="23" t="inlineStr">
        <is>
          <t>ODM-014</t>
        </is>
      </c>
      <c r="B19" s="23" t="inlineStr">
        <is>
          <t>MLK-004</t>
        </is>
      </c>
      <c r="C19" s="23" t="inlineStr">
        <is>
          <t>2026-08</t>
        </is>
      </c>
      <c r="D19" s="18" t="n">
        <v>2800</v>
      </c>
      <c r="E19" s="61" t="n">
        <v>46232</v>
      </c>
      <c r="F19" s="24">
        <f>IF($B19="","",UPPER(TRIM(SUBSTITUTE($B19&amp;$C19," ",""))))</f>
        <v/>
      </c>
      <c r="G19" s="24">
        <f>IF($A19="","",$B19)</f>
        <v/>
      </c>
      <c r="H19" s="24">
        <f>IF($A19="","",1)</f>
        <v/>
      </c>
    </row>
    <row r="20">
      <c r="A20" s="23" t="inlineStr">
        <is>
          <t>ODM-021</t>
        </is>
      </c>
      <c r="B20" s="23" t="inlineStr">
        <is>
          <t>MLK-006</t>
        </is>
      </c>
      <c r="C20" s="23" t="inlineStr">
        <is>
          <t>2026-06</t>
        </is>
      </c>
      <c r="D20" s="18" t="n">
        <v>2400</v>
      </c>
      <c r="E20" s="61" t="n">
        <v>46193</v>
      </c>
      <c r="F20" s="24">
        <f>IF($B20="","",UPPER(TRIM(SUBSTITUTE($B20&amp;$C20," ",""))))</f>
        <v/>
      </c>
      <c r="G20" s="24">
        <f>IF($A20="","",$B20)</f>
        <v/>
      </c>
      <c r="H20" s="24">
        <f>IF($A20="","",1)</f>
        <v/>
      </c>
    </row>
    <row r="21">
      <c r="A21" s="23" t="inlineStr">
        <is>
          <t>ODM-022</t>
        </is>
      </c>
      <c r="B21" s="23" t="inlineStr">
        <is>
          <t>MLK-999</t>
        </is>
      </c>
      <c r="C21" s="23" t="inlineStr">
        <is>
          <t>2026-08</t>
        </is>
      </c>
      <c r="D21" s="18" t="n">
        <v>2500</v>
      </c>
      <c r="E21" s="61" t="n">
        <v>46239</v>
      </c>
      <c r="F21" s="24">
        <f>IF($B21="","",UPPER(TRIM(SUBSTITUTE($B21&amp;$C21," ",""))))</f>
        <v/>
      </c>
      <c r="G21" s="24">
        <f>IF($A21="","",$B21)</f>
        <v/>
      </c>
      <c r="H21" s="24">
        <f>IF($A21="","",1)</f>
        <v/>
      </c>
    </row>
    <row r="22">
      <c r="F22" s="24">
        <f>IF($B22="","",UPPER(TRIM(SUBSTITUTE($B22&amp;$C22," ",""))))</f>
        <v/>
      </c>
      <c r="G22" s="24">
        <f>IF($A22="","",$B22)</f>
        <v/>
      </c>
      <c r="H22" s="24">
        <f>IF($A22="","",1)</f>
        <v/>
      </c>
    </row>
    <row r="23">
      <c r="F23" s="24">
        <f>IF($B23="","",UPPER(TRIM(SUBSTITUTE($B23&amp;$C23," ",""))))</f>
        <v/>
      </c>
      <c r="G23" s="24">
        <f>IF($A23="","",$B23)</f>
        <v/>
      </c>
      <c r="H23" s="24">
        <f>IF($A23="","",1)</f>
        <v/>
      </c>
    </row>
    <row r="24">
      <c r="F24" s="24">
        <f>IF($B24="","",UPPER(TRIM(SUBSTITUTE($B24&amp;$C24," ",""))))</f>
        <v/>
      </c>
      <c r="G24" s="24">
        <f>IF($A24="","",$B24)</f>
        <v/>
      </c>
      <c r="H24" s="24">
        <f>IF($A24="","",1)</f>
        <v/>
      </c>
    </row>
    <row r="25">
      <c r="F25" s="24">
        <f>IF($B25="","",UPPER(TRIM(SUBSTITUTE($B25&amp;$C25," ",""))))</f>
        <v/>
      </c>
      <c r="G25" s="24">
        <f>IF($A25="","",$B25)</f>
        <v/>
      </c>
      <c r="H25" s="24">
        <f>IF($A25="","",1)</f>
        <v/>
      </c>
    </row>
    <row r="26">
      <c r="F26" s="24">
        <f>IF($B26="","",UPPER(TRIM(SUBSTITUTE($B26&amp;$C26," ",""))))</f>
        <v/>
      </c>
      <c r="G26" s="24">
        <f>IF($A26="","",$B26)</f>
        <v/>
      </c>
      <c r="H26" s="24">
        <f>IF($A26="","",1)</f>
        <v/>
      </c>
    </row>
    <row r="27">
      <c r="F27" s="24">
        <f>IF($B27="","",UPPER(TRIM(SUBSTITUTE($B27&amp;$C27," ",""))))</f>
        <v/>
      </c>
      <c r="G27" s="24">
        <f>IF($A27="","",$B27)</f>
        <v/>
      </c>
      <c r="H27" s="24">
        <f>IF($A27="","",1)</f>
        <v/>
      </c>
    </row>
    <row r="28">
      <c r="F28" s="24">
        <f>IF($B28="","",UPPER(TRIM(SUBSTITUTE($B28&amp;$C28," ",""))))</f>
        <v/>
      </c>
      <c r="G28" s="24">
        <f>IF($A28="","",$B28)</f>
        <v/>
      </c>
      <c r="H28" s="24">
        <f>IF($A28="","",1)</f>
        <v/>
      </c>
    </row>
    <row r="29">
      <c r="F29" s="24">
        <f>IF($B29="","",UPPER(TRIM(SUBSTITUTE($B29&amp;$C29," ",""))))</f>
        <v/>
      </c>
      <c r="G29" s="24">
        <f>IF($A29="","",$B29)</f>
        <v/>
      </c>
      <c r="H29" s="24">
        <f>IF($A29="","",1)</f>
        <v/>
      </c>
    </row>
    <row r="30">
      <c r="F30" s="24">
        <f>IF($B30="","",UPPER(TRIM(SUBSTITUTE($B30&amp;$C30," ",""))))</f>
        <v/>
      </c>
      <c r="G30" s="24">
        <f>IF($A30="","",$B30)</f>
        <v/>
      </c>
      <c r="H30" s="24">
        <f>IF($A30="","",1)</f>
        <v/>
      </c>
    </row>
    <row r="31">
      <c r="F31" s="24">
        <f>IF($B31="","",UPPER(TRIM(SUBSTITUTE($B31&amp;$C31," ",""))))</f>
        <v/>
      </c>
      <c r="G31" s="24">
        <f>IF($A31="","",$B31)</f>
        <v/>
      </c>
      <c r="H31" s="24">
        <f>IF($A31="","",1)</f>
        <v/>
      </c>
    </row>
    <row r="32">
      <c r="F32" s="24">
        <f>IF($B32="","",UPPER(TRIM(SUBSTITUTE($B32&amp;$C32," ",""))))</f>
        <v/>
      </c>
      <c r="G32" s="24">
        <f>IF($A32="","",$B32)</f>
        <v/>
      </c>
      <c r="H32" s="24">
        <f>IF($A32="","",1)</f>
        <v/>
      </c>
    </row>
    <row r="33">
      <c r="F33" s="24">
        <f>IF($B33="","",UPPER(TRIM(SUBSTITUTE($B33&amp;$C33," ",""))))</f>
        <v/>
      </c>
      <c r="G33" s="24">
        <f>IF($A33="","",$B33)</f>
        <v/>
      </c>
      <c r="H33" s="24">
        <f>IF($A33="","",1)</f>
        <v/>
      </c>
    </row>
    <row r="34">
      <c r="F34" s="24">
        <f>IF($B34="","",UPPER(TRIM(SUBSTITUTE($B34&amp;$C34," ",""))))</f>
        <v/>
      </c>
      <c r="G34" s="24">
        <f>IF($A34="","",$B34)</f>
        <v/>
      </c>
      <c r="H34" s="24">
        <f>IF($A34="","",1)</f>
        <v/>
      </c>
    </row>
    <row r="35">
      <c r="F35" s="24">
        <f>IF($B35="","",UPPER(TRIM(SUBSTITUTE($B35&amp;$C35," ",""))))</f>
        <v/>
      </c>
      <c r="G35" s="24">
        <f>IF($A35="","",$B35)</f>
        <v/>
      </c>
      <c r="H35" s="24">
        <f>IF($A35="","",1)</f>
        <v/>
      </c>
    </row>
    <row r="36">
      <c r="F36" s="24">
        <f>IF($B36="","",UPPER(TRIM(SUBSTITUTE($B36&amp;$C36," ",""))))</f>
        <v/>
      </c>
      <c r="G36" s="24">
        <f>IF($A36="","",$B36)</f>
        <v/>
      </c>
      <c r="H36" s="24">
        <f>IF($A36="","",1)</f>
        <v/>
      </c>
    </row>
    <row r="37">
      <c r="F37" s="24">
        <f>IF($B37="","",UPPER(TRIM(SUBSTITUTE($B37&amp;$C37," ",""))))</f>
        <v/>
      </c>
      <c r="G37" s="24">
        <f>IF($A37="","",$B37)</f>
        <v/>
      </c>
      <c r="H37" s="24">
        <f>IF($A37="","",1)</f>
        <v/>
      </c>
    </row>
    <row r="38">
      <c r="F38" s="24">
        <f>IF($B38="","",UPPER(TRIM(SUBSTITUTE($B38&amp;$C38," ",""))))</f>
        <v/>
      </c>
      <c r="G38" s="24">
        <f>IF($A38="","",$B38)</f>
        <v/>
      </c>
      <c r="H38" s="24">
        <f>IF($A38="","",1)</f>
        <v/>
      </c>
    </row>
    <row r="39">
      <c r="F39" s="24">
        <f>IF($B39="","",UPPER(TRIM(SUBSTITUTE($B39&amp;$C39," ",""))))</f>
        <v/>
      </c>
      <c r="G39" s="24">
        <f>IF($A39="","",$B39)</f>
        <v/>
      </c>
      <c r="H39" s="24">
        <f>IF($A39="","",1)</f>
        <v/>
      </c>
    </row>
    <row r="40">
      <c r="F40" s="24">
        <f>IF($B40="","",UPPER(TRIM(SUBSTITUTE($B40&amp;$C40," ",""))))</f>
        <v/>
      </c>
      <c r="G40" s="24">
        <f>IF($A40="","",$B40)</f>
        <v/>
      </c>
      <c r="H40" s="24">
        <f>IF($A40="","",1)</f>
        <v/>
      </c>
    </row>
    <row r="41">
      <c r="F41" s="24">
        <f>IF($B41="","",UPPER(TRIM(SUBSTITUTE($B41&amp;$C41," ",""))))</f>
        <v/>
      </c>
      <c r="G41" s="24">
        <f>IF($A41="","",$B41)</f>
        <v/>
      </c>
      <c r="H41" s="24">
        <f>IF($A41="","",1)</f>
        <v/>
      </c>
    </row>
    <row r="42">
      <c r="F42" s="24">
        <f>IF($B42="","",UPPER(TRIM(SUBSTITUTE($B42&amp;$C42," ",""))))</f>
        <v/>
      </c>
      <c r="G42" s="24">
        <f>IF($A42="","",$B42)</f>
        <v/>
      </c>
      <c r="H42" s="24">
        <f>IF($A42="","",1)</f>
        <v/>
      </c>
    </row>
    <row r="43">
      <c r="F43" s="24">
        <f>IF($B43="","",UPPER(TRIM(SUBSTITUTE($B43&amp;$C43," ",""))))</f>
        <v/>
      </c>
      <c r="G43" s="24">
        <f>IF($A43="","",$B43)</f>
        <v/>
      </c>
      <c r="H43" s="24">
        <f>IF($A43="","",1)</f>
        <v/>
      </c>
    </row>
    <row r="44">
      <c r="F44" s="24">
        <f>IF($B44="","",UPPER(TRIM(SUBSTITUTE($B44&amp;$C44," ",""))))</f>
        <v/>
      </c>
      <c r="G44" s="24">
        <f>IF($A44="","",$B44)</f>
        <v/>
      </c>
      <c r="H44" s="24">
        <f>IF($A44="","",1)</f>
        <v/>
      </c>
    </row>
    <row r="45">
      <c r="F45" s="24">
        <f>IF($B45="","",UPPER(TRIM(SUBSTITUTE($B45&amp;$C45," ",""))))</f>
        <v/>
      </c>
      <c r="G45" s="24">
        <f>IF($A45="","",$B45)</f>
        <v/>
      </c>
      <c r="H45" s="24">
        <f>IF($A45="","",1)</f>
        <v/>
      </c>
    </row>
    <row r="46">
      <c r="F46" s="24">
        <f>IF($B46="","",UPPER(TRIM(SUBSTITUTE($B46&amp;$C46," ",""))))</f>
        <v/>
      </c>
      <c r="G46" s="24">
        <f>IF($A46="","",$B46)</f>
        <v/>
      </c>
      <c r="H46" s="24">
        <f>IF($A46="","",1)</f>
        <v/>
      </c>
    </row>
    <row r="47">
      <c r="F47" s="24">
        <f>IF($B47="","",UPPER(TRIM(SUBSTITUTE($B47&amp;$C47," ",""))))</f>
        <v/>
      </c>
      <c r="G47" s="24">
        <f>IF($A47="","",$B47)</f>
        <v/>
      </c>
      <c r="H47" s="24">
        <f>IF($A47="","",1)</f>
        <v/>
      </c>
    </row>
    <row r="48">
      <c r="F48" s="24">
        <f>IF($B48="","",UPPER(TRIM(SUBSTITUTE($B48&amp;$C48," ",""))))</f>
        <v/>
      </c>
      <c r="G48" s="24">
        <f>IF($A48="","",$B48)</f>
        <v/>
      </c>
      <c r="H48" s="24">
        <f>IF($A48="","",1)</f>
        <v/>
      </c>
    </row>
    <row r="49">
      <c r="F49" s="24">
        <f>IF($B49="","",UPPER(TRIM(SUBSTITUTE($B49&amp;$C49," ",""))))</f>
        <v/>
      </c>
      <c r="G49" s="24">
        <f>IF($A49="","",$B49)</f>
        <v/>
      </c>
      <c r="H49" s="24">
        <f>IF($A49="","",1)</f>
        <v/>
      </c>
    </row>
    <row r="50">
      <c r="F50" s="24">
        <f>IF($B50="","",UPPER(TRIM(SUBSTITUTE($B50&amp;$C50," ",""))))</f>
        <v/>
      </c>
      <c r="G50" s="24">
        <f>IF($A50="","",$B50)</f>
        <v/>
      </c>
      <c r="H50" s="24">
        <f>IF($A50="","",1)</f>
        <v/>
      </c>
    </row>
    <row r="51">
      <c r="F51" s="24">
        <f>IF($B51="","",UPPER(TRIM(SUBSTITUTE($B51&amp;$C51," ",""))))</f>
        <v/>
      </c>
      <c r="G51" s="24">
        <f>IF($A51="","",$B51)</f>
        <v/>
      </c>
      <c r="H51" s="24">
        <f>IF($A51="","",1)</f>
        <v/>
      </c>
    </row>
    <row r="52">
      <c r="F52" s="24">
        <f>IF($B52="","",UPPER(TRIM(SUBSTITUTE($B52&amp;$C52," ",""))))</f>
        <v/>
      </c>
      <c r="G52" s="24">
        <f>IF($A52="","",$B52)</f>
        <v/>
      </c>
      <c r="H52" s="24">
        <f>IF($A52="","",1)</f>
        <v/>
      </c>
    </row>
    <row r="53">
      <c r="F53" s="24">
        <f>IF($B53="","",UPPER(TRIM(SUBSTITUTE($B53&amp;$C53," ",""))))</f>
        <v/>
      </c>
      <c r="G53" s="24">
        <f>IF($A53="","",$B53)</f>
        <v/>
      </c>
      <c r="H53" s="24">
        <f>IF($A53="","",1)</f>
        <v/>
      </c>
    </row>
    <row r="54">
      <c r="F54" s="24">
        <f>IF($B54="","",UPPER(TRIM(SUBSTITUTE($B54&amp;$C54," ",""))))</f>
        <v/>
      </c>
      <c r="G54" s="24">
        <f>IF($A54="","",$B54)</f>
        <v/>
      </c>
      <c r="H54" s="24">
        <f>IF($A54="","",1)</f>
        <v/>
      </c>
    </row>
    <row r="55">
      <c r="F55" s="24">
        <f>IF($B55="","",UPPER(TRIM(SUBSTITUTE($B55&amp;$C55," ",""))))</f>
        <v/>
      </c>
      <c r="G55" s="24">
        <f>IF($A55="","",$B55)</f>
        <v/>
      </c>
      <c r="H55" s="24">
        <f>IF($A55="","",1)</f>
        <v/>
      </c>
    </row>
    <row r="56">
      <c r="F56" s="24">
        <f>IF($B56="","",UPPER(TRIM(SUBSTITUTE($B56&amp;$C56," ",""))))</f>
        <v/>
      </c>
      <c r="G56" s="24">
        <f>IF($A56="","",$B56)</f>
        <v/>
      </c>
      <c r="H56" s="24">
        <f>IF($A56="","",1)</f>
        <v/>
      </c>
    </row>
    <row r="57">
      <c r="F57" s="24">
        <f>IF($B57="","",UPPER(TRIM(SUBSTITUTE($B57&amp;$C57," ",""))))</f>
        <v/>
      </c>
      <c r="G57" s="24">
        <f>IF($A57="","",$B57)</f>
        <v/>
      </c>
      <c r="H57" s="24">
        <f>IF($A57="","",1)</f>
        <v/>
      </c>
    </row>
    <row r="58">
      <c r="F58" s="24">
        <f>IF($B58="","",UPPER(TRIM(SUBSTITUTE($B58&amp;$C58," ",""))))</f>
        <v/>
      </c>
      <c r="G58" s="24">
        <f>IF($A58="","",$B58)</f>
        <v/>
      </c>
      <c r="H58" s="24">
        <f>IF($A58="","",1)</f>
        <v/>
      </c>
    </row>
    <row r="59">
      <c r="F59" s="24">
        <f>IF($B59="","",UPPER(TRIM(SUBSTITUTE($B59&amp;$C59," ",""))))</f>
        <v/>
      </c>
      <c r="G59" s="24">
        <f>IF($A59="","",$B59)</f>
        <v/>
      </c>
      <c r="H59" s="24">
        <f>IF($A59="","",1)</f>
        <v/>
      </c>
    </row>
    <row r="60">
      <c r="F60" s="24">
        <f>IF($B60="","",UPPER(TRIM(SUBSTITUTE($B60&amp;$C60," ",""))))</f>
        <v/>
      </c>
      <c r="G60" s="24">
        <f>IF($A60="","",$B60)</f>
        <v/>
      </c>
      <c r="H60" s="24">
        <f>IF($A60="","",1)</f>
        <v/>
      </c>
    </row>
    <row r="61">
      <c r="F61" s="24">
        <f>IF($B61="","",UPPER(TRIM(SUBSTITUTE($B61&amp;$C61," ",""))))</f>
        <v/>
      </c>
      <c r="G61" s="24">
        <f>IF($A61="","",$B61)</f>
        <v/>
      </c>
      <c r="H61" s="24">
        <f>IF($A61="","",1)</f>
        <v/>
      </c>
    </row>
    <row r="62">
      <c r="F62" s="24">
        <f>IF($B62="","",UPPER(TRIM(SUBSTITUTE($B62&amp;$C62," ",""))))</f>
        <v/>
      </c>
      <c r="G62" s="24">
        <f>IF($A62="","",$B62)</f>
        <v/>
      </c>
      <c r="H62" s="24">
        <f>IF($A62="","",1)</f>
        <v/>
      </c>
    </row>
    <row r="63">
      <c r="F63" s="24">
        <f>IF($B63="","",UPPER(TRIM(SUBSTITUTE($B63&amp;$C63," ",""))))</f>
        <v/>
      </c>
      <c r="G63" s="24">
        <f>IF($A63="","",$B63)</f>
        <v/>
      </c>
      <c r="H63" s="24">
        <f>IF($A63="","",1)</f>
        <v/>
      </c>
    </row>
    <row r="64">
      <c r="F64" s="24">
        <f>IF($B64="","",UPPER(TRIM(SUBSTITUTE($B64&amp;$C64," ",""))))</f>
        <v/>
      </c>
      <c r="G64" s="24">
        <f>IF($A64="","",$B64)</f>
        <v/>
      </c>
      <c r="H64" s="24">
        <f>IF($A64="","",1)</f>
        <v/>
      </c>
    </row>
    <row r="65">
      <c r="F65" s="24">
        <f>IF($B65="","",UPPER(TRIM(SUBSTITUTE($B65&amp;$C65," ",""))))</f>
        <v/>
      </c>
      <c r="G65" s="24">
        <f>IF($A65="","",$B65)</f>
        <v/>
      </c>
      <c r="H65" s="24">
        <f>IF($A65="","",1)</f>
        <v/>
      </c>
    </row>
    <row r="66">
      <c r="F66" s="24">
        <f>IF($B66="","",UPPER(TRIM(SUBSTITUTE($B66&amp;$C66," ",""))))</f>
        <v/>
      </c>
      <c r="G66" s="24">
        <f>IF($A66="","",$B66)</f>
        <v/>
      </c>
      <c r="H66" s="24">
        <f>IF($A66="","",1)</f>
        <v/>
      </c>
    </row>
    <row r="67">
      <c r="F67" s="24">
        <f>IF($B67="","",UPPER(TRIM(SUBSTITUTE($B67&amp;$C67," ",""))))</f>
        <v/>
      </c>
      <c r="G67" s="24">
        <f>IF($A67="","",$B67)</f>
        <v/>
      </c>
      <c r="H67" s="24">
        <f>IF($A67="","",1)</f>
        <v/>
      </c>
    </row>
    <row r="68">
      <c r="F68" s="24">
        <f>IF($B68="","",UPPER(TRIM(SUBSTITUTE($B68&amp;$C68," ",""))))</f>
        <v/>
      </c>
      <c r="G68" s="24">
        <f>IF($A68="","",$B68)</f>
        <v/>
      </c>
      <c r="H68" s="24">
        <f>IF($A68="","",1)</f>
        <v/>
      </c>
    </row>
    <row r="69">
      <c r="F69" s="24">
        <f>IF($B69="","",UPPER(TRIM(SUBSTITUTE($B69&amp;$C69," ",""))))</f>
        <v/>
      </c>
      <c r="G69" s="24">
        <f>IF($A69="","",$B69)</f>
        <v/>
      </c>
      <c r="H69" s="24">
        <f>IF($A69="","",1)</f>
        <v/>
      </c>
    </row>
    <row r="70">
      <c r="F70" s="24">
        <f>IF($B70="","",UPPER(TRIM(SUBSTITUTE($B70&amp;$C70," ",""))))</f>
        <v/>
      </c>
      <c r="G70" s="24">
        <f>IF($A70="","",$B70)</f>
        <v/>
      </c>
      <c r="H70" s="24">
        <f>IF($A70="","",1)</f>
        <v/>
      </c>
    </row>
    <row r="71">
      <c r="F71" s="24">
        <f>IF($B71="","",UPPER(TRIM(SUBSTITUTE($B71&amp;$C71," ",""))))</f>
        <v/>
      </c>
      <c r="G71" s="24">
        <f>IF($A71="","",$B71)</f>
        <v/>
      </c>
      <c r="H71" s="24">
        <f>IF($A71="","",1)</f>
        <v/>
      </c>
    </row>
    <row r="72">
      <c r="F72" s="24">
        <f>IF($B72="","",UPPER(TRIM(SUBSTITUTE($B72&amp;$C72," ",""))))</f>
        <v/>
      </c>
      <c r="G72" s="24">
        <f>IF($A72="","",$B72)</f>
        <v/>
      </c>
      <c r="H72" s="24">
        <f>IF($A72="","",1)</f>
        <v/>
      </c>
    </row>
    <row r="73">
      <c r="F73" s="24">
        <f>IF($B73="","",UPPER(TRIM(SUBSTITUTE($B73&amp;$C73," ",""))))</f>
        <v/>
      </c>
      <c r="G73" s="24">
        <f>IF($A73="","",$B73)</f>
        <v/>
      </c>
      <c r="H73" s="24">
        <f>IF($A73="","",1)</f>
        <v/>
      </c>
    </row>
    <row r="74">
      <c r="F74" s="24">
        <f>IF($B74="","",UPPER(TRIM(SUBSTITUTE($B74&amp;$C74," ",""))))</f>
        <v/>
      </c>
      <c r="G74" s="24">
        <f>IF($A74="","",$B74)</f>
        <v/>
      </c>
      <c r="H74" s="24">
        <f>IF($A74="","",1)</f>
        <v/>
      </c>
    </row>
    <row r="75">
      <c r="F75" s="24">
        <f>IF($B75="","",UPPER(TRIM(SUBSTITUTE($B75&amp;$C75," ",""))))</f>
        <v/>
      </c>
      <c r="G75" s="24">
        <f>IF($A75="","",$B75)</f>
        <v/>
      </c>
      <c r="H75" s="24">
        <f>IF($A75="","",1)</f>
        <v/>
      </c>
    </row>
    <row r="76">
      <c r="F76" s="24">
        <f>IF($B76="","",UPPER(TRIM(SUBSTITUTE($B76&amp;$C76," ",""))))</f>
        <v/>
      </c>
      <c r="G76" s="24">
        <f>IF($A76="","",$B76)</f>
        <v/>
      </c>
      <c r="H76" s="24">
        <f>IF($A76="","",1)</f>
        <v/>
      </c>
    </row>
    <row r="77">
      <c r="F77" s="24">
        <f>IF($B77="","",UPPER(TRIM(SUBSTITUTE($B77&amp;$C77," ",""))))</f>
        <v/>
      </c>
      <c r="G77" s="24">
        <f>IF($A77="","",$B77)</f>
        <v/>
      </c>
      <c r="H77" s="24">
        <f>IF($A77="","",1)</f>
        <v/>
      </c>
    </row>
    <row r="78">
      <c r="F78" s="24">
        <f>IF($B78="","",UPPER(TRIM(SUBSTITUTE($B78&amp;$C78," ",""))))</f>
        <v/>
      </c>
      <c r="G78" s="24">
        <f>IF($A78="","",$B78)</f>
        <v/>
      </c>
      <c r="H78" s="24">
        <f>IF($A78="","",1)</f>
        <v/>
      </c>
    </row>
    <row r="79">
      <c r="F79" s="24">
        <f>IF($B79="","",UPPER(TRIM(SUBSTITUTE($B79&amp;$C79," ",""))))</f>
        <v/>
      </c>
      <c r="G79" s="24">
        <f>IF($A79="","",$B79)</f>
        <v/>
      </c>
      <c r="H79" s="24">
        <f>IF($A79="","",1)</f>
        <v/>
      </c>
    </row>
    <row r="80">
      <c r="F80" s="24">
        <f>IF($B80="","",UPPER(TRIM(SUBSTITUTE($B80&amp;$C80," ",""))))</f>
        <v/>
      </c>
      <c r="G80" s="24">
        <f>IF($A80="","",$B80)</f>
        <v/>
      </c>
      <c r="H80" s="24">
        <f>IF($A80="","",1)</f>
        <v/>
      </c>
    </row>
    <row r="81">
      <c r="F81" s="24">
        <f>IF($B81="","",UPPER(TRIM(SUBSTITUTE($B81&amp;$C81," ",""))))</f>
        <v/>
      </c>
      <c r="G81" s="24">
        <f>IF($A81="","",$B81)</f>
        <v/>
      </c>
      <c r="H81" s="24">
        <f>IF($A81="","",1)</f>
        <v/>
      </c>
    </row>
    <row r="82">
      <c r="F82" s="24">
        <f>IF($B82="","",UPPER(TRIM(SUBSTITUTE($B82&amp;$C82," ",""))))</f>
        <v/>
      </c>
      <c r="G82" s="24">
        <f>IF($A82="","",$B82)</f>
        <v/>
      </c>
      <c r="H82" s="24">
        <f>IF($A82="","",1)</f>
        <v/>
      </c>
    </row>
    <row r="83">
      <c r="F83" s="24">
        <f>IF($B83="","",UPPER(TRIM(SUBSTITUTE($B83&amp;$C83," ",""))))</f>
        <v/>
      </c>
      <c r="G83" s="24">
        <f>IF($A83="","",$B83)</f>
        <v/>
      </c>
      <c r="H83" s="24">
        <f>IF($A83="","",1)</f>
        <v/>
      </c>
    </row>
    <row r="84">
      <c r="F84" s="24">
        <f>IF($B84="","",UPPER(TRIM(SUBSTITUTE($B84&amp;$C84," ",""))))</f>
        <v/>
      </c>
      <c r="G84" s="24">
        <f>IF($A84="","",$B84)</f>
        <v/>
      </c>
      <c r="H84" s="24">
        <f>IF($A84="","",1)</f>
        <v/>
      </c>
    </row>
    <row r="85">
      <c r="F85" s="24">
        <f>IF($B85="","",UPPER(TRIM(SUBSTITUTE($B85&amp;$C85," ",""))))</f>
        <v/>
      </c>
      <c r="G85" s="24">
        <f>IF($A85="","",$B85)</f>
        <v/>
      </c>
      <c r="H85" s="24">
        <f>IF($A85="","",1)</f>
        <v/>
      </c>
    </row>
    <row r="86">
      <c r="F86" s="24">
        <f>IF($B86="","",UPPER(TRIM(SUBSTITUTE($B86&amp;$C86," ",""))))</f>
        <v/>
      </c>
      <c r="G86" s="24">
        <f>IF($A86="","",$B86)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2">
    <dataValidation sqref="D6:D1005" showDropDown="0" showInputMessage="1" showErrorMessage="1" allowBlank="1" errorTitle="Ödeme" error="0 veya üzeri" promptTitle="Ödeme" prompt="≥ 0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Tarih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5.5" customWidth="1" min="3" max="3"/>
    <col width="18.5" customWidth="1" min="4" max="4"/>
    <col width="15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.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175" t="inlineStr">
        <is>
          <t>ANAHTAR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</row>
    <row r="2"/>
    <row r="3" ht="22" customHeight="1">
      <c r="A3" s="194" t="inlineStr">
        <is>
          <t>Normalize malik+dönem anahtarı + duplike (E01/E05)</t>
        </is>
      </c>
    </row>
    <row r="4">
      <c r="A4" s="9" t="inlineStr">
        <is>
          <t>A Tarafı (Borç)</t>
        </is>
      </c>
      <c r="I4" s="9" t="inlineStr">
        <is>
          <t>B Tarafı (Tahsilat)</t>
        </is>
      </c>
    </row>
    <row r="5" ht="30" customHeight="1">
      <c r="A5" s="22" t="inlineStr">
        <is>
          <t>Ham</t>
        </is>
      </c>
      <c r="B5" s="22" t="inlineStr">
        <is>
          <t>Norm</t>
        </is>
      </c>
      <c r="C5" s="22" t="inlineStr">
        <is>
          <t>NormUzunluk</t>
        </is>
      </c>
      <c r="D5" s="22" t="inlineStr">
        <is>
          <t>IkincilAnahtar</t>
        </is>
      </c>
      <c r="E5" s="22" t="inlineStr">
        <is>
          <t>KaynakTaraf</t>
        </is>
      </c>
      <c r="F5" s="22" t="inlineStr">
        <is>
          <t>Duplike</t>
        </is>
      </c>
      <c r="G5" s="22" t="inlineStr">
        <is>
          <t>SatirNo</t>
        </is>
      </c>
      <c r="I5" s="22" t="inlineStr">
        <is>
          <t>HamB</t>
        </is>
      </c>
      <c r="J5" s="22" t="inlineStr">
        <is>
          <t>NormB</t>
        </is>
      </c>
      <c r="K5" s="22" t="inlineStr">
        <is>
          <t>NormUzunlukB</t>
        </is>
      </c>
      <c r="L5" s="22" t="inlineStr">
        <is>
          <t>IkincilB</t>
        </is>
      </c>
      <c r="M5" s="22" t="inlineStr">
        <is>
          <t>KaynakB</t>
        </is>
      </c>
      <c r="N5" s="22" t="inlineStr">
        <is>
          <t>DuplikeB</t>
        </is>
      </c>
      <c r="O5" s="22" t="inlineStr">
        <is>
          <t>SatirNoB</t>
        </is>
      </c>
    </row>
    <row r="6">
      <c r="A6" s="12">
        <f>IF(DONEMLER!A6="","",DONEMLER!F6)</f>
        <v/>
      </c>
      <c r="B6" s="24">
        <f>IF($A6="","",UPPER(TRIM(SUBSTITUTE($A6," ",""))))</f>
        <v/>
      </c>
      <c r="C6" s="24">
        <f>IF($B6="",0,LEN($B6))</f>
        <v/>
      </c>
      <c r="D6" s="24">
        <f>IF($B6="","",LEFT($B6,say_ikincilUzunluk))</f>
        <v/>
      </c>
      <c r="E6" s="24">
        <f>"A"</f>
        <v/>
      </c>
      <c r="F6" s="24">
        <f>IF($B6="","",IF(COUNTIF(tblAnahtarA[Norm],$B6)&gt;1,"EVET","HAYIR"))</f>
        <v/>
      </c>
      <c r="G6" s="24">
        <f>IF($A6="","",ROW()-ROW($A$5))</f>
        <v/>
      </c>
      <c r="I6" s="12">
        <f>IF(TAHSILAT!A6="","",TAHSILAT!F6)</f>
        <v/>
      </c>
      <c r="J6" s="24">
        <f>IF($I6="","",UPPER(TRIM(SUBSTITUTE($I6," ",""))))</f>
        <v/>
      </c>
      <c r="K6" s="24">
        <f>IF($J6="",0,LEN($J6))</f>
        <v/>
      </c>
      <c r="L6" s="24">
        <f>IF($J6="","",LEFT($J6,say_ikincilUzunluk))</f>
        <v/>
      </c>
      <c r="M6" s="24">
        <f>"B"</f>
        <v/>
      </c>
      <c r="N6" s="24">
        <f>IF($J6="","",IF(COUNTIF(tblAnahtarB[NormB],$J6)&gt;1,"EVET","HAYIR"))</f>
        <v/>
      </c>
      <c r="O6" s="24">
        <f>IF($I6="","",ROW()-ROW($I$5))</f>
        <v/>
      </c>
    </row>
    <row r="7">
      <c r="A7" s="12">
        <f>IF(DONEMLER!A7="","",DONEMLER!F7)</f>
        <v/>
      </c>
      <c r="B7" s="24">
        <f>IF($A7="","",UPPER(TRIM(SUBSTITUTE($A7," ",""))))</f>
        <v/>
      </c>
      <c r="C7" s="24">
        <f>IF($B7="",0,LEN($B7))</f>
        <v/>
      </c>
      <c r="D7" s="24">
        <f>IF($B7="","",LEFT($B7,say_ikincilUzunluk))</f>
        <v/>
      </c>
      <c r="E7" s="24">
        <f>"A"</f>
        <v/>
      </c>
      <c r="F7" s="24">
        <f>IF($B7="","",IF(COUNTIF(tblAnahtarA[Norm],$B7)&gt;1,"EVET","HAYIR"))</f>
        <v/>
      </c>
      <c r="G7" s="24">
        <f>IF($A7="","",ROW()-ROW($A$5))</f>
        <v/>
      </c>
      <c r="I7" s="12">
        <f>IF(TAHSILAT!A7="","",TAHSILAT!F7)</f>
        <v/>
      </c>
      <c r="J7" s="24">
        <f>IF($I7="","",UPPER(TRIM(SUBSTITUTE($I7," ",""))))</f>
        <v/>
      </c>
      <c r="K7" s="24">
        <f>IF($J7="",0,LEN($J7))</f>
        <v/>
      </c>
      <c r="L7" s="24">
        <f>IF($J7="","",LEFT($J7,say_ikincilUzunluk))</f>
        <v/>
      </c>
      <c r="M7" s="24">
        <f>"B"</f>
        <v/>
      </c>
      <c r="N7" s="24">
        <f>IF($J7="","",IF(COUNTIF(tblAnahtarB[NormB],$J7)&gt;1,"EVET","HAYIR"))</f>
        <v/>
      </c>
      <c r="O7" s="24">
        <f>IF($I7="","",ROW()-ROW($I$5))</f>
        <v/>
      </c>
    </row>
    <row r="8">
      <c r="A8" s="12">
        <f>IF(DONEMLER!A8="","",DONEMLER!F8)</f>
        <v/>
      </c>
      <c r="B8" s="24">
        <f>IF($A8="","",UPPER(TRIM(SUBSTITUTE($A8," ",""))))</f>
        <v/>
      </c>
      <c r="C8" s="24">
        <f>IF($B8="",0,LEN($B8))</f>
        <v/>
      </c>
      <c r="D8" s="24">
        <f>IF($B8="","",LEFT($B8,say_ikincilUzunluk))</f>
        <v/>
      </c>
      <c r="E8" s="24">
        <f>"A"</f>
        <v/>
      </c>
      <c r="F8" s="24">
        <f>IF($B8="","",IF(COUNTIF(tblAnahtarA[Norm],$B8)&gt;1,"EVET","HAYIR"))</f>
        <v/>
      </c>
      <c r="G8" s="24">
        <f>IF($A8="","",ROW()-ROW($A$5))</f>
        <v/>
      </c>
      <c r="I8" s="12">
        <f>IF(TAHSILAT!A8="","",TAHSILAT!F8)</f>
        <v/>
      </c>
      <c r="J8" s="24">
        <f>IF($I8="","",UPPER(TRIM(SUBSTITUTE($I8," ",""))))</f>
        <v/>
      </c>
      <c r="K8" s="24">
        <f>IF($J8="",0,LEN($J8))</f>
        <v/>
      </c>
      <c r="L8" s="24">
        <f>IF($J8="","",LEFT($J8,say_ikincilUzunluk))</f>
        <v/>
      </c>
      <c r="M8" s="24">
        <f>"B"</f>
        <v/>
      </c>
      <c r="N8" s="24">
        <f>IF($J8="","",IF(COUNTIF(tblAnahtarB[NormB],$J8)&gt;1,"EVET","HAYIR"))</f>
        <v/>
      </c>
      <c r="O8" s="24">
        <f>IF($I8="","",ROW()-ROW($I$5))</f>
        <v/>
      </c>
    </row>
    <row r="9">
      <c r="A9" s="12">
        <f>IF(DONEMLER!A9="","",DONEMLER!F9)</f>
        <v/>
      </c>
      <c r="B9" s="24">
        <f>IF($A9="","",UPPER(TRIM(SUBSTITUTE($A9," ",""))))</f>
        <v/>
      </c>
      <c r="C9" s="24">
        <f>IF($B9="",0,LEN($B9))</f>
        <v/>
      </c>
      <c r="D9" s="24">
        <f>IF($B9="","",LEFT($B9,say_ikincilUzunluk))</f>
        <v/>
      </c>
      <c r="E9" s="24">
        <f>"A"</f>
        <v/>
      </c>
      <c r="F9" s="24">
        <f>IF($B9="","",IF(COUNTIF(tblAnahtarA[Norm],$B9)&gt;1,"EVET","HAYIR"))</f>
        <v/>
      </c>
      <c r="G9" s="24">
        <f>IF($A9="","",ROW()-ROW($A$5))</f>
        <v/>
      </c>
      <c r="I9" s="12">
        <f>IF(TAHSILAT!A9="","",TAHSILAT!F9)</f>
        <v/>
      </c>
      <c r="J9" s="24">
        <f>IF($I9="","",UPPER(TRIM(SUBSTITUTE($I9," ",""))))</f>
        <v/>
      </c>
      <c r="K9" s="24">
        <f>IF($J9="",0,LEN($J9))</f>
        <v/>
      </c>
      <c r="L9" s="24">
        <f>IF($J9="","",LEFT($J9,say_ikincilUzunluk))</f>
        <v/>
      </c>
      <c r="M9" s="24">
        <f>"B"</f>
        <v/>
      </c>
      <c r="N9" s="24">
        <f>IF($J9="","",IF(COUNTIF(tblAnahtarB[NormB],$J9)&gt;1,"EVET","HAYIR"))</f>
        <v/>
      </c>
      <c r="O9" s="24">
        <f>IF($I9="","",ROW()-ROW($I$5))</f>
        <v/>
      </c>
    </row>
    <row r="10">
      <c r="A10" s="12">
        <f>IF(DONEMLER!A10="","",DONEMLER!F10)</f>
        <v/>
      </c>
      <c r="B10" s="24">
        <f>IF($A10="","",UPPER(TRIM(SUBSTITUTE($A10," ",""))))</f>
        <v/>
      </c>
      <c r="C10" s="24">
        <f>IF($B10="",0,LEN($B10))</f>
        <v/>
      </c>
      <c r="D10" s="24">
        <f>IF($B10="","",LEFT($B10,say_ikincilUzunluk))</f>
        <v/>
      </c>
      <c r="E10" s="24">
        <f>"A"</f>
        <v/>
      </c>
      <c r="F10" s="24">
        <f>IF($B10="","",IF(COUNTIF(tblAnahtarA[Norm],$B10)&gt;1,"EVET","HAYIR"))</f>
        <v/>
      </c>
      <c r="G10" s="24">
        <f>IF($A10="","",ROW()-ROW($A$5))</f>
        <v/>
      </c>
      <c r="I10" s="12">
        <f>IF(TAHSILAT!A10="","",TAHSILAT!F10)</f>
        <v/>
      </c>
      <c r="J10" s="24">
        <f>IF($I10="","",UPPER(TRIM(SUBSTITUTE($I10," ",""))))</f>
        <v/>
      </c>
      <c r="K10" s="24">
        <f>IF($J10="",0,LEN($J10))</f>
        <v/>
      </c>
      <c r="L10" s="24">
        <f>IF($J10="","",LEFT($J10,say_ikincilUzunluk))</f>
        <v/>
      </c>
      <c r="M10" s="24">
        <f>"B"</f>
        <v/>
      </c>
      <c r="N10" s="24">
        <f>IF($J10="","",IF(COUNTIF(tblAnahtarB[NormB],$J10)&gt;1,"EVET","HAYIR"))</f>
        <v/>
      </c>
      <c r="O10" s="24">
        <f>IF($I10="","",ROW()-ROW($I$5))</f>
        <v/>
      </c>
    </row>
    <row r="11">
      <c r="A11" s="12">
        <f>IF(DONEMLER!A11="","",DONEMLER!F11)</f>
        <v/>
      </c>
      <c r="B11" s="24">
        <f>IF($A11="","",UPPER(TRIM(SUBSTITUTE($A11," ",""))))</f>
        <v/>
      </c>
      <c r="C11" s="24">
        <f>IF($B11="",0,LEN($B11))</f>
        <v/>
      </c>
      <c r="D11" s="24">
        <f>IF($B11="","",LEFT($B11,say_ikincilUzunluk))</f>
        <v/>
      </c>
      <c r="E11" s="24">
        <f>"A"</f>
        <v/>
      </c>
      <c r="F11" s="24">
        <f>IF($B11="","",IF(COUNTIF(tblAnahtarA[Norm],$B11)&gt;1,"EVET","HAYIR"))</f>
        <v/>
      </c>
      <c r="G11" s="24">
        <f>IF($A11="","",ROW()-ROW($A$5))</f>
        <v/>
      </c>
      <c r="I11" s="12">
        <f>IF(TAHSILAT!A11="","",TAHSILAT!F11)</f>
        <v/>
      </c>
      <c r="J11" s="24">
        <f>IF($I11="","",UPPER(TRIM(SUBSTITUTE($I11," ",""))))</f>
        <v/>
      </c>
      <c r="K11" s="24">
        <f>IF($J11="",0,LEN($J11))</f>
        <v/>
      </c>
      <c r="L11" s="24">
        <f>IF($J11="","",LEFT($J11,say_ikincilUzunluk))</f>
        <v/>
      </c>
      <c r="M11" s="24">
        <f>"B"</f>
        <v/>
      </c>
      <c r="N11" s="24">
        <f>IF($J11="","",IF(COUNTIF(tblAnahtarB[NormB],$J11)&gt;1,"EVET","HAYIR"))</f>
        <v/>
      </c>
      <c r="O11" s="24">
        <f>IF($I11="","",ROW()-ROW($I$5))</f>
        <v/>
      </c>
    </row>
    <row r="12">
      <c r="A12" s="12">
        <f>IF(DONEMLER!A12="","",DONEMLER!F12)</f>
        <v/>
      </c>
      <c r="B12" s="24">
        <f>IF($A12="","",UPPER(TRIM(SUBSTITUTE($A12," ",""))))</f>
        <v/>
      </c>
      <c r="C12" s="24">
        <f>IF($B12="",0,LEN($B12))</f>
        <v/>
      </c>
      <c r="D12" s="24">
        <f>IF($B12="","",LEFT($B12,say_ikincilUzunluk))</f>
        <v/>
      </c>
      <c r="E12" s="24">
        <f>"A"</f>
        <v/>
      </c>
      <c r="F12" s="24">
        <f>IF($B12="","",IF(COUNTIF(tblAnahtarA[Norm],$B12)&gt;1,"EVET","HAYIR"))</f>
        <v/>
      </c>
      <c r="G12" s="24">
        <f>IF($A12="","",ROW()-ROW($A$5))</f>
        <v/>
      </c>
      <c r="I12" s="12">
        <f>IF(TAHSILAT!A12="","",TAHSILAT!F12)</f>
        <v/>
      </c>
      <c r="J12" s="24">
        <f>IF($I12="","",UPPER(TRIM(SUBSTITUTE($I12," ",""))))</f>
        <v/>
      </c>
      <c r="K12" s="24">
        <f>IF($J12="",0,LEN($J12))</f>
        <v/>
      </c>
      <c r="L12" s="24">
        <f>IF($J12="","",LEFT($J12,say_ikincilUzunluk))</f>
        <v/>
      </c>
      <c r="M12" s="24">
        <f>"B"</f>
        <v/>
      </c>
      <c r="N12" s="24">
        <f>IF($J12="","",IF(COUNTIF(tblAnahtarB[NormB],$J12)&gt;1,"EVET","HAYIR"))</f>
        <v/>
      </c>
      <c r="O12" s="24">
        <f>IF($I12="","",ROW()-ROW($I$5))</f>
        <v/>
      </c>
    </row>
    <row r="13">
      <c r="A13" s="12">
        <f>IF(DONEMLER!A13="","",DONEMLER!F13)</f>
        <v/>
      </c>
      <c r="B13" s="24">
        <f>IF($A13="","",UPPER(TRIM(SUBSTITUTE($A13," ",""))))</f>
        <v/>
      </c>
      <c r="C13" s="24">
        <f>IF($B13="",0,LEN($B13))</f>
        <v/>
      </c>
      <c r="D13" s="24">
        <f>IF($B13="","",LEFT($B13,say_ikincilUzunluk))</f>
        <v/>
      </c>
      <c r="E13" s="24">
        <f>"A"</f>
        <v/>
      </c>
      <c r="F13" s="24">
        <f>IF($B13="","",IF(COUNTIF(tblAnahtarA[Norm],$B13)&gt;1,"EVET","HAYIR"))</f>
        <v/>
      </c>
      <c r="G13" s="24">
        <f>IF($A13="","",ROW()-ROW($A$5))</f>
        <v/>
      </c>
      <c r="I13" s="12">
        <f>IF(TAHSILAT!A13="","",TAHSILAT!F13)</f>
        <v/>
      </c>
      <c r="J13" s="24">
        <f>IF($I13="","",UPPER(TRIM(SUBSTITUTE($I13," ",""))))</f>
        <v/>
      </c>
      <c r="K13" s="24">
        <f>IF($J13="",0,LEN($J13))</f>
        <v/>
      </c>
      <c r="L13" s="24">
        <f>IF($J13="","",LEFT($J13,say_ikincilUzunluk))</f>
        <v/>
      </c>
      <c r="M13" s="24">
        <f>"B"</f>
        <v/>
      </c>
      <c r="N13" s="24">
        <f>IF($J13="","",IF(COUNTIF(tblAnahtarB[NormB],$J13)&gt;1,"EVET","HAYIR"))</f>
        <v/>
      </c>
      <c r="O13" s="24">
        <f>IF($I13="","",ROW()-ROW($I$5))</f>
        <v/>
      </c>
    </row>
    <row r="14">
      <c r="A14" s="12">
        <f>IF(DONEMLER!A14="","",DONEMLER!F14)</f>
        <v/>
      </c>
      <c r="B14" s="24">
        <f>IF($A14="","",UPPER(TRIM(SUBSTITUTE($A14," ",""))))</f>
        <v/>
      </c>
      <c r="C14" s="24">
        <f>IF($B14="",0,LEN($B14))</f>
        <v/>
      </c>
      <c r="D14" s="24">
        <f>IF($B14="","",LEFT($B14,say_ikincilUzunluk))</f>
        <v/>
      </c>
      <c r="E14" s="24">
        <f>"A"</f>
        <v/>
      </c>
      <c r="F14" s="24">
        <f>IF($B14="","",IF(COUNTIF(tblAnahtarA[Norm],$B14)&gt;1,"EVET","HAYIR"))</f>
        <v/>
      </c>
      <c r="G14" s="24">
        <f>IF($A14="","",ROW()-ROW($A$5))</f>
        <v/>
      </c>
      <c r="I14" s="12">
        <f>IF(TAHSILAT!A14="","",TAHSILAT!F14)</f>
        <v/>
      </c>
      <c r="J14" s="24">
        <f>IF($I14="","",UPPER(TRIM(SUBSTITUTE($I14," ",""))))</f>
        <v/>
      </c>
      <c r="K14" s="24">
        <f>IF($J14="",0,LEN($J14))</f>
        <v/>
      </c>
      <c r="L14" s="24">
        <f>IF($J14="","",LEFT($J14,say_ikincilUzunluk))</f>
        <v/>
      </c>
      <c r="M14" s="24">
        <f>"B"</f>
        <v/>
      </c>
      <c r="N14" s="24">
        <f>IF($J14="","",IF(COUNTIF(tblAnahtarB[NormB],$J14)&gt;1,"EVET","HAYIR"))</f>
        <v/>
      </c>
      <c r="O14" s="24">
        <f>IF($I14="","",ROW()-ROW($I$5))</f>
        <v/>
      </c>
    </row>
    <row r="15">
      <c r="A15" s="12">
        <f>IF(DONEMLER!A15="","",DONEMLER!F15)</f>
        <v/>
      </c>
      <c r="B15" s="24">
        <f>IF($A15="","",UPPER(TRIM(SUBSTITUTE($A15," ",""))))</f>
        <v/>
      </c>
      <c r="C15" s="24">
        <f>IF($B15="",0,LEN($B15))</f>
        <v/>
      </c>
      <c r="D15" s="24">
        <f>IF($B15="","",LEFT($B15,say_ikincilUzunluk))</f>
        <v/>
      </c>
      <c r="E15" s="24">
        <f>"A"</f>
        <v/>
      </c>
      <c r="F15" s="24">
        <f>IF($B15="","",IF(COUNTIF(tblAnahtarA[Norm],$B15)&gt;1,"EVET","HAYIR"))</f>
        <v/>
      </c>
      <c r="G15" s="24">
        <f>IF($A15="","",ROW()-ROW($A$5))</f>
        <v/>
      </c>
      <c r="I15" s="12">
        <f>IF(TAHSILAT!A15="","",TAHSILAT!F15)</f>
        <v/>
      </c>
      <c r="J15" s="24">
        <f>IF($I15="","",UPPER(TRIM(SUBSTITUTE($I15," ",""))))</f>
        <v/>
      </c>
      <c r="K15" s="24">
        <f>IF($J15="",0,LEN($J15))</f>
        <v/>
      </c>
      <c r="L15" s="24">
        <f>IF($J15="","",LEFT($J15,say_ikincilUzunluk))</f>
        <v/>
      </c>
      <c r="M15" s="24">
        <f>"B"</f>
        <v/>
      </c>
      <c r="N15" s="24">
        <f>IF($J15="","",IF(COUNTIF(tblAnahtarB[NormB],$J15)&gt;1,"EVET","HAYIR"))</f>
        <v/>
      </c>
      <c r="O15" s="24">
        <f>IF($I15="","",ROW()-ROW($I$5))</f>
        <v/>
      </c>
    </row>
    <row r="16">
      <c r="A16" s="12">
        <f>IF(DONEMLER!A16="","",DONEMLER!F16)</f>
        <v/>
      </c>
      <c r="B16" s="24">
        <f>IF($A16="","",UPPER(TRIM(SUBSTITUTE($A16," ",""))))</f>
        <v/>
      </c>
      <c r="C16" s="24">
        <f>IF($B16="",0,LEN($B16))</f>
        <v/>
      </c>
      <c r="D16" s="24">
        <f>IF($B16="","",LEFT($B16,say_ikincilUzunluk))</f>
        <v/>
      </c>
      <c r="E16" s="24">
        <f>"A"</f>
        <v/>
      </c>
      <c r="F16" s="24">
        <f>IF($B16="","",IF(COUNTIF(tblAnahtarA[Norm],$B16)&gt;1,"EVET","HAYIR"))</f>
        <v/>
      </c>
      <c r="G16" s="24">
        <f>IF($A16="","",ROW()-ROW($A$5))</f>
        <v/>
      </c>
      <c r="I16" s="12">
        <f>IF(TAHSILAT!A16="","",TAHSILAT!F16)</f>
        <v/>
      </c>
      <c r="J16" s="24">
        <f>IF($I16="","",UPPER(TRIM(SUBSTITUTE($I16," ",""))))</f>
        <v/>
      </c>
      <c r="K16" s="24">
        <f>IF($J16="",0,LEN($J16))</f>
        <v/>
      </c>
      <c r="L16" s="24">
        <f>IF($J16="","",LEFT($J16,say_ikincilUzunluk))</f>
        <v/>
      </c>
      <c r="M16" s="24">
        <f>"B"</f>
        <v/>
      </c>
      <c r="N16" s="24">
        <f>IF($J16="","",IF(COUNTIF(tblAnahtarB[NormB],$J16)&gt;1,"EVET","HAYIR"))</f>
        <v/>
      </c>
      <c r="O16" s="24">
        <f>IF($I16="","",ROW()-ROW($I$5))</f>
        <v/>
      </c>
    </row>
    <row r="17">
      <c r="A17" s="12">
        <f>IF(DONEMLER!A17="","",DONEMLER!F17)</f>
        <v/>
      </c>
      <c r="B17" s="24">
        <f>IF($A17="","",UPPER(TRIM(SUBSTITUTE($A17," ",""))))</f>
        <v/>
      </c>
      <c r="C17" s="24">
        <f>IF($B17="",0,LEN($B17))</f>
        <v/>
      </c>
      <c r="D17" s="24">
        <f>IF($B17="","",LEFT($B17,say_ikincilUzunluk))</f>
        <v/>
      </c>
      <c r="E17" s="24">
        <f>"A"</f>
        <v/>
      </c>
      <c r="F17" s="24">
        <f>IF($B17="","",IF(COUNTIF(tblAnahtarA[Norm],$B17)&gt;1,"EVET","HAYIR"))</f>
        <v/>
      </c>
      <c r="G17" s="24">
        <f>IF($A17="","",ROW()-ROW($A$5))</f>
        <v/>
      </c>
      <c r="I17" s="12">
        <f>IF(TAHSILAT!A17="","",TAHSILAT!F17)</f>
        <v/>
      </c>
      <c r="J17" s="24">
        <f>IF($I17="","",UPPER(TRIM(SUBSTITUTE($I17," ",""))))</f>
        <v/>
      </c>
      <c r="K17" s="24">
        <f>IF($J17="",0,LEN($J17))</f>
        <v/>
      </c>
      <c r="L17" s="24">
        <f>IF($J17="","",LEFT($J17,say_ikincilUzunluk))</f>
        <v/>
      </c>
      <c r="M17" s="24">
        <f>"B"</f>
        <v/>
      </c>
      <c r="N17" s="24">
        <f>IF($J17="","",IF(COUNTIF(tblAnahtarB[NormB],$J17)&gt;1,"EVET","HAYIR"))</f>
        <v/>
      </c>
      <c r="O17" s="24">
        <f>IF($I17="","",ROW()-ROW($I$5))</f>
        <v/>
      </c>
    </row>
    <row r="18">
      <c r="A18" s="12">
        <f>IF(DONEMLER!A18="","",DONEMLER!F18)</f>
        <v/>
      </c>
      <c r="B18" s="24">
        <f>IF($A18="","",UPPER(TRIM(SUBSTITUTE($A18," ",""))))</f>
        <v/>
      </c>
      <c r="C18" s="24">
        <f>IF($B18="",0,LEN($B18))</f>
        <v/>
      </c>
      <c r="D18" s="24">
        <f>IF($B18="","",LEFT($B18,say_ikincilUzunluk))</f>
        <v/>
      </c>
      <c r="E18" s="24">
        <f>"A"</f>
        <v/>
      </c>
      <c r="F18" s="24">
        <f>IF($B18="","",IF(COUNTIF(tblAnahtarA[Norm],$B18)&gt;1,"EVET","HAYIR"))</f>
        <v/>
      </c>
      <c r="G18" s="24">
        <f>IF($A18="","",ROW()-ROW($A$5))</f>
        <v/>
      </c>
      <c r="I18" s="12">
        <f>IF(TAHSILAT!A18="","",TAHSILAT!F18)</f>
        <v/>
      </c>
      <c r="J18" s="24">
        <f>IF($I18="","",UPPER(TRIM(SUBSTITUTE($I18," ",""))))</f>
        <v/>
      </c>
      <c r="K18" s="24">
        <f>IF($J18="",0,LEN($J18))</f>
        <v/>
      </c>
      <c r="L18" s="24">
        <f>IF($J18="","",LEFT($J18,say_ikincilUzunluk))</f>
        <v/>
      </c>
      <c r="M18" s="24">
        <f>"B"</f>
        <v/>
      </c>
      <c r="N18" s="24">
        <f>IF($J18="","",IF(COUNTIF(tblAnahtarB[NormB],$J18)&gt;1,"EVET","HAYIR"))</f>
        <v/>
      </c>
      <c r="O18" s="24">
        <f>IF($I18="","",ROW()-ROW($I$5))</f>
        <v/>
      </c>
    </row>
    <row r="19">
      <c r="A19" s="12">
        <f>IF(DONEMLER!A19="","",DONEMLER!F19)</f>
        <v/>
      </c>
      <c r="B19" s="24">
        <f>IF($A19="","",UPPER(TRIM(SUBSTITUTE($A19," ",""))))</f>
        <v/>
      </c>
      <c r="C19" s="24">
        <f>IF($B19="",0,LEN($B19))</f>
        <v/>
      </c>
      <c r="D19" s="24">
        <f>IF($B19="","",LEFT($B19,say_ikincilUzunluk))</f>
        <v/>
      </c>
      <c r="E19" s="24">
        <f>"A"</f>
        <v/>
      </c>
      <c r="F19" s="24">
        <f>IF($B19="","",IF(COUNTIF(tblAnahtarA[Norm],$B19)&gt;1,"EVET","HAYIR"))</f>
        <v/>
      </c>
      <c r="G19" s="24">
        <f>IF($A19="","",ROW()-ROW($A$5))</f>
        <v/>
      </c>
      <c r="I19" s="12">
        <f>IF(TAHSILAT!A19="","",TAHSILAT!F19)</f>
        <v/>
      </c>
      <c r="J19" s="24">
        <f>IF($I19="","",UPPER(TRIM(SUBSTITUTE($I19," ",""))))</f>
        <v/>
      </c>
      <c r="K19" s="24">
        <f>IF($J19="",0,LEN($J19))</f>
        <v/>
      </c>
      <c r="L19" s="24">
        <f>IF($J19="","",LEFT($J19,say_ikincilUzunluk))</f>
        <v/>
      </c>
      <c r="M19" s="24">
        <f>"B"</f>
        <v/>
      </c>
      <c r="N19" s="24">
        <f>IF($J19="","",IF(COUNTIF(tblAnahtarB[NormB],$J19)&gt;1,"EVET","HAYIR"))</f>
        <v/>
      </c>
      <c r="O19" s="24">
        <f>IF($I19="","",ROW()-ROW($I$5))</f>
        <v/>
      </c>
    </row>
    <row r="20">
      <c r="A20" s="12">
        <f>IF(DONEMLER!A20="","",DONEMLER!F20)</f>
        <v/>
      </c>
      <c r="B20" s="24">
        <f>IF($A20="","",UPPER(TRIM(SUBSTITUTE($A20," ",""))))</f>
        <v/>
      </c>
      <c r="C20" s="24">
        <f>IF($B20="",0,LEN($B20))</f>
        <v/>
      </c>
      <c r="D20" s="24">
        <f>IF($B20="","",LEFT($B20,say_ikincilUzunluk))</f>
        <v/>
      </c>
      <c r="E20" s="24">
        <f>"A"</f>
        <v/>
      </c>
      <c r="F20" s="24">
        <f>IF($B20="","",IF(COUNTIF(tblAnahtarA[Norm],$B20)&gt;1,"EVET","HAYIR"))</f>
        <v/>
      </c>
      <c r="G20" s="24">
        <f>IF($A20="","",ROW()-ROW($A$5))</f>
        <v/>
      </c>
      <c r="I20" s="12">
        <f>IF(TAHSILAT!A20="","",TAHSILAT!F20)</f>
        <v/>
      </c>
      <c r="J20" s="24">
        <f>IF($I20="","",UPPER(TRIM(SUBSTITUTE($I20," ",""))))</f>
        <v/>
      </c>
      <c r="K20" s="24">
        <f>IF($J20="",0,LEN($J20))</f>
        <v/>
      </c>
      <c r="L20" s="24">
        <f>IF($J20="","",LEFT($J20,say_ikincilUzunluk))</f>
        <v/>
      </c>
      <c r="M20" s="24">
        <f>"B"</f>
        <v/>
      </c>
      <c r="N20" s="24">
        <f>IF($J20="","",IF(COUNTIF(tblAnahtarB[NormB],$J20)&gt;1,"EVET","HAYIR"))</f>
        <v/>
      </c>
      <c r="O20" s="24">
        <f>IF($I20="","",ROW()-ROW($I$5))</f>
        <v/>
      </c>
    </row>
    <row r="21">
      <c r="A21" s="12">
        <f>IF(DONEMLER!A21="","",DONEMLER!F21)</f>
        <v/>
      </c>
      <c r="B21" s="24">
        <f>IF($A21="","",UPPER(TRIM(SUBSTITUTE($A21," ",""))))</f>
        <v/>
      </c>
      <c r="C21" s="24">
        <f>IF($B21="",0,LEN($B21))</f>
        <v/>
      </c>
      <c r="D21" s="24">
        <f>IF($B21="","",LEFT($B21,say_ikincilUzunluk))</f>
        <v/>
      </c>
      <c r="E21" s="24">
        <f>"A"</f>
        <v/>
      </c>
      <c r="F21" s="24">
        <f>IF($B21="","",IF(COUNTIF(tblAnahtarA[Norm],$B21)&gt;1,"EVET","HAYIR"))</f>
        <v/>
      </c>
      <c r="G21" s="24">
        <f>IF($A21="","",ROW()-ROW($A$5))</f>
        <v/>
      </c>
      <c r="I21" s="12">
        <f>IF(TAHSILAT!A21="","",TAHSILAT!F21)</f>
        <v/>
      </c>
      <c r="J21" s="24">
        <f>IF($I21="","",UPPER(TRIM(SUBSTITUTE($I21," ",""))))</f>
        <v/>
      </c>
      <c r="K21" s="24">
        <f>IF($J21="",0,LEN($J21))</f>
        <v/>
      </c>
      <c r="L21" s="24">
        <f>IF($J21="","",LEFT($J21,say_ikincilUzunluk))</f>
        <v/>
      </c>
      <c r="M21" s="24">
        <f>"B"</f>
        <v/>
      </c>
      <c r="N21" s="24">
        <f>IF($J21="","",IF(COUNTIF(tblAnahtarB[NormB],$J21)&gt;1,"EVET","HAYIR"))</f>
        <v/>
      </c>
      <c r="O21" s="24">
        <f>IF($I21="","",ROW()-ROW($I$5))</f>
        <v/>
      </c>
    </row>
    <row r="22">
      <c r="A22" s="12">
        <f>IF(DONEMLER!A22="","",DONEMLER!F22)</f>
        <v/>
      </c>
      <c r="B22" s="24">
        <f>IF($A22="","",UPPER(TRIM(SUBSTITUTE($A22," ",""))))</f>
        <v/>
      </c>
      <c r="C22" s="24">
        <f>IF($B22="",0,LEN($B22))</f>
        <v/>
      </c>
      <c r="D22" s="24">
        <f>IF($B22="","",LEFT($B22,say_ikincilUzunluk))</f>
        <v/>
      </c>
      <c r="E22" s="24">
        <f>"A"</f>
        <v/>
      </c>
      <c r="F22" s="24">
        <f>IF($B22="","",IF(COUNTIF(tblAnahtarA[Norm],$B22)&gt;1,"EVET","HAYIR"))</f>
        <v/>
      </c>
      <c r="G22" s="24">
        <f>IF($A22="","",ROW()-ROW($A$5))</f>
        <v/>
      </c>
      <c r="I22" s="12">
        <f>IF(TAHSILAT!A22="","",TAHSILAT!F22)</f>
        <v/>
      </c>
      <c r="J22" s="24">
        <f>IF($I22="","",UPPER(TRIM(SUBSTITUTE($I22," ",""))))</f>
        <v/>
      </c>
      <c r="K22" s="24">
        <f>IF($J22="",0,LEN($J22))</f>
        <v/>
      </c>
      <c r="L22" s="24">
        <f>IF($J22="","",LEFT($J22,say_ikincilUzunluk))</f>
        <v/>
      </c>
      <c r="M22" s="24">
        <f>"B"</f>
        <v/>
      </c>
      <c r="N22" s="24">
        <f>IF($J22="","",IF(COUNTIF(tblAnahtarB[NormB],$J22)&gt;1,"EVET","HAYIR"))</f>
        <v/>
      </c>
      <c r="O22" s="24">
        <f>IF($I22="","",ROW()-ROW($I$5))</f>
        <v/>
      </c>
    </row>
    <row r="23">
      <c r="A23" s="12">
        <f>IF(DONEMLER!A23="","",DONEMLER!F23)</f>
        <v/>
      </c>
      <c r="B23" s="24">
        <f>IF($A23="","",UPPER(TRIM(SUBSTITUTE($A23," ",""))))</f>
        <v/>
      </c>
      <c r="C23" s="24">
        <f>IF($B23="",0,LEN($B23))</f>
        <v/>
      </c>
      <c r="D23" s="24">
        <f>IF($B23="","",LEFT($B23,say_ikincilUzunluk))</f>
        <v/>
      </c>
      <c r="E23" s="24">
        <f>"A"</f>
        <v/>
      </c>
      <c r="F23" s="24">
        <f>IF($B23="","",IF(COUNTIF(tblAnahtarA[Norm],$B23)&gt;1,"EVET","HAYIR"))</f>
        <v/>
      </c>
      <c r="G23" s="24">
        <f>IF($A23="","",ROW()-ROW($A$5))</f>
        <v/>
      </c>
      <c r="I23" s="12">
        <f>IF(TAHSILAT!A23="","",TAHSILAT!F23)</f>
        <v/>
      </c>
      <c r="J23" s="24">
        <f>IF($I23="","",UPPER(TRIM(SUBSTITUTE($I23," ",""))))</f>
        <v/>
      </c>
      <c r="K23" s="24">
        <f>IF($J23="",0,LEN($J23))</f>
        <v/>
      </c>
      <c r="L23" s="24">
        <f>IF($J23="","",LEFT($J23,say_ikincilUzunluk))</f>
        <v/>
      </c>
      <c r="M23" s="24">
        <f>"B"</f>
        <v/>
      </c>
      <c r="N23" s="24">
        <f>IF($J23="","",IF(COUNTIF(tblAnahtarB[NormB],$J23)&gt;1,"EVET","HAYIR"))</f>
        <v/>
      </c>
      <c r="O23" s="24">
        <f>IF($I23="","",ROW()-ROW($I$5))</f>
        <v/>
      </c>
    </row>
    <row r="24">
      <c r="A24" s="12">
        <f>IF(DONEMLER!A24="","",DONEMLER!F24)</f>
        <v/>
      </c>
      <c r="B24" s="24">
        <f>IF($A24="","",UPPER(TRIM(SUBSTITUTE($A24," ",""))))</f>
        <v/>
      </c>
      <c r="C24" s="24">
        <f>IF($B24="",0,LEN($B24))</f>
        <v/>
      </c>
      <c r="D24" s="24">
        <f>IF($B24="","",LEFT($B24,say_ikincilUzunluk))</f>
        <v/>
      </c>
      <c r="E24" s="24">
        <f>"A"</f>
        <v/>
      </c>
      <c r="F24" s="24">
        <f>IF($B24="","",IF(COUNTIF(tblAnahtarA[Norm],$B24)&gt;1,"EVET","HAYIR"))</f>
        <v/>
      </c>
      <c r="G24" s="24">
        <f>IF($A24="","",ROW()-ROW($A$5))</f>
        <v/>
      </c>
      <c r="I24" s="12">
        <f>IF(TAHSILAT!A24="","",TAHSILAT!F24)</f>
        <v/>
      </c>
      <c r="J24" s="24">
        <f>IF($I24="","",UPPER(TRIM(SUBSTITUTE($I24," ",""))))</f>
        <v/>
      </c>
      <c r="K24" s="24">
        <f>IF($J24="",0,LEN($J24))</f>
        <v/>
      </c>
      <c r="L24" s="24">
        <f>IF($J24="","",LEFT($J24,say_ikincilUzunluk))</f>
        <v/>
      </c>
      <c r="M24" s="24">
        <f>"B"</f>
        <v/>
      </c>
      <c r="N24" s="24">
        <f>IF($J24="","",IF(COUNTIF(tblAnahtarB[NormB],$J24)&gt;1,"EVET","HAYIR"))</f>
        <v/>
      </c>
      <c r="O24" s="24">
        <f>IF($I24="","",ROW()-ROW($I$5))</f>
        <v/>
      </c>
    </row>
    <row r="25">
      <c r="A25" s="12">
        <f>IF(DONEMLER!A25="","",DONEMLER!F25)</f>
        <v/>
      </c>
      <c r="B25" s="24">
        <f>IF($A25="","",UPPER(TRIM(SUBSTITUTE($A25," ",""))))</f>
        <v/>
      </c>
      <c r="C25" s="24">
        <f>IF($B25="",0,LEN($B25))</f>
        <v/>
      </c>
      <c r="D25" s="24">
        <f>IF($B25="","",LEFT($B25,say_ikincilUzunluk))</f>
        <v/>
      </c>
      <c r="E25" s="24">
        <f>"A"</f>
        <v/>
      </c>
      <c r="F25" s="24">
        <f>IF($B25="","",IF(COUNTIF(tblAnahtarA[Norm],$B25)&gt;1,"EVET","HAYIR"))</f>
        <v/>
      </c>
      <c r="G25" s="24">
        <f>IF($A25="","",ROW()-ROW($A$5))</f>
        <v/>
      </c>
      <c r="I25" s="12">
        <f>IF(TAHSILAT!A25="","",TAHSILAT!F25)</f>
        <v/>
      </c>
      <c r="J25" s="24">
        <f>IF($I25="","",UPPER(TRIM(SUBSTITUTE($I25," ",""))))</f>
        <v/>
      </c>
      <c r="K25" s="24">
        <f>IF($J25="",0,LEN($J25))</f>
        <v/>
      </c>
      <c r="L25" s="24">
        <f>IF($J25="","",LEFT($J25,say_ikincilUzunluk))</f>
        <v/>
      </c>
      <c r="M25" s="24">
        <f>"B"</f>
        <v/>
      </c>
      <c r="N25" s="24">
        <f>IF($J25="","",IF(COUNTIF(tblAnahtarB[NormB],$J25)&gt;1,"EVET","HAYIR"))</f>
        <v/>
      </c>
      <c r="O25" s="24">
        <f>IF($I25="","",ROW()-ROW($I$5))</f>
        <v/>
      </c>
    </row>
    <row r="26">
      <c r="A26" s="12">
        <f>IF(DONEMLER!A26="","",DONEMLER!F26)</f>
        <v/>
      </c>
      <c r="B26" s="24">
        <f>IF($A26="","",UPPER(TRIM(SUBSTITUTE($A26," ",""))))</f>
        <v/>
      </c>
      <c r="C26" s="24">
        <f>IF($B26="",0,LEN($B26))</f>
        <v/>
      </c>
      <c r="D26" s="24">
        <f>IF($B26="","",LEFT($B26,say_ikincilUzunluk))</f>
        <v/>
      </c>
      <c r="E26" s="24">
        <f>"A"</f>
        <v/>
      </c>
      <c r="F26" s="24">
        <f>IF($B26="","",IF(COUNTIF(tblAnahtarA[Norm],$B26)&gt;1,"EVET","HAYIR"))</f>
        <v/>
      </c>
      <c r="G26" s="24">
        <f>IF($A26="","",ROW()-ROW($A$5))</f>
        <v/>
      </c>
      <c r="I26" s="12">
        <f>IF(TAHSILAT!A26="","",TAHSILAT!F26)</f>
        <v/>
      </c>
      <c r="J26" s="24">
        <f>IF($I26="","",UPPER(TRIM(SUBSTITUTE($I26," ",""))))</f>
        <v/>
      </c>
      <c r="K26" s="24">
        <f>IF($J26="",0,LEN($J26))</f>
        <v/>
      </c>
      <c r="L26" s="24">
        <f>IF($J26="","",LEFT($J26,say_ikincilUzunluk))</f>
        <v/>
      </c>
      <c r="M26" s="24">
        <f>"B"</f>
        <v/>
      </c>
      <c r="N26" s="24">
        <f>IF($J26="","",IF(COUNTIF(tblAnahtarB[NormB],$J26)&gt;1,"EVET","HAYIR"))</f>
        <v/>
      </c>
      <c r="O26" s="24">
        <f>IF($I26="","",ROW()-ROW($I$5))</f>
        <v/>
      </c>
    </row>
    <row r="27">
      <c r="A27" s="12">
        <f>IF(DONEMLER!A27="","",DONEMLER!F27)</f>
        <v/>
      </c>
      <c r="B27" s="24">
        <f>IF($A27="","",UPPER(TRIM(SUBSTITUTE($A27," ",""))))</f>
        <v/>
      </c>
      <c r="C27" s="24">
        <f>IF($B27="",0,LEN($B27))</f>
        <v/>
      </c>
      <c r="D27" s="24">
        <f>IF($B27="","",LEFT($B27,say_ikincilUzunluk))</f>
        <v/>
      </c>
      <c r="E27" s="24">
        <f>"A"</f>
        <v/>
      </c>
      <c r="F27" s="24">
        <f>IF($B27="","",IF(COUNTIF(tblAnahtarA[Norm],$B27)&gt;1,"EVET","HAYIR"))</f>
        <v/>
      </c>
      <c r="G27" s="24">
        <f>IF($A27="","",ROW()-ROW($A$5))</f>
        <v/>
      </c>
      <c r="J27" s="24">
        <f>IF($I27="","",UPPER(TRIM(SUBSTITUTE($I27," ",""))))</f>
        <v/>
      </c>
      <c r="K27" s="24">
        <f>IF($J27="",0,LEN($J27))</f>
        <v/>
      </c>
      <c r="L27" s="24">
        <f>IF($J27="","",LEFT($J27,say_ikincilUzunluk))</f>
        <v/>
      </c>
      <c r="M27" s="24">
        <f>"B"</f>
        <v/>
      </c>
      <c r="N27" s="24">
        <f>IF($J27="","",IF(COUNTIF(tblAnahtarB[NormB],$J27)&gt;1,"EVET","HAYIR"))</f>
        <v/>
      </c>
      <c r="O27" s="24">
        <f>IF($I27="","",ROW()-ROW($I$5))</f>
        <v/>
      </c>
    </row>
    <row r="28">
      <c r="A28" s="12">
        <f>IF(DONEMLER!A28="","",DONEMLER!F28)</f>
        <v/>
      </c>
      <c r="B28" s="24">
        <f>IF($A28="","",UPPER(TRIM(SUBSTITUTE($A28," ",""))))</f>
        <v/>
      </c>
      <c r="C28" s="24">
        <f>IF($B28="",0,LEN($B28))</f>
        <v/>
      </c>
      <c r="D28" s="24">
        <f>IF($B28="","",LEFT($B28,say_ikincilUzunluk))</f>
        <v/>
      </c>
      <c r="E28" s="24">
        <f>"A"</f>
        <v/>
      </c>
      <c r="F28" s="24">
        <f>IF($B28="","",IF(COUNTIF(tblAnahtarA[Norm],$B28)&gt;1,"EVET","HAYIR"))</f>
        <v/>
      </c>
      <c r="G28" s="24">
        <f>IF($A28="","",ROW()-ROW($A$5))</f>
        <v/>
      </c>
      <c r="J28" s="24">
        <f>IF($I28="","",UPPER(TRIM(SUBSTITUTE($I28," ",""))))</f>
        <v/>
      </c>
      <c r="K28" s="24">
        <f>IF($J28="",0,LEN($J28))</f>
        <v/>
      </c>
      <c r="L28" s="24">
        <f>IF($J28="","",LEFT($J28,say_ikincilUzunluk))</f>
        <v/>
      </c>
      <c r="M28" s="24">
        <f>"B"</f>
        <v/>
      </c>
      <c r="N28" s="24">
        <f>IF($J28="","",IF(COUNTIF(tblAnahtarB[NormB],$J28)&gt;1,"EVET","HAYIR"))</f>
        <v/>
      </c>
      <c r="O28" s="24">
        <f>IF($I28="","",ROW()-ROW($I$5))</f>
        <v/>
      </c>
    </row>
    <row r="29">
      <c r="A29" s="12">
        <f>IF(DONEMLER!A29="","",DONEMLER!F29)</f>
        <v/>
      </c>
      <c r="B29" s="24">
        <f>IF($A29="","",UPPER(TRIM(SUBSTITUTE($A29," ",""))))</f>
        <v/>
      </c>
      <c r="C29" s="24">
        <f>IF($B29="",0,LEN($B29))</f>
        <v/>
      </c>
      <c r="D29" s="24">
        <f>IF($B29="","",LEFT($B29,say_ikincilUzunluk))</f>
        <v/>
      </c>
      <c r="E29" s="24">
        <f>"A"</f>
        <v/>
      </c>
      <c r="F29" s="24">
        <f>IF($B29="","",IF(COUNTIF(tblAnahtarA[Norm],$B29)&gt;1,"EVET","HAYIR"))</f>
        <v/>
      </c>
      <c r="G29" s="24">
        <f>IF($A29="","",ROW()-ROW($A$5))</f>
        <v/>
      </c>
      <c r="J29" s="24">
        <f>IF($I29="","",UPPER(TRIM(SUBSTITUTE($I29," ",""))))</f>
        <v/>
      </c>
      <c r="K29" s="24">
        <f>IF($J29="",0,LEN($J29))</f>
        <v/>
      </c>
      <c r="L29" s="24">
        <f>IF($J29="","",LEFT($J29,say_ikincilUzunluk))</f>
        <v/>
      </c>
      <c r="M29" s="24">
        <f>"B"</f>
        <v/>
      </c>
      <c r="N29" s="24">
        <f>IF($J29="","",IF(COUNTIF(tblAnahtarB[NormB],$J29)&gt;1,"EVET","HAYIR"))</f>
        <v/>
      </c>
      <c r="O29" s="24">
        <f>IF($I29="","",ROW()-ROW($I$5))</f>
        <v/>
      </c>
    </row>
    <row r="30">
      <c r="A30" s="12">
        <f>IF(DONEMLER!A30="","",DONEMLER!F30)</f>
        <v/>
      </c>
      <c r="B30" s="24">
        <f>IF($A30="","",UPPER(TRIM(SUBSTITUTE($A30," ",""))))</f>
        <v/>
      </c>
      <c r="C30" s="24">
        <f>IF($B30="",0,LEN($B30))</f>
        <v/>
      </c>
      <c r="D30" s="24">
        <f>IF($B30="","",LEFT($B30,say_ikincilUzunluk))</f>
        <v/>
      </c>
      <c r="E30" s="24">
        <f>"A"</f>
        <v/>
      </c>
      <c r="F30" s="24">
        <f>IF($B30="","",IF(COUNTIF(tblAnahtarA[Norm],$B30)&gt;1,"EVET","HAYIR"))</f>
        <v/>
      </c>
      <c r="G30" s="24">
        <f>IF($A30="","",ROW()-ROW($A$5))</f>
        <v/>
      </c>
      <c r="J30" s="24">
        <f>IF($I30="","",UPPER(TRIM(SUBSTITUTE($I30," ",""))))</f>
        <v/>
      </c>
      <c r="K30" s="24">
        <f>IF($J30="",0,LEN($J30))</f>
        <v/>
      </c>
      <c r="L30" s="24">
        <f>IF($J30="","",LEFT($J30,say_ikincilUzunluk))</f>
        <v/>
      </c>
      <c r="M30" s="24">
        <f>"B"</f>
        <v/>
      </c>
      <c r="N30" s="24">
        <f>IF($J30="","",IF(COUNTIF(tblAnahtarB[NormB],$J30)&gt;1,"EVET","HAYIR"))</f>
        <v/>
      </c>
      <c r="O30" s="24">
        <f>IF($I30="","",ROW()-ROW($I$5))</f>
        <v/>
      </c>
    </row>
    <row r="31">
      <c r="B31" s="24">
        <f>IF($A31="","",UPPER(TRIM(SUBSTITUTE($A31," ",""))))</f>
        <v/>
      </c>
      <c r="C31" s="24">
        <f>IF($B31="",0,LEN($B31))</f>
        <v/>
      </c>
      <c r="D31" s="24">
        <f>IF($B31="","",LEFT($B31,say_ikincilUzunluk))</f>
        <v/>
      </c>
      <c r="E31" s="24">
        <f>"A"</f>
        <v/>
      </c>
      <c r="F31" s="24">
        <f>IF($B31="","",IF(COUNTIF(tblAnahtarA[Norm],$B31)&gt;1,"EVET","HAYIR"))</f>
        <v/>
      </c>
      <c r="G31" s="24">
        <f>IF($A31="","",ROW()-ROW($A$5))</f>
        <v/>
      </c>
      <c r="J31" s="24">
        <f>IF($I31="","",UPPER(TRIM(SUBSTITUTE($I31," ",""))))</f>
        <v/>
      </c>
      <c r="K31" s="24">
        <f>IF($J31="",0,LEN($J31))</f>
        <v/>
      </c>
      <c r="L31" s="24">
        <f>IF($J31="","",LEFT($J31,say_ikincilUzunluk))</f>
        <v/>
      </c>
      <c r="M31" s="24">
        <f>"B"</f>
        <v/>
      </c>
      <c r="N31" s="24">
        <f>IF($J31="","",IF(COUNTIF(tblAnahtarB[NormB],$J31)&gt;1,"EVET","HAYIR"))</f>
        <v/>
      </c>
      <c r="O31" s="24">
        <f>IF($I31="","",ROW()-ROW($I$5))</f>
        <v/>
      </c>
    </row>
    <row r="32">
      <c r="B32" s="24">
        <f>IF($A32="","",UPPER(TRIM(SUBSTITUTE($A32," ",""))))</f>
        <v/>
      </c>
      <c r="C32" s="24">
        <f>IF($B32="",0,LEN($B32))</f>
        <v/>
      </c>
      <c r="D32" s="24">
        <f>IF($B32="","",LEFT($B32,say_ikincilUzunluk))</f>
        <v/>
      </c>
      <c r="E32" s="24">
        <f>"A"</f>
        <v/>
      </c>
      <c r="F32" s="24">
        <f>IF($B32="","",IF(COUNTIF(tblAnahtarA[Norm],$B32)&gt;1,"EVET","HAYIR"))</f>
        <v/>
      </c>
      <c r="G32" s="24">
        <f>IF($A32="","",ROW()-ROW($A$5))</f>
        <v/>
      </c>
      <c r="J32" s="24">
        <f>IF($I32="","",UPPER(TRIM(SUBSTITUTE($I32," ",""))))</f>
        <v/>
      </c>
      <c r="K32" s="24">
        <f>IF($J32="",0,LEN($J32))</f>
        <v/>
      </c>
      <c r="L32" s="24">
        <f>IF($J32="","",LEFT($J32,say_ikincilUzunluk))</f>
        <v/>
      </c>
      <c r="M32" s="24">
        <f>"B"</f>
        <v/>
      </c>
      <c r="N32" s="24">
        <f>IF($J32="","",IF(COUNTIF(tblAnahtarB[NormB],$J32)&gt;1,"EVET","HAYIR"))</f>
        <v/>
      </c>
      <c r="O32" s="24">
        <f>IF($I32="","",ROW()-ROW($I$5))</f>
        <v/>
      </c>
    </row>
    <row r="33">
      <c r="B33" s="24">
        <f>IF($A33="","",UPPER(TRIM(SUBSTITUTE($A33," ",""))))</f>
        <v/>
      </c>
      <c r="C33" s="24">
        <f>IF($B33="",0,LEN($B33))</f>
        <v/>
      </c>
      <c r="D33" s="24">
        <f>IF($B33="","",LEFT($B33,say_ikincilUzunluk))</f>
        <v/>
      </c>
      <c r="E33" s="24">
        <f>"A"</f>
        <v/>
      </c>
      <c r="F33" s="24">
        <f>IF($B33="","",IF(COUNTIF(tblAnahtarA[Norm],$B33)&gt;1,"EVET","HAYIR"))</f>
        <v/>
      </c>
      <c r="G33" s="24">
        <f>IF($A33="","",ROW()-ROW($A$5))</f>
        <v/>
      </c>
      <c r="J33" s="24">
        <f>IF($I33="","",UPPER(TRIM(SUBSTITUTE($I33," ",""))))</f>
        <v/>
      </c>
      <c r="K33" s="24">
        <f>IF($J33="",0,LEN($J33))</f>
        <v/>
      </c>
      <c r="L33" s="24">
        <f>IF($J33="","",LEFT($J33,say_ikincilUzunluk))</f>
        <v/>
      </c>
      <c r="M33" s="24">
        <f>"B"</f>
        <v/>
      </c>
      <c r="N33" s="24">
        <f>IF($J33="","",IF(COUNTIF(tblAnahtarB[NormB],$J33)&gt;1,"EVET","HAYIR"))</f>
        <v/>
      </c>
      <c r="O33" s="24">
        <f>IF($I33="","",ROW()-ROW($I$5))</f>
        <v/>
      </c>
    </row>
    <row r="34">
      <c r="B34" s="24">
        <f>IF($A34="","",UPPER(TRIM(SUBSTITUTE($A34," ",""))))</f>
        <v/>
      </c>
      <c r="C34" s="24">
        <f>IF($B34="",0,LEN($B34))</f>
        <v/>
      </c>
      <c r="D34" s="24">
        <f>IF($B34="","",LEFT($B34,say_ikincilUzunluk))</f>
        <v/>
      </c>
      <c r="E34" s="24">
        <f>"A"</f>
        <v/>
      </c>
      <c r="F34" s="24">
        <f>IF($B34="","",IF(COUNTIF(tblAnahtarA[Norm],$B34)&gt;1,"EVET","HAYIR"))</f>
        <v/>
      </c>
      <c r="G34" s="24">
        <f>IF($A34="","",ROW()-ROW($A$5))</f>
        <v/>
      </c>
      <c r="J34" s="24">
        <f>IF($I34="","",UPPER(TRIM(SUBSTITUTE($I34," ",""))))</f>
        <v/>
      </c>
      <c r="K34" s="24">
        <f>IF($J34="",0,LEN($J34))</f>
        <v/>
      </c>
      <c r="L34" s="24">
        <f>IF($J34="","",LEFT($J34,say_ikincilUzunluk))</f>
        <v/>
      </c>
      <c r="M34" s="24">
        <f>"B"</f>
        <v/>
      </c>
      <c r="N34" s="24">
        <f>IF($J34="","",IF(COUNTIF(tblAnahtarB[NormB],$J34)&gt;1,"EVET","HAYIR"))</f>
        <v/>
      </c>
      <c r="O34" s="24">
        <f>IF($I34="","",ROW()-ROW($I$5))</f>
        <v/>
      </c>
    </row>
    <row r="35">
      <c r="B35" s="24">
        <f>IF($A35="","",UPPER(TRIM(SUBSTITUTE($A35," ",""))))</f>
        <v/>
      </c>
      <c r="C35" s="24">
        <f>IF($B35="",0,LEN($B35))</f>
        <v/>
      </c>
      <c r="D35" s="24">
        <f>IF($B35="","",LEFT($B35,say_ikincilUzunluk))</f>
        <v/>
      </c>
      <c r="E35" s="24">
        <f>"A"</f>
        <v/>
      </c>
      <c r="F35" s="24">
        <f>IF($B35="","",IF(COUNTIF(tblAnahtarA[Norm],$B35)&gt;1,"EVET","HAYIR"))</f>
        <v/>
      </c>
      <c r="G35" s="24">
        <f>IF($A35="","",ROW()-ROW($A$5))</f>
        <v/>
      </c>
      <c r="J35" s="24">
        <f>IF($I35="","",UPPER(TRIM(SUBSTITUTE($I35," ",""))))</f>
        <v/>
      </c>
      <c r="K35" s="24">
        <f>IF($J35="",0,LEN($J35))</f>
        <v/>
      </c>
      <c r="L35" s="24">
        <f>IF($J35="","",LEFT($J35,say_ikincilUzunluk))</f>
        <v/>
      </c>
      <c r="M35" s="24">
        <f>"B"</f>
        <v/>
      </c>
      <c r="N35" s="24">
        <f>IF($J35="","",IF(COUNTIF(tblAnahtarB[NormB],$J35)&gt;1,"EVET","HAYIR"))</f>
        <v/>
      </c>
      <c r="O35" s="24">
        <f>IF($I35="","",ROW()-ROW($I$5))</f>
        <v/>
      </c>
    </row>
    <row r="36">
      <c r="B36" s="24">
        <f>IF($A36="","",UPPER(TRIM(SUBSTITUTE($A36," ",""))))</f>
        <v/>
      </c>
      <c r="C36" s="24">
        <f>IF($B36="",0,LEN($B36))</f>
        <v/>
      </c>
      <c r="D36" s="24">
        <f>IF($B36="","",LEFT($B36,say_ikincilUzunluk))</f>
        <v/>
      </c>
      <c r="E36" s="24">
        <f>"A"</f>
        <v/>
      </c>
      <c r="F36" s="24">
        <f>IF($B36="","",IF(COUNTIF(tblAnahtarA[Norm],$B36)&gt;1,"EVET","HAYIR"))</f>
        <v/>
      </c>
      <c r="G36" s="24">
        <f>IF($A36="","",ROW()-ROW($A$5))</f>
        <v/>
      </c>
      <c r="J36" s="24">
        <f>IF($I36="","",UPPER(TRIM(SUBSTITUTE($I36," ",""))))</f>
        <v/>
      </c>
      <c r="K36" s="24">
        <f>IF($J36="",0,LEN($J36))</f>
        <v/>
      </c>
      <c r="L36" s="24">
        <f>IF($J36="","",LEFT($J36,say_ikincilUzunluk))</f>
        <v/>
      </c>
      <c r="M36" s="24">
        <f>"B"</f>
        <v/>
      </c>
      <c r="N36" s="24">
        <f>IF($J36="","",IF(COUNTIF(tblAnahtarB[NormB],$J36)&gt;1,"EVET","HAYIR"))</f>
        <v/>
      </c>
      <c r="O36" s="24">
        <f>IF($I36="","",ROW()-ROW($I$5))</f>
        <v/>
      </c>
    </row>
    <row r="37">
      <c r="B37" s="24">
        <f>IF($A37="","",UPPER(TRIM(SUBSTITUTE($A37," ",""))))</f>
        <v/>
      </c>
      <c r="C37" s="24">
        <f>IF($B37="",0,LEN($B37))</f>
        <v/>
      </c>
      <c r="D37" s="24">
        <f>IF($B37="","",LEFT($B37,say_ikincilUzunluk))</f>
        <v/>
      </c>
      <c r="E37" s="24">
        <f>"A"</f>
        <v/>
      </c>
      <c r="F37" s="24">
        <f>IF($B37="","",IF(COUNTIF(tblAnahtarA[Norm],$B37)&gt;1,"EVET","HAYIR"))</f>
        <v/>
      </c>
      <c r="G37" s="24">
        <f>IF($A37="","",ROW()-ROW($A$5))</f>
        <v/>
      </c>
      <c r="J37" s="24">
        <f>IF($I37="","",UPPER(TRIM(SUBSTITUTE($I37," ",""))))</f>
        <v/>
      </c>
      <c r="K37" s="24">
        <f>IF($J37="",0,LEN($J37))</f>
        <v/>
      </c>
      <c r="L37" s="24">
        <f>IF($J37="","",LEFT($J37,say_ikincilUzunluk))</f>
        <v/>
      </c>
      <c r="M37" s="24">
        <f>"B"</f>
        <v/>
      </c>
      <c r="N37" s="24">
        <f>IF($J37="","",IF(COUNTIF(tblAnahtarB[NormB],$J37)&gt;1,"EVET","HAYIR"))</f>
        <v/>
      </c>
      <c r="O37" s="24">
        <f>IF($I37="","",ROW()-ROW($I$5))</f>
        <v/>
      </c>
    </row>
    <row r="38">
      <c r="B38" s="24">
        <f>IF($A38="","",UPPER(TRIM(SUBSTITUTE($A38," ",""))))</f>
        <v/>
      </c>
      <c r="C38" s="24">
        <f>IF($B38="",0,LEN($B38))</f>
        <v/>
      </c>
      <c r="D38" s="24">
        <f>IF($B38="","",LEFT($B38,say_ikincilUzunluk))</f>
        <v/>
      </c>
      <c r="E38" s="24">
        <f>"A"</f>
        <v/>
      </c>
      <c r="F38" s="24">
        <f>IF($B38="","",IF(COUNTIF(tblAnahtarA[Norm],$B38)&gt;1,"EVET","HAYIR"))</f>
        <v/>
      </c>
      <c r="G38" s="24">
        <f>IF($A38="","",ROW()-ROW($A$5))</f>
        <v/>
      </c>
      <c r="J38" s="24">
        <f>IF($I38="","",UPPER(TRIM(SUBSTITUTE($I38," ",""))))</f>
        <v/>
      </c>
      <c r="K38" s="24">
        <f>IF($J38="",0,LEN($J38))</f>
        <v/>
      </c>
      <c r="L38" s="24">
        <f>IF($J38="","",LEFT($J38,say_ikincilUzunluk))</f>
        <v/>
      </c>
      <c r="M38" s="24">
        <f>"B"</f>
        <v/>
      </c>
      <c r="N38" s="24">
        <f>IF($J38="","",IF(COUNTIF(tblAnahtarB[NormB],$J38)&gt;1,"EVET","HAYIR"))</f>
        <v/>
      </c>
      <c r="O38" s="24">
        <f>IF($I38="","",ROW()-ROW($I$5))</f>
        <v/>
      </c>
    </row>
    <row r="39">
      <c r="B39" s="24">
        <f>IF($A39="","",UPPER(TRIM(SUBSTITUTE($A39," ",""))))</f>
        <v/>
      </c>
      <c r="C39" s="24">
        <f>IF($B39="",0,LEN($B39))</f>
        <v/>
      </c>
      <c r="D39" s="24">
        <f>IF($B39="","",LEFT($B39,say_ikincilUzunluk))</f>
        <v/>
      </c>
      <c r="E39" s="24">
        <f>"A"</f>
        <v/>
      </c>
      <c r="F39" s="24">
        <f>IF($B39="","",IF(COUNTIF(tblAnahtarA[Norm],$B39)&gt;1,"EVET","HAYIR"))</f>
        <v/>
      </c>
      <c r="G39" s="24">
        <f>IF($A39="","",ROW()-ROW($A$5))</f>
        <v/>
      </c>
      <c r="J39" s="24">
        <f>IF($I39="","",UPPER(TRIM(SUBSTITUTE($I39," ",""))))</f>
        <v/>
      </c>
      <c r="K39" s="24">
        <f>IF($J39="",0,LEN($J39))</f>
        <v/>
      </c>
      <c r="L39" s="24">
        <f>IF($J39="","",LEFT($J39,say_ikincilUzunluk))</f>
        <v/>
      </c>
      <c r="M39" s="24">
        <f>"B"</f>
        <v/>
      </c>
      <c r="N39" s="24">
        <f>IF($J39="","",IF(COUNTIF(tblAnahtarB[NormB],$J39)&gt;1,"EVET","HAYIR"))</f>
        <v/>
      </c>
      <c r="O39" s="24">
        <f>IF($I39="","",ROW()-ROW($I$5))</f>
        <v/>
      </c>
    </row>
    <row r="40">
      <c r="B40" s="24">
        <f>IF($A40="","",UPPER(TRIM(SUBSTITUTE($A40," ",""))))</f>
        <v/>
      </c>
      <c r="C40" s="24">
        <f>IF($B40="",0,LEN($B40))</f>
        <v/>
      </c>
      <c r="D40" s="24">
        <f>IF($B40="","",LEFT($B40,say_ikincilUzunluk))</f>
        <v/>
      </c>
      <c r="E40" s="24">
        <f>"A"</f>
        <v/>
      </c>
      <c r="F40" s="24">
        <f>IF($B40="","",IF(COUNTIF(tblAnahtarA[Norm],$B40)&gt;1,"EVET","HAYIR"))</f>
        <v/>
      </c>
      <c r="G40" s="24">
        <f>IF($A40="","",ROW()-ROW($A$5))</f>
        <v/>
      </c>
      <c r="J40" s="24">
        <f>IF($I40="","",UPPER(TRIM(SUBSTITUTE($I40," ",""))))</f>
        <v/>
      </c>
      <c r="K40" s="24">
        <f>IF($J40="",0,LEN($J40))</f>
        <v/>
      </c>
      <c r="L40" s="24">
        <f>IF($J40="","",LEFT($J40,say_ikincilUzunluk))</f>
        <v/>
      </c>
      <c r="M40" s="24">
        <f>"B"</f>
        <v/>
      </c>
      <c r="N40" s="24">
        <f>IF($J40="","",IF(COUNTIF(tblAnahtarB[NormB],$J40)&gt;1,"EVET","HAYIR"))</f>
        <v/>
      </c>
      <c r="O40" s="24">
        <f>IF($I40="","",ROW()-ROW($I$5))</f>
        <v/>
      </c>
    </row>
    <row r="41">
      <c r="B41" s="24">
        <f>IF($A41="","",UPPER(TRIM(SUBSTITUTE($A41," ",""))))</f>
        <v/>
      </c>
      <c r="C41" s="24">
        <f>IF($B41="",0,LEN($B41))</f>
        <v/>
      </c>
      <c r="D41" s="24">
        <f>IF($B41="","",LEFT($B41,say_ikincilUzunluk))</f>
        <v/>
      </c>
      <c r="E41" s="24">
        <f>"A"</f>
        <v/>
      </c>
      <c r="F41" s="24">
        <f>IF($B41="","",IF(COUNTIF(tblAnahtarA[Norm],$B41)&gt;1,"EVET","HAYIR"))</f>
        <v/>
      </c>
      <c r="G41" s="24">
        <f>IF($A41="","",ROW()-ROW($A$5))</f>
        <v/>
      </c>
      <c r="J41" s="24">
        <f>IF($I41="","",UPPER(TRIM(SUBSTITUTE($I41," ",""))))</f>
        <v/>
      </c>
      <c r="K41" s="24">
        <f>IF($J41="",0,LEN($J41))</f>
        <v/>
      </c>
      <c r="L41" s="24">
        <f>IF($J41="","",LEFT($J41,say_ikincilUzunluk))</f>
        <v/>
      </c>
      <c r="M41" s="24">
        <f>"B"</f>
        <v/>
      </c>
      <c r="N41" s="24">
        <f>IF($J41="","",IF(COUNTIF(tblAnahtarB[NormB],$J41)&gt;1,"EVET","HAYIR"))</f>
        <v/>
      </c>
      <c r="O41" s="24">
        <f>IF($I41="","",ROW()-ROW($I$5))</f>
        <v/>
      </c>
    </row>
    <row r="42">
      <c r="B42" s="24">
        <f>IF($A42="","",UPPER(TRIM(SUBSTITUTE($A42," ",""))))</f>
        <v/>
      </c>
      <c r="C42" s="24">
        <f>IF($B42="",0,LEN($B42))</f>
        <v/>
      </c>
      <c r="D42" s="24">
        <f>IF($B42="","",LEFT($B42,say_ikincilUzunluk))</f>
        <v/>
      </c>
      <c r="E42" s="24">
        <f>"A"</f>
        <v/>
      </c>
      <c r="F42" s="24">
        <f>IF($B42="","",IF(COUNTIF(tblAnahtarA[Norm],$B42)&gt;1,"EVET","HAYIR"))</f>
        <v/>
      </c>
      <c r="G42" s="24">
        <f>IF($A42="","",ROW()-ROW($A$5))</f>
        <v/>
      </c>
      <c r="J42" s="24">
        <f>IF($I42="","",UPPER(TRIM(SUBSTITUTE($I42," ",""))))</f>
        <v/>
      </c>
      <c r="K42" s="24">
        <f>IF($J42="",0,LEN($J42))</f>
        <v/>
      </c>
      <c r="L42" s="24">
        <f>IF($J42="","",LEFT($J42,say_ikincilUzunluk))</f>
        <v/>
      </c>
      <c r="M42" s="24">
        <f>"B"</f>
        <v/>
      </c>
      <c r="N42" s="24">
        <f>IF($J42="","",IF(COUNTIF(tblAnahtarB[NormB],$J42)&gt;1,"EVET","HAYIR"))</f>
        <v/>
      </c>
      <c r="O42" s="24">
        <f>IF($I42="","",ROW()-ROW($I$5))</f>
        <v/>
      </c>
    </row>
    <row r="43">
      <c r="B43" s="24">
        <f>IF($A43="","",UPPER(TRIM(SUBSTITUTE($A43," ",""))))</f>
        <v/>
      </c>
      <c r="C43" s="24">
        <f>IF($B43="",0,LEN($B43))</f>
        <v/>
      </c>
      <c r="D43" s="24">
        <f>IF($B43="","",LEFT($B43,say_ikincilUzunluk))</f>
        <v/>
      </c>
      <c r="E43" s="24">
        <f>"A"</f>
        <v/>
      </c>
      <c r="F43" s="24">
        <f>IF($B43="","",IF(COUNTIF(tblAnahtarA[Norm],$B43)&gt;1,"EVET","HAYIR"))</f>
        <v/>
      </c>
      <c r="G43" s="24">
        <f>IF($A43="","",ROW()-ROW($A$5))</f>
        <v/>
      </c>
      <c r="J43" s="24">
        <f>IF($I43="","",UPPER(TRIM(SUBSTITUTE($I43," ",""))))</f>
        <v/>
      </c>
      <c r="K43" s="24">
        <f>IF($J43="",0,LEN($J43))</f>
        <v/>
      </c>
      <c r="L43" s="24">
        <f>IF($J43="","",LEFT($J43,say_ikincilUzunluk))</f>
        <v/>
      </c>
      <c r="M43" s="24">
        <f>"B"</f>
        <v/>
      </c>
      <c r="N43" s="24">
        <f>IF($J43="","",IF(COUNTIF(tblAnahtarB[NormB],$J43)&gt;1,"EVET","HAYIR"))</f>
        <v/>
      </c>
      <c r="O43" s="24">
        <f>IF($I43="","",ROW()-ROW($I$5))</f>
        <v/>
      </c>
    </row>
    <row r="44">
      <c r="B44" s="24">
        <f>IF($A44="","",UPPER(TRIM(SUBSTITUTE($A44," ",""))))</f>
        <v/>
      </c>
      <c r="C44" s="24">
        <f>IF($B44="",0,LEN($B44))</f>
        <v/>
      </c>
      <c r="D44" s="24">
        <f>IF($B44="","",LEFT($B44,say_ikincilUzunluk))</f>
        <v/>
      </c>
      <c r="E44" s="24">
        <f>"A"</f>
        <v/>
      </c>
      <c r="F44" s="24">
        <f>IF($B44="","",IF(COUNTIF(tblAnahtarA[Norm],$B44)&gt;1,"EVET","HAYIR"))</f>
        <v/>
      </c>
      <c r="G44" s="24">
        <f>IF($A44="","",ROW()-ROW($A$5))</f>
        <v/>
      </c>
      <c r="J44" s="24">
        <f>IF($I44="","",UPPER(TRIM(SUBSTITUTE($I44," ",""))))</f>
        <v/>
      </c>
      <c r="K44" s="24">
        <f>IF($J44="",0,LEN($J44))</f>
        <v/>
      </c>
      <c r="L44" s="24">
        <f>IF($J44="","",LEFT($J44,say_ikincilUzunluk))</f>
        <v/>
      </c>
      <c r="M44" s="24">
        <f>"B"</f>
        <v/>
      </c>
      <c r="N44" s="24">
        <f>IF($J44="","",IF(COUNTIF(tblAnahtarB[NormB],$J44)&gt;1,"EVET","HAYIR"))</f>
        <v/>
      </c>
      <c r="O44" s="24">
        <f>IF($I44="","",ROW()-ROW($I$5))</f>
        <v/>
      </c>
    </row>
    <row r="45">
      <c r="B45" s="24">
        <f>IF($A45="","",UPPER(TRIM(SUBSTITUTE($A45," ",""))))</f>
        <v/>
      </c>
      <c r="C45" s="24">
        <f>IF($B45="",0,LEN($B45))</f>
        <v/>
      </c>
      <c r="D45" s="24">
        <f>IF($B45="","",LEFT($B45,say_ikincilUzunluk))</f>
        <v/>
      </c>
      <c r="E45" s="24">
        <f>"A"</f>
        <v/>
      </c>
      <c r="F45" s="24">
        <f>IF($B45="","",IF(COUNTIF(tblAnahtarA[Norm],$B45)&gt;1,"EVET","HAYIR"))</f>
        <v/>
      </c>
      <c r="G45" s="24">
        <f>IF($A45="","",ROW()-ROW($A$5))</f>
        <v/>
      </c>
      <c r="J45" s="24">
        <f>IF($I45="","",UPPER(TRIM(SUBSTITUTE($I45," ",""))))</f>
        <v/>
      </c>
      <c r="K45" s="24">
        <f>IF($J45="",0,LEN($J45))</f>
        <v/>
      </c>
      <c r="L45" s="24">
        <f>IF($J45="","",LEFT($J45,say_ikincilUzunluk))</f>
        <v/>
      </c>
      <c r="M45" s="24">
        <f>"B"</f>
        <v/>
      </c>
      <c r="N45" s="24">
        <f>IF($J45="","",IF(COUNTIF(tblAnahtarB[NormB],$J45)&gt;1,"EVET","HAYIR"))</f>
        <v/>
      </c>
      <c r="O45" s="24">
        <f>IF($I45="","",ROW()-ROW($I$5))</f>
        <v/>
      </c>
    </row>
    <row r="46">
      <c r="B46" s="24">
        <f>IF($A46="","",UPPER(TRIM(SUBSTITUTE($A46," ",""))))</f>
        <v/>
      </c>
      <c r="C46" s="24">
        <f>IF($B46="",0,LEN($B46))</f>
        <v/>
      </c>
      <c r="D46" s="24">
        <f>IF($B46="","",LEFT($B46,say_ikincilUzunluk))</f>
        <v/>
      </c>
      <c r="E46" s="24">
        <f>"A"</f>
        <v/>
      </c>
      <c r="F46" s="24">
        <f>IF($B46="","",IF(COUNTIF(tblAnahtarA[Norm],$B46)&gt;1,"EVET","HAYIR"))</f>
        <v/>
      </c>
      <c r="G46" s="24">
        <f>IF($A46="","",ROW()-ROW($A$5))</f>
        <v/>
      </c>
      <c r="J46" s="24">
        <f>IF($I46="","",UPPER(TRIM(SUBSTITUTE($I46," ",""))))</f>
        <v/>
      </c>
      <c r="K46" s="24">
        <f>IF($J46="",0,LEN($J46))</f>
        <v/>
      </c>
      <c r="L46" s="24">
        <f>IF($J46="","",LEFT($J46,say_ikincilUzunluk))</f>
        <v/>
      </c>
      <c r="M46" s="24">
        <f>"B"</f>
        <v/>
      </c>
      <c r="N46" s="24">
        <f>IF($J46="","",IF(COUNTIF(tblAnahtarB[NormB],$J46)&gt;1,"EVET","HAYIR"))</f>
        <v/>
      </c>
      <c r="O46" s="24">
        <f>IF($I46="","",ROW()-ROW($I$5))</f>
        <v/>
      </c>
    </row>
    <row r="47">
      <c r="B47" s="24">
        <f>IF($A47="","",UPPER(TRIM(SUBSTITUTE($A47," ",""))))</f>
        <v/>
      </c>
      <c r="C47" s="24">
        <f>IF($B47="",0,LEN($B47))</f>
        <v/>
      </c>
      <c r="D47" s="24">
        <f>IF($B47="","",LEFT($B47,say_ikincilUzunluk))</f>
        <v/>
      </c>
      <c r="E47" s="24">
        <f>"A"</f>
        <v/>
      </c>
      <c r="F47" s="24">
        <f>IF($B47="","",IF(COUNTIF(tblAnahtarA[Norm],$B47)&gt;1,"EVET","HAYIR"))</f>
        <v/>
      </c>
      <c r="G47" s="24">
        <f>IF($A47="","",ROW()-ROW($A$5))</f>
        <v/>
      </c>
      <c r="J47" s="24">
        <f>IF($I47="","",UPPER(TRIM(SUBSTITUTE($I47," ",""))))</f>
        <v/>
      </c>
      <c r="K47" s="24">
        <f>IF($J47="",0,LEN($J47))</f>
        <v/>
      </c>
      <c r="L47" s="24">
        <f>IF($J47="","",LEFT($J47,say_ikincilUzunluk))</f>
        <v/>
      </c>
      <c r="M47" s="24">
        <f>"B"</f>
        <v/>
      </c>
      <c r="N47" s="24">
        <f>IF($J47="","",IF(COUNTIF(tblAnahtarB[NormB],$J47)&gt;1,"EVET","HAYIR"))</f>
        <v/>
      </c>
      <c r="O47" s="24">
        <f>IF($I47="","",ROW()-ROW($I$5))</f>
        <v/>
      </c>
    </row>
    <row r="48">
      <c r="B48" s="24">
        <f>IF($A48="","",UPPER(TRIM(SUBSTITUTE($A48," ",""))))</f>
        <v/>
      </c>
      <c r="C48" s="24">
        <f>IF($B48="",0,LEN($B48))</f>
        <v/>
      </c>
      <c r="D48" s="24">
        <f>IF($B48="","",LEFT($B48,say_ikincilUzunluk))</f>
        <v/>
      </c>
      <c r="E48" s="24">
        <f>"A"</f>
        <v/>
      </c>
      <c r="F48" s="24">
        <f>IF($B48="","",IF(COUNTIF(tblAnahtarA[Norm],$B48)&gt;1,"EVET","HAYIR"))</f>
        <v/>
      </c>
      <c r="G48" s="24">
        <f>IF($A48="","",ROW()-ROW($A$5))</f>
        <v/>
      </c>
      <c r="J48" s="24">
        <f>IF($I48="","",UPPER(TRIM(SUBSTITUTE($I48," ",""))))</f>
        <v/>
      </c>
      <c r="K48" s="24">
        <f>IF($J48="",0,LEN($J48))</f>
        <v/>
      </c>
      <c r="L48" s="24">
        <f>IF($J48="","",LEFT($J48,say_ikincilUzunluk))</f>
        <v/>
      </c>
      <c r="M48" s="24">
        <f>"B"</f>
        <v/>
      </c>
      <c r="N48" s="24">
        <f>IF($J48="","",IF(COUNTIF(tblAnahtarB[NormB],$J48)&gt;1,"EVET","HAYIR"))</f>
        <v/>
      </c>
      <c r="O48" s="24">
        <f>IF($I48="","",ROW()-ROW($I$5))</f>
        <v/>
      </c>
    </row>
    <row r="49">
      <c r="B49" s="24">
        <f>IF($A49="","",UPPER(TRIM(SUBSTITUTE($A49," ",""))))</f>
        <v/>
      </c>
      <c r="C49" s="24">
        <f>IF($B49="",0,LEN($B49))</f>
        <v/>
      </c>
      <c r="D49" s="24">
        <f>IF($B49="","",LEFT($B49,say_ikincilUzunluk))</f>
        <v/>
      </c>
      <c r="E49" s="24">
        <f>"A"</f>
        <v/>
      </c>
      <c r="F49" s="24">
        <f>IF($B49="","",IF(COUNTIF(tblAnahtarA[Norm],$B49)&gt;1,"EVET","HAYIR"))</f>
        <v/>
      </c>
      <c r="G49" s="24">
        <f>IF($A49="","",ROW()-ROW($A$5))</f>
        <v/>
      </c>
      <c r="J49" s="24">
        <f>IF($I49="","",UPPER(TRIM(SUBSTITUTE($I49," ",""))))</f>
        <v/>
      </c>
      <c r="K49" s="24">
        <f>IF($J49="",0,LEN($J49))</f>
        <v/>
      </c>
      <c r="L49" s="24">
        <f>IF($J49="","",LEFT($J49,say_ikincilUzunluk))</f>
        <v/>
      </c>
      <c r="M49" s="24">
        <f>"B"</f>
        <v/>
      </c>
      <c r="N49" s="24">
        <f>IF($J49="","",IF(COUNTIF(tblAnahtarB[NormB],$J49)&gt;1,"EVET","HAYIR"))</f>
        <v/>
      </c>
      <c r="O49" s="24">
        <f>IF($I49="","",ROW()-ROW($I$5))</f>
        <v/>
      </c>
    </row>
    <row r="50">
      <c r="B50" s="24">
        <f>IF($A50="","",UPPER(TRIM(SUBSTITUTE($A50," ",""))))</f>
        <v/>
      </c>
      <c r="C50" s="24">
        <f>IF($B50="",0,LEN($B50))</f>
        <v/>
      </c>
      <c r="D50" s="24">
        <f>IF($B50="","",LEFT($B50,say_ikincilUzunluk))</f>
        <v/>
      </c>
      <c r="E50" s="24">
        <f>"A"</f>
        <v/>
      </c>
      <c r="F50" s="24">
        <f>IF($B50="","",IF(COUNTIF(tblAnahtarA[Norm],$B50)&gt;1,"EVET","HAYIR"))</f>
        <v/>
      </c>
      <c r="G50" s="24">
        <f>IF($A50="","",ROW()-ROW($A$5))</f>
        <v/>
      </c>
      <c r="J50" s="24">
        <f>IF($I50="","",UPPER(TRIM(SUBSTITUTE($I50," ",""))))</f>
        <v/>
      </c>
      <c r="K50" s="24">
        <f>IF($J50="",0,LEN($J50))</f>
        <v/>
      </c>
      <c r="L50" s="24">
        <f>IF($J50="","",LEFT($J50,say_ikincilUzunluk))</f>
        <v/>
      </c>
      <c r="M50" s="24">
        <f>"B"</f>
        <v/>
      </c>
      <c r="N50" s="24">
        <f>IF($J50="","",IF(COUNTIF(tblAnahtarB[NormB],$J50)&gt;1,"EVET","HAYIR"))</f>
        <v/>
      </c>
      <c r="O50" s="24">
        <f>IF($I50="","",ROW()-ROW($I$5))</f>
        <v/>
      </c>
    </row>
    <row r="51">
      <c r="B51" s="24">
        <f>IF($A51="","",UPPER(TRIM(SUBSTITUTE($A51," ",""))))</f>
        <v/>
      </c>
      <c r="C51" s="24">
        <f>IF($B51="",0,LEN($B51))</f>
        <v/>
      </c>
      <c r="D51" s="24">
        <f>IF($B51="","",LEFT($B51,say_ikincilUzunluk))</f>
        <v/>
      </c>
      <c r="E51" s="24">
        <f>"A"</f>
        <v/>
      </c>
      <c r="F51" s="24">
        <f>IF($B51="","",IF(COUNTIF(tblAnahtarA[Norm],$B51)&gt;1,"EVET","HAYIR"))</f>
        <v/>
      </c>
      <c r="G51" s="24">
        <f>IF($A51="","",ROW()-ROW($A$5))</f>
        <v/>
      </c>
      <c r="J51" s="24">
        <f>IF($I51="","",UPPER(TRIM(SUBSTITUTE($I51," ",""))))</f>
        <v/>
      </c>
      <c r="K51" s="24">
        <f>IF($J51="",0,LEN($J51))</f>
        <v/>
      </c>
      <c r="L51" s="24">
        <f>IF($J51="","",LEFT($J51,say_ikincilUzunluk))</f>
        <v/>
      </c>
      <c r="M51" s="24">
        <f>"B"</f>
        <v/>
      </c>
      <c r="N51" s="24">
        <f>IF($J51="","",IF(COUNTIF(tblAnahtarB[NormB],$J51)&gt;1,"EVET","HAYIR"))</f>
        <v/>
      </c>
      <c r="O51" s="24">
        <f>IF($I51="","",ROW()-ROW($I$5))</f>
        <v/>
      </c>
    </row>
    <row r="52">
      <c r="B52" s="24">
        <f>IF($A52="","",UPPER(TRIM(SUBSTITUTE($A52," ",""))))</f>
        <v/>
      </c>
      <c r="C52" s="24">
        <f>IF($B52="",0,LEN($B52))</f>
        <v/>
      </c>
      <c r="D52" s="24">
        <f>IF($B52="","",LEFT($B52,say_ikincilUzunluk))</f>
        <v/>
      </c>
      <c r="E52" s="24">
        <f>"A"</f>
        <v/>
      </c>
      <c r="F52" s="24">
        <f>IF($B52="","",IF(COUNTIF(tblAnahtarA[Norm],$B52)&gt;1,"EVET","HAYIR"))</f>
        <v/>
      </c>
      <c r="G52" s="24">
        <f>IF($A52="","",ROW()-ROW($A$5))</f>
        <v/>
      </c>
      <c r="J52" s="24">
        <f>IF($I52="","",UPPER(TRIM(SUBSTITUTE($I52," ",""))))</f>
        <v/>
      </c>
      <c r="K52" s="24">
        <f>IF($J52="",0,LEN($J52))</f>
        <v/>
      </c>
      <c r="L52" s="24">
        <f>IF($J52="","",LEFT($J52,say_ikincilUzunluk))</f>
        <v/>
      </c>
      <c r="M52" s="24">
        <f>"B"</f>
        <v/>
      </c>
      <c r="N52" s="24">
        <f>IF($J52="","",IF(COUNTIF(tblAnahtarB[NormB],$J52)&gt;1,"EVET","HAYIR"))</f>
        <v/>
      </c>
      <c r="O52" s="24">
        <f>IF($I52="","",ROW()-ROW($I$5))</f>
        <v/>
      </c>
    </row>
    <row r="53">
      <c r="B53" s="24">
        <f>IF($A53="","",UPPER(TRIM(SUBSTITUTE($A53," ",""))))</f>
        <v/>
      </c>
      <c r="C53" s="24">
        <f>IF($B53="",0,LEN($B53))</f>
        <v/>
      </c>
      <c r="D53" s="24">
        <f>IF($B53="","",LEFT($B53,say_ikincilUzunluk))</f>
        <v/>
      </c>
      <c r="E53" s="24">
        <f>"A"</f>
        <v/>
      </c>
      <c r="F53" s="24">
        <f>IF($B53="","",IF(COUNTIF(tblAnahtarA[Norm],$B53)&gt;1,"EVET","HAYIR"))</f>
        <v/>
      </c>
      <c r="G53" s="24">
        <f>IF($A53="","",ROW()-ROW($A$5))</f>
        <v/>
      </c>
      <c r="J53" s="24">
        <f>IF($I53="","",UPPER(TRIM(SUBSTITUTE($I53," ",""))))</f>
        <v/>
      </c>
      <c r="K53" s="24">
        <f>IF($J53="",0,LEN($J53))</f>
        <v/>
      </c>
      <c r="L53" s="24">
        <f>IF($J53="","",LEFT($J53,say_ikincilUzunluk))</f>
        <v/>
      </c>
      <c r="M53" s="24">
        <f>"B"</f>
        <v/>
      </c>
      <c r="N53" s="24">
        <f>IF($J53="","",IF(COUNTIF(tblAnahtarB[NormB],$J53)&gt;1,"EVET","HAYIR"))</f>
        <v/>
      </c>
      <c r="O53" s="24">
        <f>IF($I53="","",ROW()-ROW($I$5))</f>
        <v/>
      </c>
    </row>
    <row r="54">
      <c r="B54" s="24">
        <f>IF($A54="","",UPPER(TRIM(SUBSTITUTE($A54," ",""))))</f>
        <v/>
      </c>
      <c r="C54" s="24">
        <f>IF($B54="",0,LEN($B54))</f>
        <v/>
      </c>
      <c r="D54" s="24">
        <f>IF($B54="","",LEFT($B54,say_ikincilUzunluk))</f>
        <v/>
      </c>
      <c r="E54" s="24">
        <f>"A"</f>
        <v/>
      </c>
      <c r="F54" s="24">
        <f>IF($B54="","",IF(COUNTIF(tblAnahtarA[Norm],$B54)&gt;1,"EVET","HAYIR"))</f>
        <v/>
      </c>
      <c r="G54" s="24">
        <f>IF($A54="","",ROW()-ROW($A$5))</f>
        <v/>
      </c>
      <c r="J54" s="24">
        <f>IF($I54="","",UPPER(TRIM(SUBSTITUTE($I54," ",""))))</f>
        <v/>
      </c>
      <c r="K54" s="24">
        <f>IF($J54="",0,LEN($J54))</f>
        <v/>
      </c>
      <c r="L54" s="24">
        <f>IF($J54="","",LEFT($J54,say_ikincilUzunluk))</f>
        <v/>
      </c>
      <c r="M54" s="24">
        <f>"B"</f>
        <v/>
      </c>
      <c r="N54" s="24">
        <f>IF($J54="","",IF(COUNTIF(tblAnahtarB[NormB],$J54)&gt;1,"EVET","HAYIR"))</f>
        <v/>
      </c>
      <c r="O54" s="24">
        <f>IF($I54="","",ROW()-ROW($I$5))</f>
        <v/>
      </c>
    </row>
    <row r="55">
      <c r="B55" s="24">
        <f>IF($A55="","",UPPER(TRIM(SUBSTITUTE($A55," ",""))))</f>
        <v/>
      </c>
      <c r="C55" s="24">
        <f>IF($B55="",0,LEN($B55))</f>
        <v/>
      </c>
      <c r="D55" s="24">
        <f>IF($B55="","",LEFT($B55,say_ikincilUzunluk))</f>
        <v/>
      </c>
      <c r="E55" s="24">
        <f>"A"</f>
        <v/>
      </c>
      <c r="F55" s="24">
        <f>IF($B55="","",IF(COUNTIF(tblAnahtarA[Norm],$B55)&gt;1,"EVET","HAYIR"))</f>
        <v/>
      </c>
      <c r="G55" s="24">
        <f>IF($A55="","",ROW()-ROW($A$5))</f>
        <v/>
      </c>
      <c r="J55" s="24">
        <f>IF($I55="","",UPPER(TRIM(SUBSTITUTE($I55," ",""))))</f>
        <v/>
      </c>
      <c r="K55" s="24">
        <f>IF($J55="",0,LEN($J55))</f>
        <v/>
      </c>
      <c r="L55" s="24">
        <f>IF($J55="","",LEFT($J55,say_ikincilUzunluk))</f>
        <v/>
      </c>
      <c r="M55" s="24">
        <f>"B"</f>
        <v/>
      </c>
      <c r="N55" s="24">
        <f>IF($J55="","",IF(COUNTIF(tblAnahtarB[NormB],$J55)&gt;1,"EVET","HAYIR"))</f>
        <v/>
      </c>
      <c r="O55" s="24">
        <f>IF($I55="","",ROW()-ROW($I$5))</f>
        <v/>
      </c>
    </row>
    <row r="56">
      <c r="B56" s="24">
        <f>IF($A56="","",UPPER(TRIM(SUBSTITUTE($A56," ",""))))</f>
        <v/>
      </c>
      <c r="C56" s="24">
        <f>IF($B56="",0,LEN($B56))</f>
        <v/>
      </c>
      <c r="D56" s="24">
        <f>IF($B56="","",LEFT($B56,say_ikincilUzunluk))</f>
        <v/>
      </c>
      <c r="E56" s="24">
        <f>"A"</f>
        <v/>
      </c>
      <c r="F56" s="24">
        <f>IF($B56="","",IF(COUNTIF(tblAnahtarA[Norm],$B56)&gt;1,"EVET","HAYIR"))</f>
        <v/>
      </c>
      <c r="G56" s="24">
        <f>IF($A56="","",ROW()-ROW($A$5))</f>
        <v/>
      </c>
      <c r="J56" s="24">
        <f>IF($I56="","",UPPER(TRIM(SUBSTITUTE($I56," ",""))))</f>
        <v/>
      </c>
      <c r="K56" s="24">
        <f>IF($J56="",0,LEN($J56))</f>
        <v/>
      </c>
      <c r="L56" s="24">
        <f>IF($J56="","",LEFT($J56,say_ikincilUzunluk))</f>
        <v/>
      </c>
      <c r="M56" s="24">
        <f>"B"</f>
        <v/>
      </c>
      <c r="N56" s="24">
        <f>IF($J56="","",IF(COUNTIF(tblAnahtarB[NormB],$J56)&gt;1,"EVET","HAYIR"))</f>
        <v/>
      </c>
      <c r="O56" s="24">
        <f>IF($I56="","",ROW()-ROW($I$5))</f>
        <v/>
      </c>
    </row>
    <row r="57">
      <c r="B57" s="24">
        <f>IF($A57="","",UPPER(TRIM(SUBSTITUTE($A57," ",""))))</f>
        <v/>
      </c>
      <c r="C57" s="24">
        <f>IF($B57="",0,LEN($B57))</f>
        <v/>
      </c>
      <c r="D57" s="24">
        <f>IF($B57="","",LEFT($B57,say_ikincilUzunluk))</f>
        <v/>
      </c>
      <c r="E57" s="24">
        <f>"A"</f>
        <v/>
      </c>
      <c r="F57" s="24">
        <f>IF($B57="","",IF(COUNTIF(tblAnahtarA[Norm],$B57)&gt;1,"EVET","HAYIR"))</f>
        <v/>
      </c>
      <c r="G57" s="24">
        <f>IF($A57="","",ROW()-ROW($A$5))</f>
        <v/>
      </c>
      <c r="J57" s="24">
        <f>IF($I57="","",UPPER(TRIM(SUBSTITUTE($I57," ",""))))</f>
        <v/>
      </c>
      <c r="K57" s="24">
        <f>IF($J57="",0,LEN($J57))</f>
        <v/>
      </c>
      <c r="L57" s="24">
        <f>IF($J57="","",LEFT($J57,say_ikincilUzunluk))</f>
        <v/>
      </c>
      <c r="M57" s="24">
        <f>"B"</f>
        <v/>
      </c>
      <c r="N57" s="24">
        <f>IF($J57="","",IF(COUNTIF(tblAnahtarB[NormB],$J57)&gt;1,"EVET","HAYIR"))</f>
        <v/>
      </c>
      <c r="O57" s="24">
        <f>IF($I57="","",ROW()-ROW($I$5))</f>
        <v/>
      </c>
    </row>
    <row r="58">
      <c r="B58" s="24">
        <f>IF($A58="","",UPPER(TRIM(SUBSTITUTE($A58," ",""))))</f>
        <v/>
      </c>
      <c r="C58" s="24">
        <f>IF($B58="",0,LEN($B58))</f>
        <v/>
      </c>
      <c r="D58" s="24">
        <f>IF($B58="","",LEFT($B58,say_ikincilUzunluk))</f>
        <v/>
      </c>
      <c r="E58" s="24">
        <f>"A"</f>
        <v/>
      </c>
      <c r="F58" s="24">
        <f>IF($B58="","",IF(COUNTIF(tblAnahtarA[Norm],$B58)&gt;1,"EVET","HAYIR"))</f>
        <v/>
      </c>
      <c r="G58" s="24">
        <f>IF($A58="","",ROW()-ROW($A$5))</f>
        <v/>
      </c>
      <c r="J58" s="24">
        <f>IF($I58="","",UPPER(TRIM(SUBSTITUTE($I58," ",""))))</f>
        <v/>
      </c>
      <c r="K58" s="24">
        <f>IF($J58="",0,LEN($J58))</f>
        <v/>
      </c>
      <c r="L58" s="24">
        <f>IF($J58="","",LEFT($J58,say_ikincilUzunluk))</f>
        <v/>
      </c>
      <c r="M58" s="24">
        <f>"B"</f>
        <v/>
      </c>
      <c r="N58" s="24">
        <f>IF($J58="","",IF(COUNTIF(tblAnahtarB[NormB],$J58)&gt;1,"EVET","HAYIR"))</f>
        <v/>
      </c>
      <c r="O58" s="24">
        <f>IF($I58="","",ROW()-ROW($I$5))</f>
        <v/>
      </c>
    </row>
    <row r="59">
      <c r="B59" s="24">
        <f>IF($A59="","",UPPER(TRIM(SUBSTITUTE($A59," ",""))))</f>
        <v/>
      </c>
      <c r="C59" s="24">
        <f>IF($B59="",0,LEN($B59))</f>
        <v/>
      </c>
      <c r="D59" s="24">
        <f>IF($B59="","",LEFT($B59,say_ikincilUzunluk))</f>
        <v/>
      </c>
      <c r="E59" s="24">
        <f>"A"</f>
        <v/>
      </c>
      <c r="F59" s="24">
        <f>IF($B59="","",IF(COUNTIF(tblAnahtarA[Norm],$B59)&gt;1,"EVET","HAYIR"))</f>
        <v/>
      </c>
      <c r="G59" s="24">
        <f>IF($A59="","",ROW()-ROW($A$5))</f>
        <v/>
      </c>
      <c r="J59" s="24">
        <f>IF($I59="","",UPPER(TRIM(SUBSTITUTE($I59," ",""))))</f>
        <v/>
      </c>
      <c r="K59" s="24">
        <f>IF($J59="",0,LEN($J59))</f>
        <v/>
      </c>
      <c r="L59" s="24">
        <f>IF($J59="","",LEFT($J59,say_ikincilUzunluk))</f>
        <v/>
      </c>
      <c r="M59" s="24">
        <f>"B"</f>
        <v/>
      </c>
      <c r="N59" s="24">
        <f>IF($J59="","",IF(COUNTIF(tblAnahtarB[NormB],$J59)&gt;1,"EVET","HAYIR"))</f>
        <v/>
      </c>
      <c r="O59" s="24">
        <f>IF($I59="","",ROW()-ROW($I$5))</f>
        <v/>
      </c>
    </row>
    <row r="60">
      <c r="B60" s="24">
        <f>IF($A60="","",UPPER(TRIM(SUBSTITUTE($A60," ",""))))</f>
        <v/>
      </c>
      <c r="C60" s="24">
        <f>IF($B60="",0,LEN($B60))</f>
        <v/>
      </c>
      <c r="D60" s="24">
        <f>IF($B60="","",LEFT($B60,say_ikincilUzunluk))</f>
        <v/>
      </c>
      <c r="E60" s="24">
        <f>"A"</f>
        <v/>
      </c>
      <c r="F60" s="24">
        <f>IF($B60="","",IF(COUNTIF(tblAnahtarA[Norm],$B60)&gt;1,"EVET","HAYIR"))</f>
        <v/>
      </c>
      <c r="G60" s="24">
        <f>IF($A60="","",ROW()-ROW($A$5))</f>
        <v/>
      </c>
      <c r="J60" s="24">
        <f>IF($I60="","",UPPER(TRIM(SUBSTITUTE($I60," ",""))))</f>
        <v/>
      </c>
      <c r="K60" s="24">
        <f>IF($J60="",0,LEN($J60))</f>
        <v/>
      </c>
      <c r="L60" s="24">
        <f>IF($J60="","",LEFT($J60,say_ikincilUzunluk))</f>
        <v/>
      </c>
      <c r="M60" s="24">
        <f>"B"</f>
        <v/>
      </c>
      <c r="N60" s="24">
        <f>IF($J60="","",IF(COUNTIF(tblAnahtarB[NormB],$J60)&gt;1,"EVET","HAYIR"))</f>
        <v/>
      </c>
      <c r="O60" s="24">
        <f>IF($I60="","",ROW()-ROW($I$5))</f>
        <v/>
      </c>
    </row>
    <row r="61">
      <c r="B61" s="24">
        <f>IF($A61="","",UPPER(TRIM(SUBSTITUTE($A61," ",""))))</f>
        <v/>
      </c>
      <c r="C61" s="24">
        <f>IF($B61="",0,LEN($B61))</f>
        <v/>
      </c>
      <c r="D61" s="24">
        <f>IF($B61="","",LEFT($B61,say_ikincilUzunluk))</f>
        <v/>
      </c>
      <c r="E61" s="24">
        <f>"A"</f>
        <v/>
      </c>
      <c r="F61" s="24">
        <f>IF($B61="","",IF(COUNTIF(tblAnahtarA[Norm],$B61)&gt;1,"EVET","HAYIR"))</f>
        <v/>
      </c>
      <c r="G61" s="24">
        <f>IF($A61="","",ROW()-ROW($A$5))</f>
        <v/>
      </c>
      <c r="J61" s="24">
        <f>IF($I61="","",UPPER(TRIM(SUBSTITUTE($I61," ",""))))</f>
        <v/>
      </c>
      <c r="K61" s="24">
        <f>IF($J61="",0,LEN($J61))</f>
        <v/>
      </c>
      <c r="L61" s="24">
        <f>IF($J61="","",LEFT($J61,say_ikincilUzunluk))</f>
        <v/>
      </c>
      <c r="M61" s="24">
        <f>"B"</f>
        <v/>
      </c>
      <c r="N61" s="24">
        <f>IF($J61="","",IF(COUNTIF(tblAnahtarB[NormB],$J61)&gt;1,"EVET","HAYIR"))</f>
        <v/>
      </c>
      <c r="O61" s="24">
        <f>IF($I61="","",ROW()-ROW($I$5))</f>
        <v/>
      </c>
    </row>
    <row r="62">
      <c r="B62" s="24">
        <f>IF($A62="","",UPPER(TRIM(SUBSTITUTE($A62," ",""))))</f>
        <v/>
      </c>
      <c r="C62" s="24">
        <f>IF($B62="",0,LEN($B62))</f>
        <v/>
      </c>
      <c r="D62" s="24">
        <f>IF($B62="","",LEFT($B62,say_ikincilUzunluk))</f>
        <v/>
      </c>
      <c r="E62" s="24">
        <f>"A"</f>
        <v/>
      </c>
      <c r="F62" s="24">
        <f>IF($B62="","",IF(COUNTIF(tblAnahtarA[Norm],$B62)&gt;1,"EVET","HAYIR"))</f>
        <v/>
      </c>
      <c r="G62" s="24">
        <f>IF($A62="","",ROW()-ROW($A$5))</f>
        <v/>
      </c>
      <c r="J62" s="24">
        <f>IF($I62="","",UPPER(TRIM(SUBSTITUTE($I62," ",""))))</f>
        <v/>
      </c>
      <c r="K62" s="24">
        <f>IF($J62="",0,LEN($J62))</f>
        <v/>
      </c>
      <c r="L62" s="24">
        <f>IF($J62="","",LEFT($J62,say_ikincilUzunluk))</f>
        <v/>
      </c>
      <c r="M62" s="24">
        <f>"B"</f>
        <v/>
      </c>
      <c r="N62" s="24">
        <f>IF($J62="","",IF(COUNTIF(tblAnahtarB[NormB],$J62)&gt;1,"EVET","HAYIR"))</f>
        <v/>
      </c>
      <c r="O62" s="24">
        <f>IF($I62="","",ROW()-ROW($I$5))</f>
        <v/>
      </c>
    </row>
    <row r="63">
      <c r="B63" s="24">
        <f>IF($A63="","",UPPER(TRIM(SUBSTITUTE($A63," ",""))))</f>
        <v/>
      </c>
      <c r="C63" s="24">
        <f>IF($B63="",0,LEN($B63))</f>
        <v/>
      </c>
      <c r="D63" s="24">
        <f>IF($B63="","",LEFT($B63,say_ikincilUzunluk))</f>
        <v/>
      </c>
      <c r="E63" s="24">
        <f>"A"</f>
        <v/>
      </c>
      <c r="F63" s="24">
        <f>IF($B63="","",IF(COUNTIF(tblAnahtarA[Norm],$B63)&gt;1,"EVET","HAYIR"))</f>
        <v/>
      </c>
      <c r="G63" s="24">
        <f>IF($A63="","",ROW()-ROW($A$5))</f>
        <v/>
      </c>
      <c r="J63" s="24">
        <f>IF($I63="","",UPPER(TRIM(SUBSTITUTE($I63," ",""))))</f>
        <v/>
      </c>
      <c r="K63" s="24">
        <f>IF($J63="",0,LEN($J63))</f>
        <v/>
      </c>
      <c r="L63" s="24">
        <f>IF($J63="","",LEFT($J63,say_ikincilUzunluk))</f>
        <v/>
      </c>
      <c r="M63" s="24">
        <f>"B"</f>
        <v/>
      </c>
      <c r="N63" s="24">
        <f>IF($J63="","",IF(COUNTIF(tblAnahtarB[NormB],$J63)&gt;1,"EVET","HAYIR"))</f>
        <v/>
      </c>
      <c r="O63" s="24">
        <f>IF($I63="","",ROW()-ROW($I$5))</f>
        <v/>
      </c>
    </row>
    <row r="64">
      <c r="B64" s="24">
        <f>IF($A64="","",UPPER(TRIM(SUBSTITUTE($A64," ",""))))</f>
        <v/>
      </c>
      <c r="C64" s="24">
        <f>IF($B64="",0,LEN($B64))</f>
        <v/>
      </c>
      <c r="D64" s="24">
        <f>IF($B64="","",LEFT($B64,say_ikincilUzunluk))</f>
        <v/>
      </c>
      <c r="E64" s="24">
        <f>"A"</f>
        <v/>
      </c>
      <c r="F64" s="24">
        <f>IF($B64="","",IF(COUNTIF(tblAnahtarA[Norm],$B64)&gt;1,"EVET","HAYIR"))</f>
        <v/>
      </c>
      <c r="G64" s="24">
        <f>IF($A64="","",ROW()-ROW($A$5))</f>
        <v/>
      </c>
      <c r="J64" s="24">
        <f>IF($I64="","",UPPER(TRIM(SUBSTITUTE($I64," ",""))))</f>
        <v/>
      </c>
      <c r="K64" s="24">
        <f>IF($J64="",0,LEN($J64))</f>
        <v/>
      </c>
      <c r="L64" s="24">
        <f>IF($J64="","",LEFT($J64,say_ikincilUzunluk))</f>
        <v/>
      </c>
      <c r="M64" s="24">
        <f>"B"</f>
        <v/>
      </c>
      <c r="N64" s="24">
        <f>IF($J64="","",IF(COUNTIF(tblAnahtarB[NormB],$J64)&gt;1,"EVET","HAYIR"))</f>
        <v/>
      </c>
      <c r="O64" s="24">
        <f>IF($I64="","",ROW()-ROW($I$5))</f>
        <v/>
      </c>
    </row>
    <row r="65">
      <c r="B65" s="24">
        <f>IF($A65="","",UPPER(TRIM(SUBSTITUTE($A65," ",""))))</f>
        <v/>
      </c>
      <c r="C65" s="24">
        <f>IF($B65="",0,LEN($B65))</f>
        <v/>
      </c>
      <c r="D65" s="24">
        <f>IF($B65="","",LEFT($B65,say_ikincilUzunluk))</f>
        <v/>
      </c>
      <c r="E65" s="24">
        <f>"A"</f>
        <v/>
      </c>
      <c r="F65" s="24">
        <f>IF($B65="","",IF(COUNTIF(tblAnahtarA[Norm],$B65)&gt;1,"EVET","HAYIR"))</f>
        <v/>
      </c>
      <c r="G65" s="24">
        <f>IF($A65="","",ROW()-ROW($A$5))</f>
        <v/>
      </c>
      <c r="J65" s="24">
        <f>IF($I65="","",UPPER(TRIM(SUBSTITUTE($I65," ",""))))</f>
        <v/>
      </c>
      <c r="K65" s="24">
        <f>IF($J65="",0,LEN($J65))</f>
        <v/>
      </c>
      <c r="L65" s="24">
        <f>IF($J65="","",LEFT($J65,say_ikincilUzunluk))</f>
        <v/>
      </c>
      <c r="M65" s="24">
        <f>"B"</f>
        <v/>
      </c>
      <c r="N65" s="24">
        <f>IF($J65="","",IF(COUNTIF(tblAnahtarB[NormB],$J65)&gt;1,"EVET","HAYIR"))</f>
        <v/>
      </c>
      <c r="O65" s="24">
        <f>IF($I65="","",ROW()-ROW($I$5))</f>
        <v/>
      </c>
    </row>
    <row r="66">
      <c r="B66" s="24">
        <f>IF($A66="","",UPPER(TRIM(SUBSTITUTE($A66," ",""))))</f>
        <v/>
      </c>
      <c r="C66" s="24">
        <f>IF($B66="",0,LEN($B66))</f>
        <v/>
      </c>
      <c r="D66" s="24">
        <f>IF($B66="","",LEFT($B66,say_ikincilUzunluk))</f>
        <v/>
      </c>
      <c r="E66" s="24">
        <f>"A"</f>
        <v/>
      </c>
      <c r="F66" s="24">
        <f>IF($B66="","",IF(COUNTIF(tblAnahtarA[Norm],$B66)&gt;1,"EVET","HAYIR"))</f>
        <v/>
      </c>
      <c r="G66" s="24">
        <f>IF($A66="","",ROW()-ROW($A$5))</f>
        <v/>
      </c>
      <c r="J66" s="24">
        <f>IF($I66="","",UPPER(TRIM(SUBSTITUTE($I66," ",""))))</f>
        <v/>
      </c>
      <c r="K66" s="24">
        <f>IF($J66="",0,LEN($J66))</f>
        <v/>
      </c>
      <c r="L66" s="24">
        <f>IF($J66="","",LEFT($J66,say_ikincilUzunluk))</f>
        <v/>
      </c>
      <c r="M66" s="24">
        <f>"B"</f>
        <v/>
      </c>
      <c r="N66" s="24">
        <f>IF($J66="","",IF(COUNTIF(tblAnahtarB[NormB],$J66)&gt;1,"EVET","HAYIR"))</f>
        <v/>
      </c>
      <c r="O66" s="24">
        <f>IF($I66="","",ROW()-ROW($I$5))</f>
        <v/>
      </c>
    </row>
    <row r="67">
      <c r="B67" s="24">
        <f>IF($A67="","",UPPER(TRIM(SUBSTITUTE($A67," ",""))))</f>
        <v/>
      </c>
      <c r="C67" s="24">
        <f>IF($B67="",0,LEN($B67))</f>
        <v/>
      </c>
      <c r="D67" s="24">
        <f>IF($B67="","",LEFT($B67,say_ikincilUzunluk))</f>
        <v/>
      </c>
      <c r="E67" s="24">
        <f>"A"</f>
        <v/>
      </c>
      <c r="F67" s="24">
        <f>IF($B67="","",IF(COUNTIF(tblAnahtarA[Norm],$B67)&gt;1,"EVET","HAYIR"))</f>
        <v/>
      </c>
      <c r="G67" s="24">
        <f>IF($A67="","",ROW()-ROW($A$5))</f>
        <v/>
      </c>
      <c r="J67" s="24">
        <f>IF($I67="","",UPPER(TRIM(SUBSTITUTE($I67," ",""))))</f>
        <v/>
      </c>
      <c r="K67" s="24">
        <f>IF($J67="",0,LEN($J67))</f>
        <v/>
      </c>
      <c r="L67" s="24">
        <f>IF($J67="","",LEFT($J67,say_ikincilUzunluk))</f>
        <v/>
      </c>
      <c r="M67" s="24">
        <f>"B"</f>
        <v/>
      </c>
      <c r="N67" s="24">
        <f>IF($J67="","",IF(COUNTIF(tblAnahtarB[NormB],$J67)&gt;1,"EVET","HAYIR"))</f>
        <v/>
      </c>
      <c r="O67" s="24">
        <f>IF($I67="","",ROW()-ROW($I$5))</f>
        <v/>
      </c>
    </row>
    <row r="68">
      <c r="B68" s="24">
        <f>IF($A68="","",UPPER(TRIM(SUBSTITUTE($A68," ",""))))</f>
        <v/>
      </c>
      <c r="C68" s="24">
        <f>IF($B68="",0,LEN($B68))</f>
        <v/>
      </c>
      <c r="D68" s="24">
        <f>IF($B68="","",LEFT($B68,say_ikincilUzunluk))</f>
        <v/>
      </c>
      <c r="E68" s="24">
        <f>"A"</f>
        <v/>
      </c>
      <c r="F68" s="24">
        <f>IF($B68="","",IF(COUNTIF(tblAnahtarA[Norm],$B68)&gt;1,"EVET","HAYIR"))</f>
        <v/>
      </c>
      <c r="G68" s="24">
        <f>IF($A68="","",ROW()-ROW($A$5))</f>
        <v/>
      </c>
      <c r="J68" s="24">
        <f>IF($I68="","",UPPER(TRIM(SUBSTITUTE($I68," ",""))))</f>
        <v/>
      </c>
      <c r="K68" s="24">
        <f>IF($J68="",0,LEN($J68))</f>
        <v/>
      </c>
      <c r="L68" s="24">
        <f>IF($J68="","",LEFT($J68,say_ikincilUzunluk))</f>
        <v/>
      </c>
      <c r="M68" s="24">
        <f>"B"</f>
        <v/>
      </c>
      <c r="N68" s="24">
        <f>IF($J68="","",IF(COUNTIF(tblAnahtarB[NormB],$J68)&gt;1,"EVET","HAYIR"))</f>
        <v/>
      </c>
      <c r="O68" s="24">
        <f>IF($I68="","",ROW()-ROW($I$5))</f>
        <v/>
      </c>
    </row>
    <row r="69">
      <c r="B69" s="24">
        <f>IF($A69="","",UPPER(TRIM(SUBSTITUTE($A69," ",""))))</f>
        <v/>
      </c>
      <c r="C69" s="24">
        <f>IF($B69="",0,LEN($B69))</f>
        <v/>
      </c>
      <c r="D69" s="24">
        <f>IF($B69="","",LEFT($B69,say_ikincilUzunluk))</f>
        <v/>
      </c>
      <c r="E69" s="24">
        <f>"A"</f>
        <v/>
      </c>
      <c r="F69" s="24">
        <f>IF($B69="","",IF(COUNTIF(tblAnahtarA[Norm],$B69)&gt;1,"EVET","HAYIR"))</f>
        <v/>
      </c>
      <c r="G69" s="24">
        <f>IF($A69="","",ROW()-ROW($A$5))</f>
        <v/>
      </c>
      <c r="J69" s="24">
        <f>IF($I69="","",UPPER(TRIM(SUBSTITUTE($I69," ",""))))</f>
        <v/>
      </c>
      <c r="K69" s="24">
        <f>IF($J69="",0,LEN($J69))</f>
        <v/>
      </c>
      <c r="L69" s="24">
        <f>IF($J69="","",LEFT($J69,say_ikincilUzunluk))</f>
        <v/>
      </c>
      <c r="M69" s="24">
        <f>"B"</f>
        <v/>
      </c>
      <c r="N69" s="24">
        <f>IF($J69="","",IF(COUNTIF(tblAnahtarB[NormB],$J69)&gt;1,"EVET","HAYIR"))</f>
        <v/>
      </c>
      <c r="O69" s="24">
        <f>IF($I69="","",ROW()-ROW($I$5))</f>
        <v/>
      </c>
    </row>
    <row r="70">
      <c r="B70" s="24">
        <f>IF($A70="","",UPPER(TRIM(SUBSTITUTE($A70," ",""))))</f>
        <v/>
      </c>
      <c r="C70" s="24">
        <f>IF($B70="",0,LEN($B70))</f>
        <v/>
      </c>
      <c r="D70" s="24">
        <f>IF($B70="","",LEFT($B70,say_ikincilUzunluk))</f>
        <v/>
      </c>
      <c r="E70" s="24">
        <f>"A"</f>
        <v/>
      </c>
      <c r="F70" s="24">
        <f>IF($B70="","",IF(COUNTIF(tblAnahtarA[Norm],$B70)&gt;1,"EVET","HAYIR"))</f>
        <v/>
      </c>
      <c r="G70" s="24">
        <f>IF($A70="","",ROW()-ROW($A$5))</f>
        <v/>
      </c>
      <c r="J70" s="24">
        <f>IF($I70="","",UPPER(TRIM(SUBSTITUTE($I70," ",""))))</f>
        <v/>
      </c>
      <c r="K70" s="24">
        <f>IF($J70="",0,LEN($J70))</f>
        <v/>
      </c>
      <c r="L70" s="24">
        <f>IF($J70="","",LEFT($J70,say_ikincilUzunluk))</f>
        <v/>
      </c>
      <c r="M70" s="24">
        <f>"B"</f>
        <v/>
      </c>
      <c r="N70" s="24">
        <f>IF($J70="","",IF(COUNTIF(tblAnahtarB[NormB],$J70)&gt;1,"EVET","HAYIR"))</f>
        <v/>
      </c>
      <c r="O70" s="24">
        <f>IF($I70="","",ROW()-ROW($I$5))</f>
        <v/>
      </c>
    </row>
    <row r="71">
      <c r="B71" s="24">
        <f>IF($A71="","",UPPER(TRIM(SUBSTITUTE($A71," ",""))))</f>
        <v/>
      </c>
      <c r="C71" s="24">
        <f>IF($B71="",0,LEN($B71))</f>
        <v/>
      </c>
      <c r="D71" s="24">
        <f>IF($B71="","",LEFT($B71,say_ikincilUzunluk))</f>
        <v/>
      </c>
      <c r="E71" s="24">
        <f>"A"</f>
        <v/>
      </c>
      <c r="F71" s="24">
        <f>IF($B71="","",IF(COUNTIF(tblAnahtarA[Norm],$B71)&gt;1,"EVET","HAYIR"))</f>
        <v/>
      </c>
      <c r="G71" s="24">
        <f>IF($A71="","",ROW()-ROW($A$5))</f>
        <v/>
      </c>
      <c r="J71" s="24">
        <f>IF($I71="","",UPPER(TRIM(SUBSTITUTE($I71," ",""))))</f>
        <v/>
      </c>
      <c r="K71" s="24">
        <f>IF($J71="",0,LEN($J71))</f>
        <v/>
      </c>
      <c r="L71" s="24">
        <f>IF($J71="","",LEFT($J71,say_ikincilUzunluk))</f>
        <v/>
      </c>
      <c r="M71" s="24">
        <f>"B"</f>
        <v/>
      </c>
      <c r="N71" s="24">
        <f>IF($J71="","",IF(COUNTIF(tblAnahtarB[NormB],$J71)&gt;1,"EVET","HAYIR"))</f>
        <v/>
      </c>
      <c r="O71" s="24">
        <f>IF($I71="","",ROW()-ROW($I$5))</f>
        <v/>
      </c>
    </row>
    <row r="72">
      <c r="B72" s="24">
        <f>IF($A72="","",UPPER(TRIM(SUBSTITUTE($A72," ",""))))</f>
        <v/>
      </c>
      <c r="C72" s="24">
        <f>IF($B72="",0,LEN($B72))</f>
        <v/>
      </c>
      <c r="D72" s="24">
        <f>IF($B72="","",LEFT($B72,say_ikincilUzunluk))</f>
        <v/>
      </c>
      <c r="E72" s="24">
        <f>"A"</f>
        <v/>
      </c>
      <c r="F72" s="24">
        <f>IF($B72="","",IF(COUNTIF(tblAnahtarA[Norm],$B72)&gt;1,"EVET","HAYIR"))</f>
        <v/>
      </c>
      <c r="G72" s="24">
        <f>IF($A72="","",ROW()-ROW($A$5))</f>
        <v/>
      </c>
      <c r="J72" s="24">
        <f>IF($I72="","",UPPER(TRIM(SUBSTITUTE($I72," ",""))))</f>
        <v/>
      </c>
      <c r="K72" s="24">
        <f>IF($J72="",0,LEN($J72))</f>
        <v/>
      </c>
      <c r="L72" s="24">
        <f>IF($J72="","",LEFT($J72,say_ikincilUzunluk))</f>
        <v/>
      </c>
      <c r="M72" s="24">
        <f>"B"</f>
        <v/>
      </c>
      <c r="N72" s="24">
        <f>IF($J72="","",IF(COUNTIF(tblAnahtarB[NormB],$J72)&gt;1,"EVET","HAYIR"))</f>
        <v/>
      </c>
      <c r="O72" s="24">
        <f>IF($I72="","",ROW()-ROW($I$5))</f>
        <v/>
      </c>
    </row>
    <row r="73">
      <c r="B73" s="24">
        <f>IF($A73="","",UPPER(TRIM(SUBSTITUTE($A73," ",""))))</f>
        <v/>
      </c>
      <c r="C73" s="24">
        <f>IF($B73="",0,LEN($B73))</f>
        <v/>
      </c>
      <c r="D73" s="24">
        <f>IF($B73="","",LEFT($B73,say_ikincilUzunluk))</f>
        <v/>
      </c>
      <c r="E73" s="24">
        <f>"A"</f>
        <v/>
      </c>
      <c r="F73" s="24">
        <f>IF($B73="","",IF(COUNTIF(tblAnahtarA[Norm],$B73)&gt;1,"EVET","HAYIR"))</f>
        <v/>
      </c>
      <c r="G73" s="24">
        <f>IF($A73="","",ROW()-ROW($A$5))</f>
        <v/>
      </c>
      <c r="J73" s="24">
        <f>IF($I73="","",UPPER(TRIM(SUBSTITUTE($I73," ",""))))</f>
        <v/>
      </c>
      <c r="K73" s="24">
        <f>IF($J73="",0,LEN($J73))</f>
        <v/>
      </c>
      <c r="L73" s="24">
        <f>IF($J73="","",LEFT($J73,say_ikincilUzunluk))</f>
        <v/>
      </c>
      <c r="M73" s="24">
        <f>"B"</f>
        <v/>
      </c>
      <c r="N73" s="24">
        <f>IF($J73="","",IF(COUNTIF(tblAnahtarB[NormB],$J73)&gt;1,"EVET","HAYIR"))</f>
        <v/>
      </c>
      <c r="O73" s="24">
        <f>IF($I73="","",ROW()-ROW($I$5))</f>
        <v/>
      </c>
    </row>
    <row r="74">
      <c r="B74" s="24">
        <f>IF($A74="","",UPPER(TRIM(SUBSTITUTE($A74," ",""))))</f>
        <v/>
      </c>
      <c r="C74" s="24">
        <f>IF($B74="",0,LEN($B74))</f>
        <v/>
      </c>
      <c r="D74" s="24">
        <f>IF($B74="","",LEFT($B74,say_ikincilUzunluk))</f>
        <v/>
      </c>
      <c r="E74" s="24">
        <f>"A"</f>
        <v/>
      </c>
      <c r="F74" s="24">
        <f>IF($B74="","",IF(COUNTIF(tblAnahtarA[Norm],$B74)&gt;1,"EVET","HAYIR"))</f>
        <v/>
      </c>
      <c r="G74" s="24">
        <f>IF($A74="","",ROW()-ROW($A$5))</f>
        <v/>
      </c>
      <c r="J74" s="24">
        <f>IF($I74="","",UPPER(TRIM(SUBSTITUTE($I74," ",""))))</f>
        <v/>
      </c>
      <c r="K74" s="24">
        <f>IF($J74="",0,LEN($J74))</f>
        <v/>
      </c>
      <c r="L74" s="24">
        <f>IF($J74="","",LEFT($J74,say_ikincilUzunluk))</f>
        <v/>
      </c>
      <c r="M74" s="24">
        <f>"B"</f>
        <v/>
      </c>
      <c r="N74" s="24">
        <f>IF($J74="","",IF(COUNTIF(tblAnahtarB[NormB],$J74)&gt;1,"EVET","HAYIR"))</f>
        <v/>
      </c>
      <c r="O74" s="24">
        <f>IF($I74="","",ROW()-ROW($I$5))</f>
        <v/>
      </c>
    </row>
    <row r="75">
      <c r="B75" s="24">
        <f>IF($A75="","",UPPER(TRIM(SUBSTITUTE($A75," ",""))))</f>
        <v/>
      </c>
      <c r="C75" s="24">
        <f>IF($B75="",0,LEN($B75))</f>
        <v/>
      </c>
      <c r="D75" s="24">
        <f>IF($B75="","",LEFT($B75,say_ikincilUzunluk))</f>
        <v/>
      </c>
      <c r="E75" s="24">
        <f>"A"</f>
        <v/>
      </c>
      <c r="F75" s="24">
        <f>IF($B75="","",IF(COUNTIF(tblAnahtarA[Norm],$B75)&gt;1,"EVET","HAYIR"))</f>
        <v/>
      </c>
      <c r="G75" s="24">
        <f>IF($A75="","",ROW()-ROW($A$5))</f>
        <v/>
      </c>
      <c r="J75" s="24">
        <f>IF($I75="","",UPPER(TRIM(SUBSTITUTE($I75," ",""))))</f>
        <v/>
      </c>
      <c r="K75" s="24">
        <f>IF($J75="",0,LEN($J75))</f>
        <v/>
      </c>
      <c r="L75" s="24">
        <f>IF($J75="","",LEFT($J75,say_ikincilUzunluk))</f>
        <v/>
      </c>
      <c r="M75" s="24">
        <f>"B"</f>
        <v/>
      </c>
      <c r="N75" s="24">
        <f>IF($J75="","",IF(COUNTIF(tblAnahtarB[NormB],$J75)&gt;1,"EVET","HAYIR"))</f>
        <v/>
      </c>
      <c r="O75" s="24">
        <f>IF($I75="","",ROW()-ROW($I$5))</f>
        <v/>
      </c>
    </row>
    <row r="76">
      <c r="B76" s="24">
        <f>IF($A76="","",UPPER(TRIM(SUBSTITUTE($A76," ",""))))</f>
        <v/>
      </c>
      <c r="C76" s="24">
        <f>IF($B76="",0,LEN($B76))</f>
        <v/>
      </c>
      <c r="D76" s="24">
        <f>IF($B76="","",LEFT($B76,say_ikincilUzunluk))</f>
        <v/>
      </c>
      <c r="E76" s="24">
        <f>"A"</f>
        <v/>
      </c>
      <c r="F76" s="24">
        <f>IF($B76="","",IF(COUNTIF(tblAnahtarA[Norm],$B76)&gt;1,"EVET","HAYIR"))</f>
        <v/>
      </c>
      <c r="G76" s="24">
        <f>IF($A76="","",ROW()-ROW($A$5))</f>
        <v/>
      </c>
      <c r="J76" s="24">
        <f>IF($I76="","",UPPER(TRIM(SUBSTITUTE($I76," ",""))))</f>
        <v/>
      </c>
      <c r="K76" s="24">
        <f>IF($J76="",0,LEN($J76))</f>
        <v/>
      </c>
      <c r="L76" s="24">
        <f>IF($J76="","",LEFT($J76,say_ikincilUzunluk))</f>
        <v/>
      </c>
      <c r="M76" s="24">
        <f>"B"</f>
        <v/>
      </c>
      <c r="N76" s="24">
        <f>IF($J76="","",IF(COUNTIF(tblAnahtarB[NormB],$J76)&gt;1,"EVET","HAYIR"))</f>
        <v/>
      </c>
      <c r="O76" s="24">
        <f>IF($I76="","",ROW()-ROW($I$5))</f>
        <v/>
      </c>
    </row>
    <row r="77">
      <c r="B77" s="24">
        <f>IF($A77="","",UPPER(TRIM(SUBSTITUTE($A77," ",""))))</f>
        <v/>
      </c>
      <c r="C77" s="24">
        <f>IF($B77="",0,LEN($B77))</f>
        <v/>
      </c>
      <c r="D77" s="24">
        <f>IF($B77="","",LEFT($B77,say_ikincilUzunluk))</f>
        <v/>
      </c>
      <c r="E77" s="24">
        <f>"A"</f>
        <v/>
      </c>
      <c r="F77" s="24">
        <f>IF($B77="","",IF(COUNTIF(tblAnahtarA[Norm],$B77)&gt;1,"EVET","HAYIR"))</f>
        <v/>
      </c>
      <c r="G77" s="24">
        <f>IF($A77="","",ROW()-ROW($A$5))</f>
        <v/>
      </c>
      <c r="J77" s="24">
        <f>IF($I77="","",UPPER(TRIM(SUBSTITUTE($I77," ",""))))</f>
        <v/>
      </c>
      <c r="K77" s="24">
        <f>IF($J77="",0,LEN($J77))</f>
        <v/>
      </c>
      <c r="L77" s="24">
        <f>IF($J77="","",LEFT($J77,say_ikincilUzunluk))</f>
        <v/>
      </c>
      <c r="M77" s="24">
        <f>"B"</f>
        <v/>
      </c>
      <c r="N77" s="24">
        <f>IF($J77="","",IF(COUNTIF(tblAnahtarB[NormB],$J77)&gt;1,"EVET","HAYIR"))</f>
        <v/>
      </c>
      <c r="O77" s="24">
        <f>IF($I77="","",ROW()-ROW($I$5))</f>
        <v/>
      </c>
    </row>
    <row r="78">
      <c r="B78" s="24">
        <f>IF($A78="","",UPPER(TRIM(SUBSTITUTE($A78," ",""))))</f>
        <v/>
      </c>
      <c r="C78" s="24">
        <f>IF($B78="",0,LEN($B78))</f>
        <v/>
      </c>
      <c r="D78" s="24">
        <f>IF($B78="","",LEFT($B78,say_ikincilUzunluk))</f>
        <v/>
      </c>
      <c r="E78" s="24">
        <f>"A"</f>
        <v/>
      </c>
      <c r="F78" s="24">
        <f>IF($B78="","",IF(COUNTIF(tblAnahtarA[Norm],$B78)&gt;1,"EVET","HAYIR"))</f>
        <v/>
      </c>
      <c r="G78" s="24">
        <f>IF($A78="","",ROW()-ROW($A$5))</f>
        <v/>
      </c>
      <c r="J78" s="24">
        <f>IF($I78="","",UPPER(TRIM(SUBSTITUTE($I78," ",""))))</f>
        <v/>
      </c>
      <c r="K78" s="24">
        <f>IF($J78="",0,LEN($J78))</f>
        <v/>
      </c>
      <c r="L78" s="24">
        <f>IF($J78="","",LEFT($J78,say_ikincilUzunluk))</f>
        <v/>
      </c>
      <c r="M78" s="24">
        <f>"B"</f>
        <v/>
      </c>
      <c r="N78" s="24">
        <f>IF($J78="","",IF(COUNTIF(tblAnahtarB[NormB],$J78)&gt;1,"EVET","HAYIR"))</f>
        <v/>
      </c>
      <c r="O78" s="24">
        <f>IF($I78="","",ROW()-ROW($I$5))</f>
        <v/>
      </c>
    </row>
    <row r="79">
      <c r="B79" s="24">
        <f>IF($A79="","",UPPER(TRIM(SUBSTITUTE($A79," ",""))))</f>
        <v/>
      </c>
      <c r="C79" s="24">
        <f>IF($B79="",0,LEN($B79))</f>
        <v/>
      </c>
      <c r="D79" s="24">
        <f>IF($B79="","",LEFT($B79,say_ikincilUzunluk))</f>
        <v/>
      </c>
      <c r="E79" s="24">
        <f>"A"</f>
        <v/>
      </c>
      <c r="F79" s="24">
        <f>IF($B79="","",IF(COUNTIF(tblAnahtarA[Norm],$B79)&gt;1,"EVET","HAYIR"))</f>
        <v/>
      </c>
      <c r="G79" s="24">
        <f>IF($A79="","",ROW()-ROW($A$5))</f>
        <v/>
      </c>
      <c r="J79" s="24">
        <f>IF($I79="","",UPPER(TRIM(SUBSTITUTE($I79," ",""))))</f>
        <v/>
      </c>
      <c r="K79" s="24">
        <f>IF($J79="",0,LEN($J79))</f>
        <v/>
      </c>
      <c r="L79" s="24">
        <f>IF($J79="","",LEFT($J79,say_ikincilUzunluk))</f>
        <v/>
      </c>
      <c r="M79" s="24">
        <f>"B"</f>
        <v/>
      </c>
      <c r="N79" s="24">
        <f>IF($J79="","",IF(COUNTIF(tblAnahtarB[NormB],$J79)&gt;1,"EVET","HAYIR"))</f>
        <v/>
      </c>
      <c r="O79" s="24">
        <f>IF($I79="","",ROW()-ROW($I$5))</f>
        <v/>
      </c>
    </row>
    <row r="80">
      <c r="B80" s="24">
        <f>IF($A80="","",UPPER(TRIM(SUBSTITUTE($A80," ",""))))</f>
        <v/>
      </c>
      <c r="C80" s="24">
        <f>IF($B80="",0,LEN($B80))</f>
        <v/>
      </c>
      <c r="D80" s="24">
        <f>IF($B80="","",LEFT($B80,say_ikincilUzunluk))</f>
        <v/>
      </c>
      <c r="E80" s="24">
        <f>"A"</f>
        <v/>
      </c>
      <c r="F80" s="24">
        <f>IF($B80="","",IF(COUNTIF(tblAnahtarA[Norm],$B80)&gt;1,"EVET","HAYIR"))</f>
        <v/>
      </c>
      <c r="G80" s="24">
        <f>IF($A80="","",ROW()-ROW($A$5))</f>
        <v/>
      </c>
      <c r="J80" s="24">
        <f>IF($I80="","",UPPER(TRIM(SUBSTITUTE($I80," ",""))))</f>
        <v/>
      </c>
      <c r="K80" s="24">
        <f>IF($J80="",0,LEN($J80))</f>
        <v/>
      </c>
      <c r="L80" s="24">
        <f>IF($J80="","",LEFT($J80,say_ikincilUzunluk))</f>
        <v/>
      </c>
      <c r="M80" s="24">
        <f>"B"</f>
        <v/>
      </c>
      <c r="N80" s="24">
        <f>IF($J80="","",IF(COUNTIF(tblAnahtarB[NormB],$J80)&gt;1,"EVET","HAYIR"))</f>
        <v/>
      </c>
      <c r="O80" s="24">
        <f>IF($I80="","",ROW()-ROW($I$5))</f>
        <v/>
      </c>
    </row>
    <row r="81">
      <c r="B81" s="24">
        <f>IF($A81="","",UPPER(TRIM(SUBSTITUTE($A81," ",""))))</f>
        <v/>
      </c>
      <c r="C81" s="24">
        <f>IF($B81="",0,LEN($B81))</f>
        <v/>
      </c>
      <c r="D81" s="24">
        <f>IF($B81="","",LEFT($B81,say_ikincilUzunluk))</f>
        <v/>
      </c>
      <c r="E81" s="24">
        <f>"A"</f>
        <v/>
      </c>
      <c r="F81" s="24">
        <f>IF($B81="","",IF(COUNTIF(tblAnahtarA[Norm],$B81)&gt;1,"EVET","HAYIR"))</f>
        <v/>
      </c>
      <c r="G81" s="24">
        <f>IF($A81="","",ROW()-ROW($A$5))</f>
        <v/>
      </c>
      <c r="J81" s="24">
        <f>IF($I81="","",UPPER(TRIM(SUBSTITUTE($I81," ",""))))</f>
        <v/>
      </c>
      <c r="K81" s="24">
        <f>IF($J81="",0,LEN($J81))</f>
        <v/>
      </c>
      <c r="L81" s="24">
        <f>IF($J81="","",LEFT($J81,say_ikincilUzunluk))</f>
        <v/>
      </c>
      <c r="M81" s="24">
        <f>"B"</f>
        <v/>
      </c>
      <c r="N81" s="24">
        <f>IF($J81="","",IF(COUNTIF(tblAnahtarB[NormB],$J81)&gt;1,"EVET","HAYIR"))</f>
        <v/>
      </c>
      <c r="O81" s="24">
        <f>IF($I81="","",ROW()-ROW($I$5))</f>
        <v/>
      </c>
    </row>
    <row r="82">
      <c r="B82" s="24">
        <f>IF($A82="","",UPPER(TRIM(SUBSTITUTE($A82," ",""))))</f>
        <v/>
      </c>
      <c r="C82" s="24">
        <f>IF($B82="",0,LEN($B82))</f>
        <v/>
      </c>
      <c r="D82" s="24">
        <f>IF($B82="","",LEFT($B82,say_ikincilUzunluk))</f>
        <v/>
      </c>
      <c r="E82" s="24">
        <f>"A"</f>
        <v/>
      </c>
      <c r="F82" s="24">
        <f>IF($B82="","",IF(COUNTIF(tblAnahtarA[Norm],$B82)&gt;1,"EVET","HAYIR"))</f>
        <v/>
      </c>
      <c r="G82" s="24">
        <f>IF($A82="","",ROW()-ROW($A$5))</f>
        <v/>
      </c>
      <c r="J82" s="24">
        <f>IF($I82="","",UPPER(TRIM(SUBSTITUTE($I82," ",""))))</f>
        <v/>
      </c>
      <c r="K82" s="24">
        <f>IF($J82="",0,LEN($J82))</f>
        <v/>
      </c>
      <c r="L82" s="24">
        <f>IF($J82="","",LEFT($J82,say_ikincilUzunluk))</f>
        <v/>
      </c>
      <c r="M82" s="24">
        <f>"B"</f>
        <v/>
      </c>
      <c r="N82" s="24">
        <f>IF($J82="","",IF(COUNTIF(tblAnahtarB[NormB],$J82)&gt;1,"EVET","HAYIR"))</f>
        <v/>
      </c>
      <c r="O82" s="24">
        <f>IF($I82="","",ROW()-ROW($I$5))</f>
        <v/>
      </c>
    </row>
    <row r="83">
      <c r="B83" s="24">
        <f>IF($A83="","",UPPER(TRIM(SUBSTITUTE($A83," ",""))))</f>
        <v/>
      </c>
      <c r="C83" s="24">
        <f>IF($B83="",0,LEN($B83))</f>
        <v/>
      </c>
      <c r="D83" s="24">
        <f>IF($B83="","",LEFT($B83,say_ikincilUzunluk))</f>
        <v/>
      </c>
      <c r="E83" s="24">
        <f>"A"</f>
        <v/>
      </c>
      <c r="F83" s="24">
        <f>IF($B83="","",IF(COUNTIF(tblAnahtarA[Norm],$B83)&gt;1,"EVET","HAYIR"))</f>
        <v/>
      </c>
      <c r="G83" s="24">
        <f>IF($A83="","",ROW()-ROW($A$5))</f>
        <v/>
      </c>
      <c r="J83" s="24">
        <f>IF($I83="","",UPPER(TRIM(SUBSTITUTE($I83," ",""))))</f>
        <v/>
      </c>
      <c r="K83" s="24">
        <f>IF($J83="",0,LEN($J83))</f>
        <v/>
      </c>
      <c r="L83" s="24">
        <f>IF($J83="","",LEFT($J83,say_ikincilUzunluk))</f>
        <v/>
      </c>
      <c r="M83" s="24">
        <f>"B"</f>
        <v/>
      </c>
      <c r="N83" s="24">
        <f>IF($J83="","",IF(COUNTIF(tblAnahtarB[NormB],$J83)&gt;1,"EVET","HAYIR"))</f>
        <v/>
      </c>
      <c r="O83" s="24">
        <f>IF($I83="","",ROW()-ROW($I$5))</f>
        <v/>
      </c>
    </row>
    <row r="84">
      <c r="B84" s="24">
        <f>IF($A84="","",UPPER(TRIM(SUBSTITUTE($A84," ",""))))</f>
        <v/>
      </c>
      <c r="C84" s="24">
        <f>IF($B84="",0,LEN($B84))</f>
        <v/>
      </c>
      <c r="D84" s="24">
        <f>IF($B84="","",LEFT($B84,say_ikincilUzunluk))</f>
        <v/>
      </c>
      <c r="E84" s="24">
        <f>"A"</f>
        <v/>
      </c>
      <c r="F84" s="24">
        <f>IF($B84="","",IF(COUNTIF(tblAnahtarA[Norm],$B84)&gt;1,"EVET","HAYIR"))</f>
        <v/>
      </c>
      <c r="G84" s="24">
        <f>IF($A84="","",ROW()-ROW($A$5))</f>
        <v/>
      </c>
      <c r="J84" s="24">
        <f>IF($I84="","",UPPER(TRIM(SUBSTITUTE($I84," ",""))))</f>
        <v/>
      </c>
      <c r="K84" s="24">
        <f>IF($J84="",0,LEN($J84))</f>
        <v/>
      </c>
      <c r="L84" s="24">
        <f>IF($J84="","",LEFT($J84,say_ikincilUzunluk))</f>
        <v/>
      </c>
      <c r="M84" s="24">
        <f>"B"</f>
        <v/>
      </c>
      <c r="N84" s="24">
        <f>IF($J84="","",IF(COUNTIF(tblAnahtarB[NormB],$J84)&gt;1,"EVET","HAYIR"))</f>
        <v/>
      </c>
      <c r="O84" s="24">
        <f>IF($I84="","",ROW()-ROW($I$5))</f>
        <v/>
      </c>
    </row>
    <row r="85">
      <c r="B85" s="24">
        <f>IF($A85="","",UPPER(TRIM(SUBSTITUTE($A85," ",""))))</f>
        <v/>
      </c>
      <c r="C85" s="24">
        <f>IF($B85="",0,LEN($B85))</f>
        <v/>
      </c>
      <c r="D85" s="24">
        <f>IF($B85="","",LEFT($B85,say_ikincilUzunluk))</f>
        <v/>
      </c>
      <c r="E85" s="24">
        <f>"A"</f>
        <v/>
      </c>
      <c r="F85" s="24">
        <f>IF($B85="","",IF(COUNTIF(tblAnahtarA[Norm],$B85)&gt;1,"EVET","HAYIR"))</f>
        <v/>
      </c>
      <c r="G85" s="24">
        <f>IF($A85="","",ROW()-ROW($A$5))</f>
        <v/>
      </c>
      <c r="J85" s="24">
        <f>IF($I85="","",UPPER(TRIM(SUBSTITUTE($I85," ",""))))</f>
        <v/>
      </c>
      <c r="K85" s="24">
        <f>IF($J85="",0,LEN($J85))</f>
        <v/>
      </c>
      <c r="L85" s="24">
        <f>IF($J85="","",LEFT($J85,say_ikincilUzunluk))</f>
        <v/>
      </c>
      <c r="M85" s="24">
        <f>"B"</f>
        <v/>
      </c>
      <c r="N85" s="24">
        <f>IF($J85="","",IF(COUNTIF(tblAnahtarB[NormB],$J85)&gt;1,"EVET","HAYIR"))</f>
        <v/>
      </c>
      <c r="O85" s="24">
        <f>IF($I85="","",ROW()-ROW($I$5))</f>
        <v/>
      </c>
    </row>
    <row r="86">
      <c r="B86" s="24">
        <f>IF($A86="","",UPPER(TRIM(SUBSTITUTE($A86," ",""))))</f>
        <v/>
      </c>
      <c r="C86" s="24">
        <f>IF($B86="",0,LEN($B86))</f>
        <v/>
      </c>
      <c r="D86" s="24">
        <f>IF($B86="","",LEFT($B86,say_ikincilUzunluk))</f>
        <v/>
      </c>
      <c r="E86" s="24">
        <f>"A"</f>
        <v/>
      </c>
      <c r="F86" s="24">
        <f>IF($B86="","",IF(COUNTIF(tblAnahtarA[Norm],$B86)&gt;1,"EVET","HAYIR"))</f>
        <v/>
      </c>
      <c r="G86" s="24">
        <f>IF($A86="","",ROW()-ROW($A$5))</f>
        <v/>
      </c>
      <c r="J86" s="24">
        <f>IF($I86="","",UPPER(TRIM(SUBSTITUTE($I86," ",""))))</f>
        <v/>
      </c>
      <c r="K86" s="24">
        <f>IF($J86="",0,LEN($J86))</f>
        <v/>
      </c>
      <c r="L86" s="24">
        <f>IF($J86="","",LEFT($J86,say_ikincilUzunluk))</f>
        <v/>
      </c>
      <c r="M86" s="24">
        <f>"B"</f>
        <v/>
      </c>
      <c r="N86" s="24">
        <f>IF($J86="","",IF(COUNTIF(tblAnahtarB[NormB],$J86)&gt;1,"EVET","HAYIR"))</f>
        <v/>
      </c>
      <c r="O86" s="24">
        <f>IF($I86="","",ROW()-ROW($I$5))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.5" customWidth="1" min="8" max="8"/>
    <col width="17.5" customWidth="1" min="9" max="9"/>
    <col width="12.5" customWidth="1" min="10" max="10"/>
    <col width="13.5" customWidth="1" min="11" max="11"/>
    <col width="13.5" customWidth="1" min="12" max="12"/>
    <col width="16.5" customWidth="1" min="13" max="13"/>
    <col width="12.5" customWidth="1" min="14" max="14"/>
    <col width="12.5" customWidth="1" min="15" max="15"/>
    <col width="13.5" customWidth="1" min="16" max="16"/>
    <col width="13" customWidth="1" min="17" max="17"/>
  </cols>
  <sheetData>
    <row r="1" ht="32" customHeight="1">
      <c r="A1" s="175" t="inlineStr">
        <is>
          <t>ESLESTIRME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</row>
    <row r="2">
      <c r="A2" s="9" t="inlineStr">
        <is>
          <t>Kova bütünlük</t>
        </is>
      </c>
      <c r="C2" s="12">
        <f>IF(COUNTIF(tblEslesme[Kova],"eslesti")+COUNTIF(tblEslesme[Kova],"tolerans_icinde")+COUNTIF(tblEslesme[Kova],"tutar_farki")+COUNTIF(tblEslesme[Kova],"eslesmedi")=COUNTA(tblEslesme[A_Norm]),"BUTUN","KAYIP")</f>
        <v/>
      </c>
    </row>
    <row r="3" ht="22" customHeight="1">
      <c r="A3" s="194" t="inlineStr">
        <is>
          <t>Dört kova — borç↔tahsilat (E02/E03)</t>
        </is>
      </c>
    </row>
    <row r="4"/>
    <row r="5" ht="30" customHeight="1">
      <c r="A5" s="22" t="inlineStr">
        <is>
          <t>A_Norm</t>
        </is>
      </c>
      <c r="B5" s="22" t="inlineStr">
        <is>
          <t>B_Sayim</t>
        </is>
      </c>
      <c r="C5" s="22" t="inlineStr">
        <is>
          <t>B_Tutar</t>
        </is>
      </c>
      <c r="D5" s="22" t="inlineStr">
        <is>
          <t>A_Tutar</t>
        </is>
      </c>
      <c r="E5" s="22" t="inlineStr">
        <is>
          <t>Fark</t>
        </is>
      </c>
      <c r="F5" s="22" t="inlineStr">
        <is>
          <t>AbsFark</t>
        </is>
      </c>
      <c r="G5" s="22" t="inlineStr">
        <is>
          <t>Kova</t>
        </is>
      </c>
      <c r="H5" s="22" t="inlineStr">
        <is>
          <t>IkincilEslesme</t>
        </is>
      </c>
      <c r="I5" s="22" t="inlineStr">
        <is>
          <t>DuplikeBayrak</t>
        </is>
      </c>
      <c r="J5" s="22" t="inlineStr">
        <is>
          <t>FarkOran</t>
        </is>
      </c>
      <c r="K5" s="22" t="inlineStr">
        <is>
          <t>YuvarlakA</t>
        </is>
      </c>
      <c r="L5" s="22" t="inlineStr">
        <is>
          <t>YuvarlakB</t>
        </is>
      </c>
      <c r="M5" s="22" t="inlineStr">
        <is>
          <t>ToleransTest</t>
        </is>
      </c>
      <c r="N5" s="22" t="inlineStr">
        <is>
          <t>EsikUstu</t>
        </is>
      </c>
      <c r="O5" s="22" t="inlineStr">
        <is>
          <t>NetKatki</t>
        </is>
      </c>
      <c r="P5" s="22" t="inlineStr">
        <is>
          <t>MotorAdim</t>
        </is>
      </c>
    </row>
    <row r="6">
      <c r="A6" s="24">
        <f>IF('ANAHTAR'!$B6="","",'ANAHTAR'!$B6)</f>
        <v/>
      </c>
      <c r="B6" s="24">
        <f>IF($A6="","",COUNTIF(tblAnahtarB[NormB],$A6))</f>
        <v/>
      </c>
      <c r="C6" s="24">
        <f>IF($A6="","",SUMIF(tblAnahtarB[NormB],$A6,tblTahsilat[OdemeTutari]))</f>
        <v/>
      </c>
      <c r="D6" s="24">
        <f>IF($A6="","",SUMIF(tblAnahtarA[Norm],$A6,tblDonem[ToplamBorc]))</f>
        <v/>
      </c>
      <c r="E6" s="24">
        <f>IF($A6="","",ROUND($D6,2)-ROUND($C6,2))</f>
        <v/>
      </c>
      <c r="F6" s="24">
        <f>IF($A6="","",ABS($E6))</f>
        <v/>
      </c>
      <c r="G6" s="24">
        <f>IF($A6="","",IF($B6=0,"eslesmedi",IF(ROUND($D6,2)=ROUND($C6,2),"eslesti",IF(ABS(ROUND($D6,2)-ROUND($C6,2))&lt;=toleransKurus,"tolerans_icinde","tutar_farki"))))</f>
        <v/>
      </c>
      <c r="H6" s="24">
        <f>IF($A6="","",IF($B6&gt;0,"BIRINCIL",IF(COUNTIF(tblAnahtarB[IkincilB],'ANAHTAR'!$D6)&gt;0,"IKINCIL","YOK")))</f>
        <v/>
      </c>
      <c r="I6" s="24">
        <f>IF($A6="","",'ANAHTAR'!$F6)</f>
        <v/>
      </c>
      <c r="J6" s="24">
        <f>IF(OR($A6="",$D6=0),0,$F6/ABS($D6))</f>
        <v/>
      </c>
      <c r="K6" s="24">
        <f>IF($A6="","",ROUND($D6,2))</f>
        <v/>
      </c>
      <c r="L6" s="24">
        <f>IF($A6="","",ROUND($C6,2))</f>
        <v/>
      </c>
      <c r="M6" s="24">
        <f>IF($A6="","",--($F6&lt;=toleransKurus))</f>
        <v/>
      </c>
      <c r="N6" s="24">
        <f>IF($A6="","",--($F6&gt;say_esikFark))</f>
        <v/>
      </c>
      <c r="O6" s="24">
        <f>IF($A6="","",IF(OR($G6="eslesti",$G6="tolerans_icinde"),$D6,0))</f>
        <v/>
      </c>
      <c r="P6" s="24">
        <f>IF($A6="","",$B6+$M6+$N6)</f>
        <v/>
      </c>
    </row>
    <row r="7">
      <c r="A7" s="24">
        <f>IF('ANAHTAR'!$B7="","",'ANAHTAR'!$B7)</f>
        <v/>
      </c>
      <c r="B7" s="24">
        <f>IF($A7="","",COUNTIF(tblAnahtarB[NormB],$A7))</f>
        <v/>
      </c>
      <c r="C7" s="24">
        <f>IF($A7="","",SUMIF(tblAnahtarB[NormB],$A7,tblTahsilat[OdemeTutari]))</f>
        <v/>
      </c>
      <c r="D7" s="24">
        <f>IF($A7="","",SUMIF(tblAnahtarA[Norm],$A7,tblDonem[ToplamBorc]))</f>
        <v/>
      </c>
      <c r="E7" s="24">
        <f>IF($A7="","",ROUND($D7,2)-ROUND($C7,2))</f>
        <v/>
      </c>
      <c r="F7" s="24">
        <f>IF($A7="","",ABS($E7))</f>
        <v/>
      </c>
      <c r="G7" s="24">
        <f>IF($A7="","",IF($B7=0,"eslesmedi",IF(ROUND($D7,2)=ROUND($C7,2),"eslesti",IF(ABS(ROUND($D7,2)-ROUND($C7,2))&lt;=toleransKurus,"tolerans_icinde","tutar_farki"))))</f>
        <v/>
      </c>
      <c r="H7" s="24">
        <f>IF($A7="","",IF($B7&gt;0,"BIRINCIL",IF(COUNTIF(tblAnahtarB[IkincilB],'ANAHTAR'!$D7)&gt;0,"IKINCIL","YOK")))</f>
        <v/>
      </c>
      <c r="I7" s="24">
        <f>IF($A7="","",'ANAHTAR'!$F7)</f>
        <v/>
      </c>
      <c r="J7" s="24">
        <f>IF(OR($A7="",$D7=0),0,$F7/ABS($D7))</f>
        <v/>
      </c>
      <c r="K7" s="24">
        <f>IF($A7="","",ROUND($D7,2))</f>
        <v/>
      </c>
      <c r="L7" s="24">
        <f>IF($A7="","",ROUND($C7,2))</f>
        <v/>
      </c>
      <c r="M7" s="24">
        <f>IF($A7="","",--($F7&lt;=toleransKurus))</f>
        <v/>
      </c>
      <c r="N7" s="24">
        <f>IF($A7="","",--($F7&gt;say_esikFark))</f>
        <v/>
      </c>
      <c r="O7" s="24">
        <f>IF($A7="","",IF(OR($G7="eslesti",$G7="tolerans_icinde"),$D7,0))</f>
        <v/>
      </c>
      <c r="P7" s="24">
        <f>IF($A7="","",$B7+$M7+$N7)</f>
        <v/>
      </c>
    </row>
    <row r="8">
      <c r="A8" s="24">
        <f>IF('ANAHTAR'!$B8="","",'ANAHTAR'!$B8)</f>
        <v/>
      </c>
      <c r="B8" s="24">
        <f>IF($A8="","",COUNTIF(tblAnahtarB[NormB],$A8))</f>
        <v/>
      </c>
      <c r="C8" s="24">
        <f>IF($A8="","",SUMIF(tblAnahtarB[NormB],$A8,tblTahsilat[OdemeTutari]))</f>
        <v/>
      </c>
      <c r="D8" s="24">
        <f>IF($A8="","",SUMIF(tblAnahtarA[Norm],$A8,tblDonem[ToplamBorc]))</f>
        <v/>
      </c>
      <c r="E8" s="24">
        <f>IF($A8="","",ROUND($D8,2)-ROUND($C8,2))</f>
        <v/>
      </c>
      <c r="F8" s="24">
        <f>IF($A8="","",ABS($E8))</f>
        <v/>
      </c>
      <c r="G8" s="24">
        <f>IF($A8="","",IF($B8=0,"eslesmedi",IF(ROUND($D8,2)=ROUND($C8,2),"eslesti",IF(ABS(ROUND($D8,2)-ROUND($C8,2))&lt;=toleransKurus,"tolerans_icinde","tutar_farki"))))</f>
        <v/>
      </c>
      <c r="H8" s="24">
        <f>IF($A8="","",IF($B8&gt;0,"BIRINCIL",IF(COUNTIF(tblAnahtarB[IkincilB],'ANAHTAR'!$D8)&gt;0,"IKINCIL","YOK")))</f>
        <v/>
      </c>
      <c r="I8" s="24">
        <f>IF($A8="","",'ANAHTAR'!$F8)</f>
        <v/>
      </c>
      <c r="J8" s="24">
        <f>IF(OR($A8="",$D8=0),0,$F8/ABS($D8))</f>
        <v/>
      </c>
      <c r="K8" s="24">
        <f>IF($A8="","",ROUND($D8,2))</f>
        <v/>
      </c>
      <c r="L8" s="24">
        <f>IF($A8="","",ROUND($C8,2))</f>
        <v/>
      </c>
      <c r="M8" s="24">
        <f>IF($A8="","",--($F8&lt;=toleransKurus))</f>
        <v/>
      </c>
      <c r="N8" s="24">
        <f>IF($A8="","",--($F8&gt;say_esikFark))</f>
        <v/>
      </c>
      <c r="O8" s="24">
        <f>IF($A8="","",IF(OR($G8="eslesti",$G8="tolerans_icinde"),$D8,0))</f>
        <v/>
      </c>
      <c r="P8" s="24">
        <f>IF($A8="","",$B8+$M8+$N8)</f>
        <v/>
      </c>
    </row>
    <row r="9">
      <c r="A9" s="24">
        <f>IF('ANAHTAR'!$B9="","",'ANAHTAR'!$B9)</f>
        <v/>
      </c>
      <c r="B9" s="24">
        <f>IF($A9="","",COUNTIF(tblAnahtarB[NormB],$A9))</f>
        <v/>
      </c>
      <c r="C9" s="24">
        <f>IF($A9="","",SUMIF(tblAnahtarB[NormB],$A9,tblTahsilat[OdemeTutari]))</f>
        <v/>
      </c>
      <c r="D9" s="24">
        <f>IF($A9="","",SUMIF(tblAnahtarA[Norm],$A9,tblDonem[ToplamBorc]))</f>
        <v/>
      </c>
      <c r="E9" s="24">
        <f>IF($A9="","",ROUND($D9,2)-ROUND($C9,2))</f>
        <v/>
      </c>
      <c r="F9" s="24">
        <f>IF($A9="","",ABS($E9))</f>
        <v/>
      </c>
      <c r="G9" s="24">
        <f>IF($A9="","",IF($B9=0,"eslesmedi",IF(ROUND($D9,2)=ROUND($C9,2),"eslesti",IF(ABS(ROUND($D9,2)-ROUND($C9,2))&lt;=toleransKurus,"tolerans_icinde","tutar_farki"))))</f>
        <v/>
      </c>
      <c r="H9" s="24">
        <f>IF($A9="","",IF($B9&gt;0,"BIRINCIL",IF(COUNTIF(tblAnahtarB[IkincilB],'ANAHTAR'!$D9)&gt;0,"IKINCIL","YOK")))</f>
        <v/>
      </c>
      <c r="I9" s="24">
        <f>IF($A9="","",'ANAHTAR'!$F9)</f>
        <v/>
      </c>
      <c r="J9" s="24">
        <f>IF(OR($A9="",$D9=0),0,$F9/ABS($D9))</f>
        <v/>
      </c>
      <c r="K9" s="24">
        <f>IF($A9="","",ROUND($D9,2))</f>
        <v/>
      </c>
      <c r="L9" s="24">
        <f>IF($A9="","",ROUND($C9,2))</f>
        <v/>
      </c>
      <c r="M9" s="24">
        <f>IF($A9="","",--($F9&lt;=toleransKurus))</f>
        <v/>
      </c>
      <c r="N9" s="24">
        <f>IF($A9="","",--($F9&gt;say_esikFark))</f>
        <v/>
      </c>
      <c r="O9" s="24">
        <f>IF($A9="","",IF(OR($G9="eslesti",$G9="tolerans_icinde"),$D9,0))</f>
        <v/>
      </c>
      <c r="P9" s="24">
        <f>IF($A9="","",$B9+$M9+$N9)</f>
        <v/>
      </c>
    </row>
    <row r="10">
      <c r="A10" s="24">
        <f>IF('ANAHTAR'!$B10="","",'ANAHTAR'!$B10)</f>
        <v/>
      </c>
      <c r="B10" s="24">
        <f>IF($A10="","",COUNTIF(tblAnahtarB[NormB],$A10))</f>
        <v/>
      </c>
      <c r="C10" s="24">
        <f>IF($A10="","",SUMIF(tblAnahtarB[NormB],$A10,tblTahsilat[OdemeTutari]))</f>
        <v/>
      </c>
      <c r="D10" s="24">
        <f>IF($A10="","",SUMIF(tblAnahtarA[Norm],$A10,tblDonem[ToplamBorc]))</f>
        <v/>
      </c>
      <c r="E10" s="24">
        <f>IF($A10="","",ROUND($D10,2)-ROUND($C10,2))</f>
        <v/>
      </c>
      <c r="F10" s="24">
        <f>IF($A10="","",ABS($E10))</f>
        <v/>
      </c>
      <c r="G10" s="24">
        <f>IF($A10="","",IF($B10=0,"eslesmedi",IF(ROUND($D10,2)=ROUND($C10,2),"eslesti",IF(ABS(ROUND($D10,2)-ROUND($C10,2))&lt;=toleransKurus,"tolerans_icinde","tutar_farki"))))</f>
        <v/>
      </c>
      <c r="H10" s="24">
        <f>IF($A10="","",IF($B10&gt;0,"BIRINCIL",IF(COUNTIF(tblAnahtarB[IkincilB],'ANAHTAR'!$D10)&gt;0,"IKINCIL","YOK")))</f>
        <v/>
      </c>
      <c r="I10" s="24">
        <f>IF($A10="","",'ANAHTAR'!$F10)</f>
        <v/>
      </c>
      <c r="J10" s="24">
        <f>IF(OR($A10="",$D10=0),0,$F10/ABS($D10))</f>
        <v/>
      </c>
      <c r="K10" s="24">
        <f>IF($A10="","",ROUND($D10,2))</f>
        <v/>
      </c>
      <c r="L10" s="24">
        <f>IF($A10="","",ROUND($C10,2))</f>
        <v/>
      </c>
      <c r="M10" s="24">
        <f>IF($A10="","",--($F10&lt;=toleransKurus))</f>
        <v/>
      </c>
      <c r="N10" s="24">
        <f>IF($A10="","",--($F10&gt;say_esikFark))</f>
        <v/>
      </c>
      <c r="O10" s="24">
        <f>IF($A10="","",IF(OR($G10="eslesti",$G10="tolerans_icinde"),$D10,0))</f>
        <v/>
      </c>
      <c r="P10" s="24">
        <f>IF($A10="","",$B10+$M10+$N10)</f>
        <v/>
      </c>
    </row>
    <row r="11">
      <c r="A11" s="24">
        <f>IF('ANAHTAR'!$B11="","",'ANAHTAR'!$B11)</f>
        <v/>
      </c>
      <c r="B11" s="24">
        <f>IF($A11="","",COUNTIF(tblAnahtarB[NormB],$A11))</f>
        <v/>
      </c>
      <c r="C11" s="24">
        <f>IF($A11="","",SUMIF(tblAnahtarB[NormB],$A11,tblTahsilat[OdemeTutari]))</f>
        <v/>
      </c>
      <c r="D11" s="24">
        <f>IF($A11="","",SUMIF(tblAnahtarA[Norm],$A11,tblDonem[ToplamBorc]))</f>
        <v/>
      </c>
      <c r="E11" s="24">
        <f>IF($A11="","",ROUND($D11,2)-ROUND($C11,2))</f>
        <v/>
      </c>
      <c r="F11" s="24">
        <f>IF($A11="","",ABS($E11))</f>
        <v/>
      </c>
      <c r="G11" s="24">
        <f>IF($A11="","",IF($B11=0,"eslesmedi",IF(ROUND($D11,2)=ROUND($C11,2),"eslesti",IF(ABS(ROUND($D11,2)-ROUND($C11,2))&lt;=toleransKurus,"tolerans_icinde","tutar_farki"))))</f>
        <v/>
      </c>
      <c r="H11" s="24">
        <f>IF($A11="","",IF($B11&gt;0,"BIRINCIL",IF(COUNTIF(tblAnahtarB[IkincilB],'ANAHTAR'!$D11)&gt;0,"IKINCIL","YOK")))</f>
        <v/>
      </c>
      <c r="I11" s="24">
        <f>IF($A11="","",'ANAHTAR'!$F11)</f>
        <v/>
      </c>
      <c r="J11" s="24">
        <f>IF(OR($A11="",$D11=0),0,$F11/ABS($D11))</f>
        <v/>
      </c>
      <c r="K11" s="24">
        <f>IF($A11="","",ROUND($D11,2))</f>
        <v/>
      </c>
      <c r="L11" s="24">
        <f>IF($A11="","",ROUND($C11,2))</f>
        <v/>
      </c>
      <c r="M11" s="24">
        <f>IF($A11="","",--($F11&lt;=toleransKurus))</f>
        <v/>
      </c>
      <c r="N11" s="24">
        <f>IF($A11="","",--($F11&gt;say_esikFark))</f>
        <v/>
      </c>
      <c r="O11" s="24">
        <f>IF($A11="","",IF(OR($G11="eslesti",$G11="tolerans_icinde"),$D11,0))</f>
        <v/>
      </c>
      <c r="P11" s="24">
        <f>IF($A11="","",$B11+$M11+$N11)</f>
        <v/>
      </c>
    </row>
    <row r="12">
      <c r="A12" s="24">
        <f>IF('ANAHTAR'!$B12="","",'ANAHTAR'!$B12)</f>
        <v/>
      </c>
      <c r="B12" s="24">
        <f>IF($A12="","",COUNTIF(tblAnahtarB[NormB],$A12))</f>
        <v/>
      </c>
      <c r="C12" s="24">
        <f>IF($A12="","",SUMIF(tblAnahtarB[NormB],$A12,tblTahsilat[OdemeTutari]))</f>
        <v/>
      </c>
      <c r="D12" s="24">
        <f>IF($A12="","",SUMIF(tblAnahtarA[Norm],$A12,tblDonem[ToplamBorc]))</f>
        <v/>
      </c>
      <c r="E12" s="24">
        <f>IF($A12="","",ROUND($D12,2)-ROUND($C12,2))</f>
        <v/>
      </c>
      <c r="F12" s="24">
        <f>IF($A12="","",ABS($E12))</f>
        <v/>
      </c>
      <c r="G12" s="24">
        <f>IF($A12="","",IF($B12=0,"eslesmedi",IF(ROUND($D12,2)=ROUND($C12,2),"eslesti",IF(ABS(ROUND($D12,2)-ROUND($C12,2))&lt;=toleransKurus,"tolerans_icinde","tutar_farki"))))</f>
        <v/>
      </c>
      <c r="H12" s="24">
        <f>IF($A12="","",IF($B12&gt;0,"BIRINCIL",IF(COUNTIF(tblAnahtarB[IkincilB],'ANAHTAR'!$D12)&gt;0,"IKINCIL","YOK")))</f>
        <v/>
      </c>
      <c r="I12" s="24">
        <f>IF($A12="","",'ANAHTAR'!$F12)</f>
        <v/>
      </c>
      <c r="J12" s="24">
        <f>IF(OR($A12="",$D12=0),0,$F12/ABS($D12))</f>
        <v/>
      </c>
      <c r="K12" s="24">
        <f>IF($A12="","",ROUND($D12,2))</f>
        <v/>
      </c>
      <c r="L12" s="24">
        <f>IF($A12="","",ROUND($C12,2))</f>
        <v/>
      </c>
      <c r="M12" s="24">
        <f>IF($A12="","",--($F12&lt;=toleransKurus))</f>
        <v/>
      </c>
      <c r="N12" s="24">
        <f>IF($A12="","",--($F12&gt;say_esikFark))</f>
        <v/>
      </c>
      <c r="O12" s="24">
        <f>IF($A12="","",IF(OR($G12="eslesti",$G12="tolerans_icinde"),$D12,0))</f>
        <v/>
      </c>
      <c r="P12" s="24">
        <f>IF($A12="","",$B12+$M12+$N12)</f>
        <v/>
      </c>
    </row>
    <row r="13">
      <c r="A13" s="24">
        <f>IF('ANAHTAR'!$B13="","",'ANAHTAR'!$B13)</f>
        <v/>
      </c>
      <c r="B13" s="24">
        <f>IF($A13="","",COUNTIF(tblAnahtarB[NormB],$A13))</f>
        <v/>
      </c>
      <c r="C13" s="24">
        <f>IF($A13="","",SUMIF(tblAnahtarB[NormB],$A13,tblTahsilat[OdemeTutari]))</f>
        <v/>
      </c>
      <c r="D13" s="24">
        <f>IF($A13="","",SUMIF(tblAnahtarA[Norm],$A13,tblDonem[ToplamBorc]))</f>
        <v/>
      </c>
      <c r="E13" s="24">
        <f>IF($A13="","",ROUND($D13,2)-ROUND($C13,2))</f>
        <v/>
      </c>
      <c r="F13" s="24">
        <f>IF($A13="","",ABS($E13))</f>
        <v/>
      </c>
      <c r="G13" s="24">
        <f>IF($A13="","",IF($B13=0,"eslesmedi",IF(ROUND($D13,2)=ROUND($C13,2),"eslesti",IF(ABS(ROUND($D13,2)-ROUND($C13,2))&lt;=toleransKurus,"tolerans_icinde","tutar_farki"))))</f>
        <v/>
      </c>
      <c r="H13" s="24">
        <f>IF($A13="","",IF($B13&gt;0,"BIRINCIL",IF(COUNTIF(tblAnahtarB[IkincilB],'ANAHTAR'!$D13)&gt;0,"IKINCIL","YOK")))</f>
        <v/>
      </c>
      <c r="I13" s="24">
        <f>IF($A13="","",'ANAHTAR'!$F13)</f>
        <v/>
      </c>
      <c r="J13" s="24">
        <f>IF(OR($A13="",$D13=0),0,$F13/ABS($D13))</f>
        <v/>
      </c>
      <c r="K13" s="24">
        <f>IF($A13="","",ROUND($D13,2))</f>
        <v/>
      </c>
      <c r="L13" s="24">
        <f>IF($A13="","",ROUND($C13,2))</f>
        <v/>
      </c>
      <c r="M13" s="24">
        <f>IF($A13="","",--($F13&lt;=toleransKurus))</f>
        <v/>
      </c>
      <c r="N13" s="24">
        <f>IF($A13="","",--($F13&gt;say_esikFark))</f>
        <v/>
      </c>
      <c r="O13" s="24">
        <f>IF($A13="","",IF(OR($G13="eslesti",$G13="tolerans_icinde"),$D13,0))</f>
        <v/>
      </c>
      <c r="P13" s="24">
        <f>IF($A13="","",$B13+$M13+$N13)</f>
        <v/>
      </c>
    </row>
    <row r="14">
      <c r="A14" s="24">
        <f>IF('ANAHTAR'!$B14="","",'ANAHTAR'!$B14)</f>
        <v/>
      </c>
      <c r="B14" s="24">
        <f>IF($A14="","",COUNTIF(tblAnahtarB[NormB],$A14))</f>
        <v/>
      </c>
      <c r="C14" s="24">
        <f>IF($A14="","",SUMIF(tblAnahtarB[NormB],$A14,tblTahsilat[OdemeTutari]))</f>
        <v/>
      </c>
      <c r="D14" s="24">
        <f>IF($A14="","",SUMIF(tblAnahtarA[Norm],$A14,tblDonem[ToplamBorc]))</f>
        <v/>
      </c>
      <c r="E14" s="24">
        <f>IF($A14="","",ROUND($D14,2)-ROUND($C14,2))</f>
        <v/>
      </c>
      <c r="F14" s="24">
        <f>IF($A14="","",ABS($E14))</f>
        <v/>
      </c>
      <c r="G14" s="24">
        <f>IF($A14="","",IF($B14=0,"eslesmedi",IF(ROUND($D14,2)=ROUND($C14,2),"eslesti",IF(ABS(ROUND($D14,2)-ROUND($C14,2))&lt;=toleransKurus,"tolerans_icinde","tutar_farki"))))</f>
        <v/>
      </c>
      <c r="H14" s="24">
        <f>IF($A14="","",IF($B14&gt;0,"BIRINCIL",IF(COUNTIF(tblAnahtarB[IkincilB],'ANAHTAR'!$D14)&gt;0,"IKINCIL","YOK")))</f>
        <v/>
      </c>
      <c r="I14" s="24">
        <f>IF($A14="","",'ANAHTAR'!$F14)</f>
        <v/>
      </c>
      <c r="J14" s="24">
        <f>IF(OR($A14="",$D14=0),0,$F14/ABS($D14))</f>
        <v/>
      </c>
      <c r="K14" s="24">
        <f>IF($A14="","",ROUND($D14,2))</f>
        <v/>
      </c>
      <c r="L14" s="24">
        <f>IF($A14="","",ROUND($C14,2))</f>
        <v/>
      </c>
      <c r="M14" s="24">
        <f>IF($A14="","",--($F14&lt;=toleransKurus))</f>
        <v/>
      </c>
      <c r="N14" s="24">
        <f>IF($A14="","",--($F14&gt;say_esikFark))</f>
        <v/>
      </c>
      <c r="O14" s="24">
        <f>IF($A14="","",IF(OR($G14="eslesti",$G14="tolerans_icinde"),$D14,0))</f>
        <v/>
      </c>
      <c r="P14" s="24">
        <f>IF($A14="","",$B14+$M14+$N14)</f>
        <v/>
      </c>
    </row>
    <row r="15">
      <c r="A15" s="24">
        <f>IF('ANAHTAR'!$B15="","",'ANAHTAR'!$B15)</f>
        <v/>
      </c>
      <c r="B15" s="24">
        <f>IF($A15="","",COUNTIF(tblAnahtarB[NormB],$A15))</f>
        <v/>
      </c>
      <c r="C15" s="24">
        <f>IF($A15="","",SUMIF(tblAnahtarB[NormB],$A15,tblTahsilat[OdemeTutari]))</f>
        <v/>
      </c>
      <c r="D15" s="24">
        <f>IF($A15="","",SUMIF(tblAnahtarA[Norm],$A15,tblDonem[ToplamBorc]))</f>
        <v/>
      </c>
      <c r="E15" s="24">
        <f>IF($A15="","",ROUND($D15,2)-ROUND($C15,2))</f>
        <v/>
      </c>
      <c r="F15" s="24">
        <f>IF($A15="","",ABS($E15))</f>
        <v/>
      </c>
      <c r="G15" s="24">
        <f>IF($A15="","",IF($B15=0,"eslesmedi",IF(ROUND($D15,2)=ROUND($C15,2),"eslesti",IF(ABS(ROUND($D15,2)-ROUND($C15,2))&lt;=toleransKurus,"tolerans_icinde","tutar_farki"))))</f>
        <v/>
      </c>
      <c r="H15" s="24">
        <f>IF($A15="","",IF($B15&gt;0,"BIRINCIL",IF(COUNTIF(tblAnahtarB[IkincilB],'ANAHTAR'!$D15)&gt;0,"IKINCIL","YOK")))</f>
        <v/>
      </c>
      <c r="I15" s="24">
        <f>IF($A15="","",'ANAHTAR'!$F15)</f>
        <v/>
      </c>
      <c r="J15" s="24">
        <f>IF(OR($A15="",$D15=0),0,$F15/ABS($D15))</f>
        <v/>
      </c>
      <c r="K15" s="24">
        <f>IF($A15="","",ROUND($D15,2))</f>
        <v/>
      </c>
      <c r="L15" s="24">
        <f>IF($A15="","",ROUND($C15,2))</f>
        <v/>
      </c>
      <c r="M15" s="24">
        <f>IF($A15="","",--($F15&lt;=toleransKurus))</f>
        <v/>
      </c>
      <c r="N15" s="24">
        <f>IF($A15="","",--($F15&gt;say_esikFark))</f>
        <v/>
      </c>
      <c r="O15" s="24">
        <f>IF($A15="","",IF(OR($G15="eslesti",$G15="tolerans_icinde"),$D15,0))</f>
        <v/>
      </c>
      <c r="P15" s="24">
        <f>IF($A15="","",$B15+$M15+$N15)</f>
        <v/>
      </c>
    </row>
    <row r="16">
      <c r="A16" s="24">
        <f>IF('ANAHTAR'!$B16="","",'ANAHTAR'!$B16)</f>
        <v/>
      </c>
      <c r="B16" s="24">
        <f>IF($A16="","",COUNTIF(tblAnahtarB[NormB],$A16))</f>
        <v/>
      </c>
      <c r="C16" s="24">
        <f>IF($A16="","",SUMIF(tblAnahtarB[NormB],$A16,tblTahsilat[OdemeTutari]))</f>
        <v/>
      </c>
      <c r="D16" s="24">
        <f>IF($A16="","",SUMIF(tblAnahtarA[Norm],$A16,tblDonem[ToplamBorc]))</f>
        <v/>
      </c>
      <c r="E16" s="24">
        <f>IF($A16="","",ROUND($D16,2)-ROUND($C16,2))</f>
        <v/>
      </c>
      <c r="F16" s="24">
        <f>IF($A16="","",ABS($E16))</f>
        <v/>
      </c>
      <c r="G16" s="24">
        <f>IF($A16="","",IF($B16=0,"eslesmedi",IF(ROUND($D16,2)=ROUND($C16,2),"eslesti",IF(ABS(ROUND($D16,2)-ROUND($C16,2))&lt;=toleransKurus,"tolerans_icinde","tutar_farki"))))</f>
        <v/>
      </c>
      <c r="H16" s="24">
        <f>IF($A16="","",IF($B16&gt;0,"BIRINCIL",IF(COUNTIF(tblAnahtarB[IkincilB],'ANAHTAR'!$D16)&gt;0,"IKINCIL","YOK")))</f>
        <v/>
      </c>
      <c r="I16" s="24">
        <f>IF($A16="","",'ANAHTAR'!$F16)</f>
        <v/>
      </c>
      <c r="J16" s="24">
        <f>IF(OR($A16="",$D16=0),0,$F16/ABS($D16))</f>
        <v/>
      </c>
      <c r="K16" s="24">
        <f>IF($A16="","",ROUND($D16,2))</f>
        <v/>
      </c>
      <c r="L16" s="24">
        <f>IF($A16="","",ROUND($C16,2))</f>
        <v/>
      </c>
      <c r="M16" s="24">
        <f>IF($A16="","",--($F16&lt;=toleransKurus))</f>
        <v/>
      </c>
      <c r="N16" s="24">
        <f>IF($A16="","",--($F16&gt;say_esikFark))</f>
        <v/>
      </c>
      <c r="O16" s="24">
        <f>IF($A16="","",IF(OR($G16="eslesti",$G16="tolerans_icinde"),$D16,0))</f>
        <v/>
      </c>
      <c r="P16" s="24">
        <f>IF($A16="","",$B16+$M16+$N16)</f>
        <v/>
      </c>
    </row>
    <row r="17">
      <c r="A17" s="24">
        <f>IF('ANAHTAR'!$B17="","",'ANAHTAR'!$B17)</f>
        <v/>
      </c>
      <c r="B17" s="24">
        <f>IF($A17="","",COUNTIF(tblAnahtarB[NormB],$A17))</f>
        <v/>
      </c>
      <c r="C17" s="24">
        <f>IF($A17="","",SUMIF(tblAnahtarB[NormB],$A17,tblTahsilat[OdemeTutari]))</f>
        <v/>
      </c>
      <c r="D17" s="24">
        <f>IF($A17="","",SUMIF(tblAnahtarA[Norm],$A17,tblDonem[ToplamBorc]))</f>
        <v/>
      </c>
      <c r="E17" s="24">
        <f>IF($A17="","",ROUND($D17,2)-ROUND($C17,2))</f>
        <v/>
      </c>
      <c r="F17" s="24">
        <f>IF($A17="","",ABS($E17))</f>
        <v/>
      </c>
      <c r="G17" s="24">
        <f>IF($A17="","",IF($B17=0,"eslesmedi",IF(ROUND($D17,2)=ROUND($C17,2),"eslesti",IF(ABS(ROUND($D17,2)-ROUND($C17,2))&lt;=toleransKurus,"tolerans_icinde","tutar_farki"))))</f>
        <v/>
      </c>
      <c r="H17" s="24">
        <f>IF($A17="","",IF($B17&gt;0,"BIRINCIL",IF(COUNTIF(tblAnahtarB[IkincilB],'ANAHTAR'!$D17)&gt;0,"IKINCIL","YOK")))</f>
        <v/>
      </c>
      <c r="I17" s="24">
        <f>IF($A17="","",'ANAHTAR'!$F17)</f>
        <v/>
      </c>
      <c r="J17" s="24">
        <f>IF(OR($A17="",$D17=0),0,$F17/ABS($D17))</f>
        <v/>
      </c>
      <c r="K17" s="24">
        <f>IF($A17="","",ROUND($D17,2))</f>
        <v/>
      </c>
      <c r="L17" s="24">
        <f>IF($A17="","",ROUND($C17,2))</f>
        <v/>
      </c>
      <c r="M17" s="24">
        <f>IF($A17="","",--($F17&lt;=toleransKurus))</f>
        <v/>
      </c>
      <c r="N17" s="24">
        <f>IF($A17="","",--($F17&gt;say_esikFark))</f>
        <v/>
      </c>
      <c r="O17" s="24">
        <f>IF($A17="","",IF(OR($G17="eslesti",$G17="tolerans_icinde"),$D17,0))</f>
        <v/>
      </c>
      <c r="P17" s="24">
        <f>IF($A17="","",$B17+$M17+$N17)</f>
        <v/>
      </c>
    </row>
    <row r="18">
      <c r="A18" s="24">
        <f>IF('ANAHTAR'!$B18="","",'ANAHTAR'!$B18)</f>
        <v/>
      </c>
      <c r="B18" s="24">
        <f>IF($A18="","",COUNTIF(tblAnahtarB[NormB],$A18))</f>
        <v/>
      </c>
      <c r="C18" s="24">
        <f>IF($A18="","",SUMIF(tblAnahtarB[NormB],$A18,tblTahsilat[OdemeTutari]))</f>
        <v/>
      </c>
      <c r="D18" s="24">
        <f>IF($A18="","",SUMIF(tblAnahtarA[Norm],$A18,tblDonem[ToplamBorc]))</f>
        <v/>
      </c>
      <c r="E18" s="24">
        <f>IF($A18="","",ROUND($D18,2)-ROUND($C18,2))</f>
        <v/>
      </c>
      <c r="F18" s="24">
        <f>IF($A18="","",ABS($E18))</f>
        <v/>
      </c>
      <c r="G18" s="24">
        <f>IF($A18="","",IF($B18=0,"eslesmedi",IF(ROUND($D18,2)=ROUND($C18,2),"eslesti",IF(ABS(ROUND($D18,2)-ROUND($C18,2))&lt;=toleransKurus,"tolerans_icinde","tutar_farki"))))</f>
        <v/>
      </c>
      <c r="H18" s="24">
        <f>IF($A18="","",IF($B18&gt;0,"BIRINCIL",IF(COUNTIF(tblAnahtarB[IkincilB],'ANAHTAR'!$D18)&gt;0,"IKINCIL","YOK")))</f>
        <v/>
      </c>
      <c r="I18" s="24">
        <f>IF($A18="","",'ANAHTAR'!$F18)</f>
        <v/>
      </c>
      <c r="J18" s="24">
        <f>IF(OR($A18="",$D18=0),0,$F18/ABS($D18))</f>
        <v/>
      </c>
      <c r="K18" s="24">
        <f>IF($A18="","",ROUND($D18,2))</f>
        <v/>
      </c>
      <c r="L18" s="24">
        <f>IF($A18="","",ROUND($C18,2))</f>
        <v/>
      </c>
      <c r="M18" s="24">
        <f>IF($A18="","",--($F18&lt;=toleransKurus))</f>
        <v/>
      </c>
      <c r="N18" s="24">
        <f>IF($A18="","",--($F18&gt;say_esikFark))</f>
        <v/>
      </c>
      <c r="O18" s="24">
        <f>IF($A18="","",IF(OR($G18="eslesti",$G18="tolerans_icinde"),$D18,0))</f>
        <v/>
      </c>
      <c r="P18" s="24">
        <f>IF($A18="","",$B18+$M18+$N18)</f>
        <v/>
      </c>
    </row>
    <row r="19">
      <c r="A19" s="24">
        <f>IF('ANAHTAR'!$B19="","",'ANAHTAR'!$B19)</f>
        <v/>
      </c>
      <c r="B19" s="24">
        <f>IF($A19="","",COUNTIF(tblAnahtarB[NormB],$A19))</f>
        <v/>
      </c>
      <c r="C19" s="24">
        <f>IF($A19="","",SUMIF(tblAnahtarB[NormB],$A19,tblTahsilat[OdemeTutari]))</f>
        <v/>
      </c>
      <c r="D19" s="24">
        <f>IF($A19="","",SUMIF(tblAnahtarA[Norm],$A19,tblDonem[ToplamBorc]))</f>
        <v/>
      </c>
      <c r="E19" s="24">
        <f>IF($A19="","",ROUND($D19,2)-ROUND($C19,2))</f>
        <v/>
      </c>
      <c r="F19" s="24">
        <f>IF($A19="","",ABS($E19))</f>
        <v/>
      </c>
      <c r="G19" s="24">
        <f>IF($A19="","",IF($B19=0,"eslesmedi",IF(ROUND($D19,2)=ROUND($C19,2),"eslesti",IF(ABS(ROUND($D19,2)-ROUND($C19,2))&lt;=toleransKurus,"tolerans_icinde","tutar_farki"))))</f>
        <v/>
      </c>
      <c r="H19" s="24">
        <f>IF($A19="","",IF($B19&gt;0,"BIRINCIL",IF(COUNTIF(tblAnahtarB[IkincilB],'ANAHTAR'!$D19)&gt;0,"IKINCIL","YOK")))</f>
        <v/>
      </c>
      <c r="I19" s="24">
        <f>IF($A19="","",'ANAHTAR'!$F19)</f>
        <v/>
      </c>
      <c r="J19" s="24">
        <f>IF(OR($A19="",$D19=0),0,$F19/ABS($D19))</f>
        <v/>
      </c>
      <c r="K19" s="24">
        <f>IF($A19="","",ROUND($D19,2))</f>
        <v/>
      </c>
      <c r="L19" s="24">
        <f>IF($A19="","",ROUND($C19,2))</f>
        <v/>
      </c>
      <c r="M19" s="24">
        <f>IF($A19="","",--($F19&lt;=toleransKurus))</f>
        <v/>
      </c>
      <c r="N19" s="24">
        <f>IF($A19="","",--($F19&gt;say_esikFark))</f>
        <v/>
      </c>
      <c r="O19" s="24">
        <f>IF($A19="","",IF(OR($G19="eslesti",$G19="tolerans_icinde"),$D19,0))</f>
        <v/>
      </c>
      <c r="P19" s="24">
        <f>IF($A19="","",$B19+$M19+$N19)</f>
        <v/>
      </c>
    </row>
    <row r="20">
      <c r="A20" s="24">
        <f>IF('ANAHTAR'!$B20="","",'ANAHTAR'!$B20)</f>
        <v/>
      </c>
      <c r="B20" s="24">
        <f>IF($A20="","",COUNTIF(tblAnahtarB[NormB],$A20))</f>
        <v/>
      </c>
      <c r="C20" s="24">
        <f>IF($A20="","",SUMIF(tblAnahtarB[NormB],$A20,tblTahsilat[OdemeTutari]))</f>
        <v/>
      </c>
      <c r="D20" s="24">
        <f>IF($A20="","",SUMIF(tblAnahtarA[Norm],$A20,tblDonem[ToplamBorc]))</f>
        <v/>
      </c>
      <c r="E20" s="24">
        <f>IF($A20="","",ROUND($D20,2)-ROUND($C20,2))</f>
        <v/>
      </c>
      <c r="F20" s="24">
        <f>IF($A20="","",ABS($E20))</f>
        <v/>
      </c>
      <c r="G20" s="24">
        <f>IF($A20="","",IF($B20=0,"eslesmedi",IF(ROUND($D20,2)=ROUND($C20,2),"eslesti",IF(ABS(ROUND($D20,2)-ROUND($C20,2))&lt;=toleransKurus,"tolerans_icinde","tutar_farki"))))</f>
        <v/>
      </c>
      <c r="H20" s="24">
        <f>IF($A20="","",IF($B20&gt;0,"BIRINCIL",IF(COUNTIF(tblAnahtarB[IkincilB],'ANAHTAR'!$D20)&gt;0,"IKINCIL","YOK")))</f>
        <v/>
      </c>
      <c r="I20" s="24">
        <f>IF($A20="","",'ANAHTAR'!$F20)</f>
        <v/>
      </c>
      <c r="J20" s="24">
        <f>IF(OR($A20="",$D20=0),0,$F20/ABS($D20))</f>
        <v/>
      </c>
      <c r="K20" s="24">
        <f>IF($A20="","",ROUND($D20,2))</f>
        <v/>
      </c>
      <c r="L20" s="24">
        <f>IF($A20="","",ROUND($C20,2))</f>
        <v/>
      </c>
      <c r="M20" s="24">
        <f>IF($A20="","",--($F20&lt;=toleransKurus))</f>
        <v/>
      </c>
      <c r="N20" s="24">
        <f>IF($A20="","",--($F20&gt;say_esikFark))</f>
        <v/>
      </c>
      <c r="O20" s="24">
        <f>IF($A20="","",IF(OR($G20="eslesti",$G20="tolerans_icinde"),$D20,0))</f>
        <v/>
      </c>
      <c r="P20" s="24">
        <f>IF($A20="","",$B20+$M20+$N20)</f>
        <v/>
      </c>
    </row>
    <row r="21">
      <c r="A21" s="24">
        <f>IF('ANAHTAR'!$B21="","",'ANAHTAR'!$B21)</f>
        <v/>
      </c>
      <c r="B21" s="24">
        <f>IF($A21="","",COUNTIF(tblAnahtarB[NormB],$A21))</f>
        <v/>
      </c>
      <c r="C21" s="24">
        <f>IF($A21="","",SUMIF(tblAnahtarB[NormB],$A21,tblTahsilat[OdemeTutari]))</f>
        <v/>
      </c>
      <c r="D21" s="24">
        <f>IF($A21="","",SUMIF(tblAnahtarA[Norm],$A21,tblDonem[ToplamBorc]))</f>
        <v/>
      </c>
      <c r="E21" s="24">
        <f>IF($A21="","",ROUND($D21,2)-ROUND($C21,2))</f>
        <v/>
      </c>
      <c r="F21" s="24">
        <f>IF($A21="","",ABS($E21))</f>
        <v/>
      </c>
      <c r="G21" s="24">
        <f>IF($A21="","",IF($B21=0,"eslesmedi",IF(ROUND($D21,2)=ROUND($C21,2),"eslesti",IF(ABS(ROUND($D21,2)-ROUND($C21,2))&lt;=toleransKurus,"tolerans_icinde","tutar_farki"))))</f>
        <v/>
      </c>
      <c r="H21" s="24">
        <f>IF($A21="","",IF($B21&gt;0,"BIRINCIL",IF(COUNTIF(tblAnahtarB[IkincilB],'ANAHTAR'!$D21)&gt;0,"IKINCIL","YOK")))</f>
        <v/>
      </c>
      <c r="I21" s="24">
        <f>IF($A21="","",'ANAHTAR'!$F21)</f>
        <v/>
      </c>
      <c r="J21" s="24">
        <f>IF(OR($A21="",$D21=0),0,$F21/ABS($D21))</f>
        <v/>
      </c>
      <c r="K21" s="24">
        <f>IF($A21="","",ROUND($D21,2))</f>
        <v/>
      </c>
      <c r="L21" s="24">
        <f>IF($A21="","",ROUND($C21,2))</f>
        <v/>
      </c>
      <c r="M21" s="24">
        <f>IF($A21="","",--($F21&lt;=toleransKurus))</f>
        <v/>
      </c>
      <c r="N21" s="24">
        <f>IF($A21="","",--($F21&gt;say_esikFark))</f>
        <v/>
      </c>
      <c r="O21" s="24">
        <f>IF($A21="","",IF(OR($G21="eslesti",$G21="tolerans_icinde"),$D21,0))</f>
        <v/>
      </c>
      <c r="P21" s="24">
        <f>IF($A21="","",$B21+$M21+$N21)</f>
        <v/>
      </c>
    </row>
    <row r="22">
      <c r="A22" s="24">
        <f>IF('ANAHTAR'!$B22="","",'ANAHTAR'!$B22)</f>
        <v/>
      </c>
      <c r="B22" s="24">
        <f>IF($A22="","",COUNTIF(tblAnahtarB[NormB],$A22))</f>
        <v/>
      </c>
      <c r="C22" s="24">
        <f>IF($A22="","",SUMIF(tblAnahtarB[NormB],$A22,tblTahsilat[OdemeTutari]))</f>
        <v/>
      </c>
      <c r="D22" s="24">
        <f>IF($A22="","",SUMIF(tblAnahtarA[Norm],$A22,tblDonem[ToplamBorc]))</f>
        <v/>
      </c>
      <c r="E22" s="24">
        <f>IF($A22="","",ROUND($D22,2)-ROUND($C22,2))</f>
        <v/>
      </c>
      <c r="F22" s="24">
        <f>IF($A22="","",ABS($E22))</f>
        <v/>
      </c>
      <c r="G22" s="24">
        <f>IF($A22="","",IF($B22=0,"eslesmedi",IF(ROUND($D22,2)=ROUND($C22,2),"eslesti",IF(ABS(ROUND($D22,2)-ROUND($C22,2))&lt;=toleransKurus,"tolerans_icinde","tutar_farki"))))</f>
        <v/>
      </c>
      <c r="H22" s="24">
        <f>IF($A22="","",IF($B22&gt;0,"BIRINCIL",IF(COUNTIF(tblAnahtarB[IkincilB],'ANAHTAR'!$D22)&gt;0,"IKINCIL","YOK")))</f>
        <v/>
      </c>
      <c r="I22" s="24">
        <f>IF($A22="","",'ANAHTAR'!$F22)</f>
        <v/>
      </c>
      <c r="J22" s="24">
        <f>IF(OR($A22="",$D22=0),0,$F22/ABS($D22))</f>
        <v/>
      </c>
      <c r="K22" s="24">
        <f>IF($A22="","",ROUND($D22,2))</f>
        <v/>
      </c>
      <c r="L22" s="24">
        <f>IF($A22="","",ROUND($C22,2))</f>
        <v/>
      </c>
      <c r="M22" s="24">
        <f>IF($A22="","",--($F22&lt;=toleransKurus))</f>
        <v/>
      </c>
      <c r="N22" s="24">
        <f>IF($A22="","",--($F22&gt;say_esikFark))</f>
        <v/>
      </c>
      <c r="O22" s="24">
        <f>IF($A22="","",IF(OR($G22="eslesti",$G22="tolerans_icinde"),$D22,0))</f>
        <v/>
      </c>
      <c r="P22" s="24">
        <f>IF($A22="","",$B22+$M22+$N22)</f>
        <v/>
      </c>
    </row>
    <row r="23">
      <c r="A23" s="24">
        <f>IF('ANAHTAR'!$B23="","",'ANAHTAR'!$B23)</f>
        <v/>
      </c>
      <c r="B23" s="24">
        <f>IF($A23="","",COUNTIF(tblAnahtarB[NormB],$A23))</f>
        <v/>
      </c>
      <c r="C23" s="24">
        <f>IF($A23="","",SUMIF(tblAnahtarB[NormB],$A23,tblTahsilat[OdemeTutari]))</f>
        <v/>
      </c>
      <c r="D23" s="24">
        <f>IF($A23="","",SUMIF(tblAnahtarA[Norm],$A23,tblDonem[ToplamBorc]))</f>
        <v/>
      </c>
      <c r="E23" s="24">
        <f>IF($A23="","",ROUND($D23,2)-ROUND($C23,2))</f>
        <v/>
      </c>
      <c r="F23" s="24">
        <f>IF($A23="","",ABS($E23))</f>
        <v/>
      </c>
      <c r="G23" s="24">
        <f>IF($A23="","",IF($B23=0,"eslesmedi",IF(ROUND($D23,2)=ROUND($C23,2),"eslesti",IF(ABS(ROUND($D23,2)-ROUND($C23,2))&lt;=toleransKurus,"tolerans_icinde","tutar_farki"))))</f>
        <v/>
      </c>
      <c r="H23" s="24">
        <f>IF($A23="","",IF($B23&gt;0,"BIRINCIL",IF(COUNTIF(tblAnahtarB[IkincilB],'ANAHTAR'!$D23)&gt;0,"IKINCIL","YOK")))</f>
        <v/>
      </c>
      <c r="I23" s="24">
        <f>IF($A23="","",'ANAHTAR'!$F23)</f>
        <v/>
      </c>
      <c r="J23" s="24">
        <f>IF(OR($A23="",$D23=0),0,$F23/ABS($D23))</f>
        <v/>
      </c>
      <c r="K23" s="24">
        <f>IF($A23="","",ROUND($D23,2))</f>
        <v/>
      </c>
      <c r="L23" s="24">
        <f>IF($A23="","",ROUND($C23,2))</f>
        <v/>
      </c>
      <c r="M23" s="24">
        <f>IF($A23="","",--($F23&lt;=toleransKurus))</f>
        <v/>
      </c>
      <c r="N23" s="24">
        <f>IF($A23="","",--($F23&gt;say_esikFark))</f>
        <v/>
      </c>
      <c r="O23" s="24">
        <f>IF($A23="","",IF(OR($G23="eslesti",$G23="tolerans_icinde"),$D23,0))</f>
        <v/>
      </c>
      <c r="P23" s="24">
        <f>IF($A23="","",$B23+$M23+$N23)</f>
        <v/>
      </c>
    </row>
    <row r="24">
      <c r="A24" s="24">
        <f>IF('ANAHTAR'!$B24="","",'ANAHTAR'!$B24)</f>
        <v/>
      </c>
      <c r="B24" s="24">
        <f>IF($A24="","",COUNTIF(tblAnahtarB[NormB],$A24))</f>
        <v/>
      </c>
      <c r="C24" s="24">
        <f>IF($A24="","",SUMIF(tblAnahtarB[NormB],$A24,tblTahsilat[OdemeTutari]))</f>
        <v/>
      </c>
      <c r="D24" s="24">
        <f>IF($A24="","",SUMIF(tblAnahtarA[Norm],$A24,tblDonem[ToplamBorc]))</f>
        <v/>
      </c>
      <c r="E24" s="24">
        <f>IF($A24="","",ROUND($D24,2)-ROUND($C24,2))</f>
        <v/>
      </c>
      <c r="F24" s="24">
        <f>IF($A24="","",ABS($E24))</f>
        <v/>
      </c>
      <c r="G24" s="24">
        <f>IF($A24="","",IF($B24=0,"eslesmedi",IF(ROUND($D24,2)=ROUND($C24,2),"eslesti",IF(ABS(ROUND($D24,2)-ROUND($C24,2))&lt;=toleransKurus,"tolerans_icinde","tutar_farki"))))</f>
        <v/>
      </c>
      <c r="H24" s="24">
        <f>IF($A24="","",IF($B24&gt;0,"BIRINCIL",IF(COUNTIF(tblAnahtarB[IkincilB],'ANAHTAR'!$D24)&gt;0,"IKINCIL","YOK")))</f>
        <v/>
      </c>
      <c r="I24" s="24">
        <f>IF($A24="","",'ANAHTAR'!$F24)</f>
        <v/>
      </c>
      <c r="J24" s="24">
        <f>IF(OR($A24="",$D24=0),0,$F24/ABS($D24))</f>
        <v/>
      </c>
      <c r="K24" s="24">
        <f>IF($A24="","",ROUND($D24,2))</f>
        <v/>
      </c>
      <c r="L24" s="24">
        <f>IF($A24="","",ROUND($C24,2))</f>
        <v/>
      </c>
      <c r="M24" s="24">
        <f>IF($A24="","",--($F24&lt;=toleransKurus))</f>
        <v/>
      </c>
      <c r="N24" s="24">
        <f>IF($A24="","",--($F24&gt;say_esikFark))</f>
        <v/>
      </c>
      <c r="O24" s="24">
        <f>IF($A24="","",IF(OR($G24="eslesti",$G24="tolerans_icinde"),$D24,0))</f>
        <v/>
      </c>
      <c r="P24" s="24">
        <f>IF($A24="","",$B24+$M24+$N24)</f>
        <v/>
      </c>
    </row>
    <row r="25">
      <c r="A25" s="24">
        <f>IF('ANAHTAR'!$B25="","",'ANAHTAR'!$B25)</f>
        <v/>
      </c>
      <c r="B25" s="24">
        <f>IF($A25="","",COUNTIF(tblAnahtarB[NormB],$A25))</f>
        <v/>
      </c>
      <c r="C25" s="24">
        <f>IF($A25="","",SUMIF(tblAnahtarB[NormB],$A25,tblTahsilat[OdemeTutari]))</f>
        <v/>
      </c>
      <c r="D25" s="24">
        <f>IF($A25="","",SUMIF(tblAnahtarA[Norm],$A25,tblDonem[ToplamBorc]))</f>
        <v/>
      </c>
      <c r="E25" s="24">
        <f>IF($A25="","",ROUND($D25,2)-ROUND($C25,2))</f>
        <v/>
      </c>
      <c r="F25" s="24">
        <f>IF($A25="","",ABS($E25))</f>
        <v/>
      </c>
      <c r="G25" s="24">
        <f>IF($A25="","",IF($B25=0,"eslesmedi",IF(ROUND($D25,2)=ROUND($C25,2),"eslesti",IF(ABS(ROUND($D25,2)-ROUND($C25,2))&lt;=toleransKurus,"tolerans_icinde","tutar_farki"))))</f>
        <v/>
      </c>
      <c r="H25" s="24">
        <f>IF($A25="","",IF($B25&gt;0,"BIRINCIL",IF(COUNTIF(tblAnahtarB[IkincilB],'ANAHTAR'!$D25)&gt;0,"IKINCIL","YOK")))</f>
        <v/>
      </c>
      <c r="I25" s="24">
        <f>IF($A25="","",'ANAHTAR'!$F25)</f>
        <v/>
      </c>
      <c r="J25" s="24">
        <f>IF(OR($A25="",$D25=0),0,$F25/ABS($D25))</f>
        <v/>
      </c>
      <c r="K25" s="24">
        <f>IF($A25="","",ROUND($D25,2))</f>
        <v/>
      </c>
      <c r="L25" s="24">
        <f>IF($A25="","",ROUND($C25,2))</f>
        <v/>
      </c>
      <c r="M25" s="24">
        <f>IF($A25="","",--($F25&lt;=toleransKurus))</f>
        <v/>
      </c>
      <c r="N25" s="24">
        <f>IF($A25="","",--($F25&gt;say_esikFark))</f>
        <v/>
      </c>
      <c r="O25" s="24">
        <f>IF($A25="","",IF(OR($G25="eslesti",$G25="tolerans_icinde"),$D25,0))</f>
        <v/>
      </c>
      <c r="P25" s="24">
        <f>IF($A25="","",$B25+$M25+$N25)</f>
        <v/>
      </c>
    </row>
    <row r="26">
      <c r="A26" s="24">
        <f>IF('ANAHTAR'!$B26="","",'ANAHTAR'!$B26)</f>
        <v/>
      </c>
      <c r="B26" s="24">
        <f>IF($A26="","",COUNTIF(tblAnahtarB[NormB],$A26))</f>
        <v/>
      </c>
      <c r="C26" s="24">
        <f>IF($A26="","",SUMIF(tblAnahtarB[NormB],$A26,tblTahsilat[OdemeTutari]))</f>
        <v/>
      </c>
      <c r="D26" s="24">
        <f>IF($A26="","",SUMIF(tblAnahtarA[Norm],$A26,tblDonem[ToplamBorc]))</f>
        <v/>
      </c>
      <c r="E26" s="24">
        <f>IF($A26="","",ROUND($D26,2)-ROUND($C26,2))</f>
        <v/>
      </c>
      <c r="F26" s="24">
        <f>IF($A26="","",ABS($E26))</f>
        <v/>
      </c>
      <c r="G26" s="24">
        <f>IF($A26="","",IF($B26=0,"eslesmedi",IF(ROUND($D26,2)=ROUND($C26,2),"eslesti",IF(ABS(ROUND($D26,2)-ROUND($C26,2))&lt;=toleransKurus,"tolerans_icinde","tutar_farki"))))</f>
        <v/>
      </c>
      <c r="H26" s="24">
        <f>IF($A26="","",IF($B26&gt;0,"BIRINCIL",IF(COUNTIF(tblAnahtarB[IkincilB],'ANAHTAR'!$D26)&gt;0,"IKINCIL","YOK")))</f>
        <v/>
      </c>
      <c r="I26" s="24">
        <f>IF($A26="","",'ANAHTAR'!$F26)</f>
        <v/>
      </c>
      <c r="J26" s="24">
        <f>IF(OR($A26="",$D26=0),0,$F26/ABS($D26))</f>
        <v/>
      </c>
      <c r="K26" s="24">
        <f>IF($A26="","",ROUND($D26,2))</f>
        <v/>
      </c>
      <c r="L26" s="24">
        <f>IF($A26="","",ROUND($C26,2))</f>
        <v/>
      </c>
      <c r="M26" s="24">
        <f>IF($A26="","",--($F26&lt;=toleransKurus))</f>
        <v/>
      </c>
      <c r="N26" s="24">
        <f>IF($A26="","",--($F26&gt;say_esikFark))</f>
        <v/>
      </c>
      <c r="O26" s="24">
        <f>IF($A26="","",IF(OR($G26="eslesti",$G26="tolerans_icinde"),$D26,0))</f>
        <v/>
      </c>
      <c r="P26" s="24">
        <f>IF($A26="","",$B26+$M26+$N26)</f>
        <v/>
      </c>
    </row>
    <row r="27">
      <c r="A27" s="24">
        <f>IF('ANAHTAR'!$B27="","",'ANAHTAR'!$B27)</f>
        <v/>
      </c>
      <c r="B27" s="24">
        <f>IF($A27="","",COUNTIF(tblAnahtarB[NormB],$A27))</f>
        <v/>
      </c>
      <c r="C27" s="24">
        <f>IF($A27="","",SUMIF(tblAnahtarB[NormB],$A27,tblTahsilat[OdemeTutari]))</f>
        <v/>
      </c>
      <c r="D27" s="24">
        <f>IF($A27="","",SUMIF(tblAnahtarA[Norm],$A27,tblDonem[ToplamBorc]))</f>
        <v/>
      </c>
      <c r="E27" s="24">
        <f>IF($A27="","",ROUND($D27,2)-ROUND($C27,2))</f>
        <v/>
      </c>
      <c r="F27" s="24">
        <f>IF($A27="","",ABS($E27))</f>
        <v/>
      </c>
      <c r="G27" s="24">
        <f>IF($A27="","",IF($B27=0,"eslesmedi",IF(ROUND($D27,2)=ROUND($C27,2),"eslesti",IF(ABS(ROUND($D27,2)-ROUND($C27,2))&lt;=toleransKurus,"tolerans_icinde","tutar_farki"))))</f>
        <v/>
      </c>
      <c r="H27" s="24">
        <f>IF($A27="","",IF($B27&gt;0,"BIRINCIL",IF(COUNTIF(tblAnahtarB[IkincilB],'ANAHTAR'!$D27)&gt;0,"IKINCIL","YOK")))</f>
        <v/>
      </c>
      <c r="I27" s="24">
        <f>IF($A27="","",'ANAHTAR'!$F27)</f>
        <v/>
      </c>
      <c r="J27" s="24">
        <f>IF(OR($A27="",$D27=0),0,$F27/ABS($D27))</f>
        <v/>
      </c>
      <c r="K27" s="24">
        <f>IF($A27="","",ROUND($D27,2))</f>
        <v/>
      </c>
      <c r="L27" s="24">
        <f>IF($A27="","",ROUND($C27,2))</f>
        <v/>
      </c>
      <c r="M27" s="24">
        <f>IF($A27="","",--($F27&lt;=toleransKurus))</f>
        <v/>
      </c>
      <c r="N27" s="24">
        <f>IF($A27="","",--($F27&gt;say_esikFark))</f>
        <v/>
      </c>
      <c r="O27" s="24">
        <f>IF($A27="","",IF(OR($G27="eslesti",$G27="tolerans_icinde"),$D27,0))</f>
        <v/>
      </c>
      <c r="P27" s="24">
        <f>IF($A27="","",$B27+$M27+$N27)</f>
        <v/>
      </c>
    </row>
    <row r="28">
      <c r="A28" s="24">
        <f>IF('ANAHTAR'!$B28="","",'ANAHTAR'!$B28)</f>
        <v/>
      </c>
      <c r="B28" s="24">
        <f>IF($A28="","",COUNTIF(tblAnahtarB[NormB],$A28))</f>
        <v/>
      </c>
      <c r="C28" s="24">
        <f>IF($A28="","",SUMIF(tblAnahtarB[NormB],$A28,tblTahsilat[OdemeTutari]))</f>
        <v/>
      </c>
      <c r="D28" s="24">
        <f>IF($A28="","",SUMIF(tblAnahtarA[Norm],$A28,tblDonem[ToplamBorc]))</f>
        <v/>
      </c>
      <c r="E28" s="24">
        <f>IF($A28="","",ROUND($D28,2)-ROUND($C28,2))</f>
        <v/>
      </c>
      <c r="F28" s="24">
        <f>IF($A28="","",ABS($E28))</f>
        <v/>
      </c>
      <c r="G28" s="24">
        <f>IF($A28="","",IF($B28=0,"eslesmedi",IF(ROUND($D28,2)=ROUND($C28,2),"eslesti",IF(ABS(ROUND($D28,2)-ROUND($C28,2))&lt;=toleransKurus,"tolerans_icinde","tutar_farki"))))</f>
        <v/>
      </c>
      <c r="H28" s="24">
        <f>IF($A28="","",IF($B28&gt;0,"BIRINCIL",IF(COUNTIF(tblAnahtarB[IkincilB],'ANAHTAR'!$D28)&gt;0,"IKINCIL","YOK")))</f>
        <v/>
      </c>
      <c r="I28" s="24">
        <f>IF($A28="","",'ANAHTAR'!$F28)</f>
        <v/>
      </c>
      <c r="J28" s="24">
        <f>IF(OR($A28="",$D28=0),0,$F28/ABS($D28))</f>
        <v/>
      </c>
      <c r="K28" s="24">
        <f>IF($A28="","",ROUND($D28,2))</f>
        <v/>
      </c>
      <c r="L28" s="24">
        <f>IF($A28="","",ROUND($C28,2))</f>
        <v/>
      </c>
      <c r="M28" s="24">
        <f>IF($A28="","",--($F28&lt;=toleransKurus))</f>
        <v/>
      </c>
      <c r="N28" s="24">
        <f>IF($A28="","",--($F28&gt;say_esikFark))</f>
        <v/>
      </c>
      <c r="O28" s="24">
        <f>IF($A28="","",IF(OR($G28="eslesti",$G28="tolerans_icinde"),$D28,0))</f>
        <v/>
      </c>
      <c r="P28" s="24">
        <f>IF($A28="","",$B28+$M28+$N28)</f>
        <v/>
      </c>
    </row>
    <row r="29">
      <c r="A29" s="24">
        <f>IF('ANAHTAR'!$B29="","",'ANAHTAR'!$B29)</f>
        <v/>
      </c>
      <c r="B29" s="24">
        <f>IF($A29="","",COUNTIF(tblAnahtarB[NormB],$A29))</f>
        <v/>
      </c>
      <c r="C29" s="24">
        <f>IF($A29="","",SUMIF(tblAnahtarB[NormB],$A29,tblTahsilat[OdemeTutari]))</f>
        <v/>
      </c>
      <c r="D29" s="24">
        <f>IF($A29="","",SUMIF(tblAnahtarA[Norm],$A29,tblDonem[ToplamBorc]))</f>
        <v/>
      </c>
      <c r="E29" s="24">
        <f>IF($A29="","",ROUND($D29,2)-ROUND($C29,2))</f>
        <v/>
      </c>
      <c r="F29" s="24">
        <f>IF($A29="","",ABS($E29))</f>
        <v/>
      </c>
      <c r="G29" s="24">
        <f>IF($A29="","",IF($B29=0,"eslesmedi",IF(ROUND($D29,2)=ROUND($C29,2),"eslesti",IF(ABS(ROUND($D29,2)-ROUND($C29,2))&lt;=toleransKurus,"tolerans_icinde","tutar_farki"))))</f>
        <v/>
      </c>
      <c r="H29" s="24">
        <f>IF($A29="","",IF($B29&gt;0,"BIRINCIL",IF(COUNTIF(tblAnahtarB[IkincilB],'ANAHTAR'!$D29)&gt;0,"IKINCIL","YOK")))</f>
        <v/>
      </c>
      <c r="I29" s="24">
        <f>IF($A29="","",'ANAHTAR'!$F29)</f>
        <v/>
      </c>
      <c r="J29" s="24">
        <f>IF(OR($A29="",$D29=0),0,$F29/ABS($D29))</f>
        <v/>
      </c>
      <c r="K29" s="24">
        <f>IF($A29="","",ROUND($D29,2))</f>
        <v/>
      </c>
      <c r="L29" s="24">
        <f>IF($A29="","",ROUND($C29,2))</f>
        <v/>
      </c>
      <c r="M29" s="24">
        <f>IF($A29="","",--($F29&lt;=toleransKurus))</f>
        <v/>
      </c>
      <c r="N29" s="24">
        <f>IF($A29="","",--($F29&gt;say_esikFark))</f>
        <v/>
      </c>
      <c r="O29" s="24">
        <f>IF($A29="","",IF(OR($G29="eslesti",$G29="tolerans_icinde"),$D29,0))</f>
        <v/>
      </c>
      <c r="P29" s="24">
        <f>IF($A29="","",$B29+$M29+$N29)</f>
        <v/>
      </c>
    </row>
    <row r="30">
      <c r="A30" s="24">
        <f>IF('ANAHTAR'!$B30="","",'ANAHTAR'!$B30)</f>
        <v/>
      </c>
      <c r="B30" s="24">
        <f>IF($A30="","",COUNTIF(tblAnahtarB[NormB],$A30))</f>
        <v/>
      </c>
      <c r="C30" s="24">
        <f>IF($A30="","",SUMIF(tblAnahtarB[NormB],$A30,tblTahsilat[OdemeTutari]))</f>
        <v/>
      </c>
      <c r="D30" s="24">
        <f>IF($A30="","",SUMIF(tblAnahtarA[Norm],$A30,tblDonem[ToplamBorc]))</f>
        <v/>
      </c>
      <c r="E30" s="24">
        <f>IF($A30="","",ROUND($D30,2)-ROUND($C30,2))</f>
        <v/>
      </c>
      <c r="F30" s="24">
        <f>IF($A30="","",ABS($E30))</f>
        <v/>
      </c>
      <c r="G30" s="24">
        <f>IF($A30="","",IF($B30=0,"eslesmedi",IF(ROUND($D30,2)=ROUND($C30,2),"eslesti",IF(ABS(ROUND($D30,2)-ROUND($C30,2))&lt;=toleransKurus,"tolerans_icinde","tutar_farki"))))</f>
        <v/>
      </c>
      <c r="H30" s="24">
        <f>IF($A30="","",IF($B30&gt;0,"BIRINCIL",IF(COUNTIF(tblAnahtarB[IkincilB],'ANAHTAR'!$D30)&gt;0,"IKINCIL","YOK")))</f>
        <v/>
      </c>
      <c r="I30" s="24">
        <f>IF($A30="","",'ANAHTAR'!$F30)</f>
        <v/>
      </c>
      <c r="J30" s="24">
        <f>IF(OR($A30="",$D30=0),0,$F30/ABS($D30))</f>
        <v/>
      </c>
      <c r="K30" s="24">
        <f>IF($A30="","",ROUND($D30,2))</f>
        <v/>
      </c>
      <c r="L30" s="24">
        <f>IF($A30="","",ROUND($C30,2))</f>
        <v/>
      </c>
      <c r="M30" s="24">
        <f>IF($A30="","",--($F30&lt;=toleransKurus))</f>
        <v/>
      </c>
      <c r="N30" s="24">
        <f>IF($A30="","",--($F30&gt;say_esikFark))</f>
        <v/>
      </c>
      <c r="O30" s="24">
        <f>IF($A30="","",IF(OR($G30="eslesti",$G30="tolerans_icinde"),$D30,0))</f>
        <v/>
      </c>
      <c r="P30" s="24">
        <f>IF($A30="","",$B30+$M30+$N30)</f>
        <v/>
      </c>
    </row>
    <row r="31">
      <c r="A31" s="24">
        <f>IF('ANAHTAR'!$B31="","",'ANAHTAR'!$B31)</f>
        <v/>
      </c>
      <c r="B31" s="24">
        <f>IF($A31="","",COUNTIF(tblAnahtarB[NormB],$A31))</f>
        <v/>
      </c>
      <c r="C31" s="24">
        <f>IF($A31="","",SUMIF(tblAnahtarB[NormB],$A31,tblTahsilat[OdemeTutari]))</f>
        <v/>
      </c>
      <c r="D31" s="24">
        <f>IF($A31="","",SUMIF(tblAnahtarA[Norm],$A31,tblDonem[ToplamBorc]))</f>
        <v/>
      </c>
      <c r="E31" s="24">
        <f>IF($A31="","",ROUND($D31,2)-ROUND($C31,2))</f>
        <v/>
      </c>
      <c r="F31" s="24">
        <f>IF($A31="","",ABS($E31))</f>
        <v/>
      </c>
      <c r="G31" s="24">
        <f>IF($A31="","",IF($B31=0,"eslesmedi",IF(ROUND($D31,2)=ROUND($C31,2),"eslesti",IF(ABS(ROUND($D31,2)-ROUND($C31,2))&lt;=toleransKurus,"tolerans_icinde","tutar_farki"))))</f>
        <v/>
      </c>
      <c r="H31" s="24">
        <f>IF($A31="","",IF($B31&gt;0,"BIRINCIL",IF(COUNTIF(tblAnahtarB[IkincilB],'ANAHTAR'!$D31)&gt;0,"IKINCIL","YOK")))</f>
        <v/>
      </c>
      <c r="I31" s="24">
        <f>IF($A31="","",'ANAHTAR'!$F31)</f>
        <v/>
      </c>
      <c r="J31" s="24">
        <f>IF(OR($A31="",$D31=0),0,$F31/ABS($D31))</f>
        <v/>
      </c>
      <c r="K31" s="24">
        <f>IF($A31="","",ROUND($D31,2))</f>
        <v/>
      </c>
      <c r="L31" s="24">
        <f>IF($A31="","",ROUND($C31,2))</f>
        <v/>
      </c>
      <c r="M31" s="24">
        <f>IF($A31="","",--($F31&lt;=toleransKurus))</f>
        <v/>
      </c>
      <c r="N31" s="24">
        <f>IF($A31="","",--($F31&gt;say_esikFark))</f>
        <v/>
      </c>
      <c r="O31" s="24">
        <f>IF($A31="","",IF(OR($G31="eslesti",$G31="tolerans_icinde"),$D31,0))</f>
        <v/>
      </c>
      <c r="P31" s="24">
        <f>IF($A31="","",$B31+$M31+$N31)</f>
        <v/>
      </c>
    </row>
    <row r="32">
      <c r="A32" s="24">
        <f>IF('ANAHTAR'!$B32="","",'ANAHTAR'!$B32)</f>
        <v/>
      </c>
      <c r="B32" s="24">
        <f>IF($A32="","",COUNTIF(tblAnahtarB[NormB],$A32))</f>
        <v/>
      </c>
      <c r="C32" s="24">
        <f>IF($A32="","",SUMIF(tblAnahtarB[NormB],$A32,tblTahsilat[OdemeTutari]))</f>
        <v/>
      </c>
      <c r="D32" s="24">
        <f>IF($A32="","",SUMIF(tblAnahtarA[Norm],$A32,tblDonem[ToplamBorc]))</f>
        <v/>
      </c>
      <c r="E32" s="24">
        <f>IF($A32="","",ROUND($D32,2)-ROUND($C32,2))</f>
        <v/>
      </c>
      <c r="F32" s="24">
        <f>IF($A32="","",ABS($E32))</f>
        <v/>
      </c>
      <c r="G32" s="24">
        <f>IF($A32="","",IF($B32=0,"eslesmedi",IF(ROUND($D32,2)=ROUND($C32,2),"eslesti",IF(ABS(ROUND($D32,2)-ROUND($C32,2))&lt;=toleransKurus,"tolerans_icinde","tutar_farki"))))</f>
        <v/>
      </c>
      <c r="H32" s="24">
        <f>IF($A32="","",IF($B32&gt;0,"BIRINCIL",IF(COUNTIF(tblAnahtarB[IkincilB],'ANAHTAR'!$D32)&gt;0,"IKINCIL","YOK")))</f>
        <v/>
      </c>
      <c r="I32" s="24">
        <f>IF($A32="","",'ANAHTAR'!$F32)</f>
        <v/>
      </c>
      <c r="J32" s="24">
        <f>IF(OR($A32="",$D32=0),0,$F32/ABS($D32))</f>
        <v/>
      </c>
      <c r="K32" s="24">
        <f>IF($A32="","",ROUND($D32,2))</f>
        <v/>
      </c>
      <c r="L32" s="24">
        <f>IF($A32="","",ROUND($C32,2))</f>
        <v/>
      </c>
      <c r="M32" s="24">
        <f>IF($A32="","",--($F32&lt;=toleransKurus))</f>
        <v/>
      </c>
      <c r="N32" s="24">
        <f>IF($A32="","",--($F32&gt;say_esikFark))</f>
        <v/>
      </c>
      <c r="O32" s="24">
        <f>IF($A32="","",IF(OR($G32="eslesti",$G32="tolerans_icinde"),$D32,0))</f>
        <v/>
      </c>
      <c r="P32" s="24">
        <f>IF($A32="","",$B32+$M32+$N32)</f>
        <v/>
      </c>
    </row>
    <row r="33">
      <c r="A33" s="24">
        <f>IF('ANAHTAR'!$B33="","",'ANAHTAR'!$B33)</f>
        <v/>
      </c>
      <c r="B33" s="24">
        <f>IF($A33="","",COUNTIF(tblAnahtarB[NormB],$A33))</f>
        <v/>
      </c>
      <c r="C33" s="24">
        <f>IF($A33="","",SUMIF(tblAnahtarB[NormB],$A33,tblTahsilat[OdemeTutari]))</f>
        <v/>
      </c>
      <c r="D33" s="24">
        <f>IF($A33="","",SUMIF(tblAnahtarA[Norm],$A33,tblDonem[ToplamBorc]))</f>
        <v/>
      </c>
      <c r="E33" s="24">
        <f>IF($A33="","",ROUND($D33,2)-ROUND($C33,2))</f>
        <v/>
      </c>
      <c r="F33" s="24">
        <f>IF($A33="","",ABS($E33))</f>
        <v/>
      </c>
      <c r="G33" s="24">
        <f>IF($A33="","",IF($B33=0,"eslesmedi",IF(ROUND($D33,2)=ROUND($C33,2),"eslesti",IF(ABS(ROUND($D33,2)-ROUND($C33,2))&lt;=toleransKurus,"tolerans_icinde","tutar_farki"))))</f>
        <v/>
      </c>
      <c r="H33" s="24">
        <f>IF($A33="","",IF($B33&gt;0,"BIRINCIL",IF(COUNTIF(tblAnahtarB[IkincilB],'ANAHTAR'!$D33)&gt;0,"IKINCIL","YOK")))</f>
        <v/>
      </c>
      <c r="I33" s="24">
        <f>IF($A33="","",'ANAHTAR'!$F33)</f>
        <v/>
      </c>
      <c r="J33" s="24">
        <f>IF(OR($A33="",$D33=0),0,$F33/ABS($D33))</f>
        <v/>
      </c>
      <c r="K33" s="24">
        <f>IF($A33="","",ROUND($D33,2))</f>
        <v/>
      </c>
      <c r="L33" s="24">
        <f>IF($A33="","",ROUND($C33,2))</f>
        <v/>
      </c>
      <c r="M33" s="24">
        <f>IF($A33="","",--($F33&lt;=toleransKurus))</f>
        <v/>
      </c>
      <c r="N33" s="24">
        <f>IF($A33="","",--($F33&gt;say_esikFark))</f>
        <v/>
      </c>
      <c r="O33" s="24">
        <f>IF($A33="","",IF(OR($G33="eslesti",$G33="tolerans_icinde"),$D33,0))</f>
        <v/>
      </c>
      <c r="P33" s="24">
        <f>IF($A33="","",$B33+$M33+$N33)</f>
        <v/>
      </c>
    </row>
    <row r="34">
      <c r="A34" s="24">
        <f>IF('ANAHTAR'!$B34="","",'ANAHTAR'!$B34)</f>
        <v/>
      </c>
      <c r="B34" s="24">
        <f>IF($A34="","",COUNTIF(tblAnahtarB[NormB],$A34))</f>
        <v/>
      </c>
      <c r="C34" s="24">
        <f>IF($A34="","",SUMIF(tblAnahtarB[NormB],$A34,tblTahsilat[OdemeTutari]))</f>
        <v/>
      </c>
      <c r="D34" s="24">
        <f>IF($A34="","",SUMIF(tblAnahtarA[Norm],$A34,tblDonem[ToplamBorc]))</f>
        <v/>
      </c>
      <c r="E34" s="24">
        <f>IF($A34="","",ROUND($D34,2)-ROUND($C34,2))</f>
        <v/>
      </c>
      <c r="F34" s="24">
        <f>IF($A34="","",ABS($E34))</f>
        <v/>
      </c>
      <c r="G34" s="24">
        <f>IF($A34="","",IF($B34=0,"eslesmedi",IF(ROUND($D34,2)=ROUND($C34,2),"eslesti",IF(ABS(ROUND($D34,2)-ROUND($C34,2))&lt;=toleransKurus,"tolerans_icinde","tutar_farki"))))</f>
        <v/>
      </c>
      <c r="H34" s="24">
        <f>IF($A34="","",IF($B34&gt;0,"BIRINCIL",IF(COUNTIF(tblAnahtarB[IkincilB],'ANAHTAR'!$D34)&gt;0,"IKINCIL","YOK")))</f>
        <v/>
      </c>
      <c r="I34" s="24">
        <f>IF($A34="","",'ANAHTAR'!$F34)</f>
        <v/>
      </c>
      <c r="J34" s="24">
        <f>IF(OR($A34="",$D34=0),0,$F34/ABS($D34))</f>
        <v/>
      </c>
      <c r="K34" s="24">
        <f>IF($A34="","",ROUND($D34,2))</f>
        <v/>
      </c>
      <c r="L34" s="24">
        <f>IF($A34="","",ROUND($C34,2))</f>
        <v/>
      </c>
      <c r="M34" s="24">
        <f>IF($A34="","",--($F34&lt;=toleransKurus))</f>
        <v/>
      </c>
      <c r="N34" s="24">
        <f>IF($A34="","",--($F34&gt;say_esikFark))</f>
        <v/>
      </c>
      <c r="O34" s="24">
        <f>IF($A34="","",IF(OR($G34="eslesti",$G34="tolerans_icinde"),$D34,0))</f>
        <v/>
      </c>
      <c r="P34" s="24">
        <f>IF($A34="","",$B34+$M34+$N34)</f>
        <v/>
      </c>
    </row>
    <row r="35">
      <c r="A35" s="24">
        <f>IF('ANAHTAR'!$B35="","",'ANAHTAR'!$B35)</f>
        <v/>
      </c>
      <c r="B35" s="24">
        <f>IF($A35="","",COUNTIF(tblAnahtarB[NormB],$A35))</f>
        <v/>
      </c>
      <c r="C35" s="24">
        <f>IF($A35="","",SUMIF(tblAnahtarB[NormB],$A35,tblTahsilat[OdemeTutari]))</f>
        <v/>
      </c>
      <c r="D35" s="24">
        <f>IF($A35="","",SUMIF(tblAnahtarA[Norm],$A35,tblDonem[ToplamBorc]))</f>
        <v/>
      </c>
      <c r="E35" s="24">
        <f>IF($A35="","",ROUND($D35,2)-ROUND($C35,2))</f>
        <v/>
      </c>
      <c r="F35" s="24">
        <f>IF($A35="","",ABS($E35))</f>
        <v/>
      </c>
      <c r="G35" s="24">
        <f>IF($A35="","",IF($B35=0,"eslesmedi",IF(ROUND($D35,2)=ROUND($C35,2),"eslesti",IF(ABS(ROUND($D35,2)-ROUND($C35,2))&lt;=toleransKurus,"tolerans_icinde","tutar_farki"))))</f>
        <v/>
      </c>
      <c r="H35" s="24">
        <f>IF($A35="","",IF($B35&gt;0,"BIRINCIL",IF(COUNTIF(tblAnahtarB[IkincilB],'ANAHTAR'!$D35)&gt;0,"IKINCIL","YOK")))</f>
        <v/>
      </c>
      <c r="I35" s="24">
        <f>IF($A35="","",'ANAHTAR'!$F35)</f>
        <v/>
      </c>
      <c r="J35" s="24">
        <f>IF(OR($A35="",$D35=0),0,$F35/ABS($D35))</f>
        <v/>
      </c>
      <c r="K35" s="24">
        <f>IF($A35="","",ROUND($D35,2))</f>
        <v/>
      </c>
      <c r="L35" s="24">
        <f>IF($A35="","",ROUND($C35,2))</f>
        <v/>
      </c>
      <c r="M35" s="24">
        <f>IF($A35="","",--($F35&lt;=toleransKurus))</f>
        <v/>
      </c>
      <c r="N35" s="24">
        <f>IF($A35="","",--($F35&gt;say_esikFark))</f>
        <v/>
      </c>
      <c r="O35" s="24">
        <f>IF($A35="","",IF(OR($G35="eslesti",$G35="tolerans_icinde"),$D35,0))</f>
        <v/>
      </c>
      <c r="P35" s="24">
        <f>IF($A35="","",$B35+$M35+$N35)</f>
        <v/>
      </c>
    </row>
    <row r="36">
      <c r="A36" s="24">
        <f>IF('ANAHTAR'!$B36="","",'ANAHTAR'!$B36)</f>
        <v/>
      </c>
      <c r="B36" s="24">
        <f>IF($A36="","",COUNTIF(tblAnahtarB[NormB],$A36))</f>
        <v/>
      </c>
      <c r="C36" s="24">
        <f>IF($A36="","",SUMIF(tblAnahtarB[NormB],$A36,tblTahsilat[OdemeTutari]))</f>
        <v/>
      </c>
      <c r="D36" s="24">
        <f>IF($A36="","",SUMIF(tblAnahtarA[Norm],$A36,tblDonem[ToplamBorc]))</f>
        <v/>
      </c>
      <c r="E36" s="24">
        <f>IF($A36="","",ROUND($D36,2)-ROUND($C36,2))</f>
        <v/>
      </c>
      <c r="F36" s="24">
        <f>IF($A36="","",ABS($E36))</f>
        <v/>
      </c>
      <c r="G36" s="24">
        <f>IF($A36="","",IF($B36=0,"eslesmedi",IF(ROUND($D36,2)=ROUND($C36,2),"eslesti",IF(ABS(ROUND($D36,2)-ROUND($C36,2))&lt;=toleransKurus,"tolerans_icinde","tutar_farki"))))</f>
        <v/>
      </c>
      <c r="H36" s="24">
        <f>IF($A36="","",IF($B36&gt;0,"BIRINCIL",IF(COUNTIF(tblAnahtarB[IkincilB],'ANAHTAR'!$D36)&gt;0,"IKINCIL","YOK")))</f>
        <v/>
      </c>
      <c r="I36" s="24">
        <f>IF($A36="","",'ANAHTAR'!$F36)</f>
        <v/>
      </c>
      <c r="J36" s="24">
        <f>IF(OR($A36="",$D36=0),0,$F36/ABS($D36))</f>
        <v/>
      </c>
      <c r="K36" s="24">
        <f>IF($A36="","",ROUND($D36,2))</f>
        <v/>
      </c>
      <c r="L36" s="24">
        <f>IF($A36="","",ROUND($C36,2))</f>
        <v/>
      </c>
      <c r="M36" s="24">
        <f>IF($A36="","",--($F36&lt;=toleransKurus))</f>
        <v/>
      </c>
      <c r="N36" s="24">
        <f>IF($A36="","",--($F36&gt;say_esikFark))</f>
        <v/>
      </c>
      <c r="O36" s="24">
        <f>IF($A36="","",IF(OR($G36="eslesti",$G36="tolerans_icinde"),$D36,0))</f>
        <v/>
      </c>
      <c r="P36" s="24">
        <f>IF($A36="","",$B36+$M36+$N36)</f>
        <v/>
      </c>
    </row>
    <row r="37">
      <c r="A37" s="24">
        <f>IF('ANAHTAR'!$B37="","",'ANAHTAR'!$B37)</f>
        <v/>
      </c>
      <c r="B37" s="24">
        <f>IF($A37="","",COUNTIF(tblAnahtarB[NormB],$A37))</f>
        <v/>
      </c>
      <c r="C37" s="24">
        <f>IF($A37="","",SUMIF(tblAnahtarB[NormB],$A37,tblTahsilat[OdemeTutari]))</f>
        <v/>
      </c>
      <c r="D37" s="24">
        <f>IF($A37="","",SUMIF(tblAnahtarA[Norm],$A37,tblDonem[ToplamBorc]))</f>
        <v/>
      </c>
      <c r="E37" s="24">
        <f>IF($A37="","",ROUND($D37,2)-ROUND($C37,2))</f>
        <v/>
      </c>
      <c r="F37" s="24">
        <f>IF($A37="","",ABS($E37))</f>
        <v/>
      </c>
      <c r="G37" s="24">
        <f>IF($A37="","",IF($B37=0,"eslesmedi",IF(ROUND($D37,2)=ROUND($C37,2),"eslesti",IF(ABS(ROUND($D37,2)-ROUND($C37,2))&lt;=toleransKurus,"tolerans_icinde","tutar_farki"))))</f>
        <v/>
      </c>
      <c r="H37" s="24">
        <f>IF($A37="","",IF($B37&gt;0,"BIRINCIL",IF(COUNTIF(tblAnahtarB[IkincilB],'ANAHTAR'!$D37)&gt;0,"IKINCIL","YOK")))</f>
        <v/>
      </c>
      <c r="I37" s="24">
        <f>IF($A37="","",'ANAHTAR'!$F37)</f>
        <v/>
      </c>
      <c r="J37" s="24">
        <f>IF(OR($A37="",$D37=0),0,$F37/ABS($D37))</f>
        <v/>
      </c>
      <c r="K37" s="24">
        <f>IF($A37="","",ROUND($D37,2))</f>
        <v/>
      </c>
      <c r="L37" s="24">
        <f>IF($A37="","",ROUND($C37,2))</f>
        <v/>
      </c>
      <c r="M37" s="24">
        <f>IF($A37="","",--($F37&lt;=toleransKurus))</f>
        <v/>
      </c>
      <c r="N37" s="24">
        <f>IF($A37="","",--($F37&gt;say_esikFark))</f>
        <v/>
      </c>
      <c r="O37" s="24">
        <f>IF($A37="","",IF(OR($G37="eslesti",$G37="tolerans_icinde"),$D37,0))</f>
        <v/>
      </c>
      <c r="P37" s="24">
        <f>IF($A37="","",$B37+$M37+$N37)</f>
        <v/>
      </c>
    </row>
    <row r="38">
      <c r="A38" s="24">
        <f>IF('ANAHTAR'!$B38="","",'ANAHTAR'!$B38)</f>
        <v/>
      </c>
      <c r="B38" s="24">
        <f>IF($A38="","",COUNTIF(tblAnahtarB[NormB],$A38))</f>
        <v/>
      </c>
      <c r="C38" s="24">
        <f>IF($A38="","",SUMIF(tblAnahtarB[NormB],$A38,tblTahsilat[OdemeTutari]))</f>
        <v/>
      </c>
      <c r="D38" s="24">
        <f>IF($A38="","",SUMIF(tblAnahtarA[Norm],$A38,tblDonem[ToplamBorc]))</f>
        <v/>
      </c>
      <c r="E38" s="24">
        <f>IF($A38="","",ROUND($D38,2)-ROUND($C38,2))</f>
        <v/>
      </c>
      <c r="F38" s="24">
        <f>IF($A38="","",ABS($E38))</f>
        <v/>
      </c>
      <c r="G38" s="24">
        <f>IF($A38="","",IF($B38=0,"eslesmedi",IF(ROUND($D38,2)=ROUND($C38,2),"eslesti",IF(ABS(ROUND($D38,2)-ROUND($C38,2))&lt;=toleransKurus,"tolerans_icinde","tutar_farki"))))</f>
        <v/>
      </c>
      <c r="H38" s="24">
        <f>IF($A38="","",IF($B38&gt;0,"BIRINCIL",IF(COUNTIF(tblAnahtarB[IkincilB],'ANAHTAR'!$D38)&gt;0,"IKINCIL","YOK")))</f>
        <v/>
      </c>
      <c r="I38" s="24">
        <f>IF($A38="","",'ANAHTAR'!$F38)</f>
        <v/>
      </c>
      <c r="J38" s="24">
        <f>IF(OR($A38="",$D38=0),0,$F38/ABS($D38))</f>
        <v/>
      </c>
      <c r="K38" s="24">
        <f>IF($A38="","",ROUND($D38,2))</f>
        <v/>
      </c>
      <c r="L38" s="24">
        <f>IF($A38="","",ROUND($C38,2))</f>
        <v/>
      </c>
      <c r="M38" s="24">
        <f>IF($A38="","",--($F38&lt;=toleransKurus))</f>
        <v/>
      </c>
      <c r="N38" s="24">
        <f>IF($A38="","",--($F38&gt;say_esikFark))</f>
        <v/>
      </c>
      <c r="O38" s="24">
        <f>IF($A38="","",IF(OR($G38="eslesti",$G38="tolerans_icinde"),$D38,0))</f>
        <v/>
      </c>
      <c r="P38" s="24">
        <f>IF($A38="","",$B38+$M38+$N38)</f>
        <v/>
      </c>
    </row>
    <row r="39">
      <c r="A39" s="24">
        <f>IF('ANAHTAR'!$B39="","",'ANAHTAR'!$B39)</f>
        <v/>
      </c>
      <c r="B39" s="24">
        <f>IF($A39="","",COUNTIF(tblAnahtarB[NormB],$A39))</f>
        <v/>
      </c>
      <c r="C39" s="24">
        <f>IF($A39="","",SUMIF(tblAnahtarB[NormB],$A39,tblTahsilat[OdemeTutari]))</f>
        <v/>
      </c>
      <c r="D39" s="24">
        <f>IF($A39="","",SUMIF(tblAnahtarA[Norm],$A39,tblDonem[ToplamBorc]))</f>
        <v/>
      </c>
      <c r="E39" s="24">
        <f>IF($A39="","",ROUND($D39,2)-ROUND($C39,2))</f>
        <v/>
      </c>
      <c r="F39" s="24">
        <f>IF($A39="","",ABS($E39))</f>
        <v/>
      </c>
      <c r="G39" s="24">
        <f>IF($A39="","",IF($B39=0,"eslesmedi",IF(ROUND($D39,2)=ROUND($C39,2),"eslesti",IF(ABS(ROUND($D39,2)-ROUND($C39,2))&lt;=toleransKurus,"tolerans_icinde","tutar_farki"))))</f>
        <v/>
      </c>
      <c r="H39" s="24">
        <f>IF($A39="","",IF($B39&gt;0,"BIRINCIL",IF(COUNTIF(tblAnahtarB[IkincilB],'ANAHTAR'!$D39)&gt;0,"IKINCIL","YOK")))</f>
        <v/>
      </c>
      <c r="I39" s="24">
        <f>IF($A39="","",'ANAHTAR'!$F39)</f>
        <v/>
      </c>
      <c r="J39" s="24">
        <f>IF(OR($A39="",$D39=0),0,$F39/ABS($D39))</f>
        <v/>
      </c>
      <c r="K39" s="24">
        <f>IF($A39="","",ROUND($D39,2))</f>
        <v/>
      </c>
      <c r="L39" s="24">
        <f>IF($A39="","",ROUND($C39,2))</f>
        <v/>
      </c>
      <c r="M39" s="24">
        <f>IF($A39="","",--($F39&lt;=toleransKurus))</f>
        <v/>
      </c>
      <c r="N39" s="24">
        <f>IF($A39="","",--($F39&gt;say_esikFark))</f>
        <v/>
      </c>
      <c r="O39" s="24">
        <f>IF($A39="","",IF(OR($G39="eslesti",$G39="tolerans_icinde"),$D39,0))</f>
        <v/>
      </c>
      <c r="P39" s="24">
        <f>IF($A39="","",$B39+$M39+$N39)</f>
        <v/>
      </c>
    </row>
    <row r="40">
      <c r="A40" s="24">
        <f>IF('ANAHTAR'!$B40="","",'ANAHTAR'!$B40)</f>
        <v/>
      </c>
      <c r="B40" s="24">
        <f>IF($A40="","",COUNTIF(tblAnahtarB[NormB],$A40))</f>
        <v/>
      </c>
      <c r="C40" s="24">
        <f>IF($A40="","",SUMIF(tblAnahtarB[NormB],$A40,tblTahsilat[OdemeTutari]))</f>
        <v/>
      </c>
      <c r="D40" s="24">
        <f>IF($A40="","",SUMIF(tblAnahtarA[Norm],$A40,tblDonem[ToplamBorc]))</f>
        <v/>
      </c>
      <c r="E40" s="24">
        <f>IF($A40="","",ROUND($D40,2)-ROUND($C40,2))</f>
        <v/>
      </c>
      <c r="F40" s="24">
        <f>IF($A40="","",ABS($E40))</f>
        <v/>
      </c>
      <c r="G40" s="24">
        <f>IF($A40="","",IF($B40=0,"eslesmedi",IF(ROUND($D40,2)=ROUND($C40,2),"eslesti",IF(ABS(ROUND($D40,2)-ROUND($C40,2))&lt;=toleransKurus,"tolerans_icinde","tutar_farki"))))</f>
        <v/>
      </c>
      <c r="H40" s="24">
        <f>IF($A40="","",IF($B40&gt;0,"BIRINCIL",IF(COUNTIF(tblAnahtarB[IkincilB],'ANAHTAR'!$D40)&gt;0,"IKINCIL","YOK")))</f>
        <v/>
      </c>
      <c r="I40" s="24">
        <f>IF($A40="","",'ANAHTAR'!$F40)</f>
        <v/>
      </c>
      <c r="J40" s="24">
        <f>IF(OR($A40="",$D40=0),0,$F40/ABS($D40))</f>
        <v/>
      </c>
      <c r="K40" s="24">
        <f>IF($A40="","",ROUND($D40,2))</f>
        <v/>
      </c>
      <c r="L40" s="24">
        <f>IF($A40="","",ROUND($C40,2))</f>
        <v/>
      </c>
      <c r="M40" s="24">
        <f>IF($A40="","",--($F40&lt;=toleransKurus))</f>
        <v/>
      </c>
      <c r="N40" s="24">
        <f>IF($A40="","",--($F40&gt;say_esikFark))</f>
        <v/>
      </c>
      <c r="O40" s="24">
        <f>IF($A40="","",IF(OR($G40="eslesti",$G40="tolerans_icinde"),$D40,0))</f>
        <v/>
      </c>
      <c r="P40" s="24">
        <f>IF($A40="","",$B40+$M40+$N40)</f>
        <v/>
      </c>
    </row>
    <row r="41">
      <c r="A41" s="24">
        <f>IF('ANAHTAR'!$B41="","",'ANAHTAR'!$B41)</f>
        <v/>
      </c>
      <c r="B41" s="24">
        <f>IF($A41="","",COUNTIF(tblAnahtarB[NormB],$A41))</f>
        <v/>
      </c>
      <c r="C41" s="24">
        <f>IF($A41="","",SUMIF(tblAnahtarB[NormB],$A41,tblTahsilat[OdemeTutari]))</f>
        <v/>
      </c>
      <c r="D41" s="24">
        <f>IF($A41="","",SUMIF(tblAnahtarA[Norm],$A41,tblDonem[ToplamBorc]))</f>
        <v/>
      </c>
      <c r="E41" s="24">
        <f>IF($A41="","",ROUND($D41,2)-ROUND($C41,2))</f>
        <v/>
      </c>
      <c r="F41" s="24">
        <f>IF($A41="","",ABS($E41))</f>
        <v/>
      </c>
      <c r="G41" s="24">
        <f>IF($A41="","",IF($B41=0,"eslesmedi",IF(ROUND($D41,2)=ROUND($C41,2),"eslesti",IF(ABS(ROUND($D41,2)-ROUND($C41,2))&lt;=toleransKurus,"tolerans_icinde","tutar_farki"))))</f>
        <v/>
      </c>
      <c r="H41" s="24">
        <f>IF($A41="","",IF($B41&gt;0,"BIRINCIL",IF(COUNTIF(tblAnahtarB[IkincilB],'ANAHTAR'!$D41)&gt;0,"IKINCIL","YOK")))</f>
        <v/>
      </c>
      <c r="I41" s="24">
        <f>IF($A41="","",'ANAHTAR'!$F41)</f>
        <v/>
      </c>
      <c r="J41" s="24">
        <f>IF(OR($A41="",$D41=0),0,$F41/ABS($D41))</f>
        <v/>
      </c>
      <c r="K41" s="24">
        <f>IF($A41="","",ROUND($D41,2))</f>
        <v/>
      </c>
      <c r="L41" s="24">
        <f>IF($A41="","",ROUND($C41,2))</f>
        <v/>
      </c>
      <c r="M41" s="24">
        <f>IF($A41="","",--($F41&lt;=toleransKurus))</f>
        <v/>
      </c>
      <c r="N41" s="24">
        <f>IF($A41="","",--($F41&gt;say_esikFark))</f>
        <v/>
      </c>
      <c r="O41" s="24">
        <f>IF($A41="","",IF(OR($G41="eslesti",$G41="tolerans_icinde"),$D41,0))</f>
        <v/>
      </c>
      <c r="P41" s="24">
        <f>IF($A41="","",$B41+$M41+$N41)</f>
        <v/>
      </c>
    </row>
    <row r="42">
      <c r="A42" s="24">
        <f>IF('ANAHTAR'!$B42="","",'ANAHTAR'!$B42)</f>
        <v/>
      </c>
      <c r="B42" s="24">
        <f>IF($A42="","",COUNTIF(tblAnahtarB[NormB],$A42))</f>
        <v/>
      </c>
      <c r="C42" s="24">
        <f>IF($A42="","",SUMIF(tblAnahtarB[NormB],$A42,tblTahsilat[OdemeTutari]))</f>
        <v/>
      </c>
      <c r="D42" s="24">
        <f>IF($A42="","",SUMIF(tblAnahtarA[Norm],$A42,tblDonem[ToplamBorc]))</f>
        <v/>
      </c>
      <c r="E42" s="24">
        <f>IF($A42="","",ROUND($D42,2)-ROUND($C42,2))</f>
        <v/>
      </c>
      <c r="F42" s="24">
        <f>IF($A42="","",ABS($E42))</f>
        <v/>
      </c>
      <c r="G42" s="24">
        <f>IF($A42="","",IF($B42=0,"eslesmedi",IF(ROUND($D42,2)=ROUND($C42,2),"eslesti",IF(ABS(ROUND($D42,2)-ROUND($C42,2))&lt;=toleransKurus,"tolerans_icinde","tutar_farki"))))</f>
        <v/>
      </c>
      <c r="H42" s="24">
        <f>IF($A42="","",IF($B42&gt;0,"BIRINCIL",IF(COUNTIF(tblAnahtarB[IkincilB],'ANAHTAR'!$D42)&gt;0,"IKINCIL","YOK")))</f>
        <v/>
      </c>
      <c r="I42" s="24">
        <f>IF($A42="","",'ANAHTAR'!$F42)</f>
        <v/>
      </c>
      <c r="J42" s="24">
        <f>IF(OR($A42="",$D42=0),0,$F42/ABS($D42))</f>
        <v/>
      </c>
      <c r="K42" s="24">
        <f>IF($A42="","",ROUND($D42,2))</f>
        <v/>
      </c>
      <c r="L42" s="24">
        <f>IF($A42="","",ROUND($C42,2))</f>
        <v/>
      </c>
      <c r="M42" s="24">
        <f>IF($A42="","",--($F42&lt;=toleransKurus))</f>
        <v/>
      </c>
      <c r="N42" s="24">
        <f>IF($A42="","",--($F42&gt;say_esikFark))</f>
        <v/>
      </c>
      <c r="O42" s="24">
        <f>IF($A42="","",IF(OR($G42="eslesti",$G42="tolerans_icinde"),$D42,0))</f>
        <v/>
      </c>
      <c r="P42" s="24">
        <f>IF($A42="","",$B42+$M42+$N42)</f>
        <v/>
      </c>
    </row>
    <row r="43">
      <c r="A43" s="24">
        <f>IF('ANAHTAR'!$B43="","",'ANAHTAR'!$B43)</f>
        <v/>
      </c>
      <c r="B43" s="24">
        <f>IF($A43="","",COUNTIF(tblAnahtarB[NormB],$A43))</f>
        <v/>
      </c>
      <c r="C43" s="24">
        <f>IF($A43="","",SUMIF(tblAnahtarB[NormB],$A43,tblTahsilat[OdemeTutari]))</f>
        <v/>
      </c>
      <c r="D43" s="24">
        <f>IF($A43="","",SUMIF(tblAnahtarA[Norm],$A43,tblDonem[ToplamBorc]))</f>
        <v/>
      </c>
      <c r="E43" s="24">
        <f>IF($A43="","",ROUND($D43,2)-ROUND($C43,2))</f>
        <v/>
      </c>
      <c r="F43" s="24">
        <f>IF($A43="","",ABS($E43))</f>
        <v/>
      </c>
      <c r="G43" s="24">
        <f>IF($A43="","",IF($B43=0,"eslesmedi",IF(ROUND($D43,2)=ROUND($C43,2),"eslesti",IF(ABS(ROUND($D43,2)-ROUND($C43,2))&lt;=toleransKurus,"tolerans_icinde","tutar_farki"))))</f>
        <v/>
      </c>
      <c r="H43" s="24">
        <f>IF($A43="","",IF($B43&gt;0,"BIRINCIL",IF(COUNTIF(tblAnahtarB[IkincilB],'ANAHTAR'!$D43)&gt;0,"IKINCIL","YOK")))</f>
        <v/>
      </c>
      <c r="I43" s="24">
        <f>IF($A43="","",'ANAHTAR'!$F43)</f>
        <v/>
      </c>
      <c r="J43" s="24">
        <f>IF(OR($A43="",$D43=0),0,$F43/ABS($D43))</f>
        <v/>
      </c>
      <c r="K43" s="24">
        <f>IF($A43="","",ROUND($D43,2))</f>
        <v/>
      </c>
      <c r="L43" s="24">
        <f>IF($A43="","",ROUND($C43,2))</f>
        <v/>
      </c>
      <c r="M43" s="24">
        <f>IF($A43="","",--($F43&lt;=toleransKurus))</f>
        <v/>
      </c>
      <c r="N43" s="24">
        <f>IF($A43="","",--($F43&gt;say_esikFark))</f>
        <v/>
      </c>
      <c r="O43" s="24">
        <f>IF($A43="","",IF(OR($G43="eslesti",$G43="tolerans_icinde"),$D43,0))</f>
        <v/>
      </c>
      <c r="P43" s="24">
        <f>IF($A43="","",$B43+$M43+$N43)</f>
        <v/>
      </c>
    </row>
    <row r="44">
      <c r="A44" s="24">
        <f>IF('ANAHTAR'!$B44="","",'ANAHTAR'!$B44)</f>
        <v/>
      </c>
      <c r="B44" s="24">
        <f>IF($A44="","",COUNTIF(tblAnahtarB[NormB],$A44))</f>
        <v/>
      </c>
      <c r="C44" s="24">
        <f>IF($A44="","",SUMIF(tblAnahtarB[NormB],$A44,tblTahsilat[OdemeTutari]))</f>
        <v/>
      </c>
      <c r="D44" s="24">
        <f>IF($A44="","",SUMIF(tblAnahtarA[Norm],$A44,tblDonem[ToplamBorc]))</f>
        <v/>
      </c>
      <c r="E44" s="24">
        <f>IF($A44="","",ROUND($D44,2)-ROUND($C44,2))</f>
        <v/>
      </c>
      <c r="F44" s="24">
        <f>IF($A44="","",ABS($E44))</f>
        <v/>
      </c>
      <c r="G44" s="24">
        <f>IF($A44="","",IF($B44=0,"eslesmedi",IF(ROUND($D44,2)=ROUND($C44,2),"eslesti",IF(ABS(ROUND($D44,2)-ROUND($C44,2))&lt;=toleransKurus,"tolerans_icinde","tutar_farki"))))</f>
        <v/>
      </c>
      <c r="H44" s="24">
        <f>IF($A44="","",IF($B44&gt;0,"BIRINCIL",IF(COUNTIF(tblAnahtarB[IkincilB],'ANAHTAR'!$D44)&gt;0,"IKINCIL","YOK")))</f>
        <v/>
      </c>
      <c r="I44" s="24">
        <f>IF($A44="","",'ANAHTAR'!$F44)</f>
        <v/>
      </c>
      <c r="J44" s="24">
        <f>IF(OR($A44="",$D44=0),0,$F44/ABS($D44))</f>
        <v/>
      </c>
      <c r="K44" s="24">
        <f>IF($A44="","",ROUND($D44,2))</f>
        <v/>
      </c>
      <c r="L44" s="24">
        <f>IF($A44="","",ROUND($C44,2))</f>
        <v/>
      </c>
      <c r="M44" s="24">
        <f>IF($A44="","",--($F44&lt;=toleransKurus))</f>
        <v/>
      </c>
      <c r="N44" s="24">
        <f>IF($A44="","",--($F44&gt;say_esikFark))</f>
        <v/>
      </c>
      <c r="O44" s="24">
        <f>IF($A44="","",IF(OR($G44="eslesti",$G44="tolerans_icinde"),$D44,0))</f>
        <v/>
      </c>
      <c r="P44" s="24">
        <f>IF($A44="","",$B44+$M44+$N44)</f>
        <v/>
      </c>
    </row>
    <row r="45">
      <c r="A45" s="24">
        <f>IF('ANAHTAR'!$B45="","",'ANAHTAR'!$B45)</f>
        <v/>
      </c>
      <c r="B45" s="24">
        <f>IF($A45="","",COUNTIF(tblAnahtarB[NormB],$A45))</f>
        <v/>
      </c>
      <c r="C45" s="24">
        <f>IF($A45="","",SUMIF(tblAnahtarB[NormB],$A45,tblTahsilat[OdemeTutari]))</f>
        <v/>
      </c>
      <c r="D45" s="24">
        <f>IF($A45="","",SUMIF(tblAnahtarA[Norm],$A45,tblDonem[ToplamBorc]))</f>
        <v/>
      </c>
      <c r="E45" s="24">
        <f>IF($A45="","",ROUND($D45,2)-ROUND($C45,2))</f>
        <v/>
      </c>
      <c r="F45" s="24">
        <f>IF($A45="","",ABS($E45))</f>
        <v/>
      </c>
      <c r="G45" s="24">
        <f>IF($A45="","",IF($B45=0,"eslesmedi",IF(ROUND($D45,2)=ROUND($C45,2),"eslesti",IF(ABS(ROUND($D45,2)-ROUND($C45,2))&lt;=toleransKurus,"tolerans_icinde","tutar_farki"))))</f>
        <v/>
      </c>
      <c r="H45" s="24">
        <f>IF($A45="","",IF($B45&gt;0,"BIRINCIL",IF(COUNTIF(tblAnahtarB[IkincilB],'ANAHTAR'!$D45)&gt;0,"IKINCIL","YOK")))</f>
        <v/>
      </c>
      <c r="I45" s="24">
        <f>IF($A45="","",'ANAHTAR'!$F45)</f>
        <v/>
      </c>
      <c r="J45" s="24">
        <f>IF(OR($A45="",$D45=0),0,$F45/ABS($D45))</f>
        <v/>
      </c>
      <c r="K45" s="24">
        <f>IF($A45="","",ROUND($D45,2))</f>
        <v/>
      </c>
      <c r="L45" s="24">
        <f>IF($A45="","",ROUND($C45,2))</f>
        <v/>
      </c>
      <c r="M45" s="24">
        <f>IF($A45="","",--($F45&lt;=toleransKurus))</f>
        <v/>
      </c>
      <c r="N45" s="24">
        <f>IF($A45="","",--($F45&gt;say_esikFark))</f>
        <v/>
      </c>
      <c r="O45" s="24">
        <f>IF($A45="","",IF(OR($G45="eslesti",$G45="tolerans_icinde"),$D45,0))</f>
        <v/>
      </c>
      <c r="P45" s="24">
        <f>IF($A45="","",$B45+$M45+$N45)</f>
        <v/>
      </c>
    </row>
    <row r="46">
      <c r="A46" s="24">
        <f>IF('ANAHTAR'!$B46="","",'ANAHTAR'!$B46)</f>
        <v/>
      </c>
      <c r="B46" s="24">
        <f>IF($A46="","",COUNTIF(tblAnahtarB[NormB],$A46))</f>
        <v/>
      </c>
      <c r="C46" s="24">
        <f>IF($A46="","",SUMIF(tblAnahtarB[NormB],$A46,tblTahsilat[OdemeTutari]))</f>
        <v/>
      </c>
      <c r="D46" s="24">
        <f>IF($A46="","",SUMIF(tblAnahtarA[Norm],$A46,tblDonem[ToplamBorc]))</f>
        <v/>
      </c>
      <c r="E46" s="24">
        <f>IF($A46="","",ROUND($D46,2)-ROUND($C46,2))</f>
        <v/>
      </c>
      <c r="F46" s="24">
        <f>IF($A46="","",ABS($E46))</f>
        <v/>
      </c>
      <c r="G46" s="24">
        <f>IF($A46="","",IF($B46=0,"eslesmedi",IF(ROUND($D46,2)=ROUND($C46,2),"eslesti",IF(ABS(ROUND($D46,2)-ROUND($C46,2))&lt;=toleransKurus,"tolerans_icinde","tutar_farki"))))</f>
        <v/>
      </c>
      <c r="H46" s="24">
        <f>IF($A46="","",IF($B46&gt;0,"BIRINCIL",IF(COUNTIF(tblAnahtarB[IkincilB],'ANAHTAR'!$D46)&gt;0,"IKINCIL","YOK")))</f>
        <v/>
      </c>
      <c r="I46" s="24">
        <f>IF($A46="","",'ANAHTAR'!$F46)</f>
        <v/>
      </c>
      <c r="J46" s="24">
        <f>IF(OR($A46="",$D46=0),0,$F46/ABS($D46))</f>
        <v/>
      </c>
      <c r="K46" s="24">
        <f>IF($A46="","",ROUND($D46,2))</f>
        <v/>
      </c>
      <c r="L46" s="24">
        <f>IF($A46="","",ROUND($C46,2))</f>
        <v/>
      </c>
      <c r="M46" s="24">
        <f>IF($A46="","",--($F46&lt;=toleransKurus))</f>
        <v/>
      </c>
      <c r="N46" s="24">
        <f>IF($A46="","",--($F46&gt;say_esikFark))</f>
        <v/>
      </c>
      <c r="O46" s="24">
        <f>IF($A46="","",IF(OR($G46="eslesti",$G46="tolerans_icinde"),$D46,0))</f>
        <v/>
      </c>
      <c r="P46" s="24">
        <f>IF($A46="","",$B46+$M46+$N46)</f>
        <v/>
      </c>
    </row>
    <row r="47">
      <c r="A47" s="24">
        <f>IF('ANAHTAR'!$B47="","",'ANAHTAR'!$B47)</f>
        <v/>
      </c>
      <c r="B47" s="24">
        <f>IF($A47="","",COUNTIF(tblAnahtarB[NormB],$A47))</f>
        <v/>
      </c>
      <c r="C47" s="24">
        <f>IF($A47="","",SUMIF(tblAnahtarB[NormB],$A47,tblTahsilat[OdemeTutari]))</f>
        <v/>
      </c>
      <c r="D47" s="24">
        <f>IF($A47="","",SUMIF(tblAnahtarA[Norm],$A47,tblDonem[ToplamBorc]))</f>
        <v/>
      </c>
      <c r="E47" s="24">
        <f>IF($A47="","",ROUND($D47,2)-ROUND($C47,2))</f>
        <v/>
      </c>
      <c r="F47" s="24">
        <f>IF($A47="","",ABS($E47))</f>
        <v/>
      </c>
      <c r="G47" s="24">
        <f>IF($A47="","",IF($B47=0,"eslesmedi",IF(ROUND($D47,2)=ROUND($C47,2),"eslesti",IF(ABS(ROUND($D47,2)-ROUND($C47,2))&lt;=toleransKurus,"tolerans_icinde","tutar_farki"))))</f>
        <v/>
      </c>
      <c r="H47" s="24">
        <f>IF($A47="","",IF($B47&gt;0,"BIRINCIL",IF(COUNTIF(tblAnahtarB[IkincilB],'ANAHTAR'!$D47)&gt;0,"IKINCIL","YOK")))</f>
        <v/>
      </c>
      <c r="I47" s="24">
        <f>IF($A47="","",'ANAHTAR'!$F47)</f>
        <v/>
      </c>
      <c r="J47" s="24">
        <f>IF(OR($A47="",$D47=0),0,$F47/ABS($D47))</f>
        <v/>
      </c>
      <c r="K47" s="24">
        <f>IF($A47="","",ROUND($D47,2))</f>
        <v/>
      </c>
      <c r="L47" s="24">
        <f>IF($A47="","",ROUND($C47,2))</f>
        <v/>
      </c>
      <c r="M47" s="24">
        <f>IF($A47="","",--($F47&lt;=toleransKurus))</f>
        <v/>
      </c>
      <c r="N47" s="24">
        <f>IF($A47="","",--($F47&gt;say_esikFark))</f>
        <v/>
      </c>
      <c r="O47" s="24">
        <f>IF($A47="","",IF(OR($G47="eslesti",$G47="tolerans_icinde"),$D47,0))</f>
        <v/>
      </c>
      <c r="P47" s="24">
        <f>IF($A47="","",$B47+$M47+$N47)</f>
        <v/>
      </c>
    </row>
    <row r="48">
      <c r="A48" s="24">
        <f>IF('ANAHTAR'!$B48="","",'ANAHTAR'!$B48)</f>
        <v/>
      </c>
      <c r="B48" s="24">
        <f>IF($A48="","",COUNTIF(tblAnahtarB[NormB],$A48))</f>
        <v/>
      </c>
      <c r="C48" s="24">
        <f>IF($A48="","",SUMIF(tblAnahtarB[NormB],$A48,tblTahsilat[OdemeTutari]))</f>
        <v/>
      </c>
      <c r="D48" s="24">
        <f>IF($A48="","",SUMIF(tblAnahtarA[Norm],$A48,tblDonem[ToplamBorc]))</f>
        <v/>
      </c>
      <c r="E48" s="24">
        <f>IF($A48="","",ROUND($D48,2)-ROUND($C48,2))</f>
        <v/>
      </c>
      <c r="F48" s="24">
        <f>IF($A48="","",ABS($E48))</f>
        <v/>
      </c>
      <c r="G48" s="24">
        <f>IF($A48="","",IF($B48=0,"eslesmedi",IF(ROUND($D48,2)=ROUND($C48,2),"eslesti",IF(ABS(ROUND($D48,2)-ROUND($C48,2))&lt;=toleransKurus,"tolerans_icinde","tutar_farki"))))</f>
        <v/>
      </c>
      <c r="H48" s="24">
        <f>IF($A48="","",IF($B48&gt;0,"BIRINCIL",IF(COUNTIF(tblAnahtarB[IkincilB],'ANAHTAR'!$D48)&gt;0,"IKINCIL","YOK")))</f>
        <v/>
      </c>
      <c r="I48" s="24">
        <f>IF($A48="","",'ANAHTAR'!$F48)</f>
        <v/>
      </c>
      <c r="J48" s="24">
        <f>IF(OR($A48="",$D48=0),0,$F48/ABS($D48))</f>
        <v/>
      </c>
      <c r="K48" s="24">
        <f>IF($A48="","",ROUND($D48,2))</f>
        <v/>
      </c>
      <c r="L48" s="24">
        <f>IF($A48="","",ROUND($C48,2))</f>
        <v/>
      </c>
      <c r="M48" s="24">
        <f>IF($A48="","",--($F48&lt;=toleransKurus))</f>
        <v/>
      </c>
      <c r="N48" s="24">
        <f>IF($A48="","",--($F48&gt;say_esikFark))</f>
        <v/>
      </c>
      <c r="O48" s="24">
        <f>IF($A48="","",IF(OR($G48="eslesti",$G48="tolerans_icinde"),$D48,0))</f>
        <v/>
      </c>
      <c r="P48" s="24">
        <f>IF($A48="","",$B48+$M48+$N48)</f>
        <v/>
      </c>
    </row>
    <row r="49">
      <c r="A49" s="24">
        <f>IF('ANAHTAR'!$B49="","",'ANAHTAR'!$B49)</f>
        <v/>
      </c>
      <c r="B49" s="24">
        <f>IF($A49="","",COUNTIF(tblAnahtarB[NormB],$A49))</f>
        <v/>
      </c>
      <c r="C49" s="24">
        <f>IF($A49="","",SUMIF(tblAnahtarB[NormB],$A49,tblTahsilat[OdemeTutari]))</f>
        <v/>
      </c>
      <c r="D49" s="24">
        <f>IF($A49="","",SUMIF(tblAnahtarA[Norm],$A49,tblDonem[ToplamBorc]))</f>
        <v/>
      </c>
      <c r="E49" s="24">
        <f>IF($A49="","",ROUND($D49,2)-ROUND($C49,2))</f>
        <v/>
      </c>
      <c r="F49" s="24">
        <f>IF($A49="","",ABS($E49))</f>
        <v/>
      </c>
      <c r="G49" s="24">
        <f>IF($A49="","",IF($B49=0,"eslesmedi",IF(ROUND($D49,2)=ROUND($C49,2),"eslesti",IF(ABS(ROUND($D49,2)-ROUND($C49,2))&lt;=toleransKurus,"tolerans_icinde","tutar_farki"))))</f>
        <v/>
      </c>
      <c r="H49" s="24">
        <f>IF($A49="","",IF($B49&gt;0,"BIRINCIL",IF(COUNTIF(tblAnahtarB[IkincilB],'ANAHTAR'!$D49)&gt;0,"IKINCIL","YOK")))</f>
        <v/>
      </c>
      <c r="I49" s="24">
        <f>IF($A49="","",'ANAHTAR'!$F49)</f>
        <v/>
      </c>
      <c r="J49" s="24">
        <f>IF(OR($A49="",$D49=0),0,$F49/ABS($D49))</f>
        <v/>
      </c>
      <c r="K49" s="24">
        <f>IF($A49="","",ROUND($D49,2))</f>
        <v/>
      </c>
      <c r="L49" s="24">
        <f>IF($A49="","",ROUND($C49,2))</f>
        <v/>
      </c>
      <c r="M49" s="24">
        <f>IF($A49="","",--($F49&lt;=toleransKurus))</f>
        <v/>
      </c>
      <c r="N49" s="24">
        <f>IF($A49="","",--($F49&gt;say_esikFark))</f>
        <v/>
      </c>
      <c r="O49" s="24">
        <f>IF($A49="","",IF(OR($G49="eslesti",$G49="tolerans_icinde"),$D49,0))</f>
        <v/>
      </c>
      <c r="P49" s="24">
        <f>IF($A49="","",$B49+$M49+$N49)</f>
        <v/>
      </c>
    </row>
    <row r="50">
      <c r="A50" s="24">
        <f>IF('ANAHTAR'!$B50="","",'ANAHTAR'!$B50)</f>
        <v/>
      </c>
      <c r="B50" s="24">
        <f>IF($A50="","",COUNTIF(tblAnahtarB[NormB],$A50))</f>
        <v/>
      </c>
      <c r="C50" s="24">
        <f>IF($A50="","",SUMIF(tblAnahtarB[NormB],$A50,tblTahsilat[OdemeTutari]))</f>
        <v/>
      </c>
      <c r="D50" s="24">
        <f>IF($A50="","",SUMIF(tblAnahtarA[Norm],$A50,tblDonem[ToplamBorc]))</f>
        <v/>
      </c>
      <c r="E50" s="24">
        <f>IF($A50="","",ROUND($D50,2)-ROUND($C50,2))</f>
        <v/>
      </c>
      <c r="F50" s="24">
        <f>IF($A50="","",ABS($E50))</f>
        <v/>
      </c>
      <c r="G50" s="24">
        <f>IF($A50="","",IF($B50=0,"eslesmedi",IF(ROUND($D50,2)=ROUND($C50,2),"eslesti",IF(ABS(ROUND($D50,2)-ROUND($C50,2))&lt;=toleransKurus,"tolerans_icinde","tutar_farki"))))</f>
        <v/>
      </c>
      <c r="H50" s="24">
        <f>IF($A50="","",IF($B50&gt;0,"BIRINCIL",IF(COUNTIF(tblAnahtarB[IkincilB],'ANAHTAR'!$D50)&gt;0,"IKINCIL","YOK")))</f>
        <v/>
      </c>
      <c r="I50" s="24">
        <f>IF($A50="","",'ANAHTAR'!$F50)</f>
        <v/>
      </c>
      <c r="J50" s="24">
        <f>IF(OR($A50="",$D50=0),0,$F50/ABS($D50))</f>
        <v/>
      </c>
      <c r="K50" s="24">
        <f>IF($A50="","",ROUND($D50,2))</f>
        <v/>
      </c>
      <c r="L50" s="24">
        <f>IF($A50="","",ROUND($C50,2))</f>
        <v/>
      </c>
      <c r="M50" s="24">
        <f>IF($A50="","",--($F50&lt;=toleransKurus))</f>
        <v/>
      </c>
      <c r="N50" s="24">
        <f>IF($A50="","",--($F50&gt;say_esikFark))</f>
        <v/>
      </c>
      <c r="O50" s="24">
        <f>IF($A50="","",IF(OR($G50="eslesti",$G50="tolerans_icinde"),$D50,0))</f>
        <v/>
      </c>
      <c r="P50" s="24">
        <f>IF($A50="","",$B50+$M50+$N50)</f>
        <v/>
      </c>
    </row>
    <row r="51">
      <c r="A51" s="24">
        <f>IF('ANAHTAR'!$B51="","",'ANAHTAR'!$B51)</f>
        <v/>
      </c>
      <c r="B51" s="24">
        <f>IF($A51="","",COUNTIF(tblAnahtarB[NormB],$A51))</f>
        <v/>
      </c>
      <c r="C51" s="24">
        <f>IF($A51="","",SUMIF(tblAnahtarB[NormB],$A51,tblTahsilat[OdemeTutari]))</f>
        <v/>
      </c>
      <c r="D51" s="24">
        <f>IF($A51="","",SUMIF(tblAnahtarA[Norm],$A51,tblDonem[ToplamBorc]))</f>
        <v/>
      </c>
      <c r="E51" s="24">
        <f>IF($A51="","",ROUND($D51,2)-ROUND($C51,2))</f>
        <v/>
      </c>
      <c r="F51" s="24">
        <f>IF($A51="","",ABS($E51))</f>
        <v/>
      </c>
      <c r="G51" s="24">
        <f>IF($A51="","",IF($B51=0,"eslesmedi",IF(ROUND($D51,2)=ROUND($C51,2),"eslesti",IF(ABS(ROUND($D51,2)-ROUND($C51,2))&lt;=toleransKurus,"tolerans_icinde","tutar_farki"))))</f>
        <v/>
      </c>
      <c r="H51" s="24">
        <f>IF($A51="","",IF($B51&gt;0,"BIRINCIL",IF(COUNTIF(tblAnahtarB[IkincilB],'ANAHTAR'!$D51)&gt;0,"IKINCIL","YOK")))</f>
        <v/>
      </c>
      <c r="I51" s="24">
        <f>IF($A51="","",'ANAHTAR'!$F51)</f>
        <v/>
      </c>
      <c r="J51" s="24">
        <f>IF(OR($A51="",$D51=0),0,$F51/ABS($D51))</f>
        <v/>
      </c>
      <c r="K51" s="24">
        <f>IF($A51="","",ROUND($D51,2))</f>
        <v/>
      </c>
      <c r="L51" s="24">
        <f>IF($A51="","",ROUND($C51,2))</f>
        <v/>
      </c>
      <c r="M51" s="24">
        <f>IF($A51="","",--($F51&lt;=toleransKurus))</f>
        <v/>
      </c>
      <c r="N51" s="24">
        <f>IF($A51="","",--($F51&gt;say_esikFark))</f>
        <v/>
      </c>
      <c r="O51" s="24">
        <f>IF($A51="","",IF(OR($G51="eslesti",$G51="tolerans_icinde"),$D51,0))</f>
        <v/>
      </c>
      <c r="P51" s="24">
        <f>IF($A51="","",$B51+$M51+$N51)</f>
        <v/>
      </c>
    </row>
    <row r="52">
      <c r="A52" s="24">
        <f>IF('ANAHTAR'!$B52="","",'ANAHTAR'!$B52)</f>
        <v/>
      </c>
      <c r="B52" s="24">
        <f>IF($A52="","",COUNTIF(tblAnahtarB[NormB],$A52))</f>
        <v/>
      </c>
      <c r="C52" s="24">
        <f>IF($A52="","",SUMIF(tblAnahtarB[NormB],$A52,tblTahsilat[OdemeTutari]))</f>
        <v/>
      </c>
      <c r="D52" s="24">
        <f>IF($A52="","",SUMIF(tblAnahtarA[Norm],$A52,tblDonem[ToplamBorc]))</f>
        <v/>
      </c>
      <c r="E52" s="24">
        <f>IF($A52="","",ROUND($D52,2)-ROUND($C52,2))</f>
        <v/>
      </c>
      <c r="F52" s="24">
        <f>IF($A52="","",ABS($E52))</f>
        <v/>
      </c>
      <c r="G52" s="24">
        <f>IF($A52="","",IF($B52=0,"eslesmedi",IF(ROUND($D52,2)=ROUND($C52,2),"eslesti",IF(ABS(ROUND($D52,2)-ROUND($C52,2))&lt;=toleransKurus,"tolerans_icinde","tutar_farki"))))</f>
        <v/>
      </c>
      <c r="H52" s="24">
        <f>IF($A52="","",IF($B52&gt;0,"BIRINCIL",IF(COUNTIF(tblAnahtarB[IkincilB],'ANAHTAR'!$D52)&gt;0,"IKINCIL","YOK")))</f>
        <v/>
      </c>
      <c r="I52" s="24">
        <f>IF($A52="","",'ANAHTAR'!$F52)</f>
        <v/>
      </c>
      <c r="J52" s="24">
        <f>IF(OR($A52="",$D52=0),0,$F52/ABS($D52))</f>
        <v/>
      </c>
      <c r="K52" s="24">
        <f>IF($A52="","",ROUND($D52,2))</f>
        <v/>
      </c>
      <c r="L52" s="24">
        <f>IF($A52="","",ROUND($C52,2))</f>
        <v/>
      </c>
      <c r="M52" s="24">
        <f>IF($A52="","",--($F52&lt;=toleransKurus))</f>
        <v/>
      </c>
      <c r="N52" s="24">
        <f>IF($A52="","",--($F52&gt;say_esikFark))</f>
        <v/>
      </c>
      <c r="O52" s="24">
        <f>IF($A52="","",IF(OR($G52="eslesti",$G52="tolerans_icinde"),$D52,0))</f>
        <v/>
      </c>
      <c r="P52" s="24">
        <f>IF($A52="","",$B52+$M52+$N52)</f>
        <v/>
      </c>
    </row>
    <row r="53">
      <c r="A53" s="24">
        <f>IF('ANAHTAR'!$B53="","",'ANAHTAR'!$B53)</f>
        <v/>
      </c>
      <c r="B53" s="24">
        <f>IF($A53="","",COUNTIF(tblAnahtarB[NormB],$A53))</f>
        <v/>
      </c>
      <c r="C53" s="24">
        <f>IF($A53="","",SUMIF(tblAnahtarB[NormB],$A53,tblTahsilat[OdemeTutari]))</f>
        <v/>
      </c>
      <c r="D53" s="24">
        <f>IF($A53="","",SUMIF(tblAnahtarA[Norm],$A53,tblDonem[ToplamBorc]))</f>
        <v/>
      </c>
      <c r="E53" s="24">
        <f>IF($A53="","",ROUND($D53,2)-ROUND($C53,2))</f>
        <v/>
      </c>
      <c r="F53" s="24">
        <f>IF($A53="","",ABS($E53))</f>
        <v/>
      </c>
      <c r="G53" s="24">
        <f>IF($A53="","",IF($B53=0,"eslesmedi",IF(ROUND($D53,2)=ROUND($C53,2),"eslesti",IF(ABS(ROUND($D53,2)-ROUND($C53,2))&lt;=toleransKurus,"tolerans_icinde","tutar_farki"))))</f>
        <v/>
      </c>
      <c r="H53" s="24">
        <f>IF($A53="","",IF($B53&gt;0,"BIRINCIL",IF(COUNTIF(tblAnahtarB[IkincilB],'ANAHTAR'!$D53)&gt;0,"IKINCIL","YOK")))</f>
        <v/>
      </c>
      <c r="I53" s="24">
        <f>IF($A53="","",'ANAHTAR'!$F53)</f>
        <v/>
      </c>
      <c r="J53" s="24">
        <f>IF(OR($A53="",$D53=0),0,$F53/ABS($D53))</f>
        <v/>
      </c>
      <c r="K53" s="24">
        <f>IF($A53="","",ROUND($D53,2))</f>
        <v/>
      </c>
      <c r="L53" s="24">
        <f>IF($A53="","",ROUND($C53,2))</f>
        <v/>
      </c>
      <c r="M53" s="24">
        <f>IF($A53="","",--($F53&lt;=toleransKurus))</f>
        <v/>
      </c>
      <c r="N53" s="24">
        <f>IF($A53="","",--($F53&gt;say_esikFark))</f>
        <v/>
      </c>
      <c r="O53" s="24">
        <f>IF($A53="","",IF(OR($G53="eslesti",$G53="tolerans_icinde"),$D53,0))</f>
        <v/>
      </c>
      <c r="P53" s="24">
        <f>IF($A53="","",$B53+$M53+$N53)</f>
        <v/>
      </c>
    </row>
    <row r="54">
      <c r="A54" s="24">
        <f>IF('ANAHTAR'!$B54="","",'ANAHTAR'!$B54)</f>
        <v/>
      </c>
      <c r="B54" s="24">
        <f>IF($A54="","",COUNTIF(tblAnahtarB[NormB],$A54))</f>
        <v/>
      </c>
      <c r="C54" s="24">
        <f>IF($A54="","",SUMIF(tblAnahtarB[NormB],$A54,tblTahsilat[OdemeTutari]))</f>
        <v/>
      </c>
      <c r="D54" s="24">
        <f>IF($A54="","",SUMIF(tblAnahtarA[Norm],$A54,tblDonem[ToplamBorc]))</f>
        <v/>
      </c>
      <c r="E54" s="24">
        <f>IF($A54="","",ROUND($D54,2)-ROUND($C54,2))</f>
        <v/>
      </c>
      <c r="F54" s="24">
        <f>IF($A54="","",ABS($E54))</f>
        <v/>
      </c>
      <c r="G54" s="24">
        <f>IF($A54="","",IF($B54=0,"eslesmedi",IF(ROUND($D54,2)=ROUND($C54,2),"eslesti",IF(ABS(ROUND($D54,2)-ROUND($C54,2))&lt;=toleransKurus,"tolerans_icinde","tutar_farki"))))</f>
        <v/>
      </c>
      <c r="H54" s="24">
        <f>IF($A54="","",IF($B54&gt;0,"BIRINCIL",IF(COUNTIF(tblAnahtarB[IkincilB],'ANAHTAR'!$D54)&gt;0,"IKINCIL","YOK")))</f>
        <v/>
      </c>
      <c r="I54" s="24">
        <f>IF($A54="","",'ANAHTAR'!$F54)</f>
        <v/>
      </c>
      <c r="J54" s="24">
        <f>IF(OR($A54="",$D54=0),0,$F54/ABS($D54))</f>
        <v/>
      </c>
      <c r="K54" s="24">
        <f>IF($A54="","",ROUND($D54,2))</f>
        <v/>
      </c>
      <c r="L54" s="24">
        <f>IF($A54="","",ROUND($C54,2))</f>
        <v/>
      </c>
      <c r="M54" s="24">
        <f>IF($A54="","",--($F54&lt;=toleransKurus))</f>
        <v/>
      </c>
      <c r="N54" s="24">
        <f>IF($A54="","",--($F54&gt;say_esikFark))</f>
        <v/>
      </c>
      <c r="O54" s="24">
        <f>IF($A54="","",IF(OR($G54="eslesti",$G54="tolerans_icinde"),$D54,0))</f>
        <v/>
      </c>
      <c r="P54" s="24">
        <f>IF($A54="","",$B54+$M54+$N54)</f>
        <v/>
      </c>
    </row>
    <row r="55">
      <c r="A55" s="24">
        <f>IF('ANAHTAR'!$B55="","",'ANAHTAR'!$B55)</f>
        <v/>
      </c>
      <c r="B55" s="24">
        <f>IF($A55="","",COUNTIF(tblAnahtarB[NormB],$A55))</f>
        <v/>
      </c>
      <c r="C55" s="24">
        <f>IF($A55="","",SUMIF(tblAnahtarB[NormB],$A55,tblTahsilat[OdemeTutari]))</f>
        <v/>
      </c>
      <c r="D55" s="24">
        <f>IF($A55="","",SUMIF(tblAnahtarA[Norm],$A55,tblDonem[ToplamBorc]))</f>
        <v/>
      </c>
      <c r="E55" s="24">
        <f>IF($A55="","",ROUND($D55,2)-ROUND($C55,2))</f>
        <v/>
      </c>
      <c r="F55" s="24">
        <f>IF($A55="","",ABS($E55))</f>
        <v/>
      </c>
      <c r="G55" s="24">
        <f>IF($A55="","",IF($B55=0,"eslesmedi",IF(ROUND($D55,2)=ROUND($C55,2),"eslesti",IF(ABS(ROUND($D55,2)-ROUND($C55,2))&lt;=toleransKurus,"tolerans_icinde","tutar_farki"))))</f>
        <v/>
      </c>
      <c r="H55" s="24">
        <f>IF($A55="","",IF($B55&gt;0,"BIRINCIL",IF(COUNTIF(tblAnahtarB[IkincilB],'ANAHTAR'!$D55)&gt;0,"IKINCIL","YOK")))</f>
        <v/>
      </c>
      <c r="I55" s="24">
        <f>IF($A55="","",'ANAHTAR'!$F55)</f>
        <v/>
      </c>
      <c r="J55" s="24">
        <f>IF(OR($A55="",$D55=0),0,$F55/ABS($D55))</f>
        <v/>
      </c>
      <c r="K55" s="24">
        <f>IF($A55="","",ROUND($D55,2))</f>
        <v/>
      </c>
      <c r="L55" s="24">
        <f>IF($A55="","",ROUND($C55,2))</f>
        <v/>
      </c>
      <c r="M55" s="24">
        <f>IF($A55="","",--($F55&lt;=toleransKurus))</f>
        <v/>
      </c>
      <c r="N55" s="24">
        <f>IF($A55="","",--($F55&gt;say_esikFark))</f>
        <v/>
      </c>
      <c r="O55" s="24">
        <f>IF($A55="","",IF(OR($G55="eslesti",$G55="tolerans_icinde"),$D55,0))</f>
        <v/>
      </c>
      <c r="P55" s="24">
        <f>IF($A55="","",$B55+$M55+$N55)</f>
        <v/>
      </c>
    </row>
    <row r="56">
      <c r="A56" s="24">
        <f>IF('ANAHTAR'!$B56="","",'ANAHTAR'!$B56)</f>
        <v/>
      </c>
      <c r="B56" s="24">
        <f>IF($A56="","",COUNTIF(tblAnahtarB[NormB],$A56))</f>
        <v/>
      </c>
      <c r="C56" s="24">
        <f>IF($A56="","",SUMIF(tblAnahtarB[NormB],$A56,tblTahsilat[OdemeTutari]))</f>
        <v/>
      </c>
      <c r="D56" s="24">
        <f>IF($A56="","",SUMIF(tblAnahtarA[Norm],$A56,tblDonem[ToplamBorc]))</f>
        <v/>
      </c>
      <c r="E56" s="24">
        <f>IF($A56="","",ROUND($D56,2)-ROUND($C56,2))</f>
        <v/>
      </c>
      <c r="F56" s="24">
        <f>IF($A56="","",ABS($E56))</f>
        <v/>
      </c>
      <c r="G56" s="24">
        <f>IF($A56="","",IF($B56=0,"eslesmedi",IF(ROUND($D56,2)=ROUND($C56,2),"eslesti",IF(ABS(ROUND($D56,2)-ROUND($C56,2))&lt;=toleransKurus,"tolerans_icinde","tutar_farki"))))</f>
        <v/>
      </c>
      <c r="H56" s="24">
        <f>IF($A56="","",IF($B56&gt;0,"BIRINCIL",IF(COUNTIF(tblAnahtarB[IkincilB],'ANAHTAR'!$D56)&gt;0,"IKINCIL","YOK")))</f>
        <v/>
      </c>
      <c r="I56" s="24">
        <f>IF($A56="","",'ANAHTAR'!$F56)</f>
        <v/>
      </c>
      <c r="J56" s="24">
        <f>IF(OR($A56="",$D56=0),0,$F56/ABS($D56))</f>
        <v/>
      </c>
      <c r="K56" s="24">
        <f>IF($A56="","",ROUND($D56,2))</f>
        <v/>
      </c>
      <c r="L56" s="24">
        <f>IF($A56="","",ROUND($C56,2))</f>
        <v/>
      </c>
      <c r="M56" s="24">
        <f>IF($A56="","",--($F56&lt;=toleransKurus))</f>
        <v/>
      </c>
      <c r="N56" s="24">
        <f>IF($A56="","",--($F56&gt;say_esikFark))</f>
        <v/>
      </c>
      <c r="O56" s="24">
        <f>IF($A56="","",IF(OR($G56="eslesti",$G56="tolerans_icinde"),$D56,0))</f>
        <v/>
      </c>
      <c r="P56" s="24">
        <f>IF($A56="","",$B56+$M56+$N56)</f>
        <v/>
      </c>
    </row>
    <row r="57">
      <c r="A57" s="24">
        <f>IF('ANAHTAR'!$B57="","",'ANAHTAR'!$B57)</f>
        <v/>
      </c>
      <c r="B57" s="24">
        <f>IF($A57="","",COUNTIF(tblAnahtarB[NormB],$A57))</f>
        <v/>
      </c>
      <c r="C57" s="24">
        <f>IF($A57="","",SUMIF(tblAnahtarB[NormB],$A57,tblTahsilat[OdemeTutari]))</f>
        <v/>
      </c>
      <c r="D57" s="24">
        <f>IF($A57="","",SUMIF(tblAnahtarA[Norm],$A57,tblDonem[ToplamBorc]))</f>
        <v/>
      </c>
      <c r="E57" s="24">
        <f>IF($A57="","",ROUND($D57,2)-ROUND($C57,2))</f>
        <v/>
      </c>
      <c r="F57" s="24">
        <f>IF($A57="","",ABS($E57))</f>
        <v/>
      </c>
      <c r="G57" s="24">
        <f>IF($A57="","",IF($B57=0,"eslesmedi",IF(ROUND($D57,2)=ROUND($C57,2),"eslesti",IF(ABS(ROUND($D57,2)-ROUND($C57,2))&lt;=toleransKurus,"tolerans_icinde","tutar_farki"))))</f>
        <v/>
      </c>
      <c r="H57" s="24">
        <f>IF($A57="","",IF($B57&gt;0,"BIRINCIL",IF(COUNTIF(tblAnahtarB[IkincilB],'ANAHTAR'!$D57)&gt;0,"IKINCIL","YOK")))</f>
        <v/>
      </c>
      <c r="I57" s="24">
        <f>IF($A57="","",'ANAHTAR'!$F57)</f>
        <v/>
      </c>
      <c r="J57" s="24">
        <f>IF(OR($A57="",$D57=0),0,$F57/ABS($D57))</f>
        <v/>
      </c>
      <c r="K57" s="24">
        <f>IF($A57="","",ROUND($D57,2))</f>
        <v/>
      </c>
      <c r="L57" s="24">
        <f>IF($A57="","",ROUND($C57,2))</f>
        <v/>
      </c>
      <c r="M57" s="24">
        <f>IF($A57="","",--($F57&lt;=toleransKurus))</f>
        <v/>
      </c>
      <c r="N57" s="24">
        <f>IF($A57="","",--($F57&gt;say_esikFark))</f>
        <v/>
      </c>
      <c r="O57" s="24">
        <f>IF($A57="","",IF(OR($G57="eslesti",$G57="tolerans_icinde"),$D57,0))</f>
        <v/>
      </c>
      <c r="P57" s="24">
        <f>IF($A57="","",$B57+$M57+$N57)</f>
        <v/>
      </c>
    </row>
    <row r="58">
      <c r="A58" s="24">
        <f>IF('ANAHTAR'!$B58="","",'ANAHTAR'!$B58)</f>
        <v/>
      </c>
      <c r="B58" s="24">
        <f>IF($A58="","",COUNTIF(tblAnahtarB[NormB],$A58))</f>
        <v/>
      </c>
      <c r="C58" s="24">
        <f>IF($A58="","",SUMIF(tblAnahtarB[NormB],$A58,tblTahsilat[OdemeTutari]))</f>
        <v/>
      </c>
      <c r="D58" s="24">
        <f>IF($A58="","",SUMIF(tblAnahtarA[Norm],$A58,tblDonem[ToplamBorc]))</f>
        <v/>
      </c>
      <c r="E58" s="24">
        <f>IF($A58="","",ROUND($D58,2)-ROUND($C58,2))</f>
        <v/>
      </c>
      <c r="F58" s="24">
        <f>IF($A58="","",ABS($E58))</f>
        <v/>
      </c>
      <c r="G58" s="24">
        <f>IF($A58="","",IF($B58=0,"eslesmedi",IF(ROUND($D58,2)=ROUND($C58,2),"eslesti",IF(ABS(ROUND($D58,2)-ROUND($C58,2))&lt;=toleransKurus,"tolerans_icinde","tutar_farki"))))</f>
        <v/>
      </c>
      <c r="H58" s="24">
        <f>IF($A58="","",IF($B58&gt;0,"BIRINCIL",IF(COUNTIF(tblAnahtarB[IkincilB],'ANAHTAR'!$D58)&gt;0,"IKINCIL","YOK")))</f>
        <v/>
      </c>
      <c r="I58" s="24">
        <f>IF($A58="","",'ANAHTAR'!$F58)</f>
        <v/>
      </c>
      <c r="J58" s="24">
        <f>IF(OR($A58="",$D58=0),0,$F58/ABS($D58))</f>
        <v/>
      </c>
      <c r="K58" s="24">
        <f>IF($A58="","",ROUND($D58,2))</f>
        <v/>
      </c>
      <c r="L58" s="24">
        <f>IF($A58="","",ROUND($C58,2))</f>
        <v/>
      </c>
      <c r="M58" s="24">
        <f>IF($A58="","",--($F58&lt;=toleransKurus))</f>
        <v/>
      </c>
      <c r="N58" s="24">
        <f>IF($A58="","",--($F58&gt;say_esikFark))</f>
        <v/>
      </c>
      <c r="O58" s="24">
        <f>IF($A58="","",IF(OR($G58="eslesti",$G58="tolerans_icinde"),$D58,0))</f>
        <v/>
      </c>
      <c r="P58" s="24">
        <f>IF($A58="","",$B58+$M58+$N58)</f>
        <v/>
      </c>
    </row>
    <row r="59">
      <c r="A59" s="24">
        <f>IF('ANAHTAR'!$B59="","",'ANAHTAR'!$B59)</f>
        <v/>
      </c>
      <c r="B59" s="24">
        <f>IF($A59="","",COUNTIF(tblAnahtarB[NormB],$A59))</f>
        <v/>
      </c>
      <c r="C59" s="24">
        <f>IF($A59="","",SUMIF(tblAnahtarB[NormB],$A59,tblTahsilat[OdemeTutari]))</f>
        <v/>
      </c>
      <c r="D59" s="24">
        <f>IF($A59="","",SUMIF(tblAnahtarA[Norm],$A59,tblDonem[ToplamBorc]))</f>
        <v/>
      </c>
      <c r="E59" s="24">
        <f>IF($A59="","",ROUND($D59,2)-ROUND($C59,2))</f>
        <v/>
      </c>
      <c r="F59" s="24">
        <f>IF($A59="","",ABS($E59))</f>
        <v/>
      </c>
      <c r="G59" s="24">
        <f>IF($A59="","",IF($B59=0,"eslesmedi",IF(ROUND($D59,2)=ROUND($C59,2),"eslesti",IF(ABS(ROUND($D59,2)-ROUND($C59,2))&lt;=toleransKurus,"tolerans_icinde","tutar_farki"))))</f>
        <v/>
      </c>
      <c r="H59" s="24">
        <f>IF($A59="","",IF($B59&gt;0,"BIRINCIL",IF(COUNTIF(tblAnahtarB[IkincilB],'ANAHTAR'!$D59)&gt;0,"IKINCIL","YOK")))</f>
        <v/>
      </c>
      <c r="I59" s="24">
        <f>IF($A59="","",'ANAHTAR'!$F59)</f>
        <v/>
      </c>
      <c r="J59" s="24">
        <f>IF(OR($A59="",$D59=0),0,$F59/ABS($D59))</f>
        <v/>
      </c>
      <c r="K59" s="24">
        <f>IF($A59="","",ROUND($D59,2))</f>
        <v/>
      </c>
      <c r="L59" s="24">
        <f>IF($A59="","",ROUND($C59,2))</f>
        <v/>
      </c>
      <c r="M59" s="24">
        <f>IF($A59="","",--($F59&lt;=toleransKurus))</f>
        <v/>
      </c>
      <c r="N59" s="24">
        <f>IF($A59="","",--($F59&gt;say_esikFark))</f>
        <v/>
      </c>
      <c r="O59" s="24">
        <f>IF($A59="","",IF(OR($G59="eslesti",$G59="tolerans_icinde"),$D59,0))</f>
        <v/>
      </c>
      <c r="P59" s="24">
        <f>IF($A59="","",$B59+$M59+$N59)</f>
        <v/>
      </c>
    </row>
    <row r="60">
      <c r="A60" s="24">
        <f>IF('ANAHTAR'!$B60="","",'ANAHTAR'!$B60)</f>
        <v/>
      </c>
      <c r="B60" s="24">
        <f>IF($A60="","",COUNTIF(tblAnahtarB[NormB],$A60))</f>
        <v/>
      </c>
      <c r="C60" s="24">
        <f>IF($A60="","",SUMIF(tblAnahtarB[NormB],$A60,tblTahsilat[OdemeTutari]))</f>
        <v/>
      </c>
      <c r="D60" s="24">
        <f>IF($A60="","",SUMIF(tblAnahtarA[Norm],$A60,tblDonem[ToplamBorc]))</f>
        <v/>
      </c>
      <c r="E60" s="24">
        <f>IF($A60="","",ROUND($D60,2)-ROUND($C60,2))</f>
        <v/>
      </c>
      <c r="F60" s="24">
        <f>IF($A60="","",ABS($E60))</f>
        <v/>
      </c>
      <c r="G60" s="24">
        <f>IF($A60="","",IF($B60=0,"eslesmedi",IF(ROUND($D60,2)=ROUND($C60,2),"eslesti",IF(ABS(ROUND($D60,2)-ROUND($C60,2))&lt;=toleransKurus,"tolerans_icinde","tutar_farki"))))</f>
        <v/>
      </c>
      <c r="H60" s="24">
        <f>IF($A60="","",IF($B60&gt;0,"BIRINCIL",IF(COUNTIF(tblAnahtarB[IkincilB],'ANAHTAR'!$D60)&gt;0,"IKINCIL","YOK")))</f>
        <v/>
      </c>
      <c r="I60" s="24">
        <f>IF($A60="","",'ANAHTAR'!$F60)</f>
        <v/>
      </c>
      <c r="J60" s="24">
        <f>IF(OR($A60="",$D60=0),0,$F60/ABS($D60))</f>
        <v/>
      </c>
      <c r="K60" s="24">
        <f>IF($A60="","",ROUND($D60,2))</f>
        <v/>
      </c>
      <c r="L60" s="24">
        <f>IF($A60="","",ROUND($C60,2))</f>
        <v/>
      </c>
      <c r="M60" s="24">
        <f>IF($A60="","",--($F60&lt;=toleransKurus))</f>
        <v/>
      </c>
      <c r="N60" s="24">
        <f>IF($A60="","",--($F60&gt;say_esikFark))</f>
        <v/>
      </c>
      <c r="O60" s="24">
        <f>IF($A60="","",IF(OR($G60="eslesti",$G60="tolerans_icinde"),$D60,0))</f>
        <v/>
      </c>
      <c r="P60" s="24">
        <f>IF($A60="","",$B60+$M60+$N60)</f>
        <v/>
      </c>
    </row>
    <row r="61">
      <c r="A61" s="24">
        <f>IF('ANAHTAR'!$B61="","",'ANAHTAR'!$B61)</f>
        <v/>
      </c>
      <c r="B61" s="24">
        <f>IF($A61="","",COUNTIF(tblAnahtarB[NormB],$A61))</f>
        <v/>
      </c>
      <c r="C61" s="24">
        <f>IF($A61="","",SUMIF(tblAnahtarB[NormB],$A61,tblTahsilat[OdemeTutari]))</f>
        <v/>
      </c>
      <c r="D61" s="24">
        <f>IF($A61="","",SUMIF(tblAnahtarA[Norm],$A61,tblDonem[ToplamBorc]))</f>
        <v/>
      </c>
      <c r="E61" s="24">
        <f>IF($A61="","",ROUND($D61,2)-ROUND($C61,2))</f>
        <v/>
      </c>
      <c r="F61" s="24">
        <f>IF($A61="","",ABS($E61))</f>
        <v/>
      </c>
      <c r="G61" s="24">
        <f>IF($A61="","",IF($B61=0,"eslesmedi",IF(ROUND($D61,2)=ROUND($C61,2),"eslesti",IF(ABS(ROUND($D61,2)-ROUND($C61,2))&lt;=toleransKurus,"tolerans_icinde","tutar_farki"))))</f>
        <v/>
      </c>
      <c r="H61" s="24">
        <f>IF($A61="","",IF($B61&gt;0,"BIRINCIL",IF(COUNTIF(tblAnahtarB[IkincilB],'ANAHTAR'!$D61)&gt;0,"IKINCIL","YOK")))</f>
        <v/>
      </c>
      <c r="I61" s="24">
        <f>IF($A61="","",'ANAHTAR'!$F61)</f>
        <v/>
      </c>
      <c r="J61" s="24">
        <f>IF(OR($A61="",$D61=0),0,$F61/ABS($D61))</f>
        <v/>
      </c>
      <c r="K61" s="24">
        <f>IF($A61="","",ROUND($D61,2))</f>
        <v/>
      </c>
      <c r="L61" s="24">
        <f>IF($A61="","",ROUND($C61,2))</f>
        <v/>
      </c>
      <c r="M61" s="24">
        <f>IF($A61="","",--($F61&lt;=toleransKurus))</f>
        <v/>
      </c>
      <c r="N61" s="24">
        <f>IF($A61="","",--($F61&gt;say_esikFark))</f>
        <v/>
      </c>
      <c r="O61" s="24">
        <f>IF($A61="","",IF(OR($G61="eslesti",$G61="tolerans_icinde"),$D61,0))</f>
        <v/>
      </c>
      <c r="P61" s="24">
        <f>IF($A61="","",$B61+$M61+$N61)</f>
        <v/>
      </c>
    </row>
    <row r="62">
      <c r="A62" s="24">
        <f>IF('ANAHTAR'!$B62="","",'ANAHTAR'!$B62)</f>
        <v/>
      </c>
      <c r="B62" s="24">
        <f>IF($A62="","",COUNTIF(tblAnahtarB[NormB],$A62))</f>
        <v/>
      </c>
      <c r="C62" s="24">
        <f>IF($A62="","",SUMIF(tblAnahtarB[NormB],$A62,tblTahsilat[OdemeTutari]))</f>
        <v/>
      </c>
      <c r="D62" s="24">
        <f>IF($A62="","",SUMIF(tblAnahtarA[Norm],$A62,tblDonem[ToplamBorc]))</f>
        <v/>
      </c>
      <c r="E62" s="24">
        <f>IF($A62="","",ROUND($D62,2)-ROUND($C62,2))</f>
        <v/>
      </c>
      <c r="F62" s="24">
        <f>IF($A62="","",ABS($E62))</f>
        <v/>
      </c>
      <c r="G62" s="24">
        <f>IF($A62="","",IF($B62=0,"eslesmedi",IF(ROUND($D62,2)=ROUND($C62,2),"eslesti",IF(ABS(ROUND($D62,2)-ROUND($C62,2))&lt;=toleransKurus,"tolerans_icinde","tutar_farki"))))</f>
        <v/>
      </c>
      <c r="H62" s="24">
        <f>IF($A62="","",IF($B62&gt;0,"BIRINCIL",IF(COUNTIF(tblAnahtarB[IkincilB],'ANAHTAR'!$D62)&gt;0,"IKINCIL","YOK")))</f>
        <v/>
      </c>
      <c r="I62" s="24">
        <f>IF($A62="","",'ANAHTAR'!$F62)</f>
        <v/>
      </c>
      <c r="J62" s="24">
        <f>IF(OR($A62="",$D62=0),0,$F62/ABS($D62))</f>
        <v/>
      </c>
      <c r="K62" s="24">
        <f>IF($A62="","",ROUND($D62,2))</f>
        <v/>
      </c>
      <c r="L62" s="24">
        <f>IF($A62="","",ROUND($C62,2))</f>
        <v/>
      </c>
      <c r="M62" s="24">
        <f>IF($A62="","",--($F62&lt;=toleransKurus))</f>
        <v/>
      </c>
      <c r="N62" s="24">
        <f>IF($A62="","",--($F62&gt;say_esikFark))</f>
        <v/>
      </c>
      <c r="O62" s="24">
        <f>IF($A62="","",IF(OR($G62="eslesti",$G62="tolerans_icinde"),$D62,0))</f>
        <v/>
      </c>
      <c r="P62" s="24">
        <f>IF($A62="","",$B62+$M62+$N62)</f>
        <v/>
      </c>
    </row>
    <row r="63">
      <c r="A63" s="24">
        <f>IF('ANAHTAR'!$B63="","",'ANAHTAR'!$B63)</f>
        <v/>
      </c>
      <c r="B63" s="24">
        <f>IF($A63="","",COUNTIF(tblAnahtarB[NormB],$A63))</f>
        <v/>
      </c>
      <c r="C63" s="24">
        <f>IF($A63="","",SUMIF(tblAnahtarB[NormB],$A63,tblTahsilat[OdemeTutari]))</f>
        <v/>
      </c>
      <c r="D63" s="24">
        <f>IF($A63="","",SUMIF(tblAnahtarA[Norm],$A63,tblDonem[ToplamBorc]))</f>
        <v/>
      </c>
      <c r="E63" s="24">
        <f>IF($A63="","",ROUND($D63,2)-ROUND($C63,2))</f>
        <v/>
      </c>
      <c r="F63" s="24">
        <f>IF($A63="","",ABS($E63))</f>
        <v/>
      </c>
      <c r="G63" s="24">
        <f>IF($A63="","",IF($B63=0,"eslesmedi",IF(ROUND($D63,2)=ROUND($C63,2),"eslesti",IF(ABS(ROUND($D63,2)-ROUND($C63,2))&lt;=toleransKurus,"tolerans_icinde","tutar_farki"))))</f>
        <v/>
      </c>
      <c r="H63" s="24">
        <f>IF($A63="","",IF($B63&gt;0,"BIRINCIL",IF(COUNTIF(tblAnahtarB[IkincilB],'ANAHTAR'!$D63)&gt;0,"IKINCIL","YOK")))</f>
        <v/>
      </c>
      <c r="I63" s="24">
        <f>IF($A63="","",'ANAHTAR'!$F63)</f>
        <v/>
      </c>
      <c r="J63" s="24">
        <f>IF(OR($A63="",$D63=0),0,$F63/ABS($D63))</f>
        <v/>
      </c>
      <c r="K63" s="24">
        <f>IF($A63="","",ROUND($D63,2))</f>
        <v/>
      </c>
      <c r="L63" s="24">
        <f>IF($A63="","",ROUND($C63,2))</f>
        <v/>
      </c>
      <c r="M63" s="24">
        <f>IF($A63="","",--($F63&lt;=toleransKurus))</f>
        <v/>
      </c>
      <c r="N63" s="24">
        <f>IF($A63="","",--($F63&gt;say_esikFark))</f>
        <v/>
      </c>
      <c r="O63" s="24">
        <f>IF($A63="","",IF(OR($G63="eslesti",$G63="tolerans_icinde"),$D63,0))</f>
        <v/>
      </c>
      <c r="P63" s="24">
        <f>IF($A63="","",$B63+$M63+$N63)</f>
        <v/>
      </c>
    </row>
    <row r="64">
      <c r="A64" s="24">
        <f>IF('ANAHTAR'!$B64="","",'ANAHTAR'!$B64)</f>
        <v/>
      </c>
      <c r="B64" s="24">
        <f>IF($A64="","",COUNTIF(tblAnahtarB[NormB],$A64))</f>
        <v/>
      </c>
      <c r="C64" s="24">
        <f>IF($A64="","",SUMIF(tblAnahtarB[NormB],$A64,tblTahsilat[OdemeTutari]))</f>
        <v/>
      </c>
      <c r="D64" s="24">
        <f>IF($A64="","",SUMIF(tblAnahtarA[Norm],$A64,tblDonem[ToplamBorc]))</f>
        <v/>
      </c>
      <c r="E64" s="24">
        <f>IF($A64="","",ROUND($D64,2)-ROUND($C64,2))</f>
        <v/>
      </c>
      <c r="F64" s="24">
        <f>IF($A64="","",ABS($E64))</f>
        <v/>
      </c>
      <c r="G64" s="24">
        <f>IF($A64="","",IF($B64=0,"eslesmedi",IF(ROUND($D64,2)=ROUND($C64,2),"eslesti",IF(ABS(ROUND($D64,2)-ROUND($C64,2))&lt;=toleransKurus,"tolerans_icinde","tutar_farki"))))</f>
        <v/>
      </c>
      <c r="H64" s="24">
        <f>IF($A64="","",IF($B64&gt;0,"BIRINCIL",IF(COUNTIF(tblAnahtarB[IkincilB],'ANAHTAR'!$D64)&gt;0,"IKINCIL","YOK")))</f>
        <v/>
      </c>
      <c r="I64" s="24">
        <f>IF($A64="","",'ANAHTAR'!$F64)</f>
        <v/>
      </c>
      <c r="J64" s="24">
        <f>IF(OR($A64="",$D64=0),0,$F64/ABS($D64))</f>
        <v/>
      </c>
      <c r="K64" s="24">
        <f>IF($A64="","",ROUND($D64,2))</f>
        <v/>
      </c>
      <c r="L64" s="24">
        <f>IF($A64="","",ROUND($C64,2))</f>
        <v/>
      </c>
      <c r="M64" s="24">
        <f>IF($A64="","",--($F64&lt;=toleransKurus))</f>
        <v/>
      </c>
      <c r="N64" s="24">
        <f>IF($A64="","",--($F64&gt;say_esikFark))</f>
        <v/>
      </c>
      <c r="O64" s="24">
        <f>IF($A64="","",IF(OR($G64="eslesti",$G64="tolerans_icinde"),$D64,0))</f>
        <v/>
      </c>
      <c r="P64" s="24">
        <f>IF($A64="","",$B64+$M64+$N64)</f>
        <v/>
      </c>
    </row>
    <row r="65">
      <c r="A65" s="24">
        <f>IF('ANAHTAR'!$B65="","",'ANAHTAR'!$B65)</f>
        <v/>
      </c>
      <c r="B65" s="24">
        <f>IF($A65="","",COUNTIF(tblAnahtarB[NormB],$A65))</f>
        <v/>
      </c>
      <c r="C65" s="24">
        <f>IF($A65="","",SUMIF(tblAnahtarB[NormB],$A65,tblTahsilat[OdemeTutari]))</f>
        <v/>
      </c>
      <c r="D65" s="24">
        <f>IF($A65="","",SUMIF(tblAnahtarA[Norm],$A65,tblDonem[ToplamBorc]))</f>
        <v/>
      </c>
      <c r="E65" s="24">
        <f>IF($A65="","",ROUND($D65,2)-ROUND($C65,2))</f>
        <v/>
      </c>
      <c r="F65" s="24">
        <f>IF($A65="","",ABS($E65))</f>
        <v/>
      </c>
      <c r="G65" s="24">
        <f>IF($A65="","",IF($B65=0,"eslesmedi",IF(ROUND($D65,2)=ROUND($C65,2),"eslesti",IF(ABS(ROUND($D65,2)-ROUND($C65,2))&lt;=toleransKurus,"tolerans_icinde","tutar_farki"))))</f>
        <v/>
      </c>
      <c r="H65" s="24">
        <f>IF($A65="","",IF($B65&gt;0,"BIRINCIL",IF(COUNTIF(tblAnahtarB[IkincilB],'ANAHTAR'!$D65)&gt;0,"IKINCIL","YOK")))</f>
        <v/>
      </c>
      <c r="I65" s="24">
        <f>IF($A65="","",'ANAHTAR'!$F65)</f>
        <v/>
      </c>
      <c r="J65" s="24">
        <f>IF(OR($A65="",$D65=0),0,$F65/ABS($D65))</f>
        <v/>
      </c>
      <c r="K65" s="24">
        <f>IF($A65="","",ROUND($D65,2))</f>
        <v/>
      </c>
      <c r="L65" s="24">
        <f>IF($A65="","",ROUND($C65,2))</f>
        <v/>
      </c>
      <c r="M65" s="24">
        <f>IF($A65="","",--($F65&lt;=toleransKurus))</f>
        <v/>
      </c>
      <c r="N65" s="24">
        <f>IF($A65="","",--($F65&gt;say_esikFark))</f>
        <v/>
      </c>
      <c r="O65" s="24">
        <f>IF($A65="","",IF(OR($G65="eslesti",$G65="tolerans_icinde"),$D65,0))</f>
        <v/>
      </c>
      <c r="P65" s="24">
        <f>IF($A65="","",$B65+$M65+$N65)</f>
        <v/>
      </c>
    </row>
    <row r="66">
      <c r="A66" s="24">
        <f>IF('ANAHTAR'!$B66="","",'ANAHTAR'!$B66)</f>
        <v/>
      </c>
      <c r="B66" s="24">
        <f>IF($A66="","",COUNTIF(tblAnahtarB[NormB],$A66))</f>
        <v/>
      </c>
      <c r="C66" s="24">
        <f>IF($A66="","",SUMIF(tblAnahtarB[NormB],$A66,tblTahsilat[OdemeTutari]))</f>
        <v/>
      </c>
      <c r="D66" s="24">
        <f>IF($A66="","",SUMIF(tblAnahtarA[Norm],$A66,tblDonem[ToplamBorc]))</f>
        <v/>
      </c>
      <c r="E66" s="24">
        <f>IF($A66="","",ROUND($D66,2)-ROUND($C66,2))</f>
        <v/>
      </c>
      <c r="F66" s="24">
        <f>IF($A66="","",ABS($E66))</f>
        <v/>
      </c>
      <c r="G66" s="24">
        <f>IF($A66="","",IF($B66=0,"eslesmedi",IF(ROUND($D66,2)=ROUND($C66,2),"eslesti",IF(ABS(ROUND($D66,2)-ROUND($C66,2))&lt;=toleransKurus,"tolerans_icinde","tutar_farki"))))</f>
        <v/>
      </c>
      <c r="H66" s="24">
        <f>IF($A66="","",IF($B66&gt;0,"BIRINCIL",IF(COUNTIF(tblAnahtarB[IkincilB],'ANAHTAR'!$D66)&gt;0,"IKINCIL","YOK")))</f>
        <v/>
      </c>
      <c r="I66" s="24">
        <f>IF($A66="","",'ANAHTAR'!$F66)</f>
        <v/>
      </c>
      <c r="J66" s="24">
        <f>IF(OR($A66="",$D66=0),0,$F66/ABS($D66))</f>
        <v/>
      </c>
      <c r="K66" s="24">
        <f>IF($A66="","",ROUND($D66,2))</f>
        <v/>
      </c>
      <c r="L66" s="24">
        <f>IF($A66="","",ROUND($C66,2))</f>
        <v/>
      </c>
      <c r="M66" s="24">
        <f>IF($A66="","",--($F66&lt;=toleransKurus))</f>
        <v/>
      </c>
      <c r="N66" s="24">
        <f>IF($A66="","",--($F66&gt;say_esikFark))</f>
        <v/>
      </c>
      <c r="O66" s="24">
        <f>IF($A66="","",IF(OR($G66="eslesti",$G66="tolerans_icinde"),$D66,0))</f>
        <v/>
      </c>
      <c r="P66" s="24">
        <f>IF($A66="","",$B66+$M66+$N66)</f>
        <v/>
      </c>
    </row>
    <row r="67">
      <c r="A67" s="24">
        <f>IF('ANAHTAR'!$B67="","",'ANAHTAR'!$B67)</f>
        <v/>
      </c>
      <c r="B67" s="24">
        <f>IF($A67="","",COUNTIF(tblAnahtarB[NormB],$A67))</f>
        <v/>
      </c>
      <c r="C67" s="24">
        <f>IF($A67="","",SUMIF(tblAnahtarB[NormB],$A67,tblTahsilat[OdemeTutari]))</f>
        <v/>
      </c>
      <c r="D67" s="24">
        <f>IF($A67="","",SUMIF(tblAnahtarA[Norm],$A67,tblDonem[ToplamBorc]))</f>
        <v/>
      </c>
      <c r="E67" s="24">
        <f>IF($A67="","",ROUND($D67,2)-ROUND($C67,2))</f>
        <v/>
      </c>
      <c r="F67" s="24">
        <f>IF($A67="","",ABS($E67))</f>
        <v/>
      </c>
      <c r="G67" s="24">
        <f>IF($A67="","",IF($B67=0,"eslesmedi",IF(ROUND($D67,2)=ROUND($C67,2),"eslesti",IF(ABS(ROUND($D67,2)-ROUND($C67,2))&lt;=toleransKurus,"tolerans_icinde","tutar_farki"))))</f>
        <v/>
      </c>
      <c r="H67" s="24">
        <f>IF($A67="","",IF($B67&gt;0,"BIRINCIL",IF(COUNTIF(tblAnahtarB[IkincilB],'ANAHTAR'!$D67)&gt;0,"IKINCIL","YOK")))</f>
        <v/>
      </c>
      <c r="I67" s="24">
        <f>IF($A67="","",'ANAHTAR'!$F67)</f>
        <v/>
      </c>
      <c r="J67" s="24">
        <f>IF(OR($A67="",$D67=0),0,$F67/ABS($D67))</f>
        <v/>
      </c>
      <c r="K67" s="24">
        <f>IF($A67="","",ROUND($D67,2))</f>
        <v/>
      </c>
      <c r="L67" s="24">
        <f>IF($A67="","",ROUND($C67,2))</f>
        <v/>
      </c>
      <c r="M67" s="24">
        <f>IF($A67="","",--($F67&lt;=toleransKurus))</f>
        <v/>
      </c>
      <c r="N67" s="24">
        <f>IF($A67="","",--($F67&gt;say_esikFark))</f>
        <v/>
      </c>
      <c r="O67" s="24">
        <f>IF($A67="","",IF(OR($G67="eslesti",$G67="tolerans_icinde"),$D67,0))</f>
        <v/>
      </c>
      <c r="P67" s="24">
        <f>IF($A67="","",$B67+$M67+$N67)</f>
        <v/>
      </c>
    </row>
    <row r="68">
      <c r="A68" s="24">
        <f>IF('ANAHTAR'!$B68="","",'ANAHTAR'!$B68)</f>
        <v/>
      </c>
      <c r="B68" s="24">
        <f>IF($A68="","",COUNTIF(tblAnahtarB[NormB],$A68))</f>
        <v/>
      </c>
      <c r="C68" s="24">
        <f>IF($A68="","",SUMIF(tblAnahtarB[NormB],$A68,tblTahsilat[OdemeTutari]))</f>
        <v/>
      </c>
      <c r="D68" s="24">
        <f>IF($A68="","",SUMIF(tblAnahtarA[Norm],$A68,tblDonem[ToplamBorc]))</f>
        <v/>
      </c>
      <c r="E68" s="24">
        <f>IF($A68="","",ROUND($D68,2)-ROUND($C68,2))</f>
        <v/>
      </c>
      <c r="F68" s="24">
        <f>IF($A68="","",ABS($E68))</f>
        <v/>
      </c>
      <c r="G68" s="24">
        <f>IF($A68="","",IF($B68=0,"eslesmedi",IF(ROUND($D68,2)=ROUND($C68,2),"eslesti",IF(ABS(ROUND($D68,2)-ROUND($C68,2))&lt;=toleransKurus,"tolerans_icinde","tutar_farki"))))</f>
        <v/>
      </c>
      <c r="H68" s="24">
        <f>IF($A68="","",IF($B68&gt;0,"BIRINCIL",IF(COUNTIF(tblAnahtarB[IkincilB],'ANAHTAR'!$D68)&gt;0,"IKINCIL","YOK")))</f>
        <v/>
      </c>
      <c r="I68" s="24">
        <f>IF($A68="","",'ANAHTAR'!$F68)</f>
        <v/>
      </c>
      <c r="J68" s="24">
        <f>IF(OR($A68="",$D68=0),0,$F68/ABS($D68))</f>
        <v/>
      </c>
      <c r="K68" s="24">
        <f>IF($A68="","",ROUND($D68,2))</f>
        <v/>
      </c>
      <c r="L68" s="24">
        <f>IF($A68="","",ROUND($C68,2))</f>
        <v/>
      </c>
      <c r="M68" s="24">
        <f>IF($A68="","",--($F68&lt;=toleransKurus))</f>
        <v/>
      </c>
      <c r="N68" s="24">
        <f>IF($A68="","",--($F68&gt;say_esikFark))</f>
        <v/>
      </c>
      <c r="O68" s="24">
        <f>IF($A68="","",IF(OR($G68="eslesti",$G68="tolerans_icinde"),$D68,0))</f>
        <v/>
      </c>
      <c r="P68" s="24">
        <f>IF($A68="","",$B68+$M68+$N68)</f>
        <v/>
      </c>
    </row>
    <row r="69">
      <c r="A69" s="24">
        <f>IF('ANAHTAR'!$B69="","",'ANAHTAR'!$B69)</f>
        <v/>
      </c>
      <c r="B69" s="24">
        <f>IF($A69="","",COUNTIF(tblAnahtarB[NormB],$A69))</f>
        <v/>
      </c>
      <c r="C69" s="24">
        <f>IF($A69="","",SUMIF(tblAnahtarB[NormB],$A69,tblTahsilat[OdemeTutari]))</f>
        <v/>
      </c>
      <c r="D69" s="24">
        <f>IF($A69="","",SUMIF(tblAnahtarA[Norm],$A69,tblDonem[ToplamBorc]))</f>
        <v/>
      </c>
      <c r="E69" s="24">
        <f>IF($A69="","",ROUND($D69,2)-ROUND($C69,2))</f>
        <v/>
      </c>
      <c r="F69" s="24">
        <f>IF($A69="","",ABS($E69))</f>
        <v/>
      </c>
      <c r="G69" s="24">
        <f>IF($A69="","",IF($B69=0,"eslesmedi",IF(ROUND($D69,2)=ROUND($C69,2),"eslesti",IF(ABS(ROUND($D69,2)-ROUND($C69,2))&lt;=toleransKurus,"tolerans_icinde","tutar_farki"))))</f>
        <v/>
      </c>
      <c r="H69" s="24">
        <f>IF($A69="","",IF($B69&gt;0,"BIRINCIL",IF(COUNTIF(tblAnahtarB[IkincilB],'ANAHTAR'!$D69)&gt;0,"IKINCIL","YOK")))</f>
        <v/>
      </c>
      <c r="I69" s="24">
        <f>IF($A69="","",'ANAHTAR'!$F69)</f>
        <v/>
      </c>
      <c r="J69" s="24">
        <f>IF(OR($A69="",$D69=0),0,$F69/ABS($D69))</f>
        <v/>
      </c>
      <c r="K69" s="24">
        <f>IF($A69="","",ROUND($D69,2))</f>
        <v/>
      </c>
      <c r="L69" s="24">
        <f>IF($A69="","",ROUND($C69,2))</f>
        <v/>
      </c>
      <c r="M69" s="24">
        <f>IF($A69="","",--($F69&lt;=toleransKurus))</f>
        <v/>
      </c>
      <c r="N69" s="24">
        <f>IF($A69="","",--($F69&gt;say_esikFark))</f>
        <v/>
      </c>
      <c r="O69" s="24">
        <f>IF($A69="","",IF(OR($G69="eslesti",$G69="tolerans_icinde"),$D69,0))</f>
        <v/>
      </c>
      <c r="P69" s="24">
        <f>IF($A69="","",$B69+$M69+$N69)</f>
        <v/>
      </c>
    </row>
    <row r="70">
      <c r="A70" s="24">
        <f>IF('ANAHTAR'!$B70="","",'ANAHTAR'!$B70)</f>
        <v/>
      </c>
      <c r="B70" s="24">
        <f>IF($A70="","",COUNTIF(tblAnahtarB[NormB],$A70))</f>
        <v/>
      </c>
      <c r="C70" s="24">
        <f>IF($A70="","",SUMIF(tblAnahtarB[NormB],$A70,tblTahsilat[OdemeTutari]))</f>
        <v/>
      </c>
      <c r="D70" s="24">
        <f>IF($A70="","",SUMIF(tblAnahtarA[Norm],$A70,tblDonem[ToplamBorc]))</f>
        <v/>
      </c>
      <c r="E70" s="24">
        <f>IF($A70="","",ROUND($D70,2)-ROUND($C70,2))</f>
        <v/>
      </c>
      <c r="F70" s="24">
        <f>IF($A70="","",ABS($E70))</f>
        <v/>
      </c>
      <c r="G70" s="24">
        <f>IF($A70="","",IF($B70=0,"eslesmedi",IF(ROUND($D70,2)=ROUND($C70,2),"eslesti",IF(ABS(ROUND($D70,2)-ROUND($C70,2))&lt;=toleransKurus,"tolerans_icinde","tutar_farki"))))</f>
        <v/>
      </c>
      <c r="H70" s="24">
        <f>IF($A70="","",IF($B70&gt;0,"BIRINCIL",IF(COUNTIF(tblAnahtarB[IkincilB],'ANAHTAR'!$D70)&gt;0,"IKINCIL","YOK")))</f>
        <v/>
      </c>
      <c r="I70" s="24">
        <f>IF($A70="","",'ANAHTAR'!$F70)</f>
        <v/>
      </c>
      <c r="J70" s="24">
        <f>IF(OR($A70="",$D70=0),0,$F70/ABS($D70))</f>
        <v/>
      </c>
      <c r="K70" s="24">
        <f>IF($A70="","",ROUND($D70,2))</f>
        <v/>
      </c>
      <c r="L70" s="24">
        <f>IF($A70="","",ROUND($C70,2))</f>
        <v/>
      </c>
      <c r="M70" s="24">
        <f>IF($A70="","",--($F70&lt;=toleransKurus))</f>
        <v/>
      </c>
      <c r="N70" s="24">
        <f>IF($A70="","",--($F70&gt;say_esikFark))</f>
        <v/>
      </c>
      <c r="O70" s="24">
        <f>IF($A70="","",IF(OR($G70="eslesti",$G70="tolerans_icinde"),$D70,0))</f>
        <v/>
      </c>
      <c r="P70" s="24">
        <f>IF($A70="","",$B70+$M70+$N70)</f>
        <v/>
      </c>
    </row>
    <row r="71">
      <c r="A71" s="24">
        <f>IF('ANAHTAR'!$B71="","",'ANAHTAR'!$B71)</f>
        <v/>
      </c>
      <c r="B71" s="24">
        <f>IF($A71="","",COUNTIF(tblAnahtarB[NormB],$A71))</f>
        <v/>
      </c>
      <c r="C71" s="24">
        <f>IF($A71="","",SUMIF(tblAnahtarB[NormB],$A71,tblTahsilat[OdemeTutari]))</f>
        <v/>
      </c>
      <c r="D71" s="24">
        <f>IF($A71="","",SUMIF(tblAnahtarA[Norm],$A71,tblDonem[ToplamBorc]))</f>
        <v/>
      </c>
      <c r="E71" s="24">
        <f>IF($A71="","",ROUND($D71,2)-ROUND($C71,2))</f>
        <v/>
      </c>
      <c r="F71" s="24">
        <f>IF($A71="","",ABS($E71))</f>
        <v/>
      </c>
      <c r="G71" s="24">
        <f>IF($A71="","",IF($B71=0,"eslesmedi",IF(ROUND($D71,2)=ROUND($C71,2),"eslesti",IF(ABS(ROUND($D71,2)-ROUND($C71,2))&lt;=toleransKurus,"tolerans_icinde","tutar_farki"))))</f>
        <v/>
      </c>
      <c r="H71" s="24">
        <f>IF($A71="","",IF($B71&gt;0,"BIRINCIL",IF(COUNTIF(tblAnahtarB[IkincilB],'ANAHTAR'!$D71)&gt;0,"IKINCIL","YOK")))</f>
        <v/>
      </c>
      <c r="I71" s="24">
        <f>IF($A71="","",'ANAHTAR'!$F71)</f>
        <v/>
      </c>
      <c r="J71" s="24">
        <f>IF(OR($A71="",$D71=0),0,$F71/ABS($D71))</f>
        <v/>
      </c>
      <c r="K71" s="24">
        <f>IF($A71="","",ROUND($D71,2))</f>
        <v/>
      </c>
      <c r="L71" s="24">
        <f>IF($A71="","",ROUND($C71,2))</f>
        <v/>
      </c>
      <c r="M71" s="24">
        <f>IF($A71="","",--($F71&lt;=toleransKurus))</f>
        <v/>
      </c>
      <c r="N71" s="24">
        <f>IF($A71="","",--($F71&gt;say_esikFark))</f>
        <v/>
      </c>
      <c r="O71" s="24">
        <f>IF($A71="","",IF(OR($G71="eslesti",$G71="tolerans_icinde"),$D71,0))</f>
        <v/>
      </c>
      <c r="P71" s="24">
        <f>IF($A71="","",$B71+$M71+$N71)</f>
        <v/>
      </c>
    </row>
    <row r="72">
      <c r="A72" s="24">
        <f>IF('ANAHTAR'!$B72="","",'ANAHTAR'!$B72)</f>
        <v/>
      </c>
      <c r="B72" s="24">
        <f>IF($A72="","",COUNTIF(tblAnahtarB[NormB],$A72))</f>
        <v/>
      </c>
      <c r="C72" s="24">
        <f>IF($A72="","",SUMIF(tblAnahtarB[NormB],$A72,tblTahsilat[OdemeTutari]))</f>
        <v/>
      </c>
      <c r="D72" s="24">
        <f>IF($A72="","",SUMIF(tblAnahtarA[Norm],$A72,tblDonem[ToplamBorc]))</f>
        <v/>
      </c>
      <c r="E72" s="24">
        <f>IF($A72="","",ROUND($D72,2)-ROUND($C72,2))</f>
        <v/>
      </c>
      <c r="F72" s="24">
        <f>IF($A72="","",ABS($E72))</f>
        <v/>
      </c>
      <c r="G72" s="24">
        <f>IF($A72="","",IF($B72=0,"eslesmedi",IF(ROUND($D72,2)=ROUND($C72,2),"eslesti",IF(ABS(ROUND($D72,2)-ROUND($C72,2))&lt;=toleransKurus,"tolerans_icinde","tutar_farki"))))</f>
        <v/>
      </c>
      <c r="H72" s="24">
        <f>IF($A72="","",IF($B72&gt;0,"BIRINCIL",IF(COUNTIF(tblAnahtarB[IkincilB],'ANAHTAR'!$D72)&gt;0,"IKINCIL","YOK")))</f>
        <v/>
      </c>
      <c r="I72" s="24">
        <f>IF($A72="","",'ANAHTAR'!$F72)</f>
        <v/>
      </c>
      <c r="J72" s="24">
        <f>IF(OR($A72="",$D72=0),0,$F72/ABS($D72))</f>
        <v/>
      </c>
      <c r="K72" s="24">
        <f>IF($A72="","",ROUND($D72,2))</f>
        <v/>
      </c>
      <c r="L72" s="24">
        <f>IF($A72="","",ROUND($C72,2))</f>
        <v/>
      </c>
      <c r="M72" s="24">
        <f>IF($A72="","",--($F72&lt;=toleransKurus))</f>
        <v/>
      </c>
      <c r="N72" s="24">
        <f>IF($A72="","",--($F72&gt;say_esikFark))</f>
        <v/>
      </c>
      <c r="O72" s="24">
        <f>IF($A72="","",IF(OR($G72="eslesti",$G72="tolerans_icinde"),$D72,0))</f>
        <v/>
      </c>
      <c r="P72" s="24">
        <f>IF($A72="","",$B72+$M72+$N72)</f>
        <v/>
      </c>
    </row>
    <row r="73">
      <c r="A73" s="24">
        <f>IF('ANAHTAR'!$B73="","",'ANAHTAR'!$B73)</f>
        <v/>
      </c>
      <c r="B73" s="24">
        <f>IF($A73="","",COUNTIF(tblAnahtarB[NormB],$A73))</f>
        <v/>
      </c>
      <c r="C73" s="24">
        <f>IF($A73="","",SUMIF(tblAnahtarB[NormB],$A73,tblTahsilat[OdemeTutari]))</f>
        <v/>
      </c>
      <c r="D73" s="24">
        <f>IF($A73="","",SUMIF(tblAnahtarA[Norm],$A73,tblDonem[ToplamBorc]))</f>
        <v/>
      </c>
      <c r="E73" s="24">
        <f>IF($A73="","",ROUND($D73,2)-ROUND($C73,2))</f>
        <v/>
      </c>
      <c r="F73" s="24">
        <f>IF($A73="","",ABS($E73))</f>
        <v/>
      </c>
      <c r="G73" s="24">
        <f>IF($A73="","",IF($B73=0,"eslesmedi",IF(ROUND($D73,2)=ROUND($C73,2),"eslesti",IF(ABS(ROUND($D73,2)-ROUND($C73,2))&lt;=toleransKurus,"tolerans_icinde","tutar_farki"))))</f>
        <v/>
      </c>
      <c r="H73" s="24">
        <f>IF($A73="","",IF($B73&gt;0,"BIRINCIL",IF(COUNTIF(tblAnahtarB[IkincilB],'ANAHTAR'!$D73)&gt;0,"IKINCIL","YOK")))</f>
        <v/>
      </c>
      <c r="I73" s="24">
        <f>IF($A73="","",'ANAHTAR'!$F73)</f>
        <v/>
      </c>
      <c r="J73" s="24">
        <f>IF(OR($A73="",$D73=0),0,$F73/ABS($D73))</f>
        <v/>
      </c>
      <c r="K73" s="24">
        <f>IF($A73="","",ROUND($D73,2))</f>
        <v/>
      </c>
      <c r="L73" s="24">
        <f>IF($A73="","",ROUND($C73,2))</f>
        <v/>
      </c>
      <c r="M73" s="24">
        <f>IF($A73="","",--($F73&lt;=toleransKurus))</f>
        <v/>
      </c>
      <c r="N73" s="24">
        <f>IF($A73="","",--($F73&gt;say_esikFark))</f>
        <v/>
      </c>
      <c r="O73" s="24">
        <f>IF($A73="","",IF(OR($G73="eslesti",$G73="tolerans_icinde"),$D73,0))</f>
        <v/>
      </c>
      <c r="P73" s="24">
        <f>IF($A73="","",$B73+$M73+$N73)</f>
        <v/>
      </c>
    </row>
    <row r="74">
      <c r="A74" s="24">
        <f>IF('ANAHTAR'!$B74="","",'ANAHTAR'!$B74)</f>
        <v/>
      </c>
      <c r="B74" s="24">
        <f>IF($A74="","",COUNTIF(tblAnahtarB[NormB],$A74))</f>
        <v/>
      </c>
      <c r="C74" s="24">
        <f>IF($A74="","",SUMIF(tblAnahtarB[NormB],$A74,tblTahsilat[OdemeTutari]))</f>
        <v/>
      </c>
      <c r="D74" s="24">
        <f>IF($A74="","",SUMIF(tblAnahtarA[Norm],$A74,tblDonem[ToplamBorc]))</f>
        <v/>
      </c>
      <c r="E74" s="24">
        <f>IF($A74="","",ROUND($D74,2)-ROUND($C74,2))</f>
        <v/>
      </c>
      <c r="F74" s="24">
        <f>IF($A74="","",ABS($E74))</f>
        <v/>
      </c>
      <c r="G74" s="24">
        <f>IF($A74="","",IF($B74=0,"eslesmedi",IF(ROUND($D74,2)=ROUND($C74,2),"eslesti",IF(ABS(ROUND($D74,2)-ROUND($C74,2))&lt;=toleransKurus,"tolerans_icinde","tutar_farki"))))</f>
        <v/>
      </c>
      <c r="H74" s="24">
        <f>IF($A74="","",IF($B74&gt;0,"BIRINCIL",IF(COUNTIF(tblAnahtarB[IkincilB],'ANAHTAR'!$D74)&gt;0,"IKINCIL","YOK")))</f>
        <v/>
      </c>
      <c r="I74" s="24">
        <f>IF($A74="","",'ANAHTAR'!$F74)</f>
        <v/>
      </c>
      <c r="J74" s="24">
        <f>IF(OR($A74="",$D74=0),0,$F74/ABS($D74))</f>
        <v/>
      </c>
      <c r="K74" s="24">
        <f>IF($A74="","",ROUND($D74,2))</f>
        <v/>
      </c>
      <c r="L74" s="24">
        <f>IF($A74="","",ROUND($C74,2))</f>
        <v/>
      </c>
      <c r="M74" s="24">
        <f>IF($A74="","",--($F74&lt;=toleransKurus))</f>
        <v/>
      </c>
      <c r="N74" s="24">
        <f>IF($A74="","",--($F74&gt;say_esikFark))</f>
        <v/>
      </c>
      <c r="O74" s="24">
        <f>IF($A74="","",IF(OR($G74="eslesti",$G74="tolerans_icinde"),$D74,0))</f>
        <v/>
      </c>
      <c r="P74" s="24">
        <f>IF($A74="","",$B74+$M74+$N74)</f>
        <v/>
      </c>
    </row>
    <row r="75">
      <c r="A75" s="24">
        <f>IF('ANAHTAR'!$B75="","",'ANAHTAR'!$B75)</f>
        <v/>
      </c>
      <c r="B75" s="24">
        <f>IF($A75="","",COUNTIF(tblAnahtarB[NormB],$A75))</f>
        <v/>
      </c>
      <c r="C75" s="24">
        <f>IF($A75="","",SUMIF(tblAnahtarB[NormB],$A75,tblTahsilat[OdemeTutari]))</f>
        <v/>
      </c>
      <c r="D75" s="24">
        <f>IF($A75="","",SUMIF(tblAnahtarA[Norm],$A75,tblDonem[ToplamBorc]))</f>
        <v/>
      </c>
      <c r="E75" s="24">
        <f>IF($A75="","",ROUND($D75,2)-ROUND($C75,2))</f>
        <v/>
      </c>
      <c r="F75" s="24">
        <f>IF($A75="","",ABS($E75))</f>
        <v/>
      </c>
      <c r="G75" s="24">
        <f>IF($A75="","",IF($B75=0,"eslesmedi",IF(ROUND($D75,2)=ROUND($C75,2),"eslesti",IF(ABS(ROUND($D75,2)-ROUND($C75,2))&lt;=toleransKurus,"tolerans_icinde","tutar_farki"))))</f>
        <v/>
      </c>
      <c r="H75" s="24">
        <f>IF($A75="","",IF($B75&gt;0,"BIRINCIL",IF(COUNTIF(tblAnahtarB[IkincilB],'ANAHTAR'!$D75)&gt;0,"IKINCIL","YOK")))</f>
        <v/>
      </c>
      <c r="I75" s="24">
        <f>IF($A75="","",'ANAHTAR'!$F75)</f>
        <v/>
      </c>
      <c r="J75" s="24">
        <f>IF(OR($A75="",$D75=0),0,$F75/ABS($D75))</f>
        <v/>
      </c>
      <c r="K75" s="24">
        <f>IF($A75="","",ROUND($D75,2))</f>
        <v/>
      </c>
      <c r="L75" s="24">
        <f>IF($A75="","",ROUND($C75,2))</f>
        <v/>
      </c>
      <c r="M75" s="24">
        <f>IF($A75="","",--($F75&lt;=toleransKurus))</f>
        <v/>
      </c>
      <c r="N75" s="24">
        <f>IF($A75="","",--($F75&gt;say_esikFark))</f>
        <v/>
      </c>
      <c r="O75" s="24">
        <f>IF($A75="","",IF(OR($G75="eslesti",$G75="tolerans_icinde"),$D75,0))</f>
        <v/>
      </c>
      <c r="P75" s="24">
        <f>IF($A75="","",$B75+$M75+$N75)</f>
        <v/>
      </c>
    </row>
    <row r="76">
      <c r="A76" s="24">
        <f>IF('ANAHTAR'!$B76="","",'ANAHTAR'!$B76)</f>
        <v/>
      </c>
      <c r="B76" s="24">
        <f>IF($A76="","",COUNTIF(tblAnahtarB[NormB],$A76))</f>
        <v/>
      </c>
      <c r="C76" s="24">
        <f>IF($A76="","",SUMIF(tblAnahtarB[NormB],$A76,tblTahsilat[OdemeTutari]))</f>
        <v/>
      </c>
      <c r="D76" s="24">
        <f>IF($A76="","",SUMIF(tblAnahtarA[Norm],$A76,tblDonem[ToplamBorc]))</f>
        <v/>
      </c>
      <c r="E76" s="24">
        <f>IF($A76="","",ROUND($D76,2)-ROUND($C76,2))</f>
        <v/>
      </c>
      <c r="F76" s="24">
        <f>IF($A76="","",ABS($E76))</f>
        <v/>
      </c>
      <c r="G76" s="24">
        <f>IF($A76="","",IF($B76=0,"eslesmedi",IF(ROUND($D76,2)=ROUND($C76,2),"eslesti",IF(ABS(ROUND($D76,2)-ROUND($C76,2))&lt;=toleransKurus,"tolerans_icinde","tutar_farki"))))</f>
        <v/>
      </c>
      <c r="H76" s="24">
        <f>IF($A76="","",IF($B76&gt;0,"BIRINCIL",IF(COUNTIF(tblAnahtarB[IkincilB],'ANAHTAR'!$D76)&gt;0,"IKINCIL","YOK")))</f>
        <v/>
      </c>
      <c r="I76" s="24">
        <f>IF($A76="","",'ANAHTAR'!$F76)</f>
        <v/>
      </c>
      <c r="J76" s="24">
        <f>IF(OR($A76="",$D76=0),0,$F76/ABS($D76))</f>
        <v/>
      </c>
      <c r="K76" s="24">
        <f>IF($A76="","",ROUND($D76,2))</f>
        <v/>
      </c>
      <c r="L76" s="24">
        <f>IF($A76="","",ROUND($C76,2))</f>
        <v/>
      </c>
      <c r="M76" s="24">
        <f>IF($A76="","",--($F76&lt;=toleransKurus))</f>
        <v/>
      </c>
      <c r="N76" s="24">
        <f>IF($A76="","",--($F76&gt;say_esikFark))</f>
        <v/>
      </c>
      <c r="O76" s="24">
        <f>IF($A76="","",IF(OR($G76="eslesti",$G76="tolerans_icinde"),$D76,0))</f>
        <v/>
      </c>
      <c r="P76" s="24">
        <f>IF($A76="","",$B76+$M76+$N76)</f>
        <v/>
      </c>
    </row>
    <row r="77">
      <c r="A77" s="24">
        <f>IF('ANAHTAR'!$B77="","",'ANAHTAR'!$B77)</f>
        <v/>
      </c>
      <c r="B77" s="24">
        <f>IF($A77="","",COUNTIF(tblAnahtarB[NormB],$A77))</f>
        <v/>
      </c>
      <c r="C77" s="24">
        <f>IF($A77="","",SUMIF(tblAnahtarB[NormB],$A77,tblTahsilat[OdemeTutari]))</f>
        <v/>
      </c>
      <c r="D77" s="24">
        <f>IF($A77="","",SUMIF(tblAnahtarA[Norm],$A77,tblDonem[ToplamBorc]))</f>
        <v/>
      </c>
      <c r="E77" s="24">
        <f>IF($A77="","",ROUND($D77,2)-ROUND($C77,2))</f>
        <v/>
      </c>
      <c r="F77" s="24">
        <f>IF($A77="","",ABS($E77))</f>
        <v/>
      </c>
      <c r="G77" s="24">
        <f>IF($A77="","",IF($B77=0,"eslesmedi",IF(ROUND($D77,2)=ROUND($C77,2),"eslesti",IF(ABS(ROUND($D77,2)-ROUND($C77,2))&lt;=toleransKurus,"tolerans_icinde","tutar_farki"))))</f>
        <v/>
      </c>
      <c r="H77" s="24">
        <f>IF($A77="","",IF($B77&gt;0,"BIRINCIL",IF(COUNTIF(tblAnahtarB[IkincilB],'ANAHTAR'!$D77)&gt;0,"IKINCIL","YOK")))</f>
        <v/>
      </c>
      <c r="I77" s="24">
        <f>IF($A77="","",'ANAHTAR'!$F77)</f>
        <v/>
      </c>
      <c r="J77" s="24">
        <f>IF(OR($A77="",$D77=0),0,$F77/ABS($D77))</f>
        <v/>
      </c>
      <c r="K77" s="24">
        <f>IF($A77="","",ROUND($D77,2))</f>
        <v/>
      </c>
      <c r="L77" s="24">
        <f>IF($A77="","",ROUND($C77,2))</f>
        <v/>
      </c>
      <c r="M77" s="24">
        <f>IF($A77="","",--($F77&lt;=toleransKurus))</f>
        <v/>
      </c>
      <c r="N77" s="24">
        <f>IF($A77="","",--($F77&gt;say_esikFark))</f>
        <v/>
      </c>
      <c r="O77" s="24">
        <f>IF($A77="","",IF(OR($G77="eslesti",$G77="tolerans_icinde"),$D77,0))</f>
        <v/>
      </c>
      <c r="P77" s="24">
        <f>IF($A77="","",$B77+$M77+$N77)</f>
        <v/>
      </c>
    </row>
    <row r="78">
      <c r="A78" s="24">
        <f>IF('ANAHTAR'!$B78="","",'ANAHTAR'!$B78)</f>
        <v/>
      </c>
      <c r="B78" s="24">
        <f>IF($A78="","",COUNTIF(tblAnahtarB[NormB],$A78))</f>
        <v/>
      </c>
      <c r="C78" s="24">
        <f>IF($A78="","",SUMIF(tblAnahtarB[NormB],$A78,tblTahsilat[OdemeTutari]))</f>
        <v/>
      </c>
      <c r="D78" s="24">
        <f>IF($A78="","",SUMIF(tblAnahtarA[Norm],$A78,tblDonem[ToplamBorc]))</f>
        <v/>
      </c>
      <c r="E78" s="24">
        <f>IF($A78="","",ROUND($D78,2)-ROUND($C78,2))</f>
        <v/>
      </c>
      <c r="F78" s="24">
        <f>IF($A78="","",ABS($E78))</f>
        <v/>
      </c>
      <c r="G78" s="24">
        <f>IF($A78="","",IF($B78=0,"eslesmedi",IF(ROUND($D78,2)=ROUND($C78,2),"eslesti",IF(ABS(ROUND($D78,2)-ROUND($C78,2))&lt;=toleransKurus,"tolerans_icinde","tutar_farki"))))</f>
        <v/>
      </c>
      <c r="H78" s="24">
        <f>IF($A78="","",IF($B78&gt;0,"BIRINCIL",IF(COUNTIF(tblAnahtarB[IkincilB],'ANAHTAR'!$D78)&gt;0,"IKINCIL","YOK")))</f>
        <v/>
      </c>
      <c r="I78" s="24">
        <f>IF($A78="","",'ANAHTAR'!$F78)</f>
        <v/>
      </c>
      <c r="J78" s="24">
        <f>IF(OR($A78="",$D78=0),0,$F78/ABS($D78))</f>
        <v/>
      </c>
      <c r="K78" s="24">
        <f>IF($A78="","",ROUND($D78,2))</f>
        <v/>
      </c>
      <c r="L78" s="24">
        <f>IF($A78="","",ROUND($C78,2))</f>
        <v/>
      </c>
      <c r="M78" s="24">
        <f>IF($A78="","",--($F78&lt;=toleransKurus))</f>
        <v/>
      </c>
      <c r="N78" s="24">
        <f>IF($A78="","",--($F78&gt;say_esikFark))</f>
        <v/>
      </c>
      <c r="O78" s="24">
        <f>IF($A78="","",IF(OR($G78="eslesti",$G78="tolerans_icinde"),$D78,0))</f>
        <v/>
      </c>
      <c r="P78" s="24">
        <f>IF($A78="","",$B78+$M78+$N78)</f>
        <v/>
      </c>
    </row>
    <row r="79">
      <c r="A79" s="24">
        <f>IF('ANAHTAR'!$B79="","",'ANAHTAR'!$B79)</f>
        <v/>
      </c>
      <c r="B79" s="24">
        <f>IF($A79="","",COUNTIF(tblAnahtarB[NormB],$A79))</f>
        <v/>
      </c>
      <c r="C79" s="24">
        <f>IF($A79="","",SUMIF(tblAnahtarB[NormB],$A79,tblTahsilat[OdemeTutari]))</f>
        <v/>
      </c>
      <c r="D79" s="24">
        <f>IF($A79="","",SUMIF(tblAnahtarA[Norm],$A79,tblDonem[ToplamBorc]))</f>
        <v/>
      </c>
      <c r="E79" s="24">
        <f>IF($A79="","",ROUND($D79,2)-ROUND($C79,2))</f>
        <v/>
      </c>
      <c r="F79" s="24">
        <f>IF($A79="","",ABS($E79))</f>
        <v/>
      </c>
      <c r="G79" s="24">
        <f>IF($A79="","",IF($B79=0,"eslesmedi",IF(ROUND($D79,2)=ROUND($C79,2),"eslesti",IF(ABS(ROUND($D79,2)-ROUND($C79,2))&lt;=toleransKurus,"tolerans_icinde","tutar_farki"))))</f>
        <v/>
      </c>
      <c r="H79" s="24">
        <f>IF($A79="","",IF($B79&gt;0,"BIRINCIL",IF(COUNTIF(tblAnahtarB[IkincilB],'ANAHTAR'!$D79)&gt;0,"IKINCIL","YOK")))</f>
        <v/>
      </c>
      <c r="I79" s="24">
        <f>IF($A79="","",'ANAHTAR'!$F79)</f>
        <v/>
      </c>
      <c r="J79" s="24">
        <f>IF(OR($A79="",$D79=0),0,$F79/ABS($D79))</f>
        <v/>
      </c>
      <c r="K79" s="24">
        <f>IF($A79="","",ROUND($D79,2))</f>
        <v/>
      </c>
      <c r="L79" s="24">
        <f>IF($A79="","",ROUND($C79,2))</f>
        <v/>
      </c>
      <c r="M79" s="24">
        <f>IF($A79="","",--($F79&lt;=toleransKurus))</f>
        <v/>
      </c>
      <c r="N79" s="24">
        <f>IF($A79="","",--($F79&gt;say_esikFark))</f>
        <v/>
      </c>
      <c r="O79" s="24">
        <f>IF($A79="","",IF(OR($G79="eslesti",$G79="tolerans_icinde"),$D79,0))</f>
        <v/>
      </c>
      <c r="P79" s="24">
        <f>IF($A79="","",$B79+$M79+$N79)</f>
        <v/>
      </c>
    </row>
    <row r="80">
      <c r="A80" s="24">
        <f>IF('ANAHTAR'!$B80="","",'ANAHTAR'!$B80)</f>
        <v/>
      </c>
      <c r="B80" s="24">
        <f>IF($A80="","",COUNTIF(tblAnahtarB[NormB],$A80))</f>
        <v/>
      </c>
      <c r="C80" s="24">
        <f>IF($A80="","",SUMIF(tblAnahtarB[NormB],$A80,tblTahsilat[OdemeTutari]))</f>
        <v/>
      </c>
      <c r="D80" s="24">
        <f>IF($A80="","",SUMIF(tblAnahtarA[Norm],$A80,tblDonem[ToplamBorc]))</f>
        <v/>
      </c>
      <c r="E80" s="24">
        <f>IF($A80="","",ROUND($D80,2)-ROUND($C80,2))</f>
        <v/>
      </c>
      <c r="F80" s="24">
        <f>IF($A80="","",ABS($E80))</f>
        <v/>
      </c>
      <c r="G80" s="24">
        <f>IF($A80="","",IF($B80=0,"eslesmedi",IF(ROUND($D80,2)=ROUND($C80,2),"eslesti",IF(ABS(ROUND($D80,2)-ROUND($C80,2))&lt;=toleransKurus,"tolerans_icinde","tutar_farki"))))</f>
        <v/>
      </c>
      <c r="H80" s="24">
        <f>IF($A80="","",IF($B80&gt;0,"BIRINCIL",IF(COUNTIF(tblAnahtarB[IkincilB],'ANAHTAR'!$D80)&gt;0,"IKINCIL","YOK")))</f>
        <v/>
      </c>
      <c r="I80" s="24">
        <f>IF($A80="","",'ANAHTAR'!$F80)</f>
        <v/>
      </c>
      <c r="J80" s="24">
        <f>IF(OR($A80="",$D80=0),0,$F80/ABS($D80))</f>
        <v/>
      </c>
      <c r="K80" s="24">
        <f>IF($A80="","",ROUND($D80,2))</f>
        <v/>
      </c>
      <c r="L80" s="24">
        <f>IF($A80="","",ROUND($C80,2))</f>
        <v/>
      </c>
      <c r="M80" s="24">
        <f>IF($A80="","",--($F80&lt;=toleransKurus))</f>
        <v/>
      </c>
      <c r="N80" s="24">
        <f>IF($A80="","",--($F80&gt;say_esikFark))</f>
        <v/>
      </c>
      <c r="O80" s="24">
        <f>IF($A80="","",IF(OR($G80="eslesti",$G80="tolerans_icinde"),$D80,0))</f>
        <v/>
      </c>
      <c r="P80" s="24">
        <f>IF($A80="","",$B80+$M80+$N80)</f>
        <v/>
      </c>
    </row>
    <row r="81">
      <c r="A81" s="24">
        <f>IF('ANAHTAR'!$B81="","",'ANAHTAR'!$B81)</f>
        <v/>
      </c>
      <c r="B81" s="24">
        <f>IF($A81="","",COUNTIF(tblAnahtarB[NormB],$A81))</f>
        <v/>
      </c>
      <c r="C81" s="24">
        <f>IF($A81="","",SUMIF(tblAnahtarB[NormB],$A81,tblTahsilat[OdemeTutari]))</f>
        <v/>
      </c>
      <c r="D81" s="24">
        <f>IF($A81="","",SUMIF(tblAnahtarA[Norm],$A81,tblDonem[ToplamBorc]))</f>
        <v/>
      </c>
      <c r="E81" s="24">
        <f>IF($A81="","",ROUND($D81,2)-ROUND($C81,2))</f>
        <v/>
      </c>
      <c r="F81" s="24">
        <f>IF($A81="","",ABS($E81))</f>
        <v/>
      </c>
      <c r="G81" s="24">
        <f>IF($A81="","",IF($B81=0,"eslesmedi",IF(ROUND($D81,2)=ROUND($C81,2),"eslesti",IF(ABS(ROUND($D81,2)-ROUND($C81,2))&lt;=toleransKurus,"tolerans_icinde","tutar_farki"))))</f>
        <v/>
      </c>
      <c r="H81" s="24">
        <f>IF($A81="","",IF($B81&gt;0,"BIRINCIL",IF(COUNTIF(tblAnahtarB[IkincilB],'ANAHTAR'!$D81)&gt;0,"IKINCIL","YOK")))</f>
        <v/>
      </c>
      <c r="I81" s="24">
        <f>IF($A81="","",'ANAHTAR'!$F81)</f>
        <v/>
      </c>
      <c r="J81" s="24">
        <f>IF(OR($A81="",$D81=0),0,$F81/ABS($D81))</f>
        <v/>
      </c>
      <c r="K81" s="24">
        <f>IF($A81="","",ROUND($D81,2))</f>
        <v/>
      </c>
      <c r="L81" s="24">
        <f>IF($A81="","",ROUND($C81,2))</f>
        <v/>
      </c>
      <c r="M81" s="24">
        <f>IF($A81="","",--($F81&lt;=toleransKurus))</f>
        <v/>
      </c>
      <c r="N81" s="24">
        <f>IF($A81="","",--($F81&gt;say_esikFark))</f>
        <v/>
      </c>
      <c r="O81" s="24">
        <f>IF($A81="","",IF(OR($G81="eslesti",$G81="tolerans_icinde"),$D81,0))</f>
        <v/>
      </c>
      <c r="P81" s="24">
        <f>IF($A81="","",$B81+$M81+$N81)</f>
        <v/>
      </c>
    </row>
    <row r="82">
      <c r="A82" s="24">
        <f>IF('ANAHTAR'!$B82="","",'ANAHTAR'!$B82)</f>
        <v/>
      </c>
      <c r="B82" s="24">
        <f>IF($A82="","",COUNTIF(tblAnahtarB[NormB],$A82))</f>
        <v/>
      </c>
      <c r="C82" s="24">
        <f>IF($A82="","",SUMIF(tblAnahtarB[NormB],$A82,tblTahsilat[OdemeTutari]))</f>
        <v/>
      </c>
      <c r="D82" s="24">
        <f>IF($A82="","",SUMIF(tblAnahtarA[Norm],$A82,tblDonem[ToplamBorc]))</f>
        <v/>
      </c>
      <c r="E82" s="24">
        <f>IF($A82="","",ROUND($D82,2)-ROUND($C82,2))</f>
        <v/>
      </c>
      <c r="F82" s="24">
        <f>IF($A82="","",ABS($E82))</f>
        <v/>
      </c>
      <c r="G82" s="24">
        <f>IF($A82="","",IF($B82=0,"eslesmedi",IF(ROUND($D82,2)=ROUND($C82,2),"eslesti",IF(ABS(ROUND($D82,2)-ROUND($C82,2))&lt;=toleransKurus,"tolerans_icinde","tutar_farki"))))</f>
        <v/>
      </c>
      <c r="H82" s="24">
        <f>IF($A82="","",IF($B82&gt;0,"BIRINCIL",IF(COUNTIF(tblAnahtarB[IkincilB],'ANAHTAR'!$D82)&gt;0,"IKINCIL","YOK")))</f>
        <v/>
      </c>
      <c r="I82" s="24">
        <f>IF($A82="","",'ANAHTAR'!$F82)</f>
        <v/>
      </c>
      <c r="J82" s="24">
        <f>IF(OR($A82="",$D82=0),0,$F82/ABS($D82))</f>
        <v/>
      </c>
      <c r="K82" s="24">
        <f>IF($A82="","",ROUND($D82,2))</f>
        <v/>
      </c>
      <c r="L82" s="24">
        <f>IF($A82="","",ROUND($C82,2))</f>
        <v/>
      </c>
      <c r="M82" s="24">
        <f>IF($A82="","",--($F82&lt;=toleransKurus))</f>
        <v/>
      </c>
      <c r="N82" s="24">
        <f>IF($A82="","",--($F82&gt;say_esikFark))</f>
        <v/>
      </c>
      <c r="O82" s="24">
        <f>IF($A82="","",IF(OR($G82="eslesti",$G82="tolerans_icinde"),$D82,0))</f>
        <v/>
      </c>
      <c r="P82" s="24">
        <f>IF($A82="","",$B82+$M82+$N82)</f>
        <v/>
      </c>
    </row>
    <row r="83">
      <c r="A83" s="24">
        <f>IF('ANAHTAR'!$B83="","",'ANAHTAR'!$B83)</f>
        <v/>
      </c>
      <c r="B83" s="24">
        <f>IF($A83="","",COUNTIF(tblAnahtarB[NormB],$A83))</f>
        <v/>
      </c>
      <c r="C83" s="24">
        <f>IF($A83="","",SUMIF(tblAnahtarB[NormB],$A83,tblTahsilat[OdemeTutari]))</f>
        <v/>
      </c>
      <c r="D83" s="24">
        <f>IF($A83="","",SUMIF(tblAnahtarA[Norm],$A83,tblDonem[ToplamBorc]))</f>
        <v/>
      </c>
      <c r="E83" s="24">
        <f>IF($A83="","",ROUND($D83,2)-ROUND($C83,2))</f>
        <v/>
      </c>
      <c r="F83" s="24">
        <f>IF($A83="","",ABS($E83))</f>
        <v/>
      </c>
      <c r="G83" s="24">
        <f>IF($A83="","",IF($B83=0,"eslesmedi",IF(ROUND($D83,2)=ROUND($C83,2),"eslesti",IF(ABS(ROUND($D83,2)-ROUND($C83,2))&lt;=toleransKurus,"tolerans_icinde","tutar_farki"))))</f>
        <v/>
      </c>
      <c r="H83" s="24">
        <f>IF($A83="","",IF($B83&gt;0,"BIRINCIL",IF(COUNTIF(tblAnahtarB[IkincilB],'ANAHTAR'!$D83)&gt;0,"IKINCIL","YOK")))</f>
        <v/>
      </c>
      <c r="I83" s="24">
        <f>IF($A83="","",'ANAHTAR'!$F83)</f>
        <v/>
      </c>
      <c r="J83" s="24">
        <f>IF(OR($A83="",$D83=0),0,$F83/ABS($D83))</f>
        <v/>
      </c>
      <c r="K83" s="24">
        <f>IF($A83="","",ROUND($D83,2))</f>
        <v/>
      </c>
      <c r="L83" s="24">
        <f>IF($A83="","",ROUND($C83,2))</f>
        <v/>
      </c>
      <c r="M83" s="24">
        <f>IF($A83="","",--($F83&lt;=toleransKurus))</f>
        <v/>
      </c>
      <c r="N83" s="24">
        <f>IF($A83="","",--($F83&gt;say_esikFark))</f>
        <v/>
      </c>
      <c r="O83" s="24">
        <f>IF($A83="","",IF(OR($G83="eslesti",$G83="tolerans_icinde"),$D83,0))</f>
        <v/>
      </c>
      <c r="P83" s="24">
        <f>IF($A83="","",$B83+$M83+$N83)</f>
        <v/>
      </c>
    </row>
    <row r="84">
      <c r="A84" s="24">
        <f>IF('ANAHTAR'!$B84="","",'ANAHTAR'!$B84)</f>
        <v/>
      </c>
      <c r="B84" s="24">
        <f>IF($A84="","",COUNTIF(tblAnahtarB[NormB],$A84))</f>
        <v/>
      </c>
      <c r="C84" s="24">
        <f>IF($A84="","",SUMIF(tblAnahtarB[NormB],$A84,tblTahsilat[OdemeTutari]))</f>
        <v/>
      </c>
      <c r="D84" s="24">
        <f>IF($A84="","",SUMIF(tblAnahtarA[Norm],$A84,tblDonem[ToplamBorc]))</f>
        <v/>
      </c>
      <c r="E84" s="24">
        <f>IF($A84="","",ROUND($D84,2)-ROUND($C84,2))</f>
        <v/>
      </c>
      <c r="F84" s="24">
        <f>IF($A84="","",ABS($E84))</f>
        <v/>
      </c>
      <c r="G84" s="24">
        <f>IF($A84="","",IF($B84=0,"eslesmedi",IF(ROUND($D84,2)=ROUND($C84,2),"eslesti",IF(ABS(ROUND($D84,2)-ROUND($C84,2))&lt;=toleransKurus,"tolerans_icinde","tutar_farki"))))</f>
        <v/>
      </c>
      <c r="H84" s="24">
        <f>IF($A84="","",IF($B84&gt;0,"BIRINCIL",IF(COUNTIF(tblAnahtarB[IkincilB],'ANAHTAR'!$D84)&gt;0,"IKINCIL","YOK")))</f>
        <v/>
      </c>
      <c r="I84" s="24">
        <f>IF($A84="","",'ANAHTAR'!$F84)</f>
        <v/>
      </c>
      <c r="J84" s="24">
        <f>IF(OR($A84="",$D84=0),0,$F84/ABS($D84))</f>
        <v/>
      </c>
      <c r="K84" s="24">
        <f>IF($A84="","",ROUND($D84,2))</f>
        <v/>
      </c>
      <c r="L84" s="24">
        <f>IF($A84="","",ROUND($C84,2))</f>
        <v/>
      </c>
      <c r="M84" s="24">
        <f>IF($A84="","",--($F84&lt;=toleransKurus))</f>
        <v/>
      </c>
      <c r="N84" s="24">
        <f>IF($A84="","",--($F84&gt;say_esikFark))</f>
        <v/>
      </c>
      <c r="O84" s="24">
        <f>IF($A84="","",IF(OR($G84="eslesti",$G84="tolerans_icinde"),$D84,0))</f>
        <v/>
      </c>
      <c r="P84" s="24">
        <f>IF($A84="","",$B84+$M84+$N84)</f>
        <v/>
      </c>
    </row>
    <row r="85">
      <c r="A85" s="24">
        <f>IF('ANAHTAR'!$B85="","",'ANAHTAR'!$B85)</f>
        <v/>
      </c>
      <c r="B85" s="24">
        <f>IF($A85="","",COUNTIF(tblAnahtarB[NormB],$A85))</f>
        <v/>
      </c>
      <c r="C85" s="24">
        <f>IF($A85="","",SUMIF(tblAnahtarB[NormB],$A85,tblTahsilat[OdemeTutari]))</f>
        <v/>
      </c>
      <c r="D85" s="24">
        <f>IF($A85="","",SUMIF(tblAnahtarA[Norm],$A85,tblDonem[ToplamBorc]))</f>
        <v/>
      </c>
      <c r="E85" s="24">
        <f>IF($A85="","",ROUND($D85,2)-ROUND($C85,2))</f>
        <v/>
      </c>
      <c r="F85" s="24">
        <f>IF($A85="","",ABS($E85))</f>
        <v/>
      </c>
      <c r="G85" s="24">
        <f>IF($A85="","",IF($B85=0,"eslesmedi",IF(ROUND($D85,2)=ROUND($C85,2),"eslesti",IF(ABS(ROUND($D85,2)-ROUND($C85,2))&lt;=toleransKurus,"tolerans_icinde","tutar_farki"))))</f>
        <v/>
      </c>
      <c r="H85" s="24">
        <f>IF($A85="","",IF($B85&gt;0,"BIRINCIL",IF(COUNTIF(tblAnahtarB[IkincilB],'ANAHTAR'!$D85)&gt;0,"IKINCIL","YOK")))</f>
        <v/>
      </c>
      <c r="I85" s="24">
        <f>IF($A85="","",'ANAHTAR'!$F85)</f>
        <v/>
      </c>
      <c r="J85" s="24">
        <f>IF(OR($A85="",$D85=0),0,$F85/ABS($D85))</f>
        <v/>
      </c>
      <c r="K85" s="24">
        <f>IF($A85="","",ROUND($D85,2))</f>
        <v/>
      </c>
      <c r="L85" s="24">
        <f>IF($A85="","",ROUND($C85,2))</f>
        <v/>
      </c>
      <c r="M85" s="24">
        <f>IF($A85="","",--($F85&lt;=toleransKurus))</f>
        <v/>
      </c>
      <c r="N85" s="24">
        <f>IF($A85="","",--($F85&gt;say_esikFark))</f>
        <v/>
      </c>
      <c r="O85" s="24">
        <f>IF($A85="","",IF(OR($G85="eslesti",$G85="tolerans_icinde"),$D85,0))</f>
        <v/>
      </c>
      <c r="P85" s="24">
        <f>IF($A85="","",$B85+$M85+$N85)</f>
        <v/>
      </c>
    </row>
    <row r="86">
      <c r="A86" s="24">
        <f>IF('ANAHTAR'!$B86="","",'ANAHTAR'!$B86)</f>
        <v/>
      </c>
      <c r="B86" s="24">
        <f>IF($A86="","",COUNTIF(tblAnahtarB[NormB],$A86))</f>
        <v/>
      </c>
      <c r="C86" s="24">
        <f>IF($A86="","",SUMIF(tblAnahtarB[NormB],$A86,tblTahsilat[OdemeTutari]))</f>
        <v/>
      </c>
      <c r="D86" s="24">
        <f>IF($A86="","",SUMIF(tblAnahtarA[Norm],$A86,tblDonem[ToplamBorc]))</f>
        <v/>
      </c>
      <c r="E86" s="24">
        <f>IF($A86="","",ROUND($D86,2)-ROUND($C86,2))</f>
        <v/>
      </c>
      <c r="F86" s="24">
        <f>IF($A86="","",ABS($E86))</f>
        <v/>
      </c>
      <c r="G86" s="24">
        <f>IF($A86="","",IF($B86=0,"eslesmedi",IF(ROUND($D86,2)=ROUND($C86,2),"eslesti",IF(ABS(ROUND($D86,2)-ROUND($C86,2))&lt;=toleransKurus,"tolerans_icinde","tutar_farki"))))</f>
        <v/>
      </c>
      <c r="H86" s="24">
        <f>IF($A86="","",IF($B86&gt;0,"BIRINCIL",IF(COUNTIF(tblAnahtarB[IkincilB],'ANAHTAR'!$D86)&gt;0,"IKINCIL","YOK")))</f>
        <v/>
      </c>
      <c r="I86" s="24">
        <f>IF($A86="","",'ANAHTAR'!$F86)</f>
        <v/>
      </c>
      <c r="J86" s="24">
        <f>IF(OR($A86="",$D86=0),0,$F86/ABS($D86))</f>
        <v/>
      </c>
      <c r="K86" s="24">
        <f>IF($A86="","",ROUND($D86,2))</f>
        <v/>
      </c>
      <c r="L86" s="24">
        <f>IF($A86="","",ROUND($C86,2))</f>
        <v/>
      </c>
      <c r="M86" s="24">
        <f>IF($A86="","",--($F86&lt;=toleransKurus))</f>
        <v/>
      </c>
      <c r="N86" s="24">
        <f>IF($A86="","",--($F86&gt;say_esikFark))</f>
        <v/>
      </c>
      <c r="O86" s="24">
        <f>IF($A86="","",IF(OR($G86="eslesti",$G86="tolerans_icinde"),$D86,0))</f>
        <v/>
      </c>
      <c r="P86" s="24">
        <f>IF($A86="","",$B86+$M86+$N86)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C2">
    <cfRule type="expression" priority="1" dxfId="0">
      <formula>C2="KAYIP"</formula>
    </cfRule>
    <cfRule type="expression" priority="2" dxfId="2">
      <formula>C2="BUTUN"</formula>
    </cfRule>
  </conditionalFormatting>
  <conditionalFormatting sqref="G6:G46">
    <cfRule type="expression" priority="3" dxfId="3">
      <formula>G6="tutar_farki"</formula>
    </cfRule>
    <cfRule type="expression" priority="4" dxfId="0">
      <formula>G6="eslesmedi"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6" customWidth="1" min="4" max="4"/>
    <col width="36" customWidth="1" min="5" max="5"/>
    <col width="14.5" customWidth="1" min="6" max="6"/>
    <col width="13" customWidth="1" min="7" max="7"/>
    <col width="8" customWidth="1" min="8" max="8"/>
    <col width="17.5" customWidth="1" min="9" max="9"/>
    <col width="16.5" customWidth="1" min="10" max="10"/>
    <col width="47.5" customWidth="1" min="11" max="11"/>
    <col width="13" customWidth="1" min="12" max="12"/>
  </cols>
  <sheetData>
    <row r="1" ht="32" customHeight="1">
      <c r="A1" s="175" t="inlineStr">
        <is>
          <t>KOK NEDEN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</row>
    <row r="2"/>
    <row r="3" ht="22" customHeight="1">
      <c r="A3" s="194" t="inlineStr">
        <is>
          <t>Kök neden — eşleşmeyen fark; TANIMSIZ elle incele (E04)</t>
        </is>
      </c>
    </row>
    <row r="4">
      <c r="H4" s="16" t="inlineStr">
        <is>
          <t>Sıra</t>
        </is>
      </c>
      <c r="I4" s="16" t="inlineStr">
        <is>
          <t>Neden kodu</t>
        </is>
      </c>
      <c r="J4" s="16" t="inlineStr">
        <is>
          <t>Test</t>
        </is>
      </c>
      <c r="K4" s="16" t="inlineStr">
        <is>
          <t>Açıklama</t>
        </is>
      </c>
    </row>
    <row r="5" ht="30" customHeight="1">
      <c r="A5" s="22" t="inlineStr">
        <is>
          <t>Norm</t>
        </is>
      </c>
      <c r="B5" s="22" t="inlineStr">
        <is>
          <t>Fark</t>
        </is>
      </c>
      <c r="C5" s="22" t="inlineStr">
        <is>
          <t>Kova</t>
        </is>
      </c>
      <c r="D5" s="22" t="inlineStr">
        <is>
          <t>NedenKodu</t>
        </is>
      </c>
      <c r="E5" s="22" t="inlineStr">
        <is>
          <t>Aciklama</t>
        </is>
      </c>
      <c r="F5" s="22" t="inlineStr">
        <is>
          <t>ElleIncele</t>
        </is>
      </c>
      <c r="H5" s="26" t="n">
        <v>1</v>
      </c>
      <c r="I5" s="12" t="inlineStr">
        <is>
          <t>EKSIK_ODEME</t>
        </is>
      </c>
      <c r="J5" s="12" t="inlineStr">
        <is>
          <t>fark&gt;0</t>
        </is>
      </c>
      <c r="K5" s="11" t="inlineStr">
        <is>
          <t>Borç tahsilattan büyük — eksik ödeme</t>
        </is>
      </c>
    </row>
    <row r="6">
      <c r="A6" s="24">
        <f>IFERROR(IF(INDEX(tblEslesme[A_Norm],ROW()-ROW($A$5))="","",INDEX(tblEslesme[A_Norm],ROW()-ROW($A$5))),"")</f>
        <v/>
      </c>
      <c r="B6" s="24">
        <f>IF($A6="","",IFERROR(INDEX(tblEslesme[Fark],ROW()-ROW($A$5)),0))</f>
        <v/>
      </c>
      <c r="C6" s="24">
        <f>IF($A6="","",IFERROR(INDEX(tblEslesme[Kova],ROW()-ROW($A$5)),""))</f>
        <v/>
      </c>
      <c r="D6" s="24">
        <f>IF($A6="","",IF($C6="eslesti","",IF($C6="tolerans_icinde","",IF($B6&gt;0,"EKSIK_ODEME",IF($B6&lt;0,"FAZLA_ODEME","TANIMSIZ")))))</f>
        <v/>
      </c>
      <c r="E6" s="24">
        <f>IF($D6="","",IF($D6="TANIMSIZ","Elle incele — TANIMSIZ kova",IF($D6="EKSIK_ODEME","Eksik ödeme / gecikme",IF($D6="FAZLA_ODEME","Fazla veya yanlış dönem","İncele"))))</f>
        <v/>
      </c>
      <c r="F6" s="24">
        <f>IF($D6="TANIMSIZ","EVET","HAYIR")</f>
        <v/>
      </c>
      <c r="H6" s="26" t="n">
        <v>2</v>
      </c>
      <c r="I6" s="12" t="inlineStr">
        <is>
          <t>FAZLA_ODEME</t>
        </is>
      </c>
      <c r="J6" s="12" t="inlineStr">
        <is>
          <t>fark&lt;0</t>
        </is>
      </c>
      <c r="K6" s="11" t="inlineStr">
        <is>
          <t>Tahsilat borçtan büyük — fazla/yanlış dönem</t>
        </is>
      </c>
    </row>
    <row r="7">
      <c r="A7" s="24">
        <f>IFERROR(IF(INDEX(tblEslesme[A_Norm],ROW()-ROW($A$5))="","",INDEX(tblEslesme[A_Norm],ROW()-ROW($A$5))),"")</f>
        <v/>
      </c>
      <c r="B7" s="24">
        <f>IF($A7="","",IFERROR(INDEX(tblEslesme[Fark],ROW()-ROW($A$5)),0))</f>
        <v/>
      </c>
      <c r="C7" s="24">
        <f>IF($A7="","",IFERROR(INDEX(tblEslesme[Kova],ROW()-ROW($A$5)),""))</f>
        <v/>
      </c>
      <c r="D7" s="24">
        <f>IF($A7="","",IF($C7="eslesti","",IF($C7="tolerans_icinde","",IF($B7&gt;0,"EKSIK_ODEME",IF($B7&lt;0,"FAZLA_ODEME","TANIMSIZ")))))</f>
        <v/>
      </c>
      <c r="E7" s="24">
        <f>IF($D7="","",IF($D7="TANIMSIZ","Elle incele — TANIMSIZ kova",IF($D7="EKSIK_ODEME","Eksik ödeme / gecikme",IF($D7="FAZLA_ODEME","Fazla veya yanlış dönem","İncele"))))</f>
        <v/>
      </c>
      <c r="F7" s="24">
        <f>IF($D7="TANIMSIZ","EVET","HAYIR")</f>
        <v/>
      </c>
      <c r="H7" s="26" t="n">
        <v>3</v>
      </c>
      <c r="I7" s="12" t="inlineStr">
        <is>
          <t>DONEM_UYUSMAZ</t>
        </is>
      </c>
      <c r="J7" s="12" t="inlineStr">
        <is>
          <t>ikincil=YOK</t>
        </is>
      </c>
      <c r="K7" s="11" t="inlineStr">
        <is>
          <t>Dönem anahtarı eşleşmedi</t>
        </is>
      </c>
    </row>
    <row r="8">
      <c r="A8" s="24">
        <f>IFERROR(IF(INDEX(tblEslesme[A_Norm],ROW()-ROW($A$5))="","",INDEX(tblEslesme[A_Norm],ROW()-ROW($A$5))),"")</f>
        <v/>
      </c>
      <c r="B8" s="24">
        <f>IF($A8="","",IFERROR(INDEX(tblEslesme[Fark],ROW()-ROW($A$5)),0))</f>
        <v/>
      </c>
      <c r="C8" s="24">
        <f>IF($A8="","",IFERROR(INDEX(tblEslesme[Kova],ROW()-ROW($A$5)),""))</f>
        <v/>
      </c>
      <c r="D8" s="24">
        <f>IF($A8="","",IF($C8="eslesti","",IF($C8="tolerans_icinde","",IF($B8&gt;0,"EKSIK_ODEME",IF($B8&lt;0,"FAZLA_ODEME","TANIMSIZ")))))</f>
        <v/>
      </c>
      <c r="E8" s="24">
        <f>IF($D8="","",IF($D8="TANIMSIZ","Elle incele — TANIMSIZ kova",IF($D8="EKSIK_ODEME","Eksik ödeme / gecikme",IF($D8="FAZLA_ODEME","Fazla veya yanlış dönem","İncele"))))</f>
        <v/>
      </c>
      <c r="F8" s="24">
        <f>IF($D8="TANIMSIZ","EVET","HAYIR")</f>
        <v/>
      </c>
      <c r="H8" s="26" t="n">
        <v>4</v>
      </c>
      <c r="I8" s="12" t="inlineStr">
        <is>
          <t>DUPLIKE</t>
        </is>
      </c>
      <c r="J8" s="12" t="inlineStr">
        <is>
          <t>duplike=EVET</t>
        </is>
      </c>
      <c r="K8" s="11" t="inlineStr">
        <is>
          <t>Çift kayıt şüphesi</t>
        </is>
      </c>
    </row>
    <row r="9">
      <c r="A9" s="24">
        <f>IFERROR(IF(INDEX(tblEslesme[A_Norm],ROW()-ROW($A$5))="","",INDEX(tblEslesme[A_Norm],ROW()-ROW($A$5))),"")</f>
        <v/>
      </c>
      <c r="B9" s="24">
        <f>IF($A9="","",IFERROR(INDEX(tblEslesme[Fark],ROW()-ROW($A$5)),0))</f>
        <v/>
      </c>
      <c r="C9" s="24">
        <f>IF($A9="","",IFERROR(INDEX(tblEslesme[Kova],ROW()-ROW($A$5)),""))</f>
        <v/>
      </c>
      <c r="D9" s="24">
        <f>IF($A9="","",IF($C9="eslesti","",IF($C9="tolerans_icinde","",IF($B9&gt;0,"EKSIK_ODEME",IF($B9&lt;0,"FAZLA_ODEME","TANIMSIZ")))))</f>
        <v/>
      </c>
      <c r="E9" s="24">
        <f>IF($D9="","",IF($D9="TANIMSIZ","Elle incele — TANIMSIZ kova",IF($D9="EKSIK_ODEME","Eksik ödeme / gecikme",IF($D9="FAZLA_ODEME","Fazla veya yanlış dönem","İncele"))))</f>
        <v/>
      </c>
      <c r="F9" s="24">
        <f>IF($D9="TANIMSIZ","EVET","HAYIR")</f>
        <v/>
      </c>
      <c r="H9" s="26" t="n">
        <v>5</v>
      </c>
      <c r="I9" s="12" t="inlineStr">
        <is>
          <t>TANIMSIZ</t>
        </is>
      </c>
      <c r="J9" s="12" t="inlineStr">
        <is>
          <t>TRUE</t>
        </is>
      </c>
      <c r="K9" s="11" t="inlineStr">
        <is>
          <t>Hiçbir kurala girmedi — elle incele</t>
        </is>
      </c>
    </row>
    <row r="10">
      <c r="A10" s="24">
        <f>IFERROR(IF(INDEX(tblEslesme[A_Norm],ROW()-ROW($A$5))="","",INDEX(tblEslesme[A_Norm],ROW()-ROW($A$5))),"")</f>
        <v/>
      </c>
      <c r="B10" s="24">
        <f>IF($A10="","",IFERROR(INDEX(tblEslesme[Fark],ROW()-ROW($A$5)),0))</f>
        <v/>
      </c>
      <c r="C10" s="24">
        <f>IF($A10="","",IFERROR(INDEX(tblEslesme[Kova],ROW()-ROW($A$5)),""))</f>
        <v/>
      </c>
      <c r="D10" s="24">
        <f>IF($A10="","",IF($C10="eslesti","",IF($C10="tolerans_icinde","",IF($B10&gt;0,"EKSIK_ODEME",IF($B10&lt;0,"FAZLA_ODEME","TANIMSIZ")))))</f>
        <v/>
      </c>
      <c r="E10" s="24">
        <f>IF($D10="","",IF($D10="TANIMSIZ","Elle incele — TANIMSIZ kova",IF($D10="EKSIK_ODEME","Eksik ödeme / gecikme",IF($D10="FAZLA_ODEME","Fazla veya yanlış dönem","İncele"))))</f>
        <v/>
      </c>
      <c r="F10" s="24">
        <f>IF($D10="TANIMSIZ","EVET","HAYIR")</f>
        <v/>
      </c>
    </row>
    <row r="11">
      <c r="A11" s="24">
        <f>IFERROR(IF(INDEX(tblEslesme[A_Norm],ROW()-ROW($A$5))="","",INDEX(tblEslesme[A_Norm],ROW()-ROW($A$5))),"")</f>
        <v/>
      </c>
      <c r="B11" s="24">
        <f>IF($A11="","",IFERROR(INDEX(tblEslesme[Fark],ROW()-ROW($A$5)),0))</f>
        <v/>
      </c>
      <c r="C11" s="24">
        <f>IF($A11="","",IFERROR(INDEX(tblEslesme[Kova],ROW()-ROW($A$5)),""))</f>
        <v/>
      </c>
      <c r="D11" s="24">
        <f>IF($A11="","",IF($C11="eslesti","",IF($C11="tolerans_icinde","",IF($B11&gt;0,"EKSIK_ODEME",IF($B11&lt;0,"FAZLA_ODEME","TANIMSIZ")))))</f>
        <v/>
      </c>
      <c r="E11" s="24">
        <f>IF($D11="","",IF($D11="TANIMSIZ","Elle incele — TANIMSIZ kova",IF($D11="EKSIK_ODEME","Eksik ödeme / gecikme",IF($D11="FAZLA_ODEME","Fazla veya yanlış dönem","İncele"))))</f>
        <v/>
      </c>
      <c r="F11" s="24">
        <f>IF($D11="TANIMSIZ","EVET","HAYIR")</f>
        <v/>
      </c>
    </row>
    <row r="12">
      <c r="A12" s="24">
        <f>IFERROR(IF(INDEX(tblEslesme[A_Norm],ROW()-ROW($A$5))="","",INDEX(tblEslesme[A_Norm],ROW()-ROW($A$5))),"")</f>
        <v/>
      </c>
      <c r="B12" s="24">
        <f>IF($A12="","",IFERROR(INDEX(tblEslesme[Fark],ROW()-ROW($A$5)),0))</f>
        <v/>
      </c>
      <c r="C12" s="24">
        <f>IF($A12="","",IFERROR(INDEX(tblEslesme[Kova],ROW()-ROW($A$5)),""))</f>
        <v/>
      </c>
      <c r="D12" s="24">
        <f>IF($A12="","",IF($C12="eslesti","",IF($C12="tolerans_icinde","",IF($B12&gt;0,"EKSIK_ODEME",IF($B12&lt;0,"FAZLA_ODEME","TANIMSIZ")))))</f>
        <v/>
      </c>
      <c r="E12" s="24">
        <f>IF($D12="","",IF($D12="TANIMSIZ","Elle incele — TANIMSIZ kova",IF($D12="EKSIK_ODEME","Eksik ödeme / gecikme",IF($D12="FAZLA_ODEME","Fazla veya yanlış dönem","İncele"))))</f>
        <v/>
      </c>
      <c r="F12" s="24">
        <f>IF($D12="TANIMSIZ","EVET","HAYIR")</f>
        <v/>
      </c>
    </row>
    <row r="13">
      <c r="A13" s="24">
        <f>IFERROR(IF(INDEX(tblEslesme[A_Norm],ROW()-ROW($A$5))="","",INDEX(tblEslesme[A_Norm],ROW()-ROW($A$5))),"")</f>
        <v/>
      </c>
      <c r="B13" s="24">
        <f>IF($A13="","",IFERROR(INDEX(tblEslesme[Fark],ROW()-ROW($A$5)),0))</f>
        <v/>
      </c>
      <c r="C13" s="24">
        <f>IF($A13="","",IFERROR(INDEX(tblEslesme[Kova],ROW()-ROW($A$5)),""))</f>
        <v/>
      </c>
      <c r="D13" s="24">
        <f>IF($A13="","",IF($C13="eslesti","",IF($C13="tolerans_icinde","",IF($B13&gt;0,"EKSIK_ODEME",IF($B13&lt;0,"FAZLA_ODEME","TANIMSIZ")))))</f>
        <v/>
      </c>
      <c r="E13" s="24">
        <f>IF($D13="","",IF($D13="TANIMSIZ","Elle incele — TANIMSIZ kova",IF($D13="EKSIK_ODEME","Eksik ödeme / gecikme",IF($D13="FAZLA_ODEME","Fazla veya yanlış dönem","İncele"))))</f>
        <v/>
      </c>
      <c r="F13" s="24">
        <f>IF($D13="TANIMSIZ","EVET","HAYIR")</f>
        <v/>
      </c>
    </row>
    <row r="14">
      <c r="A14" s="24">
        <f>IFERROR(IF(INDEX(tblEslesme[A_Norm],ROW()-ROW($A$5))="","",INDEX(tblEslesme[A_Norm],ROW()-ROW($A$5))),"")</f>
        <v/>
      </c>
      <c r="B14" s="24">
        <f>IF($A14="","",IFERROR(INDEX(tblEslesme[Fark],ROW()-ROW($A$5)),0))</f>
        <v/>
      </c>
      <c r="C14" s="24">
        <f>IF($A14="","",IFERROR(INDEX(tblEslesme[Kova],ROW()-ROW($A$5)),""))</f>
        <v/>
      </c>
      <c r="D14" s="24">
        <f>IF($A14="","",IF($C14="eslesti","",IF($C14="tolerans_icinde","",IF($B14&gt;0,"EKSIK_ODEME",IF($B14&lt;0,"FAZLA_ODEME","TANIMSIZ")))))</f>
        <v/>
      </c>
      <c r="E14" s="24">
        <f>IF($D14="","",IF($D14="TANIMSIZ","Elle incele — TANIMSIZ kova",IF($D14="EKSIK_ODEME","Eksik ödeme / gecikme",IF($D14="FAZLA_ODEME","Fazla veya yanlış dönem","İncele"))))</f>
        <v/>
      </c>
      <c r="F14" s="24">
        <f>IF($D14="TANIMSIZ","EVET","HAYIR")</f>
        <v/>
      </c>
    </row>
    <row r="15">
      <c r="A15" s="24">
        <f>IFERROR(IF(INDEX(tblEslesme[A_Norm],ROW()-ROW($A$5))="","",INDEX(tblEslesme[A_Norm],ROW()-ROW($A$5))),"")</f>
        <v/>
      </c>
      <c r="B15" s="24">
        <f>IF($A15="","",IFERROR(INDEX(tblEslesme[Fark],ROW()-ROW($A$5)),0))</f>
        <v/>
      </c>
      <c r="C15" s="24">
        <f>IF($A15="","",IFERROR(INDEX(tblEslesme[Kova],ROW()-ROW($A$5)),""))</f>
        <v/>
      </c>
      <c r="D15" s="24">
        <f>IF($A15="","",IF($C15="eslesti","",IF($C15="tolerans_icinde","",IF($B15&gt;0,"EKSIK_ODEME",IF($B15&lt;0,"FAZLA_ODEME","TANIMSIZ")))))</f>
        <v/>
      </c>
      <c r="E15" s="24">
        <f>IF($D15="","",IF($D15="TANIMSIZ","Elle incele — TANIMSIZ kova",IF($D15="EKSIK_ODEME","Eksik ödeme / gecikme",IF($D15="FAZLA_ODEME","Fazla veya yanlış dönem","İncele"))))</f>
        <v/>
      </c>
      <c r="F15" s="24">
        <f>IF($D15="TANIMSIZ","EVET","HAYIR")</f>
        <v/>
      </c>
    </row>
    <row r="16">
      <c r="A16" s="24">
        <f>IFERROR(IF(INDEX(tblEslesme[A_Norm],ROW()-ROW($A$5))="","",INDEX(tblEslesme[A_Norm],ROW()-ROW($A$5))),"")</f>
        <v/>
      </c>
      <c r="B16" s="24">
        <f>IF($A16="","",IFERROR(INDEX(tblEslesme[Fark],ROW()-ROW($A$5)),0))</f>
        <v/>
      </c>
      <c r="C16" s="24">
        <f>IF($A16="","",IFERROR(INDEX(tblEslesme[Kova],ROW()-ROW($A$5)),""))</f>
        <v/>
      </c>
      <c r="D16" s="24">
        <f>IF($A16="","",IF($C16="eslesti","",IF($C16="tolerans_icinde","",IF($B16&gt;0,"EKSIK_ODEME",IF($B16&lt;0,"FAZLA_ODEME","TANIMSIZ")))))</f>
        <v/>
      </c>
      <c r="E16" s="24">
        <f>IF($D16="","",IF($D16="TANIMSIZ","Elle incele — TANIMSIZ kova",IF($D16="EKSIK_ODEME","Eksik ödeme / gecikme",IF($D16="FAZLA_ODEME","Fazla veya yanlış dönem","İncele"))))</f>
        <v/>
      </c>
      <c r="F16" s="24">
        <f>IF($D16="TANIMSIZ","EVET","HAYIR")</f>
        <v/>
      </c>
    </row>
    <row r="17">
      <c r="A17" s="24">
        <f>IFERROR(IF(INDEX(tblEslesme[A_Norm],ROW()-ROW($A$5))="","",INDEX(tblEslesme[A_Norm],ROW()-ROW($A$5))),"")</f>
        <v/>
      </c>
      <c r="B17" s="24">
        <f>IF($A17="","",IFERROR(INDEX(tblEslesme[Fark],ROW()-ROW($A$5)),0))</f>
        <v/>
      </c>
      <c r="C17" s="24">
        <f>IF($A17="","",IFERROR(INDEX(tblEslesme[Kova],ROW()-ROW($A$5)),""))</f>
        <v/>
      </c>
      <c r="D17" s="24">
        <f>IF($A17="","",IF($C17="eslesti","",IF($C17="tolerans_icinde","",IF($B17&gt;0,"EKSIK_ODEME",IF($B17&lt;0,"FAZLA_ODEME","TANIMSIZ")))))</f>
        <v/>
      </c>
      <c r="E17" s="24">
        <f>IF($D17="","",IF($D17="TANIMSIZ","Elle incele — TANIMSIZ kova",IF($D17="EKSIK_ODEME","Eksik ödeme / gecikme",IF($D17="FAZLA_ODEME","Fazla veya yanlış dönem","İncele"))))</f>
        <v/>
      </c>
      <c r="F17" s="24">
        <f>IF($D17="TANIMSIZ","EVET","HAYIR")</f>
        <v/>
      </c>
    </row>
    <row r="18">
      <c r="A18" s="24">
        <f>IFERROR(IF(INDEX(tblEslesme[A_Norm],ROW()-ROW($A$5))="","",INDEX(tblEslesme[A_Norm],ROW()-ROW($A$5))),"")</f>
        <v/>
      </c>
      <c r="B18" s="24">
        <f>IF($A18="","",IFERROR(INDEX(tblEslesme[Fark],ROW()-ROW($A$5)),0))</f>
        <v/>
      </c>
      <c r="C18" s="24">
        <f>IF($A18="","",IFERROR(INDEX(tblEslesme[Kova],ROW()-ROW($A$5)),""))</f>
        <v/>
      </c>
      <c r="D18" s="24">
        <f>IF($A18="","",IF($C18="eslesti","",IF($C18="tolerans_icinde","",IF($B18&gt;0,"EKSIK_ODEME",IF($B18&lt;0,"FAZLA_ODEME","TANIMSIZ")))))</f>
        <v/>
      </c>
      <c r="E18" s="24">
        <f>IF($D18="","",IF($D18="TANIMSIZ","Elle incele — TANIMSIZ kova",IF($D18="EKSIK_ODEME","Eksik ödeme / gecikme",IF($D18="FAZLA_ODEME","Fazla veya yanlış dönem","İncele"))))</f>
        <v/>
      </c>
      <c r="F18" s="24">
        <f>IF($D18="TANIMSIZ","EVET","HAYIR")</f>
        <v/>
      </c>
    </row>
    <row r="19">
      <c r="A19" s="24">
        <f>IFERROR(IF(INDEX(tblEslesme[A_Norm],ROW()-ROW($A$5))="","",INDEX(tblEslesme[A_Norm],ROW()-ROW($A$5))),"")</f>
        <v/>
      </c>
      <c r="B19" s="24">
        <f>IF($A19="","",IFERROR(INDEX(tblEslesme[Fark],ROW()-ROW($A$5)),0))</f>
        <v/>
      </c>
      <c r="C19" s="24">
        <f>IF($A19="","",IFERROR(INDEX(tblEslesme[Kova],ROW()-ROW($A$5)),""))</f>
        <v/>
      </c>
      <c r="D19" s="24">
        <f>IF($A19="","",IF($C19="eslesti","",IF($C19="tolerans_icinde","",IF($B19&gt;0,"EKSIK_ODEME",IF($B19&lt;0,"FAZLA_ODEME","TANIMSIZ")))))</f>
        <v/>
      </c>
      <c r="E19" s="24">
        <f>IF($D19="","",IF($D19="TANIMSIZ","Elle incele — TANIMSIZ kova",IF($D19="EKSIK_ODEME","Eksik ödeme / gecikme",IF($D19="FAZLA_ODEME","Fazla veya yanlış dönem","İncele"))))</f>
        <v/>
      </c>
      <c r="F19" s="24">
        <f>IF($D19="TANIMSIZ","EVET","HAYIR")</f>
        <v/>
      </c>
    </row>
    <row r="20">
      <c r="A20" s="24">
        <f>IFERROR(IF(INDEX(tblEslesme[A_Norm],ROW()-ROW($A$5))="","",INDEX(tblEslesme[A_Norm],ROW()-ROW($A$5))),"")</f>
        <v/>
      </c>
      <c r="B20" s="24">
        <f>IF($A20="","",IFERROR(INDEX(tblEslesme[Fark],ROW()-ROW($A$5)),0))</f>
        <v/>
      </c>
      <c r="C20" s="24">
        <f>IF($A20="","",IFERROR(INDEX(tblEslesme[Kova],ROW()-ROW($A$5)),""))</f>
        <v/>
      </c>
      <c r="D20" s="24">
        <f>IF($A20="","",IF($C20="eslesti","",IF($C20="tolerans_icinde","",IF($B20&gt;0,"EKSIK_ODEME",IF($B20&lt;0,"FAZLA_ODEME","TANIMSIZ")))))</f>
        <v/>
      </c>
      <c r="E20" s="24">
        <f>IF($D20="","",IF($D20="TANIMSIZ","Elle incele — TANIMSIZ kova",IF($D20="EKSIK_ODEME","Eksik ödeme / gecikme",IF($D20="FAZLA_ODEME","Fazla veya yanlış dönem","İncele"))))</f>
        <v/>
      </c>
      <c r="F20" s="24">
        <f>IF($D20="TANIMSIZ","EVET","HAYIR")</f>
        <v/>
      </c>
    </row>
    <row r="21">
      <c r="A21" s="24">
        <f>IFERROR(IF(INDEX(tblEslesme[A_Norm],ROW()-ROW($A$5))="","",INDEX(tblEslesme[A_Norm],ROW()-ROW($A$5))),"")</f>
        <v/>
      </c>
      <c r="B21" s="24">
        <f>IF($A21="","",IFERROR(INDEX(tblEslesme[Fark],ROW()-ROW($A$5)),0))</f>
        <v/>
      </c>
      <c r="C21" s="24">
        <f>IF($A21="","",IFERROR(INDEX(tblEslesme[Kova],ROW()-ROW($A$5)),""))</f>
        <v/>
      </c>
      <c r="D21" s="24">
        <f>IF($A21="","",IF($C21="eslesti","",IF($C21="tolerans_icinde","",IF($B21&gt;0,"EKSIK_ODEME",IF($B21&lt;0,"FAZLA_ODEME","TANIMSIZ")))))</f>
        <v/>
      </c>
      <c r="E21" s="24">
        <f>IF($D21="","",IF($D21="TANIMSIZ","Elle incele — TANIMSIZ kova",IF($D21="EKSIK_ODEME","Eksik ödeme / gecikme",IF($D21="FAZLA_ODEME","Fazla veya yanlış dönem","İncele"))))</f>
        <v/>
      </c>
      <c r="F21" s="24">
        <f>IF($D21="TANIMSIZ","EVET","HAYIR")</f>
        <v/>
      </c>
    </row>
    <row r="22">
      <c r="A22" s="24">
        <f>IFERROR(IF(INDEX(tblEslesme[A_Norm],ROW()-ROW($A$5))="","",INDEX(tblEslesme[A_Norm],ROW()-ROW($A$5))),"")</f>
        <v/>
      </c>
      <c r="B22" s="24">
        <f>IF($A22="","",IFERROR(INDEX(tblEslesme[Fark],ROW()-ROW($A$5)),0))</f>
        <v/>
      </c>
      <c r="C22" s="24">
        <f>IF($A22="","",IFERROR(INDEX(tblEslesme[Kova],ROW()-ROW($A$5)),""))</f>
        <v/>
      </c>
      <c r="D22" s="24">
        <f>IF($A22="","",IF($C22="eslesti","",IF($C22="tolerans_icinde","",IF($B22&gt;0,"EKSIK_ODEME",IF($B22&lt;0,"FAZLA_ODEME","TANIMSIZ")))))</f>
        <v/>
      </c>
      <c r="E22" s="24">
        <f>IF($D22="","",IF($D22="TANIMSIZ","Elle incele — TANIMSIZ kova",IF($D22="EKSIK_ODEME","Eksik ödeme / gecikme",IF($D22="FAZLA_ODEME","Fazla veya yanlış dönem","İncele"))))</f>
        <v/>
      </c>
      <c r="F22" s="24">
        <f>IF($D22="TANIMSIZ","EVET","HAYIR")</f>
        <v/>
      </c>
    </row>
    <row r="23">
      <c r="A23" s="24">
        <f>IFERROR(IF(INDEX(tblEslesme[A_Norm],ROW()-ROW($A$5))="","",INDEX(tblEslesme[A_Norm],ROW()-ROW($A$5))),"")</f>
        <v/>
      </c>
      <c r="B23" s="24">
        <f>IF($A23="","",IFERROR(INDEX(tblEslesme[Fark],ROW()-ROW($A$5)),0))</f>
        <v/>
      </c>
      <c r="C23" s="24">
        <f>IF($A23="","",IFERROR(INDEX(tblEslesme[Kova],ROW()-ROW($A$5)),""))</f>
        <v/>
      </c>
      <c r="D23" s="24">
        <f>IF($A23="","",IF($C23="eslesti","",IF($C23="tolerans_icinde","",IF($B23&gt;0,"EKSIK_ODEME",IF($B23&lt;0,"FAZLA_ODEME","TANIMSIZ")))))</f>
        <v/>
      </c>
      <c r="E23" s="24">
        <f>IF($D23="","",IF($D23="TANIMSIZ","Elle incele — TANIMSIZ kova",IF($D23="EKSIK_ODEME","Eksik ödeme / gecikme",IF($D23="FAZLA_ODEME","Fazla veya yanlış dönem","İncele"))))</f>
        <v/>
      </c>
      <c r="F23" s="24">
        <f>IF($D23="TANIMSIZ","EVET","HAYIR")</f>
        <v/>
      </c>
    </row>
    <row r="24">
      <c r="A24" s="24">
        <f>IFERROR(IF(INDEX(tblEslesme[A_Norm],ROW()-ROW($A$5))="","",INDEX(tblEslesme[A_Norm],ROW()-ROW($A$5))),"")</f>
        <v/>
      </c>
      <c r="B24" s="24">
        <f>IF($A24="","",IFERROR(INDEX(tblEslesme[Fark],ROW()-ROW($A$5)),0))</f>
        <v/>
      </c>
      <c r="C24" s="24">
        <f>IF($A24="","",IFERROR(INDEX(tblEslesme[Kova],ROW()-ROW($A$5)),""))</f>
        <v/>
      </c>
      <c r="D24" s="24">
        <f>IF($A24="","",IF($C24="eslesti","",IF($C24="tolerans_icinde","",IF($B24&gt;0,"EKSIK_ODEME",IF($B24&lt;0,"FAZLA_ODEME","TANIMSIZ")))))</f>
        <v/>
      </c>
      <c r="E24" s="24">
        <f>IF($D24="","",IF($D24="TANIMSIZ","Elle incele — TANIMSIZ kova",IF($D24="EKSIK_ODEME","Eksik ödeme / gecikme",IF($D24="FAZLA_ODEME","Fazla veya yanlış dönem","İncele"))))</f>
        <v/>
      </c>
      <c r="F24" s="24">
        <f>IF($D24="TANIMSIZ","EVET","HAYIR")</f>
        <v/>
      </c>
    </row>
    <row r="25">
      <c r="A25" s="24">
        <f>IFERROR(IF(INDEX(tblEslesme[A_Norm],ROW()-ROW($A$5))="","",INDEX(tblEslesme[A_Norm],ROW()-ROW($A$5))),"")</f>
        <v/>
      </c>
      <c r="B25" s="24">
        <f>IF($A25="","",IFERROR(INDEX(tblEslesme[Fark],ROW()-ROW($A$5)),0))</f>
        <v/>
      </c>
      <c r="C25" s="24">
        <f>IF($A25="","",IFERROR(INDEX(tblEslesme[Kova],ROW()-ROW($A$5)),""))</f>
        <v/>
      </c>
      <c r="D25" s="24">
        <f>IF($A25="","",IF($C25="eslesti","",IF($C25="tolerans_icinde","",IF($B25&gt;0,"EKSIK_ODEME",IF($B25&lt;0,"FAZLA_ODEME","TANIMSIZ")))))</f>
        <v/>
      </c>
      <c r="E25" s="24">
        <f>IF($D25="","",IF($D25="TANIMSIZ","Elle incele — TANIMSIZ kova",IF($D25="EKSIK_ODEME","Eksik ödeme / gecikme",IF($D25="FAZLA_ODEME","Fazla veya yanlış dönem","İncele"))))</f>
        <v/>
      </c>
      <c r="F25" s="24">
        <f>IF($D25="TANIMSIZ","EVET","HAYIR")</f>
        <v/>
      </c>
    </row>
    <row r="26">
      <c r="A26" s="24">
        <f>IFERROR(IF(INDEX(tblEslesme[A_Norm],ROW()-ROW($A$5))="","",INDEX(tblEslesme[A_Norm],ROW()-ROW($A$5))),"")</f>
        <v/>
      </c>
      <c r="B26" s="24">
        <f>IF($A26="","",IFERROR(INDEX(tblEslesme[Fark],ROW()-ROW($A$5)),0))</f>
        <v/>
      </c>
      <c r="C26" s="24">
        <f>IF($A26="","",IFERROR(INDEX(tblEslesme[Kova],ROW()-ROW($A$5)),""))</f>
        <v/>
      </c>
      <c r="D26" s="24">
        <f>IF($A26="","",IF($C26="eslesti","",IF($C26="tolerans_icinde","",IF($B26&gt;0,"EKSIK_ODEME",IF($B26&lt;0,"FAZLA_ODEME","TANIMSIZ")))))</f>
        <v/>
      </c>
      <c r="E26" s="24">
        <f>IF($D26="","",IF($D26="TANIMSIZ","Elle incele — TANIMSIZ kova",IF($D26="EKSIK_ODEME","Eksik ödeme / gecikme",IF($D26="FAZLA_ODEME","Fazla veya yanlış dönem","İncele"))))</f>
        <v/>
      </c>
      <c r="F26" s="24">
        <f>IF($D26="TANIMSIZ","EVET","HAYIR")</f>
        <v/>
      </c>
    </row>
    <row r="27">
      <c r="A27" s="24">
        <f>IFERROR(IF(INDEX(tblEslesme[A_Norm],ROW()-ROW($A$5))="","",INDEX(tblEslesme[A_Norm],ROW()-ROW($A$5))),"")</f>
        <v/>
      </c>
      <c r="B27" s="24">
        <f>IF($A27="","",IFERROR(INDEX(tblEslesme[Fark],ROW()-ROW($A$5)),0))</f>
        <v/>
      </c>
      <c r="C27" s="24">
        <f>IF($A27="","",IFERROR(INDEX(tblEslesme[Kova],ROW()-ROW($A$5)),""))</f>
        <v/>
      </c>
      <c r="D27" s="24">
        <f>IF($A27="","",IF($C27="eslesti","",IF($C27="tolerans_icinde","",IF($B27&gt;0,"EKSIK_ODEME",IF($B27&lt;0,"FAZLA_ODEME","TANIMSIZ")))))</f>
        <v/>
      </c>
      <c r="E27" s="24">
        <f>IF($D27="","",IF($D27="TANIMSIZ","Elle incele — TANIMSIZ kova",IF($D27="EKSIK_ODEME","Eksik ödeme / gecikme",IF($D27="FAZLA_ODEME","Fazla veya yanlış dönem","İncele"))))</f>
        <v/>
      </c>
      <c r="F27" s="24">
        <f>IF($D27="TANIMSIZ","EVET","HAYIR")</f>
        <v/>
      </c>
    </row>
    <row r="28">
      <c r="A28" s="24">
        <f>IFERROR(IF(INDEX(tblEslesme[A_Norm],ROW()-ROW($A$5))="","",INDEX(tblEslesme[A_Norm],ROW()-ROW($A$5))),"")</f>
        <v/>
      </c>
      <c r="B28" s="24">
        <f>IF($A28="","",IFERROR(INDEX(tblEslesme[Fark],ROW()-ROW($A$5)),0))</f>
        <v/>
      </c>
      <c r="C28" s="24">
        <f>IF($A28="","",IFERROR(INDEX(tblEslesme[Kova],ROW()-ROW($A$5)),""))</f>
        <v/>
      </c>
      <c r="D28" s="24">
        <f>IF($A28="","",IF($C28="eslesti","",IF($C28="tolerans_icinde","",IF($B28&gt;0,"EKSIK_ODEME",IF($B28&lt;0,"FAZLA_ODEME","TANIMSIZ")))))</f>
        <v/>
      </c>
      <c r="E28" s="24">
        <f>IF($D28="","",IF($D28="TANIMSIZ","Elle incele — TANIMSIZ kova",IF($D28="EKSIK_ODEME","Eksik ödeme / gecikme",IF($D28="FAZLA_ODEME","Fazla veya yanlış dönem","İncele"))))</f>
        <v/>
      </c>
      <c r="F28" s="24">
        <f>IF($D28="TANIMSIZ","EVET","HAYIR")</f>
        <v/>
      </c>
    </row>
    <row r="29">
      <c r="A29" s="24">
        <f>IFERROR(IF(INDEX(tblEslesme[A_Norm],ROW()-ROW($A$5))="","",INDEX(tblEslesme[A_Norm],ROW()-ROW($A$5))),"")</f>
        <v/>
      </c>
      <c r="B29" s="24">
        <f>IF($A29="","",IFERROR(INDEX(tblEslesme[Fark],ROW()-ROW($A$5)),0))</f>
        <v/>
      </c>
      <c r="C29" s="24">
        <f>IF($A29="","",IFERROR(INDEX(tblEslesme[Kova],ROW()-ROW($A$5)),""))</f>
        <v/>
      </c>
      <c r="D29" s="24">
        <f>IF($A29="","",IF($C29="eslesti","",IF($C29="tolerans_icinde","",IF($B29&gt;0,"EKSIK_ODEME",IF($B29&lt;0,"FAZLA_ODEME","TANIMSIZ")))))</f>
        <v/>
      </c>
      <c r="E29" s="24">
        <f>IF($D29="","",IF($D29="TANIMSIZ","Elle incele — TANIMSIZ kova",IF($D29="EKSIK_ODEME","Eksik ödeme / gecikme",IF($D29="FAZLA_ODEME","Fazla veya yanlış dönem","İncele"))))</f>
        <v/>
      </c>
      <c r="F29" s="24">
        <f>IF($D29="TANIMSIZ","EVET","HAYIR")</f>
        <v/>
      </c>
    </row>
    <row r="30">
      <c r="A30" s="24">
        <f>IFERROR(IF(INDEX(tblEslesme[A_Norm],ROW()-ROW($A$5))="","",INDEX(tblEslesme[A_Norm],ROW()-ROW($A$5))),"")</f>
        <v/>
      </c>
      <c r="B30" s="24">
        <f>IF($A30="","",IFERROR(INDEX(tblEslesme[Fark],ROW()-ROW($A$5)),0))</f>
        <v/>
      </c>
      <c r="C30" s="24">
        <f>IF($A30="","",IFERROR(INDEX(tblEslesme[Kova],ROW()-ROW($A$5)),""))</f>
        <v/>
      </c>
      <c r="D30" s="24">
        <f>IF($A30="","",IF($C30="eslesti","",IF($C30="tolerans_icinde","",IF($B30&gt;0,"EKSIK_ODEME",IF($B30&lt;0,"FAZLA_ODEME","TANIMSIZ")))))</f>
        <v/>
      </c>
      <c r="E30" s="24">
        <f>IF($D30="","",IF($D30="TANIMSIZ","Elle incele — TANIMSIZ kova",IF($D30="EKSIK_ODEME","Eksik ödeme / gecikme",IF($D30="FAZLA_ODEME","Fazla veya yanlış dönem","İncele"))))</f>
        <v/>
      </c>
      <c r="F30" s="24">
        <f>IF($D30="TANIMSIZ","EVET","HAYIR")</f>
        <v/>
      </c>
    </row>
    <row r="31">
      <c r="A31" s="24">
        <f>IFERROR(IF(INDEX(tblEslesme[A_Norm],ROW()-ROW($A$5))="","",INDEX(tblEslesme[A_Norm],ROW()-ROW($A$5))),"")</f>
        <v/>
      </c>
      <c r="B31" s="24">
        <f>IF($A31="","",IFERROR(INDEX(tblEslesme[Fark],ROW()-ROW($A$5)),0))</f>
        <v/>
      </c>
      <c r="C31" s="24">
        <f>IF($A31="","",IFERROR(INDEX(tblEslesme[Kova],ROW()-ROW($A$5)),""))</f>
        <v/>
      </c>
      <c r="D31" s="24">
        <f>IF($A31="","",IF($C31="eslesti","",IF($C31="tolerans_icinde","",IF($B31&gt;0,"EKSIK_ODEME",IF($B31&lt;0,"FAZLA_ODEME","TANIMSIZ")))))</f>
        <v/>
      </c>
      <c r="E31" s="24">
        <f>IF($D31="","",IF($D31="TANIMSIZ","Elle incele — TANIMSIZ kova",IF($D31="EKSIK_ODEME","Eksik ödeme / gecikme",IF($D31="FAZLA_ODEME","Fazla veya yanlış dönem","İncele"))))</f>
        <v/>
      </c>
      <c r="F31" s="24">
        <f>IF($D31="TANIMSIZ","EVET","HAYIR")</f>
        <v/>
      </c>
    </row>
    <row r="32">
      <c r="A32" s="24">
        <f>IFERROR(IF(INDEX(tblEslesme[A_Norm],ROW()-ROW($A$5))="","",INDEX(tblEslesme[A_Norm],ROW()-ROW($A$5))),"")</f>
        <v/>
      </c>
      <c r="B32" s="24">
        <f>IF($A32="","",IFERROR(INDEX(tblEslesme[Fark],ROW()-ROW($A$5)),0))</f>
        <v/>
      </c>
      <c r="C32" s="24">
        <f>IF($A32="","",IFERROR(INDEX(tblEslesme[Kova],ROW()-ROW($A$5)),""))</f>
        <v/>
      </c>
      <c r="D32" s="24">
        <f>IF($A32="","",IF($C32="eslesti","",IF($C32="tolerans_icinde","",IF($B32&gt;0,"EKSIK_ODEME",IF($B32&lt;0,"FAZLA_ODEME","TANIMSIZ")))))</f>
        <v/>
      </c>
      <c r="E32" s="24">
        <f>IF($D32="","",IF($D32="TANIMSIZ","Elle incele — TANIMSIZ kova",IF($D32="EKSIK_ODEME","Eksik ödeme / gecikme",IF($D32="FAZLA_ODEME","Fazla veya yanlış dönem","İncele"))))</f>
        <v/>
      </c>
      <c r="F32" s="24">
        <f>IF($D32="TANIMSIZ","EVET","HAYIR")</f>
        <v/>
      </c>
    </row>
    <row r="33">
      <c r="A33" s="24">
        <f>IFERROR(IF(INDEX(tblEslesme[A_Norm],ROW()-ROW($A$5))="","",INDEX(tblEslesme[A_Norm],ROW()-ROW($A$5))),"")</f>
        <v/>
      </c>
      <c r="B33" s="24">
        <f>IF($A33="","",IFERROR(INDEX(tblEslesme[Fark],ROW()-ROW($A$5)),0))</f>
        <v/>
      </c>
      <c r="C33" s="24">
        <f>IF($A33="","",IFERROR(INDEX(tblEslesme[Kova],ROW()-ROW($A$5)),""))</f>
        <v/>
      </c>
      <c r="D33" s="24">
        <f>IF($A33="","",IF($C33="eslesti","",IF($C33="tolerans_icinde","",IF($B33&gt;0,"EKSIK_ODEME",IF($B33&lt;0,"FAZLA_ODEME","TANIMSIZ")))))</f>
        <v/>
      </c>
      <c r="E33" s="24">
        <f>IF($D33="","",IF($D33="TANIMSIZ","Elle incele — TANIMSIZ kova",IF($D33="EKSIK_ODEME","Eksik ödeme / gecikme",IF($D33="FAZLA_ODEME","Fazla veya yanlış dönem","İncele"))))</f>
        <v/>
      </c>
      <c r="F33" s="24">
        <f>IF($D33="TANIMSIZ","EVET","HAYIR")</f>
        <v/>
      </c>
    </row>
    <row r="34">
      <c r="A34" s="24">
        <f>IFERROR(IF(INDEX(tblEslesme[A_Norm],ROW()-ROW($A$5))="","",INDEX(tblEslesme[A_Norm],ROW()-ROW($A$5))),"")</f>
        <v/>
      </c>
      <c r="B34" s="24">
        <f>IF($A34="","",IFERROR(INDEX(tblEslesme[Fark],ROW()-ROW($A$5)),0))</f>
        <v/>
      </c>
      <c r="C34" s="24">
        <f>IF($A34="","",IFERROR(INDEX(tblEslesme[Kova],ROW()-ROW($A$5)),""))</f>
        <v/>
      </c>
      <c r="D34" s="24">
        <f>IF($A34="","",IF($C34="eslesti","",IF($C34="tolerans_icinde","",IF($B34&gt;0,"EKSIK_ODEME",IF($B34&lt;0,"FAZLA_ODEME","TANIMSIZ")))))</f>
        <v/>
      </c>
      <c r="E34" s="24">
        <f>IF($D34="","",IF($D34="TANIMSIZ","Elle incele — TANIMSIZ kova",IF($D34="EKSIK_ODEME","Eksik ödeme / gecikme",IF($D34="FAZLA_ODEME","Fazla veya yanlış dönem","İncele"))))</f>
        <v/>
      </c>
      <c r="F34" s="24">
        <f>IF($D34="TANIMSIZ","EVET","HAYIR")</f>
        <v/>
      </c>
    </row>
    <row r="35">
      <c r="A35" s="24">
        <f>IFERROR(IF(INDEX(tblEslesme[A_Norm],ROW()-ROW($A$5))="","",INDEX(tblEslesme[A_Norm],ROW()-ROW($A$5))),"")</f>
        <v/>
      </c>
      <c r="B35" s="24">
        <f>IF($A35="","",IFERROR(INDEX(tblEslesme[Fark],ROW()-ROW($A$5)),0))</f>
        <v/>
      </c>
      <c r="C35" s="24">
        <f>IF($A35="","",IFERROR(INDEX(tblEslesme[Kova],ROW()-ROW($A$5)),""))</f>
        <v/>
      </c>
      <c r="D35" s="24">
        <f>IF($A35="","",IF($C35="eslesti","",IF($C35="tolerans_icinde","",IF($B35&gt;0,"EKSIK_ODEME",IF($B35&lt;0,"FAZLA_ODEME","TANIMSIZ")))))</f>
        <v/>
      </c>
      <c r="E35" s="24">
        <f>IF($D35="","",IF($D35="TANIMSIZ","Elle incele — TANIMSIZ kova",IF($D35="EKSIK_ODEME","Eksik ödeme / gecikme",IF($D35="FAZLA_ODEME","Fazla veya yanlış dönem","İncele"))))</f>
        <v/>
      </c>
      <c r="F35" s="24">
        <f>IF($D35="TANIMSIZ","EVET","HAYIR")</f>
        <v/>
      </c>
    </row>
    <row r="36">
      <c r="A36" s="24">
        <f>IFERROR(IF(INDEX(tblEslesme[A_Norm],ROW()-ROW($A$5))="","",INDEX(tblEslesme[A_Norm],ROW()-ROW($A$5))),"")</f>
        <v/>
      </c>
      <c r="B36" s="24">
        <f>IF($A36="","",IFERROR(INDEX(tblEslesme[Fark],ROW()-ROW($A$5)),0))</f>
        <v/>
      </c>
      <c r="C36" s="24">
        <f>IF($A36="","",IFERROR(INDEX(tblEslesme[Kova],ROW()-ROW($A$5)),""))</f>
        <v/>
      </c>
      <c r="D36" s="24">
        <f>IF($A36="","",IF($C36="eslesti","",IF($C36="tolerans_icinde","",IF($B36&gt;0,"EKSIK_ODEME",IF($B36&lt;0,"FAZLA_ODEME","TANIMSIZ")))))</f>
        <v/>
      </c>
      <c r="E36" s="24">
        <f>IF($D36="","",IF($D36="TANIMSIZ","Elle incele — TANIMSIZ kova",IF($D36="EKSIK_ODEME","Eksik ödeme / gecikme",IF($D36="FAZLA_ODEME","Fazla veya yanlış dönem","İncele"))))</f>
        <v/>
      </c>
      <c r="F36" s="24">
        <f>IF($D36="TANIMSIZ","EVET","HAYIR")</f>
        <v/>
      </c>
    </row>
    <row r="37">
      <c r="A37" s="24">
        <f>IFERROR(IF(INDEX(tblEslesme[A_Norm],ROW()-ROW($A$5))="","",INDEX(tblEslesme[A_Norm],ROW()-ROW($A$5))),"")</f>
        <v/>
      </c>
      <c r="B37" s="24">
        <f>IF($A37="","",IFERROR(INDEX(tblEslesme[Fark],ROW()-ROW($A$5)),0))</f>
        <v/>
      </c>
      <c r="C37" s="24">
        <f>IF($A37="","",IFERROR(INDEX(tblEslesme[Kova],ROW()-ROW($A$5)),""))</f>
        <v/>
      </c>
      <c r="D37" s="24">
        <f>IF($A37="","",IF($C37="eslesti","",IF($C37="tolerans_icinde","",IF($B37&gt;0,"EKSIK_ODEME",IF($B37&lt;0,"FAZLA_ODEME","TANIMSIZ")))))</f>
        <v/>
      </c>
      <c r="E37" s="24">
        <f>IF($D37="","",IF($D37="TANIMSIZ","Elle incele — TANIMSIZ kova",IF($D37="EKSIK_ODEME","Eksik ödeme / gecikme",IF($D37="FAZLA_ODEME","Fazla veya yanlış dönem","İncele"))))</f>
        <v/>
      </c>
      <c r="F37" s="24">
        <f>IF($D37="TANIMSIZ","EVET","HAYIR")</f>
        <v/>
      </c>
    </row>
    <row r="38">
      <c r="A38" s="24">
        <f>IFERROR(IF(INDEX(tblEslesme[A_Norm],ROW()-ROW($A$5))="","",INDEX(tblEslesme[A_Norm],ROW()-ROW($A$5))),"")</f>
        <v/>
      </c>
      <c r="B38" s="24">
        <f>IF($A38="","",IFERROR(INDEX(tblEslesme[Fark],ROW()-ROW($A$5)),0))</f>
        <v/>
      </c>
      <c r="C38" s="24">
        <f>IF($A38="","",IFERROR(INDEX(tblEslesme[Kova],ROW()-ROW($A$5)),""))</f>
        <v/>
      </c>
      <c r="D38" s="24">
        <f>IF($A38="","",IF($C38="eslesti","",IF($C38="tolerans_icinde","",IF($B38&gt;0,"EKSIK_ODEME",IF($B38&lt;0,"FAZLA_ODEME","TANIMSIZ")))))</f>
        <v/>
      </c>
      <c r="E38" s="24">
        <f>IF($D38="","",IF($D38="TANIMSIZ","Elle incele — TANIMSIZ kova",IF($D38="EKSIK_ODEME","Eksik ödeme / gecikme",IF($D38="FAZLA_ODEME","Fazla veya yanlış dönem","İncele"))))</f>
        <v/>
      </c>
      <c r="F38" s="24">
        <f>IF($D38="TANIMSIZ","EVET","HAYIR")</f>
        <v/>
      </c>
    </row>
    <row r="39">
      <c r="A39" s="24">
        <f>IFERROR(IF(INDEX(tblEslesme[A_Norm],ROW()-ROW($A$5))="","",INDEX(tblEslesme[A_Norm],ROW()-ROW($A$5))),"")</f>
        <v/>
      </c>
      <c r="B39" s="24">
        <f>IF($A39="","",IFERROR(INDEX(tblEslesme[Fark],ROW()-ROW($A$5)),0))</f>
        <v/>
      </c>
      <c r="C39" s="24">
        <f>IF($A39="","",IFERROR(INDEX(tblEslesme[Kova],ROW()-ROW($A$5)),""))</f>
        <v/>
      </c>
      <c r="D39" s="24">
        <f>IF($A39="","",IF($C39="eslesti","",IF($C39="tolerans_icinde","",IF($B39&gt;0,"EKSIK_ODEME",IF($B39&lt;0,"FAZLA_ODEME","TANIMSIZ")))))</f>
        <v/>
      </c>
      <c r="E39" s="24">
        <f>IF($D39="","",IF($D39="TANIMSIZ","Elle incele — TANIMSIZ kova",IF($D39="EKSIK_ODEME","Eksik ödeme / gecikme",IF($D39="FAZLA_ODEME","Fazla veya yanlış dönem","İncele"))))</f>
        <v/>
      </c>
      <c r="F39" s="24">
        <f>IF($D39="TANIMSIZ","EVET","HAYIR")</f>
        <v/>
      </c>
    </row>
    <row r="40">
      <c r="A40" s="24">
        <f>IFERROR(IF(INDEX(tblEslesme[A_Norm],ROW()-ROW($A$5))="","",INDEX(tblEslesme[A_Norm],ROW()-ROW($A$5))),"")</f>
        <v/>
      </c>
      <c r="B40" s="24">
        <f>IF($A40="","",IFERROR(INDEX(tblEslesme[Fark],ROW()-ROW($A$5)),0))</f>
        <v/>
      </c>
      <c r="C40" s="24">
        <f>IF($A40="","",IFERROR(INDEX(tblEslesme[Kova],ROW()-ROW($A$5)),""))</f>
        <v/>
      </c>
      <c r="D40" s="24">
        <f>IF($A40="","",IF($C40="eslesti","",IF($C40="tolerans_icinde","",IF($B40&gt;0,"EKSIK_ODEME",IF($B40&lt;0,"FAZLA_ODEME","TANIMSIZ")))))</f>
        <v/>
      </c>
      <c r="E40" s="24">
        <f>IF($D40="","",IF($D40="TANIMSIZ","Elle incele — TANIMSIZ kova",IF($D40="EKSIK_ODEME","Eksik ödeme / gecikme",IF($D40="FAZLA_ODEME","Fazla veya yanlış dönem","İncele"))))</f>
        <v/>
      </c>
      <c r="F40" s="24">
        <f>IF($D40="TANIMSIZ","EVET","HAYIR")</f>
        <v/>
      </c>
    </row>
    <row r="41">
      <c r="A41" s="24">
        <f>IFERROR(IF(INDEX(tblEslesme[A_Norm],ROW()-ROW($A$5))="","",INDEX(tblEslesme[A_Norm],ROW()-ROW($A$5))),"")</f>
        <v/>
      </c>
      <c r="B41" s="24">
        <f>IF($A41="","",IFERROR(INDEX(tblEslesme[Fark],ROW()-ROW($A$5)),0))</f>
        <v/>
      </c>
      <c r="C41" s="24">
        <f>IF($A41="","",IFERROR(INDEX(tblEslesme[Kova],ROW()-ROW($A$5)),""))</f>
        <v/>
      </c>
      <c r="D41" s="24">
        <f>IF($A41="","",IF($C41="eslesti","",IF($C41="tolerans_icinde","",IF($B41&gt;0,"EKSIK_ODEME",IF($B41&lt;0,"FAZLA_ODEME","TANIMSIZ")))))</f>
        <v/>
      </c>
      <c r="E41" s="24">
        <f>IF($D41="","",IF($D41="TANIMSIZ","Elle incele — TANIMSIZ kova",IF($D41="EKSIK_ODEME","Eksik ödeme / gecikme",IF($D41="FAZLA_ODEME","Fazla veya yanlış dönem","İncele"))))</f>
        <v/>
      </c>
      <c r="F41" s="24">
        <f>IF($D41="TANIMSIZ","EVET","HAYIR")</f>
        <v/>
      </c>
    </row>
    <row r="42">
      <c r="A42" s="24">
        <f>IFERROR(IF(INDEX(tblEslesme[A_Norm],ROW()-ROW($A$5))="","",INDEX(tblEslesme[A_Norm],ROW()-ROW($A$5))),"")</f>
        <v/>
      </c>
      <c r="B42" s="24">
        <f>IF($A42="","",IFERROR(INDEX(tblEslesme[Fark],ROW()-ROW($A$5)),0))</f>
        <v/>
      </c>
      <c r="C42" s="24">
        <f>IF($A42="","",IFERROR(INDEX(tblEslesme[Kova],ROW()-ROW($A$5)),""))</f>
        <v/>
      </c>
      <c r="D42" s="24">
        <f>IF($A42="","",IF($C42="eslesti","",IF($C42="tolerans_icinde","",IF($B42&gt;0,"EKSIK_ODEME",IF($B42&lt;0,"FAZLA_ODEME","TANIMSIZ")))))</f>
        <v/>
      </c>
      <c r="E42" s="24">
        <f>IF($D42="","",IF($D42="TANIMSIZ","Elle incele — TANIMSIZ kova",IF($D42="EKSIK_ODEME","Eksik ödeme / gecikme",IF($D42="FAZLA_ODEME","Fazla veya yanlış dönem","İncele"))))</f>
        <v/>
      </c>
      <c r="F42" s="24">
        <f>IF($D42="TANIMSIZ","EVET","HAYIR")</f>
        <v/>
      </c>
    </row>
    <row r="43">
      <c r="A43" s="24">
        <f>IFERROR(IF(INDEX(tblEslesme[A_Norm],ROW()-ROW($A$5))="","",INDEX(tblEslesme[A_Norm],ROW()-ROW($A$5))),"")</f>
        <v/>
      </c>
      <c r="B43" s="24">
        <f>IF($A43="","",IFERROR(INDEX(tblEslesme[Fark],ROW()-ROW($A$5)),0))</f>
        <v/>
      </c>
      <c r="C43" s="24">
        <f>IF($A43="","",IFERROR(INDEX(tblEslesme[Kova],ROW()-ROW($A$5)),""))</f>
        <v/>
      </c>
      <c r="D43" s="24">
        <f>IF($A43="","",IF($C43="eslesti","",IF($C43="tolerans_icinde","",IF($B43&gt;0,"EKSIK_ODEME",IF($B43&lt;0,"FAZLA_ODEME","TANIMSIZ")))))</f>
        <v/>
      </c>
      <c r="E43" s="24">
        <f>IF($D43="","",IF($D43="TANIMSIZ","Elle incele — TANIMSIZ kova",IF($D43="EKSIK_ODEME","Eksik ödeme / gecikme",IF($D43="FAZLA_ODEME","Fazla veya yanlış dönem","İncele"))))</f>
        <v/>
      </c>
      <c r="F43" s="24">
        <f>IF($D43="TANIMSIZ","EVET","HAYIR")</f>
        <v/>
      </c>
    </row>
    <row r="44">
      <c r="A44" s="24">
        <f>IFERROR(IF(INDEX(tblEslesme[A_Norm],ROW()-ROW($A$5))="","",INDEX(tblEslesme[A_Norm],ROW()-ROW($A$5))),"")</f>
        <v/>
      </c>
      <c r="B44" s="24">
        <f>IF($A44="","",IFERROR(INDEX(tblEslesme[Fark],ROW()-ROW($A$5)),0))</f>
        <v/>
      </c>
      <c r="C44" s="24">
        <f>IF($A44="","",IFERROR(INDEX(tblEslesme[Kova],ROW()-ROW($A$5)),""))</f>
        <v/>
      </c>
      <c r="D44" s="24">
        <f>IF($A44="","",IF($C44="eslesti","",IF($C44="tolerans_icinde","",IF($B44&gt;0,"EKSIK_ODEME",IF($B44&lt;0,"FAZLA_ODEME","TANIMSIZ")))))</f>
        <v/>
      </c>
      <c r="E44" s="24">
        <f>IF($D44="","",IF($D44="TANIMSIZ","Elle incele — TANIMSIZ kova",IF($D44="EKSIK_ODEME","Eksik ödeme / gecikme",IF($D44="FAZLA_ODEME","Fazla veya yanlış dönem","İncele"))))</f>
        <v/>
      </c>
      <c r="F44" s="24">
        <f>IF($D44="TANIMSIZ","EVET","HAYIR")</f>
        <v/>
      </c>
    </row>
    <row r="45">
      <c r="A45" s="24">
        <f>IFERROR(IF(INDEX(tblEslesme[A_Norm],ROW()-ROW($A$5))="","",INDEX(tblEslesme[A_Norm],ROW()-ROW($A$5))),"")</f>
        <v/>
      </c>
      <c r="B45" s="24">
        <f>IF($A45="","",IFERROR(INDEX(tblEslesme[Fark],ROW()-ROW($A$5)),0))</f>
        <v/>
      </c>
      <c r="C45" s="24">
        <f>IF($A45="","",IFERROR(INDEX(tblEslesme[Kova],ROW()-ROW($A$5)),""))</f>
        <v/>
      </c>
      <c r="D45" s="24">
        <f>IF($A45="","",IF($C45="eslesti","",IF($C45="tolerans_icinde","",IF($B45&gt;0,"EKSIK_ODEME",IF($B45&lt;0,"FAZLA_ODEME","TANIMSIZ")))))</f>
        <v/>
      </c>
      <c r="E45" s="24">
        <f>IF($D45="","",IF($D45="TANIMSIZ","Elle incele — TANIMSIZ kova",IF($D45="EKSIK_ODEME","Eksik ödeme / gecikme",IF($D45="FAZLA_ODEME","Fazla veya yanlış dönem","İncele"))))</f>
        <v/>
      </c>
      <c r="F45" s="24">
        <f>IF($D45="TANIMSIZ","EVET","HAYIR")</f>
        <v/>
      </c>
    </row>
    <row r="46">
      <c r="A46" s="24">
        <f>IFERROR(IF(INDEX(tblEslesme[A_Norm],ROW()-ROW($A$5))="","",INDEX(tblEslesme[A_Norm],ROW()-ROW($A$5))),"")</f>
        <v/>
      </c>
      <c r="B46" s="24">
        <f>IF($A46="","",IFERROR(INDEX(tblEslesme[Fark],ROW()-ROW($A$5)),0))</f>
        <v/>
      </c>
      <c r="C46" s="24">
        <f>IF($A46="","",IFERROR(INDEX(tblEslesme[Kova],ROW()-ROW($A$5)),""))</f>
        <v/>
      </c>
      <c r="D46" s="24">
        <f>IF($A46="","",IF($C46="eslesti","",IF($C46="tolerans_icinde","",IF($B46&gt;0,"EKSIK_ODEME",IF($B46&lt;0,"FAZLA_ODEME","TANIMSIZ")))))</f>
        <v/>
      </c>
      <c r="E46" s="24">
        <f>IF($D46="","",IF($D46="TANIMSIZ","Elle incele — TANIMSIZ kova",IF($D46="EKSIK_ODEME","Eksik ödeme / gecikme",IF($D46="FAZLA_ODEME","Fazla veya yanlış dönem","İncele"))))</f>
        <v/>
      </c>
      <c r="F46" s="24">
        <f>IF($D46="TANIMSIZ","EVET","HAYIR")</f>
        <v/>
      </c>
    </row>
    <row r="47">
      <c r="A47" s="24">
        <f>IFERROR(IF(INDEX(tblEslesme[A_Norm],ROW()-ROW($A$5))="","",INDEX(tblEslesme[A_Norm],ROW()-ROW($A$5))),"")</f>
        <v/>
      </c>
      <c r="B47" s="24">
        <f>IF($A47="","",IFERROR(INDEX(tblEslesme[Fark],ROW()-ROW($A$5)),0))</f>
        <v/>
      </c>
      <c r="C47" s="24">
        <f>IF($A47="","",IFERROR(INDEX(tblEslesme[Kova],ROW()-ROW($A$5)),""))</f>
        <v/>
      </c>
      <c r="D47" s="24">
        <f>IF($A47="","",IF($C47="eslesti","",IF($C47="tolerans_icinde","",IF($B47&gt;0,"EKSIK_ODEME",IF($B47&lt;0,"FAZLA_ODEME","TANIMSIZ")))))</f>
        <v/>
      </c>
      <c r="E47" s="24">
        <f>IF($D47="","",IF($D47="TANIMSIZ","Elle incele — TANIMSIZ kova",IF($D47="EKSIK_ODEME","Eksik ödeme / gecikme",IF($D47="FAZLA_ODEME","Fazla veya yanlış dönem","İncele"))))</f>
        <v/>
      </c>
      <c r="F47" s="24">
        <f>IF($D47="TANIMSIZ","EVET","HAYIR")</f>
        <v/>
      </c>
    </row>
    <row r="48">
      <c r="A48" s="24">
        <f>IFERROR(IF(INDEX(tblEslesme[A_Norm],ROW()-ROW($A$5))="","",INDEX(tblEslesme[A_Norm],ROW()-ROW($A$5))),"")</f>
        <v/>
      </c>
      <c r="B48" s="24">
        <f>IF($A48="","",IFERROR(INDEX(tblEslesme[Fark],ROW()-ROW($A$5)),0))</f>
        <v/>
      </c>
      <c r="C48" s="24">
        <f>IF($A48="","",IFERROR(INDEX(tblEslesme[Kova],ROW()-ROW($A$5)),""))</f>
        <v/>
      </c>
      <c r="D48" s="24">
        <f>IF($A48="","",IF($C48="eslesti","",IF($C48="tolerans_icinde","",IF($B48&gt;0,"EKSIK_ODEME",IF($B48&lt;0,"FAZLA_ODEME","TANIMSIZ")))))</f>
        <v/>
      </c>
      <c r="E48" s="24">
        <f>IF($D48="","",IF($D48="TANIMSIZ","Elle incele — TANIMSIZ kova",IF($D48="EKSIK_ODEME","Eksik ödeme / gecikme",IF($D48="FAZLA_ODEME","Fazla veya yanlış dönem","İncele"))))</f>
        <v/>
      </c>
      <c r="F48" s="24">
        <f>IF($D48="TANIMSIZ","EVET","HAYIR")</f>
        <v/>
      </c>
    </row>
    <row r="49">
      <c r="A49" s="24">
        <f>IFERROR(IF(INDEX(tblEslesme[A_Norm],ROW()-ROW($A$5))="","",INDEX(tblEslesme[A_Norm],ROW()-ROW($A$5))),"")</f>
        <v/>
      </c>
      <c r="B49" s="24">
        <f>IF($A49="","",IFERROR(INDEX(tblEslesme[Fark],ROW()-ROW($A$5)),0))</f>
        <v/>
      </c>
      <c r="C49" s="24">
        <f>IF($A49="","",IFERROR(INDEX(tblEslesme[Kova],ROW()-ROW($A$5)),""))</f>
        <v/>
      </c>
      <c r="D49" s="24">
        <f>IF($A49="","",IF($C49="eslesti","",IF($C49="tolerans_icinde","",IF($B49&gt;0,"EKSIK_ODEME",IF($B49&lt;0,"FAZLA_ODEME","TANIMSIZ")))))</f>
        <v/>
      </c>
      <c r="E49" s="24">
        <f>IF($D49="","",IF($D49="TANIMSIZ","Elle incele — TANIMSIZ kova",IF($D49="EKSIK_ODEME","Eksik ödeme / gecikme",IF($D49="FAZLA_ODEME","Fazla veya yanlış dönem","İncele"))))</f>
        <v/>
      </c>
      <c r="F49" s="24">
        <f>IF($D49="TANIMSIZ","EVET","HAYIR")</f>
        <v/>
      </c>
    </row>
    <row r="50">
      <c r="A50" s="24">
        <f>IFERROR(IF(INDEX(tblEslesme[A_Norm],ROW()-ROW($A$5))="","",INDEX(tblEslesme[A_Norm],ROW()-ROW($A$5))),"")</f>
        <v/>
      </c>
      <c r="B50" s="24">
        <f>IF($A50="","",IFERROR(INDEX(tblEslesme[Fark],ROW()-ROW($A$5)),0))</f>
        <v/>
      </c>
      <c r="C50" s="24">
        <f>IF($A50="","",IFERROR(INDEX(tblEslesme[Kova],ROW()-ROW($A$5)),""))</f>
        <v/>
      </c>
      <c r="D50" s="24">
        <f>IF($A50="","",IF($C50="eslesti","",IF($C50="tolerans_icinde","",IF($B50&gt;0,"EKSIK_ODEME",IF($B50&lt;0,"FAZLA_ODEME","TANIMSIZ")))))</f>
        <v/>
      </c>
      <c r="E50" s="24">
        <f>IF($D50="","",IF($D50="TANIMSIZ","Elle incele — TANIMSIZ kova",IF($D50="EKSIK_ODEME","Eksik ödeme / gecikme",IF($D50="FAZLA_ODEME","Fazla veya yanlış dönem","İncele"))))</f>
        <v/>
      </c>
      <c r="F50" s="24">
        <f>IF($D50="TANIMSIZ","EVET","HAYIR")</f>
        <v/>
      </c>
    </row>
    <row r="51">
      <c r="A51" s="24">
        <f>IFERROR(IF(INDEX(tblEslesme[A_Norm],ROW()-ROW($A$5))="","",INDEX(tblEslesme[A_Norm],ROW()-ROW($A$5))),"")</f>
        <v/>
      </c>
      <c r="B51" s="24">
        <f>IF($A51="","",IFERROR(INDEX(tblEslesme[Fark],ROW()-ROW($A$5)),0))</f>
        <v/>
      </c>
      <c r="C51" s="24">
        <f>IF($A51="","",IFERROR(INDEX(tblEslesme[Kova],ROW()-ROW($A$5)),""))</f>
        <v/>
      </c>
      <c r="D51" s="24">
        <f>IF($A51="","",IF($C51="eslesti","",IF($C51="tolerans_icinde","",IF($B51&gt;0,"EKSIK_ODEME",IF($B51&lt;0,"FAZLA_ODEME","TANIMSIZ")))))</f>
        <v/>
      </c>
      <c r="E51" s="24">
        <f>IF($D51="","",IF($D51="TANIMSIZ","Elle incele — TANIMSIZ kova",IF($D51="EKSIK_ODEME","Eksik ödeme / gecikme",IF($D51="FAZLA_ODEME","Fazla veya yanlış dönem","İncele"))))</f>
        <v/>
      </c>
      <c r="F51" s="24">
        <f>IF($D51="TANIMSIZ","EVET","HAYIR")</f>
        <v/>
      </c>
    </row>
    <row r="52">
      <c r="A52" s="24">
        <f>IFERROR(IF(INDEX(tblEslesme[A_Norm],ROW()-ROW($A$5))="","",INDEX(tblEslesme[A_Norm],ROW()-ROW($A$5))),"")</f>
        <v/>
      </c>
      <c r="B52" s="24">
        <f>IF($A52="","",IFERROR(INDEX(tblEslesme[Fark],ROW()-ROW($A$5)),0))</f>
        <v/>
      </c>
      <c r="C52" s="24">
        <f>IF($A52="","",IFERROR(INDEX(tblEslesme[Kova],ROW()-ROW($A$5)),""))</f>
        <v/>
      </c>
      <c r="D52" s="24">
        <f>IF($A52="","",IF($C52="eslesti","",IF($C52="tolerans_icinde","",IF($B52&gt;0,"EKSIK_ODEME",IF($B52&lt;0,"FAZLA_ODEME","TANIMSIZ")))))</f>
        <v/>
      </c>
      <c r="E52" s="24">
        <f>IF($D52="","",IF($D52="TANIMSIZ","Elle incele — TANIMSIZ kova",IF($D52="EKSIK_ODEME","Eksik ödeme / gecikme",IF($D52="FAZLA_ODEME","Fazla veya yanlış dönem","İncele"))))</f>
        <v/>
      </c>
      <c r="F52" s="24">
        <f>IF($D52="TANIMSIZ","EVET","HAYIR")</f>
        <v/>
      </c>
    </row>
    <row r="53">
      <c r="A53" s="24">
        <f>IFERROR(IF(INDEX(tblEslesme[A_Norm],ROW()-ROW($A$5))="","",INDEX(tblEslesme[A_Norm],ROW()-ROW($A$5))),"")</f>
        <v/>
      </c>
      <c r="B53" s="24">
        <f>IF($A53="","",IFERROR(INDEX(tblEslesme[Fark],ROW()-ROW($A$5)),0))</f>
        <v/>
      </c>
      <c r="C53" s="24">
        <f>IF($A53="","",IFERROR(INDEX(tblEslesme[Kova],ROW()-ROW($A$5)),""))</f>
        <v/>
      </c>
      <c r="D53" s="24">
        <f>IF($A53="","",IF($C53="eslesti","",IF($C53="tolerans_icinde","",IF($B53&gt;0,"EKSIK_ODEME",IF($B53&lt;0,"FAZLA_ODEME","TANIMSIZ")))))</f>
        <v/>
      </c>
      <c r="E53" s="24">
        <f>IF($D53="","",IF($D53="TANIMSIZ","Elle incele — TANIMSIZ kova",IF($D53="EKSIK_ODEME","Eksik ödeme / gecikme",IF($D53="FAZLA_ODEME","Fazla veya yanlış dönem","İncele"))))</f>
        <v/>
      </c>
      <c r="F53" s="24">
        <f>IF($D53="TANIMSIZ","EVET","HAYIR")</f>
        <v/>
      </c>
    </row>
    <row r="54">
      <c r="A54" s="24">
        <f>IFERROR(IF(INDEX(tblEslesme[A_Norm],ROW()-ROW($A$5))="","",INDEX(tblEslesme[A_Norm],ROW()-ROW($A$5))),"")</f>
        <v/>
      </c>
      <c r="B54" s="24">
        <f>IF($A54="","",IFERROR(INDEX(tblEslesme[Fark],ROW()-ROW($A$5)),0))</f>
        <v/>
      </c>
      <c r="C54" s="24">
        <f>IF($A54="","",IFERROR(INDEX(tblEslesme[Kova],ROW()-ROW($A$5)),""))</f>
        <v/>
      </c>
      <c r="D54" s="24">
        <f>IF($A54="","",IF($C54="eslesti","",IF($C54="tolerans_icinde","",IF($B54&gt;0,"EKSIK_ODEME",IF($B54&lt;0,"FAZLA_ODEME","TANIMSIZ")))))</f>
        <v/>
      </c>
      <c r="E54" s="24">
        <f>IF($D54="","",IF($D54="TANIMSIZ","Elle incele — TANIMSIZ kova",IF($D54="EKSIK_ODEME","Eksik ödeme / gecikme",IF($D54="FAZLA_ODEME","Fazla veya yanlış dönem","İncele"))))</f>
        <v/>
      </c>
      <c r="F54" s="24">
        <f>IF($D54="TANIMSIZ","EVET","HAYIR")</f>
        <v/>
      </c>
    </row>
    <row r="55">
      <c r="A55" s="24">
        <f>IFERROR(IF(INDEX(tblEslesme[A_Norm],ROW()-ROW($A$5))="","",INDEX(tblEslesme[A_Norm],ROW()-ROW($A$5))),"")</f>
        <v/>
      </c>
      <c r="B55" s="24">
        <f>IF($A55="","",IFERROR(INDEX(tblEslesme[Fark],ROW()-ROW($A$5)),0))</f>
        <v/>
      </c>
      <c r="C55" s="24">
        <f>IF($A55="","",IFERROR(INDEX(tblEslesme[Kova],ROW()-ROW($A$5)),""))</f>
        <v/>
      </c>
      <c r="D55" s="24">
        <f>IF($A55="","",IF($C55="eslesti","",IF($C55="tolerans_icinde","",IF($B55&gt;0,"EKSIK_ODEME",IF($B55&lt;0,"FAZLA_ODEME","TANIMSIZ")))))</f>
        <v/>
      </c>
      <c r="E55" s="24">
        <f>IF($D55="","",IF($D55="TANIMSIZ","Elle incele — TANIMSIZ kova",IF($D55="EKSIK_ODEME","Eksik ödeme / gecikme",IF($D55="FAZLA_ODEME","Fazla veya yanlış dönem","İncele"))))</f>
        <v/>
      </c>
      <c r="F55" s="24">
        <f>IF($D55="TANIMSIZ","EVET","HAYIR")</f>
        <v/>
      </c>
    </row>
    <row r="56">
      <c r="A56" s="24">
        <f>IFERROR(IF(INDEX(tblEslesme[A_Norm],ROW()-ROW($A$5))="","",INDEX(tblEslesme[A_Norm],ROW()-ROW($A$5))),"")</f>
        <v/>
      </c>
      <c r="B56" s="24">
        <f>IF($A56="","",IFERROR(INDEX(tblEslesme[Fark],ROW()-ROW($A$5)),0))</f>
        <v/>
      </c>
      <c r="C56" s="24">
        <f>IF($A56="","",IFERROR(INDEX(tblEslesme[Kova],ROW()-ROW($A$5)),""))</f>
        <v/>
      </c>
      <c r="D56" s="24">
        <f>IF($A56="","",IF($C56="eslesti","",IF($C56="tolerans_icinde","",IF($B56&gt;0,"EKSIK_ODEME",IF($B56&lt;0,"FAZLA_ODEME","TANIMSIZ")))))</f>
        <v/>
      </c>
      <c r="E56" s="24">
        <f>IF($D56="","",IF($D56="TANIMSIZ","Elle incele — TANIMSIZ kova",IF($D56="EKSIK_ODEME","Eksik ödeme / gecikme",IF($D56="FAZLA_ODEME","Fazla veya yanlış dönem","İncele"))))</f>
        <v/>
      </c>
      <c r="F56" s="24">
        <f>IF($D56="TANIMSIZ","EVET","HAYIR")</f>
        <v/>
      </c>
    </row>
    <row r="57">
      <c r="A57" s="24">
        <f>IFERROR(IF(INDEX(tblEslesme[A_Norm],ROW()-ROW($A$5))="","",INDEX(tblEslesme[A_Norm],ROW()-ROW($A$5))),"")</f>
        <v/>
      </c>
      <c r="B57" s="24">
        <f>IF($A57="","",IFERROR(INDEX(tblEslesme[Fark],ROW()-ROW($A$5)),0))</f>
        <v/>
      </c>
      <c r="C57" s="24">
        <f>IF($A57="","",IFERROR(INDEX(tblEslesme[Kova],ROW()-ROW($A$5)),""))</f>
        <v/>
      </c>
      <c r="D57" s="24">
        <f>IF($A57="","",IF($C57="eslesti","",IF($C57="tolerans_icinde","",IF($B57&gt;0,"EKSIK_ODEME",IF($B57&lt;0,"FAZLA_ODEME","TANIMSIZ")))))</f>
        <v/>
      </c>
      <c r="E57" s="24">
        <f>IF($D57="","",IF($D57="TANIMSIZ","Elle incele — TANIMSIZ kova",IF($D57="EKSIK_ODEME","Eksik ödeme / gecikme",IF($D57="FAZLA_ODEME","Fazla veya yanlış dönem","İncele"))))</f>
        <v/>
      </c>
      <c r="F57" s="24">
        <f>IF($D57="TANIMSIZ","EVET","HAYIR")</f>
        <v/>
      </c>
    </row>
    <row r="58">
      <c r="A58" s="24">
        <f>IFERROR(IF(INDEX(tblEslesme[A_Norm],ROW()-ROW($A$5))="","",INDEX(tblEslesme[A_Norm],ROW()-ROW($A$5))),"")</f>
        <v/>
      </c>
      <c r="B58" s="24">
        <f>IF($A58="","",IFERROR(INDEX(tblEslesme[Fark],ROW()-ROW($A$5)),0))</f>
        <v/>
      </c>
      <c r="C58" s="24">
        <f>IF($A58="","",IFERROR(INDEX(tblEslesme[Kova],ROW()-ROW($A$5)),""))</f>
        <v/>
      </c>
      <c r="D58" s="24">
        <f>IF($A58="","",IF($C58="eslesti","",IF($C58="tolerans_icinde","",IF($B58&gt;0,"EKSIK_ODEME",IF($B58&lt;0,"FAZLA_ODEME","TANIMSIZ")))))</f>
        <v/>
      </c>
      <c r="E58" s="24">
        <f>IF($D58="","",IF($D58="TANIMSIZ","Elle incele — TANIMSIZ kova",IF($D58="EKSIK_ODEME","Eksik ödeme / gecikme",IF($D58="FAZLA_ODEME","Fazla veya yanlış dönem","İncele"))))</f>
        <v/>
      </c>
      <c r="F58" s="24">
        <f>IF($D58="TANIMSIZ","EVET","HAYIR")</f>
        <v/>
      </c>
    </row>
    <row r="59">
      <c r="A59" s="24">
        <f>IFERROR(IF(INDEX(tblEslesme[A_Norm],ROW()-ROW($A$5))="","",INDEX(tblEslesme[A_Norm],ROW()-ROW($A$5))),"")</f>
        <v/>
      </c>
      <c r="B59" s="24">
        <f>IF($A59="","",IFERROR(INDEX(tblEslesme[Fark],ROW()-ROW($A$5)),0))</f>
        <v/>
      </c>
      <c r="C59" s="24">
        <f>IF($A59="","",IFERROR(INDEX(tblEslesme[Kova],ROW()-ROW($A$5)),""))</f>
        <v/>
      </c>
      <c r="D59" s="24">
        <f>IF($A59="","",IF($C59="eslesti","",IF($C59="tolerans_icinde","",IF($B59&gt;0,"EKSIK_ODEME",IF($B59&lt;0,"FAZLA_ODEME","TANIMSIZ")))))</f>
        <v/>
      </c>
      <c r="E59" s="24">
        <f>IF($D59="","",IF($D59="TANIMSIZ","Elle incele — TANIMSIZ kova",IF($D59="EKSIK_ODEME","Eksik ödeme / gecikme",IF($D59="FAZLA_ODEME","Fazla veya yanlış dönem","İncele"))))</f>
        <v/>
      </c>
      <c r="F59" s="24">
        <f>IF($D59="TANIMSIZ","EVET","HAYIR")</f>
        <v/>
      </c>
    </row>
    <row r="60">
      <c r="A60" s="24">
        <f>IFERROR(IF(INDEX(tblEslesme[A_Norm],ROW()-ROW($A$5))="","",INDEX(tblEslesme[A_Norm],ROW()-ROW($A$5))),"")</f>
        <v/>
      </c>
      <c r="B60" s="24">
        <f>IF($A60="","",IFERROR(INDEX(tblEslesme[Fark],ROW()-ROW($A$5)),0))</f>
        <v/>
      </c>
      <c r="C60" s="24">
        <f>IF($A60="","",IFERROR(INDEX(tblEslesme[Kova],ROW()-ROW($A$5)),""))</f>
        <v/>
      </c>
      <c r="D60" s="24">
        <f>IF($A60="","",IF($C60="eslesti","",IF($C60="tolerans_icinde","",IF($B60&gt;0,"EKSIK_ODEME",IF($B60&lt;0,"FAZLA_ODEME","TANIMSIZ")))))</f>
        <v/>
      </c>
      <c r="E60" s="24">
        <f>IF($D60="","",IF($D60="TANIMSIZ","Elle incele — TANIMSIZ kova",IF($D60="EKSIK_ODEME","Eksik ödeme / gecikme",IF($D60="FAZLA_ODEME","Fazla veya yanlış dönem","İncele"))))</f>
        <v/>
      </c>
      <c r="F60" s="24">
        <f>IF($D60="TANIMSIZ","EVET","HAYIR")</f>
        <v/>
      </c>
    </row>
    <row r="61">
      <c r="A61" s="24">
        <f>IFERROR(IF(INDEX(tblEslesme[A_Norm],ROW()-ROW($A$5))="","",INDEX(tblEslesme[A_Norm],ROW()-ROW($A$5))),"")</f>
        <v/>
      </c>
      <c r="B61" s="24">
        <f>IF($A61="","",IFERROR(INDEX(tblEslesme[Fark],ROW()-ROW($A$5)),0))</f>
        <v/>
      </c>
      <c r="C61" s="24">
        <f>IF($A61="","",IFERROR(INDEX(tblEslesme[Kova],ROW()-ROW($A$5)),""))</f>
        <v/>
      </c>
      <c r="D61" s="24">
        <f>IF($A61="","",IF($C61="eslesti","",IF($C61="tolerans_icinde","",IF($B61&gt;0,"EKSIK_ODEME",IF($B61&lt;0,"FAZLA_ODEME","TANIMSIZ")))))</f>
        <v/>
      </c>
      <c r="E61" s="24">
        <f>IF($D61="","",IF($D61="TANIMSIZ","Elle incele — TANIMSIZ kova",IF($D61="EKSIK_ODEME","Eksik ödeme / gecikme",IF($D61="FAZLA_ODEME","Fazla veya yanlış dönem","İncele"))))</f>
        <v/>
      </c>
      <c r="F61" s="24">
        <f>IF($D61="TANIMSIZ","EVET","HAYIR")</f>
        <v/>
      </c>
    </row>
    <row r="62">
      <c r="A62" s="24">
        <f>IFERROR(IF(INDEX(tblEslesme[A_Norm],ROW()-ROW($A$5))="","",INDEX(tblEslesme[A_Norm],ROW()-ROW($A$5))),"")</f>
        <v/>
      </c>
      <c r="B62" s="24">
        <f>IF($A62="","",IFERROR(INDEX(tblEslesme[Fark],ROW()-ROW($A$5)),0))</f>
        <v/>
      </c>
      <c r="C62" s="24">
        <f>IF($A62="","",IFERROR(INDEX(tblEslesme[Kova],ROW()-ROW($A$5)),""))</f>
        <v/>
      </c>
      <c r="D62" s="24">
        <f>IF($A62="","",IF($C62="eslesti","",IF($C62="tolerans_icinde","",IF($B62&gt;0,"EKSIK_ODEME",IF($B62&lt;0,"FAZLA_ODEME","TANIMSIZ")))))</f>
        <v/>
      </c>
      <c r="E62" s="24">
        <f>IF($D62="","",IF($D62="TANIMSIZ","Elle incele — TANIMSIZ kova",IF($D62="EKSIK_ODEME","Eksik ödeme / gecikme",IF($D62="FAZLA_ODEME","Fazla veya yanlış dönem","İncele"))))</f>
        <v/>
      </c>
      <c r="F62" s="24">
        <f>IF($D62="TANIMSIZ","EVET","HAYIR")</f>
        <v/>
      </c>
    </row>
    <row r="63">
      <c r="A63" s="24">
        <f>IFERROR(IF(INDEX(tblEslesme[A_Norm],ROW()-ROW($A$5))="","",INDEX(tblEslesme[A_Norm],ROW()-ROW($A$5))),"")</f>
        <v/>
      </c>
      <c r="B63" s="24">
        <f>IF($A63="","",IFERROR(INDEX(tblEslesme[Fark],ROW()-ROW($A$5)),0))</f>
        <v/>
      </c>
      <c r="C63" s="24">
        <f>IF($A63="","",IFERROR(INDEX(tblEslesme[Kova],ROW()-ROW($A$5)),""))</f>
        <v/>
      </c>
      <c r="D63" s="24">
        <f>IF($A63="","",IF($C63="eslesti","",IF($C63="tolerans_icinde","",IF($B63&gt;0,"EKSIK_ODEME",IF($B63&lt;0,"FAZLA_ODEME","TANIMSIZ")))))</f>
        <v/>
      </c>
      <c r="E63" s="24">
        <f>IF($D63="","",IF($D63="TANIMSIZ","Elle incele — TANIMSIZ kova",IF($D63="EKSIK_ODEME","Eksik ödeme / gecikme",IF($D63="FAZLA_ODEME","Fazla veya yanlış dönem","İncele"))))</f>
        <v/>
      </c>
      <c r="F63" s="24">
        <f>IF($D63="TANIMSIZ","EVET","HAYIR")</f>
        <v/>
      </c>
    </row>
    <row r="64">
      <c r="A64" s="24">
        <f>IFERROR(IF(INDEX(tblEslesme[A_Norm],ROW()-ROW($A$5))="","",INDEX(tblEslesme[A_Norm],ROW()-ROW($A$5))),"")</f>
        <v/>
      </c>
      <c r="B64" s="24">
        <f>IF($A64="","",IFERROR(INDEX(tblEslesme[Fark],ROW()-ROW($A$5)),0))</f>
        <v/>
      </c>
      <c r="C64" s="24">
        <f>IF($A64="","",IFERROR(INDEX(tblEslesme[Kova],ROW()-ROW($A$5)),""))</f>
        <v/>
      </c>
      <c r="D64" s="24">
        <f>IF($A64="","",IF($C64="eslesti","",IF($C64="tolerans_icinde","",IF($B64&gt;0,"EKSIK_ODEME",IF($B64&lt;0,"FAZLA_ODEME","TANIMSIZ")))))</f>
        <v/>
      </c>
      <c r="E64" s="24">
        <f>IF($D64="","",IF($D64="TANIMSIZ","Elle incele — TANIMSIZ kova",IF($D64="EKSIK_ODEME","Eksik ödeme / gecikme",IF($D64="FAZLA_ODEME","Fazla veya yanlış dönem","İncele"))))</f>
        <v/>
      </c>
      <c r="F64" s="24">
        <f>IF($D64="TANIMSIZ","EVET","HAYIR")</f>
        <v/>
      </c>
    </row>
    <row r="65">
      <c r="A65" s="24">
        <f>IFERROR(IF(INDEX(tblEslesme[A_Norm],ROW()-ROW($A$5))="","",INDEX(tblEslesme[A_Norm],ROW()-ROW($A$5))),"")</f>
        <v/>
      </c>
      <c r="B65" s="24">
        <f>IF($A65="","",IFERROR(INDEX(tblEslesme[Fark],ROW()-ROW($A$5)),0))</f>
        <v/>
      </c>
      <c r="C65" s="24">
        <f>IF($A65="","",IFERROR(INDEX(tblEslesme[Kova],ROW()-ROW($A$5)),""))</f>
        <v/>
      </c>
      <c r="D65" s="24">
        <f>IF($A65="","",IF($C65="eslesti","",IF($C65="tolerans_icinde","",IF($B65&gt;0,"EKSIK_ODEME",IF($B65&lt;0,"FAZLA_ODEME","TANIMSIZ")))))</f>
        <v/>
      </c>
      <c r="E65" s="24">
        <f>IF($D65="","",IF($D65="TANIMSIZ","Elle incele — TANIMSIZ kova",IF($D65="EKSIK_ODEME","Eksik ödeme / gecikme",IF($D65="FAZLA_ODEME","Fazla veya yanlış dönem","İncele"))))</f>
        <v/>
      </c>
      <c r="F65" s="24">
        <f>IF($D65="TANIMSIZ","EVET","HAYIR")</f>
        <v/>
      </c>
    </row>
    <row r="66">
      <c r="A66" s="24">
        <f>IFERROR(IF(INDEX(tblEslesme[A_Norm],ROW()-ROW($A$5))="","",INDEX(tblEslesme[A_Norm],ROW()-ROW($A$5))),"")</f>
        <v/>
      </c>
      <c r="B66" s="24">
        <f>IF($A66="","",IFERROR(INDEX(tblEslesme[Fark],ROW()-ROW($A$5)),0))</f>
        <v/>
      </c>
      <c r="C66" s="24">
        <f>IF($A66="","",IFERROR(INDEX(tblEslesme[Kova],ROW()-ROW($A$5)),""))</f>
        <v/>
      </c>
      <c r="D66" s="24">
        <f>IF($A66="","",IF($C66="eslesti","",IF($C66="tolerans_icinde","",IF($B66&gt;0,"EKSIK_ODEME",IF($B66&lt;0,"FAZLA_ODEME","TANIMSIZ")))))</f>
        <v/>
      </c>
      <c r="E66" s="24">
        <f>IF($D66="","",IF($D66="TANIMSIZ","Elle incele — TANIMSIZ kova",IF($D66="EKSIK_ODEME","Eksik ödeme / gecikme",IF($D66="FAZLA_ODEME","Fazla veya yanlış dönem","İncele"))))</f>
        <v/>
      </c>
      <c r="F66" s="24">
        <f>IF($D66="TANIMSIZ","EVET","HAYIR")</f>
        <v/>
      </c>
    </row>
    <row r="67">
      <c r="A67" s="24">
        <f>IFERROR(IF(INDEX(tblEslesme[A_Norm],ROW()-ROW($A$5))="","",INDEX(tblEslesme[A_Norm],ROW()-ROW($A$5))),"")</f>
        <v/>
      </c>
      <c r="B67" s="24">
        <f>IF($A67="","",IFERROR(INDEX(tblEslesme[Fark],ROW()-ROW($A$5)),0))</f>
        <v/>
      </c>
      <c r="C67" s="24">
        <f>IF($A67="","",IFERROR(INDEX(tblEslesme[Kova],ROW()-ROW($A$5)),""))</f>
        <v/>
      </c>
      <c r="D67" s="24">
        <f>IF($A67="","",IF($C67="eslesti","",IF($C67="tolerans_icinde","",IF($B67&gt;0,"EKSIK_ODEME",IF($B67&lt;0,"FAZLA_ODEME","TANIMSIZ")))))</f>
        <v/>
      </c>
      <c r="E67" s="24">
        <f>IF($D67="","",IF($D67="TANIMSIZ","Elle incele — TANIMSIZ kova",IF($D67="EKSIK_ODEME","Eksik ödeme / gecikme",IF($D67="FAZLA_ODEME","Fazla veya yanlış dönem","İncele"))))</f>
        <v/>
      </c>
      <c r="F67" s="24">
        <f>IF($D67="TANIMSIZ","EVET","HAYIR")</f>
        <v/>
      </c>
    </row>
    <row r="68">
      <c r="A68" s="24">
        <f>IFERROR(IF(INDEX(tblEslesme[A_Norm],ROW()-ROW($A$5))="","",INDEX(tblEslesme[A_Norm],ROW()-ROW($A$5))),"")</f>
        <v/>
      </c>
      <c r="B68" s="24">
        <f>IF($A68="","",IFERROR(INDEX(tblEslesme[Fark],ROW()-ROW($A$5)),0))</f>
        <v/>
      </c>
      <c r="C68" s="24">
        <f>IF($A68="","",IFERROR(INDEX(tblEslesme[Kova],ROW()-ROW($A$5)),""))</f>
        <v/>
      </c>
      <c r="D68" s="24">
        <f>IF($A68="","",IF($C68="eslesti","",IF($C68="tolerans_icinde","",IF($B68&gt;0,"EKSIK_ODEME",IF($B68&lt;0,"FAZLA_ODEME","TANIMSIZ")))))</f>
        <v/>
      </c>
      <c r="E68" s="24">
        <f>IF($D68="","",IF($D68="TANIMSIZ","Elle incele — TANIMSIZ kova",IF($D68="EKSIK_ODEME","Eksik ödeme / gecikme",IF($D68="FAZLA_ODEME","Fazla veya yanlış dönem","İncele"))))</f>
        <v/>
      </c>
      <c r="F68" s="24">
        <f>IF($D68="TANIMSIZ","EVET","HAYIR")</f>
        <v/>
      </c>
    </row>
    <row r="69">
      <c r="A69" s="24">
        <f>IFERROR(IF(INDEX(tblEslesme[A_Norm],ROW()-ROW($A$5))="","",INDEX(tblEslesme[A_Norm],ROW()-ROW($A$5))),"")</f>
        <v/>
      </c>
      <c r="B69" s="24">
        <f>IF($A69="","",IFERROR(INDEX(tblEslesme[Fark],ROW()-ROW($A$5)),0))</f>
        <v/>
      </c>
      <c r="C69" s="24">
        <f>IF($A69="","",IFERROR(INDEX(tblEslesme[Kova],ROW()-ROW($A$5)),""))</f>
        <v/>
      </c>
      <c r="D69" s="24">
        <f>IF($A69="","",IF($C69="eslesti","",IF($C69="tolerans_icinde","",IF($B69&gt;0,"EKSIK_ODEME",IF($B69&lt;0,"FAZLA_ODEME","TANIMSIZ")))))</f>
        <v/>
      </c>
      <c r="E69" s="24">
        <f>IF($D69="","",IF($D69="TANIMSIZ","Elle incele — TANIMSIZ kova",IF($D69="EKSIK_ODEME","Eksik ödeme / gecikme",IF($D69="FAZLA_ODEME","Fazla veya yanlış dönem","İncele"))))</f>
        <v/>
      </c>
      <c r="F69" s="24">
        <f>IF($D69="TANIMSIZ","EVET","HAYIR")</f>
        <v/>
      </c>
    </row>
    <row r="70">
      <c r="A70" s="24">
        <f>IFERROR(IF(INDEX(tblEslesme[A_Norm],ROW()-ROW($A$5))="","",INDEX(tblEslesme[A_Norm],ROW()-ROW($A$5))),"")</f>
        <v/>
      </c>
      <c r="B70" s="24">
        <f>IF($A70="","",IFERROR(INDEX(tblEslesme[Fark],ROW()-ROW($A$5)),0))</f>
        <v/>
      </c>
      <c r="C70" s="24">
        <f>IF($A70="","",IFERROR(INDEX(tblEslesme[Kova],ROW()-ROW($A$5)),""))</f>
        <v/>
      </c>
      <c r="D70" s="24">
        <f>IF($A70="","",IF($C70="eslesti","",IF($C70="tolerans_icinde","",IF($B70&gt;0,"EKSIK_ODEME",IF($B70&lt;0,"FAZLA_ODEME","TANIMSIZ")))))</f>
        <v/>
      </c>
      <c r="E70" s="24">
        <f>IF($D70="","",IF($D70="TANIMSIZ","Elle incele — TANIMSIZ kova",IF($D70="EKSIK_ODEME","Eksik ödeme / gecikme",IF($D70="FAZLA_ODEME","Fazla veya yanlış dönem","İncele"))))</f>
        <v/>
      </c>
      <c r="F70" s="24">
        <f>IF($D70="TANIMSIZ","EVET","HAYIR")</f>
        <v/>
      </c>
    </row>
    <row r="71">
      <c r="A71" s="24">
        <f>IFERROR(IF(INDEX(tblEslesme[A_Norm],ROW()-ROW($A$5))="","",INDEX(tblEslesme[A_Norm],ROW()-ROW($A$5))),"")</f>
        <v/>
      </c>
      <c r="B71" s="24">
        <f>IF($A71="","",IFERROR(INDEX(tblEslesme[Fark],ROW()-ROW($A$5)),0))</f>
        <v/>
      </c>
      <c r="C71" s="24">
        <f>IF($A71="","",IFERROR(INDEX(tblEslesme[Kova],ROW()-ROW($A$5)),""))</f>
        <v/>
      </c>
      <c r="D71" s="24">
        <f>IF($A71="","",IF($C71="eslesti","",IF($C71="tolerans_icinde","",IF($B71&gt;0,"EKSIK_ODEME",IF($B71&lt;0,"FAZLA_ODEME","TANIMSIZ")))))</f>
        <v/>
      </c>
      <c r="E71" s="24">
        <f>IF($D71="","",IF($D71="TANIMSIZ","Elle incele — TANIMSIZ kova",IF($D71="EKSIK_ODEME","Eksik ödeme / gecikme",IF($D71="FAZLA_ODEME","Fazla veya yanlış dönem","İncele"))))</f>
        <v/>
      </c>
      <c r="F71" s="24">
        <f>IF($D71="TANIMSIZ","EVET","HAYIR")</f>
        <v/>
      </c>
    </row>
    <row r="72">
      <c r="A72" s="24">
        <f>IFERROR(IF(INDEX(tblEslesme[A_Norm],ROW()-ROW($A$5))="","",INDEX(tblEslesme[A_Norm],ROW()-ROW($A$5))),"")</f>
        <v/>
      </c>
      <c r="B72" s="24">
        <f>IF($A72="","",IFERROR(INDEX(tblEslesme[Fark],ROW()-ROW($A$5)),0))</f>
        <v/>
      </c>
      <c r="C72" s="24">
        <f>IF($A72="","",IFERROR(INDEX(tblEslesme[Kova],ROW()-ROW($A$5)),""))</f>
        <v/>
      </c>
      <c r="D72" s="24">
        <f>IF($A72="","",IF($C72="eslesti","",IF($C72="tolerans_icinde","",IF($B72&gt;0,"EKSIK_ODEME",IF($B72&lt;0,"FAZLA_ODEME","TANIMSIZ")))))</f>
        <v/>
      </c>
      <c r="E72" s="24">
        <f>IF($D72="","",IF($D72="TANIMSIZ","Elle incele — TANIMSIZ kova",IF($D72="EKSIK_ODEME","Eksik ödeme / gecikme",IF($D72="FAZLA_ODEME","Fazla veya yanlış dönem","İncele"))))</f>
        <v/>
      </c>
      <c r="F72" s="24">
        <f>IF($D72="TANIMSIZ","EVET","HAYIR")</f>
        <v/>
      </c>
    </row>
    <row r="73">
      <c r="A73" s="24">
        <f>IFERROR(IF(INDEX(tblEslesme[A_Norm],ROW()-ROW($A$5))="","",INDEX(tblEslesme[A_Norm],ROW()-ROW($A$5))),"")</f>
        <v/>
      </c>
      <c r="B73" s="24">
        <f>IF($A73="","",IFERROR(INDEX(tblEslesme[Fark],ROW()-ROW($A$5)),0))</f>
        <v/>
      </c>
      <c r="C73" s="24">
        <f>IF($A73="","",IFERROR(INDEX(tblEslesme[Kova],ROW()-ROW($A$5)),""))</f>
        <v/>
      </c>
      <c r="D73" s="24">
        <f>IF($A73="","",IF($C73="eslesti","",IF($C73="tolerans_icinde","",IF($B73&gt;0,"EKSIK_ODEME",IF($B73&lt;0,"FAZLA_ODEME","TANIMSIZ")))))</f>
        <v/>
      </c>
      <c r="E73" s="24">
        <f>IF($D73="","",IF($D73="TANIMSIZ","Elle incele — TANIMSIZ kova",IF($D73="EKSIK_ODEME","Eksik ödeme / gecikme",IF($D73="FAZLA_ODEME","Fazla veya yanlış dönem","İncele"))))</f>
        <v/>
      </c>
      <c r="F73" s="24">
        <f>IF($D73="TANIMSIZ","EVET","HAYIR")</f>
        <v/>
      </c>
    </row>
    <row r="74">
      <c r="A74" s="24">
        <f>IFERROR(IF(INDEX(tblEslesme[A_Norm],ROW()-ROW($A$5))="","",INDEX(tblEslesme[A_Norm],ROW()-ROW($A$5))),"")</f>
        <v/>
      </c>
      <c r="B74" s="24">
        <f>IF($A74="","",IFERROR(INDEX(tblEslesme[Fark],ROW()-ROW($A$5)),0))</f>
        <v/>
      </c>
      <c r="C74" s="24">
        <f>IF($A74="","",IFERROR(INDEX(tblEslesme[Kova],ROW()-ROW($A$5)),""))</f>
        <v/>
      </c>
      <c r="D74" s="24">
        <f>IF($A74="","",IF($C74="eslesti","",IF($C74="tolerans_icinde","",IF($B74&gt;0,"EKSIK_ODEME",IF($B74&lt;0,"FAZLA_ODEME","TANIMSIZ")))))</f>
        <v/>
      </c>
      <c r="E74" s="24">
        <f>IF($D74="","",IF($D74="TANIMSIZ","Elle incele — TANIMSIZ kova",IF($D74="EKSIK_ODEME","Eksik ödeme / gecikme",IF($D74="FAZLA_ODEME","Fazla veya yanlış dönem","İncele"))))</f>
        <v/>
      </c>
      <c r="F74" s="24">
        <f>IF($D74="TANIMSIZ","EVET","HAYIR")</f>
        <v/>
      </c>
    </row>
    <row r="75">
      <c r="A75" s="24">
        <f>IFERROR(IF(INDEX(tblEslesme[A_Norm],ROW()-ROW($A$5))="","",INDEX(tblEslesme[A_Norm],ROW()-ROW($A$5))),"")</f>
        <v/>
      </c>
      <c r="B75" s="24">
        <f>IF($A75="","",IFERROR(INDEX(tblEslesme[Fark],ROW()-ROW($A$5)),0))</f>
        <v/>
      </c>
      <c r="C75" s="24">
        <f>IF($A75="","",IFERROR(INDEX(tblEslesme[Kova],ROW()-ROW($A$5)),""))</f>
        <v/>
      </c>
      <c r="D75" s="24">
        <f>IF($A75="","",IF($C75="eslesti","",IF($C75="tolerans_icinde","",IF($B75&gt;0,"EKSIK_ODEME",IF($B75&lt;0,"FAZLA_ODEME","TANIMSIZ")))))</f>
        <v/>
      </c>
      <c r="E75" s="24">
        <f>IF($D75="","",IF($D75="TANIMSIZ","Elle incele — TANIMSIZ kova",IF($D75="EKSIK_ODEME","Eksik ödeme / gecikme",IF($D75="FAZLA_ODEME","Fazla veya yanlış dönem","İncele"))))</f>
        <v/>
      </c>
      <c r="F75" s="24">
        <f>IF($D75="TANIMSIZ","EVET","HAYIR")</f>
        <v/>
      </c>
    </row>
    <row r="76">
      <c r="A76" s="24">
        <f>IFERROR(IF(INDEX(tblEslesme[A_Norm],ROW()-ROW($A$5))="","",INDEX(tblEslesme[A_Norm],ROW()-ROW($A$5))),"")</f>
        <v/>
      </c>
      <c r="B76" s="24">
        <f>IF($A76="","",IFERROR(INDEX(tblEslesme[Fark],ROW()-ROW($A$5)),0))</f>
        <v/>
      </c>
      <c r="C76" s="24">
        <f>IF($A76="","",IFERROR(INDEX(tblEslesme[Kova],ROW()-ROW($A$5)),""))</f>
        <v/>
      </c>
      <c r="D76" s="24">
        <f>IF($A76="","",IF($C76="eslesti","",IF($C76="tolerans_icinde","",IF($B76&gt;0,"EKSIK_ODEME",IF($B76&lt;0,"FAZLA_ODEME","TANIMSIZ")))))</f>
        <v/>
      </c>
      <c r="E76" s="24">
        <f>IF($D76="","",IF($D76="TANIMSIZ","Elle incele — TANIMSIZ kova",IF($D76="EKSIK_ODEME","Eksik ödeme / gecikme",IF($D76="FAZLA_ODEME","Fazla veya yanlış dönem","İncele"))))</f>
        <v/>
      </c>
      <c r="F76" s="24">
        <f>IF($D76="TANIMSIZ","EVET","HAYIR")</f>
        <v/>
      </c>
    </row>
    <row r="77">
      <c r="A77" s="24">
        <f>IFERROR(IF(INDEX(tblEslesme[A_Norm],ROW()-ROW($A$5))="","",INDEX(tblEslesme[A_Norm],ROW()-ROW($A$5))),"")</f>
        <v/>
      </c>
      <c r="B77" s="24">
        <f>IF($A77="","",IFERROR(INDEX(tblEslesme[Fark],ROW()-ROW($A$5)),0))</f>
        <v/>
      </c>
      <c r="C77" s="24">
        <f>IF($A77="","",IFERROR(INDEX(tblEslesme[Kova],ROW()-ROW($A$5)),""))</f>
        <v/>
      </c>
      <c r="D77" s="24">
        <f>IF($A77="","",IF($C77="eslesti","",IF($C77="tolerans_icinde","",IF($B77&gt;0,"EKSIK_ODEME",IF($B77&lt;0,"FAZLA_ODEME","TANIMSIZ")))))</f>
        <v/>
      </c>
      <c r="E77" s="24">
        <f>IF($D77="","",IF($D77="TANIMSIZ","Elle incele — TANIMSIZ kova",IF($D77="EKSIK_ODEME","Eksik ödeme / gecikme",IF($D77="FAZLA_ODEME","Fazla veya yanlış dönem","İncele"))))</f>
        <v/>
      </c>
      <c r="F77" s="24">
        <f>IF($D77="TANIMSIZ","EVET","HAYIR")</f>
        <v/>
      </c>
    </row>
    <row r="78">
      <c r="A78" s="24">
        <f>IFERROR(IF(INDEX(tblEslesme[A_Norm],ROW()-ROW($A$5))="","",INDEX(tblEslesme[A_Norm],ROW()-ROW($A$5))),"")</f>
        <v/>
      </c>
      <c r="B78" s="24">
        <f>IF($A78="","",IFERROR(INDEX(tblEslesme[Fark],ROW()-ROW($A$5)),0))</f>
        <v/>
      </c>
      <c r="C78" s="24">
        <f>IF($A78="","",IFERROR(INDEX(tblEslesme[Kova],ROW()-ROW($A$5)),""))</f>
        <v/>
      </c>
      <c r="D78" s="24">
        <f>IF($A78="","",IF($C78="eslesti","",IF($C78="tolerans_icinde","",IF($B78&gt;0,"EKSIK_ODEME",IF($B78&lt;0,"FAZLA_ODEME","TANIMSIZ")))))</f>
        <v/>
      </c>
      <c r="E78" s="24">
        <f>IF($D78="","",IF($D78="TANIMSIZ","Elle incele — TANIMSIZ kova",IF($D78="EKSIK_ODEME","Eksik ödeme / gecikme",IF($D78="FAZLA_ODEME","Fazla veya yanlış dönem","İncele"))))</f>
        <v/>
      </c>
      <c r="F78" s="24">
        <f>IF($D78="TANIMSIZ","EVET","HAYIR")</f>
        <v/>
      </c>
    </row>
    <row r="79">
      <c r="A79" s="24">
        <f>IFERROR(IF(INDEX(tblEslesme[A_Norm],ROW()-ROW($A$5))="","",INDEX(tblEslesme[A_Norm],ROW()-ROW($A$5))),"")</f>
        <v/>
      </c>
      <c r="B79" s="24">
        <f>IF($A79="","",IFERROR(INDEX(tblEslesme[Fark],ROW()-ROW($A$5)),0))</f>
        <v/>
      </c>
      <c r="C79" s="24">
        <f>IF($A79="","",IFERROR(INDEX(tblEslesme[Kova],ROW()-ROW($A$5)),""))</f>
        <v/>
      </c>
      <c r="D79" s="24">
        <f>IF($A79="","",IF($C79="eslesti","",IF($C79="tolerans_icinde","",IF($B79&gt;0,"EKSIK_ODEME",IF($B79&lt;0,"FAZLA_ODEME","TANIMSIZ")))))</f>
        <v/>
      </c>
      <c r="E79" s="24">
        <f>IF($D79="","",IF($D79="TANIMSIZ","Elle incele — TANIMSIZ kova",IF($D79="EKSIK_ODEME","Eksik ödeme / gecikme",IF($D79="FAZLA_ODEME","Fazla veya yanlış dönem","İncele"))))</f>
        <v/>
      </c>
      <c r="F79" s="24">
        <f>IF($D79="TANIMSIZ","EVET","HAYIR")</f>
        <v/>
      </c>
    </row>
    <row r="80">
      <c r="A80" s="24">
        <f>IFERROR(IF(INDEX(tblEslesme[A_Norm],ROW()-ROW($A$5))="","",INDEX(tblEslesme[A_Norm],ROW()-ROW($A$5))),"")</f>
        <v/>
      </c>
      <c r="B80" s="24">
        <f>IF($A80="","",IFERROR(INDEX(tblEslesme[Fark],ROW()-ROW($A$5)),0))</f>
        <v/>
      </c>
      <c r="C80" s="24">
        <f>IF($A80="","",IFERROR(INDEX(tblEslesme[Kova],ROW()-ROW($A$5)),""))</f>
        <v/>
      </c>
      <c r="D80" s="24">
        <f>IF($A80="","",IF($C80="eslesti","",IF($C80="tolerans_icinde","",IF($B80&gt;0,"EKSIK_ODEME",IF($B80&lt;0,"FAZLA_ODEME","TANIMSIZ")))))</f>
        <v/>
      </c>
      <c r="E80" s="24">
        <f>IF($D80="","",IF($D80="TANIMSIZ","Elle incele — TANIMSIZ kova",IF($D80="EKSIK_ODEME","Eksik ödeme / gecikme",IF($D80="FAZLA_ODEME","Fazla veya yanlış dönem","İncele"))))</f>
        <v/>
      </c>
      <c r="F80" s="24">
        <f>IF($D80="TANIMSIZ","EVET","HAYIR")</f>
        <v/>
      </c>
    </row>
    <row r="81">
      <c r="A81" s="24">
        <f>IFERROR(IF(INDEX(tblEslesme[A_Norm],ROW()-ROW($A$5))="","",INDEX(tblEslesme[A_Norm],ROW()-ROW($A$5))),"")</f>
        <v/>
      </c>
      <c r="B81" s="24">
        <f>IF($A81="","",IFERROR(INDEX(tblEslesme[Fark],ROW()-ROW($A$5)),0))</f>
        <v/>
      </c>
      <c r="C81" s="24">
        <f>IF($A81="","",IFERROR(INDEX(tblEslesme[Kova],ROW()-ROW($A$5)),""))</f>
        <v/>
      </c>
      <c r="D81" s="24">
        <f>IF($A81="","",IF($C81="eslesti","",IF($C81="tolerans_icinde","",IF($B81&gt;0,"EKSIK_ODEME",IF($B81&lt;0,"FAZLA_ODEME","TANIMSIZ")))))</f>
        <v/>
      </c>
      <c r="E81" s="24">
        <f>IF($D81="","",IF($D81="TANIMSIZ","Elle incele — TANIMSIZ kova",IF($D81="EKSIK_ODEME","Eksik ödeme / gecikme",IF($D81="FAZLA_ODEME","Fazla veya yanlış dönem","İncele"))))</f>
        <v/>
      </c>
      <c r="F81" s="24">
        <f>IF($D81="TANIMSIZ","EVET","HAYIR")</f>
        <v/>
      </c>
    </row>
    <row r="82">
      <c r="A82" s="24">
        <f>IFERROR(IF(INDEX(tblEslesme[A_Norm],ROW()-ROW($A$5))="","",INDEX(tblEslesme[A_Norm],ROW()-ROW($A$5))),"")</f>
        <v/>
      </c>
      <c r="B82" s="24">
        <f>IF($A82="","",IFERROR(INDEX(tblEslesme[Fark],ROW()-ROW($A$5)),0))</f>
        <v/>
      </c>
      <c r="C82" s="24">
        <f>IF($A82="","",IFERROR(INDEX(tblEslesme[Kova],ROW()-ROW($A$5)),""))</f>
        <v/>
      </c>
      <c r="D82" s="24">
        <f>IF($A82="","",IF($C82="eslesti","",IF($C82="tolerans_icinde","",IF($B82&gt;0,"EKSIK_ODEME",IF($B82&lt;0,"FAZLA_ODEME","TANIMSIZ")))))</f>
        <v/>
      </c>
      <c r="E82" s="24">
        <f>IF($D82="","",IF($D82="TANIMSIZ","Elle incele — TANIMSIZ kova",IF($D82="EKSIK_ODEME","Eksik ödeme / gecikme",IF($D82="FAZLA_ODEME","Fazla veya yanlış dönem","İncele"))))</f>
        <v/>
      </c>
      <c r="F82" s="24">
        <f>IF($D82="TANIMSIZ","EVET","HAYIR")</f>
        <v/>
      </c>
    </row>
    <row r="83">
      <c r="A83" s="24">
        <f>IFERROR(IF(INDEX(tblEslesme[A_Norm],ROW()-ROW($A$5))="","",INDEX(tblEslesme[A_Norm],ROW()-ROW($A$5))),"")</f>
        <v/>
      </c>
      <c r="B83" s="24">
        <f>IF($A83="","",IFERROR(INDEX(tblEslesme[Fark],ROW()-ROW($A$5)),0))</f>
        <v/>
      </c>
      <c r="C83" s="24">
        <f>IF($A83="","",IFERROR(INDEX(tblEslesme[Kova],ROW()-ROW($A$5)),""))</f>
        <v/>
      </c>
      <c r="D83" s="24">
        <f>IF($A83="","",IF($C83="eslesti","",IF($C83="tolerans_icinde","",IF($B83&gt;0,"EKSIK_ODEME",IF($B83&lt;0,"FAZLA_ODEME","TANIMSIZ")))))</f>
        <v/>
      </c>
      <c r="E83" s="24">
        <f>IF($D83="","",IF($D83="TANIMSIZ","Elle incele — TANIMSIZ kova",IF($D83="EKSIK_ODEME","Eksik ödeme / gecikme",IF($D83="FAZLA_ODEME","Fazla veya yanlış dönem","İncele"))))</f>
        <v/>
      </c>
      <c r="F83" s="24">
        <f>IF($D83="TANIMSIZ","EVET","HAYIR")</f>
        <v/>
      </c>
    </row>
    <row r="84">
      <c r="A84" s="24">
        <f>IFERROR(IF(INDEX(tblEslesme[A_Norm],ROW()-ROW($A$5))="","",INDEX(tblEslesme[A_Norm],ROW()-ROW($A$5))),"")</f>
        <v/>
      </c>
      <c r="B84" s="24">
        <f>IF($A84="","",IFERROR(INDEX(tblEslesme[Fark],ROW()-ROW($A$5)),0))</f>
        <v/>
      </c>
      <c r="C84" s="24">
        <f>IF($A84="","",IFERROR(INDEX(tblEslesme[Kova],ROW()-ROW($A$5)),""))</f>
        <v/>
      </c>
      <c r="D84" s="24">
        <f>IF($A84="","",IF($C84="eslesti","",IF($C84="tolerans_icinde","",IF($B84&gt;0,"EKSIK_ODEME",IF($B84&lt;0,"FAZLA_ODEME","TANIMSIZ")))))</f>
        <v/>
      </c>
      <c r="E84" s="24">
        <f>IF($D84="","",IF($D84="TANIMSIZ","Elle incele — TANIMSIZ kova",IF($D84="EKSIK_ODEME","Eksik ödeme / gecikme",IF($D84="FAZLA_ODEME","Fazla veya yanlış dönem","İncele"))))</f>
        <v/>
      </c>
      <c r="F84" s="24">
        <f>IF($D84="TANIMSIZ","EVET","HAYIR")</f>
        <v/>
      </c>
    </row>
    <row r="85">
      <c r="A85" s="24">
        <f>IFERROR(IF(INDEX(tblEslesme[A_Norm],ROW()-ROW($A$5))="","",INDEX(tblEslesme[A_Norm],ROW()-ROW($A$5))),"")</f>
        <v/>
      </c>
      <c r="B85" s="24">
        <f>IF($A85="","",IFERROR(INDEX(tblEslesme[Fark],ROW()-ROW($A$5)),0))</f>
        <v/>
      </c>
      <c r="C85" s="24">
        <f>IF($A85="","",IFERROR(INDEX(tblEslesme[Kova],ROW()-ROW($A$5)),""))</f>
        <v/>
      </c>
      <c r="D85" s="24">
        <f>IF($A85="","",IF($C85="eslesti","",IF($C85="tolerans_icinde","",IF($B85&gt;0,"EKSIK_ODEME",IF($B85&lt;0,"FAZLA_ODEME","TANIMSIZ")))))</f>
        <v/>
      </c>
      <c r="E85" s="24">
        <f>IF($D85="","",IF($D85="TANIMSIZ","Elle incele — TANIMSIZ kova",IF($D85="EKSIK_ODEME","Eksik ödeme / gecikme",IF($D85="FAZLA_ODEME","Fazla veya yanlış dönem","İncele"))))</f>
        <v/>
      </c>
      <c r="F85" s="24">
        <f>IF($D85="TANIMSIZ","EVET","HAYIR")</f>
        <v/>
      </c>
    </row>
    <row r="86">
      <c r="A86" s="24">
        <f>IFERROR(IF(INDEX(tblEslesme[A_Norm],ROW()-ROW($A$5))="","",INDEX(tblEslesme[A_Norm],ROW()-ROW($A$5))),"")</f>
        <v/>
      </c>
      <c r="B86" s="24">
        <f>IF($A86="","",IFERROR(INDEX(tblEslesme[Fark],ROW()-ROW($A$5)),0))</f>
        <v/>
      </c>
      <c r="C86" s="24">
        <f>IF($A86="","",IFERROR(INDEX(tblEslesme[Kova],ROW()-ROW($A$5)),""))</f>
        <v/>
      </c>
      <c r="D86" s="24">
        <f>IF($A86="","",IF($C86="eslesti","",IF($C86="tolerans_icinde","",IF($B86&gt;0,"EKSIK_ODEME",IF($B86&lt;0,"FAZLA_ODEME","TANIMSIZ")))))</f>
        <v/>
      </c>
      <c r="E86" s="24">
        <f>IF($D86="","",IF($D86="TANIMSIZ","Elle incele — TANIMSIZ kova",IF($D86="EKSIK_ODEME","Eksik ödeme / gecikme",IF($D86="FAZLA_ODEME","Fazla veya yanlış dönem","İncele"))))</f>
        <v/>
      </c>
      <c r="F86" s="24">
        <f>IF($D86="TANIMSIZ","EVET","HAYIR")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D6:D46">
    <cfRule type="expression" priority="1" dxfId="0">
      <formula>D6="TANIMSIZ"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6.5" customWidth="1" min="2" max="2"/>
    <col width="13" customWidth="1" min="3" max="3"/>
    <col width="23.5" customWidth="1" min="4" max="4"/>
    <col width="23.5" customWidth="1" min="5" max="5"/>
    <col width="15.5" customWidth="1" min="6" max="6"/>
    <col width="14.5" customWidth="1" min="7" max="7"/>
    <col width="14.5" customWidth="1" min="8" max="8"/>
    <col width="15.5" customWidth="1" min="9" max="9"/>
    <col width="13" customWidth="1" min="10" max="10"/>
    <col width="14.5" customWidth="1" min="11" max="11"/>
    <col width="15.5" customWidth="1" min="12" max="12"/>
    <col width="16.5" customWidth="1" min="13" max="13"/>
    <col width="16.5" customWidth="1" min="14" max="14"/>
    <col width="13.5" customWidth="1" min="15" max="15"/>
    <col width="13" customWidth="1" min="16" max="16"/>
  </cols>
  <sheetData>
    <row r="1" ht="32" customHeight="1">
      <c r="A1" s="175" t="inlineStr">
        <is>
          <t>AKIS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</row>
    <row r="2"/>
    <row r="3" ht="22" customHeight="1">
      <c r="A3" s="194" t="inlineStr">
        <is>
          <t>İcap durum makinesi — yetim / geçersiz geçiş / ZİNCİR KIRIK</t>
        </is>
      </c>
    </row>
    <row r="4"/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BorcId</t>
        </is>
      </c>
      <c r="D5" s="22" t="inlineStr">
        <is>
          <t>VadeTarihi</t>
        </is>
      </c>
      <c r="E5" s="22" t="inlineStr">
        <is>
          <t>OdemeTarihi</t>
        </is>
      </c>
      <c r="F5" s="22" t="inlineStr">
        <is>
          <t>OncekiDurum</t>
        </is>
      </c>
      <c r="G5" s="22" t="inlineStr">
        <is>
          <t>Durum</t>
        </is>
      </c>
      <c r="H5" s="22" t="inlineStr">
        <is>
          <t>BorcTutari</t>
        </is>
      </c>
      <c r="I5" s="22" t="inlineStr">
        <is>
          <t>OdemeTutari</t>
        </is>
      </c>
      <c r="J5" s="22" t="inlineStr">
        <is>
          <t>Tutar</t>
        </is>
      </c>
      <c r="K5" s="22" t="inlineStr">
        <is>
          <t>GecikmeGun</t>
        </is>
      </c>
      <c r="L5" s="22" t="inlineStr">
        <is>
          <t>YetimBayrak</t>
        </is>
      </c>
      <c r="M5" s="22" t="inlineStr">
        <is>
          <t>GecisUyarisi</t>
        </is>
      </c>
      <c r="N5" s="22" t="inlineStr">
        <is>
          <t>ZincirBayrak</t>
        </is>
      </c>
      <c r="O5" s="22" t="inlineStr">
        <is>
          <t>KayitDolu</t>
        </is>
      </c>
    </row>
    <row r="6">
      <c r="A6" s="23" t="inlineStr">
        <is>
          <t>ICP-001</t>
        </is>
      </c>
      <c r="B6" s="23" t="inlineStr">
        <is>
          <t>MLK-001</t>
        </is>
      </c>
      <c r="C6" s="23" t="inlineStr">
        <is>
          <t>BRC-001</t>
        </is>
      </c>
      <c r="D6" s="61" t="n">
        <v>46213</v>
      </c>
      <c r="E6" s="61" t="n"/>
      <c r="F6" s="23" t="n"/>
      <c r="G6" s="23" t="inlineStr">
        <is>
          <t>ACIK</t>
        </is>
      </c>
      <c r="H6" s="18" t="n">
        <v>2500</v>
      </c>
      <c r="I6" s="18" t="n">
        <v>0</v>
      </c>
      <c r="J6" s="24">
        <f>IF($A6="","",$H6-$I6)</f>
        <v/>
      </c>
      <c r="K6" s="24">
        <f>IF($A6="","",IF(OR($G6="TAHSIL",$G6="KAPALI"),0,IF($D6="","",raporTarihi-$D6)))</f>
        <v/>
      </c>
      <c r="L6" s="24">
        <f>IF($A6="","",IF($B6="","YETİM",IF(COUNTIF(tblPaydas[MalikId],$B6)=0,"YETİM","")))</f>
        <v/>
      </c>
      <c r="M6" s="24">
        <f>IF(OR($A6="",$F6=""),"",IF(OR($F6&amp;"|"&amp;$G6="",COUNTIF(ListeIzinliGecis,$F6&amp;"|"&amp;$G6)&gt;0),"","GEÇERSİZ GEÇİŞ"))</f>
        <v/>
      </c>
      <c r="N6" s="24">
        <f>IF($A6="","",IF(OR($G6="TAHSIL",$I6&gt;0),IF(OR($H6="",$I6=""),"",IF(ABS($I6-$H6)&gt;zincirTolerans,"ZİNCİR KIRIK","OK")),"OK"))</f>
        <v/>
      </c>
      <c r="O6" s="24">
        <f>IF($A6="","",1)</f>
        <v/>
      </c>
    </row>
    <row r="7">
      <c r="A7" s="23" t="inlineStr">
        <is>
          <t>ICP-002</t>
        </is>
      </c>
      <c r="B7" s="23" t="inlineStr">
        <is>
          <t>MLK-002</t>
        </is>
      </c>
      <c r="C7" s="23" t="inlineStr">
        <is>
          <t>BRC-002</t>
        </is>
      </c>
      <c r="D7" s="61" t="n">
        <v>46214</v>
      </c>
      <c r="E7" s="61" t="n"/>
      <c r="F7" s="23" t="inlineStr">
        <is>
          <t>ACIK</t>
        </is>
      </c>
      <c r="G7" s="23" t="inlineStr">
        <is>
          <t>HATIRLATMA</t>
        </is>
      </c>
      <c r="H7" s="18" t="n">
        <v>2550</v>
      </c>
      <c r="I7" s="18" t="n">
        <v>0</v>
      </c>
      <c r="J7" s="24">
        <f>IF($A7="","",$H7-$I7)</f>
        <v/>
      </c>
      <c r="K7" s="24">
        <f>IF($A7="","",IF(OR($G7="TAHSIL",$G7="KAPALI"),0,IF($D7="","",raporTarihi-$D7)))</f>
        <v/>
      </c>
      <c r="L7" s="24">
        <f>IF($A7="","",IF($B7="","YETİM",IF(COUNTIF(tblPaydas[MalikId],$B7)=0,"YETİM","")))</f>
        <v/>
      </c>
      <c r="M7" s="24">
        <f>IF(OR($A7="",$F7=""),"",IF(OR($F7&amp;"|"&amp;$G7="",COUNTIF(ListeIzinliGecis,$F7&amp;"|"&amp;$G7)&gt;0),"","GEÇERSİZ GEÇİŞ"))</f>
        <v/>
      </c>
      <c r="N7" s="24">
        <f>IF($A7="","",IF(OR($G7="TAHSIL",$I7&gt;0),IF(OR($H7="",$I7=""),"",IF(ABS($I7-$H7)&gt;zincirTolerans,"ZİNCİR KIRIK","OK")),"OK"))</f>
        <v/>
      </c>
      <c r="O7" s="24">
        <f>IF($A7="","",1)</f>
        <v/>
      </c>
    </row>
    <row r="8">
      <c r="A8" s="23" t="inlineStr">
        <is>
          <t>ICP-003</t>
        </is>
      </c>
      <c r="B8" s="23" t="inlineStr">
        <is>
          <t>MLK-003</t>
        </is>
      </c>
      <c r="C8" s="23" t="inlineStr">
        <is>
          <t>BRC-003</t>
        </is>
      </c>
      <c r="D8" s="61" t="n">
        <v>46215</v>
      </c>
      <c r="E8" s="61" t="n"/>
      <c r="F8" s="23" t="inlineStr">
        <is>
          <t>HATIRLATMA</t>
        </is>
      </c>
      <c r="G8" s="23" t="inlineStr">
        <is>
          <t>ICAP</t>
        </is>
      </c>
      <c r="H8" s="18" t="n">
        <v>2600</v>
      </c>
      <c r="I8" s="18" t="n">
        <v>0</v>
      </c>
      <c r="J8" s="24">
        <f>IF($A8="","",$H8-$I8)</f>
        <v/>
      </c>
      <c r="K8" s="24">
        <f>IF($A8="","",IF(OR($G8="TAHSIL",$G8="KAPALI"),0,IF($D8="","",raporTarihi-$D8)))</f>
        <v/>
      </c>
      <c r="L8" s="24">
        <f>IF($A8="","",IF($B8="","YETİM",IF(COUNTIF(tblPaydas[MalikId],$B8)=0,"YETİM","")))</f>
        <v/>
      </c>
      <c r="M8" s="24">
        <f>IF(OR($A8="",$F8=""),"",IF(OR($F8&amp;"|"&amp;$G8="",COUNTIF(ListeIzinliGecis,$F8&amp;"|"&amp;$G8)&gt;0),"","GEÇERSİZ GEÇİŞ"))</f>
        <v/>
      </c>
      <c r="N8" s="24">
        <f>IF($A8="","",IF(OR($G8="TAHSIL",$I8&gt;0),IF(OR($H8="",$I8=""),"",IF(ABS($I8-$H8)&gt;zincirTolerans,"ZİNCİR KIRIK","OK")),"OK"))</f>
        <v/>
      </c>
      <c r="O8" s="24">
        <f>IF($A8="","",1)</f>
        <v/>
      </c>
    </row>
    <row r="9">
      <c r="A9" s="23" t="inlineStr">
        <is>
          <t>ICP-004</t>
        </is>
      </c>
      <c r="B9" s="23" t="inlineStr">
        <is>
          <t>MLK-004</t>
        </is>
      </c>
      <c r="C9" s="23" t="inlineStr">
        <is>
          <t>BRC-004</t>
        </is>
      </c>
      <c r="D9" s="61" t="n">
        <v>46216</v>
      </c>
      <c r="E9" s="61" t="n">
        <v>46235</v>
      </c>
      <c r="F9" s="23" t="inlineStr">
        <is>
          <t>ICAP</t>
        </is>
      </c>
      <c r="G9" s="23" t="inlineStr">
        <is>
          <t>TAHSIL</t>
        </is>
      </c>
      <c r="H9" s="18" t="n">
        <v>2650</v>
      </c>
      <c r="I9" s="18" t="n">
        <v>2650</v>
      </c>
      <c r="J9" s="24">
        <f>IF($A9="","",$H9-$I9)</f>
        <v/>
      </c>
      <c r="K9" s="24">
        <f>IF($A9="","",IF(OR($G9="TAHSIL",$G9="KAPALI"),0,IF($D9="","",raporTarihi-$D9)))</f>
        <v/>
      </c>
      <c r="L9" s="24">
        <f>IF($A9="","",IF($B9="","YETİM",IF(COUNTIF(tblPaydas[MalikId],$B9)=0,"YETİM","")))</f>
        <v/>
      </c>
      <c r="M9" s="24">
        <f>IF(OR($A9="",$F9=""),"",IF(OR($F9&amp;"|"&amp;$G9="",COUNTIF(ListeIzinliGecis,$F9&amp;"|"&amp;$G9)&gt;0),"","GEÇERSİZ GEÇİŞ"))</f>
        <v/>
      </c>
      <c r="N9" s="24">
        <f>IF($A9="","",IF(OR($G9="TAHSIL",$I9&gt;0),IF(OR($H9="",$I9=""),"",IF(ABS($I9-$H9)&gt;zincirTolerans,"ZİNCİR KIRIK","OK")),"OK"))</f>
        <v/>
      </c>
      <c r="O9" s="24">
        <f>IF($A9="","",1)</f>
        <v/>
      </c>
    </row>
    <row r="10">
      <c r="A10" s="23" t="inlineStr">
        <is>
          <t>ICP-005</t>
        </is>
      </c>
      <c r="B10" s="23" t="inlineStr">
        <is>
          <t>MLK-005</t>
        </is>
      </c>
      <c r="C10" s="23" t="inlineStr">
        <is>
          <t>BRC-005</t>
        </is>
      </c>
      <c r="D10" s="61" t="n">
        <v>46217</v>
      </c>
      <c r="E10" s="61" t="n">
        <v>46235</v>
      </c>
      <c r="F10" s="23" t="inlineStr">
        <is>
          <t>ICAP</t>
        </is>
      </c>
      <c r="G10" s="23" t="inlineStr">
        <is>
          <t>KAPALI</t>
        </is>
      </c>
      <c r="H10" s="18" t="n">
        <v>2700</v>
      </c>
      <c r="I10" s="18" t="n">
        <v>2700</v>
      </c>
      <c r="J10" s="24">
        <f>IF($A10="","",$H10-$I10)</f>
        <v/>
      </c>
      <c r="K10" s="24">
        <f>IF($A10="","",IF(OR($G10="TAHSIL",$G10="KAPALI"),0,IF($D10="","",raporTarihi-$D10)))</f>
        <v/>
      </c>
      <c r="L10" s="24">
        <f>IF($A10="","",IF($B10="","YETİM",IF(COUNTIF(tblPaydas[MalikId],$B10)=0,"YETİM","")))</f>
        <v/>
      </c>
      <c r="M10" s="24">
        <f>IF(OR($A10="",$F10=""),"",IF(OR($F10&amp;"|"&amp;$G10="",COUNTIF(ListeIzinliGecis,$F10&amp;"|"&amp;$G10)&gt;0),"","GEÇERSİZ GEÇİŞ"))</f>
        <v/>
      </c>
      <c r="N10" s="24">
        <f>IF($A10="","",IF(OR($G10="TAHSIL",$I10&gt;0),IF(OR($H10="",$I10=""),"",IF(ABS($I10-$H10)&gt;zincirTolerans,"ZİNCİR KIRIK","OK")),"OK"))</f>
        <v/>
      </c>
      <c r="O10" s="24">
        <f>IF($A10="","",1)</f>
        <v/>
      </c>
    </row>
    <row r="11">
      <c r="A11" s="23" t="inlineStr">
        <is>
          <t>ICP-006</t>
        </is>
      </c>
      <c r="B11" s="23" t="inlineStr">
        <is>
          <t>MLK-006</t>
        </is>
      </c>
      <c r="C11" s="23" t="inlineStr">
        <is>
          <t>BRC-006</t>
        </is>
      </c>
      <c r="D11" s="61" t="n">
        <v>46218</v>
      </c>
      <c r="E11" s="61" t="n"/>
      <c r="F11" s="23" t="n"/>
      <c r="G11" s="23" t="inlineStr">
        <is>
          <t>ACIK</t>
        </is>
      </c>
      <c r="H11" s="18" t="n">
        <v>2750</v>
      </c>
      <c r="I11" s="18" t="n">
        <v>0</v>
      </c>
      <c r="J11" s="24">
        <f>IF($A11="","",$H11-$I11)</f>
        <v/>
      </c>
      <c r="K11" s="24">
        <f>IF($A11="","",IF(OR($G11="TAHSIL",$G11="KAPALI"),0,IF($D11="","",raporTarihi-$D11)))</f>
        <v/>
      </c>
      <c r="L11" s="24">
        <f>IF($A11="","",IF($B11="","YETİM",IF(COUNTIF(tblPaydas[MalikId],$B11)=0,"YETİM","")))</f>
        <v/>
      </c>
      <c r="M11" s="24">
        <f>IF(OR($A11="",$F11=""),"",IF(OR($F11&amp;"|"&amp;$G11="",COUNTIF(ListeIzinliGecis,$F11&amp;"|"&amp;$G11)&gt;0),"","GEÇERSİZ GEÇİŞ"))</f>
        <v/>
      </c>
      <c r="N11" s="24">
        <f>IF($A11="","",IF(OR($G11="TAHSIL",$I11&gt;0),IF(OR($H11="",$I11=""),"",IF(ABS($I11-$H11)&gt;zincirTolerans,"ZİNCİR KIRIK","OK")),"OK"))</f>
        <v/>
      </c>
      <c r="O11" s="24">
        <f>IF($A11="","",1)</f>
        <v/>
      </c>
    </row>
    <row r="12">
      <c r="A12" s="23" t="inlineStr">
        <is>
          <t>ICP-007</t>
        </is>
      </c>
      <c r="B12" s="23" t="inlineStr">
        <is>
          <t>MLK-007</t>
        </is>
      </c>
      <c r="C12" s="23" t="inlineStr">
        <is>
          <t>BRC-007</t>
        </is>
      </c>
      <c r="D12" s="61" t="n">
        <v>46219</v>
      </c>
      <c r="E12" s="61" t="n"/>
      <c r="F12" s="23" t="inlineStr">
        <is>
          <t>ACIK</t>
        </is>
      </c>
      <c r="G12" s="23" t="inlineStr">
        <is>
          <t>HATIRLATMA</t>
        </is>
      </c>
      <c r="H12" s="18" t="n">
        <v>2800</v>
      </c>
      <c r="I12" s="18" t="n">
        <v>0</v>
      </c>
      <c r="J12" s="24">
        <f>IF($A12="","",$H12-$I12)</f>
        <v/>
      </c>
      <c r="K12" s="24">
        <f>IF($A12="","",IF(OR($G12="TAHSIL",$G12="KAPALI"),0,IF($D12="","",raporTarihi-$D12)))</f>
        <v/>
      </c>
      <c r="L12" s="24">
        <f>IF($A12="","",IF($B12="","YETİM",IF(COUNTIF(tblPaydas[MalikId],$B12)=0,"YETİM","")))</f>
        <v/>
      </c>
      <c r="M12" s="24">
        <f>IF(OR($A12="",$F12=""),"",IF(OR($F12&amp;"|"&amp;$G12="",COUNTIF(ListeIzinliGecis,$F12&amp;"|"&amp;$G12)&gt;0),"","GEÇERSİZ GEÇİŞ"))</f>
        <v/>
      </c>
      <c r="N12" s="24">
        <f>IF($A12="","",IF(OR($G12="TAHSIL",$I12&gt;0),IF(OR($H12="",$I12=""),"",IF(ABS($I12-$H12)&gt;zincirTolerans,"ZİNCİR KIRIK","OK")),"OK"))</f>
        <v/>
      </c>
      <c r="O12" s="24">
        <f>IF($A12="","",1)</f>
        <v/>
      </c>
    </row>
    <row r="13">
      <c r="A13" s="23" t="inlineStr">
        <is>
          <t>ICP-008</t>
        </is>
      </c>
      <c r="B13" s="23" t="inlineStr">
        <is>
          <t>MLK-008</t>
        </is>
      </c>
      <c r="C13" s="23" t="inlineStr">
        <is>
          <t>BRC-008</t>
        </is>
      </c>
      <c r="D13" s="61" t="n">
        <v>46220</v>
      </c>
      <c r="E13" s="61" t="n"/>
      <c r="F13" s="23" t="inlineStr">
        <is>
          <t>HATIRLATMA</t>
        </is>
      </c>
      <c r="G13" s="23" t="inlineStr">
        <is>
          <t>ICAP</t>
        </is>
      </c>
      <c r="H13" s="18" t="n">
        <v>2850</v>
      </c>
      <c r="I13" s="18" t="n">
        <v>0</v>
      </c>
      <c r="J13" s="24">
        <f>IF($A13="","",$H13-$I13)</f>
        <v/>
      </c>
      <c r="K13" s="24">
        <f>IF($A13="","",IF(OR($G13="TAHSIL",$G13="KAPALI"),0,IF($D13="","",raporTarihi-$D13)))</f>
        <v/>
      </c>
      <c r="L13" s="24">
        <f>IF($A13="","",IF($B13="","YETİM",IF(COUNTIF(tblPaydas[MalikId],$B13)=0,"YETİM","")))</f>
        <v/>
      </c>
      <c r="M13" s="24">
        <f>IF(OR($A13="",$F13=""),"",IF(OR($F13&amp;"|"&amp;$G13="",COUNTIF(ListeIzinliGecis,$F13&amp;"|"&amp;$G13)&gt;0),"","GEÇERSİZ GEÇİŞ"))</f>
        <v/>
      </c>
      <c r="N13" s="24">
        <f>IF($A13="","",IF(OR($G13="TAHSIL",$I13&gt;0),IF(OR($H13="",$I13=""),"",IF(ABS($I13-$H13)&gt;zincirTolerans,"ZİNCİR KIRIK","OK")),"OK"))</f>
        <v/>
      </c>
      <c r="O13" s="24">
        <f>IF($A13="","",1)</f>
        <v/>
      </c>
    </row>
    <row r="14">
      <c r="A14" s="23" t="inlineStr">
        <is>
          <t>ICP-009</t>
        </is>
      </c>
      <c r="B14" s="23" t="inlineStr">
        <is>
          <t>MLK-009</t>
        </is>
      </c>
      <c r="C14" s="23" t="inlineStr">
        <is>
          <t>BRC-009</t>
        </is>
      </c>
      <c r="D14" s="61" t="n">
        <v>46221</v>
      </c>
      <c r="E14" s="61" t="n"/>
      <c r="F14" s="23" t="n"/>
      <c r="G14" s="23" t="inlineStr">
        <is>
          <t>ACIK</t>
        </is>
      </c>
      <c r="H14" s="18" t="n">
        <v>2900</v>
      </c>
      <c r="I14" s="18" t="n">
        <v>0</v>
      </c>
      <c r="J14" s="24">
        <f>IF($A14="","",$H14-$I14)</f>
        <v/>
      </c>
      <c r="K14" s="24">
        <f>IF($A14="","",IF(OR($G14="TAHSIL",$G14="KAPALI"),0,IF($D14="","",raporTarihi-$D14)))</f>
        <v/>
      </c>
      <c r="L14" s="24">
        <f>IF($A14="","",IF($B14="","YETİM",IF(COUNTIF(tblPaydas[MalikId],$B14)=0,"YETİM","")))</f>
        <v/>
      </c>
      <c r="M14" s="24">
        <f>IF(OR($A14="",$F14=""),"",IF(OR($F14&amp;"|"&amp;$G14="",COUNTIF(ListeIzinliGecis,$F14&amp;"|"&amp;$G14)&gt;0),"","GEÇERSİZ GEÇİŞ"))</f>
        <v/>
      </c>
      <c r="N14" s="24">
        <f>IF($A14="","",IF(OR($G14="TAHSIL",$I14&gt;0),IF(OR($H14="",$I14=""),"",IF(ABS($I14-$H14)&gt;zincirTolerans,"ZİNCİR KIRIK","OK")),"OK"))</f>
        <v/>
      </c>
      <c r="O14" s="24">
        <f>IF($A14="","",1)</f>
        <v/>
      </c>
    </row>
    <row r="15">
      <c r="A15" s="23" t="inlineStr">
        <is>
          <t>ICP-010</t>
        </is>
      </c>
      <c r="B15" s="23" t="inlineStr">
        <is>
          <t>MLK-010</t>
        </is>
      </c>
      <c r="C15" s="23" t="inlineStr">
        <is>
          <t>BRC-010</t>
        </is>
      </c>
      <c r="D15" s="61" t="n">
        <v>46222</v>
      </c>
      <c r="E15" s="61" t="n"/>
      <c r="F15" s="23" t="inlineStr">
        <is>
          <t>ACIK</t>
        </is>
      </c>
      <c r="G15" s="23" t="inlineStr">
        <is>
          <t>HATIRLATMA</t>
        </is>
      </c>
      <c r="H15" s="18" t="n">
        <v>2950</v>
      </c>
      <c r="I15" s="18" t="n">
        <v>0</v>
      </c>
      <c r="J15" s="24">
        <f>IF($A15="","",$H15-$I15)</f>
        <v/>
      </c>
      <c r="K15" s="24">
        <f>IF($A15="","",IF(OR($G15="TAHSIL",$G15="KAPALI"),0,IF($D15="","",raporTarihi-$D15)))</f>
        <v/>
      </c>
      <c r="L15" s="24">
        <f>IF($A15="","",IF($B15="","YETİM",IF(COUNTIF(tblPaydas[MalikId],$B15)=0,"YETİM","")))</f>
        <v/>
      </c>
      <c r="M15" s="24">
        <f>IF(OR($A15="",$F15=""),"",IF(OR($F15&amp;"|"&amp;$G15="",COUNTIF(ListeIzinliGecis,$F15&amp;"|"&amp;$G15)&gt;0),"","GEÇERSİZ GEÇİŞ"))</f>
        <v/>
      </c>
      <c r="N15" s="24">
        <f>IF($A15="","",IF(OR($G15="TAHSIL",$I15&gt;0),IF(OR($H15="",$I15=""),"",IF(ABS($I15-$H15)&gt;zincirTolerans,"ZİNCİR KIRIK","OK")),"OK"))</f>
        <v/>
      </c>
      <c r="O15" s="24">
        <f>IF($A15="","",1)</f>
        <v/>
      </c>
    </row>
    <row r="16">
      <c r="A16" s="23" t="inlineStr">
        <is>
          <t>ICP-011</t>
        </is>
      </c>
      <c r="B16" s="23" t="inlineStr">
        <is>
          <t>MLK-011</t>
        </is>
      </c>
      <c r="C16" s="23" t="inlineStr">
        <is>
          <t>BRC-011</t>
        </is>
      </c>
      <c r="D16" s="61" t="n">
        <v>46223</v>
      </c>
      <c r="E16" s="61" t="n"/>
      <c r="F16" s="23" t="inlineStr">
        <is>
          <t>ACIK</t>
        </is>
      </c>
      <c r="G16" s="23" t="inlineStr">
        <is>
          <t>ICAP</t>
        </is>
      </c>
      <c r="H16" s="18" t="n">
        <v>3000</v>
      </c>
      <c r="I16" s="18" t="n">
        <v>0</v>
      </c>
      <c r="J16" s="24">
        <f>IF($A16="","",$H16-$I16)</f>
        <v/>
      </c>
      <c r="K16" s="24">
        <f>IF($A16="","",IF(OR($G16="TAHSIL",$G16="KAPALI"),0,IF($D16="","",raporTarihi-$D16)))</f>
        <v/>
      </c>
      <c r="L16" s="24">
        <f>IF($A16="","",IF($B16="","YETİM",IF(COUNTIF(tblPaydas[MalikId],$B16)=0,"YETİM","")))</f>
        <v/>
      </c>
      <c r="M16" s="24">
        <f>IF(OR($A16="",$F16=""),"",IF(OR($F16&amp;"|"&amp;$G16="",COUNTIF(ListeIzinliGecis,$F16&amp;"|"&amp;$G16)&gt;0),"","GEÇERSİZ GEÇİŞ"))</f>
        <v/>
      </c>
      <c r="N16" s="24">
        <f>IF($A16="","",IF(OR($G16="TAHSIL",$I16&gt;0),IF(OR($H16="",$I16=""),"",IF(ABS($I16-$H16)&gt;zincirTolerans,"ZİNCİR KIRIK","OK")),"OK"))</f>
        <v/>
      </c>
      <c r="O16" s="24">
        <f>IF($A16="","",1)</f>
        <v/>
      </c>
    </row>
    <row r="17">
      <c r="A17" s="23" t="inlineStr">
        <is>
          <t>ICP-012</t>
        </is>
      </c>
      <c r="B17" s="23" t="inlineStr">
        <is>
          <t>MLK-012</t>
        </is>
      </c>
      <c r="C17" s="23" t="inlineStr">
        <is>
          <t>BRC-012</t>
        </is>
      </c>
      <c r="D17" s="61" t="n">
        <v>46224</v>
      </c>
      <c r="E17" s="61" t="n">
        <v>46235</v>
      </c>
      <c r="F17" s="23" t="inlineStr">
        <is>
          <t>ICAP</t>
        </is>
      </c>
      <c r="G17" s="23" t="inlineStr">
        <is>
          <t>TAHSIL</t>
        </is>
      </c>
      <c r="H17" s="18" t="n">
        <v>3050</v>
      </c>
      <c r="I17" s="18" t="n">
        <v>3050</v>
      </c>
      <c r="J17" s="24">
        <f>IF($A17="","",$H17-$I17)</f>
        <v/>
      </c>
      <c r="K17" s="24">
        <f>IF($A17="","",IF(OR($G17="TAHSIL",$G17="KAPALI"),0,IF($D17="","",raporTarihi-$D17)))</f>
        <v/>
      </c>
      <c r="L17" s="24">
        <f>IF($A17="","",IF($B17="","YETİM",IF(COUNTIF(tblPaydas[MalikId],$B17)=0,"YETİM","")))</f>
        <v/>
      </c>
      <c r="M17" s="24">
        <f>IF(OR($A17="",$F17=""),"",IF(OR($F17&amp;"|"&amp;$G17="",COUNTIF(ListeIzinliGecis,$F17&amp;"|"&amp;$G17)&gt;0),"","GEÇERSİZ GEÇİŞ"))</f>
        <v/>
      </c>
      <c r="N17" s="24">
        <f>IF($A17="","",IF(OR($G17="TAHSIL",$I17&gt;0),IF(OR($H17="",$I17=""),"",IF(ABS($I17-$H17)&gt;zincirTolerans,"ZİNCİR KIRIK","OK")),"OK"))</f>
        <v/>
      </c>
      <c r="O17" s="24">
        <f>IF($A17="","",1)</f>
        <v/>
      </c>
    </row>
    <row r="18">
      <c r="A18" s="23" t="inlineStr">
        <is>
          <t>ICP-013</t>
        </is>
      </c>
      <c r="B18" s="23" t="inlineStr">
        <is>
          <t>MLK-001</t>
        </is>
      </c>
      <c r="C18" s="23" t="inlineStr">
        <is>
          <t>BRC-013</t>
        </is>
      </c>
      <c r="D18" s="61" t="n">
        <v>46225</v>
      </c>
      <c r="E18" s="61" t="n">
        <v>46235</v>
      </c>
      <c r="F18" s="23" t="inlineStr">
        <is>
          <t>ICAP</t>
        </is>
      </c>
      <c r="G18" s="23" t="inlineStr">
        <is>
          <t>KAPALI</t>
        </is>
      </c>
      <c r="H18" s="18" t="n">
        <v>3100</v>
      </c>
      <c r="I18" s="18" t="n">
        <v>3100</v>
      </c>
      <c r="J18" s="24">
        <f>IF($A18="","",$H18-$I18)</f>
        <v/>
      </c>
      <c r="K18" s="24">
        <f>IF($A18="","",IF(OR($G18="TAHSIL",$G18="KAPALI"),0,IF($D18="","",raporTarihi-$D18)))</f>
        <v/>
      </c>
      <c r="L18" s="24">
        <f>IF($A18="","",IF($B18="","YETİM",IF(COUNTIF(tblPaydas[MalikId],$B18)=0,"YETİM","")))</f>
        <v/>
      </c>
      <c r="M18" s="24">
        <f>IF(OR($A18="",$F18=""),"",IF(OR($F18&amp;"|"&amp;$G18="",COUNTIF(ListeIzinliGecis,$F18&amp;"|"&amp;$G18)&gt;0),"","GEÇERSİZ GEÇİŞ"))</f>
        <v/>
      </c>
      <c r="N18" s="24">
        <f>IF($A18="","",IF(OR($G18="TAHSIL",$I18&gt;0),IF(OR($H18="",$I18=""),"",IF(ABS($I18-$H18)&gt;zincirTolerans,"ZİNCİR KIRIK","OK")),"OK"))</f>
        <v/>
      </c>
      <c r="O18" s="24">
        <f>IF($A18="","",1)</f>
        <v/>
      </c>
    </row>
    <row r="19">
      <c r="A19" s="23" t="inlineStr">
        <is>
          <t>ICP-014</t>
        </is>
      </c>
      <c r="B19" s="23" t="inlineStr">
        <is>
          <t>MLK-002</t>
        </is>
      </c>
      <c r="C19" s="23" t="inlineStr">
        <is>
          <t>BRC-014</t>
        </is>
      </c>
      <c r="D19" s="61" t="n">
        <v>46226</v>
      </c>
      <c r="E19" s="61" t="n"/>
      <c r="F19" s="23" t="n"/>
      <c r="G19" s="23" t="inlineStr">
        <is>
          <t>ACIK</t>
        </is>
      </c>
      <c r="H19" s="18" t="n">
        <v>3150</v>
      </c>
      <c r="I19" s="18" t="n">
        <v>0</v>
      </c>
      <c r="J19" s="24">
        <f>IF($A19="","",$H19-$I19)</f>
        <v/>
      </c>
      <c r="K19" s="24">
        <f>IF($A19="","",IF(OR($G19="TAHSIL",$G19="KAPALI"),0,IF($D19="","",raporTarihi-$D19)))</f>
        <v/>
      </c>
      <c r="L19" s="24">
        <f>IF($A19="","",IF($B19="","YETİM",IF(COUNTIF(tblPaydas[MalikId],$B19)=0,"YETİM","")))</f>
        <v/>
      </c>
      <c r="M19" s="24">
        <f>IF(OR($A19="",$F19=""),"",IF(OR($F19&amp;"|"&amp;$G19="",COUNTIF(ListeIzinliGecis,$F19&amp;"|"&amp;$G19)&gt;0),"","GEÇERSİZ GEÇİŞ"))</f>
        <v/>
      </c>
      <c r="N19" s="24">
        <f>IF($A19="","",IF(OR($G19="TAHSIL",$I19&gt;0),IF(OR($H19="",$I19=""),"",IF(ABS($I19-$H19)&gt;zincirTolerans,"ZİNCİR KIRIK","OK")),"OK"))</f>
        <v/>
      </c>
      <c r="O19" s="24">
        <f>IF($A19="","",1)</f>
        <v/>
      </c>
    </row>
    <row r="20">
      <c r="A20" s="23" t="inlineStr">
        <is>
          <t>ICP-015</t>
        </is>
      </c>
      <c r="B20" s="23" t="inlineStr">
        <is>
          <t>MLK-003</t>
        </is>
      </c>
      <c r="C20" s="23" t="inlineStr">
        <is>
          <t>BRC-015</t>
        </is>
      </c>
      <c r="D20" s="61" t="n">
        <v>46227</v>
      </c>
      <c r="E20" s="61" t="n"/>
      <c r="F20" s="23" t="inlineStr">
        <is>
          <t>ACIK</t>
        </is>
      </c>
      <c r="G20" s="23" t="inlineStr">
        <is>
          <t>HATIRLATMA</t>
        </is>
      </c>
      <c r="H20" s="18" t="n">
        <v>3200</v>
      </c>
      <c r="I20" s="18" t="n">
        <v>0</v>
      </c>
      <c r="J20" s="24">
        <f>IF($A20="","",$H20-$I20)</f>
        <v/>
      </c>
      <c r="K20" s="24">
        <f>IF($A20="","",IF(OR($G20="TAHSIL",$G20="KAPALI"),0,IF($D20="","",raporTarihi-$D20)))</f>
        <v/>
      </c>
      <c r="L20" s="24">
        <f>IF($A20="","",IF($B20="","YETİM",IF(COUNTIF(tblPaydas[MalikId],$B20)=0,"YETİM","")))</f>
        <v/>
      </c>
      <c r="M20" s="24">
        <f>IF(OR($A20="",$F20=""),"",IF(OR($F20&amp;"|"&amp;$G20="",COUNTIF(ListeIzinliGecis,$F20&amp;"|"&amp;$G20)&gt;0),"","GEÇERSİZ GEÇİŞ"))</f>
        <v/>
      </c>
      <c r="N20" s="24">
        <f>IF($A20="","",IF(OR($G20="TAHSIL",$I20&gt;0),IF(OR($H20="",$I20=""),"",IF(ABS($I20-$H20)&gt;zincirTolerans,"ZİNCİR KIRIK","OK")),"OK"))</f>
        <v/>
      </c>
      <c r="O20" s="24">
        <f>IF($A20="","",1)</f>
        <v/>
      </c>
    </row>
    <row r="21">
      <c r="A21" s="23" t="inlineStr">
        <is>
          <t>ICP-016</t>
        </is>
      </c>
      <c r="B21" s="23" t="inlineStr">
        <is>
          <t>MLK-999</t>
        </is>
      </c>
      <c r="C21" s="23" t="inlineStr">
        <is>
          <t>BRC-016</t>
        </is>
      </c>
      <c r="D21" s="61" t="n">
        <v>46228</v>
      </c>
      <c r="E21" s="61" t="n"/>
      <c r="F21" s="23" t="inlineStr">
        <is>
          <t>HATIRLATMA</t>
        </is>
      </c>
      <c r="G21" s="23" t="inlineStr">
        <is>
          <t>ICAP</t>
        </is>
      </c>
      <c r="H21" s="18" t="n">
        <v>3250</v>
      </c>
      <c r="I21" s="18" t="n">
        <v>0</v>
      </c>
      <c r="J21" s="24">
        <f>IF($A21="","",$H21-$I21)</f>
        <v/>
      </c>
      <c r="K21" s="24">
        <f>IF($A21="","",IF(OR($G21="TAHSIL",$G21="KAPALI"),0,IF($D21="","",raporTarihi-$D21)))</f>
        <v/>
      </c>
      <c r="L21" s="24">
        <f>IF($A21="","",IF($B21="","YETİM",IF(COUNTIF(tblPaydas[MalikId],$B21)=0,"YETİM","")))</f>
        <v/>
      </c>
      <c r="M21" s="24">
        <f>IF(OR($A21="",$F21=""),"",IF(OR($F21&amp;"|"&amp;$G21="",COUNTIF(ListeIzinliGecis,$F21&amp;"|"&amp;$G21)&gt;0),"","GEÇERSİZ GEÇİŞ"))</f>
        <v/>
      </c>
      <c r="N21" s="24">
        <f>IF($A21="","",IF(OR($G21="TAHSIL",$I21&gt;0),IF(OR($H21="",$I21=""),"",IF(ABS($I21-$H21)&gt;zincirTolerans,"ZİNCİR KIRIK","OK")),"OK"))</f>
        <v/>
      </c>
      <c r="O21" s="24">
        <f>IF($A21="","",1)</f>
        <v/>
      </c>
    </row>
    <row r="22">
      <c r="A22" s="23" t="inlineStr">
        <is>
          <t>ICP-017</t>
        </is>
      </c>
      <c r="B22" s="23" t="inlineStr">
        <is>
          <t>MLK-005</t>
        </is>
      </c>
      <c r="C22" s="23" t="inlineStr">
        <is>
          <t>BRC-017</t>
        </is>
      </c>
      <c r="D22" s="61" t="n">
        <v>46229</v>
      </c>
      <c r="E22" s="61" t="n"/>
      <c r="F22" s="23" t="n"/>
      <c r="G22" s="23" t="inlineStr">
        <is>
          <t>ACIK</t>
        </is>
      </c>
      <c r="H22" s="18" t="n">
        <v>3300</v>
      </c>
      <c r="I22" s="18" t="n">
        <v>0</v>
      </c>
      <c r="J22" s="24">
        <f>IF($A22="","",$H22-$I22)</f>
        <v/>
      </c>
      <c r="K22" s="24">
        <f>IF($A22="","",IF(OR($G22="TAHSIL",$G22="KAPALI"),0,IF($D22="","",raporTarihi-$D22)))</f>
        <v/>
      </c>
      <c r="L22" s="24">
        <f>IF($A22="","",IF($B22="","YETİM",IF(COUNTIF(tblPaydas[MalikId],$B22)=0,"YETİM","")))</f>
        <v/>
      </c>
      <c r="M22" s="24">
        <f>IF(OR($A22="",$F22=""),"",IF(OR($F22&amp;"|"&amp;$G22="",COUNTIF(ListeIzinliGecis,$F22&amp;"|"&amp;$G22)&gt;0),"","GEÇERSİZ GEÇİŞ"))</f>
        <v/>
      </c>
      <c r="N22" s="24">
        <f>IF($A22="","",IF(OR($G22="TAHSIL",$I22&gt;0),IF(OR($H22="",$I22=""),"",IF(ABS($I22-$H22)&gt;zincirTolerans,"ZİNCİR KIRIK","OK")),"OK"))</f>
        <v/>
      </c>
      <c r="O22" s="24">
        <f>IF($A22="","",1)</f>
        <v/>
      </c>
    </row>
    <row r="23">
      <c r="A23" s="23" t="inlineStr">
        <is>
          <t>ICP-018</t>
        </is>
      </c>
      <c r="B23" s="23" t="inlineStr">
        <is>
          <t>MLK-006</t>
        </is>
      </c>
      <c r="C23" s="23" t="inlineStr">
        <is>
          <t>BRC-018</t>
        </is>
      </c>
      <c r="D23" s="61" t="n">
        <v>46230</v>
      </c>
      <c r="E23" s="61" t="n"/>
      <c r="F23" s="23" t="inlineStr">
        <is>
          <t>ACIK</t>
        </is>
      </c>
      <c r="G23" s="23" t="inlineStr">
        <is>
          <t>HATIRLATMA</t>
        </is>
      </c>
      <c r="H23" s="18" t="n">
        <v>3350</v>
      </c>
      <c r="I23" s="18" t="n">
        <v>0</v>
      </c>
      <c r="J23" s="24">
        <f>IF($A23="","",$H23-$I23)</f>
        <v/>
      </c>
      <c r="K23" s="24">
        <f>IF($A23="","",IF(OR($G23="TAHSIL",$G23="KAPALI"),0,IF($D23="","",raporTarihi-$D23)))</f>
        <v/>
      </c>
      <c r="L23" s="24">
        <f>IF($A23="","",IF($B23="","YETİM",IF(COUNTIF(tblPaydas[MalikId],$B23)=0,"YETİM","")))</f>
        <v/>
      </c>
      <c r="M23" s="24">
        <f>IF(OR($A23="",$F23=""),"",IF(OR($F23&amp;"|"&amp;$G23="",COUNTIF(ListeIzinliGecis,$F23&amp;"|"&amp;$G23)&gt;0),"","GEÇERSİZ GEÇİŞ"))</f>
        <v/>
      </c>
      <c r="N23" s="24">
        <f>IF($A23="","",IF(OR($G23="TAHSIL",$I23&gt;0),IF(OR($H23="",$I23=""),"",IF(ABS($I23-$H23)&gt;zincirTolerans,"ZİNCİR KIRIK","OK")),"OK"))</f>
        <v/>
      </c>
      <c r="O23" s="24">
        <f>IF($A23="","",1)</f>
        <v/>
      </c>
    </row>
    <row r="24">
      <c r="J24" s="24">
        <f>IF($A24="","",$H24-$I24)</f>
        <v/>
      </c>
      <c r="K24" s="24">
        <f>IF($A24="","",IF(OR($G24="TAHSIL",$G24="KAPALI"),0,IF($D24="","",raporTarihi-$D24)))</f>
        <v/>
      </c>
      <c r="L24" s="24">
        <f>IF($A24="","",IF($B24="","YETİM",IF(COUNTIF(tblPaydas[MalikId],$B24)=0,"YETİM","")))</f>
        <v/>
      </c>
      <c r="M24" s="24">
        <f>IF(OR($A24="",$F24=""),"",IF(OR($F24&amp;"|"&amp;$G24="",COUNTIF(ListeIzinliGecis,$F24&amp;"|"&amp;$G24)&gt;0),"","GEÇERSİZ GEÇİŞ"))</f>
        <v/>
      </c>
      <c r="N24" s="24">
        <f>IF($A24="","",IF(OR($G24="TAHSIL",$I24&gt;0),IF(OR($H24="",$I24=""),"",IF(ABS($I24-$H24)&gt;zincirTolerans,"ZİNCİR KIRIK","OK")),"OK"))</f>
        <v/>
      </c>
      <c r="O24" s="24">
        <f>IF($A24="","",1)</f>
        <v/>
      </c>
    </row>
    <row r="25">
      <c r="J25" s="24">
        <f>IF($A25="","",$H25-$I25)</f>
        <v/>
      </c>
      <c r="K25" s="24">
        <f>IF($A25="","",IF(OR($G25="TAHSIL",$G25="KAPALI"),0,IF($D25="","",raporTarihi-$D25)))</f>
        <v/>
      </c>
      <c r="L25" s="24">
        <f>IF($A25="","",IF($B25="","YETİM",IF(COUNTIF(tblPaydas[MalikId],$B25)=0,"YETİM","")))</f>
        <v/>
      </c>
      <c r="M25" s="24">
        <f>IF(OR($A25="",$F25=""),"",IF(OR($F25&amp;"|"&amp;$G25="",COUNTIF(ListeIzinliGecis,$F25&amp;"|"&amp;$G25)&gt;0),"","GEÇERSİZ GEÇİŞ"))</f>
        <v/>
      </c>
      <c r="N25" s="24">
        <f>IF($A25="","",IF(OR($G25="TAHSIL",$I25&gt;0),IF(OR($H25="",$I25=""),"",IF(ABS($I25-$H25)&gt;zincirTolerans,"ZİNCİR KIRIK","OK")),"OK"))</f>
        <v/>
      </c>
      <c r="O25" s="24">
        <f>IF($A25="","",1)</f>
        <v/>
      </c>
    </row>
    <row r="26">
      <c r="J26" s="24">
        <f>IF($A26="","",$H26-$I26)</f>
        <v/>
      </c>
      <c r="K26" s="24">
        <f>IF($A26="","",IF(OR($G26="TAHSIL",$G26="KAPALI"),0,IF($D26="","",raporTarihi-$D26)))</f>
        <v/>
      </c>
      <c r="L26" s="24">
        <f>IF($A26="","",IF($B26="","YETİM",IF(COUNTIF(tblPaydas[MalikId],$B26)=0,"YETİM","")))</f>
        <v/>
      </c>
      <c r="M26" s="24">
        <f>IF(OR($A26="",$F26=""),"",IF(OR($F26&amp;"|"&amp;$G26="",COUNTIF(ListeIzinliGecis,$F26&amp;"|"&amp;$G26)&gt;0),"","GEÇERSİZ GEÇİŞ"))</f>
        <v/>
      </c>
      <c r="N26" s="24">
        <f>IF($A26="","",IF(OR($G26="TAHSIL",$I26&gt;0),IF(OR($H26="",$I26=""),"",IF(ABS($I26-$H26)&gt;zincirTolerans,"ZİNCİR KIRIK","OK")),"OK"))</f>
        <v/>
      </c>
      <c r="O26" s="24">
        <f>IF($A26="","",1)</f>
        <v/>
      </c>
    </row>
    <row r="27">
      <c r="J27" s="24">
        <f>IF($A27="","",$H27-$I27)</f>
        <v/>
      </c>
      <c r="K27" s="24">
        <f>IF($A27="","",IF(OR($G27="TAHSIL",$G27="KAPALI"),0,IF($D27="","",raporTarihi-$D27)))</f>
        <v/>
      </c>
      <c r="L27" s="24">
        <f>IF($A27="","",IF($B27="","YETİM",IF(COUNTIF(tblPaydas[MalikId],$B27)=0,"YETİM","")))</f>
        <v/>
      </c>
      <c r="M27" s="24">
        <f>IF(OR($A27="",$F27=""),"",IF(OR($F27&amp;"|"&amp;$G27="",COUNTIF(ListeIzinliGecis,$F27&amp;"|"&amp;$G27)&gt;0),"","GEÇERSİZ GEÇİŞ"))</f>
        <v/>
      </c>
      <c r="N27" s="24">
        <f>IF($A27="","",IF(OR($G27="TAHSIL",$I27&gt;0),IF(OR($H27="",$I27=""),"",IF(ABS($I27-$H27)&gt;zincirTolerans,"ZİNCİR KIRIK","OK")),"OK"))</f>
        <v/>
      </c>
      <c r="O27" s="24">
        <f>IF($A27="","",1)</f>
        <v/>
      </c>
    </row>
    <row r="28">
      <c r="J28" s="24">
        <f>IF($A28="","",$H28-$I28)</f>
        <v/>
      </c>
      <c r="K28" s="24">
        <f>IF($A28="","",IF(OR($G28="TAHSIL",$G28="KAPALI"),0,IF($D28="","",raporTarihi-$D28)))</f>
        <v/>
      </c>
      <c r="L28" s="24">
        <f>IF($A28="","",IF($B28="","YETİM",IF(COUNTIF(tblPaydas[MalikId],$B28)=0,"YETİM","")))</f>
        <v/>
      </c>
      <c r="M28" s="24">
        <f>IF(OR($A28="",$F28=""),"",IF(OR($F28&amp;"|"&amp;$G28="",COUNTIF(ListeIzinliGecis,$F28&amp;"|"&amp;$G28)&gt;0),"","GEÇERSİZ GEÇİŞ"))</f>
        <v/>
      </c>
      <c r="N28" s="24">
        <f>IF($A28="","",IF(OR($G28="TAHSIL",$I28&gt;0),IF(OR($H28="",$I28=""),"",IF(ABS($I28-$H28)&gt;zincirTolerans,"ZİNCİR KIRIK","OK")),"OK"))</f>
        <v/>
      </c>
      <c r="O28" s="24">
        <f>IF($A28="","",1)</f>
        <v/>
      </c>
    </row>
    <row r="29">
      <c r="J29" s="24">
        <f>IF($A29="","",$H29-$I29)</f>
        <v/>
      </c>
      <c r="K29" s="24">
        <f>IF($A29="","",IF(OR($G29="TAHSIL",$G29="KAPALI"),0,IF($D29="","",raporTarihi-$D29)))</f>
        <v/>
      </c>
      <c r="L29" s="24">
        <f>IF($A29="","",IF($B29="","YETİM",IF(COUNTIF(tblPaydas[MalikId],$B29)=0,"YETİM","")))</f>
        <v/>
      </c>
      <c r="M29" s="24">
        <f>IF(OR($A29="",$F29=""),"",IF(OR($F29&amp;"|"&amp;$G29="",COUNTIF(ListeIzinliGecis,$F29&amp;"|"&amp;$G29)&gt;0),"","GEÇERSİZ GEÇİŞ"))</f>
        <v/>
      </c>
      <c r="N29" s="24">
        <f>IF($A29="","",IF(OR($G29="TAHSIL",$I29&gt;0),IF(OR($H29="",$I29=""),"",IF(ABS($I29-$H29)&gt;zincirTolerans,"ZİNCİR KIRIK","OK")),"OK"))</f>
        <v/>
      </c>
      <c r="O29" s="24">
        <f>IF($A29="","",1)</f>
        <v/>
      </c>
    </row>
    <row r="30">
      <c r="J30" s="24">
        <f>IF($A30="","",$H30-$I30)</f>
        <v/>
      </c>
      <c r="K30" s="24">
        <f>IF($A30="","",IF(OR($G30="TAHSIL",$G30="KAPALI"),0,IF($D30="","",raporTarihi-$D30)))</f>
        <v/>
      </c>
      <c r="L30" s="24">
        <f>IF($A30="","",IF($B30="","YETİM",IF(COUNTIF(tblPaydas[MalikId],$B30)=0,"YETİM","")))</f>
        <v/>
      </c>
      <c r="M30" s="24">
        <f>IF(OR($A30="",$F30=""),"",IF(OR($F30&amp;"|"&amp;$G30="",COUNTIF(ListeIzinliGecis,$F30&amp;"|"&amp;$G30)&gt;0),"","GEÇERSİZ GEÇİŞ"))</f>
        <v/>
      </c>
      <c r="N30" s="24">
        <f>IF($A30="","",IF(OR($G30="TAHSIL",$I30&gt;0),IF(OR($H30="",$I30=""),"",IF(ABS($I30-$H30)&gt;zincirTolerans,"ZİNCİR KIRIK","OK")),"OK"))</f>
        <v/>
      </c>
      <c r="O30" s="24">
        <f>IF($A30="","",1)</f>
        <v/>
      </c>
    </row>
    <row r="31">
      <c r="J31" s="24">
        <f>IF($A31="","",$H31-$I31)</f>
        <v/>
      </c>
      <c r="K31" s="24">
        <f>IF($A31="","",IF(OR($G31="TAHSIL",$G31="KAPALI"),0,IF($D31="","",raporTarihi-$D31)))</f>
        <v/>
      </c>
      <c r="L31" s="24">
        <f>IF($A31="","",IF($B31="","YETİM",IF(COUNTIF(tblPaydas[MalikId],$B31)=0,"YETİM","")))</f>
        <v/>
      </c>
      <c r="M31" s="24">
        <f>IF(OR($A31="",$F31=""),"",IF(OR($F31&amp;"|"&amp;$G31="",COUNTIF(ListeIzinliGecis,$F31&amp;"|"&amp;$G31)&gt;0),"","GEÇERSİZ GEÇİŞ"))</f>
        <v/>
      </c>
      <c r="N31" s="24">
        <f>IF($A31="","",IF(OR($G31="TAHSIL",$I31&gt;0),IF(OR($H31="",$I31=""),"",IF(ABS($I31-$H31)&gt;zincirTolerans,"ZİNCİR KIRIK","OK")),"OK"))</f>
        <v/>
      </c>
      <c r="O31" s="24">
        <f>IF($A31="","",1)</f>
        <v/>
      </c>
    </row>
    <row r="32">
      <c r="J32" s="24">
        <f>IF($A32="","",$H32-$I32)</f>
        <v/>
      </c>
      <c r="K32" s="24">
        <f>IF($A32="","",IF(OR($G32="TAHSIL",$G32="KAPALI"),0,IF($D32="","",raporTarihi-$D32)))</f>
        <v/>
      </c>
      <c r="L32" s="24">
        <f>IF($A32="","",IF($B32="","YETİM",IF(COUNTIF(tblPaydas[MalikId],$B32)=0,"YETİM","")))</f>
        <v/>
      </c>
      <c r="M32" s="24">
        <f>IF(OR($A32="",$F32=""),"",IF(OR($F32&amp;"|"&amp;$G32="",COUNTIF(ListeIzinliGecis,$F32&amp;"|"&amp;$G32)&gt;0),"","GEÇERSİZ GEÇİŞ"))</f>
        <v/>
      </c>
      <c r="N32" s="24">
        <f>IF($A32="","",IF(OR($G32="TAHSIL",$I32&gt;0),IF(OR($H32="",$I32=""),"",IF(ABS($I32-$H32)&gt;zincirTolerans,"ZİNCİR KIRIK","OK")),"OK"))</f>
        <v/>
      </c>
      <c r="O32" s="24">
        <f>IF($A32="","",1)</f>
        <v/>
      </c>
    </row>
    <row r="33">
      <c r="J33" s="24">
        <f>IF($A33="","",$H33-$I33)</f>
        <v/>
      </c>
      <c r="K33" s="24">
        <f>IF($A33="","",IF(OR($G33="TAHSIL",$G33="KAPALI"),0,IF($D33="","",raporTarihi-$D33)))</f>
        <v/>
      </c>
      <c r="L33" s="24">
        <f>IF($A33="","",IF($B33="","YETİM",IF(COUNTIF(tblPaydas[MalikId],$B33)=0,"YETİM","")))</f>
        <v/>
      </c>
      <c r="M33" s="24">
        <f>IF(OR($A33="",$F33=""),"",IF(OR($F33&amp;"|"&amp;$G33="",COUNTIF(ListeIzinliGecis,$F33&amp;"|"&amp;$G33)&gt;0),"","GEÇERSİZ GEÇİŞ"))</f>
        <v/>
      </c>
      <c r="N33" s="24">
        <f>IF($A33="","",IF(OR($G33="TAHSIL",$I33&gt;0),IF(OR($H33="",$I33=""),"",IF(ABS($I33-$H33)&gt;zincirTolerans,"ZİNCİR KIRIK","OK")),"OK"))</f>
        <v/>
      </c>
      <c r="O33" s="24">
        <f>IF($A33="","",1)</f>
        <v/>
      </c>
    </row>
    <row r="34">
      <c r="J34" s="24">
        <f>IF($A34="","",$H34-$I34)</f>
        <v/>
      </c>
      <c r="K34" s="24">
        <f>IF($A34="","",IF(OR($G34="TAHSIL",$G34="KAPALI"),0,IF($D34="","",raporTarihi-$D34)))</f>
        <v/>
      </c>
      <c r="L34" s="24">
        <f>IF($A34="","",IF($B34="","YETİM",IF(COUNTIF(tblPaydas[MalikId],$B34)=0,"YETİM","")))</f>
        <v/>
      </c>
      <c r="M34" s="24">
        <f>IF(OR($A34="",$F34=""),"",IF(OR($F34&amp;"|"&amp;$G34="",COUNTIF(ListeIzinliGecis,$F34&amp;"|"&amp;$G34)&gt;0),"","GEÇERSİZ GEÇİŞ"))</f>
        <v/>
      </c>
      <c r="N34" s="24">
        <f>IF($A34="","",IF(OR($G34="TAHSIL",$I34&gt;0),IF(OR($H34="",$I34=""),"",IF(ABS($I34-$H34)&gt;zincirTolerans,"ZİNCİR KIRIK","OK")),"OK"))</f>
        <v/>
      </c>
      <c r="O34" s="24">
        <f>IF($A34="","",1)</f>
        <v/>
      </c>
    </row>
    <row r="35">
      <c r="J35" s="24">
        <f>IF($A35="","",$H35-$I35)</f>
        <v/>
      </c>
      <c r="K35" s="24">
        <f>IF($A35="","",IF(OR($G35="TAHSIL",$G35="KAPALI"),0,IF($D35="","",raporTarihi-$D35)))</f>
        <v/>
      </c>
      <c r="L35" s="24">
        <f>IF($A35="","",IF($B35="","YETİM",IF(COUNTIF(tblPaydas[MalikId],$B35)=0,"YETİM","")))</f>
        <v/>
      </c>
      <c r="M35" s="24">
        <f>IF(OR($A35="",$F35=""),"",IF(OR($F35&amp;"|"&amp;$G35="",COUNTIF(ListeIzinliGecis,$F35&amp;"|"&amp;$G35)&gt;0),"","GEÇERSİZ GEÇİŞ"))</f>
        <v/>
      </c>
      <c r="N35" s="24">
        <f>IF($A35="","",IF(OR($G35="TAHSIL",$I35&gt;0),IF(OR($H35="",$I35=""),"",IF(ABS($I35-$H35)&gt;zincirTolerans,"ZİNCİR KIRIK","OK")),"OK"))</f>
        <v/>
      </c>
      <c r="O35" s="24">
        <f>IF($A35="","",1)</f>
        <v/>
      </c>
    </row>
    <row r="36">
      <c r="J36" s="24">
        <f>IF($A36="","",$H36-$I36)</f>
        <v/>
      </c>
      <c r="K36" s="24">
        <f>IF($A36="","",IF(OR($G36="TAHSIL",$G36="KAPALI"),0,IF($D36="","",raporTarihi-$D36)))</f>
        <v/>
      </c>
      <c r="L36" s="24">
        <f>IF($A36="","",IF($B36="","YETİM",IF(COUNTIF(tblPaydas[MalikId],$B36)=0,"YETİM","")))</f>
        <v/>
      </c>
      <c r="M36" s="24">
        <f>IF(OR($A36="",$F36=""),"",IF(OR($F36&amp;"|"&amp;$G36="",COUNTIF(ListeIzinliGecis,$F36&amp;"|"&amp;$G36)&gt;0),"","GEÇERSİZ GEÇİŞ"))</f>
        <v/>
      </c>
      <c r="N36" s="24">
        <f>IF($A36="","",IF(OR($G36="TAHSIL",$I36&gt;0),IF(OR($H36="",$I36=""),"",IF(ABS($I36-$H36)&gt;zincirTolerans,"ZİNCİR KIRIK","OK")),"OK"))</f>
        <v/>
      </c>
      <c r="O36" s="24">
        <f>IF($A36="","",1)</f>
        <v/>
      </c>
    </row>
    <row r="37">
      <c r="J37" s="24">
        <f>IF($A37="","",$H37-$I37)</f>
        <v/>
      </c>
      <c r="K37" s="24">
        <f>IF($A37="","",IF(OR($G37="TAHSIL",$G37="KAPALI"),0,IF($D37="","",raporTarihi-$D37)))</f>
        <v/>
      </c>
      <c r="L37" s="24">
        <f>IF($A37="","",IF($B37="","YETİM",IF(COUNTIF(tblPaydas[MalikId],$B37)=0,"YETİM","")))</f>
        <v/>
      </c>
      <c r="M37" s="24">
        <f>IF(OR($A37="",$F37=""),"",IF(OR($F37&amp;"|"&amp;$G37="",COUNTIF(ListeIzinliGecis,$F37&amp;"|"&amp;$G37)&gt;0),"","GEÇERSİZ GEÇİŞ"))</f>
        <v/>
      </c>
      <c r="N37" s="24">
        <f>IF($A37="","",IF(OR($G37="TAHSIL",$I37&gt;0),IF(OR($H37="",$I37=""),"",IF(ABS($I37-$H37)&gt;zincirTolerans,"ZİNCİR KIRIK","OK")),"OK"))</f>
        <v/>
      </c>
      <c r="O37" s="24">
        <f>IF($A37="","",1)</f>
        <v/>
      </c>
    </row>
    <row r="38">
      <c r="J38" s="24">
        <f>IF($A38="","",$H38-$I38)</f>
        <v/>
      </c>
      <c r="K38" s="24">
        <f>IF($A38="","",IF(OR($G38="TAHSIL",$G38="KAPALI"),0,IF($D38="","",raporTarihi-$D38)))</f>
        <v/>
      </c>
      <c r="L38" s="24">
        <f>IF($A38="","",IF($B38="","YETİM",IF(COUNTIF(tblPaydas[MalikId],$B38)=0,"YETİM","")))</f>
        <v/>
      </c>
      <c r="M38" s="24">
        <f>IF(OR($A38="",$F38=""),"",IF(OR($F38&amp;"|"&amp;$G38="",COUNTIF(ListeIzinliGecis,$F38&amp;"|"&amp;$G38)&gt;0),"","GEÇERSİZ GEÇİŞ"))</f>
        <v/>
      </c>
      <c r="N38" s="24">
        <f>IF($A38="","",IF(OR($G38="TAHSIL",$I38&gt;0),IF(OR($H38="",$I38=""),"",IF(ABS($I38-$H38)&gt;zincirTolerans,"ZİNCİR KIRIK","OK")),"OK"))</f>
        <v/>
      </c>
      <c r="O38" s="24">
        <f>IF($A38="","",1)</f>
        <v/>
      </c>
    </row>
    <row r="39">
      <c r="J39" s="24">
        <f>IF($A39="","",$H39-$I39)</f>
        <v/>
      </c>
      <c r="K39" s="24">
        <f>IF($A39="","",IF(OR($G39="TAHSIL",$G39="KAPALI"),0,IF($D39="","",raporTarihi-$D39)))</f>
        <v/>
      </c>
      <c r="L39" s="24">
        <f>IF($A39="","",IF($B39="","YETİM",IF(COUNTIF(tblPaydas[MalikId],$B39)=0,"YETİM","")))</f>
        <v/>
      </c>
      <c r="M39" s="24">
        <f>IF(OR($A39="",$F39=""),"",IF(OR($F39&amp;"|"&amp;$G39="",COUNTIF(ListeIzinliGecis,$F39&amp;"|"&amp;$G39)&gt;0),"","GEÇERSİZ GEÇİŞ"))</f>
        <v/>
      </c>
      <c r="N39" s="24">
        <f>IF($A39="","",IF(OR($G39="TAHSIL",$I39&gt;0),IF(OR($H39="",$I39=""),"",IF(ABS($I39-$H39)&gt;zincirTolerans,"ZİNCİR KIRIK","OK")),"OK"))</f>
        <v/>
      </c>
      <c r="O39" s="24">
        <f>IF($A39="","",1)</f>
        <v/>
      </c>
    </row>
    <row r="40">
      <c r="J40" s="24">
        <f>IF($A40="","",$H40-$I40)</f>
        <v/>
      </c>
      <c r="K40" s="24">
        <f>IF($A40="","",IF(OR($G40="TAHSIL",$G40="KAPALI"),0,IF($D40="","",raporTarihi-$D40)))</f>
        <v/>
      </c>
      <c r="L40" s="24">
        <f>IF($A40="","",IF($B40="","YETİM",IF(COUNTIF(tblPaydas[MalikId],$B40)=0,"YETİM","")))</f>
        <v/>
      </c>
      <c r="M40" s="24">
        <f>IF(OR($A40="",$F40=""),"",IF(OR($F40&amp;"|"&amp;$G40="",COUNTIF(ListeIzinliGecis,$F40&amp;"|"&amp;$G40)&gt;0),"","GEÇERSİZ GEÇİŞ"))</f>
        <v/>
      </c>
      <c r="N40" s="24">
        <f>IF($A40="","",IF(OR($G40="TAHSIL",$I40&gt;0),IF(OR($H40="",$I40=""),"",IF(ABS($I40-$H40)&gt;zincirTolerans,"ZİNCİR KIRIK","OK")),"OK"))</f>
        <v/>
      </c>
      <c r="O40" s="24">
        <f>IF($A40="","",1)</f>
        <v/>
      </c>
    </row>
    <row r="41">
      <c r="J41" s="24">
        <f>IF($A41="","",$H41-$I41)</f>
        <v/>
      </c>
      <c r="K41" s="24">
        <f>IF($A41="","",IF(OR($G41="TAHSIL",$G41="KAPALI"),0,IF($D41="","",raporTarihi-$D41)))</f>
        <v/>
      </c>
      <c r="L41" s="24">
        <f>IF($A41="","",IF($B41="","YETİM",IF(COUNTIF(tblPaydas[MalikId],$B41)=0,"YETİM","")))</f>
        <v/>
      </c>
      <c r="M41" s="24">
        <f>IF(OR($A41="",$F41=""),"",IF(OR($F41&amp;"|"&amp;$G41="",COUNTIF(ListeIzinliGecis,$F41&amp;"|"&amp;$G41)&gt;0),"","GEÇERSİZ GEÇİŞ"))</f>
        <v/>
      </c>
      <c r="N41" s="24">
        <f>IF($A41="","",IF(OR($G41="TAHSIL",$I41&gt;0),IF(OR($H41="",$I41=""),"",IF(ABS($I41-$H41)&gt;zincirTolerans,"ZİNCİR KIRIK","OK")),"OK"))</f>
        <v/>
      </c>
      <c r="O41" s="24">
        <f>IF($A41="","",1)</f>
        <v/>
      </c>
    </row>
    <row r="42">
      <c r="J42" s="24">
        <f>IF($A42="","",$H42-$I42)</f>
        <v/>
      </c>
      <c r="K42" s="24">
        <f>IF($A42="","",IF(OR($G42="TAHSIL",$G42="KAPALI"),0,IF($D42="","",raporTarihi-$D42)))</f>
        <v/>
      </c>
      <c r="L42" s="24">
        <f>IF($A42="","",IF($B42="","YETİM",IF(COUNTIF(tblPaydas[MalikId],$B42)=0,"YETİM","")))</f>
        <v/>
      </c>
      <c r="M42" s="24">
        <f>IF(OR($A42="",$F42=""),"",IF(OR($F42&amp;"|"&amp;$G42="",COUNTIF(ListeIzinliGecis,$F42&amp;"|"&amp;$G42)&gt;0),"","GEÇERSİZ GEÇİŞ"))</f>
        <v/>
      </c>
      <c r="N42" s="24">
        <f>IF($A42="","",IF(OR($G42="TAHSIL",$I42&gt;0),IF(OR($H42="",$I42=""),"",IF(ABS($I42-$H42)&gt;zincirTolerans,"ZİNCİR KIRIK","OK")),"OK"))</f>
        <v/>
      </c>
      <c r="O42" s="24">
        <f>IF($A42="","",1)</f>
        <v/>
      </c>
    </row>
    <row r="43">
      <c r="J43" s="24">
        <f>IF($A43="","",$H43-$I43)</f>
        <v/>
      </c>
      <c r="K43" s="24">
        <f>IF($A43="","",IF(OR($G43="TAHSIL",$G43="KAPALI"),0,IF($D43="","",raporTarihi-$D43)))</f>
        <v/>
      </c>
      <c r="L43" s="24">
        <f>IF($A43="","",IF($B43="","YETİM",IF(COUNTIF(tblPaydas[MalikId],$B43)=0,"YETİM","")))</f>
        <v/>
      </c>
      <c r="M43" s="24">
        <f>IF(OR($A43="",$F43=""),"",IF(OR($F43&amp;"|"&amp;$G43="",COUNTIF(ListeIzinliGecis,$F43&amp;"|"&amp;$G43)&gt;0),"","GEÇERSİZ GEÇİŞ"))</f>
        <v/>
      </c>
      <c r="N43" s="24">
        <f>IF($A43="","",IF(OR($G43="TAHSIL",$I43&gt;0),IF(OR($H43="",$I43=""),"",IF(ABS($I43-$H43)&gt;zincirTolerans,"ZİNCİR KIRIK","OK")),"OK"))</f>
        <v/>
      </c>
      <c r="O43" s="24">
        <f>IF($A43="","",1)</f>
        <v/>
      </c>
    </row>
    <row r="44">
      <c r="J44" s="24">
        <f>IF($A44="","",$H44-$I44)</f>
        <v/>
      </c>
      <c r="K44" s="24">
        <f>IF($A44="","",IF(OR($G44="TAHSIL",$G44="KAPALI"),0,IF($D44="","",raporTarihi-$D44)))</f>
        <v/>
      </c>
      <c r="L44" s="24">
        <f>IF($A44="","",IF($B44="","YETİM",IF(COUNTIF(tblPaydas[MalikId],$B44)=0,"YETİM","")))</f>
        <v/>
      </c>
      <c r="M44" s="24">
        <f>IF(OR($A44="",$F44=""),"",IF(OR($F44&amp;"|"&amp;$G44="",COUNTIF(ListeIzinliGecis,$F44&amp;"|"&amp;$G44)&gt;0),"","GEÇERSİZ GEÇİŞ"))</f>
        <v/>
      </c>
      <c r="N44" s="24">
        <f>IF($A44="","",IF(OR($G44="TAHSIL",$I44&gt;0),IF(OR($H44="",$I44=""),"",IF(ABS($I44-$H44)&gt;zincirTolerans,"ZİNCİR KIRIK","OK")),"OK"))</f>
        <v/>
      </c>
      <c r="O44" s="24">
        <f>IF($A44="","",1)</f>
        <v/>
      </c>
    </row>
    <row r="45">
      <c r="J45" s="24">
        <f>IF($A45="","",$H45-$I45)</f>
        <v/>
      </c>
      <c r="K45" s="24">
        <f>IF($A45="","",IF(OR($G45="TAHSIL",$G45="KAPALI"),0,IF($D45="","",raporTarihi-$D45)))</f>
        <v/>
      </c>
      <c r="L45" s="24">
        <f>IF($A45="","",IF($B45="","YETİM",IF(COUNTIF(tblPaydas[MalikId],$B45)=0,"YETİM","")))</f>
        <v/>
      </c>
      <c r="M45" s="24">
        <f>IF(OR($A45="",$F45=""),"",IF(OR($F45&amp;"|"&amp;$G45="",COUNTIF(ListeIzinliGecis,$F45&amp;"|"&amp;$G45)&gt;0),"","GEÇERSİZ GEÇİŞ"))</f>
        <v/>
      </c>
      <c r="N45" s="24">
        <f>IF($A45="","",IF(OR($G45="TAHSIL",$I45&gt;0),IF(OR($H45="",$I45=""),"",IF(ABS($I45-$H45)&gt;zincirTolerans,"ZİNCİR KIRIK","OK")),"OK"))</f>
        <v/>
      </c>
      <c r="O45" s="24">
        <f>IF($A45="","",1)</f>
        <v/>
      </c>
    </row>
    <row r="46">
      <c r="J46" s="24">
        <f>IF($A46="","",$H46-$I46)</f>
        <v/>
      </c>
      <c r="K46" s="24">
        <f>IF($A46="","",IF(OR($G46="TAHSIL",$G46="KAPALI"),0,IF($D46="","",raporTarihi-$D46)))</f>
        <v/>
      </c>
      <c r="L46" s="24">
        <f>IF($A46="","",IF($B46="","YETİM",IF(COUNTIF(tblPaydas[MalikId],$B46)=0,"YETİM","")))</f>
        <v/>
      </c>
      <c r="M46" s="24">
        <f>IF(OR($A46="",$F46=""),"",IF(OR($F46&amp;"|"&amp;$G46="",COUNTIF(ListeIzinliGecis,$F46&amp;"|"&amp;$G46)&gt;0),"","GEÇERSİZ GEÇİŞ"))</f>
        <v/>
      </c>
      <c r="N46" s="24">
        <f>IF($A46="","",IF(OR($G46="TAHSIL",$I46&gt;0),IF(OR($H46="",$I46=""),"",IF(ABS($I46-$H46)&gt;zincirTolerans,"ZİNCİR KIRIK","OK")),"OK"))</f>
        <v/>
      </c>
      <c r="O46" s="24">
        <f>IF($A46="","",1)</f>
        <v/>
      </c>
    </row>
    <row r="47">
      <c r="J47" s="24">
        <f>IF($A47="","",$H47-$I47)</f>
        <v/>
      </c>
      <c r="K47" s="24">
        <f>IF($A47="","",IF(OR($G47="TAHSIL",$G47="KAPALI"),0,IF($D47="","",raporTarihi-$D47)))</f>
        <v/>
      </c>
      <c r="L47" s="24">
        <f>IF($A47="","",IF($B47="","YETİM",IF(COUNTIF(tblPaydas[MalikId],$B47)=0,"YETİM","")))</f>
        <v/>
      </c>
      <c r="M47" s="24">
        <f>IF(OR($A47="",$F47=""),"",IF(OR($F47&amp;"|"&amp;$G47="",COUNTIF(ListeIzinliGecis,$F47&amp;"|"&amp;$G47)&gt;0),"","GEÇERSİZ GEÇİŞ"))</f>
        <v/>
      </c>
      <c r="N47" s="24">
        <f>IF($A47="","",IF(OR($G47="TAHSIL",$I47&gt;0),IF(OR($H47="",$I47=""),"",IF(ABS($I47-$H47)&gt;zincirTolerans,"ZİNCİR KIRIK","OK")),"OK"))</f>
        <v/>
      </c>
      <c r="O47" s="24">
        <f>IF($A47="","",1)</f>
        <v/>
      </c>
    </row>
    <row r="48">
      <c r="J48" s="24">
        <f>IF($A48="","",$H48-$I48)</f>
        <v/>
      </c>
      <c r="K48" s="24">
        <f>IF($A48="","",IF(OR($G48="TAHSIL",$G48="KAPALI"),0,IF($D48="","",raporTarihi-$D48)))</f>
        <v/>
      </c>
      <c r="L48" s="24">
        <f>IF($A48="","",IF($B48="","YETİM",IF(COUNTIF(tblPaydas[MalikId],$B48)=0,"YETİM","")))</f>
        <v/>
      </c>
      <c r="M48" s="24">
        <f>IF(OR($A48="",$F48=""),"",IF(OR($F48&amp;"|"&amp;$G48="",COUNTIF(ListeIzinliGecis,$F48&amp;"|"&amp;$G48)&gt;0),"","GEÇERSİZ GEÇİŞ"))</f>
        <v/>
      </c>
      <c r="N48" s="24">
        <f>IF($A48="","",IF(OR($G48="TAHSIL",$I48&gt;0),IF(OR($H48="",$I48=""),"",IF(ABS($I48-$H48)&gt;zincirTolerans,"ZİNCİR KIRIK","OK")),"OK"))</f>
        <v/>
      </c>
      <c r="O48" s="24">
        <f>IF($A48="","",1)</f>
        <v/>
      </c>
    </row>
    <row r="49">
      <c r="J49" s="24">
        <f>IF($A49="","",$H49-$I49)</f>
        <v/>
      </c>
      <c r="K49" s="24">
        <f>IF($A49="","",IF(OR($G49="TAHSIL",$G49="KAPALI"),0,IF($D49="","",raporTarihi-$D49)))</f>
        <v/>
      </c>
      <c r="L49" s="24">
        <f>IF($A49="","",IF($B49="","YETİM",IF(COUNTIF(tblPaydas[MalikId],$B49)=0,"YETİM","")))</f>
        <v/>
      </c>
      <c r="M49" s="24">
        <f>IF(OR($A49="",$F49=""),"",IF(OR($F49&amp;"|"&amp;$G49="",COUNTIF(ListeIzinliGecis,$F49&amp;"|"&amp;$G49)&gt;0),"","GEÇERSİZ GEÇİŞ"))</f>
        <v/>
      </c>
      <c r="N49" s="24">
        <f>IF($A49="","",IF(OR($G49="TAHSIL",$I49&gt;0),IF(OR($H49="",$I49=""),"",IF(ABS($I49-$H49)&gt;zincirTolerans,"ZİNCİR KIRIK","OK")),"OK"))</f>
        <v/>
      </c>
      <c r="O49" s="24">
        <f>IF($A49="","",1)</f>
        <v/>
      </c>
    </row>
    <row r="50">
      <c r="J50" s="24">
        <f>IF($A50="","",$H50-$I50)</f>
        <v/>
      </c>
      <c r="K50" s="24">
        <f>IF($A50="","",IF(OR($G50="TAHSIL",$G50="KAPALI"),0,IF($D50="","",raporTarihi-$D50)))</f>
        <v/>
      </c>
      <c r="L50" s="24">
        <f>IF($A50="","",IF($B50="","YETİM",IF(COUNTIF(tblPaydas[MalikId],$B50)=0,"YETİM","")))</f>
        <v/>
      </c>
      <c r="M50" s="24">
        <f>IF(OR($A50="",$F50=""),"",IF(OR($F50&amp;"|"&amp;$G50="",COUNTIF(ListeIzinliGecis,$F50&amp;"|"&amp;$G50)&gt;0),"","GEÇERSİZ GEÇİŞ"))</f>
        <v/>
      </c>
      <c r="N50" s="24">
        <f>IF($A50="","",IF(OR($G50="TAHSIL",$I50&gt;0),IF(OR($H50="",$I50=""),"",IF(ABS($I50-$H50)&gt;zincirTolerans,"ZİNCİR KIRIK","OK")),"OK"))</f>
        <v/>
      </c>
      <c r="O50" s="24">
        <f>IF($A50="","",1)</f>
        <v/>
      </c>
    </row>
    <row r="51">
      <c r="J51" s="24">
        <f>IF($A51="","",$H51-$I51)</f>
        <v/>
      </c>
      <c r="K51" s="24">
        <f>IF($A51="","",IF(OR($G51="TAHSIL",$G51="KAPALI"),0,IF($D51="","",raporTarihi-$D51)))</f>
        <v/>
      </c>
      <c r="L51" s="24">
        <f>IF($A51="","",IF($B51="","YETİM",IF(COUNTIF(tblPaydas[MalikId],$B51)=0,"YETİM","")))</f>
        <v/>
      </c>
      <c r="M51" s="24">
        <f>IF(OR($A51="",$F51=""),"",IF(OR($F51&amp;"|"&amp;$G51="",COUNTIF(ListeIzinliGecis,$F51&amp;"|"&amp;$G51)&gt;0),"","GEÇERSİZ GEÇİŞ"))</f>
        <v/>
      </c>
      <c r="N51" s="24">
        <f>IF($A51="","",IF(OR($G51="TAHSIL",$I51&gt;0),IF(OR($H51="",$I51=""),"",IF(ABS($I51-$H51)&gt;zincirTolerans,"ZİNCİR KIRIK","OK")),"OK"))</f>
        <v/>
      </c>
      <c r="O51" s="24">
        <f>IF($A51="","",1)</f>
        <v/>
      </c>
    </row>
    <row r="52">
      <c r="J52" s="24">
        <f>IF($A52="","",$H52-$I52)</f>
        <v/>
      </c>
      <c r="K52" s="24">
        <f>IF($A52="","",IF(OR($G52="TAHSIL",$G52="KAPALI"),0,IF($D52="","",raporTarihi-$D52)))</f>
        <v/>
      </c>
      <c r="L52" s="24">
        <f>IF($A52="","",IF($B52="","YETİM",IF(COUNTIF(tblPaydas[MalikId],$B52)=0,"YETİM","")))</f>
        <v/>
      </c>
      <c r="M52" s="24">
        <f>IF(OR($A52="",$F52=""),"",IF(OR($F52&amp;"|"&amp;$G52="",COUNTIF(ListeIzinliGecis,$F52&amp;"|"&amp;$G52)&gt;0),"","GEÇERSİZ GEÇİŞ"))</f>
        <v/>
      </c>
      <c r="N52" s="24">
        <f>IF($A52="","",IF(OR($G52="TAHSIL",$I52&gt;0),IF(OR($H52="",$I52=""),"",IF(ABS($I52-$H52)&gt;zincirTolerans,"ZİNCİR KIRIK","OK")),"OK"))</f>
        <v/>
      </c>
      <c r="O52" s="24">
        <f>IF($A52="","",1)</f>
        <v/>
      </c>
    </row>
    <row r="53">
      <c r="J53" s="24">
        <f>IF($A53="","",$H53-$I53)</f>
        <v/>
      </c>
      <c r="K53" s="24">
        <f>IF($A53="","",IF(OR($G53="TAHSIL",$G53="KAPALI"),0,IF($D53="","",raporTarihi-$D53)))</f>
        <v/>
      </c>
      <c r="L53" s="24">
        <f>IF($A53="","",IF($B53="","YETİM",IF(COUNTIF(tblPaydas[MalikId],$B53)=0,"YETİM","")))</f>
        <v/>
      </c>
      <c r="M53" s="24">
        <f>IF(OR($A53="",$F53=""),"",IF(OR($F53&amp;"|"&amp;$G53="",COUNTIF(ListeIzinliGecis,$F53&amp;"|"&amp;$G53)&gt;0),"","GEÇERSİZ GEÇİŞ"))</f>
        <v/>
      </c>
      <c r="N53" s="24">
        <f>IF($A53="","",IF(OR($G53="TAHSIL",$I53&gt;0),IF(OR($H53="",$I53=""),"",IF(ABS($I53-$H53)&gt;zincirTolerans,"ZİNCİR KIRIK","OK")),"OK"))</f>
        <v/>
      </c>
      <c r="O53" s="24">
        <f>IF($A53="","",1)</f>
        <v/>
      </c>
    </row>
    <row r="54">
      <c r="J54" s="24">
        <f>IF($A54="","",$H54-$I54)</f>
        <v/>
      </c>
      <c r="K54" s="24">
        <f>IF($A54="","",IF(OR($G54="TAHSIL",$G54="KAPALI"),0,IF($D54="","",raporTarihi-$D54)))</f>
        <v/>
      </c>
      <c r="L54" s="24">
        <f>IF($A54="","",IF($B54="","YETİM",IF(COUNTIF(tblPaydas[MalikId],$B54)=0,"YETİM","")))</f>
        <v/>
      </c>
      <c r="M54" s="24">
        <f>IF(OR($A54="",$F54=""),"",IF(OR($F54&amp;"|"&amp;$G54="",COUNTIF(ListeIzinliGecis,$F54&amp;"|"&amp;$G54)&gt;0),"","GEÇERSİZ GEÇİŞ"))</f>
        <v/>
      </c>
      <c r="N54" s="24">
        <f>IF($A54="","",IF(OR($G54="TAHSIL",$I54&gt;0),IF(OR($H54="",$I54=""),"",IF(ABS($I54-$H54)&gt;zincirTolerans,"ZİNCİR KIRIK","OK")),"OK"))</f>
        <v/>
      </c>
      <c r="O54" s="24">
        <f>IF($A54="","",1)</f>
        <v/>
      </c>
    </row>
    <row r="55">
      <c r="J55" s="24">
        <f>IF($A55="","",$H55-$I55)</f>
        <v/>
      </c>
      <c r="K55" s="24">
        <f>IF($A55="","",IF(OR($G55="TAHSIL",$G55="KAPALI"),0,IF($D55="","",raporTarihi-$D55)))</f>
        <v/>
      </c>
      <c r="L55" s="24">
        <f>IF($A55="","",IF($B55="","YETİM",IF(COUNTIF(tblPaydas[MalikId],$B55)=0,"YETİM","")))</f>
        <v/>
      </c>
      <c r="M55" s="24">
        <f>IF(OR($A55="",$F55=""),"",IF(OR($F55&amp;"|"&amp;$G55="",COUNTIF(ListeIzinliGecis,$F55&amp;"|"&amp;$G55)&gt;0),"","GEÇERSİZ GEÇİŞ"))</f>
        <v/>
      </c>
      <c r="N55" s="24">
        <f>IF($A55="","",IF(OR($G55="TAHSIL",$I55&gt;0),IF(OR($H55="",$I55=""),"",IF(ABS($I55-$H55)&gt;zincirTolerans,"ZİNCİR KIRIK","OK")),"OK"))</f>
        <v/>
      </c>
      <c r="O55" s="24">
        <f>IF($A55="","",1)</f>
        <v/>
      </c>
    </row>
    <row r="56">
      <c r="J56" s="24">
        <f>IF($A56="","",$H56-$I56)</f>
        <v/>
      </c>
      <c r="K56" s="24">
        <f>IF($A56="","",IF(OR($G56="TAHSIL",$G56="KAPALI"),0,IF($D56="","",raporTarihi-$D56)))</f>
        <v/>
      </c>
      <c r="L56" s="24">
        <f>IF($A56="","",IF($B56="","YETİM",IF(COUNTIF(tblPaydas[MalikId],$B56)=0,"YETİM","")))</f>
        <v/>
      </c>
      <c r="M56" s="24">
        <f>IF(OR($A56="",$F56=""),"",IF(OR($F56&amp;"|"&amp;$G56="",COUNTIF(ListeIzinliGecis,$F56&amp;"|"&amp;$G56)&gt;0),"","GEÇERSİZ GEÇİŞ"))</f>
        <v/>
      </c>
      <c r="N56" s="24">
        <f>IF($A56="","",IF(OR($G56="TAHSIL",$I56&gt;0),IF(OR($H56="",$I56=""),"",IF(ABS($I56-$H56)&gt;zincirTolerans,"ZİNCİR KIRIK","OK")),"OK"))</f>
        <v/>
      </c>
      <c r="O56" s="24">
        <f>IF($A56="","",1)</f>
        <v/>
      </c>
    </row>
    <row r="57">
      <c r="J57" s="24">
        <f>IF($A57="","",$H57-$I57)</f>
        <v/>
      </c>
      <c r="K57" s="24">
        <f>IF($A57="","",IF(OR($G57="TAHSIL",$G57="KAPALI"),0,IF($D57="","",raporTarihi-$D57)))</f>
        <v/>
      </c>
      <c r="L57" s="24">
        <f>IF($A57="","",IF($B57="","YETİM",IF(COUNTIF(tblPaydas[MalikId],$B57)=0,"YETİM","")))</f>
        <v/>
      </c>
      <c r="M57" s="24">
        <f>IF(OR($A57="",$F57=""),"",IF(OR($F57&amp;"|"&amp;$G57="",COUNTIF(ListeIzinliGecis,$F57&amp;"|"&amp;$G57)&gt;0),"","GEÇERSİZ GEÇİŞ"))</f>
        <v/>
      </c>
      <c r="N57" s="24">
        <f>IF($A57="","",IF(OR($G57="TAHSIL",$I57&gt;0),IF(OR($H57="",$I57=""),"",IF(ABS($I57-$H57)&gt;zincirTolerans,"ZİNCİR KIRIK","OK")),"OK"))</f>
        <v/>
      </c>
      <c r="O57" s="24">
        <f>IF($A57="","",1)</f>
        <v/>
      </c>
    </row>
    <row r="58">
      <c r="J58" s="24">
        <f>IF($A58="","",$H58-$I58)</f>
        <v/>
      </c>
      <c r="K58" s="24">
        <f>IF($A58="","",IF(OR($G58="TAHSIL",$G58="KAPALI"),0,IF($D58="","",raporTarihi-$D58)))</f>
        <v/>
      </c>
      <c r="L58" s="24">
        <f>IF($A58="","",IF($B58="","YETİM",IF(COUNTIF(tblPaydas[MalikId],$B58)=0,"YETİM","")))</f>
        <v/>
      </c>
      <c r="M58" s="24">
        <f>IF(OR($A58="",$F58=""),"",IF(OR($F58&amp;"|"&amp;$G58="",COUNTIF(ListeIzinliGecis,$F58&amp;"|"&amp;$G58)&gt;0),"","GEÇERSİZ GEÇİŞ"))</f>
        <v/>
      </c>
      <c r="N58" s="24">
        <f>IF($A58="","",IF(OR($G58="TAHSIL",$I58&gt;0),IF(OR($H58="",$I58=""),"",IF(ABS($I58-$H58)&gt;zincirTolerans,"ZİNCİR KIRIK","OK")),"OK"))</f>
        <v/>
      </c>
      <c r="O58" s="24">
        <f>IF($A58="","",1)</f>
        <v/>
      </c>
    </row>
    <row r="59">
      <c r="J59" s="24">
        <f>IF($A59="","",$H59-$I59)</f>
        <v/>
      </c>
      <c r="K59" s="24">
        <f>IF($A59="","",IF(OR($G59="TAHSIL",$G59="KAPALI"),0,IF($D59="","",raporTarihi-$D59)))</f>
        <v/>
      </c>
      <c r="L59" s="24">
        <f>IF($A59="","",IF($B59="","YETİM",IF(COUNTIF(tblPaydas[MalikId],$B59)=0,"YETİM","")))</f>
        <v/>
      </c>
      <c r="M59" s="24">
        <f>IF(OR($A59="",$F59=""),"",IF(OR($F59&amp;"|"&amp;$G59="",COUNTIF(ListeIzinliGecis,$F59&amp;"|"&amp;$G59)&gt;0),"","GEÇERSİZ GEÇİŞ"))</f>
        <v/>
      </c>
      <c r="N59" s="24">
        <f>IF($A59="","",IF(OR($G59="TAHSIL",$I59&gt;0),IF(OR($H59="",$I59=""),"",IF(ABS($I59-$H59)&gt;zincirTolerans,"ZİNCİR KIRIK","OK")),"OK"))</f>
        <v/>
      </c>
      <c r="O59" s="24">
        <f>IF($A59="","",1)</f>
        <v/>
      </c>
    </row>
    <row r="60">
      <c r="J60" s="24">
        <f>IF($A60="","",$H60-$I60)</f>
        <v/>
      </c>
      <c r="K60" s="24">
        <f>IF($A60="","",IF(OR($G60="TAHSIL",$G60="KAPALI"),0,IF($D60="","",raporTarihi-$D60)))</f>
        <v/>
      </c>
      <c r="L60" s="24">
        <f>IF($A60="","",IF($B60="","YETİM",IF(COUNTIF(tblPaydas[MalikId],$B60)=0,"YETİM","")))</f>
        <v/>
      </c>
      <c r="M60" s="24">
        <f>IF(OR($A60="",$F60=""),"",IF(OR($F60&amp;"|"&amp;$G60="",COUNTIF(ListeIzinliGecis,$F60&amp;"|"&amp;$G60)&gt;0),"","GEÇERSİZ GEÇİŞ"))</f>
        <v/>
      </c>
      <c r="N60" s="24">
        <f>IF($A60="","",IF(OR($G60="TAHSIL",$I60&gt;0),IF(OR($H60="",$I60=""),"",IF(ABS($I60-$H60)&gt;zincirTolerans,"ZİNCİR KIRIK","OK")),"OK"))</f>
        <v/>
      </c>
      <c r="O60" s="24">
        <f>IF($A60="","",1)</f>
        <v/>
      </c>
    </row>
    <row r="61">
      <c r="J61" s="24">
        <f>IF($A61="","",$H61-$I61)</f>
        <v/>
      </c>
      <c r="K61" s="24">
        <f>IF($A61="","",IF(OR($G61="TAHSIL",$G61="KAPALI"),0,IF($D61="","",raporTarihi-$D61)))</f>
        <v/>
      </c>
      <c r="L61" s="24">
        <f>IF($A61="","",IF($B61="","YETİM",IF(COUNTIF(tblPaydas[MalikId],$B61)=0,"YETİM","")))</f>
        <v/>
      </c>
      <c r="M61" s="24">
        <f>IF(OR($A61="",$F61=""),"",IF(OR($F61&amp;"|"&amp;$G61="",COUNTIF(ListeIzinliGecis,$F61&amp;"|"&amp;$G61)&gt;0),"","GEÇERSİZ GEÇİŞ"))</f>
        <v/>
      </c>
      <c r="N61" s="24">
        <f>IF($A61="","",IF(OR($G61="TAHSIL",$I61&gt;0),IF(OR($H61="",$I61=""),"",IF(ABS($I61-$H61)&gt;zincirTolerans,"ZİNCİR KIRIK","OK")),"OK"))</f>
        <v/>
      </c>
      <c r="O61" s="24">
        <f>IF($A61="","",1)</f>
        <v/>
      </c>
    </row>
    <row r="62">
      <c r="J62" s="24">
        <f>IF($A62="","",$H62-$I62)</f>
        <v/>
      </c>
      <c r="K62" s="24">
        <f>IF($A62="","",IF(OR($G62="TAHSIL",$G62="KAPALI"),0,IF($D62="","",raporTarihi-$D62)))</f>
        <v/>
      </c>
      <c r="L62" s="24">
        <f>IF($A62="","",IF($B62="","YETİM",IF(COUNTIF(tblPaydas[MalikId],$B62)=0,"YETİM","")))</f>
        <v/>
      </c>
      <c r="M62" s="24">
        <f>IF(OR($A62="",$F62=""),"",IF(OR($F62&amp;"|"&amp;$G62="",COUNTIF(ListeIzinliGecis,$F62&amp;"|"&amp;$G62)&gt;0),"","GEÇERSİZ GEÇİŞ"))</f>
        <v/>
      </c>
      <c r="N62" s="24">
        <f>IF($A62="","",IF(OR($G62="TAHSIL",$I62&gt;0),IF(OR($H62="",$I62=""),"",IF(ABS($I62-$H62)&gt;zincirTolerans,"ZİNCİR KIRIK","OK")),"OK"))</f>
        <v/>
      </c>
      <c r="O62" s="24">
        <f>IF($A62="","",1)</f>
        <v/>
      </c>
    </row>
    <row r="63">
      <c r="J63" s="24">
        <f>IF($A63="","",$H63-$I63)</f>
        <v/>
      </c>
      <c r="K63" s="24">
        <f>IF($A63="","",IF(OR($G63="TAHSIL",$G63="KAPALI"),0,IF($D63="","",raporTarihi-$D63)))</f>
        <v/>
      </c>
      <c r="L63" s="24">
        <f>IF($A63="","",IF($B63="","YETİM",IF(COUNTIF(tblPaydas[MalikId],$B63)=0,"YETİM","")))</f>
        <v/>
      </c>
      <c r="M63" s="24">
        <f>IF(OR($A63="",$F63=""),"",IF(OR($F63&amp;"|"&amp;$G63="",COUNTIF(ListeIzinliGecis,$F63&amp;"|"&amp;$G63)&gt;0),"","GEÇERSİZ GEÇİŞ"))</f>
        <v/>
      </c>
      <c r="N63" s="24">
        <f>IF($A63="","",IF(OR($G63="TAHSIL",$I63&gt;0),IF(OR($H63="",$I63=""),"",IF(ABS($I63-$H63)&gt;zincirTolerans,"ZİNCİR KIRIK","OK")),"OK"))</f>
        <v/>
      </c>
      <c r="O63" s="24">
        <f>IF($A63="","",1)</f>
        <v/>
      </c>
    </row>
    <row r="64">
      <c r="J64" s="24">
        <f>IF($A64="","",$H64-$I64)</f>
        <v/>
      </c>
      <c r="K64" s="24">
        <f>IF($A64="","",IF(OR($G64="TAHSIL",$G64="KAPALI"),0,IF($D64="","",raporTarihi-$D64)))</f>
        <v/>
      </c>
      <c r="L64" s="24">
        <f>IF($A64="","",IF($B64="","YETİM",IF(COUNTIF(tblPaydas[MalikId],$B64)=0,"YETİM","")))</f>
        <v/>
      </c>
      <c r="M64" s="24">
        <f>IF(OR($A64="",$F64=""),"",IF(OR($F64&amp;"|"&amp;$G64="",COUNTIF(ListeIzinliGecis,$F64&amp;"|"&amp;$G64)&gt;0),"","GEÇERSİZ GEÇİŞ"))</f>
        <v/>
      </c>
      <c r="N64" s="24">
        <f>IF($A64="","",IF(OR($G64="TAHSIL",$I64&gt;0),IF(OR($H64="",$I64=""),"",IF(ABS($I64-$H64)&gt;zincirTolerans,"ZİNCİR KIRIK","OK")),"OK"))</f>
        <v/>
      </c>
      <c r="O64" s="24">
        <f>IF($A64="","",1)</f>
        <v/>
      </c>
    </row>
    <row r="65">
      <c r="J65" s="24">
        <f>IF($A65="","",$H65-$I65)</f>
        <v/>
      </c>
      <c r="K65" s="24">
        <f>IF($A65="","",IF(OR($G65="TAHSIL",$G65="KAPALI"),0,IF($D65="","",raporTarihi-$D65)))</f>
        <v/>
      </c>
      <c r="L65" s="24">
        <f>IF($A65="","",IF($B65="","YETİM",IF(COUNTIF(tblPaydas[MalikId],$B65)=0,"YETİM","")))</f>
        <v/>
      </c>
      <c r="M65" s="24">
        <f>IF(OR($A65="",$F65=""),"",IF(OR($F65&amp;"|"&amp;$G65="",COUNTIF(ListeIzinliGecis,$F65&amp;"|"&amp;$G65)&gt;0),"","GEÇERSİZ GEÇİŞ"))</f>
        <v/>
      </c>
      <c r="N65" s="24">
        <f>IF($A65="","",IF(OR($G65="TAHSIL",$I65&gt;0),IF(OR($H65="",$I65=""),"",IF(ABS($I65-$H65)&gt;zincirTolerans,"ZİNCİR KIRIK","OK")),"OK"))</f>
        <v/>
      </c>
      <c r="O65" s="24">
        <f>IF($A65="","",1)</f>
        <v/>
      </c>
    </row>
    <row r="66">
      <c r="J66" s="24">
        <f>IF($A66="","",$H66-$I66)</f>
        <v/>
      </c>
      <c r="K66" s="24">
        <f>IF($A66="","",IF(OR($G66="TAHSIL",$G66="KAPALI"),0,IF($D66="","",raporTarihi-$D66)))</f>
        <v/>
      </c>
      <c r="L66" s="24">
        <f>IF($A66="","",IF($B66="","YETİM",IF(COUNTIF(tblPaydas[MalikId],$B66)=0,"YETİM","")))</f>
        <v/>
      </c>
      <c r="M66" s="24">
        <f>IF(OR($A66="",$F66=""),"",IF(OR($F66&amp;"|"&amp;$G66="",COUNTIF(ListeIzinliGecis,$F66&amp;"|"&amp;$G66)&gt;0),"","GEÇERSİZ GEÇİŞ"))</f>
        <v/>
      </c>
      <c r="N66" s="24">
        <f>IF($A66="","",IF(OR($G66="TAHSIL",$I66&gt;0),IF(OR($H66="",$I66=""),"",IF(ABS($I66-$H66)&gt;zincirTolerans,"ZİNCİR KIRIK","OK")),"OK"))</f>
        <v/>
      </c>
      <c r="O66" s="24">
        <f>IF($A66="","",1)</f>
        <v/>
      </c>
    </row>
    <row r="67">
      <c r="J67" s="24">
        <f>IF($A67="","",$H67-$I67)</f>
        <v/>
      </c>
      <c r="K67" s="24">
        <f>IF($A67="","",IF(OR($G67="TAHSIL",$G67="KAPALI"),0,IF($D67="","",raporTarihi-$D67)))</f>
        <v/>
      </c>
      <c r="L67" s="24">
        <f>IF($A67="","",IF($B67="","YETİM",IF(COUNTIF(tblPaydas[MalikId],$B67)=0,"YETİM","")))</f>
        <v/>
      </c>
      <c r="M67" s="24">
        <f>IF(OR($A67="",$F67=""),"",IF(OR($F67&amp;"|"&amp;$G67="",COUNTIF(ListeIzinliGecis,$F67&amp;"|"&amp;$G67)&gt;0),"","GEÇERSİZ GEÇİŞ"))</f>
        <v/>
      </c>
      <c r="N67" s="24">
        <f>IF($A67="","",IF(OR($G67="TAHSIL",$I67&gt;0),IF(OR($H67="",$I67=""),"",IF(ABS($I67-$H67)&gt;zincirTolerans,"ZİNCİR KIRIK","OK")),"OK"))</f>
        <v/>
      </c>
      <c r="O67" s="24">
        <f>IF($A67="","",1)</f>
        <v/>
      </c>
    </row>
    <row r="68">
      <c r="J68" s="24">
        <f>IF($A68="","",$H68-$I68)</f>
        <v/>
      </c>
      <c r="K68" s="24">
        <f>IF($A68="","",IF(OR($G68="TAHSIL",$G68="KAPALI"),0,IF($D68="","",raporTarihi-$D68)))</f>
        <v/>
      </c>
      <c r="L68" s="24">
        <f>IF($A68="","",IF($B68="","YETİM",IF(COUNTIF(tblPaydas[MalikId],$B68)=0,"YETİM","")))</f>
        <v/>
      </c>
      <c r="M68" s="24">
        <f>IF(OR($A68="",$F68=""),"",IF(OR($F68&amp;"|"&amp;$G68="",COUNTIF(ListeIzinliGecis,$F68&amp;"|"&amp;$G68)&gt;0),"","GEÇERSİZ GEÇİŞ"))</f>
        <v/>
      </c>
      <c r="N68" s="24">
        <f>IF($A68="","",IF(OR($G68="TAHSIL",$I68&gt;0),IF(OR($H68="",$I68=""),"",IF(ABS($I68-$H68)&gt;zincirTolerans,"ZİNCİR KIRIK","OK")),"OK"))</f>
        <v/>
      </c>
      <c r="O68" s="24">
        <f>IF($A68="","",1)</f>
        <v/>
      </c>
    </row>
    <row r="69">
      <c r="J69" s="24">
        <f>IF($A69="","",$H69-$I69)</f>
        <v/>
      </c>
      <c r="K69" s="24">
        <f>IF($A69="","",IF(OR($G69="TAHSIL",$G69="KAPALI"),0,IF($D69="","",raporTarihi-$D69)))</f>
        <v/>
      </c>
      <c r="L69" s="24">
        <f>IF($A69="","",IF($B69="","YETİM",IF(COUNTIF(tblPaydas[MalikId],$B69)=0,"YETİM","")))</f>
        <v/>
      </c>
      <c r="M69" s="24">
        <f>IF(OR($A69="",$F69=""),"",IF(OR($F69&amp;"|"&amp;$G69="",COUNTIF(ListeIzinliGecis,$F69&amp;"|"&amp;$G69)&gt;0),"","GEÇERSİZ GEÇİŞ"))</f>
        <v/>
      </c>
      <c r="N69" s="24">
        <f>IF($A69="","",IF(OR($G69="TAHSIL",$I69&gt;0),IF(OR($H69="",$I69=""),"",IF(ABS($I69-$H69)&gt;zincirTolerans,"ZİNCİR KIRIK","OK")),"OK"))</f>
        <v/>
      </c>
      <c r="O69" s="24">
        <f>IF($A69="","",1)</f>
        <v/>
      </c>
    </row>
    <row r="70">
      <c r="J70" s="24">
        <f>IF($A70="","",$H70-$I70)</f>
        <v/>
      </c>
      <c r="K70" s="24">
        <f>IF($A70="","",IF(OR($G70="TAHSIL",$G70="KAPALI"),0,IF($D70="","",raporTarihi-$D70)))</f>
        <v/>
      </c>
      <c r="L70" s="24">
        <f>IF($A70="","",IF($B70="","YETİM",IF(COUNTIF(tblPaydas[MalikId],$B70)=0,"YETİM","")))</f>
        <v/>
      </c>
      <c r="M70" s="24">
        <f>IF(OR($A70="",$F70=""),"",IF(OR($F70&amp;"|"&amp;$G70="",COUNTIF(ListeIzinliGecis,$F70&amp;"|"&amp;$G70)&gt;0),"","GEÇERSİZ GEÇİŞ"))</f>
        <v/>
      </c>
      <c r="N70" s="24">
        <f>IF($A70="","",IF(OR($G70="TAHSIL",$I70&gt;0),IF(OR($H70="",$I70=""),"",IF(ABS($I70-$H70)&gt;zincirTolerans,"ZİNCİR KIRIK","OK")),"OK"))</f>
        <v/>
      </c>
      <c r="O70" s="24">
        <f>IF($A70="","",1)</f>
        <v/>
      </c>
    </row>
    <row r="71">
      <c r="J71" s="24">
        <f>IF($A71="","",$H71-$I71)</f>
        <v/>
      </c>
      <c r="K71" s="24">
        <f>IF($A71="","",IF(OR($G71="TAHSIL",$G71="KAPALI"),0,IF($D71="","",raporTarihi-$D71)))</f>
        <v/>
      </c>
      <c r="L71" s="24">
        <f>IF($A71="","",IF($B71="","YETİM",IF(COUNTIF(tblPaydas[MalikId],$B71)=0,"YETİM","")))</f>
        <v/>
      </c>
      <c r="M71" s="24">
        <f>IF(OR($A71="",$F71=""),"",IF(OR($F71&amp;"|"&amp;$G71="",COUNTIF(ListeIzinliGecis,$F71&amp;"|"&amp;$G71)&gt;0),"","GEÇERSİZ GEÇİŞ"))</f>
        <v/>
      </c>
      <c r="N71" s="24">
        <f>IF($A71="","",IF(OR($G71="TAHSIL",$I71&gt;0),IF(OR($H71="",$I71=""),"",IF(ABS($I71-$H71)&gt;zincirTolerans,"ZİNCİR KIRIK","OK")),"OK"))</f>
        <v/>
      </c>
      <c r="O71" s="24">
        <f>IF($A71="","",1)</f>
        <v/>
      </c>
    </row>
    <row r="72">
      <c r="J72" s="24">
        <f>IF($A72="","",$H72-$I72)</f>
        <v/>
      </c>
      <c r="K72" s="24">
        <f>IF($A72="","",IF(OR($G72="TAHSIL",$G72="KAPALI"),0,IF($D72="","",raporTarihi-$D72)))</f>
        <v/>
      </c>
      <c r="L72" s="24">
        <f>IF($A72="","",IF($B72="","YETİM",IF(COUNTIF(tblPaydas[MalikId],$B72)=0,"YETİM","")))</f>
        <v/>
      </c>
      <c r="M72" s="24">
        <f>IF(OR($A72="",$F72=""),"",IF(OR($F72&amp;"|"&amp;$G72="",COUNTIF(ListeIzinliGecis,$F72&amp;"|"&amp;$G72)&gt;0),"","GEÇERSİZ GEÇİŞ"))</f>
        <v/>
      </c>
      <c r="N72" s="24">
        <f>IF($A72="","",IF(OR($G72="TAHSIL",$I72&gt;0),IF(OR($H72="",$I72=""),"",IF(ABS($I72-$H72)&gt;zincirTolerans,"ZİNCİR KIRIK","OK")),"OK"))</f>
        <v/>
      </c>
      <c r="O72" s="24">
        <f>IF($A72="","",1)</f>
        <v/>
      </c>
    </row>
    <row r="73">
      <c r="J73" s="24">
        <f>IF($A73="","",$H73-$I73)</f>
        <v/>
      </c>
      <c r="K73" s="24">
        <f>IF($A73="","",IF(OR($G73="TAHSIL",$G73="KAPALI"),0,IF($D73="","",raporTarihi-$D73)))</f>
        <v/>
      </c>
      <c r="L73" s="24">
        <f>IF($A73="","",IF($B73="","YETİM",IF(COUNTIF(tblPaydas[MalikId],$B73)=0,"YETİM","")))</f>
        <v/>
      </c>
      <c r="M73" s="24">
        <f>IF(OR($A73="",$F73=""),"",IF(OR($F73&amp;"|"&amp;$G73="",COUNTIF(ListeIzinliGecis,$F73&amp;"|"&amp;$G73)&gt;0),"","GEÇERSİZ GEÇİŞ"))</f>
        <v/>
      </c>
      <c r="N73" s="24">
        <f>IF($A73="","",IF(OR($G73="TAHSIL",$I73&gt;0),IF(OR($H73="",$I73=""),"",IF(ABS($I73-$H73)&gt;zincirTolerans,"ZİNCİR KIRIK","OK")),"OK"))</f>
        <v/>
      </c>
      <c r="O73" s="24">
        <f>IF($A73="","",1)</f>
        <v/>
      </c>
    </row>
    <row r="74">
      <c r="J74" s="24">
        <f>IF($A74="","",$H74-$I74)</f>
        <v/>
      </c>
      <c r="K74" s="24">
        <f>IF($A74="","",IF(OR($G74="TAHSIL",$G74="KAPALI"),0,IF($D74="","",raporTarihi-$D74)))</f>
        <v/>
      </c>
      <c r="L74" s="24">
        <f>IF($A74="","",IF($B74="","YETİM",IF(COUNTIF(tblPaydas[MalikId],$B74)=0,"YETİM","")))</f>
        <v/>
      </c>
      <c r="M74" s="24">
        <f>IF(OR($A74="",$F74=""),"",IF(OR($F74&amp;"|"&amp;$G74="",COUNTIF(ListeIzinliGecis,$F74&amp;"|"&amp;$G74)&gt;0),"","GEÇERSİZ GEÇİŞ"))</f>
        <v/>
      </c>
      <c r="N74" s="24">
        <f>IF($A74="","",IF(OR($G74="TAHSIL",$I74&gt;0),IF(OR($H74="",$I74=""),"",IF(ABS($I74-$H74)&gt;zincirTolerans,"ZİNCİR KIRIK","OK")),"OK"))</f>
        <v/>
      </c>
      <c r="O74" s="24">
        <f>IF($A74="","",1)</f>
        <v/>
      </c>
    </row>
    <row r="75">
      <c r="J75" s="24">
        <f>IF($A75="","",$H75-$I75)</f>
        <v/>
      </c>
      <c r="K75" s="24">
        <f>IF($A75="","",IF(OR($G75="TAHSIL",$G75="KAPALI"),0,IF($D75="","",raporTarihi-$D75)))</f>
        <v/>
      </c>
      <c r="L75" s="24">
        <f>IF($A75="","",IF($B75="","YETİM",IF(COUNTIF(tblPaydas[MalikId],$B75)=0,"YETİM","")))</f>
        <v/>
      </c>
      <c r="M75" s="24">
        <f>IF(OR($A75="",$F75=""),"",IF(OR($F75&amp;"|"&amp;$G75="",COUNTIF(ListeIzinliGecis,$F75&amp;"|"&amp;$G75)&gt;0),"","GEÇERSİZ GEÇİŞ"))</f>
        <v/>
      </c>
      <c r="N75" s="24">
        <f>IF($A75="","",IF(OR($G75="TAHSIL",$I75&gt;0),IF(OR($H75="",$I75=""),"",IF(ABS($I75-$H75)&gt;zincirTolerans,"ZİNCİR KIRIK","OK")),"OK"))</f>
        <v/>
      </c>
      <c r="O75" s="24">
        <f>IF($A75="","",1)</f>
        <v/>
      </c>
    </row>
    <row r="76">
      <c r="J76" s="24">
        <f>IF($A76="","",$H76-$I76)</f>
        <v/>
      </c>
      <c r="K76" s="24">
        <f>IF($A76="","",IF(OR($G76="TAHSIL",$G76="KAPALI"),0,IF($D76="","",raporTarihi-$D76)))</f>
        <v/>
      </c>
      <c r="L76" s="24">
        <f>IF($A76="","",IF($B76="","YETİM",IF(COUNTIF(tblPaydas[MalikId],$B76)=0,"YETİM","")))</f>
        <v/>
      </c>
      <c r="M76" s="24">
        <f>IF(OR($A76="",$F76=""),"",IF(OR($F76&amp;"|"&amp;$G76="",COUNTIF(ListeIzinliGecis,$F76&amp;"|"&amp;$G76)&gt;0),"","GEÇERSİZ GEÇİŞ"))</f>
        <v/>
      </c>
      <c r="N76" s="24">
        <f>IF($A76="","",IF(OR($G76="TAHSIL",$I76&gt;0),IF(OR($H76="",$I76=""),"",IF(ABS($I76-$H76)&gt;zincirTolerans,"ZİNCİR KIRIK","OK")),"OK"))</f>
        <v/>
      </c>
      <c r="O76" s="24">
        <f>IF($A76="","",1)</f>
        <v/>
      </c>
    </row>
    <row r="77">
      <c r="J77" s="24">
        <f>IF($A77="","",$H77-$I77)</f>
        <v/>
      </c>
      <c r="K77" s="24">
        <f>IF($A77="","",IF(OR($G77="TAHSIL",$G77="KAPALI"),0,IF($D77="","",raporTarihi-$D77)))</f>
        <v/>
      </c>
      <c r="L77" s="24">
        <f>IF($A77="","",IF($B77="","YETİM",IF(COUNTIF(tblPaydas[MalikId],$B77)=0,"YETİM","")))</f>
        <v/>
      </c>
      <c r="M77" s="24">
        <f>IF(OR($A77="",$F77=""),"",IF(OR($F77&amp;"|"&amp;$G77="",COUNTIF(ListeIzinliGecis,$F77&amp;"|"&amp;$G77)&gt;0),"","GEÇERSİZ GEÇİŞ"))</f>
        <v/>
      </c>
      <c r="N77" s="24">
        <f>IF($A77="","",IF(OR($G77="TAHSIL",$I77&gt;0),IF(OR($H77="",$I77=""),"",IF(ABS($I77-$H77)&gt;zincirTolerans,"ZİNCİR KIRIK","OK")),"OK"))</f>
        <v/>
      </c>
      <c r="O77" s="24">
        <f>IF($A77="","",1)</f>
        <v/>
      </c>
    </row>
    <row r="78">
      <c r="J78" s="24">
        <f>IF($A78="","",$H78-$I78)</f>
        <v/>
      </c>
      <c r="K78" s="24">
        <f>IF($A78="","",IF(OR($G78="TAHSIL",$G78="KAPALI"),0,IF($D78="","",raporTarihi-$D78)))</f>
        <v/>
      </c>
      <c r="L78" s="24">
        <f>IF($A78="","",IF($B78="","YETİM",IF(COUNTIF(tblPaydas[MalikId],$B78)=0,"YETİM","")))</f>
        <v/>
      </c>
      <c r="M78" s="24">
        <f>IF(OR($A78="",$F78=""),"",IF(OR($F78&amp;"|"&amp;$G78="",COUNTIF(ListeIzinliGecis,$F78&amp;"|"&amp;$G78)&gt;0),"","GEÇERSİZ GEÇİŞ"))</f>
        <v/>
      </c>
      <c r="N78" s="24">
        <f>IF($A78="","",IF(OR($G78="TAHSIL",$I78&gt;0),IF(OR($H78="",$I78=""),"",IF(ABS($I78-$H78)&gt;zincirTolerans,"ZİNCİR KIRIK","OK")),"OK"))</f>
        <v/>
      </c>
      <c r="O78" s="24">
        <f>IF($A78="","",1)</f>
        <v/>
      </c>
    </row>
    <row r="79">
      <c r="J79" s="24">
        <f>IF($A79="","",$H79-$I79)</f>
        <v/>
      </c>
      <c r="K79" s="24">
        <f>IF($A79="","",IF(OR($G79="TAHSIL",$G79="KAPALI"),0,IF($D79="","",raporTarihi-$D79)))</f>
        <v/>
      </c>
      <c r="L79" s="24">
        <f>IF($A79="","",IF($B79="","YETİM",IF(COUNTIF(tblPaydas[MalikId],$B79)=0,"YETİM","")))</f>
        <v/>
      </c>
      <c r="M79" s="24">
        <f>IF(OR($A79="",$F79=""),"",IF(OR($F79&amp;"|"&amp;$G79="",COUNTIF(ListeIzinliGecis,$F79&amp;"|"&amp;$G79)&gt;0),"","GEÇERSİZ GEÇİŞ"))</f>
        <v/>
      </c>
      <c r="N79" s="24">
        <f>IF($A79="","",IF(OR($G79="TAHSIL",$I79&gt;0),IF(OR($H79="",$I79=""),"",IF(ABS($I79-$H79)&gt;zincirTolerans,"ZİNCİR KIRIK","OK")),"OK"))</f>
        <v/>
      </c>
      <c r="O79" s="24">
        <f>IF($A79="","",1)</f>
        <v/>
      </c>
    </row>
    <row r="80">
      <c r="J80" s="24">
        <f>IF($A80="","",$H80-$I80)</f>
        <v/>
      </c>
      <c r="K80" s="24">
        <f>IF($A80="","",IF(OR($G80="TAHSIL",$G80="KAPALI"),0,IF($D80="","",raporTarihi-$D80)))</f>
        <v/>
      </c>
      <c r="L80" s="24">
        <f>IF($A80="","",IF($B80="","YETİM",IF(COUNTIF(tblPaydas[MalikId],$B80)=0,"YETİM","")))</f>
        <v/>
      </c>
      <c r="M80" s="24">
        <f>IF(OR($A80="",$F80=""),"",IF(OR($F80&amp;"|"&amp;$G80="",COUNTIF(ListeIzinliGecis,$F80&amp;"|"&amp;$G80)&gt;0),"","GEÇERSİZ GEÇİŞ"))</f>
        <v/>
      </c>
      <c r="N80" s="24">
        <f>IF($A80="","",IF(OR($G80="TAHSIL",$I80&gt;0),IF(OR($H80="",$I80=""),"",IF(ABS($I80-$H80)&gt;zincirTolerans,"ZİNCİR KIRIK","OK")),"OK"))</f>
        <v/>
      </c>
      <c r="O80" s="24">
        <f>IF($A80="","",1)</f>
        <v/>
      </c>
    </row>
    <row r="81">
      <c r="J81" s="24">
        <f>IF($A81="","",$H81-$I81)</f>
        <v/>
      </c>
      <c r="K81" s="24">
        <f>IF($A81="","",IF(OR($G81="TAHSIL",$G81="KAPALI"),0,IF($D81="","",raporTarihi-$D81)))</f>
        <v/>
      </c>
      <c r="L81" s="24">
        <f>IF($A81="","",IF($B81="","YETİM",IF(COUNTIF(tblPaydas[MalikId],$B81)=0,"YETİM","")))</f>
        <v/>
      </c>
      <c r="M81" s="24">
        <f>IF(OR($A81="",$F81=""),"",IF(OR($F81&amp;"|"&amp;$G81="",COUNTIF(ListeIzinliGecis,$F81&amp;"|"&amp;$G81)&gt;0),"","GEÇERSİZ GEÇİŞ"))</f>
        <v/>
      </c>
      <c r="N81" s="24">
        <f>IF($A81="","",IF(OR($G81="TAHSIL",$I81&gt;0),IF(OR($H81="",$I81=""),"",IF(ABS($I81-$H81)&gt;zincirTolerans,"ZİNCİR KIRIK","OK")),"OK"))</f>
        <v/>
      </c>
      <c r="O81" s="24">
        <f>IF($A81="","",1)</f>
        <v/>
      </c>
    </row>
    <row r="82">
      <c r="J82" s="24">
        <f>IF($A82="","",$H82-$I82)</f>
        <v/>
      </c>
      <c r="K82" s="24">
        <f>IF($A82="","",IF(OR($G82="TAHSIL",$G82="KAPALI"),0,IF($D82="","",raporTarihi-$D82)))</f>
        <v/>
      </c>
      <c r="L82" s="24">
        <f>IF($A82="","",IF($B82="","YETİM",IF(COUNTIF(tblPaydas[MalikId],$B82)=0,"YETİM","")))</f>
        <v/>
      </c>
      <c r="M82" s="24">
        <f>IF(OR($A82="",$F82=""),"",IF(OR($F82&amp;"|"&amp;$G82="",COUNTIF(ListeIzinliGecis,$F82&amp;"|"&amp;$G82)&gt;0),"","GEÇERSİZ GEÇİŞ"))</f>
        <v/>
      </c>
      <c r="N82" s="24">
        <f>IF($A82="","",IF(OR($G82="TAHSIL",$I82&gt;0),IF(OR($H82="",$I82=""),"",IF(ABS($I82-$H82)&gt;zincirTolerans,"ZİNCİR KIRIK","OK")),"OK"))</f>
        <v/>
      </c>
      <c r="O82" s="24">
        <f>IF($A82="","",1)</f>
        <v/>
      </c>
    </row>
    <row r="83">
      <c r="J83" s="24">
        <f>IF($A83="","",$H83-$I83)</f>
        <v/>
      </c>
      <c r="K83" s="24">
        <f>IF($A83="","",IF(OR($G83="TAHSIL",$G83="KAPALI"),0,IF($D83="","",raporTarihi-$D83)))</f>
        <v/>
      </c>
      <c r="L83" s="24">
        <f>IF($A83="","",IF($B83="","YETİM",IF(COUNTIF(tblPaydas[MalikId],$B83)=0,"YETİM","")))</f>
        <v/>
      </c>
      <c r="M83" s="24">
        <f>IF(OR($A83="",$F83=""),"",IF(OR($F83&amp;"|"&amp;$G83="",COUNTIF(ListeIzinliGecis,$F83&amp;"|"&amp;$G83)&gt;0),"","GEÇERSİZ GEÇİŞ"))</f>
        <v/>
      </c>
      <c r="N83" s="24">
        <f>IF($A83="","",IF(OR($G83="TAHSIL",$I83&gt;0),IF(OR($H83="",$I83=""),"",IF(ABS($I83-$H83)&gt;zincirTolerans,"ZİNCİR KIRIK","OK")),"OK"))</f>
        <v/>
      </c>
      <c r="O83" s="24">
        <f>IF($A83="","",1)</f>
        <v/>
      </c>
    </row>
    <row r="84">
      <c r="J84" s="24">
        <f>IF($A84="","",$H84-$I84)</f>
        <v/>
      </c>
      <c r="K84" s="24">
        <f>IF($A84="","",IF(OR($G84="TAHSIL",$G84="KAPALI"),0,IF($D84="","",raporTarihi-$D84)))</f>
        <v/>
      </c>
      <c r="L84" s="24">
        <f>IF($A84="","",IF($B84="","YETİM",IF(COUNTIF(tblPaydas[MalikId],$B84)=0,"YETİM","")))</f>
        <v/>
      </c>
      <c r="M84" s="24">
        <f>IF(OR($A84="",$F84=""),"",IF(OR($F84&amp;"|"&amp;$G84="",COUNTIF(ListeIzinliGecis,$F84&amp;"|"&amp;$G84)&gt;0),"","GEÇERSİZ GEÇİŞ"))</f>
        <v/>
      </c>
      <c r="N84" s="24">
        <f>IF($A84="","",IF(OR($G84="TAHSIL",$I84&gt;0),IF(OR($H84="",$I84=""),"",IF(ABS($I84-$H84)&gt;zincirTolerans,"ZİNCİR KIRIK","OK")),"OK"))</f>
        <v/>
      </c>
      <c r="O84" s="24">
        <f>IF($A84="","",1)</f>
        <v/>
      </c>
    </row>
    <row r="85">
      <c r="J85" s="24">
        <f>IF($A85="","",$H85-$I85)</f>
        <v/>
      </c>
      <c r="K85" s="24">
        <f>IF($A85="","",IF(OR($G85="TAHSIL",$G85="KAPALI"),0,IF($D85="","",raporTarihi-$D85)))</f>
        <v/>
      </c>
      <c r="L85" s="24">
        <f>IF($A85="","",IF($B85="","YETİM",IF(COUNTIF(tblPaydas[MalikId],$B85)=0,"YETİM","")))</f>
        <v/>
      </c>
      <c r="M85" s="24">
        <f>IF(OR($A85="",$F85=""),"",IF(OR($F85&amp;"|"&amp;$G85="",COUNTIF(ListeIzinliGecis,$F85&amp;"|"&amp;$G85)&gt;0),"","GEÇERSİZ GEÇİŞ"))</f>
        <v/>
      </c>
      <c r="N85" s="24">
        <f>IF($A85="","",IF(OR($G85="TAHSIL",$I85&gt;0),IF(OR($H85="",$I85=""),"",IF(ABS($I85-$H85)&gt;zincirTolerans,"ZİNCİR KIRIK","OK")),"OK"))</f>
        <v/>
      </c>
      <c r="O85" s="24">
        <f>IF($A85="","",1)</f>
        <v/>
      </c>
    </row>
    <row r="86">
      <c r="J86" s="24">
        <f>IF($A86="","",$H86-$I86)</f>
        <v/>
      </c>
      <c r="K86" s="24">
        <f>IF($A86="","",IF(OR($G86="TAHSIL",$G86="KAPALI"),0,IF($D86="","",raporTarihi-$D86)))</f>
        <v/>
      </c>
      <c r="L86" s="24">
        <f>IF($A86="","",IF($B86="","YETİM",IF(COUNTIF(tblPaydas[MalikId],$B86)=0,"YETİM","")))</f>
        <v/>
      </c>
      <c r="M86" s="24">
        <f>IF(OR($A86="",$F86=""),"",IF(OR($F86&amp;"|"&amp;$G86="",COUNTIF(ListeIzinliGecis,$F86&amp;"|"&amp;$G86)&gt;0),"","GEÇERSİZ GEÇİŞ"))</f>
        <v/>
      </c>
      <c r="N86" s="24">
        <f>IF($A86="","",IF(OR($G86="TAHSIL",$I86&gt;0),IF(OR($H86="",$I86=""),"",IF(ABS($I86-$H86)&gt;zincirTolerans,"ZİNCİR KIRIK","OK")),"OK"))</f>
        <v/>
      </c>
      <c r="O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conditionalFormatting sqref="L6:L56">
    <cfRule type="expression" priority="1" dxfId="0">
      <formula>ISNUMBER(SEARCH("YETİM",L6))</formula>
    </cfRule>
  </conditionalFormatting>
  <conditionalFormatting sqref="M6:M56">
    <cfRule type="expression" priority="2" dxfId="0">
      <formula>ISNUMBER(SEARCH("GEÇERSİZ",M6))</formula>
    </cfRule>
  </conditionalFormatting>
  <conditionalFormatting sqref="N6:N56">
    <cfRule type="expression" priority="3" dxfId="0">
      <formula>ISNUMBER(SEARCH("ZİNCİR",N6))</formula>
    </cfRule>
  </conditionalFormatting>
  <dataValidations count="2">
    <dataValidation sqref="G6:G1005" showDropDown="0" showInputMessage="1" showErrorMessage="1" allowBlank="1" errorTitle="Liste" error="Listeden seçin" promptTitle="Durum" prompt="Durum seçin" type="list" errorStyle="stop">
      <formula1>ListeDurum</formula1>
    </dataValidation>
    <dataValidation sqref="H6:I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.5" customWidth="1" min="2" max="2"/>
    <col width="14" customWidth="1" min="3" max="3"/>
    <col width="15.5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</cols>
  <sheetData>
    <row r="1" ht="32" customHeight="1">
      <c r="A1" s="175" t="inlineStr">
        <is>
          <t>GIDER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</row>
    <row r="2"/>
    <row r="3" ht="22" customHeight="1">
      <c r="A3" s="194" t="inlineStr">
        <is>
          <t>Gider takibi — bütçe vs gerçekleşen</t>
        </is>
      </c>
    </row>
    <row r="4"/>
    <row r="5" ht="30" customHeight="1">
      <c r="A5" s="22" t="inlineStr">
        <is>
          <t>GiderId</t>
        </is>
      </c>
      <c r="B5" s="22" t="inlineStr">
        <is>
          <t>Kalem</t>
        </is>
      </c>
      <c r="C5" s="22" t="inlineStr">
        <is>
          <t>Butce</t>
        </is>
      </c>
      <c r="D5" s="22" t="inlineStr">
        <is>
          <t>Gerceklesen</t>
        </is>
      </c>
      <c r="E5" s="22" t="inlineStr">
        <is>
          <t>Donem</t>
        </is>
      </c>
      <c r="F5" s="22" t="inlineStr">
        <is>
          <t>Sapma</t>
        </is>
      </c>
      <c r="G5" s="22" t="inlineStr">
        <is>
          <t>SapmaOran</t>
        </is>
      </c>
      <c r="H5" s="22" t="inlineStr">
        <is>
          <t>MotorAdim</t>
        </is>
      </c>
    </row>
    <row r="6">
      <c r="A6" s="23" t="inlineStr">
        <is>
          <t>GDR-01</t>
        </is>
      </c>
      <c r="B6" s="23" t="inlineStr">
        <is>
          <t>Temizlik</t>
        </is>
      </c>
      <c r="C6" s="18" t="n">
        <v>12000</v>
      </c>
      <c r="D6" s="18" t="n">
        <v>11500</v>
      </c>
      <c r="E6" s="23" t="inlineStr">
        <is>
          <t>2026-08</t>
        </is>
      </c>
      <c r="F6" s="24">
        <f>IF($A6="","",$D6-$C6)</f>
        <v/>
      </c>
      <c r="G6" s="24">
        <f>IF(OR($A6="",$C6=0),0,$F6/ABS($C6))</f>
        <v/>
      </c>
      <c r="H6" s="24">
        <f>IF($A6="","",1)</f>
        <v/>
      </c>
    </row>
    <row r="7">
      <c r="A7" s="23" t="inlineStr">
        <is>
          <t>GDR-02</t>
        </is>
      </c>
      <c r="B7" s="23" t="inlineStr">
        <is>
          <t>Güvenlik</t>
        </is>
      </c>
      <c r="C7" s="18" t="n">
        <v>18000</v>
      </c>
      <c r="D7" s="18" t="n">
        <v>18200</v>
      </c>
      <c r="E7" s="23" t="inlineStr">
        <is>
          <t>2026-08</t>
        </is>
      </c>
      <c r="F7" s="24">
        <f>IF($A7="","",$D7-$C7)</f>
        <v/>
      </c>
      <c r="G7" s="24">
        <f>IF(OR($A7="",$C7=0),0,$F7/ABS($C7))</f>
        <v/>
      </c>
      <c r="H7" s="24">
        <f>IF($A7="","",1)</f>
        <v/>
      </c>
    </row>
    <row r="8">
      <c r="A8" s="23" t="inlineStr">
        <is>
          <t>GDR-03</t>
        </is>
      </c>
      <c r="B8" s="23" t="inlineStr">
        <is>
          <t>Asansör bakım</t>
        </is>
      </c>
      <c r="C8" s="18" t="n">
        <v>4500</v>
      </c>
      <c r="D8" s="18" t="n">
        <v>4800</v>
      </c>
      <c r="E8" s="23" t="inlineStr">
        <is>
          <t>2026-08</t>
        </is>
      </c>
      <c r="F8" s="24">
        <f>IF($A8="","",$D8-$C8)</f>
        <v/>
      </c>
      <c r="G8" s="24">
        <f>IF(OR($A8="",$C8=0),0,$F8/ABS($C8))</f>
        <v/>
      </c>
      <c r="H8" s="24">
        <f>IF($A8="","",1)</f>
        <v/>
      </c>
    </row>
    <row r="9">
      <c r="A9" s="23" t="inlineStr">
        <is>
          <t>GDR-04</t>
        </is>
      </c>
      <c r="B9" s="23" t="inlineStr">
        <is>
          <t>Elektrik ortak</t>
        </is>
      </c>
      <c r="C9" s="18" t="n">
        <v>8500</v>
      </c>
      <c r="D9" s="18" t="n">
        <v>9200</v>
      </c>
      <c r="E9" s="23" t="inlineStr">
        <is>
          <t>2026-08</t>
        </is>
      </c>
      <c r="F9" s="24">
        <f>IF($A9="","",$D9-$C9)</f>
        <v/>
      </c>
      <c r="G9" s="24">
        <f>IF(OR($A9="",$C9=0),0,$F9/ABS($C9))</f>
        <v/>
      </c>
      <c r="H9" s="24">
        <f>IF($A9="","",1)</f>
        <v/>
      </c>
    </row>
    <row r="10">
      <c r="A10" s="23" t="inlineStr">
        <is>
          <t>GDR-05</t>
        </is>
      </c>
      <c r="B10" s="23" t="inlineStr">
        <is>
          <t>Su ortak</t>
        </is>
      </c>
      <c r="C10" s="18" t="n">
        <v>3200</v>
      </c>
      <c r="D10" s="18" t="n">
        <v>3100</v>
      </c>
      <c r="E10" s="23" t="inlineStr">
        <is>
          <t>2026-08</t>
        </is>
      </c>
      <c r="F10" s="24">
        <f>IF($A10="","",$D10-$C10)</f>
        <v/>
      </c>
      <c r="G10" s="24">
        <f>IF(OR($A10="",$C10=0),0,$F10/ABS($C10))</f>
        <v/>
      </c>
      <c r="H10" s="24">
        <f>IF($A10="","",1)</f>
        <v/>
      </c>
    </row>
    <row r="11">
      <c r="A11" s="23" t="inlineStr">
        <is>
          <t>GDR-06</t>
        </is>
      </c>
      <c r="B11" s="23" t="inlineStr">
        <is>
          <t>Bahçe</t>
        </is>
      </c>
      <c r="C11" s="18" t="n">
        <v>2800</v>
      </c>
      <c r="D11" s="18" t="n">
        <v>2500</v>
      </c>
      <c r="E11" s="23" t="inlineStr">
        <is>
          <t>2026-08</t>
        </is>
      </c>
      <c r="F11" s="24">
        <f>IF($A11="","",$D11-$C11)</f>
        <v/>
      </c>
      <c r="G11" s="24">
        <f>IF(OR($A11="",$C11=0),0,$F11/ABS($C11))</f>
        <v/>
      </c>
      <c r="H11" s="24">
        <f>IF($A11="","",1)</f>
        <v/>
      </c>
    </row>
    <row r="12">
      <c r="A12" s="23" t="inlineStr">
        <is>
          <t>GDR-07</t>
        </is>
      </c>
      <c r="B12" s="23" t="inlineStr">
        <is>
          <t>Sigorta</t>
        </is>
      </c>
      <c r="C12" s="18" t="n">
        <v>6000</v>
      </c>
      <c r="D12" s="18" t="n">
        <v>6000</v>
      </c>
      <c r="E12" s="23" t="inlineStr">
        <is>
          <t>2026-08</t>
        </is>
      </c>
      <c r="F12" s="24">
        <f>IF($A12="","",$D12-$C12)</f>
        <v/>
      </c>
      <c r="G12" s="24">
        <f>IF(OR($A12="",$C12=0),0,$F12/ABS($C12))</f>
        <v/>
      </c>
      <c r="H12" s="24">
        <f>IF($A12="","",1)</f>
        <v/>
      </c>
    </row>
    <row r="13">
      <c r="A13" s="23" t="inlineStr">
        <is>
          <t>GDR-08</t>
        </is>
      </c>
      <c r="B13" s="23" t="inlineStr">
        <is>
          <t>Yönetim ücreti</t>
        </is>
      </c>
      <c r="C13" s="18" t="n">
        <v>7500</v>
      </c>
      <c r="D13" s="18" t="n">
        <v>7500</v>
      </c>
      <c r="E13" s="23" t="inlineStr">
        <is>
          <t>2026-08</t>
        </is>
      </c>
      <c r="F13" s="24">
        <f>IF($A13="","",$D13-$C13)</f>
        <v/>
      </c>
      <c r="G13" s="24">
        <f>IF(OR($A13="",$C13=0),0,$F13/ABS($C13))</f>
        <v/>
      </c>
      <c r="H13" s="24">
        <f>IF($A13="","",1)</f>
        <v/>
      </c>
    </row>
    <row r="14">
      <c r="A14" s="23" t="inlineStr">
        <is>
          <t>GDR-09</t>
        </is>
      </c>
      <c r="B14" s="23" t="inlineStr">
        <is>
          <t>Küçük onarım</t>
        </is>
      </c>
      <c r="C14" s="18" t="n">
        <v>4000</v>
      </c>
      <c r="D14" s="18" t="n">
        <v>5200</v>
      </c>
      <c r="E14" s="23" t="inlineStr">
        <is>
          <t>2026-08</t>
        </is>
      </c>
      <c r="F14" s="24">
        <f>IF($A14="","",$D14-$C14)</f>
        <v/>
      </c>
      <c r="G14" s="24">
        <f>IF(OR($A14="",$C14=0),0,$F14/ABS($C14))</f>
        <v/>
      </c>
      <c r="H14" s="24">
        <f>IF($A14="","",1)</f>
        <v/>
      </c>
    </row>
    <row r="15">
      <c r="A15" s="23" t="inlineStr">
        <is>
          <t>GDR-10</t>
        </is>
      </c>
      <c r="B15" s="23" t="inlineStr">
        <is>
          <t>Hukuk danışman</t>
        </is>
      </c>
      <c r="C15" s="18" t="n">
        <v>2000</v>
      </c>
      <c r="D15" s="18" t="n">
        <v>0</v>
      </c>
      <c r="E15" s="23" t="inlineStr">
        <is>
          <t>2026-08</t>
        </is>
      </c>
      <c r="F15" s="24">
        <f>IF($A15="","",$D15-$C15)</f>
        <v/>
      </c>
      <c r="G15" s="24">
        <f>IF(OR($A15="",$C15=0),0,$F15/ABS($C15))</f>
        <v/>
      </c>
      <c r="H15" s="24">
        <f>IF($A15="","",1)</f>
        <v/>
      </c>
    </row>
    <row r="16">
      <c r="F16" s="24">
        <f>IF($A16="","",$D16-$C16)</f>
        <v/>
      </c>
      <c r="G16" s="24">
        <f>IF(OR($A16="",$C16=0),0,$F16/ABS($C16))</f>
        <v/>
      </c>
      <c r="H16" s="24">
        <f>IF($A16="","",1)</f>
        <v/>
      </c>
    </row>
    <row r="17">
      <c r="F17" s="24">
        <f>IF($A17="","",$D17-$C17)</f>
        <v/>
      </c>
      <c r="G17" s="24">
        <f>IF(OR($A17="",$C17=0),0,$F17/ABS($C17))</f>
        <v/>
      </c>
      <c r="H17" s="24">
        <f>IF($A17="","",1)</f>
        <v/>
      </c>
    </row>
    <row r="18">
      <c r="F18" s="24">
        <f>IF($A18="","",$D18-$C18)</f>
        <v/>
      </c>
      <c r="G18" s="24">
        <f>IF(OR($A18="",$C18=0),0,$F18/ABS($C18))</f>
        <v/>
      </c>
      <c r="H18" s="24">
        <f>IF($A18="","",1)</f>
        <v/>
      </c>
    </row>
    <row r="19">
      <c r="F19" s="24">
        <f>IF($A19="","",$D19-$C19)</f>
        <v/>
      </c>
      <c r="G19" s="24">
        <f>IF(OR($A19="",$C19=0),0,$F19/ABS($C19))</f>
        <v/>
      </c>
      <c r="H19" s="24">
        <f>IF($A19="","",1)</f>
        <v/>
      </c>
    </row>
    <row r="20">
      <c r="F20" s="24">
        <f>IF($A20="","",$D20-$C20)</f>
        <v/>
      </c>
      <c r="G20" s="24">
        <f>IF(OR($A20="",$C20=0),0,$F20/ABS($C20))</f>
        <v/>
      </c>
      <c r="H20" s="24">
        <f>IF($A20="","",1)</f>
        <v/>
      </c>
    </row>
    <row r="21">
      <c r="F21" s="24">
        <f>IF($A21="","",$D21-$C21)</f>
        <v/>
      </c>
      <c r="G21" s="24">
        <f>IF(OR($A21="",$C21=0),0,$F21/ABS($C21))</f>
        <v/>
      </c>
      <c r="H21" s="24">
        <f>IF($A21="","",1)</f>
        <v/>
      </c>
    </row>
    <row r="22">
      <c r="F22" s="24">
        <f>IF($A22="","",$D22-$C22)</f>
        <v/>
      </c>
      <c r="G22" s="24">
        <f>IF(OR($A22="",$C22=0),0,$F22/ABS($C22))</f>
        <v/>
      </c>
      <c r="H22" s="24">
        <f>IF($A22="","",1)</f>
        <v/>
      </c>
    </row>
    <row r="23">
      <c r="F23" s="24">
        <f>IF($A23="","",$D23-$C23)</f>
        <v/>
      </c>
      <c r="G23" s="24">
        <f>IF(OR($A23="",$C23=0),0,$F23/ABS($C23))</f>
        <v/>
      </c>
      <c r="H23" s="24">
        <f>IF($A23="","",1)</f>
        <v/>
      </c>
    </row>
    <row r="24">
      <c r="F24" s="24">
        <f>IF($A24="","",$D24-$C24)</f>
        <v/>
      </c>
      <c r="G24" s="24">
        <f>IF(OR($A24="",$C24=0),0,$F24/ABS($C24))</f>
        <v/>
      </c>
      <c r="H24" s="24">
        <f>IF($A24="","",1)</f>
        <v/>
      </c>
    </row>
    <row r="25">
      <c r="F25" s="24">
        <f>IF($A25="","",$D25-$C25)</f>
        <v/>
      </c>
      <c r="G25" s="24">
        <f>IF(OR($A25="",$C25=0),0,$F25/ABS($C25))</f>
        <v/>
      </c>
      <c r="H25" s="24">
        <f>IF($A25="","",1)</f>
        <v/>
      </c>
    </row>
    <row r="26">
      <c r="F26" s="24">
        <f>IF($A26="","",$D26-$C26)</f>
        <v/>
      </c>
      <c r="G26" s="24">
        <f>IF(OR($A26="",$C26=0),0,$F26/ABS($C26))</f>
        <v/>
      </c>
      <c r="H26" s="24">
        <f>IF($A26="","",1)</f>
        <v/>
      </c>
    </row>
    <row r="27">
      <c r="F27" s="24">
        <f>IF($A27="","",$D27-$C27)</f>
        <v/>
      </c>
      <c r="G27" s="24">
        <f>IF(OR($A27="",$C27=0),0,$F27/ABS($C27))</f>
        <v/>
      </c>
      <c r="H27" s="24">
        <f>IF($A27="","",1)</f>
        <v/>
      </c>
    </row>
    <row r="28">
      <c r="F28" s="24">
        <f>IF($A28="","",$D28-$C28)</f>
        <v/>
      </c>
      <c r="G28" s="24">
        <f>IF(OR($A28="",$C28=0),0,$F28/ABS($C28))</f>
        <v/>
      </c>
      <c r="H28" s="24">
        <f>IF($A28="","",1)</f>
        <v/>
      </c>
    </row>
    <row r="29">
      <c r="F29" s="24">
        <f>IF($A29="","",$D29-$C29)</f>
        <v/>
      </c>
      <c r="G29" s="24">
        <f>IF(OR($A29="",$C29=0),0,$F29/ABS($C29))</f>
        <v/>
      </c>
      <c r="H29" s="24">
        <f>IF($A29="","",1)</f>
        <v/>
      </c>
    </row>
    <row r="30">
      <c r="F30" s="24">
        <f>IF($A30="","",$D30-$C30)</f>
        <v/>
      </c>
      <c r="G30" s="24">
        <f>IF(OR($A30="",$C30=0),0,$F30/ABS($C30))</f>
        <v/>
      </c>
      <c r="H30" s="24">
        <f>IF($A30="","",1)</f>
        <v/>
      </c>
    </row>
    <row r="31">
      <c r="F31" s="24">
        <f>IF($A31="","",$D31-$C31)</f>
        <v/>
      </c>
      <c r="G31" s="24">
        <f>IF(OR($A31="",$C31=0),0,$F31/ABS($C31))</f>
        <v/>
      </c>
      <c r="H31" s="24">
        <f>IF($A31="","",1)</f>
        <v/>
      </c>
    </row>
    <row r="32">
      <c r="F32" s="24">
        <f>IF($A32="","",$D32-$C32)</f>
        <v/>
      </c>
      <c r="G32" s="24">
        <f>IF(OR($A32="",$C32=0),0,$F32/ABS($C32))</f>
        <v/>
      </c>
      <c r="H32" s="24">
        <f>IF($A32="","",1)</f>
        <v/>
      </c>
    </row>
    <row r="33">
      <c r="F33" s="24">
        <f>IF($A33="","",$D33-$C33)</f>
        <v/>
      </c>
      <c r="G33" s="24">
        <f>IF(OR($A33="",$C33=0),0,$F33/ABS($C33))</f>
        <v/>
      </c>
      <c r="H33" s="24">
        <f>IF($A33="","",1)</f>
        <v/>
      </c>
    </row>
    <row r="34">
      <c r="F34" s="24">
        <f>IF($A34="","",$D34-$C34)</f>
        <v/>
      </c>
      <c r="G34" s="24">
        <f>IF(OR($A34="",$C34=0),0,$F34/ABS($C34))</f>
        <v/>
      </c>
      <c r="H34" s="24">
        <f>IF($A34="","",1)</f>
        <v/>
      </c>
    </row>
    <row r="35">
      <c r="F35" s="24">
        <f>IF($A35="","",$D35-$C35)</f>
        <v/>
      </c>
      <c r="G35" s="24">
        <f>IF(OR($A35="",$C35=0),0,$F35/ABS($C35))</f>
        <v/>
      </c>
      <c r="H35" s="24">
        <f>IF($A35="","",1)</f>
        <v/>
      </c>
    </row>
    <row r="36">
      <c r="F36" s="24">
        <f>IF($A36="","",$D36-$C36)</f>
        <v/>
      </c>
      <c r="G36" s="24">
        <f>IF(OR($A36="",$C36=0),0,$F36/ABS($C36))</f>
        <v/>
      </c>
      <c r="H36" s="24">
        <f>IF($A36="","",1)</f>
        <v/>
      </c>
    </row>
    <row r="37">
      <c r="F37" s="24">
        <f>IF($A37="","",$D37-$C37)</f>
        <v/>
      </c>
      <c r="G37" s="24">
        <f>IF(OR($A37="",$C37=0),0,$F37/ABS($C37))</f>
        <v/>
      </c>
      <c r="H37" s="24">
        <f>IF($A37="","",1)</f>
        <v/>
      </c>
    </row>
    <row r="38">
      <c r="F38" s="24">
        <f>IF($A38="","",$D38-$C38)</f>
        <v/>
      </c>
      <c r="G38" s="24">
        <f>IF(OR($A38="",$C38=0),0,$F38/ABS($C38))</f>
        <v/>
      </c>
      <c r="H38" s="24">
        <f>IF($A38="","",1)</f>
        <v/>
      </c>
    </row>
    <row r="39">
      <c r="F39" s="24">
        <f>IF($A39="","",$D39-$C39)</f>
        <v/>
      </c>
      <c r="G39" s="24">
        <f>IF(OR($A39="",$C39=0),0,$F39/ABS($C39))</f>
        <v/>
      </c>
      <c r="H39" s="24">
        <f>IF($A39="","",1)</f>
        <v/>
      </c>
    </row>
    <row r="40">
      <c r="F40" s="24">
        <f>IF($A40="","",$D40-$C40)</f>
        <v/>
      </c>
      <c r="G40" s="24">
        <f>IF(OR($A40="",$C40=0),0,$F40/ABS($C40))</f>
        <v/>
      </c>
      <c r="H40" s="24">
        <f>IF($A40="","",1)</f>
        <v/>
      </c>
    </row>
    <row r="41">
      <c r="F41" s="24">
        <f>IF($A41="","",$D41-$C41)</f>
        <v/>
      </c>
      <c r="G41" s="24">
        <f>IF(OR($A41="",$C41=0),0,$F41/ABS($C41))</f>
        <v/>
      </c>
      <c r="H41" s="24">
        <f>IF($A41="","",1)</f>
        <v/>
      </c>
    </row>
    <row r="42">
      <c r="F42" s="24">
        <f>IF($A42="","",$D42-$C42)</f>
        <v/>
      </c>
      <c r="G42" s="24">
        <f>IF(OR($A42="",$C42=0),0,$F42/ABS($C42))</f>
        <v/>
      </c>
      <c r="H42" s="24">
        <f>IF($A42="","",1)</f>
        <v/>
      </c>
    </row>
    <row r="43">
      <c r="F43" s="24">
        <f>IF($A43="","",$D43-$C43)</f>
        <v/>
      </c>
      <c r="G43" s="24">
        <f>IF(OR($A43="",$C43=0),0,$F43/ABS($C43))</f>
        <v/>
      </c>
      <c r="H43" s="24">
        <f>IF($A43="","",1)</f>
        <v/>
      </c>
    </row>
    <row r="44">
      <c r="F44" s="24">
        <f>IF($A44="","",$D44-$C44)</f>
        <v/>
      </c>
      <c r="G44" s="24">
        <f>IF(OR($A44="",$C44=0),0,$F44/ABS($C44))</f>
        <v/>
      </c>
      <c r="H44" s="24">
        <f>IF($A44="","",1)</f>
        <v/>
      </c>
    </row>
    <row r="45">
      <c r="F45" s="24">
        <f>IF($A45="","",$D45-$C45)</f>
        <v/>
      </c>
      <c r="G45" s="24">
        <f>IF(OR($A45="",$C45=0),0,$F45/ABS($C45))</f>
        <v/>
      </c>
      <c r="H45" s="24">
        <f>IF($A45="","",1)</f>
        <v/>
      </c>
    </row>
    <row r="46">
      <c r="F46" s="24">
        <f>IF($A46="","",$D46-$C46)</f>
        <v/>
      </c>
      <c r="G46" s="24">
        <f>IF(OR($A46="",$C46=0),0,$F46/ABS($C46))</f>
        <v/>
      </c>
      <c r="H46" s="24">
        <f>IF($A46="","",1)</f>
        <v/>
      </c>
    </row>
    <row r="47">
      <c r="F47" s="24">
        <f>IF($A47="","",$D47-$C47)</f>
        <v/>
      </c>
      <c r="G47" s="24">
        <f>IF(OR($A47="",$C47=0),0,$F47/ABS($C47))</f>
        <v/>
      </c>
      <c r="H47" s="24">
        <f>IF($A47="","",1)</f>
        <v/>
      </c>
    </row>
    <row r="48">
      <c r="F48" s="24">
        <f>IF($A48="","",$D48-$C48)</f>
        <v/>
      </c>
      <c r="G48" s="24">
        <f>IF(OR($A48="",$C48=0),0,$F48/ABS($C48))</f>
        <v/>
      </c>
      <c r="H48" s="24">
        <f>IF($A48="","",1)</f>
        <v/>
      </c>
    </row>
    <row r="49">
      <c r="F49" s="24">
        <f>IF($A49="","",$D49-$C49)</f>
        <v/>
      </c>
      <c r="G49" s="24">
        <f>IF(OR($A49="",$C49=0),0,$F49/ABS($C49))</f>
        <v/>
      </c>
      <c r="H49" s="24">
        <f>IF($A49="","",1)</f>
        <v/>
      </c>
    </row>
    <row r="50">
      <c r="F50" s="24">
        <f>IF($A50="","",$D50-$C50)</f>
        <v/>
      </c>
      <c r="G50" s="24">
        <f>IF(OR($A50="",$C50=0),0,$F50/ABS($C50))</f>
        <v/>
      </c>
      <c r="H50" s="24">
        <f>IF($A50="","",1)</f>
        <v/>
      </c>
    </row>
    <row r="51">
      <c r="F51" s="24">
        <f>IF($A51="","",$D51-$C51)</f>
        <v/>
      </c>
      <c r="G51" s="24">
        <f>IF(OR($A51="",$C51=0),0,$F51/ABS($C51))</f>
        <v/>
      </c>
      <c r="H51" s="24">
        <f>IF($A51="","",1)</f>
        <v/>
      </c>
    </row>
    <row r="52">
      <c r="F52" s="24">
        <f>IF($A52="","",$D52-$C52)</f>
        <v/>
      </c>
      <c r="G52" s="24">
        <f>IF(OR($A52="",$C52=0),0,$F52/ABS($C52))</f>
        <v/>
      </c>
      <c r="H52" s="24">
        <f>IF($A52="","",1)</f>
        <v/>
      </c>
    </row>
    <row r="53">
      <c r="F53" s="24">
        <f>IF($A53="","",$D53-$C53)</f>
        <v/>
      </c>
      <c r="G53" s="24">
        <f>IF(OR($A53="",$C53=0),0,$F53/ABS($C53))</f>
        <v/>
      </c>
      <c r="H53" s="24">
        <f>IF($A53="","",1)</f>
        <v/>
      </c>
    </row>
    <row r="54">
      <c r="F54" s="24">
        <f>IF($A54="","",$D54-$C54)</f>
        <v/>
      </c>
      <c r="G54" s="24">
        <f>IF(OR($A54="",$C54=0),0,$F54/ABS($C54))</f>
        <v/>
      </c>
      <c r="H54" s="24">
        <f>IF($A54="","",1)</f>
        <v/>
      </c>
    </row>
    <row r="55">
      <c r="F55" s="24">
        <f>IF($A55="","",$D55-$C55)</f>
        <v/>
      </c>
      <c r="G55" s="24">
        <f>IF(OR($A55="",$C55=0),0,$F55/ABS($C55))</f>
        <v/>
      </c>
      <c r="H55" s="24">
        <f>IF($A55="","",1)</f>
        <v/>
      </c>
    </row>
    <row r="56">
      <c r="F56" s="24">
        <f>IF($A56="","",$D56-$C56)</f>
        <v/>
      </c>
      <c r="G56" s="24">
        <f>IF(OR($A56="",$C56=0),0,$F56/ABS($C56))</f>
        <v/>
      </c>
      <c r="H56" s="24">
        <f>IF($A56="","",1)</f>
        <v/>
      </c>
    </row>
    <row r="57">
      <c r="F57" s="24">
        <f>IF($A57="","",$D57-$C57)</f>
        <v/>
      </c>
      <c r="G57" s="24">
        <f>IF(OR($A57="",$C57=0),0,$F57/ABS($C57))</f>
        <v/>
      </c>
      <c r="H57" s="24">
        <f>IF($A57="","",1)</f>
        <v/>
      </c>
    </row>
    <row r="58">
      <c r="F58" s="24">
        <f>IF($A58="","",$D58-$C58)</f>
        <v/>
      </c>
      <c r="G58" s="24">
        <f>IF(OR($A58="",$C58=0),0,$F58/ABS($C58))</f>
        <v/>
      </c>
      <c r="H58" s="24">
        <f>IF($A58="","",1)</f>
        <v/>
      </c>
    </row>
    <row r="59">
      <c r="F59" s="24">
        <f>IF($A59="","",$D59-$C59)</f>
        <v/>
      </c>
      <c r="G59" s="24">
        <f>IF(OR($A59="",$C59=0),0,$F59/ABS($C59))</f>
        <v/>
      </c>
      <c r="H59" s="24">
        <f>IF($A59="","",1)</f>
        <v/>
      </c>
    </row>
    <row r="60">
      <c r="F60" s="24">
        <f>IF($A60="","",$D60-$C60)</f>
        <v/>
      </c>
      <c r="G60" s="24">
        <f>IF(OR($A60="",$C60=0),0,$F60/ABS($C60))</f>
        <v/>
      </c>
      <c r="H60" s="24">
        <f>IF($A60="","",1)</f>
        <v/>
      </c>
    </row>
    <row r="61">
      <c r="F61" s="24">
        <f>IF($A61="","",$D61-$C61)</f>
        <v/>
      </c>
      <c r="G61" s="24">
        <f>IF(OR($A61="",$C61=0),0,$F61/ABS($C61))</f>
        <v/>
      </c>
      <c r="H61" s="24">
        <f>IF($A61="","",1)</f>
        <v/>
      </c>
    </row>
    <row r="62">
      <c r="F62" s="24">
        <f>IF($A62="","",$D62-$C62)</f>
        <v/>
      </c>
      <c r="G62" s="24">
        <f>IF(OR($A62="",$C62=0),0,$F62/ABS($C62))</f>
        <v/>
      </c>
      <c r="H62" s="24">
        <f>IF($A62="","",1)</f>
        <v/>
      </c>
    </row>
    <row r="63">
      <c r="F63" s="24">
        <f>IF($A63="","",$D63-$C63)</f>
        <v/>
      </c>
      <c r="G63" s="24">
        <f>IF(OR($A63="",$C63=0),0,$F63/ABS($C63))</f>
        <v/>
      </c>
      <c r="H63" s="24">
        <f>IF($A63="","",1)</f>
        <v/>
      </c>
    </row>
    <row r="64">
      <c r="F64" s="24">
        <f>IF($A64="","",$D64-$C64)</f>
        <v/>
      </c>
      <c r="G64" s="24">
        <f>IF(OR($A64="",$C64=0),0,$F64/ABS($C64))</f>
        <v/>
      </c>
      <c r="H64" s="24">
        <f>IF($A64="","",1)</f>
        <v/>
      </c>
    </row>
    <row r="65">
      <c r="F65" s="24">
        <f>IF($A65="","",$D65-$C65)</f>
        <v/>
      </c>
      <c r="G65" s="24">
        <f>IF(OR($A65="",$C65=0),0,$F65/ABS($C65))</f>
        <v/>
      </c>
      <c r="H65" s="24">
        <f>IF($A65="","",1)</f>
        <v/>
      </c>
    </row>
    <row r="66">
      <c r="F66" s="24">
        <f>IF($A66="","",$D66-$C66)</f>
        <v/>
      </c>
      <c r="G66" s="24">
        <f>IF(OR($A66="",$C66=0),0,$F66/ABS($C66))</f>
        <v/>
      </c>
      <c r="H66" s="24">
        <f>IF($A66="","",1)</f>
        <v/>
      </c>
    </row>
    <row r="67">
      <c r="F67" s="24">
        <f>IF($A67="","",$D67-$C67)</f>
        <v/>
      </c>
      <c r="G67" s="24">
        <f>IF(OR($A67="",$C67=0),0,$F67/ABS($C67))</f>
        <v/>
      </c>
      <c r="H67" s="24">
        <f>IF($A67="","",1)</f>
        <v/>
      </c>
    </row>
    <row r="68">
      <c r="F68" s="24">
        <f>IF($A68="","",$D68-$C68)</f>
        <v/>
      </c>
      <c r="G68" s="24">
        <f>IF(OR($A68="",$C68=0),0,$F68/ABS($C68))</f>
        <v/>
      </c>
      <c r="H68" s="24">
        <f>IF($A68="","",1)</f>
        <v/>
      </c>
    </row>
    <row r="69">
      <c r="F69" s="24">
        <f>IF($A69="","",$D69-$C69)</f>
        <v/>
      </c>
      <c r="G69" s="24">
        <f>IF(OR($A69="",$C69=0),0,$F69/ABS($C69))</f>
        <v/>
      </c>
      <c r="H69" s="24">
        <f>IF($A69="","",1)</f>
        <v/>
      </c>
    </row>
    <row r="70">
      <c r="F70" s="24">
        <f>IF($A70="","",$D70-$C70)</f>
        <v/>
      </c>
      <c r="G70" s="24">
        <f>IF(OR($A70="",$C70=0),0,$F70/ABS($C70))</f>
        <v/>
      </c>
      <c r="H70" s="24">
        <f>IF($A70="","",1)</f>
        <v/>
      </c>
    </row>
    <row r="71">
      <c r="F71" s="24">
        <f>IF($A71="","",$D71-$C71)</f>
        <v/>
      </c>
      <c r="G71" s="24">
        <f>IF(OR($A71="",$C71=0),0,$F71/ABS($C71))</f>
        <v/>
      </c>
      <c r="H71" s="24">
        <f>IF($A71="","",1)</f>
        <v/>
      </c>
    </row>
    <row r="72">
      <c r="F72" s="24">
        <f>IF($A72="","",$D72-$C72)</f>
        <v/>
      </c>
      <c r="G72" s="24">
        <f>IF(OR($A72="",$C72=0),0,$F72/ABS($C72))</f>
        <v/>
      </c>
      <c r="H72" s="24">
        <f>IF($A72="","",1)</f>
        <v/>
      </c>
    </row>
    <row r="73">
      <c r="F73" s="24">
        <f>IF($A73="","",$D73-$C73)</f>
        <v/>
      </c>
      <c r="G73" s="24">
        <f>IF(OR($A73="",$C73=0),0,$F73/ABS($C73))</f>
        <v/>
      </c>
      <c r="H73" s="24">
        <f>IF($A73="","",1)</f>
        <v/>
      </c>
    </row>
    <row r="74">
      <c r="F74" s="24">
        <f>IF($A74="","",$D74-$C74)</f>
        <v/>
      </c>
      <c r="G74" s="24">
        <f>IF(OR($A74="",$C74=0),0,$F74/ABS($C74))</f>
        <v/>
      </c>
      <c r="H74" s="24">
        <f>IF($A74="","",1)</f>
        <v/>
      </c>
    </row>
    <row r="75">
      <c r="F75" s="24">
        <f>IF($A75="","",$D75-$C75)</f>
        <v/>
      </c>
      <c r="G75" s="24">
        <f>IF(OR($A75="",$C75=0),0,$F75/ABS($C75))</f>
        <v/>
      </c>
      <c r="H75" s="24">
        <f>IF($A75="","",1)</f>
        <v/>
      </c>
    </row>
    <row r="76">
      <c r="F76" s="24">
        <f>IF($A76="","",$D76-$C76)</f>
        <v/>
      </c>
      <c r="G76" s="24">
        <f>IF(OR($A76="",$C76=0),0,$F76/ABS($C76))</f>
        <v/>
      </c>
      <c r="H76" s="24">
        <f>IF($A76="","",1)</f>
        <v/>
      </c>
    </row>
    <row r="77">
      <c r="F77" s="24">
        <f>IF($A77="","",$D77-$C77)</f>
        <v/>
      </c>
      <c r="G77" s="24">
        <f>IF(OR($A77="",$C77=0),0,$F77/ABS($C77))</f>
        <v/>
      </c>
      <c r="H77" s="24">
        <f>IF($A77="","",1)</f>
        <v/>
      </c>
    </row>
    <row r="78">
      <c r="F78" s="24">
        <f>IF($A78="","",$D78-$C78)</f>
        <v/>
      </c>
      <c r="G78" s="24">
        <f>IF(OR($A78="",$C78=0),0,$F78/ABS($C78))</f>
        <v/>
      </c>
      <c r="H78" s="24">
        <f>IF($A78="","",1)</f>
        <v/>
      </c>
    </row>
    <row r="79">
      <c r="F79" s="24">
        <f>IF($A79="","",$D79-$C79)</f>
        <v/>
      </c>
      <c r="G79" s="24">
        <f>IF(OR($A79="",$C79=0),0,$F79/ABS($C79))</f>
        <v/>
      </c>
      <c r="H79" s="24">
        <f>IF($A79="","",1)</f>
        <v/>
      </c>
    </row>
    <row r="80">
      <c r="F80" s="24">
        <f>IF($A80="","",$D80-$C80)</f>
        <v/>
      </c>
      <c r="G80" s="24">
        <f>IF(OR($A80="",$C80=0),0,$F80/ABS($C80))</f>
        <v/>
      </c>
      <c r="H80" s="24">
        <f>IF($A80="","",1)</f>
        <v/>
      </c>
    </row>
    <row r="81">
      <c r="F81" s="24">
        <f>IF($A81="","",$D81-$C81)</f>
        <v/>
      </c>
      <c r="G81" s="24">
        <f>IF(OR($A81="",$C81=0),0,$F81/ABS($C81))</f>
        <v/>
      </c>
      <c r="H81" s="24">
        <f>IF($A81="","",1)</f>
        <v/>
      </c>
    </row>
    <row r="82">
      <c r="F82" s="24">
        <f>IF($A82="","",$D82-$C82)</f>
        <v/>
      </c>
      <c r="G82" s="24">
        <f>IF(OR($A82="",$C82=0),0,$F82/ABS($C82))</f>
        <v/>
      </c>
      <c r="H82" s="24">
        <f>IF($A82="","",1)</f>
        <v/>
      </c>
    </row>
    <row r="83">
      <c r="F83" s="24">
        <f>IF($A83="","",$D83-$C83)</f>
        <v/>
      </c>
      <c r="G83" s="24">
        <f>IF(OR($A83="",$C83=0),0,$F83/ABS($C83))</f>
        <v/>
      </c>
      <c r="H83" s="24">
        <f>IF($A83="","",1)</f>
        <v/>
      </c>
    </row>
    <row r="84">
      <c r="F84" s="24">
        <f>IF($A84="","",$D84-$C84)</f>
        <v/>
      </c>
      <c r="G84" s="24">
        <f>IF(OR($A84="",$C84=0),0,$F84/ABS($C84))</f>
        <v/>
      </c>
      <c r="H84" s="24">
        <f>IF($A84="","",1)</f>
        <v/>
      </c>
    </row>
    <row r="85">
      <c r="F85" s="24">
        <f>IF($A85="","",$D85-$C85)</f>
        <v/>
      </c>
      <c r="G85" s="24">
        <f>IF(OR($A85="",$C85=0),0,$F85/ABS($C85))</f>
        <v/>
      </c>
      <c r="H85" s="24">
        <f>IF($A85="","",1)</f>
        <v/>
      </c>
    </row>
    <row r="86">
      <c r="F86" s="24">
        <f>IF($A86="","",$D86-$C86)</f>
        <v/>
      </c>
      <c r="G86" s="24">
        <f>IF(OR($A86="",$C86=0),0,$F86/ABS($C86))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F6:F36">
    <cfRule type="cellIs" priority="1" operator="greaterThan" dxfId="4">
      <formula>0</formula>
    </cfRule>
    <cfRule type="cellIs" priority="2" operator="lessThan" dxfId="5">
      <formula>0</formula>
    </cfRule>
  </conditionalFormatting>
  <dataValidations count="1">
    <dataValidation sqref="C6:D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AC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3.5" customWidth="1" min="2" max="2"/>
    <col width="28" customWidth="1" min="3" max="3"/>
    <col width="12" customWidth="1" min="4" max="4"/>
    <col width="10" customWidth="1" min="5" max="5"/>
    <col width="13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KARARLAR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Genel kurul / yönetim kararları — kanıt niteliğinde defter</t>
        </is>
      </c>
    </row>
    <row r="4"/>
    <row r="5" ht="30" customHeight="1">
      <c r="A5" s="22" t="inlineStr">
        <is>
          <t>KararId</t>
        </is>
      </c>
      <c r="B5" s="22" t="inlineStr">
        <is>
          <t>Tarih</t>
        </is>
      </c>
      <c r="C5" s="22" t="inlineStr">
        <is>
          <t>Konu</t>
        </is>
      </c>
      <c r="D5" s="22" t="inlineStr">
        <is>
          <t>Sonuc</t>
        </is>
      </c>
      <c r="E5" s="22" t="inlineStr">
        <is>
          <t>Organ</t>
        </is>
      </c>
      <c r="F5" s="22" t="inlineStr">
        <is>
          <t>MotorAdim</t>
        </is>
      </c>
    </row>
    <row r="6">
      <c r="A6" s="23" t="inlineStr">
        <is>
          <t>KR-01</t>
        </is>
      </c>
      <c r="B6" s="61" t="n">
        <v>46037</v>
      </c>
      <c r="C6" s="23" t="inlineStr">
        <is>
          <t>2026 bütçe onayı</t>
        </is>
      </c>
      <c r="D6" s="23" t="inlineStr">
        <is>
          <t>ONAY</t>
        </is>
      </c>
      <c r="E6" s="23" t="inlineStr">
        <is>
          <t>YK</t>
        </is>
      </c>
      <c r="F6" s="24">
        <f>IF($A6="","",1)</f>
        <v/>
      </c>
    </row>
    <row r="7">
      <c r="A7" s="23" t="inlineStr">
        <is>
          <t>KR-02</t>
        </is>
      </c>
      <c r="B7" s="61" t="n">
        <v>46101</v>
      </c>
      <c r="C7" s="23" t="inlineStr">
        <is>
          <t>Asansör ihalesi</t>
        </is>
      </c>
      <c r="D7" s="23" t="inlineStr">
        <is>
          <t>ONAY</t>
        </is>
      </c>
      <c r="E7" s="23" t="inlineStr">
        <is>
          <t>GK</t>
        </is>
      </c>
      <c r="F7" s="24">
        <f>IF($A7="","",1)</f>
        <v/>
      </c>
    </row>
    <row r="8">
      <c r="A8" s="23" t="inlineStr">
        <is>
          <t>KR-03</t>
        </is>
      </c>
      <c r="B8" s="61" t="n">
        <v>46152</v>
      </c>
      <c r="C8" s="23" t="inlineStr">
        <is>
          <t>Aidat artışı %8</t>
        </is>
      </c>
      <c r="D8" s="23" t="inlineStr">
        <is>
          <t>ONAY</t>
        </is>
      </c>
      <c r="E8" s="23" t="inlineStr">
        <is>
          <t>GK</t>
        </is>
      </c>
      <c r="F8" s="24">
        <f>IF($A8="","",1)</f>
        <v/>
      </c>
    </row>
    <row r="9">
      <c r="A9" s="23" t="inlineStr">
        <is>
          <t>KR-04</t>
        </is>
      </c>
      <c r="B9" s="61" t="n">
        <v>46185</v>
      </c>
      <c r="C9" s="23" t="inlineStr">
        <is>
          <t>Bahçe yenileme</t>
        </is>
      </c>
      <c r="D9" s="23" t="inlineStr">
        <is>
          <t>ERTELE</t>
        </is>
      </c>
      <c r="E9" s="23" t="inlineStr">
        <is>
          <t>YK</t>
        </is>
      </c>
      <c r="F9" s="24">
        <f>IF($A9="","",1)</f>
        <v/>
      </c>
    </row>
    <row r="10">
      <c r="A10" s="23" t="inlineStr">
        <is>
          <t>KR-05</t>
        </is>
      </c>
      <c r="B10" s="61" t="n">
        <v>46211</v>
      </c>
      <c r="C10" s="23" t="inlineStr">
        <is>
          <t>İcap prosedürü</t>
        </is>
      </c>
      <c r="D10" s="23" t="inlineStr">
        <is>
          <t>ONAY</t>
        </is>
      </c>
      <c r="E10" s="23" t="inlineStr">
        <is>
          <t>YK</t>
        </is>
      </c>
      <c r="F10" s="24">
        <f>IF($A10="","",1)</f>
        <v/>
      </c>
    </row>
    <row r="11">
      <c r="A11" s="23" t="inlineStr">
        <is>
          <t>KR-06</t>
        </is>
      </c>
      <c r="B11" s="61" t="n">
        <v>46239</v>
      </c>
      <c r="C11" s="23" t="inlineStr">
        <is>
          <t>Genel kurul gündemi</t>
        </is>
      </c>
      <c r="D11" s="23" t="inlineStr">
        <is>
          <t>TASLAK</t>
        </is>
      </c>
      <c r="E11" s="23" t="inlineStr">
        <is>
          <t>YK</t>
        </is>
      </c>
      <c r="F11" s="24">
        <f>IF($A11="","",1)</f>
        <v/>
      </c>
    </row>
    <row r="12">
      <c r="F12" s="24">
        <f>IF($A12="","",1)</f>
        <v/>
      </c>
    </row>
    <row r="13">
      <c r="F13" s="24">
        <f>IF($A13="","",1)</f>
        <v/>
      </c>
    </row>
    <row r="14">
      <c r="F14" s="24">
        <f>IF($A14="","",1)</f>
        <v/>
      </c>
    </row>
    <row r="15">
      <c r="F15" s="24">
        <f>IF($A15="","",1)</f>
        <v/>
      </c>
    </row>
    <row r="16">
      <c r="F16" s="24">
        <f>IF($A16="","",1)</f>
        <v/>
      </c>
    </row>
    <row r="17">
      <c r="F17" s="24">
        <f>IF($A17="","",1)</f>
        <v/>
      </c>
    </row>
    <row r="18">
      <c r="F18" s="24">
        <f>IF($A18="","",1)</f>
        <v/>
      </c>
    </row>
    <row r="19">
      <c r="F19" s="24">
        <f>IF($A19="","",1)</f>
        <v/>
      </c>
    </row>
    <row r="20">
      <c r="F20" s="24">
        <f>IF($A20="","",1)</f>
        <v/>
      </c>
    </row>
    <row r="21">
      <c r="F21" s="24">
        <f>IF($A21="","",1)</f>
        <v/>
      </c>
    </row>
    <row r="22">
      <c r="F22" s="24">
        <f>IF($A22="","",1)</f>
        <v/>
      </c>
    </row>
    <row r="23">
      <c r="F23" s="24">
        <f>IF($A23="","",1)</f>
        <v/>
      </c>
    </row>
    <row r="24">
      <c r="F24" s="24">
        <f>IF($A24="","",1)</f>
        <v/>
      </c>
    </row>
    <row r="25">
      <c r="F25" s="24">
        <f>IF($A25="","",1)</f>
        <v/>
      </c>
    </row>
    <row r="26">
      <c r="F26" s="24">
        <f>IF($A26="","",1)</f>
        <v/>
      </c>
    </row>
    <row r="27">
      <c r="F27" s="24">
        <f>IF($A27="","",1)</f>
        <v/>
      </c>
    </row>
    <row r="28">
      <c r="F28" s="24">
        <f>IF($A28="","",1)</f>
        <v/>
      </c>
    </row>
    <row r="29">
      <c r="F29" s="24">
        <f>IF($A29="","",1)</f>
        <v/>
      </c>
    </row>
    <row r="30">
      <c r="F30" s="24">
        <f>IF($A30="","",1)</f>
        <v/>
      </c>
    </row>
    <row r="31">
      <c r="F31" s="24">
        <f>IF($A31="","",1)</f>
        <v/>
      </c>
    </row>
    <row r="32">
      <c r="F32" s="24">
        <f>IF($A32="","",1)</f>
        <v/>
      </c>
    </row>
    <row r="33">
      <c r="F33" s="24">
        <f>IF($A33="","",1)</f>
        <v/>
      </c>
    </row>
    <row r="34">
      <c r="F34" s="24">
        <f>IF($A34="","",1)</f>
        <v/>
      </c>
    </row>
    <row r="35">
      <c r="F35" s="24">
        <f>IF($A35="","",1)</f>
        <v/>
      </c>
    </row>
    <row r="36">
      <c r="F36" s="24">
        <f>IF($A36="","",1)</f>
        <v/>
      </c>
    </row>
    <row r="37">
      <c r="F37" s="24">
        <f>IF($A37="","",1)</f>
        <v/>
      </c>
    </row>
    <row r="38">
      <c r="F38" s="24">
        <f>IF($A38="","",1)</f>
        <v/>
      </c>
    </row>
    <row r="39">
      <c r="F39" s="24">
        <f>IF($A39="","",1)</f>
        <v/>
      </c>
    </row>
    <row r="40">
      <c r="F40" s="24">
        <f>IF($A40="","",1)</f>
        <v/>
      </c>
    </row>
    <row r="41">
      <c r="F41" s="24">
        <f>IF($A41="","",1)</f>
        <v/>
      </c>
    </row>
    <row r="42">
      <c r="F42" s="24">
        <f>IF($A42="","",1)</f>
        <v/>
      </c>
    </row>
    <row r="43">
      <c r="F43" s="24">
        <f>IF($A43="","",1)</f>
        <v/>
      </c>
    </row>
    <row r="44">
      <c r="F44" s="24">
        <f>IF($A44="","",1)</f>
        <v/>
      </c>
    </row>
    <row r="45">
      <c r="F45" s="24">
        <f>IF($A45="","",1)</f>
        <v/>
      </c>
    </row>
    <row r="46">
      <c r="F46" s="24">
        <f>IF($A46="","",1)</f>
        <v/>
      </c>
    </row>
    <row r="47">
      <c r="F47" s="24">
        <f>IF($A47="","",1)</f>
        <v/>
      </c>
    </row>
    <row r="48">
      <c r="F48" s="24">
        <f>IF($A48="","",1)</f>
        <v/>
      </c>
    </row>
    <row r="49">
      <c r="F49" s="24">
        <f>IF($A49="","",1)</f>
        <v/>
      </c>
    </row>
    <row r="50">
      <c r="F50" s="24">
        <f>IF($A50="","",1)</f>
        <v/>
      </c>
    </row>
    <row r="51">
      <c r="F51" s="24">
        <f>IF($A51="","",1)</f>
        <v/>
      </c>
    </row>
    <row r="52">
      <c r="F52" s="24">
        <f>IF($A52="","",1)</f>
        <v/>
      </c>
    </row>
    <row r="53">
      <c r="F53" s="24">
        <f>IF($A53="","",1)</f>
        <v/>
      </c>
    </row>
    <row r="54">
      <c r="F54" s="24">
        <f>IF($A54="","",1)</f>
        <v/>
      </c>
    </row>
    <row r="55">
      <c r="F55" s="24">
        <f>IF($A55="","",1)</f>
        <v/>
      </c>
    </row>
    <row r="56">
      <c r="F56" s="24">
        <f>IF($A56="","",1)</f>
        <v/>
      </c>
    </row>
    <row r="57">
      <c r="F57" s="24">
        <f>IF($A57="","",1)</f>
        <v/>
      </c>
    </row>
    <row r="58">
      <c r="F58" s="24">
        <f>IF($A58="","",1)</f>
        <v/>
      </c>
    </row>
    <row r="59">
      <c r="F59" s="24">
        <f>IF($A59="","",1)</f>
        <v/>
      </c>
    </row>
    <row r="60">
      <c r="F60" s="24">
        <f>IF($A60="","",1)</f>
        <v/>
      </c>
    </row>
    <row r="61">
      <c r="F61" s="24">
        <f>IF($A61="","",1)</f>
        <v/>
      </c>
    </row>
    <row r="62">
      <c r="F62" s="24">
        <f>IF($A62="","",1)</f>
        <v/>
      </c>
    </row>
    <row r="63">
      <c r="F63" s="24">
        <f>IF($A63="","",1)</f>
        <v/>
      </c>
    </row>
    <row r="64">
      <c r="F64" s="24">
        <f>IF($A64="","",1)</f>
        <v/>
      </c>
    </row>
    <row r="65">
      <c r="F65" s="24">
        <f>IF($A65="","",1)</f>
        <v/>
      </c>
    </row>
    <row r="66">
      <c r="F66" s="24">
        <f>IF($A66="","",1)</f>
        <v/>
      </c>
    </row>
    <row r="67">
      <c r="F67" s="24">
        <f>IF($A67="","",1)</f>
        <v/>
      </c>
    </row>
    <row r="68">
      <c r="F68" s="24">
        <f>IF($A68="","",1)</f>
        <v/>
      </c>
    </row>
    <row r="69">
      <c r="F69" s="24">
        <f>IF($A69="","",1)</f>
        <v/>
      </c>
    </row>
    <row r="70">
      <c r="F70" s="24">
        <f>IF($A70="","",1)</f>
        <v/>
      </c>
    </row>
    <row r="71">
      <c r="F71" s="24">
        <f>IF($A71="","",1)</f>
        <v/>
      </c>
    </row>
    <row r="72">
      <c r="F72" s="24">
        <f>IF($A72="","",1)</f>
        <v/>
      </c>
    </row>
    <row r="73">
      <c r="F73" s="24">
        <f>IF($A73="","",1)</f>
        <v/>
      </c>
    </row>
    <row r="74">
      <c r="F74" s="24">
        <f>IF($A74="","",1)</f>
        <v/>
      </c>
    </row>
    <row r="75">
      <c r="F75" s="24">
        <f>IF($A75="","",1)</f>
        <v/>
      </c>
    </row>
    <row r="76">
      <c r="F76" s="24">
        <f>IF($A76="","",1)</f>
        <v/>
      </c>
    </row>
    <row r="77">
      <c r="F77" s="24">
        <f>IF($A77="","",1)</f>
        <v/>
      </c>
    </row>
    <row r="78">
      <c r="F78" s="24">
        <f>IF($A78="","",1)</f>
        <v/>
      </c>
    </row>
    <row r="79">
      <c r="F79" s="24">
        <f>IF($A79="","",1)</f>
        <v/>
      </c>
    </row>
    <row r="80">
      <c r="F80" s="24">
        <f>IF($A80="","",1)</f>
        <v/>
      </c>
    </row>
    <row r="81">
      <c r="F81" s="24">
        <f>IF($A81="","",1)</f>
        <v/>
      </c>
    </row>
    <row r="82">
      <c r="F82" s="24">
        <f>IF($A82="","",1)</f>
        <v/>
      </c>
    </row>
    <row r="83">
      <c r="F83" s="24">
        <f>IF($A83="","",1)</f>
        <v/>
      </c>
    </row>
    <row r="84">
      <c r="F84" s="24">
        <f>IF($A84="","",1)</f>
        <v/>
      </c>
    </row>
    <row r="85">
      <c r="F85" s="24">
        <f>IF($A85="","",1)</f>
        <v/>
      </c>
    </row>
    <row r="86">
      <c r="F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D6:D1005" showDropDown="0" showInputMessage="1" showErrorMessage="1" allowBlank="1" errorTitle="Liste" error="Listeden seçin" promptTitle="Sonuç" prompt="Listeden" type="list" errorStyle="stop">
      <formula1>ListeKararSonuc</formula1>
    </dataValidation>
    <dataValidation sqref="E6:E1005" showDropDown="0" showInputMessage="1" showErrorMessage="1" allowBlank="1" errorTitle="Liste" error="Listeden seçin" promptTitle="Organ" prompt="YK veya GK" type="list" errorStyle="stop">
      <formula1>ListeOrgan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.5" customWidth="1" min="2" max="2"/>
    <col width="4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Karar kapısı ve gerekçe</t>
        </is>
      </c>
    </row>
    <row r="4"/>
    <row r="5">
      <c r="A5" s="12" t="inlineStr">
        <is>
          <t>Karar</t>
        </is>
      </c>
      <c r="B5" s="34">
        <f>say_kararKapi</f>
        <v/>
      </c>
    </row>
    <row r="6">
      <c r="A6" s="12" t="inlineStr">
        <is>
          <t>Gerekçe</t>
        </is>
      </c>
      <c r="B6" s="11">
        <f>say_kararGerekce</f>
        <v/>
      </c>
    </row>
    <row r="7"/>
    <row r="8">
      <c r="A8" s="12" t="inlineStr">
        <is>
          <t>Tahsilat oranı</t>
        </is>
      </c>
      <c r="B8" s="14">
        <f>say_tahsilatOrani</f>
        <v/>
      </c>
    </row>
    <row r="9">
      <c r="A9" s="12" t="inlineStr">
        <is>
          <t>Hedef</t>
        </is>
      </c>
      <c r="B9" s="14">
        <f>GIRDI!B9</f>
        <v/>
      </c>
    </row>
    <row r="10">
      <c r="A10" s="12" t="inlineStr">
        <is>
          <t>Zincir kırık</t>
        </is>
      </c>
      <c r="B10" s="26">
        <f>say_zincirKirik</f>
        <v/>
      </c>
    </row>
    <row r="11">
      <c r="A11" s="12" t="inlineStr">
        <is>
          <t>Yetim</t>
        </is>
      </c>
      <c r="B11" s="26">
        <f>say_yetimKayit</f>
        <v/>
      </c>
    </row>
    <row r="12"/>
    <row r="13">
      <c r="A13" s="9" t="inlineStr">
        <is>
          <t>Modül özeti</t>
        </is>
      </c>
    </row>
    <row r="14">
      <c r="A14" s="12" t="inlineStr">
        <is>
          <t>T1 Tahsilat oranı</t>
        </is>
      </c>
      <c r="B14" s="14">
        <f>say_modulT1</f>
        <v/>
      </c>
      <c r="C14" s="11">
        <f>say_modulT1Yorum</f>
        <v/>
      </c>
    </row>
    <row r="15">
      <c r="A15" s="12" t="inlineStr">
        <is>
          <t>T2 Trend Ağustos</t>
        </is>
      </c>
      <c r="B15" s="31">
        <f>say_modulT2</f>
        <v/>
      </c>
      <c r="C15" s="11">
        <f>say_modulT2Yorum</f>
        <v/>
      </c>
    </row>
    <row r="16">
      <c r="A16" s="12" t="inlineStr">
        <is>
          <t>O1 Geciken</t>
        </is>
      </c>
      <c r="B16" s="26">
        <f>say_modulO1</f>
        <v/>
      </c>
      <c r="C16" s="11">
        <f>say_modulO1Yorum</f>
        <v/>
      </c>
    </row>
    <row r="17">
      <c r="A17" s="12" t="inlineStr">
        <is>
          <t>O2 Tornado</t>
        </is>
      </c>
      <c r="B17" s="15">
        <f>say_modulO2</f>
        <v/>
      </c>
      <c r="C17" s="11">
        <f>say_modulO2Yorum</f>
        <v/>
      </c>
    </row>
    <row r="18">
      <c r="A18" s="12" t="inlineStr">
        <is>
          <t>O3 Senaryo bandı</t>
        </is>
      </c>
      <c r="B18" s="15">
        <f>say_modulO3</f>
        <v/>
      </c>
      <c r="C18" s="11">
        <f>say_modulO3Yorum</f>
        <v/>
      </c>
    </row>
    <row r="19">
      <c r="A19" s="12" t="inlineStr">
        <is>
          <t>O6 Gider HHI</t>
        </is>
      </c>
      <c r="B19" s="31">
        <f>say_modulO6</f>
        <v/>
      </c>
      <c r="C19" s="11">
        <f>say_modulO6Yorum</f>
        <v/>
      </c>
    </row>
    <row r="20">
      <c r="A20" s="12" t="inlineStr">
        <is>
          <t>O8 Kalite</t>
        </is>
      </c>
      <c r="B20" s="26">
        <f>say_modulO8</f>
        <v/>
      </c>
      <c r="C20" s="11">
        <f>say_modulO8Yorum</f>
        <v/>
      </c>
    </row>
    <row r="21">
      <c r="A21" s="12" t="inlineStr">
        <is>
          <t>I1 Tahmin</t>
        </is>
      </c>
      <c r="B21" s="15">
        <f>say_modulI1</f>
        <v/>
      </c>
      <c r="C21" s="11">
        <f>say_modulI1Yorum</f>
        <v/>
      </c>
    </row>
    <row r="22">
      <c r="A22" s="12" t="inlineStr">
        <is>
          <t>I2 P90</t>
        </is>
      </c>
      <c r="B22" s="62">
        <f>say_modulI2</f>
        <v/>
      </c>
      <c r="C22" s="11">
        <f>say_modulI2Yorum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6:H6"/>
    <mergeCell ref="A3:I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cellIs" priority="5" operator="lessThan" dxfId="3">
      <formula>B9</formula>
    </cfRule>
  </conditionalFormatting>
  <conditionalFormatting sqref="B10">
    <cfRule type="cellIs" priority="6" operator="greaterThan" dxfId="4">
      <formula>0</formula>
    </cfRule>
  </conditionalFormatting>
  <conditionalFormatting sqref="B20">
    <cfRule type="cellIs" priority="7" operator="lessThan" dxfId="3">
      <formula>70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AC24"/>
  <sheetViews>
    <sheetView showGridLines="0" workbookViewId="0">
      <selection activeCell="A1" sqref="A1"/>
    </sheetView>
  </sheetViews>
  <sheetFormatPr baseColWidth="8" defaultRowHeight="15"/>
  <cols>
    <col width="129.5" customWidth="1" min="1" max="1"/>
    <col width="1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RAPOR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>
      <c r="A2" s="10" t="inlineStr">
        <is>
          <t>GENEL KURUL / DENETİM KANIT RAPORU</t>
        </is>
      </c>
    </row>
    <row r="3" ht="22" customHeight="1">
      <c r="A3" s="194" t="inlineStr">
        <is>
          <t>Ürün: Site/Apartman Yönetim Sistemi · Sürüm 1.0.0</t>
        </is>
      </c>
    </row>
    <row r="4">
      <c r="A4" s="12" t="inlineStr">
        <is>
          <t>Rapor tarihi</t>
        </is>
      </c>
      <c r="B4" s="63">
        <f>raporTarihi</f>
        <v/>
      </c>
    </row>
    <row r="5">
      <c r="A5" s="12" t="inlineStr">
        <is>
          <t>Site</t>
        </is>
      </c>
      <c r="B5" s="12">
        <f>GIRDI!B5</f>
        <v/>
      </c>
    </row>
    <row r="6">
      <c r="A6" s="12" t="inlineStr">
        <is>
          <t>Karar</t>
        </is>
      </c>
      <c r="B6" s="16">
        <f>say_kararKapi</f>
        <v/>
      </c>
    </row>
    <row r="7"/>
    <row r="8">
      <c r="A8" s="9" t="inlineStr">
        <is>
          <t>Özet KPI</t>
        </is>
      </c>
    </row>
    <row r="9">
      <c r="A9" s="12" t="inlineStr">
        <is>
          <t>Toplam borç</t>
        </is>
      </c>
      <c r="B9" s="15">
        <f>say_toplamBorc</f>
        <v/>
      </c>
    </row>
    <row r="10">
      <c r="A10" s="12" t="inlineStr">
        <is>
          <t>Toplam tahsilat</t>
        </is>
      </c>
      <c r="B10" s="15">
        <f>say_toplamTahsilat</f>
        <v/>
      </c>
    </row>
    <row r="11">
      <c r="A11" s="12" t="inlineStr">
        <is>
          <t>Tahsilat oranı</t>
        </is>
      </c>
      <c r="B11" s="14">
        <f>say_tahsilatOrani</f>
        <v/>
      </c>
    </row>
    <row r="12">
      <c r="A12" s="12" t="inlineStr">
        <is>
          <t>Kasa bakiyesi</t>
        </is>
      </c>
      <c r="B12" s="15">
        <f>say_kasaBakiye</f>
        <v/>
      </c>
    </row>
    <row r="13">
      <c r="A13" s="12" t="inlineStr">
        <is>
          <t>Gider sapması</t>
        </is>
      </c>
      <c r="B13" s="15">
        <f>say_giderSapma</f>
        <v/>
      </c>
    </row>
    <row r="14">
      <c r="A14" s="12" t="inlineStr">
        <is>
          <t>İcap kuyruk</t>
        </is>
      </c>
      <c r="B14" s="26">
        <f>say_icapKuyruk</f>
        <v/>
      </c>
    </row>
    <row r="15"/>
    <row r="16">
      <c r="A16" s="16" t="inlineStr">
        <is>
          <t>Varsayımlar</t>
        </is>
      </c>
    </row>
    <row r="17">
      <c r="A17" s="11" t="inlineStr">
        <is>
          <t>Gecikme zammı oranı AYARLAR.say_gecikmeZammi (KMK md.20 çerçevesi). Bu çıktı hukuki tavsiye değildir; karar destek kanıtıdır.</t>
        </is>
      </c>
    </row>
    <row r="18"/>
    <row r="19"/>
    <row r="20">
      <c r="A20" s="16" t="inlineStr">
        <is>
          <t>İmza — Yönetici</t>
        </is>
      </c>
      <c r="C20" s="16" t="inlineStr">
        <is>
          <t>İmza — Denetçi</t>
        </is>
      </c>
    </row>
    <row r="21"/>
    <row r="22">
      <c r="A22" s="12" t="inlineStr">
        <is>
          <t>________________</t>
        </is>
      </c>
      <c r="C22" s="12" t="inlineStr">
        <is>
          <t>________________</t>
        </is>
      </c>
    </row>
    <row r="23"/>
    <row r="24">
      <c r="A24" s="8" t="inlineStr">
        <is>
          <t>Uyarılar: Yetim / geçersiz geçiş / ZİNCİR KIRIK sayıları PANO'da.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7:H18"/>
    <mergeCell ref="A3:I3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&amp;LSite/Apartman Yönetim Sistemi — Genel Kurul Kanıt Raporu&amp;CExcelArşiv&amp;RSayfa &amp;P / &amp;N</oddFooter>
    <evenHeader/>
    <evenFooter>&amp;LSite/Apartman Yönetim Sistemi — Genel Kurul Kanıt Raporu&amp;CExcelArşiv&amp;RSayfa &amp;P / &amp;N</evenFooter>
    <firstHeader/>
    <firstFooter/>
  </headerFooter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KONTROLLER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Çalışma kitabı sağlık paneli</t>
        </is>
      </c>
    </row>
    <row r="4"/>
    <row r="5">
      <c r="A5" s="12" t="inlineStr">
        <is>
          <t>Paydaş dolu mu?</t>
        </is>
      </c>
      <c r="B5" s="12">
        <f>IF(COUNTA(tblPaydas[MalikId])=0,"BOŞ","DOLU")</f>
        <v/>
      </c>
    </row>
    <row r="6">
      <c r="A6" s="12" t="inlineStr">
        <is>
          <t>Borç satırı var mı?</t>
        </is>
      </c>
      <c r="B6" s="12">
        <f>IF(COUNTA(tblDonem[BorcId])=0,"BOŞ","DOLU")</f>
        <v/>
      </c>
    </row>
    <row r="7">
      <c r="A7" s="12" t="inlineStr">
        <is>
          <t>Tahsilat var mı?</t>
        </is>
      </c>
      <c r="B7" s="12">
        <f>IF(COUNTA(tblTahsilat[OdemeId])=0,"BOŞ","DOLU")</f>
        <v/>
      </c>
    </row>
    <row r="8">
      <c r="A8" s="12" t="inlineStr">
        <is>
          <t>Kova bütünlük</t>
        </is>
      </c>
      <c r="B8" s="12">
        <f>say_kovaButunluk</f>
        <v/>
      </c>
    </row>
    <row r="9">
      <c r="A9" s="12" t="inlineStr">
        <is>
          <t>Yetim var mı?</t>
        </is>
      </c>
      <c r="B9" s="12">
        <f>IF(say_yetimKayit&gt;0,"HATALI","TEMİZ")</f>
        <v/>
      </c>
    </row>
    <row r="10">
      <c r="A10" s="12" t="inlineStr">
        <is>
          <t>Geçersiz geçiş</t>
        </is>
      </c>
      <c r="B10" s="12">
        <f>IF(say_gecersizGecis&gt;0,"HATALI","TEMİZ")</f>
        <v/>
      </c>
    </row>
    <row r="11">
      <c r="A11" s="12" t="inlineStr">
        <is>
          <t>Zincir kırık</t>
        </is>
      </c>
      <c r="B11" s="12">
        <f>IF(say_zincirKirik&gt;0,"ALARM","TEMİZ")</f>
        <v/>
      </c>
    </row>
    <row r="12">
      <c r="A12" s="12" t="inlineStr">
        <is>
          <t>Karar kapısı</t>
        </is>
      </c>
      <c r="B12" s="12">
        <f>say_kararKapi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ISNUMBER(SEARCH("BOŞ",B5))</formula>
    </cfRule>
    <cfRule type="expression" priority="4" dxfId="2">
      <formula>ISNUMBER(SEARCH("TEMİZ",B5))</formula>
    </cfRule>
    <cfRule type="expression" priority="5" dxfId="2">
      <formula>ISNUMBER(SEARCH("DOLU",B5))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/>
  </sheetPr>
  <dimension ref="A1:AC10"/>
  <sheetViews>
    <sheetView showGridLines="0" workbookViewId="0">
      <selection activeCell="A1" sqref="A1"/>
    </sheetView>
  </sheetViews>
  <sheetFormatPr baseColWidth="8" defaultRowHeight="15"/>
  <cols>
    <col width="82.5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ORNEK VERI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Demo veri özeti — üretim örnekleri</t>
        </is>
      </c>
    </row>
    <row r="4"/>
    <row r="5">
      <c r="A5" s="12" t="inlineStr">
        <is>
          <t>Malik sayısı</t>
        </is>
      </c>
      <c r="B5" s="26" t="n">
        <v>12</v>
      </c>
    </row>
    <row r="6">
      <c r="A6" s="12" t="inlineStr">
        <is>
          <t>Borç satırı</t>
        </is>
      </c>
      <c r="B6" s="26" t="n">
        <v>20</v>
      </c>
    </row>
    <row r="7">
      <c r="A7" s="12" t="inlineStr">
        <is>
          <t>Tahsilat satırı</t>
        </is>
      </c>
      <c r="B7" s="26" t="n">
        <v>16</v>
      </c>
    </row>
    <row r="8">
      <c r="A8" s="12" t="inlineStr">
        <is>
          <t>İcap satırı</t>
        </is>
      </c>
      <c r="B8" s="26" t="n">
        <v>18</v>
      </c>
    </row>
    <row r="9"/>
    <row r="10">
      <c r="A10" s="4" t="inlineStr">
        <is>
          <t>Not: Sarı hücrelere kendi site verinizi yazın; formüller otomatik güncellenir.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/>
  </sheetPr>
  <dimension ref="A1:AC10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13" customWidth="1" min="2" max="2"/>
    <col width="14.5" customWidth="1" min="3" max="3"/>
    <col width="13" customWidth="1" min="4" max="4"/>
    <col width="14.5" customWidth="1" min="5" max="5"/>
    <col width="13" customWidth="1" min="6" max="6"/>
    <col width="10" customWidth="1" min="7" max="7"/>
    <col width="13" customWidth="1" min="8" max="8"/>
    <col width="19.5" customWidth="1" min="9" max="9"/>
    <col width="13" customWidth="1" min="10" max="10"/>
  </cols>
  <sheetData>
    <row r="1" ht="32" customHeight="1">
      <c r="A1" s="175" t="inlineStr">
        <is>
          <t>LISTELER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>
      <c r="A3" s="9" t="inlineStr">
        <is>
          <t>Açılır listeler</t>
        </is>
      </c>
    </row>
    <row r="4"/>
    <row r="5">
      <c r="A5" s="16" t="inlineStr">
        <is>
          <t>EvetHayir</t>
        </is>
      </c>
      <c r="C5" s="16" t="inlineStr">
        <is>
          <t>Durum</t>
        </is>
      </c>
      <c r="E5" s="16" t="inlineStr">
        <is>
          <t>KararSonuc</t>
        </is>
      </c>
      <c r="G5" s="16" t="inlineStr">
        <is>
          <t>Organ</t>
        </is>
      </c>
      <c r="I5" s="16" t="inlineStr">
        <is>
          <t>IzinliGecis</t>
        </is>
      </c>
    </row>
    <row r="6">
      <c r="A6" s="12" t="inlineStr">
        <is>
          <t>EVET</t>
        </is>
      </c>
      <c r="C6" s="12" t="inlineStr">
        <is>
          <t>ACIK</t>
        </is>
      </c>
      <c r="E6" s="12" t="inlineStr">
        <is>
          <t>ONAY</t>
        </is>
      </c>
      <c r="G6" s="12" t="inlineStr">
        <is>
          <t>YK</t>
        </is>
      </c>
      <c r="I6" s="12" t="inlineStr">
        <is>
          <t>ACIK|HATIRLATMA</t>
        </is>
      </c>
    </row>
    <row r="7">
      <c r="A7" s="12" t="inlineStr">
        <is>
          <t>HAYIR</t>
        </is>
      </c>
      <c r="C7" s="12" t="inlineStr">
        <is>
          <t>HATIRLATMA</t>
        </is>
      </c>
      <c r="E7" s="12" t="inlineStr">
        <is>
          <t>ERTELE</t>
        </is>
      </c>
      <c r="G7" s="12" t="inlineStr">
        <is>
          <t>GK</t>
        </is>
      </c>
      <c r="I7" s="12" t="inlineStr">
        <is>
          <t>HATIRLATMA|ICAP</t>
        </is>
      </c>
    </row>
    <row r="8">
      <c r="C8" s="12" t="inlineStr">
        <is>
          <t>ICAP</t>
        </is>
      </c>
      <c r="E8" s="12" t="inlineStr">
        <is>
          <t>TASLAK</t>
        </is>
      </c>
      <c r="I8" s="12" t="inlineStr">
        <is>
          <t>HATIRLATMA|ACIK</t>
        </is>
      </c>
    </row>
    <row r="9">
      <c r="C9" s="12" t="inlineStr">
        <is>
          <t>TAHSIL</t>
        </is>
      </c>
      <c r="E9" s="12" t="inlineStr">
        <is>
          <t>RED</t>
        </is>
      </c>
      <c r="I9" s="12" t="inlineStr">
        <is>
          <t>ICAP|TAHSIL</t>
        </is>
      </c>
    </row>
    <row r="10">
      <c r="C10" s="12" t="inlineStr">
        <is>
          <t>KAPALI</t>
        </is>
      </c>
      <c r="I10" s="12" t="inlineStr">
        <is>
          <t>ICAP|KAPALI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/>
  </sheetPr>
  <dimension ref="A1:AC46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23.5" customWidth="1" min="2" max="2"/>
    <col width="10" customWidth="1" min="3" max="3"/>
    <col width="36" customWidth="1" min="4" max="4"/>
    <col width="14.5" customWidth="1" min="5" max="5"/>
    <col width="24.5" customWidth="1" min="6" max="6"/>
    <col width="14.5" customWidth="1" min="7" max="7"/>
    <col width="14.5" customWidth="1" min="8" max="8"/>
    <col width="8.5" customWidth="1" min="9" max="9"/>
    <col width="27.5" customWidth="1" min="10" max="10"/>
    <col width="12.5" customWidth="1" min="11" max="11"/>
    <col width="13" customWidth="1" min="12" max="12"/>
    <col width="22" customWidth="1" min="13" max="13"/>
    <col width="18" customWidth="1" min="14" max="14"/>
  </cols>
  <sheetData>
    <row r="1" ht="32" customHeight="1">
      <c r="A1" s="175" t="inlineStr">
        <is>
          <t>AYARLAR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</row>
    <row r="2"/>
    <row r="3" ht="22" customHeight="1">
      <c r="A3" s="194" t="inlineStr">
        <is>
          <t>Tek kaynak parametreler + durum haritası (A01/A06)</t>
        </is>
      </c>
    </row>
    <row r="4">
      <c r="A4" s="16" t="inlineStr">
        <is>
          <t>anahtar</t>
        </is>
      </c>
      <c r="B4" s="16" t="inlineStr">
        <is>
          <t>deger</t>
        </is>
      </c>
      <c r="C4" s="16" t="inlineStr">
        <is>
          <t>birim</t>
        </is>
      </c>
      <c r="D4" s="16" t="inlineStr">
        <is>
          <t>kaynak</t>
        </is>
      </c>
      <c r="E4" s="16" t="inlineStr">
        <is>
          <t>yururluk_tarihi</t>
        </is>
      </c>
      <c r="F4" s="16" t="inlineStr">
        <is>
          <t>aciklama</t>
        </is>
      </c>
    </row>
    <row r="5">
      <c r="A5" s="12" t="inlineStr">
        <is>
          <t>raporTarihi</t>
        </is>
      </c>
      <c r="B5" s="61" t="n">
        <v>46245</v>
      </c>
      <c r="C5" s="12" t="inlineStr">
        <is>
          <t>tarih</t>
        </is>
      </c>
      <c r="D5" s="12" t="inlineStr">
        <is>
          <t>Yönetim kurulu</t>
        </is>
      </c>
      <c r="E5" s="12" t="inlineStr">
        <is>
          <t>01.01.2026</t>
        </is>
      </c>
      <c r="F5" s="12" t="inlineStr">
        <is>
          <t>Rapor tarihi</t>
        </is>
      </c>
      <c r="G5" s="16" t="inlineStr">
        <is>
          <t>durum_id</t>
        </is>
      </c>
      <c r="H5" s="16" t="inlineStr">
        <is>
          <t>durum_adi</t>
        </is>
      </c>
      <c r="I5" s="16" t="inlineStr">
        <is>
          <t>sira</t>
        </is>
      </c>
      <c r="J5" s="16" t="inlineStr">
        <is>
          <t>izinli_sonraki_durumlar</t>
        </is>
      </c>
      <c r="K5" s="16" t="inlineStr">
        <is>
          <t>kategori</t>
        </is>
      </c>
    </row>
    <row r="6">
      <c r="A6" s="12" t="inlineStr">
        <is>
          <t>toleransKurus</t>
        </is>
      </c>
      <c r="B6" s="20" t="n">
        <v>0.05</v>
      </c>
      <c r="C6" s="12" t="inlineStr">
        <is>
          <t>TL</t>
        </is>
      </c>
      <c r="D6" s="12" t="inlineStr">
        <is>
          <t>Mutabakat politikası</t>
        </is>
      </c>
      <c r="E6" s="12" t="inlineStr">
        <is>
          <t>01.01.2026</t>
        </is>
      </c>
      <c r="F6" s="12" t="inlineStr">
        <is>
          <t>Eşleştirme toleransı</t>
        </is>
      </c>
      <c r="G6" s="12" t="inlineStr">
        <is>
          <t>ACIK</t>
        </is>
      </c>
      <c r="H6" s="12" t="inlineStr">
        <is>
          <t>Açık</t>
        </is>
      </c>
      <c r="I6" s="26" t="n">
        <v>1</v>
      </c>
      <c r="J6" s="12" t="inlineStr">
        <is>
          <t>HATIRLATMA</t>
        </is>
      </c>
      <c r="K6" s="12" t="inlineStr">
        <is>
          <t>acik</t>
        </is>
      </c>
      <c r="M6" s="9" t="inlineStr">
        <is>
          <t>Ayna / karar motoru</t>
        </is>
      </c>
    </row>
    <row r="7">
      <c r="A7" s="12" t="inlineStr">
        <is>
          <t>zincirTolerans</t>
        </is>
      </c>
      <c r="B7" s="18" t="n">
        <v>100</v>
      </c>
      <c r="C7" s="12" t="inlineStr">
        <is>
          <t>TL</t>
        </is>
      </c>
      <c r="D7" s="12" t="inlineStr">
        <is>
          <t>İcap prosedürü</t>
        </is>
      </c>
      <c r="E7" s="12" t="inlineStr">
        <is>
          <t>01.01.2026</t>
        </is>
      </c>
      <c r="F7" s="12" t="inlineStr">
        <is>
          <t>ZİNCİR KIRIK eşiği</t>
        </is>
      </c>
      <c r="G7" s="12" t="inlineStr">
        <is>
          <t>HATIRLATMA</t>
        </is>
      </c>
      <c r="H7" s="12" t="inlineStr">
        <is>
          <t>Hatırlatma</t>
        </is>
      </c>
      <c r="I7" s="26" t="n">
        <v>2</v>
      </c>
      <c r="J7" s="12" t="inlineStr">
        <is>
          <t>ICAP|ACIK</t>
        </is>
      </c>
      <c r="K7" s="12" t="inlineStr">
        <is>
          <t>acik</t>
        </is>
      </c>
      <c r="M7" s="12" t="inlineStr">
        <is>
          <t>say_toplamBorc</t>
        </is>
      </c>
      <c r="N7" s="15">
        <f>SUMIF(tblDonem[BorcId],"&lt;&gt;",tblDonem[ToplamBorc])</f>
        <v/>
      </c>
    </row>
    <row r="8">
      <c r="A8" s="12" t="inlineStr">
        <is>
          <t>say_gecikmeZammi</t>
        </is>
      </c>
      <c r="B8" s="19" t="n">
        <v>0.05</v>
      </c>
      <c r="C8" s="12" t="inlineStr">
        <is>
          <t>oran</t>
        </is>
      </c>
      <c r="D8" s="12" t="inlineStr">
        <is>
          <t>KMK md.20</t>
        </is>
      </c>
      <c r="E8" s="12" t="inlineStr">
        <is>
          <t>01.01.2026</t>
        </is>
      </c>
      <c r="F8" s="12" t="inlineStr">
        <is>
          <t>Gecikme zammı</t>
        </is>
      </c>
      <c r="G8" s="12" t="inlineStr">
        <is>
          <t>ICAP</t>
        </is>
      </c>
      <c r="H8" s="12" t="inlineStr">
        <is>
          <t>İcap</t>
        </is>
      </c>
      <c r="I8" s="26" t="n">
        <v>3</v>
      </c>
      <c r="J8" s="12" t="inlineStr">
        <is>
          <t>TAHSIL|KAPALI</t>
        </is>
      </c>
      <c r="K8" s="12" t="inlineStr">
        <is>
          <t>acik</t>
        </is>
      </c>
      <c r="M8" s="12" t="inlineStr">
        <is>
          <t>say_toplamTahsilat</t>
        </is>
      </c>
      <c r="N8" s="15">
        <f>SUMIF(tblTahsilat[OdemeId],"&lt;&gt;",tblTahsilat[OdemeTutari])</f>
        <v/>
      </c>
    </row>
    <row r="9">
      <c r="A9" s="12" t="inlineStr">
        <is>
          <t>say_icapEsikGun</t>
        </is>
      </c>
      <c r="B9" s="17" t="n">
        <v>30</v>
      </c>
      <c r="C9" s="12" t="inlineStr">
        <is>
          <t>gun</t>
        </is>
      </c>
      <c r="D9" s="12" t="inlineStr">
        <is>
          <t>KMK md.20</t>
        </is>
      </c>
      <c r="E9" s="12" t="inlineStr">
        <is>
          <t>01.01.2026</t>
        </is>
      </c>
      <c r="F9" s="12" t="inlineStr">
        <is>
          <t>İcap gün eşiği</t>
        </is>
      </c>
      <c r="G9" s="12" t="inlineStr">
        <is>
          <t>TAHSIL</t>
        </is>
      </c>
      <c r="H9" s="12" t="inlineStr">
        <is>
          <t>Tahsil</t>
        </is>
      </c>
      <c r="I9" s="26" t="n">
        <v>4</v>
      </c>
      <c r="J9" s="12" t="inlineStr"/>
      <c r="K9" s="12" t="inlineStr">
        <is>
          <t>kapali</t>
        </is>
      </c>
      <c r="M9" s="12" t="inlineStr">
        <is>
          <t>say_tahsilatOrani</t>
        </is>
      </c>
      <c r="N9" s="14">
        <f>IF(say_toplamBorc=0,0,say_toplamTahsilat/say_toplamBorc)</f>
        <v/>
      </c>
    </row>
    <row r="10">
      <c r="A10" s="12" t="inlineStr">
        <is>
          <t>say_esikFark</t>
        </is>
      </c>
      <c r="B10" s="18" t="n">
        <v>50</v>
      </c>
      <c r="C10" s="12" t="inlineStr">
        <is>
          <t>TL</t>
        </is>
      </c>
      <c r="D10" s="12" t="inlineStr">
        <is>
          <t>Yönetim kurulu</t>
        </is>
      </c>
      <c r="E10" s="12" t="inlineStr">
        <is>
          <t>01.01.2026</t>
        </is>
      </c>
      <c r="F10" s="12" t="inlineStr">
        <is>
          <t>Fark alarm eşiği</t>
        </is>
      </c>
      <c r="G10" s="12" t="inlineStr">
        <is>
          <t>KAPALI</t>
        </is>
      </c>
      <c r="H10" s="12" t="inlineStr">
        <is>
          <t>Kapalı</t>
        </is>
      </c>
      <c r="I10" s="26" t="n">
        <v>5</v>
      </c>
      <c r="J10" s="12" t="inlineStr"/>
      <c r="K10" s="12" t="inlineStr">
        <is>
          <t>kapali</t>
        </is>
      </c>
      <c r="M10" s="12" t="inlineStr">
        <is>
          <t>say_kasaBakiye</t>
        </is>
      </c>
      <c r="N10" s="15">
        <f>say_toplamTahsilat-SUMIF(tblGider[GiderId],"&lt;&gt;",tblGider[Gerceklesen])</f>
        <v/>
      </c>
    </row>
    <row r="11">
      <c r="A11" s="12" t="inlineStr">
        <is>
          <t>say_ikincilUzunluk</t>
        </is>
      </c>
      <c r="B11" s="17" t="n">
        <v>12</v>
      </c>
      <c r="C11" s="12" t="inlineStr">
        <is>
          <t>adet</t>
        </is>
      </c>
      <c r="D11" s="12" t="inlineStr">
        <is>
          <t>Anahtar stratejisi</t>
        </is>
      </c>
      <c r="E11" s="12" t="inlineStr">
        <is>
          <t>01.01.2026</t>
        </is>
      </c>
      <c r="F11" s="12" t="inlineStr">
        <is>
          <t>İkincil anahtar</t>
        </is>
      </c>
      <c r="M11" s="12" t="inlineStr">
        <is>
          <t>say_gecikenMalik</t>
        </is>
      </c>
      <c r="N11" s="26">
        <f>COUNTIFS(tblPaydas[Bakiye],"&gt;0",tblPaydas[Aktif],"EVET")</f>
        <v/>
      </c>
    </row>
    <row r="12">
      <c r="A12" s="12" t="inlineStr">
        <is>
          <t>say_hedefTahsilat</t>
        </is>
      </c>
      <c r="B12" s="19" t="n">
        <v>0.92</v>
      </c>
      <c r="C12" s="12" t="inlineStr">
        <is>
          <t>oran</t>
        </is>
      </c>
      <c r="D12" s="12" t="inlineStr">
        <is>
          <t>Bütçe kararı</t>
        </is>
      </c>
      <c r="E12" s="12" t="inlineStr">
        <is>
          <t>01.01.2026</t>
        </is>
      </c>
      <c r="F12" s="12" t="inlineStr">
        <is>
          <t>Hedef tahsilat</t>
        </is>
      </c>
      <c r="M12" s="12" t="inlineStr">
        <is>
          <t>say_icapKuyruk</t>
        </is>
      </c>
      <c r="N12" s="26">
        <f>COUNTIF(tblAkis[Durum],"ICAP")+COUNTIF(tblAkis[Durum],"HATIRLATMA")</f>
        <v/>
      </c>
    </row>
    <row r="13">
      <c r="A13" s="12" t="inlineStr">
        <is>
          <t>say_senaryoIyimser</t>
        </is>
      </c>
      <c r="B13" s="20" t="n">
        <v>1.08</v>
      </c>
      <c r="C13" s="12" t="inlineStr">
        <is>
          <t>oran</t>
        </is>
      </c>
      <c r="D13" s="12" t="inlineStr">
        <is>
          <t>Senaryo motoru</t>
        </is>
      </c>
      <c r="E13" s="12" t="inlineStr">
        <is>
          <t>01.01.2026</t>
        </is>
      </c>
      <c r="F13" s="12" t="inlineStr">
        <is>
          <t>İyimser çarpan</t>
        </is>
      </c>
      <c r="M13" s="12" t="inlineStr">
        <is>
          <t>say_yetimKayit</t>
        </is>
      </c>
      <c r="N13" s="26">
        <f>COUNTIF(tblAkis[YetimBayrak],"YETİM")</f>
        <v/>
      </c>
    </row>
    <row r="14">
      <c r="A14" s="12" t="inlineStr">
        <is>
          <t>say_senaryoKotumser</t>
        </is>
      </c>
      <c r="B14" s="20" t="n">
        <v>0.85</v>
      </c>
      <c r="C14" s="12" t="inlineStr">
        <is>
          <t>oran</t>
        </is>
      </c>
      <c r="D14" s="12" t="inlineStr">
        <is>
          <t>Senaryo motoru</t>
        </is>
      </c>
      <c r="E14" s="12" t="inlineStr">
        <is>
          <t>01.01.2026</t>
        </is>
      </c>
      <c r="F14" s="12" t="inlineStr">
        <is>
          <t>Kötümser çarpan</t>
        </is>
      </c>
      <c r="M14" s="12" t="inlineStr">
        <is>
          <t>say_gecersizGecis</t>
        </is>
      </c>
      <c r="N14" s="26">
        <f>COUNTIF(tblAkis[GecisUyarisi],"GEÇERSİZ GEÇİŞ")</f>
        <v/>
      </c>
    </row>
    <row r="15">
      <c r="A15" s="12" t="inlineStr">
        <is>
          <t>say_fiyatModeli</t>
        </is>
      </c>
      <c r="B15" s="18" t="n">
        <v>9900</v>
      </c>
      <c r="C15" s="12" t="inlineStr">
        <is>
          <t>TL</t>
        </is>
      </c>
      <c r="D15" s="12" t="inlineStr">
        <is>
          <t>Fiyat çapası D0</t>
        </is>
      </c>
      <c r="E15" s="12" t="inlineStr">
        <is>
          <t>01.01.2026</t>
        </is>
      </c>
      <c r="F15" s="12" t="inlineStr">
        <is>
          <t>Satış fiyatı</t>
        </is>
      </c>
      <c r="M15" s="12" t="inlineStr">
        <is>
          <t>say_zincirKirik</t>
        </is>
      </c>
      <c r="N15" s="26">
        <f>COUNTIF(tblAkis[ZincirBayrak],"ZİNCİR KIRIK")</f>
        <v/>
      </c>
    </row>
    <row r="16">
      <c r="A16" s="12" t="inlineStr">
        <is>
          <t>say_olcekHedef</t>
        </is>
      </c>
      <c r="B16" s="17" t="n">
        <v>50000</v>
      </c>
      <c r="C16" s="12" t="inlineStr">
        <is>
          <t>satir</t>
        </is>
      </c>
      <c r="D16" s="12" t="inlineStr">
        <is>
          <t>SPEC olcek</t>
        </is>
      </c>
      <c r="E16" s="12" t="inlineStr">
        <is>
          <t>01.01.2026</t>
        </is>
      </c>
      <c r="F16" s="12" t="inlineStr">
        <is>
          <t>Ölçek sözleşmesi</t>
        </is>
      </c>
      <c r="M16" s="12" t="inlineStr">
        <is>
          <t>say_eslesmeOrani</t>
        </is>
      </c>
      <c r="N16" s="14">
        <f>IF(COUNTA(tblEslesme[A_Norm])=0,0,(COUNTIF(tblEslesme[Kova],"eslesti")+COUNTIF(tblEslesme[Kova],"tolerans_icinde"))/COUNTA(tblEslesme[A_Norm]))</f>
        <v/>
      </c>
    </row>
    <row r="17">
      <c r="A17" s="12" t="inlineStr">
        <is>
          <t>say_trendOcak</t>
        </is>
      </c>
      <c r="B17" s="20" t="n">
        <v>0.78</v>
      </c>
      <c r="C17" s="12" t="inlineStr">
        <is>
          <t>oran</t>
        </is>
      </c>
      <c r="D17" s="12" t="inlineStr">
        <is>
          <t>Tarihsel tahsilat</t>
        </is>
      </c>
      <c r="E17" s="12" t="inlineStr">
        <is>
          <t>01.01.2026</t>
        </is>
      </c>
      <c r="F17" s="12" t="inlineStr">
        <is>
          <t>Ocak trend</t>
        </is>
      </c>
      <c r="M17" s="12" t="inlineStr">
        <is>
          <t>say_giderSapma</t>
        </is>
      </c>
      <c r="N17" s="15">
        <f>SUMIF(tblGider[GiderId],"&lt;&gt;",tblGider[Sapma])</f>
        <v/>
      </c>
    </row>
    <row r="18">
      <c r="A18" s="12" t="inlineStr">
        <is>
          <t>say_trendSubat</t>
        </is>
      </c>
      <c r="B18" s="20" t="n">
        <v>0.8</v>
      </c>
      <c r="C18" s="12" t="inlineStr">
        <is>
          <t>oran</t>
        </is>
      </c>
      <c r="D18" s="12" t="inlineStr">
        <is>
          <t>Tarihsel tahsilat</t>
        </is>
      </c>
      <c r="E18" s="12" t="inlineStr">
        <is>
          <t>01.01.2026</t>
        </is>
      </c>
      <c r="F18" s="12" t="inlineStr">
        <is>
          <t>Subat trend</t>
        </is>
      </c>
      <c r="M18" s="12" t="inlineStr">
        <is>
          <t>say_kararSayisi</t>
        </is>
      </c>
      <c r="N18" s="26">
        <f>COUNTA(tblKararlar[KararId])</f>
        <v/>
      </c>
    </row>
    <row r="19">
      <c r="A19" s="12" t="inlineStr">
        <is>
          <t>say_trendMart</t>
        </is>
      </c>
      <c r="B19" s="20" t="n">
        <v>0.82</v>
      </c>
      <c r="C19" s="12" t="inlineStr">
        <is>
          <t>oran</t>
        </is>
      </c>
      <c r="D19" s="12" t="inlineStr">
        <is>
          <t>Tarihsel tahsilat</t>
        </is>
      </c>
      <c r="E19" s="12" t="inlineStr">
        <is>
          <t>01.01.2026</t>
        </is>
      </c>
      <c r="F19" s="12" t="inlineStr">
        <is>
          <t>Mart trend</t>
        </is>
      </c>
      <c r="M19" s="12" t="inlineStr">
        <is>
          <t>say_kovaButunluk</t>
        </is>
      </c>
      <c r="N19" s="12">
        <f>ESLESTIRME!C2</f>
        <v/>
      </c>
    </row>
    <row r="20">
      <c r="A20" s="12" t="inlineStr">
        <is>
          <t>say_trendNisan</t>
        </is>
      </c>
      <c r="B20" s="20" t="n">
        <v>0.85</v>
      </c>
      <c r="C20" s="12" t="inlineStr">
        <is>
          <t>oran</t>
        </is>
      </c>
      <c r="D20" s="12" t="inlineStr">
        <is>
          <t>Tarihsel tahsilat</t>
        </is>
      </c>
      <c r="E20" s="12" t="inlineStr">
        <is>
          <t>01.01.2026</t>
        </is>
      </c>
      <c r="F20" s="12" t="inlineStr">
        <is>
          <t>Nisan trend</t>
        </is>
      </c>
      <c r="M20" s="12" t="inlineStr">
        <is>
          <t>say_kararKapi</t>
        </is>
      </c>
      <c r="N20" s="12">
        <f>IF(COUNTA(tblDonem[BorcId])=0,"VERİ YOK",IF(OR(say_tahsilatOrani&lt;say_hedefTahsilat*say_kritikCarpan,say_zincirKirik&gt;0),"KRİTİK",IF(OR(say_tahsilatOrani&lt;say_hedefTahsilat,say_yetimKayit&gt;0,say_gecersizGecis&gt;0),"DİKKAT","UYGUN")))</f>
        <v/>
      </c>
    </row>
    <row r="21">
      <c r="A21" s="12" t="inlineStr">
        <is>
          <t>say_trendMayis</t>
        </is>
      </c>
      <c r="B21" s="20" t="n">
        <v>0.88</v>
      </c>
      <c r="C21" s="12" t="inlineStr">
        <is>
          <t>oran</t>
        </is>
      </c>
      <c r="D21" s="12" t="inlineStr">
        <is>
          <t>Tarihsel tahsilat</t>
        </is>
      </c>
      <c r="E21" s="12" t="inlineStr">
        <is>
          <t>01.01.2026</t>
        </is>
      </c>
      <c r="F21" s="12" t="inlineStr">
        <is>
          <t>Mayis trend</t>
        </is>
      </c>
      <c r="M21" s="12" t="inlineStr">
        <is>
          <t>say_kararGerekce</t>
        </is>
      </c>
      <c r="N21" s="12">
        <f>IF(say_kararKapi="VERİ YOK","Borç satırı yok — veri girin",IF(say_kararKapi="KRİTİK","Tahsilat oranı kritik veya ZİNCİR KIRIK var",IF(say_kararKapi="DİKKAT","Hedef altı tahsilat veya yetim/geçersiz geçiş","Tahsilat ve akış eşikleri içinde")))</f>
        <v/>
      </c>
    </row>
    <row r="22">
      <c r="A22" s="12" t="inlineStr">
        <is>
          <t>say_trendHaziran</t>
        </is>
      </c>
      <c r="B22" s="20" t="n">
        <v>0.9</v>
      </c>
      <c r="C22" s="12" t="inlineStr">
        <is>
          <t>oran</t>
        </is>
      </c>
      <c r="D22" s="12" t="inlineStr">
        <is>
          <t>Tarihsel tahsilat</t>
        </is>
      </c>
      <c r="E22" s="12" t="inlineStr">
        <is>
          <t>01.01.2026</t>
        </is>
      </c>
      <c r="F22" s="12" t="inlineStr">
        <is>
          <t>Haziran trend</t>
        </is>
      </c>
      <c r="M22" s="12" t="inlineStr">
        <is>
          <t>say_normAnahtar</t>
        </is>
      </c>
      <c r="N22" s="26">
        <f>COUNTA(tblAnahtarA[Norm])</f>
        <v/>
      </c>
    </row>
    <row r="23">
      <c r="A23" s="12" t="inlineStr">
        <is>
          <t>say_trendTemmuz</t>
        </is>
      </c>
      <c r="B23" s="20" t="n">
        <v>0.95</v>
      </c>
      <c r="C23" s="12" t="inlineStr">
        <is>
          <t>oran</t>
        </is>
      </c>
      <c r="D23" s="12" t="inlineStr">
        <is>
          <t>Tarihsel tahsilat</t>
        </is>
      </c>
      <c r="E23" s="12" t="inlineStr">
        <is>
          <t>01.01.2026</t>
        </is>
      </c>
      <c r="F23" s="12" t="inlineStr">
        <is>
          <t>Temmuz trend</t>
        </is>
      </c>
      <c r="M23" s="12" t="inlineStr">
        <is>
          <t>say_tanimsizKova</t>
        </is>
      </c>
      <c r="N23" s="26">
        <f>COUNTIF(tblKok[NedenKodu],"TANIMSIZ")</f>
        <v/>
      </c>
    </row>
    <row r="24">
      <c r="A24" s="12" t="inlineStr">
        <is>
          <t>say_trendAgustos</t>
        </is>
      </c>
      <c r="B24" s="20" t="n">
        <v>1</v>
      </c>
      <c r="C24" s="12" t="inlineStr">
        <is>
          <t>oran</t>
        </is>
      </c>
      <c r="D24" s="12" t="inlineStr">
        <is>
          <t>Tarihsel tahsilat</t>
        </is>
      </c>
      <c r="E24" s="12" t="inlineStr">
        <is>
          <t>01.01.2026</t>
        </is>
      </c>
      <c r="F24" s="12" t="inlineStr">
        <is>
          <t>Agustos trend</t>
        </is>
      </c>
      <c r="M24" s="12" t="inlineStr">
        <is>
          <t>say_durumHaritasi</t>
        </is>
      </c>
      <c r="N24" s="26">
        <f>COUNTA(AYARLAR!G6:G10)</f>
        <v/>
      </c>
    </row>
    <row r="25">
      <c r="A25" s="12" t="inlineStr">
        <is>
          <t>say_trendEylul</t>
        </is>
      </c>
      <c r="B25" s="20" t="n">
        <v>0.97</v>
      </c>
      <c r="C25" s="12" t="inlineStr">
        <is>
          <t>oran</t>
        </is>
      </c>
      <c r="D25" s="12" t="inlineStr">
        <is>
          <t>Tarihsel tahsilat</t>
        </is>
      </c>
      <c r="E25" s="12" t="inlineStr">
        <is>
          <t>01.01.2026</t>
        </is>
      </c>
      <c r="F25" s="12" t="inlineStr">
        <is>
          <t>Eylul trend</t>
        </is>
      </c>
      <c r="M25" s="12" t="inlineStr">
        <is>
          <t>say_kanitRaporu</t>
        </is>
      </c>
      <c r="N25" s="26">
        <f>IF(say_kararSayisi&gt;0,1,)</f>
        <v/>
      </c>
    </row>
    <row r="26">
      <c r="A26" s="12" t="inlineStr">
        <is>
          <t>say_trendEkim</t>
        </is>
      </c>
      <c r="B26" s="20" t="n">
        <v>0.93</v>
      </c>
      <c r="C26" s="12" t="inlineStr">
        <is>
          <t>oran</t>
        </is>
      </c>
      <c r="D26" s="12" t="inlineStr">
        <is>
          <t>Tarihsel tahsilat</t>
        </is>
      </c>
      <c r="E26" s="12" t="inlineStr">
        <is>
          <t>01.01.2026</t>
        </is>
      </c>
      <c r="F26" s="12" t="inlineStr">
        <is>
          <t>Ekim trend</t>
        </is>
      </c>
      <c r="M26" s="12" t="inlineStr">
        <is>
          <t>say_kapaliDusum</t>
        </is>
      </c>
      <c r="N26" s="26">
        <f>COUNTIF(tblAkis[Durum],"TAHSIL")+COUNTIF(tblAkis[Durum],"KAPALI")</f>
        <v/>
      </c>
    </row>
    <row r="27">
      <c r="A27" s="12" t="inlineStr">
        <is>
          <t>say_trendKasim</t>
        </is>
      </c>
      <c r="B27" s="20" t="n">
        <v>0.9</v>
      </c>
      <c r="C27" s="12" t="inlineStr">
        <is>
          <t>oran</t>
        </is>
      </c>
      <c r="D27" s="12" t="inlineStr">
        <is>
          <t>Tarihsel tahsilat</t>
        </is>
      </c>
      <c r="E27" s="12" t="inlineStr">
        <is>
          <t>01.01.2026</t>
        </is>
      </c>
      <c r="F27" s="12" t="inlineStr">
        <is>
          <t>Kasim trend</t>
        </is>
      </c>
      <c r="M27" s="12" t="inlineStr">
        <is>
          <t>say_modulT1</t>
        </is>
      </c>
      <c r="N27" s="14">
        <f>say_tahsilatOrani</f>
        <v/>
      </c>
    </row>
    <row r="28">
      <c r="A28" s="12" t="inlineStr">
        <is>
          <t>say_trendAralik</t>
        </is>
      </c>
      <c r="B28" s="20" t="n">
        <v>0.88</v>
      </c>
      <c r="C28" s="12" t="inlineStr">
        <is>
          <t>oran</t>
        </is>
      </c>
      <c r="D28" s="12" t="inlineStr">
        <is>
          <t>Tarihsel tahsilat</t>
        </is>
      </c>
      <c r="E28" s="12" t="inlineStr">
        <is>
          <t>01.01.2026</t>
        </is>
      </c>
      <c r="F28" s="12" t="inlineStr">
        <is>
          <t>Aralik trend</t>
        </is>
      </c>
      <c r="M28" s="12" t="inlineStr">
        <is>
          <t>say_modulT1Yorum</t>
        </is>
      </c>
      <c r="N28" s="12">
        <f>"Tahsilat oranı: "&amp;TEXT(say_modulT1,"0.0%")</f>
        <v/>
      </c>
    </row>
    <row r="29">
      <c r="M29" s="12" t="inlineStr">
        <is>
          <t>say_modulT2</t>
        </is>
      </c>
      <c r="N29" s="31">
        <f>say_trendAgustos</f>
        <v/>
      </c>
    </row>
    <row r="30">
      <c r="M30" s="12" t="inlineStr">
        <is>
          <t>say_modulT2Yorum</t>
        </is>
      </c>
      <c r="N30" s="12">
        <f>"Ağustos trend endeksi "&amp;TEXT(say_modulT2,"0.00")</f>
        <v/>
      </c>
    </row>
    <row r="31">
      <c r="M31" s="12" t="inlineStr">
        <is>
          <t>say_modulO1</t>
        </is>
      </c>
      <c r="N31" s="26">
        <f>say_gecikenMalik</f>
        <v/>
      </c>
    </row>
    <row r="32">
      <c r="M32" s="12" t="inlineStr">
        <is>
          <t>say_modulO1Yorum</t>
        </is>
      </c>
      <c r="N32" s="12">
        <f>"Geciken aktif malik: "&amp;say_modulO1</f>
        <v/>
      </c>
    </row>
    <row r="33">
      <c r="M33" s="12" t="inlineStr">
        <is>
          <t>say_modulO2</t>
        </is>
      </c>
      <c r="N33" s="15">
        <f>say_toplamBorc*say_gecikmeZammi</f>
        <v/>
      </c>
    </row>
    <row r="34">
      <c r="M34" s="12" t="inlineStr">
        <is>
          <t>say_modulO2Yorum</t>
        </is>
      </c>
      <c r="N34" s="12">
        <f>"Tornado: gecikme zammı etkisi"</f>
        <v/>
      </c>
    </row>
    <row r="35">
      <c r="M35" s="12" t="inlineStr">
        <is>
          <t>say_modulO3</t>
        </is>
      </c>
      <c r="N35" s="15">
        <f>say_toplamTahsilat*(say_senaryoIyimser-say_senaryoKotumser)</f>
        <v/>
      </c>
    </row>
    <row r="36">
      <c r="M36" s="12" t="inlineStr">
        <is>
          <t>say_modulO3Yorum</t>
        </is>
      </c>
      <c r="N36" s="12">
        <f>"Senaryo bandı genişliği"</f>
        <v/>
      </c>
    </row>
    <row r="37">
      <c r="M37" s="12" t="inlineStr">
        <is>
          <t>say_modulO6</t>
        </is>
      </c>
      <c r="N37" s="31">
        <f>IF(SUMIF(tblGider[GiderId],"&lt;&gt;",tblGider[Gerceklesen])=0,0,SUMIF(tblGider[Gerceklesen],"&gt;0")/100000)</f>
        <v/>
      </c>
    </row>
    <row r="38">
      <c r="M38" s="12" t="inlineStr">
        <is>
          <t>say_modulO6Yorum</t>
        </is>
      </c>
      <c r="N38" s="12">
        <f>"Gider yoğunlaşma vekili"</f>
        <v/>
      </c>
    </row>
    <row r="39">
      <c r="M39" s="12" t="inlineStr">
        <is>
          <t>say_modulO8</t>
        </is>
      </c>
      <c r="N39" s="26">
        <f>IF(COUNTA(tblDonem[BorcId])=0,0,ROUND(100*(1-(say_yetimKayit+say_gecersizGecis+say_zincirKirik)/10),0))</f>
        <v/>
      </c>
    </row>
    <row r="40">
      <c r="M40" s="12" t="inlineStr">
        <is>
          <t>say_modulO8Yorum</t>
        </is>
      </c>
      <c r="N40" s="12">
        <f>"Veri kalite skoru 0-100"</f>
        <v/>
      </c>
    </row>
    <row r="41">
      <c r="M41" s="12" t="inlineStr">
        <is>
          <t>say_modulI1</t>
        </is>
      </c>
      <c r="N41" s="15">
        <f>say_toplamTahsilat*say_trendEylul</f>
        <v/>
      </c>
    </row>
    <row r="42">
      <c r="M42" s="12" t="inlineStr">
        <is>
          <t>say_modulI1Yorum</t>
        </is>
      </c>
      <c r="N42" s="12">
        <f>"Sonraki ay tahmin (Eylül endeksi)"</f>
        <v/>
      </c>
    </row>
    <row r="43">
      <c r="M43" s="12" t="inlineStr">
        <is>
          <t>say_modulI2</t>
        </is>
      </c>
      <c r="N43" s="62">
        <f>IFERROR(PERCENTILE(tblDonem[GecikmeGun],0.9),0)</f>
        <v/>
      </c>
    </row>
    <row r="44">
      <c r="M44" s="12" t="inlineStr">
        <is>
          <t>say_modulI2Yorum</t>
        </is>
      </c>
      <c r="N44" s="12">
        <f>"Gecikme günü P90"</f>
        <v/>
      </c>
    </row>
    <row r="45">
      <c r="M45" s="12" t="inlineStr">
        <is>
          <t>say_kvkkBeyani</t>
        </is>
      </c>
      <c r="N45" s="26" t="n">
        <v>1</v>
      </c>
    </row>
    <row r="46">
      <c r="M46" s="12" t="inlineStr">
        <is>
          <t>say_kritikCarpan</t>
        </is>
      </c>
      <c r="N46" s="31" t="n">
        <v>0.85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94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KILAVUZ — Site/Apartman Yönetim Sistemi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</row>
    <row r="2"/>
    <row r="3" ht="22" customHeight="1">
      <c r="A3" s="194" t="inlineStr">
        <is>
          <t>Kullanım kılavuzu</t>
        </is>
      </c>
    </row>
    <row r="4"/>
    <row r="5">
      <c r="A5" s="11" t="inlineStr">
        <is>
          <t>1. GIRDI: Site adı, dönem, aidat tabanı ve hedefleri sarı hücrelere yazın.</t>
        </is>
      </c>
    </row>
    <row r="6">
      <c r="A6" s="11" t="inlineStr">
        <is>
          <t>2. PAYDASLAR: Her malik için benzersiz MalikId kullanın.</t>
        </is>
      </c>
    </row>
    <row r="7">
      <c r="A7" s="11" t="inlineStr">
        <is>
          <t>3. DONEMLER: Aylık borçlandırma; gecikme zammı AYARLAR.say_gecikmeZammi ile hesaplanır.</t>
        </is>
      </c>
    </row>
    <row r="8">
      <c r="A8" s="11" t="inlineStr">
        <is>
          <t>4. TAHSILAT: Ödemeleri malik+dönem anahtarıyla girin; ANAHTAR/ESLESTIRME otomatik çalışır.</t>
        </is>
      </c>
    </row>
    <row r="9">
      <c r="A9" s="11" t="inlineStr">
        <is>
          <t>5. AKIS: İcap sürecini durum haritasına uygun ilerletin; geçersiz geçiş uyarılır.</t>
        </is>
      </c>
    </row>
    <row r="10">
      <c r="A10" s="11" t="inlineStr">
        <is>
          <t>6. GIDER / KARARLAR: Bütçe sapması ve genel kurul kararlarını kaydedin.</t>
        </is>
      </c>
    </row>
    <row r="11">
      <c r="A11" s="11" t="inlineStr">
        <is>
          <t>7. PANO / KARAR / RAPOR: Yönetim özeti ve genel kurul kanıt çıktısı.</t>
        </is>
      </c>
    </row>
    <row r="12">
      <c r="A12" s="11" t="inlineStr">
        <is>
          <t>8. Korumalı alanlar şifre 1234 ile kilitlidir; sarı giriş hücreleri açıktır.</t>
        </is>
      </c>
    </row>
    <row r="13">
      <c r="A13" s="11" t="inlineStr">
        <is>
          <t>9. Bu araç hukuki tavsiye değildir; KMK çerçevesinde karar destek kanıtı üretir.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9:H9"/>
    <mergeCell ref="A12:H12"/>
    <mergeCell ref="A7:H7"/>
    <mergeCell ref="A10:H10"/>
    <mergeCell ref="A1:I1"/>
    <mergeCell ref="A13:H13"/>
    <mergeCell ref="A11:H11"/>
    <mergeCell ref="A3:I3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2026-08-11T18:45:24Z</dcterms:created>
  <dcterms:modified xmlns:dcterms="http://purl.org/dc/terms/" xmlns:xsi="http://www.w3.org/2001/XMLSchema-instance" xsi:type="dcterms:W3CDTF">2026-09-25T20:44:47Z</dcterms:modified>
</cp:coreProperties>
</file>