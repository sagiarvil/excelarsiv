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PAYDASLAR" sheetId="4" state="visible" r:id="rId4"/>
    <sheet name="DONEMLER" sheetId="5" state="visible" r:id="rId5"/>
    <sheet name="TAHSILAT" sheetId="6" state="visible" r:id="rId6"/>
    <sheet name="ANAHTAR" sheetId="7" state="visible" r:id="rId7"/>
    <sheet name="ESLESTIRME" sheetId="8" state="visible" r:id="rId8"/>
    <sheet name="KOK_NEDEN" sheetId="9" state="visible" r:id="rId9"/>
    <sheet name="AKIS" sheetId="10" state="visible" r:id="rId10"/>
    <sheet name="GIDER" sheetId="11" state="visible" r:id="rId11"/>
    <sheet name="KARARLAR" sheetId="12" state="visible" r:id="rId12"/>
    <sheet name="PANO" sheetId="13" state="visible" r:id="rId13"/>
    <sheet name="KARAR" sheetId="14" state="visible" r:id="rId14"/>
    <sheet name="RAPOR" sheetId="15" state="visible" r:id="rId15"/>
    <sheet name="KONTROLLER" sheetId="16" state="visible" r:id="rId16"/>
    <sheet name="ORNEK_VERI" sheetId="17" state="visible" r:id="rId17"/>
    <sheet name="LISTELER" sheetId="18" state="visible" r:id="rId18"/>
    <sheet name="AYARLAR" sheetId="19" state="visible" r:id="rId19"/>
    <sheet name="KILAVUZ" sheetId="20" state="visible" r:id="rId20"/>
  </sheets>
  <definedNames>
    <definedName name="raporTarihi">AYARLAR!$B$5</definedName>
    <definedName name="toleransKurus">AYARLAR!$B$6</definedName>
    <definedName name="zincirTolerans">AYARLAR!$B$7</definedName>
    <definedName name="say_gecikmeZammi">AYARLAR!$B$8</definedName>
    <definedName name="say_icapEsikGun">AYARLAR!$B$9</definedName>
    <definedName name="say_esikFark">AYARLAR!$B$10</definedName>
    <definedName name="say_ikincilUzunluk">AYARLAR!$B$11</definedName>
    <definedName name="say_hedefTahsilat">AYARLAR!$B$12</definedName>
    <definedName name="say_senaryoIyimser">AYARLAR!$B$13</definedName>
    <definedName name="say_senaryoKotumser">AYARLAR!$B$14</definedName>
    <definedName name="say_fiyatModeli">AYARLAR!$B$15</definedName>
    <definedName name="say_olcekHedef">AYARLAR!$B$16</definedName>
    <definedName name="say_trendOcak">AYARLAR!$B$17</definedName>
    <definedName name="say_trendSubat">AYARLAR!$B$18</definedName>
    <definedName name="say_trendMart">AYARLAR!$B$19</definedName>
    <definedName name="say_trendNisan">AYARLAR!$B$20</definedName>
    <definedName name="say_trendMayis">AYARLAR!$B$21</definedName>
    <definedName name="say_trendHaziran">AYARLAR!$B$22</definedName>
    <definedName name="say_trendTemmuz">AYARLAR!$B$23</definedName>
    <definedName name="say_trendAgustos">AYARLAR!$B$24</definedName>
    <definedName name="say_trendEylul">AYARLAR!$B$25</definedName>
    <definedName name="say_trendEkim">AYARLAR!$B$26</definedName>
    <definedName name="say_trendKasim">AYARLAR!$B$27</definedName>
    <definedName name="say_trendAralik">AYARLAR!$B$28</definedName>
    <definedName name="say_toplamBorc">AYARLAR!$N$7</definedName>
    <definedName name="say_toplamTahsilat">AYARLAR!$N$8</definedName>
    <definedName name="say_tahsilatOrani">AYARLAR!$N$9</definedName>
    <definedName name="say_kasaBakiye">AYARLAR!$N$10</definedName>
    <definedName name="say_gecikenMalik">AYARLAR!$N$11</definedName>
    <definedName name="say_icapKuyruk">AYARLAR!$N$12</definedName>
    <definedName name="say_yetimKayit">AYARLAR!$N$13</definedName>
    <definedName name="say_gecersizGecis">AYARLAR!$N$14</definedName>
    <definedName name="say_zincirKirik">AYARLAR!$N$15</definedName>
    <definedName name="say_eslesmeOrani">AYARLAR!$N$16</definedName>
    <definedName name="say_giderSapma">AYARLAR!$N$17</definedName>
    <definedName name="say_kararSayisi">AYARLAR!$N$18</definedName>
    <definedName name="say_kovaButunluk">AYARLAR!$N$19</definedName>
    <definedName name="say_kararKapi">AYARLAR!$N$20</definedName>
    <definedName name="say_kararGerekce">AYARLAR!$N$21</definedName>
    <definedName name="say_normAnahtar">AYARLAR!$N$22</definedName>
    <definedName name="say_tanimsizKova">AYARLAR!$N$23</definedName>
    <definedName name="say_durumHaritasi">AYARLAR!$N$24</definedName>
    <definedName name="say_kanitRaporu">AYARLAR!$N$25</definedName>
    <definedName name="say_kapaliDusum">AYARLAR!$N$26</definedName>
    <definedName name="say_modulT1">AYARLAR!$N$27</definedName>
    <definedName name="say_modulT1Yorum">AYARLAR!$N$28</definedName>
    <definedName name="say_modulT2">AYARLAR!$N$29</definedName>
    <definedName name="say_modulT2Yorum">AYARLAR!$N$30</definedName>
    <definedName name="say_modulO1">AYARLAR!$N$31</definedName>
    <definedName name="say_modulO1Yorum">AYARLAR!$N$32</definedName>
    <definedName name="say_modulO2">AYARLAR!$N$33</definedName>
    <definedName name="say_modulO2Yorum">AYARLAR!$N$34</definedName>
    <definedName name="say_modulO3">AYARLAR!$N$35</definedName>
    <definedName name="say_modulO3Yorum">AYARLAR!$N$36</definedName>
    <definedName name="say_modulO6">AYARLAR!$N$37</definedName>
    <definedName name="say_modulO6Yorum">AYARLAR!$N$38</definedName>
    <definedName name="say_modulO8">AYARLAR!$N$39</definedName>
    <definedName name="say_modulO8Yorum">AYARLAR!$N$40</definedName>
    <definedName name="say_modulI1">AYARLAR!$N$41</definedName>
    <definedName name="say_modulI1Yorum">AYARLAR!$N$42</definedName>
    <definedName name="say_modulI2">AYARLAR!$N$43</definedName>
    <definedName name="say_modulI2Yorum">AYARLAR!$N$44</definedName>
    <definedName name="say_kvkkBeyani">AYARLAR!$N$45</definedName>
    <definedName name="say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12">'PANO'!$A$1:$N$70</definedName>
    <definedName name="_xlnm.Print_Area" localSheetId="14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;-"/>
    <numFmt numFmtId="165" formatCode="₺ #,##0;[Red](₺ #,##0);-"/>
    <numFmt numFmtId="166" formatCode="yyyy-mm-dd"/>
    <numFmt numFmtId="167" formatCode="dd.mm.yyyy"/>
    <numFmt numFmtId="168" formatCode="0.0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</fonts>
  <fills count="6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7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Aylık endeks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'PANO'!F8</f>
            </strRef>
          </tx>
          <spPr>
            <a:ln>
              <a:prstDash val="solid"/>
            </a:ln>
          </spPr>
          <cat>
            <numRef>
              <f>'PANO'!$D$9:$D$20</f>
            </numRef>
          </cat>
          <val>
            <numRef>
              <f>'PANO'!$F$9:$F$20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Trend tutar</a:t>
            </a:r>
          </a:p>
        </rich>
      </tx>
    </title>
    <plotArea>
      <lineChart>
        <grouping val="standard"/>
        <ser>
          <idx val="0"/>
          <order val="0"/>
          <tx>
            <strRef>
              <f>'PANO'!G8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'PANO'!$D$9:$D$20</f>
            </numRef>
          </cat>
          <val>
            <numRef>
              <f>'PANO'!$G$9:$G$20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Kuyruk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'PANO'!$D$23:$D$26</f>
            </numRef>
          </cat>
          <val>
            <numRef>
              <f>'PANO'!$E$23:$E$26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Gider sapması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'PANO'!J22</f>
            </strRef>
          </tx>
          <spPr>
            <a:ln>
              <a:prstDash val="solid"/>
            </a:ln>
          </spPr>
          <cat>
            <numRef>
              <f>'PANO'!$I$23:$I$28</f>
            </numRef>
          </cat>
          <val>
            <numRef>
              <f>'PANO'!$J$23:$J$28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'PANO'!J30</f>
            </strRef>
          </tx>
          <spPr>
            <a:ln>
              <a:prstDash val="solid"/>
            </a:ln>
          </spPr>
          <cat>
            <numRef>
              <f>'PANO'!$I$31:$I$33</f>
            </numRef>
          </cat>
          <val>
            <numRef>
              <f>'PANO'!$J$31:$J$33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Kalite / oran</a:t>
            </a:r>
          </a:p>
        </rich>
      </tx>
    </title>
    <plotArea>
      <lineChart>
        <grouping val="standard"/>
        <ser>
          <idx val="0"/>
          <order val="0"/>
          <tx>
            <strRef>
              <f>'PANO'!E38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'PANO'!$D$39:$D$41</f>
            </numRef>
          </cat>
          <val>
            <numRef>
              <f>'PANO'!$E$39:$E$41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sayıları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'PANO'!E44</f>
            </strRef>
          </tx>
          <spPr>
            <a:ln>
              <a:prstDash val="solid"/>
            </a:ln>
          </spPr>
          <cat>
            <numRef>
              <f>'PANO'!$D$45:$D$47</f>
            </numRef>
          </cat>
          <val>
            <numRef>
              <f>'PANO'!$E$45:$E$47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Karar organı</a:t>
            </a:r>
          </a:p>
        </rich>
      </tx>
    </title>
    <plotArea>
      <pieChart>
        <varyColors val="1"/>
        <ser>
          <idx val="0"/>
          <order val="0"/>
          <tx>
            <strRef>
              <f>'PANO'!J44</f>
            </strRef>
          </tx>
          <spPr>
            <a:ln>
              <a:prstDash val="solid"/>
            </a:ln>
          </spPr>
          <cat>
            <numRef>
              <f>'PANO'!$I$45:$I$46</f>
            </numRef>
          </cat>
          <val>
            <numRef>
              <f>'PANO'!$J$45:$J$46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Site adı | Neden önemli: Aidat/kasa kararını etkiler | Doğru kullanım: Site unvanı | Örnek: hücredeki örnek değere bakın | Risk: Yanlış giriş hatalı tahsilat üretir</t>
      </text>
    </comment>
    <comment ref="B6" authorId="0" shapeId="0">
      <text>
        <t>Tanım: Bağımsız bölüm sayısı | Neden önemli: Aidat/kasa kararını etkiler | Doğru kullanım: Toplam daire/işyeri | Örnek: hücredeki örnek değere bakın | Risk: Yanlış giriş hatalı tahsilat üretir</t>
      </text>
    </comment>
    <comment ref="B7" authorId="0" shapeId="0">
      <text>
        <t>Tanım: Dönem kodu | Neden önemli: Aidat/kasa kararını etkiler | Doğru kullanım: YYYY-AA | Örnek: hücredeki örnek değere bakın | Risk: Yanlış giriş hatalı tahsilat üretir</t>
      </text>
    </comment>
    <comment ref="B8" authorId="0" shapeId="0">
      <text>
        <t>Tanım: Aylık aidat tabanı (TL) | Neden önemli: Aidat/kasa kararını etkiler | Doğru kullanım: KMK payına çarpılır | Örnek: hücredeki örnek değere bakın | Risk: Yanlış giriş hatalı tahsilat üretir</t>
      </text>
    </comment>
    <comment ref="B9" authorId="0" shapeId="0">
      <text>
        <t>Tanım: Hedef tahsilat oranı | Neden önemli: Aidat/kasa kararını etkiler | Doğru kullanım: Altında DİKKAT/KRİTİK | Örnek: hücredeki örnek değere bakın | Risk: Yanlış giriş hatalı tahsilat üretir</t>
      </text>
    </comment>
    <comment ref="B10" authorId="0" shapeId="0">
      <text>
        <t>Tanım: İcap eşiği (gün) | Neden önemli: Aidat/kasa kararını etkiler | Doğru kullanım: Vade sonrası gün | Örnek: hücredeki örnek değere bakın | Risk: Yanlış giriş hatalı tahsilat üretir</t>
      </text>
    </comment>
    <comment ref="B11" authorId="0" shapeId="0">
      <text>
        <t>Tanım: Bütçe ayı gider tavanı | Neden önemli: Aidat/kasa kararını etkiler | Doğru kullanım: Gider alarm eşiği | Örnek: hücredeki örnek değere bakın | Risk: Yanlış giriş hatalı tahsilat üretir</t>
      </text>
    </comment>
    <comment ref="B12" authorId="0" shapeId="0">
      <text>
        <t>Tanım: Senaryo çarpanı | Neden önemli: Aidat/kasa kararını etkiler | Doğru kullanım: İyimser/kötümser | Örnek: hücredeki örnek değere bakın | Risk: Yanlış giriş hatalı tahsilat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7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8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8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8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8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8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9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9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9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9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9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0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0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0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0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0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1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1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1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1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1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2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2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2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2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2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3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3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3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3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3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4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4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4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4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4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5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5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5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5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5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7" authorId="0" shapeId="0">
      <text>
        <t>Tanım: Aktif | Neden önemli: Aidat/kasa kararını etkiler | Doğru kullanım: EVET/HAYIR | Örnek: hücredeki örnek değere bakın | Risk: Yanlış giriş hatalı tahsilat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5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5" authorId="0" shapeId="0">
      <text>
        <t>Tanım: Vade | Neden önemli: Aidat/kasa kararını etkiler | Doğru kullanım: GG.AA.YYYY | Örnek: hücredeki örnek değere bakın | Risk: Yanlış giriş hatalı tahsilat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4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4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4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4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4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4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4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5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5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5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5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5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5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5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3" authorId="0" shapeId="0">
      <text>
        <t>Tanım: Ödeme tutarı | Neden önemli: Aidat/kasa kararını etkiler | Doğru kullanım: TL | Örnek: hücredeki örnek değere bakın | Risk: Yanlış giriş hatalı tahsilat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6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6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7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7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7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8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8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8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9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9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9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0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0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0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1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1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1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2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2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2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2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3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3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3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3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4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4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4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4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5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5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5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5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5" authorId="0" shapeId="0">
      <text>
        <t>Tanım: Dönem | Neden önemli: Aidat/kasa kararını etkiler | Doğru kullanım: YYYY-AA | Örnek: hücredeki örnek değere bakın | Risk: Yanlış giriş hatalı tahsilat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6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6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6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7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7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7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7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8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8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8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8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9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9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9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9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0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0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0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0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1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1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1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1" authorId="0" shapeId="0">
      <text>
        <t>Tanım: Organ | Neden önemli: Aidat/kasa kararını etkiler | Doğru kullanım: YK veya GK | Örnek: hücredeki örnek değere bakın | Risk: Yanlış giriş hatalı tahsilat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Aidat/kasa kararını etkiler | Doğru kullanım: Rapor tarihi | Örnek: hücredeki örnek değere bakın | Risk: Yanlış giriş hatalı tahsilat üretir</t>
      </text>
    </comment>
    <comment ref="B6" authorId="0" shapeId="0">
      <text>
        <t>Tanım: toleransKurus | Neden önemli: Aidat/kasa kararını etkiler | Doğru kullanım: Eşleştirme toleransı | Örnek: hücredeki örnek değere bakın | Risk: Yanlış giriş hatalı tahsilat üretir</t>
      </text>
    </comment>
    <comment ref="B7" authorId="0" shapeId="0">
      <text>
        <t>Tanım: zincirTolerans | Neden önemli: Aidat/kasa kararını etkiler | Doğru kullanım: ZİNCİR KIRIK eşiği | Örnek: hücredeki örnek değere bakın | Risk: Yanlış giriş hatalı tahsilat üretir</t>
      </text>
    </comment>
    <comment ref="B8" authorId="0" shapeId="0">
      <text>
        <t>Tanım: say_gecikmeZammi | Neden önemli: Aidat/kasa kararını etkiler | Doğru kullanım: Gecikme zammı | Örnek: hücredeki örnek değere bakın | Risk: Yanlış giriş hatalı tahsilat üretir</t>
      </text>
    </comment>
    <comment ref="B9" authorId="0" shapeId="0">
      <text>
        <t>Tanım: say_icapEsikGun | Neden önemli: Aidat/kasa kararını etkiler | Doğru kullanım: İcap gün eşiği | Örnek: hücredeki örnek değere bakın | Risk: Yanlış giriş hatalı tahsilat üretir</t>
      </text>
    </comment>
    <comment ref="B10" authorId="0" shapeId="0">
      <text>
        <t>Tanım: say_esikFark | Neden önemli: Aidat/kasa kararını etkiler | Doğru kullanım: Fark alarm eşiği | Örnek: hücredeki örnek değere bakın | Risk: Yanlış giriş hatalı tahsilat üretir</t>
      </text>
    </comment>
    <comment ref="B11" authorId="0" shapeId="0">
      <text>
        <t>Tanım: say_ikincilUzunluk | Neden önemli: Aidat/kasa kararını etkiler | Doğru kullanım: İkincil anahtar | Örnek: hücredeki örnek değere bakın | Risk: Yanlış giriş hatalı tahsilat üretir</t>
      </text>
    </comment>
    <comment ref="B12" authorId="0" shapeId="0">
      <text>
        <t>Tanım: say_hedefTahsilat | Neden önemli: Aidat/kasa kararını etkiler | Doğru kullanım: Hedef tahsilat | Örnek: hücredeki örnek değere bakın | Risk: Yanlış giriş hatalı tahsilat üretir</t>
      </text>
    </comment>
    <comment ref="B13" authorId="0" shapeId="0">
      <text>
        <t>Tanım: say_senaryoIyimser | Neden önemli: Aidat/kasa kararını etkiler | Doğru kullanım: İyimser çarpan | Örnek: hücredeki örnek değere bakın | Risk: Yanlış giriş hatalı tahsilat üretir</t>
      </text>
    </comment>
    <comment ref="B14" authorId="0" shapeId="0">
      <text>
        <t>Tanım: say_senaryoKotumser | Neden önemli: Aidat/kasa kararını etkiler | Doğru kullanım: Kötümser çarpan | Örnek: hücredeki örnek değere bakın | Risk: Yanlış giriş hatalı tahsilat üretir</t>
      </text>
    </comment>
    <comment ref="B15" authorId="0" shapeId="0">
      <text>
        <t>Tanım: say_fiyatModeli | Neden önemli: Aidat/kasa kararını etkiler | Doğru kullanım: Satış fiyatı | Örnek: hücredeki örnek değere bakın | Risk: Yanlış giriş hatalı tahsilat üretir</t>
      </text>
    </comment>
    <comment ref="B16" authorId="0" shapeId="0">
      <text>
        <t>Tanım: say_olcekHedef | Neden önemli: Aidat/kasa kararını etkiler | Doğru kullanım: Ölçek sözleşmesi | Örnek: hücredeki örnek değere bakın | Risk: Yanlış giriş hatalı tahsilat üretir</t>
      </text>
    </comment>
    <comment ref="B17" authorId="0" shapeId="0">
      <text>
        <t>Tanım: say_trendOcak | Neden önemli: Aidat/kasa kararını etkiler | Doğru kullanım: Ocak trend | Örnek: hücredeki örnek değere bakın | Risk: Yanlış giriş hatalı tahsilat üretir</t>
      </text>
    </comment>
    <comment ref="B18" authorId="0" shapeId="0">
      <text>
        <t>Tanım: say_trendSubat | Neden önemli: Aidat/kasa kararını etkiler | Doğru kullanım: Subat trend | Örnek: hücredeki örnek değere bakın | Risk: Yanlış giriş hatalı tahsilat üretir</t>
      </text>
    </comment>
    <comment ref="B19" authorId="0" shapeId="0">
      <text>
        <t>Tanım: say_trendMart | Neden önemli: Aidat/kasa kararını etkiler | Doğru kullanım: Mart trend | Örnek: hücredeki örnek değere bakın | Risk: Yanlış giriş hatalı tahsilat üretir</t>
      </text>
    </comment>
    <comment ref="B20" authorId="0" shapeId="0">
      <text>
        <t>Tanım: say_trendNisan | Neden önemli: Aidat/kasa kararını etkiler | Doğru kullanım: Nisan trend | Örnek: hücredeki örnek değere bakın | Risk: Yanlış giriş hatalı tahsilat üretir</t>
      </text>
    </comment>
    <comment ref="B21" authorId="0" shapeId="0">
      <text>
        <t>Tanım: say_trendMayis | Neden önemli: Aidat/kasa kararını etkiler | Doğru kullanım: Mayis trend | Örnek: hücredeki örnek değere bakın | Risk: Yanlış giriş hatalı tahsilat üretir</t>
      </text>
    </comment>
    <comment ref="B22" authorId="0" shapeId="0">
      <text>
        <t>Tanım: say_trendHaziran | Neden önemli: Aidat/kasa kararını etkiler | Doğru kullanım: Haziran trend | Örnek: hücredeki örnek değere bakın | Risk: Yanlış giriş hatalı tahsilat üretir</t>
      </text>
    </comment>
    <comment ref="B23" authorId="0" shapeId="0">
      <text>
        <t>Tanım: say_trendTemmuz | Neden önemli: Aidat/kasa kararını etkiler | Doğru kullanım: Temmuz trend | Örnek: hücredeki örnek değere bakın | Risk: Yanlış giriş hatalı tahsilat üretir</t>
      </text>
    </comment>
    <comment ref="B24" authorId="0" shapeId="0">
      <text>
        <t>Tanım: say_trendAgustos | Neden önemli: Aidat/kasa kararını etkiler | Doğru kullanım: Agustos trend | Örnek: hücredeki örnek değere bakın | Risk: Yanlış giriş hatalı tahsilat üretir</t>
      </text>
    </comment>
    <comment ref="B25" authorId="0" shapeId="0">
      <text>
        <t>Tanım: say_trendEylul | Neden önemli: Aidat/kasa kararını etkiler | Doğru kullanım: Eylul trend | Örnek: hücredeki örnek değere bakın | Risk: Yanlış giriş hatalı tahsilat üretir</t>
      </text>
    </comment>
    <comment ref="B26" authorId="0" shapeId="0">
      <text>
        <t>Tanım: say_trendEkim | Neden önemli: Aidat/kasa kararını etkiler | Doğru kullanım: Ekim trend | Örnek: hücredeki örnek değere bakın | Risk: Yanlış giriş hatalı tahsilat üretir</t>
      </text>
    </comment>
    <comment ref="B27" authorId="0" shapeId="0">
      <text>
        <t>Tanım: say_trendKasim | Neden önemli: Aidat/kasa kararını etkiler | Doğru kullanım: Kasim trend | Örnek: hücredeki örnek değere bakın | Risk: Yanlış giriş hatalı tahsilat üretir</t>
      </text>
    </comment>
    <comment ref="B28" authorId="0" shapeId="0">
      <text>
        <t>Tanım: say_trendAralik | Neden önemli: Aidat/kasa kararını etkiler | Doğru kullanım: Aralik trend | Örnek: hücredeki örnek değere bakın | Risk: Yanlış giriş hatalı tahsilat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36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37</row>
      <rowOff>0</rowOff>
    </from>
    <ext cx="432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51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51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63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63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alikId"/>
    <tableColumn id="2" name="BagimsizBolum"/>
    <tableColumn id="3" name="AdSoyad"/>
    <tableColumn id="4" name="PayKatsayi"/>
    <tableColumn id="5" name="Aktif"/>
    <tableColumn id="6" name="BorcToplam">
      <calculatedColumnFormula>IF(tblPaydas[[#This Row],[MalikId]]="","",SUMIF(tblDonem[MalikId],tblPaydas[[#This Row],[MalikId]],tblDonem[BorcTutari]))</calculatedColumnFormula>
    </tableColumn>
    <tableColumn id="7" name="TahsilToplam">
      <calculatedColumnFormula>IF(tblPaydas[[#This Row],[MalikId]]="","",SUMIF(tblTahsilat[MalikId],tblPaydas[[#This Row],[MalikId]],tblTahsilat[OdemeTutari]))</calculatedColumnFormula>
    </tableColumn>
    <tableColumn id="8" name="Bakiye">
      <calculatedColumnFormula>IF(tblPaydas[[#This Row],[MalikId]]="","",tblPaydas[[#This Row],[BorcToplam]]-tblPaydas[[#This Row],[TahsilToplam]])</calculatedColumnFormula>
    </tableColumn>
    <tableColumn id="9" name="KayitDolu">
      <calculatedColumnFormula>IF(tblPaydas[[#This Row],[MalikId]]="","",1)</calculatedColumnFormula>
    </tableColumn>
    <tableColumn id="10" name="MotorAdim">
      <calculatedColumnFormula>IF(tblPaydas[[#This Row],[MalikId]]="","",(tblPaydas[[#This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MalikId"/>
    <tableColumn id="3" name="Donem"/>
    <tableColumn id="4" name="BorcTutari"/>
    <tableColumn id="5" name="VadeTarihi"/>
    <tableColumn id="6" name="HamAnahtar">
      <calculatedColumnFormula>IF(tblDonem[[#This Row],[MalikId]]="","",UPPER(TRIM(SUBSTITUTE(tblDonem[[#This Row],[MalikId]]&amp;tblDonem[[#This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Row],[GecikmeGun]]&gt;say_icapEsikGun,ROUND(tblDonem[[#This Row],[BorcTutari]]*say_gecikmeZammi,2),0))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MalikId"/>
    <tableColumn id="3" name="Donem"/>
    <tableColumn id="4" name="OdemeTutari"/>
    <tableColumn id="5" name="OdemeTarihi"/>
    <tableColumn id="6" name="HamAnahtar">
      <calculatedColumnFormula>IF(tblTahsilat[[#This Row],[MalikId]]="","",UPPER(TRIM(SUBSTITUTE(tblTahsilat[[#This Row],[MalikId]]&amp;tblTahsilat[[#This Row],[Donem]]," ",""))))</calculatedColumnFormula>
    </tableColumn>
    <tableColumn id="7" name="KaynakKartId">
      <calculatedColumnFormula>IF(tblTahsilat[[#This Row],[OdemeId]]="","",tblTahsilat[[#This Row],[MalikId]])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Row],[Norm]],say_ikincilUzunluk))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Row],[NormB]],say_ikincilUzunluk))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Row],[AbsFark]]&gt;say_esikFark))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Row],[KaynakKartId]]="","YETİM",IF(COUNTIF(tblPaydas[MalikId],tblAkis[[#This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3" t="inlineStr">
        <is>
          <t>Site/Apartman Yönetim Sistemi</t>
        </is>
      </c>
    </row>
    <row r="4">
      <c r="A4" s="4" t="inlineStr">
        <is>
          <t>Aidat borçlandırma ve tahsilatı eşleştirin; icap kuyruğunu yönetin; genel kurula sunulacak dönem kanıt raporunu üretin (KMK md.20).</t>
        </is>
      </c>
    </row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KMK md.20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site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Site yöneticisi — aidat, tahsilat, icap girişi</t>
        </is>
      </c>
    </row>
    <row r="15">
      <c r="A15" s="7" t="inlineStr">
        <is>
          <t>• Kat malikleri / yönetim kurulu — PANO karar özeti</t>
        </is>
      </c>
    </row>
    <row r="16">
      <c r="A16" s="7" t="inlineStr">
        <is>
          <t>• Denetçi / genel kurul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10" t="inlineStr">
        <is>
          <t>3 adımda başlayın</t>
        </is>
      </c>
    </row>
    <row r="5">
      <c r="A5" s="9" t="inlineStr">
        <is>
          <t>1. Paydaşlar</t>
        </is>
      </c>
      <c r="B5" s="11" t="inlineStr">
        <is>
          <t>PAYDASLAR sayfasında malik kimliklerini girin (sarı hücreler).</t>
        </is>
      </c>
    </row>
    <row r="6">
      <c r="A6" s="9" t="inlineStr">
        <is>
          <t>2. Borç &amp; tahsilat</t>
        </is>
      </c>
      <c r="B6" s="11" t="inlineStr">
        <is>
          <t>DONEMLER'de aidat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say_kararKapi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26" customHeight="1">
      <c r="A1" s="1" t="inlineStr">
        <is>
          <t>GIRDI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5" t="inlineStr">
        <is>
          <t>Site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Site adı</t>
        </is>
      </c>
      <c r="B5" s="17" t="inlineStr">
        <is>
          <t>Güneş Sitesi</t>
        </is>
      </c>
    </row>
    <row r="6">
      <c r="A6" s="12" t="inlineStr">
        <is>
          <t>Bağımsız bölüm sayısı</t>
        </is>
      </c>
      <c r="B6" s="17" t="n">
        <v>48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aidat tabanı (TL)</t>
        </is>
      </c>
      <c r="B8" s="18" t="n">
        <v>2500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80000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Site adı" error="Boş olamaz" promptTitle="Site adı" prompt="Site unvanı" type="textLength" errorStyle="stop" operator="greaterThanOrEqual">
      <formula1>1</formula1>
      <formula2>80</formula2>
    </dataValidation>
    <dataValidation sqref="B6" showDropDown="0" showInputMessage="1" showErrorMessage="1" allowBlank="1" errorTitle="Bağımsız bölüm sayısı" error="Pozitif sayı" promptTitle="Bağımsız bölüm sayısı" prompt="Toplam daire/işyer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aidat tabanı (TL)" error="0 veya üzeri" promptTitle="Aylık aidat tabanı (TL)" prompt="KMK pay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21" t="inlineStr">
        <is>
          <t>Malik / paydaş kartları — ID disiplini (bakiye türetilir)</t>
        </is>
      </c>
    </row>
    <row r="5" ht="30" customHeight="1">
      <c r="A5" s="22" t="inlineStr">
        <is>
          <t>MalikId</t>
        </is>
      </c>
      <c r="B5" s="22" t="inlineStr">
        <is>
          <t>BagimsizBolum</t>
        </is>
      </c>
      <c r="C5" s="22" t="inlineStr">
        <is>
          <t>AdSoyad</t>
        </is>
      </c>
      <c r="D5" s="22" t="inlineStr">
        <is>
          <t>PayKatsayi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MLK-001</t>
        </is>
      </c>
      <c r="B6" s="23" t="inlineStr">
        <is>
          <t>A Blok 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IF($A6="","",SUMIF(tblDonem[MalikId],$A6,tblDonem[BorcTutari]))</f>
        <v/>
      </c>
      <c r="G6" s="24">
        <f>IF($A6="","",SUMIF(tblTahsilat[MalikId],$A6,tblTahsilat[OdemeTutari]))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MLK-002</t>
        </is>
      </c>
      <c r="B7" s="23" t="inlineStr">
        <is>
          <t>A Blok 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IF($A7="","",SUMIF(tblDonem[MalikId],$A7,tblDonem[BorcTutari]))</f>
        <v/>
      </c>
      <c r="G7" s="24">
        <f>IF($A7="","",SUMIF(tblTahsilat[MalikId],$A7,tblTahsilat[OdemeTutari]))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MLK-003</t>
        </is>
      </c>
      <c r="B8" s="23" t="inlineStr">
        <is>
          <t>A Blok 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IF($A8="","",SUMIF(tblDonem[MalikId],$A8,tblDonem[BorcTutari]))</f>
        <v/>
      </c>
      <c r="G8" s="24">
        <f>IF($A8="","",SUMIF(tblTahsilat[MalikId],$A8,tblTahsilat[OdemeTutari]))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MLK-004</t>
        </is>
      </c>
      <c r="B9" s="23" t="inlineStr">
        <is>
          <t>B Blok 1</t>
        </is>
      </c>
      <c r="C9" s="23" t="inlineStr">
        <is>
          <t>Ali Çelik</t>
        </is>
      </c>
      <c r="D9" s="20" t="n">
        <v>1.2</v>
      </c>
      <c r="E9" s="23" t="inlineStr">
        <is>
          <t>EVET</t>
        </is>
      </c>
      <c r="F9" s="24">
        <f>IF($A9="","",SUMIF(tblDonem[MalikId],$A9,tblDonem[BorcTutari]))</f>
        <v/>
      </c>
      <c r="G9" s="24">
        <f>IF($A9="","",SUMIF(tblTahsilat[MalikId],$A9,tblTahsilat[OdemeTutari]))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MLK-005</t>
        </is>
      </c>
      <c r="B10" s="23" t="inlineStr">
        <is>
          <t>B Blok 2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IF($A10="","",SUMIF(tblDonem[MalikId],$A10,tblDonem[BorcTutari]))</f>
        <v/>
      </c>
      <c r="G10" s="24">
        <f>IF($A10="","",SUMIF(tblTahsilat[MalikId],$A10,tblTahsilat[OdemeTutari]))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MLK-006</t>
        </is>
      </c>
      <c r="B11" s="23" t="inlineStr">
        <is>
          <t>B Blok 3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IF($A11="","",SUMIF(tblDonem[MalikId],$A11,tblDonem[BorcTutari]))</f>
        <v/>
      </c>
      <c r="G11" s="24">
        <f>IF($A11="","",SUMIF(tblTahsilat[MalikId],$A11,tblTahsilat[OdemeTutari]))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MLK-007</t>
        </is>
      </c>
      <c r="B12" s="23" t="inlineStr">
        <is>
          <t>C Blok 1</t>
        </is>
      </c>
      <c r="C12" s="23" t="inlineStr">
        <is>
          <t>Elif Arslan</t>
        </is>
      </c>
      <c r="D12" s="20" t="n">
        <v>1.5</v>
      </c>
      <c r="E12" s="23" t="inlineStr">
        <is>
          <t>EVET</t>
        </is>
      </c>
      <c r="F12" s="24">
        <f>IF($A12="","",SUMIF(tblDonem[MalikId],$A12,tblDonem[BorcTutari]))</f>
        <v/>
      </c>
      <c r="G12" s="24">
        <f>IF($A12="","",SUMIF(tblTahsilat[MalikId],$A12,tblTahsilat[OdemeTutari]))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MLK-008</t>
        </is>
      </c>
      <c r="B13" s="23" t="inlineStr">
        <is>
          <t>C Blok 2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IF($A13="","",SUMIF(tblDonem[MalikId],$A13,tblDonem[BorcTutari]))</f>
        <v/>
      </c>
      <c r="G13" s="24">
        <f>IF($A13="","",SUMIF(tblTahsilat[MalikId],$A13,tblTahsilat[OdemeTutari]))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MLK-009</t>
        </is>
      </c>
      <c r="B14" s="23" t="inlineStr">
        <is>
          <t>C Blok 3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IF($A14="","",SUMIF(tblDonem[MalikId],$A14,tblDonem[BorcTutari]))</f>
        <v/>
      </c>
      <c r="G14" s="24">
        <f>IF($A14="","",SUMIF(tblTahsilat[MalikId],$A14,tblTahsilat[OdemeTutari]))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MLK-010</t>
        </is>
      </c>
      <c r="B15" s="23" t="inlineStr">
        <is>
          <t>D Blok 1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IF($A15="","",SUMIF(tblDonem[MalikId],$A15,tblDonem[BorcTutari]))</f>
        <v/>
      </c>
      <c r="G15" s="24">
        <f>IF($A15="","",SUMIF(tblTahsilat[MalikId],$A15,tblTahsilat[OdemeTutari]))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MLK-011</t>
        </is>
      </c>
      <c r="B16" s="23" t="inlineStr">
        <is>
          <t>D Blok 2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IF($A16="","",SUMIF(tblDonem[MalikId],$A16,tblDonem[BorcTutari]))</f>
        <v/>
      </c>
      <c r="G16" s="24">
        <f>IF($A16="","",SUMIF(tblTahsilat[MalikId],$A16,tblTahsilat[OdemeTutari]))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MLK-012</t>
        </is>
      </c>
      <c r="B17" s="23" t="inlineStr">
        <is>
          <t>D Blok 3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IF($A17="","",SUMIF(tblDonem[MalikId],$A17,tblDonem[BorcTutari]))</f>
        <v/>
      </c>
      <c r="G17" s="24">
        <f>IF($A17="","",SUMIF(tblTahsilat[MalikId],$A17,tblTahsilat[OdemeTutari]))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IF($A18="","",SUMIF(tblDonem[MalikId],$A18,tblDonem[BorcTutari]))</f>
        <v/>
      </c>
      <c r="G18" s="24">
        <f>IF($A18="","",SUMIF(tblTahsilat[MalikId],$A18,tblTahsilat[OdemeTutari]))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IF($A19="","",SUMIF(tblDonem[MalikId],$A19,tblDonem[BorcTutari]))</f>
        <v/>
      </c>
      <c r="G19" s="24">
        <f>IF($A19="","",SUMIF(tblTahsilat[MalikId],$A19,tblTahsilat[OdemeTutari]))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IF($A20="","",SUMIF(tblDonem[MalikId],$A20,tblDonem[BorcTutari]))</f>
        <v/>
      </c>
      <c r="G20" s="24">
        <f>IF($A20="","",SUMIF(tblTahsilat[MalikId],$A20,tblTahsilat[OdemeTutari]))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IF($A21="","",SUMIF(tblDonem[MalikId],$A21,tblDonem[BorcTutari]))</f>
        <v/>
      </c>
      <c r="G21" s="24">
        <f>IF($A21="","",SUMIF(tblTahsilat[MalikId],$A21,tblTahsilat[OdemeTutari]))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IF($A22="","",SUMIF(tblDonem[MalikId],$A22,tblDonem[BorcTutari]))</f>
        <v/>
      </c>
      <c r="G22" s="24">
        <f>IF($A22="","",SUMIF(tblTahsilat[MalikId],$A22,tblTahsilat[OdemeTutari]))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IF($A23="","",SUMIF(tblDonem[MalikId],$A23,tblDonem[BorcTutari]))</f>
        <v/>
      </c>
      <c r="G23" s="24">
        <f>IF($A23="","",SUMIF(tblTahsilat[MalikId],$A23,tblTahsilat[OdemeTutari]))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IF($A24="","",SUMIF(tblDonem[MalikId],$A24,tblDonem[BorcTutari]))</f>
        <v/>
      </c>
      <c r="G24" s="24">
        <f>IF($A24="","",SUMIF(tblTahsilat[MalikId],$A24,tblTahsilat[OdemeTutari]))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IF($A25="","",SUMIF(tblDonem[MalikId],$A25,tblDonem[BorcTutari]))</f>
        <v/>
      </c>
      <c r="G25" s="24">
        <f>IF($A25="","",SUMIF(tblTahsilat[MalikId],$A25,tblTahsilat[OdemeTutari]))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IF($A26="","",SUMIF(tblDonem[MalikId],$A26,tblDonem[BorcTutari]))</f>
        <v/>
      </c>
      <c r="G26" s="24">
        <f>IF($A26="","",SUMIF(tblTahsilat[MalikId],$A26,tblTahsilat[OdemeTutari]))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IF($A27="","",SUMIF(tblDonem[MalikId],$A27,tblDonem[BorcTutari]))</f>
        <v/>
      </c>
      <c r="G27" s="24">
        <f>IF($A27="","",SUMIF(tblTahsilat[MalikId],$A27,tblTahsilat[OdemeTutari]))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IF($A28="","",SUMIF(tblDonem[MalikId],$A28,tblDonem[BorcTutari]))</f>
        <v/>
      </c>
      <c r="G28" s="24">
        <f>IF($A28="","",SUMIF(tblTahsilat[MalikId],$A28,tblTahsilat[OdemeTutari]))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IF($A29="","",SUMIF(tblDonem[MalikId],$A29,tblDonem[BorcTutari]))</f>
        <v/>
      </c>
      <c r="G29" s="24">
        <f>IF($A29="","",SUMIF(tblTahsilat[MalikId],$A29,tblTahsilat[OdemeTutari]))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IF($A30="","",SUMIF(tblDonem[MalikId],$A30,tblDonem[BorcTutari]))</f>
        <v/>
      </c>
      <c r="G30" s="24">
        <f>IF($A30="","",SUMIF(tblTahsilat[MalikId],$A30,tblTahsilat[OdemeTutari]))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IF($A31="","",SUMIF(tblDonem[MalikId],$A31,tblDonem[BorcTutari]))</f>
        <v/>
      </c>
      <c r="G31" s="24">
        <f>IF($A31="","",SUMIF(tblTahsilat[MalikId],$A31,tblTahsilat[OdemeTutari]))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IF($A32="","",SUMIF(tblDonem[MalikId],$A32,tblDonem[BorcTutari]))</f>
        <v/>
      </c>
      <c r="G32" s="24">
        <f>IF($A32="","",SUMIF(tblTahsilat[MalikId],$A32,tblTahsilat[OdemeTutari]))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IF($A33="","",SUMIF(tblDonem[MalikId],$A33,tblDonem[BorcTutari]))</f>
        <v/>
      </c>
      <c r="G33" s="24">
        <f>IF($A33="","",SUMIF(tblTahsilat[MalikId],$A33,tblTahsilat[OdemeTutari]))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IF($A34="","",SUMIF(tblDonem[MalikId],$A34,tblDonem[BorcTutari]))</f>
        <v/>
      </c>
      <c r="G34" s="24">
        <f>IF($A34="","",SUMIF(tblTahsilat[MalikId],$A34,tblTahsilat[OdemeTutari]))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IF($A35="","",SUMIF(tblDonem[MalikId],$A35,tblDonem[BorcTutari]))</f>
        <v/>
      </c>
      <c r="G35" s="24">
        <f>IF($A35="","",SUMIF(tblTahsilat[MalikId],$A35,tblTahsilat[OdemeTutari]))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IF($A36="","",SUMIF(tblDonem[MalikId],$A36,tblDonem[BorcTutari]))</f>
        <v/>
      </c>
      <c r="G36" s="24">
        <f>IF($A36="","",SUMIF(tblTahsilat[MalikId],$A36,tblTahsilat[OdemeTutari]))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IF($A37="","",SUMIF(tblDonem[MalikId],$A37,tblDonem[BorcTutari]))</f>
        <v/>
      </c>
      <c r="G37" s="24">
        <f>IF($A37="","",SUMIF(tblTahsilat[MalikId],$A37,tblTahsilat[OdemeTutari]))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IF($A38="","",SUMIF(tblDonem[MalikId],$A38,tblDonem[BorcTutari]))</f>
        <v/>
      </c>
      <c r="G38" s="24">
        <f>IF($A38="","",SUMIF(tblTahsilat[MalikId],$A38,tblTahsilat[OdemeTutari]))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IF($A39="","",SUMIF(tblDonem[MalikId],$A39,tblDonem[BorcTutari]))</f>
        <v/>
      </c>
      <c r="G39" s="24">
        <f>IF($A39="","",SUMIF(tblTahsilat[MalikId],$A39,tblTahsilat[OdemeTutari]))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IF($A40="","",SUMIF(tblDonem[MalikId],$A40,tblDonem[BorcTutari]))</f>
        <v/>
      </c>
      <c r="G40" s="24">
        <f>IF($A40="","",SUMIF(tblTahsilat[MalikId],$A40,tblTahsilat[OdemeTutari]))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IF($A41="","",SUMIF(tblDonem[MalikId],$A41,tblDonem[BorcTutari]))</f>
        <v/>
      </c>
      <c r="G41" s="24">
        <f>IF($A41="","",SUMIF(tblTahsilat[MalikId],$A41,tblTahsilat[OdemeTutari]))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IF($A42="","",SUMIF(tblDonem[MalikId],$A42,tblDonem[BorcTutari]))</f>
        <v/>
      </c>
      <c r="G42" s="24">
        <f>IF($A42="","",SUMIF(tblTahsilat[MalikId],$A42,tblTahsilat[OdemeTutari]))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IF($A43="","",SUMIF(tblDonem[MalikId],$A43,tblDonem[BorcTutari]))</f>
        <v/>
      </c>
      <c r="G43" s="24">
        <f>IF($A43="","",SUMIF(tblTahsilat[MalikId],$A43,tblTahsilat[OdemeTutari]))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IF($A44="","",SUMIF(tblDonem[MalikId],$A44,tblDonem[BorcTutari]))</f>
        <v/>
      </c>
      <c r="G44" s="24">
        <f>IF($A44="","",SUMIF(tblTahsilat[MalikId],$A44,tblTahsilat[OdemeTutari]))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IF($A45="","",SUMIF(tblDonem[MalikId],$A45,tblDonem[BorcTutari]))</f>
        <v/>
      </c>
      <c r="G45" s="24">
        <f>IF($A45="","",SUMIF(tblTahsilat[MalikId],$A45,tblTahsilat[OdemeTutari]))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IF($A46="","",SUMIF(tblDonem[MalikId],$A46,tblDonem[BorcTutari]))</f>
        <v/>
      </c>
      <c r="G46" s="24">
        <f>IF($A46="","",SUMIF(tblTahsilat[MalikId],$A46,tblTahsilat[OdemeTutari]))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IF($A47="","",SUMIF(tblDonem[MalikId],$A47,tblDonem[BorcTutari]))</f>
        <v/>
      </c>
      <c r="G47" s="24">
        <f>IF($A47="","",SUMIF(tblTahsilat[MalikId],$A47,tblTahsilat[OdemeTutari]))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IF($A48="","",SUMIF(tblDonem[MalikId],$A48,tblDonem[BorcTutari]))</f>
        <v/>
      </c>
      <c r="G48" s="24">
        <f>IF($A48="","",SUMIF(tblTahsilat[MalikId],$A48,tblTahsilat[OdemeTutari]))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IF($A49="","",SUMIF(tblDonem[MalikId],$A49,tblDonem[BorcTutari]))</f>
        <v/>
      </c>
      <c r="G49" s="24">
        <f>IF($A49="","",SUMIF(tblTahsilat[MalikId],$A49,tblTahsilat[OdemeTutari]))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IF($A50="","",SUMIF(tblDonem[MalikId],$A50,tblDonem[BorcTutari]))</f>
        <v/>
      </c>
      <c r="G50" s="24">
        <f>IF($A50="","",SUMIF(tblTahsilat[MalikId],$A50,tblTahsilat[OdemeTutari]))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IF($A51="","",SUMIF(tblDonem[MalikId],$A51,tblDonem[BorcTutari]))</f>
        <v/>
      </c>
      <c r="G51" s="24">
        <f>IF($A51="","",SUMIF(tblTahsilat[MalikId],$A51,tblTahsilat[OdemeTutari]))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IF($A52="","",SUMIF(tblDonem[MalikId],$A52,tblDonem[BorcTutari]))</f>
        <v/>
      </c>
      <c r="G52" s="24">
        <f>IF($A52="","",SUMIF(tblTahsilat[MalikId],$A52,tblTahsilat[OdemeTutari]))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IF($A53="","",SUMIF(tblDonem[MalikId],$A53,tblDonem[BorcTutari]))</f>
        <v/>
      </c>
      <c r="G53" s="24">
        <f>IF($A53="","",SUMIF(tblTahsilat[MalikId],$A53,tblTahsilat[OdemeTutari]))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IF($A54="","",SUMIF(tblDonem[MalikId],$A54,tblDonem[BorcTutari]))</f>
        <v/>
      </c>
      <c r="G54" s="24">
        <f>IF($A54="","",SUMIF(tblTahsilat[MalikId],$A54,tblTahsilat[OdemeTutari]))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IF($A55="","",SUMIF(tblDonem[MalikId],$A55,tblDonem[BorcTutari]))</f>
        <v/>
      </c>
      <c r="G55" s="24">
        <f>IF($A55="","",SUMIF(tblTahsilat[MalikId],$A55,tblTahsilat[OdemeTutari]))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IF($A56="","",SUMIF(tblDonem[MalikId],$A56,tblDonem[BorcTutari]))</f>
        <v/>
      </c>
      <c r="G56" s="24">
        <f>IF($A56="","",SUMIF(tblTahsilat[MalikId],$A56,tblTahsilat[OdemeTutari]))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IF($A57="","",SUMIF(tblDonem[MalikId],$A57,tblDonem[BorcTutari]))</f>
        <v/>
      </c>
      <c r="G57" s="24">
        <f>IF($A57="","",SUMIF(tblTahsilat[MalikId],$A57,tblTahsilat[OdemeTutari]))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IF($A58="","",SUMIF(tblDonem[MalikId],$A58,tblDonem[BorcTutari]))</f>
        <v/>
      </c>
      <c r="G58" s="24">
        <f>IF($A58="","",SUMIF(tblTahsilat[MalikId],$A58,tblTahsilat[OdemeTutari]))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IF($A59="","",SUMIF(tblDonem[MalikId],$A59,tblDonem[BorcTutari]))</f>
        <v/>
      </c>
      <c r="G59" s="24">
        <f>IF($A59="","",SUMIF(tblTahsilat[MalikId],$A59,tblTahsilat[OdemeTutari]))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IF($A60="","",SUMIF(tblDonem[MalikId],$A60,tblDonem[BorcTutari]))</f>
        <v/>
      </c>
      <c r="G60" s="24">
        <f>IF($A60="","",SUMIF(tblTahsilat[MalikId],$A60,tblTahsilat[OdemeTutari]))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IF($A61="","",SUMIF(tblDonem[MalikId],$A61,tblDonem[BorcTutari]))</f>
        <v/>
      </c>
      <c r="G61" s="24">
        <f>IF($A61="","",SUMIF(tblTahsilat[MalikId],$A61,tblTahsilat[OdemeTutari]))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IF($A62="","",SUMIF(tblDonem[MalikId],$A62,tblDonem[BorcTutari]))</f>
        <v/>
      </c>
      <c r="G62" s="24">
        <f>IF($A62="","",SUMIF(tblTahsilat[MalikId],$A62,tblTahsilat[OdemeTutari]))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IF($A63="","",SUMIF(tblDonem[MalikId],$A63,tblDonem[BorcTutari]))</f>
        <v/>
      </c>
      <c r="G63" s="24">
        <f>IF($A63="","",SUMIF(tblTahsilat[MalikId],$A63,tblTahsilat[OdemeTutari]))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IF($A64="","",SUMIF(tblDonem[MalikId],$A64,tblDonem[BorcTutari]))</f>
        <v/>
      </c>
      <c r="G64" s="24">
        <f>IF($A64="","",SUMIF(tblTahsilat[MalikId],$A64,tblTahsilat[OdemeTutari]))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IF($A65="","",SUMIF(tblDonem[MalikId],$A65,tblDonem[BorcTutari]))</f>
        <v/>
      </c>
      <c r="G65" s="24">
        <f>IF($A65="","",SUMIF(tblTahsilat[MalikId],$A65,tblTahsilat[OdemeTutari]))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IF($A66="","",SUMIF(tblDonem[MalikId],$A66,tblDonem[BorcTutari]))</f>
        <v/>
      </c>
      <c r="G66" s="24">
        <f>IF($A66="","",SUMIF(tblTahsilat[MalikId],$A66,tblTahsilat[OdemeTutari]))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IF($A67="","",SUMIF(tblDonem[MalikId],$A67,tblDonem[BorcTutari]))</f>
        <v/>
      </c>
      <c r="G67" s="24">
        <f>IF($A67="","",SUMIF(tblTahsilat[MalikId],$A67,tblTahsilat[OdemeTutari]))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IF($A68="","",SUMIF(tblDonem[MalikId],$A68,tblDonem[BorcTutari]))</f>
        <v/>
      </c>
      <c r="G68" s="24">
        <f>IF($A68="","",SUMIF(tblTahsilat[MalikId],$A68,tblTahsilat[OdemeTutari]))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IF($A69="","",SUMIF(tblDonem[MalikId],$A69,tblDonem[BorcTutari]))</f>
        <v/>
      </c>
      <c r="G69" s="24">
        <f>IF($A69="","",SUMIF(tblTahsilat[MalikId],$A69,tblTahsilat[OdemeTutari]))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IF($A70="","",SUMIF(tblDonem[MalikId],$A70,tblDonem[BorcTutari]))</f>
        <v/>
      </c>
      <c r="G70" s="24">
        <f>IF($A70="","",SUMIF(tblTahsilat[MalikId],$A70,tblTahsilat[OdemeTutari]))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IF($A71="","",SUMIF(tblDonem[MalikId],$A71,tblDonem[BorcTutari]))</f>
        <v/>
      </c>
      <c r="G71" s="24">
        <f>IF($A71="","",SUMIF(tblTahsilat[MalikId],$A71,tblTahsilat[OdemeTutari]))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IF($A72="","",SUMIF(tblDonem[MalikId],$A72,tblDonem[BorcTutari]))</f>
        <v/>
      </c>
      <c r="G72" s="24">
        <f>IF($A72="","",SUMIF(tblTahsilat[MalikId],$A72,tblTahsilat[OdemeTutari]))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IF($A73="","",SUMIF(tblDonem[MalikId],$A73,tblDonem[BorcTutari]))</f>
        <v/>
      </c>
      <c r="G73" s="24">
        <f>IF($A73="","",SUMIF(tblTahsilat[MalikId],$A73,tblTahsilat[OdemeTutari]))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IF($A74="","",SUMIF(tblDonem[MalikId],$A74,tblDonem[BorcTutari]))</f>
        <v/>
      </c>
      <c r="G74" s="24">
        <f>IF($A74="","",SUMIF(tblTahsilat[MalikId],$A74,tblTahsilat[OdemeTutari]))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IF($A75="","",SUMIF(tblDonem[MalikId],$A75,tblDonem[BorcTutari]))</f>
        <v/>
      </c>
      <c r="G75" s="24">
        <f>IF($A75="","",SUMIF(tblTahsilat[MalikId],$A75,tblTahsilat[OdemeTutari]))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IF($A76="","",SUMIF(tblDonem[MalikId],$A76,tblDonem[BorcTutari]))</f>
        <v/>
      </c>
      <c r="G76" s="24">
        <f>IF($A76="","",SUMIF(tblTahsilat[MalikId],$A76,tblTahsilat[OdemeTutari]))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IF($A77="","",SUMIF(tblDonem[MalikId],$A77,tblDonem[BorcTutari]))</f>
        <v/>
      </c>
      <c r="G77" s="24">
        <f>IF($A77="","",SUMIF(tblTahsilat[MalikId],$A77,tblTahsilat[OdemeTutari]))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IF($A78="","",SUMIF(tblDonem[MalikId],$A78,tblDonem[BorcTutari]))</f>
        <v/>
      </c>
      <c r="G78" s="24">
        <f>IF($A78="","",SUMIF(tblTahsilat[MalikId],$A78,tblTahsilat[OdemeTutari]))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IF($A79="","",SUMIF(tblDonem[MalikId],$A79,tblDonem[BorcTutari]))</f>
        <v/>
      </c>
      <c r="G79" s="24">
        <f>IF($A79="","",SUMIF(tblTahsilat[MalikId],$A79,tblTahsilat[OdemeTutari]))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IF($A80="","",SUMIF(tblDonem[MalikId],$A80,tblDonem[BorcTutari]))</f>
        <v/>
      </c>
      <c r="G80" s="24">
        <f>IF($A80="","",SUMIF(tblTahsilat[MalikId],$A80,tblTahsilat[OdemeTutari]))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IF($A81="","",SUMIF(tblDonem[MalikId],$A81,tblDonem[BorcTutari]))</f>
        <v/>
      </c>
      <c r="G81" s="24">
        <f>IF($A81="","",SUMIF(tblTahsilat[MalikId],$A81,tblTahsilat[OdemeTutari]))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IF($A82="","",SUMIF(tblDonem[MalikId],$A82,tblDonem[BorcTutari]))</f>
        <v/>
      </c>
      <c r="G82" s="24">
        <f>IF($A82="","",SUMIF(tblTahsilat[MalikId],$A82,tblTahsilat[OdemeTutari]))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IF($A83="","",SUMIF(tblDonem[MalikId],$A83,tblDonem[BorcTutari]))</f>
        <v/>
      </c>
      <c r="G83" s="24">
        <f>IF($A83="","",SUMIF(tblTahsilat[MalikId],$A83,tblTahsilat[OdemeTutari]))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IF($A84="","",SUMIF(tblDonem[MalikId],$A84,tblDonem[BorcTutari]))</f>
        <v/>
      </c>
      <c r="G84" s="24">
        <f>IF($A84="","",SUMIF(tblTahsilat[MalikId],$A84,tblTahsilat[OdemeTutari]))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IF($A85="","",SUMIF(tblDonem[MalikId],$A85,tblDonem[BorcTutari]))</f>
        <v/>
      </c>
      <c r="G85" s="24">
        <f>IF($A85="","",SUMIF(tblTahsilat[MalikId],$A85,tblTahsilat[OdemeTutari]))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IF($A86="","",SUMIF(tblDonem[MalikId],$A86,tblDonem[BorcTutari]))</f>
        <v/>
      </c>
      <c r="G86" s="24">
        <f>IF($A86="","",SUMIF(tblTahsilat[MalikId],$A86,tblTahsilat[OdemeTutari]))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Pay" error="0 veya üzeri" promptTitle="Pay" prompt="Pay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DONEMLER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21" t="inlineStr">
        <is>
          <t>Dönem borçlandırma motoru — aidat + gecikme zammı tabanı</t>
        </is>
      </c>
    </row>
    <row r="5" ht="30" customHeight="1">
      <c r="A5" s="22" t="inlineStr">
        <is>
          <t>BorcId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25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IF($A6="","",IF($G6&gt;say_icapEsikGun,ROUND($D6*say_gecikmeZammi,2),0))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25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IF($A7="","",IF($G7&gt;say_icapEsikGun,ROUND($D7*say_gecikmeZammi,2),0))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25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IF($A8="","",IF($G8&gt;say_icapEsikGun,ROUND($D8*say_gecikmeZammi,2),0))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25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IF($A9="","",IF($G9&gt;say_icapEsikGun,ROUND($D9*say_gecikmeZammi,2),0))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2900</v>
      </c>
      <c r="E10" s="25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IF($A10="","",IF($G10&gt;say_icapEsikGun,ROUND($D10*say_gecikmeZammi,2),0))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25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IF($A11="","",IF($G11&gt;say_icapEsikGun,ROUND($D11*say_gecikmeZammi,2),0))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25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IF($A12="","",IF($G12&gt;say_icapEsikGun,ROUND($D12*say_gecikmeZammi,2),0))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25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IF($A13="","",IF($G13&gt;say_icapEsikGun,ROUND($D13*say_gecikmeZammi,2),0))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2500</v>
      </c>
      <c r="E14" s="25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IF($A14="","",IF($G14&gt;say_icapEsikGun,ROUND($D14*say_gecikmeZammi,2),0))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25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IF($A15="","",IF($G15&gt;say_icapEsikGun,ROUND($D15*say_gecikmeZammi,2),0))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25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IF($A16="","",IF($G16&gt;say_icapEsikGun,ROUND($D16*say_gecikmeZammi,2),0))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25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IF($A17="","",IF($G17&gt;say_icapEsikGun,ROUND($D17*say_gecikmeZammi,2),0))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25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IF($A18="","",IF($G18&gt;say_icapEsikGun,ROUND($D18*say_gecikmeZammi,2),0))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25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IF($A19="","",IF($G19&gt;say_icapEsikGun,ROUND($D19*say_gecikmeZammi,2),0))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MLK-005</t>
        </is>
      </c>
      <c r="C20" s="23" t="inlineStr">
        <is>
          <t>2026-08</t>
        </is>
      </c>
      <c r="D20" s="18" t="n">
        <v>2950</v>
      </c>
      <c r="E20" s="25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IF($A20="","",IF($G20&gt;say_icapEsikGun,ROUND($D20*say_gecikmeZammi,2),0))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MLK-006</t>
        </is>
      </c>
      <c r="C21" s="23" t="inlineStr">
        <is>
          <t>2026-08</t>
        </is>
      </c>
      <c r="D21" s="18" t="n">
        <v>2500</v>
      </c>
      <c r="E21" s="25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IF($A21="","",IF($G21&gt;say_icapEsikGun,ROUND($D21*say_gecikmeZammi,2),0))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MLK-007</t>
        </is>
      </c>
      <c r="C22" s="23" t="inlineStr">
        <is>
          <t>2026-08</t>
        </is>
      </c>
      <c r="D22" s="18" t="n">
        <v>2650</v>
      </c>
      <c r="E22" s="25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IF($A22="","",IF($G22&gt;say_icapEsikGun,ROUND($D22*say_gecikmeZammi,2),0))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MLK-008</t>
        </is>
      </c>
      <c r="C23" s="23" t="inlineStr">
        <is>
          <t>2026-08</t>
        </is>
      </c>
      <c r="D23" s="18" t="n">
        <v>2800</v>
      </c>
      <c r="E23" s="25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IF($A23="","",IF($G23&gt;say_icapEsikGun,ROUND($D23*say_gecikmeZammi,2),0))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MLK-011</t>
        </is>
      </c>
      <c r="C24" s="23" t="inlineStr">
        <is>
          <t>2026-08</t>
        </is>
      </c>
      <c r="D24" s="18" t="n">
        <v>2600</v>
      </c>
      <c r="E24" s="25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IF($A24="","",IF($G24&gt;say_icapEsikGun,ROUND($D24*say_gecikmeZammi,2),0))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MLK-012</t>
        </is>
      </c>
      <c r="C25" s="23" t="inlineStr">
        <is>
          <t>2026-08</t>
        </is>
      </c>
      <c r="D25" s="18" t="n">
        <v>2550</v>
      </c>
      <c r="E25" s="25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IF($A25="","",IF($G25&gt;say_icapEsikGun,ROUND($D25*say_gecikmeZammi,2),0))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IF($A26="","",IF($G26&gt;say_icapEsikGun,ROUND($D26*say_gecikmeZammi,2),0))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IF($A27="","",IF($G27&gt;say_icapEsikGun,ROUND($D27*say_gecikmeZammi,2),0))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IF($A28="","",IF($G28&gt;say_icapEsikGun,ROUND($D28*say_gecikmeZammi,2),0))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IF($A29="","",IF($G29&gt;say_icapEsikGun,ROUND($D29*say_gecikmeZammi,2),0))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IF($A30="","",IF($G30&gt;say_icapEsikGun,ROUND($D30*say_gecikmeZammi,2),0))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IF($A31="","",IF($G31&gt;say_icapEsikGun,ROUND($D31*say_gecikmeZammi,2),0))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IF($A32="","",IF($G32&gt;say_icapEsikGun,ROUND($D32*say_gecikmeZammi,2),0))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IF($A33="","",IF($G33&gt;say_icapEsikGun,ROUND($D33*say_gecikmeZammi,2),0))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IF($A34="","",IF($G34&gt;say_icapEsikGun,ROUND($D34*say_gecikmeZammi,2),0))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IF($A35="","",IF($G35&gt;say_icapEsikGun,ROUND($D35*say_gecikmeZammi,2),0))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IF($A36="","",IF($G36&gt;say_icapEsikGun,ROUND($D36*say_gecikmeZammi,2),0))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IF($A37="","",IF($G37&gt;say_icapEsikGun,ROUND($D37*say_gecikmeZammi,2),0))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IF($A38="","",IF($G38&gt;say_icapEsikGun,ROUND($D38*say_gecikmeZammi,2),0))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IF($A39="","",IF($G39&gt;say_icapEsikGun,ROUND($D39*say_gecikmeZammi,2),0))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IF($A40="","",IF($G40&gt;say_icapEsikGun,ROUND($D40*say_gecikmeZammi,2),0))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IF($A41="","",IF($G41&gt;say_icapEsikGun,ROUND($D41*say_gecikmeZammi,2),0))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IF($A42="","",IF($G42&gt;say_icapEsikGun,ROUND($D42*say_gecikmeZammi,2),0))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IF($A43="","",IF($G43&gt;say_icapEsikGun,ROUND($D43*say_gecikmeZammi,2),0))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IF($A44="","",IF($G44&gt;say_icapEsikGun,ROUND($D44*say_gecikmeZammi,2),0))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IF($A45="","",IF($G45&gt;say_icapEsikGun,ROUND($D45*say_gecikmeZammi,2),0))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IF($A46="","",IF($G46&gt;say_icapEsikGun,ROUND($D46*say_gecikmeZammi,2),0))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IF($A47="","",IF($G47&gt;say_icapEsikGun,ROUND($D47*say_gecikmeZammi,2),0))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IF($A48="","",IF($G48&gt;say_icapEsikGun,ROUND($D48*say_gecikmeZammi,2),0))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IF($A49="","",IF($G49&gt;say_icapEsikGun,ROUND($D49*say_gecikmeZammi,2),0))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IF($A50="","",IF($G50&gt;say_icapEsikGun,ROUND($D50*say_gecikmeZammi,2),0))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IF($A51="","",IF($G51&gt;say_icapEsikGun,ROUND($D51*say_gecikmeZammi,2),0))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IF($A52="","",IF($G52&gt;say_icapEsikGun,ROUND($D52*say_gecikmeZammi,2),0))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IF($A53="","",IF($G53&gt;say_icapEsikGun,ROUND($D53*say_gecikmeZammi,2),0))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IF($A54="","",IF($G54&gt;say_icapEsikGun,ROUND($D54*say_gecikmeZammi,2),0))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IF($A55="","",IF($G55&gt;say_icapEsikGun,ROUND($D55*say_gecikmeZammi,2),0))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IF($A56="","",IF($G56&gt;say_icapEsikGun,ROUND($D56*say_gecikmeZammi,2),0))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IF($A57="","",IF($G57&gt;say_icapEsikGun,ROUND($D57*say_gecikmeZammi,2),0))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IF($A58="","",IF($G58&gt;say_icapEsikGun,ROUND($D58*say_gecikmeZammi,2),0))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IF($A59="","",IF($G59&gt;say_icapEsikGun,ROUND($D59*say_gecikmeZammi,2),0))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IF($A60="","",IF($G60&gt;say_icapEsikGun,ROUND($D60*say_gecikmeZammi,2),0))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IF($A61="","",IF($G61&gt;say_icapEsikGun,ROUND($D61*say_gecikmeZammi,2),0))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IF($A62="","",IF($G62&gt;say_icapEsikGun,ROUND($D62*say_gecikmeZammi,2),0))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IF($A63="","",IF($G63&gt;say_icapEsikGun,ROUND($D63*say_gecikmeZammi,2),0))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IF($A64="","",IF($G64&gt;say_icapEsikGun,ROUND($D64*say_gecikmeZammi,2),0))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IF($A65="","",IF($G65&gt;say_icapEsikGun,ROUND($D65*say_gecikmeZammi,2),0))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IF($A66="","",IF($G66&gt;say_icapEsikGun,ROUND($D66*say_gecikmeZammi,2),0))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IF($A67="","",IF($G67&gt;say_icapEsikGun,ROUND($D67*say_gecikmeZammi,2),0))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IF($A68="","",IF($G68&gt;say_icapEsikGun,ROUND($D68*say_gecikmeZammi,2),0))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IF($A69="","",IF($G69&gt;say_icapEsikGun,ROUND($D69*say_gecikmeZammi,2),0))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IF($A70="","",IF($G70&gt;say_icapEsikGun,ROUND($D70*say_gecikmeZammi,2),0))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IF($A71="","",IF($G71&gt;say_icapEsikGun,ROUND($D71*say_gecikmeZammi,2),0))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IF($A72="","",IF($G72&gt;say_icapEsikGun,ROUND($D72*say_gecikmeZammi,2),0))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IF($A73="","",IF($G73&gt;say_icapEsikGun,ROUND($D73*say_gecikmeZammi,2),0))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IF($A74="","",IF($G74&gt;say_icapEsikGun,ROUND($D74*say_gecikmeZammi,2),0))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IF($A75="","",IF($G75&gt;say_icapEsikGun,ROUND($D75*say_gecikmeZammi,2),0))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IF($A76="","",IF($G76&gt;say_icapEsikGun,ROUND($D76*say_gecikmeZammi,2),0))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IF($A77="","",IF($G77&gt;say_icapEsikGun,ROUND($D77*say_gecikmeZammi,2),0))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IF($A78="","",IF($G78&gt;say_icapEsikGun,ROUND($D78*say_gecikmeZammi,2),0))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IF($A79="","",IF($G79&gt;say_icapEsikGun,ROUND($D79*say_gecikmeZammi,2),0))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IF($A80="","",IF($G80&gt;say_icapEsikGun,ROUND($D80*say_gecikmeZammi,2),0))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IF($A81="","",IF($G81&gt;say_icapEsikGun,ROUND($D81*say_gecikmeZammi,2),0))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IF($A82="","",IF($G82&gt;say_icapEsikGun,ROUND($D82*say_gecikmeZammi,2),0))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IF($A83="","",IF($G83&gt;say_icapEsikGun,ROUND($D83*say_gecikmeZammi,2),0))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IF($A84="","",IF($G84&gt;say_icapEsikGun,ROUND($D84*say_gecikmeZammi,2),0))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IF($A85="","",IF($G85&gt;say_icapEsikGun,ROUND($D85*say_gecikmeZammi,2),0))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IF($A86="","",IF($G86&gt;say_icapEsikGun,ROUND($D86*say_gecikmeZammi,2),0))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1" t="inlineStr">
        <is>
          <t>Ödeme girişi — eşleştirme motoruna besleme</t>
        </is>
      </c>
    </row>
    <row r="5" ht="30" customHeight="1">
      <c r="A5" s="22" t="inlineStr">
        <is>
          <t>OdemeId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25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25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25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25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2850</v>
      </c>
      <c r="E10" s="25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25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25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25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2450</v>
      </c>
      <c r="E14" s="25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25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25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25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25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25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MLK-006</t>
        </is>
      </c>
      <c r="C20" s="23" t="inlineStr">
        <is>
          <t>2026-06</t>
        </is>
      </c>
      <c r="D20" s="18" t="n">
        <v>2400</v>
      </c>
      <c r="E20" s="25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MLK-999</t>
        </is>
      </c>
      <c r="C21" s="23" t="inlineStr">
        <is>
          <t>2026-08</t>
        </is>
      </c>
      <c r="D21" s="18" t="n">
        <v>2500</v>
      </c>
      <c r="E21" s="25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21" t="inlineStr">
        <is>
          <t>Normalize malik+dönem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IF($B6="","",LEFT($B6,say_ikincilUzunluk))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IF($J6="","",LEFT($J6,say_ikincilUzunluk))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IF($B7="","",LEFT($B7,say_ikincilUzunluk))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IF($J7="","",LEFT($J7,say_ikincilUzunluk))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IF($B8="","",LEFT($B8,say_ikincilUzunluk))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IF($J8="","",LEFT($J8,say_ikincilUzunluk))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IF($B9="","",LEFT($B9,say_ikincilUzunluk))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IF($J9="","",LEFT($J9,say_ikincilUzunluk))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IF($B10="","",LEFT($B10,say_ikincilUzunluk))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IF($J10="","",LEFT($J10,say_ikincilUzunluk))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IF($B11="","",LEFT($B11,say_ikincilUzunluk))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IF($J11="","",LEFT($J11,say_ikincilUzunluk))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IF($B12="","",LEFT($B12,say_ikincilUzunluk))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IF($J12="","",LEFT($J12,say_ikincilUzunluk))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IF($B13="","",LEFT($B13,say_ikincilUzunluk))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IF($J13="","",LEFT($J13,say_ikincilUzunluk))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IF($B14="","",LEFT($B14,say_ikincilUzunluk))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IF($J14="","",LEFT($J14,say_ikincilUzunluk))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IF($B15="","",LEFT($B15,say_ikincilUzunluk))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IF($J15="","",LEFT($J15,say_ikincilUzunluk))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IF($B16="","",LEFT($B16,say_ikincilUzunluk))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IF($J16="","",LEFT($J16,say_ikincilUzunluk))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IF($B17="","",LEFT($B17,say_ikincilUzunluk))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IF($J17="","",LEFT($J17,say_ikincilUzunluk))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IF($B18="","",LEFT($B18,say_ikincilUzunluk))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IF($J18="","",LEFT($J18,say_ikincilUzunluk))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IF($B19="","",LEFT($B19,say_ikincilUzunluk))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IF($J19="","",LEFT($J19,say_ikincilUzunluk))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IF($B20="","",LEFT($B20,say_ikincilUzunluk))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IF($J20="","",LEFT($J20,say_ikincilUzunluk))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IF($B21="","",LEFT($B21,say_ikincilUzunluk))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IF($J21="","",LEFT($J21,say_ikincilUzunluk))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IF($B22="","",LEFT($B22,say_ikincilUzunluk))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IF($J22="","",LEFT($J22,say_ikincilUzunluk))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IF($B23="","",LEFT($B23,say_ikincilUzunluk))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IF($J23="","",LEFT($J23,say_ikincilUzunluk))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IF($B24="","",LEFT($B24,say_ikincilUzunluk))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IF($J24="","",LEFT($J24,say_ikincilUzunluk))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IF($B25="","",LEFT($B25,say_ikincilUzunluk))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IF($J25="","",LEFT($J25,say_ikincilUzunluk))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IF($B26="","",LEFT($B26,say_ikincilUzunluk))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IF($J26="","",LEFT($J26,say_ikincilUzunluk))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IF($B27="","",LEFT($B27,say_ikincilUzunluk))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IF($J27="","",LEFT($J27,say_ikincilUzunluk))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IF($B28="","",LEFT($B28,say_ikincilUzunluk))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IF($J28="","",LEFT($J28,say_ikincilUzunluk))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IF($B29="","",LEFT($B29,say_ikincilUzunluk))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IF($J29="","",LEFT($J29,say_ikincilUzunluk))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IF($B30="","",LEFT($B30,say_ikincilUzunluk))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IF($J30="","",LEFT($J30,say_ikincilUzunluk))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IF($B31="","",LEFT($B31,say_ikincilUzunluk))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IF($J31="","",LEFT($J31,say_ikincilUzunluk))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IF($B32="","",LEFT($B32,say_ikincilUzunluk))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IF($J32="","",LEFT($J32,say_ikincilUzunluk))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IF($B33="","",LEFT($B33,say_ikincilUzunluk))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IF($J33="","",LEFT($J33,say_ikincilUzunluk))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IF($B34="","",LEFT($B34,say_ikincilUzunluk))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IF($J34="","",LEFT($J34,say_ikincilUzunluk))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IF($B35="","",LEFT($B35,say_ikincilUzunluk))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IF($J35="","",LEFT($J35,say_ikincilUzunluk))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IF($B36="","",LEFT($B36,say_ikincilUzunluk))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IF($J36="","",LEFT($J36,say_ikincilUzunluk))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IF($B37="","",LEFT($B37,say_ikincilUzunluk))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IF($J37="","",LEFT($J37,say_ikincilUzunluk))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IF($B38="","",LEFT($B38,say_ikincilUzunluk))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IF($J38="","",LEFT($J38,say_ikincilUzunluk))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IF($B39="","",LEFT($B39,say_ikincilUzunluk))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IF($J39="","",LEFT($J39,say_ikincilUzunluk))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IF($B40="","",LEFT($B40,say_ikincilUzunluk))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IF($J40="","",LEFT($J40,say_ikincilUzunluk))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IF($B41="","",LEFT($B41,say_ikincilUzunluk))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IF($J41="","",LEFT($J41,say_ikincilUzunluk))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IF($B42="","",LEFT($B42,say_ikincilUzunluk))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IF($J42="","",LEFT($J42,say_ikincilUzunluk))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IF($B43="","",LEFT($B43,say_ikincilUzunluk))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IF($J43="","",LEFT($J43,say_ikincilUzunluk))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IF($B44="","",LEFT($B44,say_ikincilUzunluk))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IF($J44="","",LEFT($J44,say_ikincilUzunluk))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IF($B45="","",LEFT($B45,say_ikincilUzunluk))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IF($J45="","",LEFT($J45,say_ikincilUzunluk))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IF($B46="","",LEFT($B46,say_ikincilUzunluk))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IF($J46="","",LEFT($J46,say_ikincilUzunluk))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IF($B47="","",LEFT($B47,say_ikincilUzunluk))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IF($J47="","",LEFT($J47,say_ikincilUzunluk))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IF($B48="","",LEFT($B48,say_ikincilUzunluk))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IF($J48="","",LEFT($J48,say_ikincilUzunluk))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IF($B49="","",LEFT($B49,say_ikincilUzunluk))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IF($J49="","",LEFT($J49,say_ikincilUzunluk))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IF($B50="","",LEFT($B50,say_ikincilUzunluk))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IF($J50="","",LEFT($J50,say_ikincilUzunluk))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IF($B51="","",LEFT($B51,say_ikincilUzunluk))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IF($J51="","",LEFT($J51,say_ikincilUzunluk))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IF($B52="","",LEFT($B52,say_ikincilUzunluk))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IF($J52="","",LEFT($J52,say_ikincilUzunluk))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IF($B53="","",LEFT($B53,say_ikincilUzunluk))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IF($J53="","",LEFT($J53,say_ikincilUzunluk))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IF($B54="","",LEFT($B54,say_ikincilUzunluk))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IF($J54="","",LEFT($J54,say_ikincilUzunluk))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IF($B55="","",LEFT($B55,say_ikincilUzunluk))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IF($J55="","",LEFT($J55,say_ikincilUzunluk))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IF($B56="","",LEFT($B56,say_ikincilUzunluk))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IF($J56="","",LEFT($J56,say_ikincilUzunluk))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IF($B57="","",LEFT($B57,say_ikincilUzunluk))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IF($J57="","",LEFT($J57,say_ikincilUzunluk))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IF($B58="","",LEFT($B58,say_ikincilUzunluk))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IF($J58="","",LEFT($J58,say_ikincilUzunluk))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IF($B59="","",LEFT($B59,say_ikincilUzunluk))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IF($J59="","",LEFT($J59,say_ikincilUzunluk))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IF($B60="","",LEFT($B60,say_ikincilUzunluk))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IF($J60="","",LEFT($J60,say_ikincilUzunluk))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IF($B61="","",LEFT($B61,say_ikincilUzunluk))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IF($J61="","",LEFT($J61,say_ikincilUzunluk))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IF($B62="","",LEFT($B62,say_ikincilUzunluk))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IF($J62="","",LEFT($J62,say_ikincilUzunluk))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IF($B63="","",LEFT($B63,say_ikincilUzunluk))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IF($J63="","",LEFT($J63,say_ikincilUzunluk))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IF($B64="","",LEFT($B64,say_ikincilUzunluk))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IF($J64="","",LEFT($J64,say_ikincilUzunluk))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IF($B65="","",LEFT($B65,say_ikincilUzunluk))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IF($J65="","",LEFT($J65,say_ikincilUzunluk))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IF($B66="","",LEFT($B66,say_ikincilUzunluk))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IF($J66="","",LEFT($J66,say_ikincilUzunluk))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IF($B67="","",LEFT($B67,say_ikincilUzunluk))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IF($J67="","",LEFT($J67,say_ikincilUzunluk))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IF($B68="","",LEFT($B68,say_ikincilUzunluk))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IF($J68="","",LEFT($J68,say_ikincilUzunluk))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IF($B69="","",LEFT($B69,say_ikincilUzunluk))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IF($J69="","",LEFT($J69,say_ikincilUzunluk))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IF($B70="","",LEFT($B70,say_ikincilUzunluk))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IF($J70="","",LEFT($J70,say_ikincilUzunluk))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IF($B71="","",LEFT($B71,say_ikincilUzunluk))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IF($J71="","",LEFT($J71,say_ikincilUzunluk))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IF($B72="","",LEFT($B72,say_ikincilUzunluk))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IF($J72="","",LEFT($J72,say_ikincilUzunluk))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IF($B73="","",LEFT($B73,say_ikincilUzunluk))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IF($J73="","",LEFT($J73,say_ikincilUzunluk))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IF($B74="","",LEFT($B74,say_ikincilUzunluk))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IF($J74="","",LEFT($J74,say_ikincilUzunluk))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IF($B75="","",LEFT($B75,say_ikincilUzunluk))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IF($J75="","",LEFT($J75,say_ikincilUzunluk))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IF($B76="","",LEFT($B76,say_ikincilUzunluk))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IF($J76="","",LEFT($J76,say_ikincilUzunluk))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IF($B77="","",LEFT($B77,say_ikincilUzunluk))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IF($J77="","",LEFT($J77,say_ikincilUzunluk))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IF($B78="","",LEFT($B78,say_ikincilUzunluk))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IF($J78="","",LEFT($J78,say_ikincilUzunluk))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IF($B79="","",LEFT($B79,say_ikincilUzunluk))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IF($J79="","",LEFT($J79,say_ikincilUzunluk))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IF($B80="","",LEFT($B80,say_ikincilUzunluk))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IF($J80="","",LEFT($J80,say_ikincilUzunluk))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IF($B81="","",LEFT($B81,say_ikincilUzunluk))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IF($J81="","",LEFT($J81,say_ikincilUzunluk))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IF($B82="","",LEFT($B82,say_ikincilUzunluk))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IF($J82="","",LEFT($J82,say_ikincilUzunluk))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IF($B83="","",LEFT($B83,say_ikincilUzunluk))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IF($J83="","",LEFT($J83,say_ikincilUzunluk))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IF($B84="","",LEFT($B84,say_ikincilUzunluk))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IF($J84="","",LEFT($J84,say_ikincilUzunluk))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IF($B85="","",LEFT($B85,say_ikincilUzunluk))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IF($J85="","",LEFT($J85,say_ikincilUzunluk))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IF($B86="","",LEFT($B86,say_ikincilUzunluk))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IF($J86="","",LEFT($J86,say_ikincilUzunluk))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borç↔tahsilat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IF($A6="","",--($F6&gt;say_esikFark))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IF($A7="","",--($F7&gt;say_esikFark))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IF($A8="","",--($F8&gt;say_esikFark))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IF($A9="","",--($F9&gt;say_esikFark))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IF($A10="","",--($F10&gt;say_esikFark))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IF($A11="","",--($F11&gt;say_esikFark))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IF($A12="","",--($F12&gt;say_esikFark))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IF($A13="","",--($F13&gt;say_esikFark))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IF($A14="","",--($F14&gt;say_esikFark))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IF($A15="","",--($F15&gt;say_esikFark))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IF($A16="","",--($F16&gt;say_esikFark))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IF($A17="","",--($F17&gt;say_esikFark))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IF($A18="","",--($F18&gt;say_esikFark))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IF($A19="","",--($F19&gt;say_esikFark))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IF($A20="","",--($F20&gt;say_esikFark))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IF($A21="","",--($F21&gt;say_esikFark))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IF($A22="","",--($F22&gt;say_esikFark))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IF($A23="","",--($F23&gt;say_esikFark))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IF($A24="","",--($F24&gt;say_esikFark))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IF($A25="","",--($F25&gt;say_esikFark))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IF($A26="","",--($F26&gt;say_esikFark))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IF($A27="","",--($F27&gt;say_esikFark))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IF($A28="","",--($F28&gt;say_esikFark))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IF($A29="","",--($F29&gt;say_esikFark))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IF($A30="","",--($F30&gt;say_esikFark))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IF($A31="","",--($F31&gt;say_esikFark))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IF($A32="","",--($F32&gt;say_esikFark))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IF($A33="","",--($F33&gt;say_esikFark))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IF($A34="","",--($F34&gt;say_esikFark))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IF($A35="","",--($F35&gt;say_esikFark))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IF($A36="","",--($F36&gt;say_esikFark))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IF($A37="","",--($F37&gt;say_esikFark))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IF($A38="","",--($F38&gt;say_esikFark))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IF($A39="","",--($F39&gt;say_esikFark))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IF($A40="","",--($F40&gt;say_esikFark))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IF($A41="","",--($F41&gt;say_esikFark))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IF($A42="","",--($F42&gt;say_esikFark))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IF($A43="","",--($F43&gt;say_esikFark))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IF($A44="","",--($F44&gt;say_esikFark))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IF($A45="","",--($F45&gt;say_esikFark))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IF($A46="","",--($F46&gt;say_esikFark))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IF($A47="","",--($F47&gt;say_esikFark))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IF($A48="","",--($F48&gt;say_esikFark))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IF($A49="","",--($F49&gt;say_esikFark))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IF($A50="","",--($F50&gt;say_esikFark))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IF($A51="","",--($F51&gt;say_esikFark))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IF($A52="","",--($F52&gt;say_esikFark))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IF($A53="","",--($F53&gt;say_esikFark))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IF($A54="","",--($F54&gt;say_esikFark))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IF($A55="","",--($F55&gt;say_esikFark))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IF($A56="","",--($F56&gt;say_esikFark))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IF($A57="","",--($F57&gt;say_esikFark))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IF($A58="","",--($F58&gt;say_esikFark))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IF($A59="","",--($F59&gt;say_esikFark))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IF($A60="","",--($F60&gt;say_esikFark))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IF($A61="","",--($F61&gt;say_esikFark))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IF($A62="","",--($F62&gt;say_esikFark))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IF($A63="","",--($F63&gt;say_esikFark))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IF($A64="","",--($F64&gt;say_esikFark))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IF($A65="","",--($F65&gt;say_esikFark))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IF($A66="","",--($F66&gt;say_esikFark))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IF($A67="","",--($F67&gt;say_esikFark))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IF($A68="","",--($F68&gt;say_esikFark))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IF($A69="","",--($F69&gt;say_esikFark))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IF($A70="","",--($F70&gt;say_esikFark))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IF($A71="","",--($F71&gt;say_esikFark))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IF($A72="","",--($F72&gt;say_esikFark))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IF($A73="","",--($F73&gt;say_esikFark))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IF($A74="","",--($F74&gt;say_esikFark))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IF($A75="","",--($F75&gt;say_esikFark))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IF($A76="","",--($F76&gt;say_esikFark))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IF($A77="","",--($F77&gt;say_esikFark))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IF($A78="","",--($F78&gt;say_esikFark))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IF($A79="","",--($F79&gt;say_esikFark))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IF($A80="","",--($F80&gt;say_esikFark))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IF($A81="","",--($F81&gt;say_esikFark))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IF($A82="","",--($F82&gt;say_esikFark))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IF($A83="","",--($F83&gt;say_esikFark))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IF($A84="","",--($F84&gt;say_esikFark))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IF($A85="","",--($F85&gt;say_esikFark))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IF($A86="","",--($F86&gt;say_esikFark))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1" t="inlineStr">
        <is>
          <t>İcap durum makinesi — yetim / geçersiz geçiş / ZİNCİR KIRIK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MLK-001</t>
        </is>
      </c>
      <c r="C6" s="23" t="inlineStr">
        <is>
          <t>BRC-001</t>
        </is>
      </c>
      <c r="D6" s="25" t="n">
        <v>46213</v>
      </c>
      <c r="E6" s="25" t="n"/>
      <c r="F6" s="23" t="n"/>
      <c r="G6" s="23" t="inlineStr">
        <is>
          <t>ACIK</t>
        </is>
      </c>
      <c r="H6" s="18" t="n">
        <v>2500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IF($A6="","",IF($B6="","YETİM",IF(COUNTIF(tblPaydas[MalikId],$B6)=0,"YETİM","")))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MLK-002</t>
        </is>
      </c>
      <c r="C7" s="23" t="inlineStr">
        <is>
          <t>BRC-002</t>
        </is>
      </c>
      <c r="D7" s="25" t="n">
        <v>46214</v>
      </c>
      <c r="E7" s="25" t="n"/>
      <c r="F7" s="23" t="inlineStr">
        <is>
          <t>ACIK</t>
        </is>
      </c>
      <c r="G7" s="23" t="inlineStr">
        <is>
          <t>HATIRLATMA</t>
        </is>
      </c>
      <c r="H7" s="18" t="n">
        <v>2550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IF($A7="","",IF($B7="","YETİM",IF(COUNTIF(tblPaydas[MalikId],$B7)=0,"YETİM","")))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MLK-003</t>
        </is>
      </c>
      <c r="C8" s="23" t="inlineStr">
        <is>
          <t>BRC-003</t>
        </is>
      </c>
      <c r="D8" s="25" t="n">
        <v>46215</v>
      </c>
      <c r="E8" s="25" t="n"/>
      <c r="F8" s="23" t="inlineStr">
        <is>
          <t>HATIRLATMA</t>
        </is>
      </c>
      <c r="G8" s="23" t="inlineStr">
        <is>
          <t>ICAP</t>
        </is>
      </c>
      <c r="H8" s="18" t="n">
        <v>2600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IF($A8="","",IF($B8="","YETİM",IF(COUNTIF(tblPaydas[MalikId],$B8)=0,"YETİM","")))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MLK-004</t>
        </is>
      </c>
      <c r="C9" s="23" t="inlineStr">
        <is>
          <t>BRC-004</t>
        </is>
      </c>
      <c r="D9" s="25" t="n">
        <v>46216</v>
      </c>
      <c r="E9" s="25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2650</v>
      </c>
      <c r="I9" s="18" t="n">
        <v>2650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IF($A9="","",IF($B9="","YETİM",IF(COUNTIF(tblPaydas[MalikId],$B9)=0,"YETİM","")))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MLK-005</t>
        </is>
      </c>
      <c r="C10" s="23" t="inlineStr">
        <is>
          <t>BRC-005</t>
        </is>
      </c>
      <c r="D10" s="25" t="n">
        <v>46217</v>
      </c>
      <c r="E10" s="25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2700</v>
      </c>
      <c r="I10" s="18" t="n">
        <v>2700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IF($A10="","",IF($B10="","YETİM",IF(COUNTIF(tblPaydas[MalikId],$B10)=0,"YETİM","")))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MLK-006</t>
        </is>
      </c>
      <c r="C11" s="23" t="inlineStr">
        <is>
          <t>BRC-006</t>
        </is>
      </c>
      <c r="D11" s="25" t="n">
        <v>46218</v>
      </c>
      <c r="E11" s="25" t="n"/>
      <c r="F11" s="23" t="n"/>
      <c r="G11" s="23" t="inlineStr">
        <is>
          <t>ACIK</t>
        </is>
      </c>
      <c r="H11" s="18" t="n">
        <v>2750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IF($A11="","",IF($B11="","YETİM",IF(COUNTIF(tblPaydas[MalikId],$B11)=0,"YETİM","")))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MLK-007</t>
        </is>
      </c>
      <c r="C12" s="23" t="inlineStr">
        <is>
          <t>BRC-007</t>
        </is>
      </c>
      <c r="D12" s="25" t="n">
        <v>46219</v>
      </c>
      <c r="E12" s="25" t="n"/>
      <c r="F12" s="23" t="inlineStr">
        <is>
          <t>ACIK</t>
        </is>
      </c>
      <c r="G12" s="23" t="inlineStr">
        <is>
          <t>HATIRLATMA</t>
        </is>
      </c>
      <c r="H12" s="18" t="n">
        <v>2800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IF($A12="","",IF($B12="","YETİM",IF(COUNTIF(tblPaydas[MalikId],$B12)=0,"YETİM","")))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MLK-008</t>
        </is>
      </c>
      <c r="C13" s="23" t="inlineStr">
        <is>
          <t>BRC-008</t>
        </is>
      </c>
      <c r="D13" s="25" t="n">
        <v>46220</v>
      </c>
      <c r="E13" s="25" t="n"/>
      <c r="F13" s="23" t="inlineStr">
        <is>
          <t>HATIRLATMA</t>
        </is>
      </c>
      <c r="G13" s="23" t="inlineStr">
        <is>
          <t>ICAP</t>
        </is>
      </c>
      <c r="H13" s="18" t="n">
        <v>2850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IF($A13="","",IF($B13="","YETİM",IF(COUNTIF(tblPaydas[MalikId],$B13)=0,"YETİM","")))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MLK-009</t>
        </is>
      </c>
      <c r="C14" s="23" t="inlineStr">
        <is>
          <t>BRC-009</t>
        </is>
      </c>
      <c r="D14" s="25" t="n">
        <v>46221</v>
      </c>
      <c r="E14" s="25" t="n"/>
      <c r="F14" s="23" t="n"/>
      <c r="G14" s="23" t="inlineStr">
        <is>
          <t>ACIK</t>
        </is>
      </c>
      <c r="H14" s="18" t="n">
        <v>2900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IF($A14="","",IF($B14="","YETİM",IF(COUNTIF(tblPaydas[MalikId],$B14)=0,"YETİM","")))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MLK-010</t>
        </is>
      </c>
      <c r="C15" s="23" t="inlineStr">
        <is>
          <t>BRC-010</t>
        </is>
      </c>
      <c r="D15" s="25" t="n">
        <v>46222</v>
      </c>
      <c r="E15" s="25" t="n"/>
      <c r="F15" s="23" t="inlineStr">
        <is>
          <t>ACIK</t>
        </is>
      </c>
      <c r="G15" s="23" t="inlineStr">
        <is>
          <t>HATIRLATMA</t>
        </is>
      </c>
      <c r="H15" s="18" t="n">
        <v>2950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IF($A15="","",IF($B15="","YETİM",IF(COUNTIF(tblPaydas[MalikId],$B15)=0,"YETİM","")))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MLK-011</t>
        </is>
      </c>
      <c r="C16" s="23" t="inlineStr">
        <is>
          <t>BRC-011</t>
        </is>
      </c>
      <c r="D16" s="25" t="n">
        <v>46223</v>
      </c>
      <c r="E16" s="25" t="n"/>
      <c r="F16" s="23" t="inlineStr">
        <is>
          <t>ACIK</t>
        </is>
      </c>
      <c r="G16" s="23" t="inlineStr">
        <is>
          <t>ICAP</t>
        </is>
      </c>
      <c r="H16" s="18" t="n">
        <v>3000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IF($A16="","",IF($B16="","YETİM",IF(COUNTIF(tblPaydas[MalikId],$B16)=0,"YETİM","")))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MLK-012</t>
        </is>
      </c>
      <c r="C17" s="23" t="inlineStr">
        <is>
          <t>BRC-012</t>
        </is>
      </c>
      <c r="D17" s="25" t="n">
        <v>46224</v>
      </c>
      <c r="E17" s="25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3050</v>
      </c>
      <c r="I17" s="18" t="n">
        <v>3050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IF($A17="","",IF($B17="","YETİM",IF(COUNTIF(tblPaydas[MalikId],$B17)=0,"YETİM","")))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MLK-001</t>
        </is>
      </c>
      <c r="C18" s="23" t="inlineStr">
        <is>
          <t>BRC-013</t>
        </is>
      </c>
      <c r="D18" s="25" t="n">
        <v>46225</v>
      </c>
      <c r="E18" s="25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3100</v>
      </c>
      <c r="I18" s="18" t="n">
        <v>3100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IF($A18="","",IF($B18="","YETİM",IF(COUNTIF(tblPaydas[MalikId],$B18)=0,"YETİM","")))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MLK-002</t>
        </is>
      </c>
      <c r="C19" s="23" t="inlineStr">
        <is>
          <t>BRC-014</t>
        </is>
      </c>
      <c r="D19" s="25" t="n">
        <v>46226</v>
      </c>
      <c r="E19" s="25" t="n"/>
      <c r="F19" s="23" t="n"/>
      <c r="G19" s="23" t="inlineStr">
        <is>
          <t>ACIK</t>
        </is>
      </c>
      <c r="H19" s="18" t="n">
        <v>3150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IF($A19="","",IF($B19="","YETİM",IF(COUNTIF(tblPaydas[MalikId],$B19)=0,"YETİM","")))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MLK-003</t>
        </is>
      </c>
      <c r="C20" s="23" t="inlineStr">
        <is>
          <t>BRC-015</t>
        </is>
      </c>
      <c r="D20" s="25" t="n">
        <v>46227</v>
      </c>
      <c r="E20" s="25" t="n"/>
      <c r="F20" s="23" t="inlineStr">
        <is>
          <t>ACIK</t>
        </is>
      </c>
      <c r="G20" s="23" t="inlineStr">
        <is>
          <t>HATIRLATMA</t>
        </is>
      </c>
      <c r="H20" s="18" t="n">
        <v>3200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IF($A20="","",IF($B20="","YETİM",IF(COUNTIF(tblPaydas[MalikId],$B20)=0,"YETİM","")))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MLK-999</t>
        </is>
      </c>
      <c r="C21" s="23" t="inlineStr">
        <is>
          <t>BRC-016</t>
        </is>
      </c>
      <c r="D21" s="25" t="n">
        <v>46228</v>
      </c>
      <c r="E21" s="25" t="n"/>
      <c r="F21" s="23" t="inlineStr">
        <is>
          <t>HATIRLATMA</t>
        </is>
      </c>
      <c r="G21" s="23" t="inlineStr">
        <is>
          <t>ICAP</t>
        </is>
      </c>
      <c r="H21" s="18" t="n">
        <v>3250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IF($A21="","",IF($B21="","YETİM",IF(COUNTIF(tblPaydas[MalikId],$B21)=0,"YETİM","")))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MLK-005</t>
        </is>
      </c>
      <c r="C22" s="23" t="inlineStr">
        <is>
          <t>BRC-017</t>
        </is>
      </c>
      <c r="D22" s="25" t="n">
        <v>46229</v>
      </c>
      <c r="E22" s="25" t="n"/>
      <c r="F22" s="23" t="n"/>
      <c r="G22" s="23" t="inlineStr">
        <is>
          <t>ACIK</t>
        </is>
      </c>
      <c r="H22" s="18" t="n">
        <v>3300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IF($A22="","",IF($B22="","YETİM",IF(COUNTIF(tblPaydas[MalikId],$B22)=0,"YETİM","")))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MLK-006</t>
        </is>
      </c>
      <c r="C23" s="23" t="inlineStr">
        <is>
          <t>BRC-018</t>
        </is>
      </c>
      <c r="D23" s="25" t="n">
        <v>46230</v>
      </c>
      <c r="E23" s="25" t="n"/>
      <c r="F23" s="23" t="inlineStr">
        <is>
          <t>ACIK</t>
        </is>
      </c>
      <c r="G23" s="23" t="inlineStr">
        <is>
          <t>HATIRLATMA</t>
        </is>
      </c>
      <c r="H23" s="18" t="n">
        <v>3350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IF($A23="","",IF($B23="","YETİM",IF(COUNTIF(tblPaydas[MalikId],$B23)=0,"YETİM","")))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IF($A24="","",IF($B24="","YETİM",IF(COUNTIF(tblPaydas[MalikId],$B24)=0,"YETİM","")))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IF($A25="","",IF($B25="","YETİM",IF(COUNTIF(tblPaydas[MalikId],$B25)=0,"YETİM","")))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IF($A26="","",IF($B26="","YETİM",IF(COUNTIF(tblPaydas[MalikId],$B26)=0,"YETİM","")))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IF($A27="","",IF($B27="","YETİM",IF(COUNTIF(tblPaydas[MalikId],$B27)=0,"YETİM","")))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IF($A28="","",IF($B28="","YETİM",IF(COUNTIF(tblPaydas[MalikId],$B28)=0,"YETİM","")))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IF($A29="","",IF($B29="","YETİM",IF(COUNTIF(tblPaydas[MalikId],$B29)=0,"YETİM","")))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IF($A30="","",IF($B30="","YETİM",IF(COUNTIF(tblPaydas[MalikId],$B30)=0,"YETİM","")))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IF($A31="","",IF($B31="","YETİM",IF(COUNTIF(tblPaydas[MalikId],$B31)=0,"YETİM","")))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IF($A32="","",IF($B32="","YETİM",IF(COUNTIF(tblPaydas[MalikId],$B32)=0,"YETİM","")))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IF($A33="","",IF($B33="","YETİM",IF(COUNTIF(tblPaydas[MalikId],$B33)=0,"YETİM","")))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IF($A34="","",IF($B34="","YETİM",IF(COUNTIF(tblPaydas[MalikId],$B34)=0,"YETİM","")))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IF($A35="","",IF($B35="","YETİM",IF(COUNTIF(tblPaydas[MalikId],$B35)=0,"YETİM","")))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IF($A36="","",IF($B36="","YETİM",IF(COUNTIF(tblPaydas[MalikId],$B36)=0,"YETİM","")))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IF($A37="","",IF($B37="","YETİM",IF(COUNTIF(tblPaydas[MalikId],$B37)=0,"YETİM","")))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IF($A38="","",IF($B38="","YETİM",IF(COUNTIF(tblPaydas[MalikId],$B38)=0,"YETİM","")))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IF($A39="","",IF($B39="","YETİM",IF(COUNTIF(tblPaydas[MalikId],$B39)=0,"YETİM","")))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IF($A40="","",IF($B40="","YETİM",IF(COUNTIF(tblPaydas[MalikId],$B40)=0,"YETİM","")))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IF($A41="","",IF($B41="","YETİM",IF(COUNTIF(tblPaydas[MalikId],$B41)=0,"YETİM","")))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IF($A42="","",IF($B42="","YETİM",IF(COUNTIF(tblPaydas[MalikId],$B42)=0,"YETİM","")))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IF($A43="","",IF($B43="","YETİM",IF(COUNTIF(tblPaydas[MalikId],$B43)=0,"YETİM","")))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IF($A44="","",IF($B44="","YETİM",IF(COUNTIF(tblPaydas[MalikId],$B44)=0,"YETİM","")))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IF($A45="","",IF($B45="","YETİM",IF(COUNTIF(tblPaydas[MalikId],$B45)=0,"YETİM","")))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IF($A46="","",IF($B46="","YETİM",IF(COUNTIF(tblPaydas[MalikId],$B46)=0,"YETİM","")))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IF($A47="","",IF($B47="","YETİM",IF(COUNTIF(tblPaydas[MalikId],$B47)=0,"YETİM","")))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IF($A48="","",IF($B48="","YETİM",IF(COUNTIF(tblPaydas[MalikId],$B48)=0,"YETİM","")))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IF($A49="","",IF($B49="","YETİM",IF(COUNTIF(tblPaydas[MalikId],$B49)=0,"YETİM","")))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IF($A50="","",IF($B50="","YETİM",IF(COUNTIF(tblPaydas[MalikId],$B50)=0,"YETİM","")))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IF($A51="","",IF($B51="","YETİM",IF(COUNTIF(tblPaydas[MalikId],$B51)=0,"YETİM","")))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IF($A52="","",IF($B52="","YETİM",IF(COUNTIF(tblPaydas[MalikId],$B52)=0,"YETİM","")))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IF($A53="","",IF($B53="","YETİM",IF(COUNTIF(tblPaydas[MalikId],$B53)=0,"YETİM","")))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IF($A54="","",IF($B54="","YETİM",IF(COUNTIF(tblPaydas[MalikId],$B54)=0,"YETİM","")))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IF($A55="","",IF($B55="","YETİM",IF(COUNTIF(tblPaydas[MalikId],$B55)=0,"YETİM","")))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IF($A56="","",IF($B56="","YETİM",IF(COUNTIF(tblPaydas[MalikId],$B56)=0,"YETİM","")))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IF($A57="","",IF($B57="","YETİM",IF(COUNTIF(tblPaydas[MalikId],$B57)=0,"YETİM","")))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IF($A58="","",IF($B58="","YETİM",IF(COUNTIF(tblPaydas[MalikId],$B58)=0,"YETİM","")))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IF($A59="","",IF($B59="","YETİM",IF(COUNTIF(tblPaydas[MalikId],$B59)=0,"YETİM","")))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IF($A60="","",IF($B60="","YETİM",IF(COUNTIF(tblPaydas[MalikId],$B60)=0,"YETİM","")))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IF($A61="","",IF($B61="","YETİM",IF(COUNTIF(tblPaydas[MalikId],$B61)=0,"YETİM","")))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IF($A62="","",IF($B62="","YETİM",IF(COUNTIF(tblPaydas[MalikId],$B62)=0,"YETİM","")))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IF($A63="","",IF($B63="","YETİM",IF(COUNTIF(tblPaydas[MalikId],$B63)=0,"YETİM","")))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IF($A64="","",IF($B64="","YETİM",IF(COUNTIF(tblPaydas[MalikId],$B64)=0,"YETİM","")))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IF($A65="","",IF($B65="","YETİM",IF(COUNTIF(tblPaydas[MalikId],$B65)=0,"YETİM","")))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IF($A66="","",IF($B66="","YETİM",IF(COUNTIF(tblPaydas[MalikId],$B66)=0,"YETİM","")))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IF($A67="","",IF($B67="","YETİM",IF(COUNTIF(tblPaydas[MalikId],$B67)=0,"YETİM","")))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IF($A68="","",IF($B68="","YETİM",IF(COUNTIF(tblPaydas[MalikId],$B68)=0,"YETİM","")))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IF($A69="","",IF($B69="","YETİM",IF(COUNTIF(tblPaydas[MalikId],$B69)=0,"YETİM","")))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IF($A70="","",IF($B70="","YETİM",IF(COUNTIF(tblPaydas[MalikId],$B70)=0,"YETİM","")))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IF($A71="","",IF($B71="","YETİM",IF(COUNTIF(tblPaydas[MalikId],$B71)=0,"YETİM","")))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IF($A72="","",IF($B72="","YETİM",IF(COUNTIF(tblPaydas[MalikId],$B72)=0,"YETİM","")))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IF($A73="","",IF($B73="","YETİM",IF(COUNTIF(tblPaydas[MalikId],$B73)=0,"YETİM","")))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IF($A74="","",IF($B74="","YETİM",IF(COUNTIF(tblPaydas[MalikId],$B74)=0,"YETİM","")))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IF($A75="","",IF($B75="","YETİM",IF(COUNTIF(tblPaydas[MalikId],$B75)=0,"YETİM","")))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IF($A76="","",IF($B76="","YETİM",IF(COUNTIF(tblPaydas[MalikId],$B76)=0,"YETİM","")))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IF($A77="","",IF($B77="","YETİM",IF(COUNTIF(tblPaydas[MalikId],$B77)=0,"YETİM","")))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IF($A78="","",IF($B78="","YETİM",IF(COUNTIF(tblPaydas[MalikId],$B78)=0,"YETİM","")))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IF($A79="","",IF($B79="","YETİM",IF(COUNTIF(tblPaydas[MalikId],$B79)=0,"YETİM","")))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IF($A80="","",IF($B80="","YETİM",IF(COUNTIF(tblPaydas[MalikId],$B80)=0,"YETİM","")))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IF($A81="","",IF($B81="","YETİM",IF(COUNTIF(tblPaydas[MalikId],$B81)=0,"YETİM","")))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IF($A82="","",IF($B82="","YETİM",IF(COUNTIF(tblPaydas[MalikId],$B82)=0,"YETİM","")))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IF($A83="","",IF($B83="","YETİM",IF(COUNTIF(tblPaydas[MalikId],$B83)=0,"YETİM","")))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IF($A84="","",IF($B84="","YETİM",IF(COUNTIF(tblPaydas[MalikId],$B84)=0,"YETİM","")))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IF($A85="","",IF($B85="","YETİM",IF(COUNTIF(tblPaydas[MalikId],$B85)=0,"YETİM","")))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IF($A86="","",IF($B86="","YETİM",IF(COUNTIF(tblPaydas[MalikId],$B86)=0,"YETİM","")))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Temizlik</t>
        </is>
      </c>
      <c r="C6" s="18" t="n">
        <v>12000</v>
      </c>
      <c r="D6" s="18" t="n">
        <v>11500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Güvenlik</t>
        </is>
      </c>
      <c r="C7" s="18" t="n">
        <v>18000</v>
      </c>
      <c r="D7" s="18" t="n">
        <v>18200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Asansör bakım</t>
        </is>
      </c>
      <c r="C8" s="18" t="n">
        <v>4500</v>
      </c>
      <c r="D8" s="18" t="n">
        <v>4800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 ortak</t>
        </is>
      </c>
      <c r="C9" s="18" t="n">
        <v>8500</v>
      </c>
      <c r="D9" s="18" t="n">
        <v>9200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Su ortak</t>
        </is>
      </c>
      <c r="C10" s="18" t="n">
        <v>3200</v>
      </c>
      <c r="D10" s="18" t="n">
        <v>3100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Bahçe</t>
        </is>
      </c>
      <c r="C11" s="18" t="n">
        <v>2800</v>
      </c>
      <c r="D11" s="18" t="n">
        <v>2500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6000</v>
      </c>
      <c r="D12" s="18" t="n">
        <v>6000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Yönetim ücreti</t>
        </is>
      </c>
      <c r="C13" s="18" t="n">
        <v>7500</v>
      </c>
      <c r="D13" s="18" t="n">
        <v>7500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Küçük onarım</t>
        </is>
      </c>
      <c r="C14" s="18" t="n">
        <v>4000</v>
      </c>
      <c r="D14" s="18" t="n">
        <v>5200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25" t="n">
        <v>46037</v>
      </c>
      <c r="C6" s="23" t="inlineStr">
        <is>
          <t>2026 bütçe onayı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25" t="n">
        <v>46101</v>
      </c>
      <c r="C7" s="23" t="inlineStr">
        <is>
          <t>Asansör ihalesi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25" t="n">
        <v>46152</v>
      </c>
      <c r="C8" s="23" t="inlineStr">
        <is>
          <t>Aidat artışı %8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25" t="n">
        <v>46185</v>
      </c>
      <c r="C9" s="23" t="inlineStr">
        <is>
          <t>Bahçe yenileme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25" t="n">
        <v>46211</v>
      </c>
      <c r="C10" s="23" t="inlineStr">
        <is>
          <t>İcap prosedürü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25" t="n">
        <v>46239</v>
      </c>
      <c r="C11" s="23" t="inlineStr">
        <is>
          <t>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P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4" max="4"/>
    <col width="14" customWidth="1" min="5" max="5"/>
    <col width="12" customWidth="1" min="6" max="6"/>
    <col width="14" customWidth="1" min="7" max="7"/>
    <col width="16" customWidth="1" min="9" max="9"/>
    <col width="14" customWidth="1" min="10" max="10"/>
  </cols>
  <sheetData>
    <row r="1" ht="26" customHeight="1">
      <c r="A1" s="1" t="inlineStr">
        <is>
          <t>PANO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27" t="inlineStr">
        <is>
          <t>Yönetim panosu — kasa, tahsilat, icap, bütçe</t>
        </is>
      </c>
    </row>
    <row r="4">
      <c r="A4" s="12" t="inlineStr">
        <is>
          <t>Karar kapısı</t>
        </is>
      </c>
    </row>
    <row r="5">
      <c r="A5" s="12" t="inlineStr">
        <is>
          <t>Karar</t>
        </is>
      </c>
      <c r="B5" s="28">
        <f>say_kararKapi</f>
        <v/>
      </c>
    </row>
    <row r="7">
      <c r="A7" s="12" t="inlineStr">
        <is>
          <t>Toplam borç</t>
        </is>
      </c>
      <c r="B7" s="29">
        <f>say_toplamBorc</f>
        <v/>
      </c>
      <c r="D7" s="9" t="inlineStr">
        <is>
          <t>Aylık tahsilat trendi</t>
        </is>
      </c>
      <c r="I7" s="16" t="inlineStr">
        <is>
          <t>Senaryo</t>
        </is>
      </c>
    </row>
    <row r="8">
      <c r="A8" s="12" t="inlineStr">
        <is>
          <t>Toplam tahsilat</t>
        </is>
      </c>
      <c r="B8" s="29">
        <f>say_toplamTahsilat</f>
        <v/>
      </c>
      <c r="D8" s="16" t="inlineStr">
        <is>
          <t>Ay</t>
        </is>
      </c>
      <c r="E8" s="16" t="inlineStr">
        <is>
          <t>CanliEndeks</t>
        </is>
      </c>
      <c r="F8" s="16" t="inlineStr">
        <is>
          <t>DemoEndeks</t>
        </is>
      </c>
      <c r="G8" s="16" t="inlineStr">
        <is>
          <t>DemoTutar</t>
        </is>
      </c>
      <c r="I8" s="12" t="inlineStr">
        <is>
          <t>Baz tahsilat</t>
        </is>
      </c>
      <c r="J8" s="15">
        <f>say_toplamTahsilat</f>
        <v/>
      </c>
    </row>
    <row r="9">
      <c r="A9" s="12" t="inlineStr">
        <is>
          <t>Tahsilat oranı</t>
        </is>
      </c>
      <c r="B9" s="30">
        <f>say_tahsilatOrani</f>
        <v/>
      </c>
      <c r="D9" s="12" t="inlineStr">
        <is>
          <t>Ocak</t>
        </is>
      </c>
      <c r="E9" s="15">
        <f>IFERROR(say_toplamTahsilat*say_trendOcak/MAX(say_trendAgustos,1),0)</f>
        <v/>
      </c>
      <c r="F9" s="31" t="n">
        <v>0.78</v>
      </c>
      <c r="G9" s="15" t="n">
        <v>35100</v>
      </c>
      <c r="I9" s="12" t="inlineStr">
        <is>
          <t>İyimser</t>
        </is>
      </c>
      <c r="J9" s="15">
        <f>say_toplamTahsilat*say_senaryoIyimser</f>
        <v/>
      </c>
    </row>
    <row r="10">
      <c r="A10" s="12" t="inlineStr">
        <is>
          <t>Kasa bakiyesi</t>
        </is>
      </c>
      <c r="B10" s="29">
        <f>say_kasaBakiye</f>
        <v/>
      </c>
      <c r="D10" s="12" t="inlineStr">
        <is>
          <t>Şubat</t>
        </is>
      </c>
      <c r="E10" s="15">
        <f>IFERROR(say_toplamTahsilat*say_trendSubat/MAX(say_trendAgustos,1),0)</f>
        <v/>
      </c>
      <c r="F10" s="31" t="n">
        <v>0.8</v>
      </c>
      <c r="G10" s="15" t="n">
        <v>36000</v>
      </c>
      <c r="I10" s="12" t="inlineStr">
        <is>
          <t>Kötümser</t>
        </is>
      </c>
      <c r="J10" s="15">
        <f>say_toplamTahsilat*say_senaryoKotumser</f>
        <v/>
      </c>
    </row>
    <row r="11">
      <c r="A11" s="12" t="inlineStr">
        <is>
          <t>Geciken malik</t>
        </is>
      </c>
      <c r="B11" s="32">
        <f>say_gecikenMalik</f>
        <v/>
      </c>
      <c r="D11" s="12" t="inlineStr">
        <is>
          <t>Mart</t>
        </is>
      </c>
      <c r="E11" s="15">
        <f>IFERROR(say_toplamTahsilat*say_trendMart/MAX(say_trendAgustos,1),0)</f>
        <v/>
      </c>
      <c r="F11" s="31" t="n">
        <v>0.82</v>
      </c>
      <c r="G11" s="15" t="n">
        <v>36900</v>
      </c>
    </row>
    <row r="12">
      <c r="A12" s="12" t="inlineStr">
        <is>
          <t>İcap kuyruk</t>
        </is>
      </c>
      <c r="B12" s="32">
        <f>say_icapKuyruk</f>
        <v/>
      </c>
      <c r="D12" s="12" t="inlineStr">
        <is>
          <t>Nisan</t>
        </is>
      </c>
      <c r="E12" s="15">
        <f>IFERROR(say_toplamTahsilat*say_trendNisan/MAX(say_trendAgustos,1),0)</f>
        <v/>
      </c>
      <c r="F12" s="31" t="n">
        <v>0.85</v>
      </c>
      <c r="G12" s="15" t="n">
        <v>38250</v>
      </c>
      <c r="I12" s="12" t="inlineStr">
        <is>
          <t>Tornado 1 (zam)</t>
        </is>
      </c>
      <c r="J12" s="15">
        <f>say_modulO2</f>
        <v/>
      </c>
    </row>
    <row r="13">
      <c r="A13" s="12" t="inlineStr">
        <is>
          <t>Yetim kayıt</t>
        </is>
      </c>
      <c r="B13" s="32">
        <f>say_yetimKayit</f>
        <v/>
      </c>
      <c r="D13" s="12" t="inlineStr">
        <is>
          <t>Mayıs</t>
        </is>
      </c>
      <c r="E13" s="15">
        <f>IFERROR(say_toplamTahsilat*say_trendMayis/MAX(say_trendAgustos,1),0)</f>
        <v/>
      </c>
      <c r="F13" s="31" t="n">
        <v>0.88</v>
      </c>
      <c r="G13" s="15" t="n">
        <v>39600</v>
      </c>
      <c r="I13" s="12" t="inlineStr">
        <is>
          <t>P90 gecikme</t>
        </is>
      </c>
      <c r="J13" s="33">
        <f>say_modulI2</f>
        <v/>
      </c>
    </row>
    <row r="14">
      <c r="A14" s="12" t="inlineStr">
        <is>
          <t>Geçersiz geçiş</t>
        </is>
      </c>
      <c r="B14" s="32">
        <f>say_gecersizGecis</f>
        <v/>
      </c>
      <c r="D14" s="12" t="inlineStr">
        <is>
          <t>Haziran</t>
        </is>
      </c>
      <c r="E14" s="15">
        <f>IFERROR(say_toplamTahsilat*say_trendHaziran/MAX(say_trendAgustos,1),0)</f>
        <v/>
      </c>
      <c r="F14" s="31" t="n">
        <v>0.9</v>
      </c>
      <c r="G14" s="15" t="n">
        <v>40500</v>
      </c>
    </row>
    <row r="15">
      <c r="A15" s="12" t="inlineStr">
        <is>
          <t>ZİNCİR KIRIK</t>
        </is>
      </c>
      <c r="B15" s="32">
        <f>say_zincirKirik</f>
        <v/>
      </c>
      <c r="D15" s="12" t="inlineStr">
        <is>
          <t>Temmuz</t>
        </is>
      </c>
      <c r="E15" s="15">
        <f>IFERROR(say_toplamTahsilat*say_trendTemmuz/MAX(say_trendAgustos,1),0)</f>
        <v/>
      </c>
      <c r="F15" s="31" t="n">
        <v>0.95</v>
      </c>
      <c r="G15" s="15" t="n">
        <v>42750</v>
      </c>
    </row>
    <row r="16">
      <c r="A16" s="12" t="inlineStr">
        <is>
          <t>Eşleşme oranı</t>
        </is>
      </c>
      <c r="B16" s="30">
        <f>say_eslesmeOrani</f>
        <v/>
      </c>
      <c r="D16" s="12" t="inlineStr">
        <is>
          <t>Ağustos</t>
        </is>
      </c>
      <c r="E16" s="15">
        <f>IFERROR(say_toplamTahsilat*say_trendAgustos/MAX(say_trendAgustos,1),0)</f>
        <v/>
      </c>
      <c r="F16" s="31" t="n">
        <v>1</v>
      </c>
      <c r="G16" s="15" t="n">
        <v>45000</v>
      </c>
    </row>
    <row r="17">
      <c r="A17" s="12" t="inlineStr">
        <is>
          <t>Gider sapması</t>
        </is>
      </c>
      <c r="B17" s="29">
        <f>say_giderSapma</f>
        <v/>
      </c>
      <c r="D17" s="12" t="inlineStr">
        <is>
          <t>Eylül</t>
        </is>
      </c>
      <c r="E17" s="15">
        <f>IFERROR(say_toplamTahsilat*say_trendEylul/MAX(say_trendAgustos,1),0)</f>
        <v/>
      </c>
      <c r="F17" s="31" t="n">
        <v>0.97</v>
      </c>
      <c r="G17" s="15" t="n">
        <v>43650</v>
      </c>
    </row>
    <row r="18">
      <c r="A18" s="12" t="inlineStr">
        <is>
          <t>Veri kalite</t>
        </is>
      </c>
      <c r="B18" s="32">
        <f>say_modulO8</f>
        <v/>
      </c>
      <c r="D18" s="12" t="inlineStr">
        <is>
          <t>Ekim</t>
        </is>
      </c>
      <c r="E18" s="15">
        <f>IFERROR(say_toplamTahsilat*say_trendEkim/MAX(say_trendAgustos,1),0)</f>
        <v/>
      </c>
      <c r="F18" s="31" t="n">
        <v>0.93</v>
      </c>
      <c r="G18" s="15" t="n">
        <v>41850</v>
      </c>
    </row>
    <row r="19">
      <c r="A19" s="12" t="inlineStr">
        <is>
          <t>Kova bütünlük</t>
        </is>
      </c>
      <c r="B19" s="16">
        <f>say_kovaButunluk</f>
        <v/>
      </c>
      <c r="D19" s="12" t="inlineStr">
        <is>
          <t>Kasım</t>
        </is>
      </c>
      <c r="E19" s="15">
        <f>IFERROR(say_toplamTahsilat*say_trendKasim/MAX(say_trendAgustos,1),0)</f>
        <v/>
      </c>
      <c r="F19" s="31" t="n">
        <v>0.9</v>
      </c>
      <c r="G19" s="15" t="n">
        <v>40500</v>
      </c>
    </row>
    <row r="20">
      <c r="A20" s="12" t="inlineStr">
        <is>
          <t>Karar sayısı</t>
        </is>
      </c>
      <c r="B20" s="32">
        <f>say_kararSayisi</f>
        <v/>
      </c>
      <c r="D20" s="12" t="inlineStr">
        <is>
          <t>Aralık</t>
        </is>
      </c>
      <c r="E20" s="15">
        <f>IFERROR(say_toplamTahsilat*say_trendAralik/MAX(say_trendAgustos,1),0)</f>
        <v/>
      </c>
      <c r="F20" s="31" t="n">
        <v>0.88</v>
      </c>
      <c r="G20" s="15" t="n">
        <v>39600</v>
      </c>
    </row>
    <row r="21">
      <c r="A21" s="12" t="inlineStr">
        <is>
          <t>Eşleşen kova</t>
        </is>
      </c>
      <c r="B21" s="32">
        <f>COUNTIF(tblEslesme[Kova],"eslesti")</f>
        <v/>
      </c>
    </row>
    <row r="22">
      <c r="A22" s="12" t="inlineStr">
        <is>
          <t>İcap SUMIF</t>
        </is>
      </c>
      <c r="B22" s="29">
        <f>SUMIF(tblAkis[Durum],"ICAP",tblAkis[Tutar])</f>
        <v/>
      </c>
      <c r="D22" s="16" t="inlineStr">
        <is>
          <t>Etiket</t>
        </is>
      </c>
      <c r="E22" s="16" t="inlineStr">
        <is>
          <t>Adet</t>
        </is>
      </c>
      <c r="I22" s="16" t="inlineStr">
        <is>
          <t>Kalem</t>
        </is>
      </c>
      <c r="J22" s="16" t="inlineStr">
        <is>
          <t>Sapma</t>
        </is>
      </c>
    </row>
    <row r="23">
      <c r="D23" s="12" t="inlineStr">
        <is>
          <t>Kuyruk ACIK</t>
        </is>
      </c>
      <c r="E23" s="26" t="n">
        <v>4</v>
      </c>
      <c r="I23" s="12" t="inlineStr">
        <is>
          <t>Sapma Temizlik</t>
        </is>
      </c>
      <c r="J23" s="15" t="n">
        <v>-500</v>
      </c>
    </row>
    <row r="24">
      <c r="D24" s="12" t="inlineStr">
        <is>
          <t>Kuyruk HATIRLATMA</t>
        </is>
      </c>
      <c r="E24" s="26" t="n">
        <v>5</v>
      </c>
      <c r="I24" s="12" t="inlineStr">
        <is>
          <t>Sapma Güvenlik</t>
        </is>
      </c>
      <c r="J24" s="15" t="n">
        <v>200</v>
      </c>
    </row>
    <row r="25">
      <c r="D25" s="12" t="inlineStr">
        <is>
          <t>Kuyruk ICAP</t>
        </is>
      </c>
      <c r="E25" s="26" t="n">
        <v>5</v>
      </c>
      <c r="I25" s="12" t="inlineStr">
        <is>
          <t>Sapma Asansör bakım</t>
        </is>
      </c>
      <c r="J25" s="15" t="n">
        <v>300</v>
      </c>
    </row>
    <row r="26">
      <c r="D26" s="12" t="inlineStr">
        <is>
          <t>Kuyruk TAHSIL</t>
        </is>
      </c>
      <c r="E26" s="26" t="n">
        <v>4</v>
      </c>
      <c r="I26" s="12" t="inlineStr">
        <is>
          <t>Sapma Elektrik ortak</t>
        </is>
      </c>
      <c r="J26" s="15" t="n">
        <v>700</v>
      </c>
    </row>
    <row r="27">
      <c r="I27" s="12" t="inlineStr">
        <is>
          <t>Sapma Su ortak</t>
        </is>
      </c>
      <c r="J27" s="15" t="n">
        <v>-100</v>
      </c>
    </row>
    <row r="28">
      <c r="I28" s="12" t="inlineStr">
        <is>
          <t>Sapma Bahçe</t>
        </is>
      </c>
      <c r="J28" s="15" t="n">
        <v>-300</v>
      </c>
    </row>
    <row r="30">
      <c r="I30" s="16" t="inlineStr">
        <is>
          <t>Senaryo</t>
        </is>
      </c>
      <c r="J30" s="16" t="inlineStr">
        <is>
          <t>Tutar</t>
        </is>
      </c>
    </row>
    <row r="31">
      <c r="I31" s="12" t="inlineStr">
        <is>
          <t>Kötümser</t>
        </is>
      </c>
      <c r="J31" s="15" t="n">
        <v>38250</v>
      </c>
    </row>
    <row r="32">
      <c r="I32" s="12" t="inlineStr">
        <is>
          <t>Baz</t>
        </is>
      </c>
      <c r="J32" s="15" t="n">
        <v>45000</v>
      </c>
    </row>
    <row r="33">
      <c r="I33" s="12" t="inlineStr">
        <is>
          <t>İyimser</t>
        </is>
      </c>
      <c r="J33" s="15" t="n">
        <v>48600</v>
      </c>
    </row>
    <row r="38">
      <c r="D38" s="16" t="inlineStr">
        <is>
          <t>Metrik</t>
        </is>
      </c>
      <c r="E38" s="16" t="inlineStr">
        <is>
          <t>Deger</t>
        </is>
      </c>
    </row>
    <row r="39">
      <c r="D39" s="12" t="inlineStr">
        <is>
          <t>Tahsilat</t>
        </is>
      </c>
      <c r="E39" s="14" t="n">
        <v>0.88</v>
      </c>
    </row>
    <row r="40">
      <c r="D40" s="12" t="inlineStr">
        <is>
          <t>Eşleşme</t>
        </is>
      </c>
      <c r="E40" s="14" t="n">
        <v>0.75</v>
      </c>
    </row>
    <row r="41">
      <c r="D41" s="12" t="inlineStr">
        <is>
          <t>Kalite</t>
        </is>
      </c>
      <c r="E41" s="14" t="n">
        <v>0.82</v>
      </c>
    </row>
    <row r="44">
      <c r="D44" s="16" t="inlineStr">
        <is>
          <t>Uyarı</t>
        </is>
      </c>
      <c r="E44" s="16" t="inlineStr">
        <is>
          <t>Adet</t>
        </is>
      </c>
      <c r="I44" s="16" t="inlineStr">
        <is>
          <t>Organ</t>
        </is>
      </c>
      <c r="J44" s="16" t="inlineStr">
        <is>
          <t>Adet</t>
        </is>
      </c>
    </row>
    <row r="45">
      <c r="D45" s="12" t="inlineStr">
        <is>
          <t>Yetim</t>
        </is>
      </c>
      <c r="E45" s="26" t="n">
        <v>1</v>
      </c>
      <c r="I45" s="12" t="inlineStr">
        <is>
          <t>YK</t>
        </is>
      </c>
      <c r="J45" s="26" t="n">
        <v>4</v>
      </c>
    </row>
    <row r="46">
      <c r="D46" s="12" t="inlineStr">
        <is>
          <t>Geçersiz</t>
        </is>
      </c>
      <c r="E46" s="26" t="n">
        <v>1</v>
      </c>
      <c r="I46" s="12" t="inlineStr">
        <is>
          <t>GK</t>
        </is>
      </c>
      <c r="J46" s="26" t="n">
        <v>2</v>
      </c>
    </row>
    <row r="47">
      <c r="D47" s="12" t="inlineStr">
        <is>
          <t>Zincir</t>
        </is>
      </c>
      <c r="E47" s="26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9">
    <cfRule type="cellIs" priority="5" operator="lessThan" dxfId="3">
      <formula>GIRDI!B9</formula>
    </cfRule>
  </conditionalFormatting>
  <conditionalFormatting sqref="B13">
    <cfRule type="cellIs" priority="6" operator="greaterThan" dxfId="4">
      <formula>0</formula>
    </cfRule>
  </conditionalFormatting>
  <conditionalFormatting sqref="B14">
    <cfRule type="cellIs" priority="7" operator="greaterThan" dxfId="4">
      <formula>0</formula>
    </cfRule>
  </conditionalFormatting>
  <conditionalFormatting sqref="B15">
    <cfRule type="cellIs" priority="8" operator="greaterThan" dxfId="0">
      <formula>0</formula>
    </cfRule>
  </conditionalFormatting>
  <conditionalFormatting sqref="B18">
    <cfRule type="cellIs" priority="9" operator="lessThan" dxfId="3">
      <formula>70</formula>
    </cfRule>
    <cfRule type="cellIs" priority="10" operator="greaterThanOrEqual" dxfId="2">
      <formula>85</formula>
    </cfRule>
  </conditionalFormatting>
  <conditionalFormatting sqref="B11">
    <cfRule type="cellIs" priority="11" operator="greaterThan" dxfId="3">
      <formula>3</formula>
    </cfRule>
  </conditionalFormatting>
  <conditionalFormatting sqref="B12">
    <cfRule type="cellIs" priority="12" operator="greaterThan" dxfId="3">
      <formula>2</formula>
    </cfRule>
  </conditionalFormatting>
  <conditionalFormatting sqref="B16">
    <cfRule type="cellIs" priority="13" operator="lessThan" dxfId="3">
      <formula>0.8</formula>
    </cfRule>
  </conditionalFormatting>
  <conditionalFormatting sqref="B17">
    <cfRule type="cellIs" priority="14" operator="greaterThan" dxfId="4">
      <formula>5000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&amp;LSite/Apartman Yönetim Sistemi | PANO | 1.0.0&amp;CExcelArşiv&amp;RSayfa &amp;P / &amp;N</oddFooter>
    <evenHeader/>
    <evenFooter>&amp;LSite/Apartman Yönetim Sistemi | PANO | 1.0.0&amp;CExcelArşiv&amp;RSayfa &amp;P / &amp;N</evenFooter>
    <firstHeader/>
    <firstFooter/>
  </headerFooter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say_kararKapi</f>
        <v/>
      </c>
    </row>
    <row r="6">
      <c r="A6" s="12" t="inlineStr">
        <is>
          <t>Gerekçe</t>
        </is>
      </c>
      <c r="B6" s="11">
        <f>say_kararGerekce</f>
        <v/>
      </c>
    </row>
    <row r="8">
      <c r="A8" s="12" t="inlineStr">
        <is>
          <t>Tahsilat oranı</t>
        </is>
      </c>
      <c r="B8" s="14">
        <f>say_tahsilatOrani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say_zincirKirik</f>
        <v/>
      </c>
    </row>
    <row r="11">
      <c r="A11" s="12" t="inlineStr">
        <is>
          <t>Yetim</t>
        </is>
      </c>
      <c r="B11" s="26">
        <f>say_yetimKayit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say_modulT1</f>
        <v/>
      </c>
      <c r="C14" s="11">
        <f>say_modulT1Yorum</f>
        <v/>
      </c>
    </row>
    <row r="15">
      <c r="A15" s="12" t="inlineStr">
        <is>
          <t>T2 Trend Ağustos</t>
        </is>
      </c>
      <c r="B15" s="31">
        <f>say_modulT2</f>
        <v/>
      </c>
      <c r="C15" s="11">
        <f>say_modulT2Yorum</f>
        <v/>
      </c>
    </row>
    <row r="16">
      <c r="A16" s="12" t="inlineStr">
        <is>
          <t>O1 Geciken</t>
        </is>
      </c>
      <c r="B16" s="26">
        <f>say_modulO1</f>
        <v/>
      </c>
      <c r="C16" s="11">
        <f>say_modulO1Yorum</f>
        <v/>
      </c>
    </row>
    <row r="17">
      <c r="A17" s="12" t="inlineStr">
        <is>
          <t>O2 Tornado</t>
        </is>
      </c>
      <c r="B17" s="15">
        <f>say_modulO2</f>
        <v/>
      </c>
      <c r="C17" s="11">
        <f>say_modulO2Yorum</f>
        <v/>
      </c>
    </row>
    <row r="18">
      <c r="A18" s="12" t="inlineStr">
        <is>
          <t>O3 Senaryo bandı</t>
        </is>
      </c>
      <c r="B18" s="15">
        <f>say_modulO3</f>
        <v/>
      </c>
      <c r="C18" s="11">
        <f>say_modulO3Yorum</f>
        <v/>
      </c>
    </row>
    <row r="19">
      <c r="A19" s="12" t="inlineStr">
        <is>
          <t>O6 Gider HHI</t>
        </is>
      </c>
      <c r="B19" s="31">
        <f>say_modulO6</f>
        <v/>
      </c>
      <c r="C19" s="11">
        <f>say_modulO6Yorum</f>
        <v/>
      </c>
    </row>
    <row r="20">
      <c r="A20" s="12" t="inlineStr">
        <is>
          <t>O8 Kalite</t>
        </is>
      </c>
      <c r="B20" s="26">
        <f>say_modulO8</f>
        <v/>
      </c>
      <c r="C20" s="11">
        <f>say_modulO8Yorum</f>
        <v/>
      </c>
    </row>
    <row r="21">
      <c r="A21" s="12" t="inlineStr">
        <is>
          <t>I1 Tahmin</t>
        </is>
      </c>
      <c r="B21" s="15">
        <f>say_modulI1</f>
        <v/>
      </c>
      <c r="C21" s="11">
        <f>say_modulI1Yorum</f>
        <v/>
      </c>
    </row>
    <row r="22">
      <c r="A22" s="12" t="inlineStr">
        <is>
          <t>I2 P90</t>
        </is>
      </c>
      <c r="B22" s="33">
        <f>say_modulI2</f>
        <v/>
      </c>
      <c r="C22" s="11">
        <f>say_modulI2Yorum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10" t="inlineStr">
        <is>
          <t>GENEL KURUL / DENETİM KANIT RAPORU</t>
        </is>
      </c>
    </row>
    <row r="3">
      <c r="A3" s="12" t="inlineStr">
        <is>
          <t>Ürün: Site/Apartman Yönetim Sistemi · Sürüm 1.0.0</t>
        </is>
      </c>
    </row>
    <row r="4">
      <c r="A4" s="12" t="inlineStr">
        <is>
          <t>Rapor tarihi</t>
        </is>
      </c>
      <c r="B4" s="35">
        <f>raporTarihi</f>
        <v/>
      </c>
    </row>
    <row r="5">
      <c r="A5" s="12" t="inlineStr">
        <is>
          <t>Site</t>
        </is>
      </c>
      <c r="B5" s="12">
        <f>GIRDI!B5</f>
        <v/>
      </c>
    </row>
    <row r="6">
      <c r="A6" s="12" t="inlineStr">
        <is>
          <t>Karar</t>
        </is>
      </c>
      <c r="B6" s="16">
        <f>say_kararKapi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say_toplamBorc</f>
        <v/>
      </c>
    </row>
    <row r="10">
      <c r="A10" s="12" t="inlineStr">
        <is>
          <t>Toplam tahsilat</t>
        </is>
      </c>
      <c r="B10" s="15">
        <f>say_toplamTahsilat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  <row r="13">
      <c r="A13" s="12" t="inlineStr">
        <is>
          <t>Gider sapması</t>
        </is>
      </c>
      <c r="B13" s="15">
        <f>say_giderSapma</f>
        <v/>
      </c>
    </row>
    <row r="14">
      <c r="A14" s="12" t="inlineStr">
        <is>
          <t>İcap kuyruk</t>
        </is>
      </c>
      <c r="B14" s="26">
        <f>say_icapKuyruk</f>
        <v/>
      </c>
    </row>
    <row r="16">
      <c r="A16" s="16" t="inlineStr">
        <is>
          <t>Varsayımlar</t>
        </is>
      </c>
    </row>
    <row r="17">
      <c r="A17" s="11" t="inlineStr">
        <is>
          <t>Gecikme zammı oranı AYARLAR.say_gecikmeZammi (KMK md.20 çerçevesi). Bu çıktı hukuki tavsiye değildir; karar destek kanıtıdır.</t>
        </is>
      </c>
    </row>
    <row r="18"/>
    <row r="20">
      <c r="A20" s="16" t="inlineStr">
        <is>
          <t>İmza — Yönetici</t>
        </is>
      </c>
      <c r="C20" s="16" t="inlineStr">
        <is>
          <t>İmza — Denetçi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&amp;LSite/Apartman Yönetim Sistemi — Genel Kurul Kanıt Raporu&amp;CExcelArşiv&amp;RSayfa &amp;P / &amp;N</oddFooter>
    <evenHeader/>
    <evenFooter>&amp;LSite/Apartman Yönetim Sistemi — Genel Kurul Kanıt Raporu&amp;CExcelArşiv&amp;RSayfa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5" t="inlineStr">
        <is>
          <t>Çalışma kitabı sağlık paneli</t>
        </is>
      </c>
    </row>
    <row r="5">
      <c r="A5" s="12" t="inlineStr">
        <is>
          <t>Paydaş dolu mu?</t>
        </is>
      </c>
      <c r="B5" s="12">
        <f>IF(COUNTA(tblPaydas[MalikId])=0,"BOŞ","DOLU")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say_kovaButunluk</f>
        <v/>
      </c>
    </row>
    <row r="9">
      <c r="A9" s="12" t="inlineStr">
        <is>
          <t>Yetim var mı?</t>
        </is>
      </c>
      <c r="B9" s="12">
        <f>IF(say_yetimKayit&gt;0,"HATALI","TEMİZ")</f>
        <v/>
      </c>
    </row>
    <row r="10">
      <c r="A10" s="12" t="inlineStr">
        <is>
          <t>Geçersiz geçiş</t>
        </is>
      </c>
      <c r="B10" s="12">
        <f>IF(say_gecersizGecis&gt;0,"HATALI","TEMİZ")</f>
        <v/>
      </c>
    </row>
    <row r="11">
      <c r="A11" s="12" t="inlineStr">
        <is>
          <t>Zincir kırık</t>
        </is>
      </c>
      <c r="B11" s="12">
        <f>IF(say_zincirKirik&gt;0,"ALARM","TEMİZ")</f>
        <v/>
      </c>
    </row>
    <row r="12">
      <c r="A12" s="12" t="inlineStr">
        <is>
          <t>Karar kapısı</t>
        </is>
      </c>
      <c r="B12" s="12">
        <f>say_kararKapi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9" t="inlineStr">
        <is>
          <t>Demo veri özeti — üretim örnekleri</t>
        </is>
      </c>
    </row>
    <row r="5">
      <c r="A5" s="12" t="inlineStr">
        <is>
          <t>Malik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10">
      <c r="A10" s="4" t="inlineStr">
        <is>
          <t>Not: Sarı hücrelere kendi site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25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say_toplamBorc</t>
        </is>
      </c>
      <c r="N7" s="15">
        <f>SUMIF(tblDonem[BorcId],"&lt;&gt;",tblDonem[ToplamBorc])</f>
        <v/>
      </c>
    </row>
    <row r="8">
      <c r="A8" s="12" t="inlineStr">
        <is>
          <t>say_gecikmeZammi</t>
        </is>
      </c>
      <c r="B8" s="19" t="n">
        <v>0.05</v>
      </c>
      <c r="C8" s="12" t="inlineStr">
        <is>
          <t>oran</t>
        </is>
      </c>
      <c r="D8" s="12" t="inlineStr">
        <is>
          <t>KMK md.20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say_toplamTahsilat</t>
        </is>
      </c>
      <c r="N8" s="15">
        <f>SUMIF(tblTahsilat[OdemeId],"&lt;&gt;",tblTahsilat[OdemeTutari])</f>
        <v/>
      </c>
    </row>
    <row r="9">
      <c r="A9" s="12" t="inlineStr">
        <is>
          <t>say_icapEsikGun</t>
        </is>
      </c>
      <c r="B9" s="17" t="n">
        <v>30</v>
      </c>
      <c r="C9" s="12" t="inlineStr">
        <is>
          <t>gun</t>
        </is>
      </c>
      <c r="D9" s="12" t="inlineStr">
        <is>
          <t>KMK md.20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say_tahsilatOrani</t>
        </is>
      </c>
      <c r="N9" s="14">
        <f>IF(say_toplamBorc=0,0,say_toplamTahsilat/say_toplamBorc)</f>
        <v/>
      </c>
    </row>
    <row r="10">
      <c r="A10" s="12" t="inlineStr">
        <is>
          <t>say_esikFark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say_kasaBakiye</t>
        </is>
      </c>
      <c r="N10" s="15">
        <f>say_toplamTahsilat-SUMIF(tblGider[GiderId],"&lt;&gt;",tblGider[Gerceklesen])</f>
        <v/>
      </c>
    </row>
    <row r="11">
      <c r="A11" s="12" t="inlineStr">
        <is>
          <t>say_ikincilUzunluk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say_gecikenMalik</t>
        </is>
      </c>
      <c r="N11" s="26">
        <f>COUNTIFS(tblPaydas[Bakiye],"&gt;0",tblPaydas[Aktif],"EVET")</f>
        <v/>
      </c>
    </row>
    <row r="12">
      <c r="A12" s="12" t="inlineStr">
        <is>
          <t>say_hedefTahsilat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say_icapKuyruk</t>
        </is>
      </c>
      <c r="N12" s="26">
        <f>COUNTIF(tblAkis[Durum],"ICAP")+COUNTIF(tblAkis[Durum],"HATIRLATMA")</f>
        <v/>
      </c>
    </row>
    <row r="13">
      <c r="A13" s="12" t="inlineStr">
        <is>
          <t>say_senaryoIyimser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say_yetimKayit</t>
        </is>
      </c>
      <c r="N13" s="26">
        <f>COUNTIF(tblAkis[YetimBayrak],"YETİM")</f>
        <v/>
      </c>
    </row>
    <row r="14">
      <c r="A14" s="12" t="inlineStr">
        <is>
          <t>say_senaryoKotumser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say_gecersizGecis</t>
        </is>
      </c>
      <c r="N14" s="26">
        <f>COUNTIF(tblAkis[GecisUyarisi],"GEÇERSİZ GEÇİŞ")</f>
        <v/>
      </c>
    </row>
    <row r="15">
      <c r="A15" s="12" t="inlineStr">
        <is>
          <t>say_fiyatModeli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say_zincirKirik</t>
        </is>
      </c>
      <c r="N15" s="26">
        <f>COUNTIF(tblAkis[ZincirBayrak],"ZİNCİR KIRIK")</f>
        <v/>
      </c>
    </row>
    <row r="16">
      <c r="A16" s="12" t="inlineStr">
        <is>
          <t>say_olcekHedef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say_eslesmeOrani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say_trendOcak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say_giderSapma</t>
        </is>
      </c>
      <c r="N17" s="15">
        <f>SUMIF(tblGider[GiderId],"&lt;&gt;",tblGider[Sapma])</f>
        <v/>
      </c>
    </row>
    <row r="18">
      <c r="A18" s="12" t="inlineStr">
        <is>
          <t>say_trendSubat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say_kararSayisi</t>
        </is>
      </c>
      <c r="N18" s="26">
        <f>COUNTA(tblKararlar[KararId])</f>
        <v/>
      </c>
    </row>
    <row r="19">
      <c r="A19" s="12" t="inlineStr">
        <is>
          <t>say_trendMart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say_kovaButunluk</t>
        </is>
      </c>
      <c r="N19" s="12">
        <f>ESLESTIRME!C2</f>
        <v/>
      </c>
    </row>
    <row r="20">
      <c r="A20" s="12" t="inlineStr">
        <is>
          <t>say_trendNisan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say_kararKapi</t>
        </is>
      </c>
      <c r="N20" s="12">
        <f>IF(COUNTA(tblDonem[BorcId])=0,"VERİ YOK",IF(OR(say_tahsilatOrani&lt;say_hedefTahsilat*say_kritikCarpan,say_zincirKirik&gt;0),"KRİTİK",IF(OR(say_tahsilatOrani&lt;say_hedefTahsilat,say_yetimKayit&gt;0,say_gecersizGecis&gt;0),"DİKKAT","UYGUN")))</f>
        <v/>
      </c>
    </row>
    <row r="21">
      <c r="A21" s="12" t="inlineStr">
        <is>
          <t>say_trendMayis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say_kararGerekce</t>
        </is>
      </c>
      <c r="N21" s="12">
        <f>IF(say_kararKapi="VERİ YOK","Borç satırı yok — veri girin",IF(say_kararKapi="KRİTİK","Tahsilat oranı kritik veya ZİNCİR KIRIK var",IF(say_kararKapi="DİKKAT","Hedef altı tahsilat veya yetim/geçersiz geçiş","Tahsilat ve akış eşikleri içinde")))</f>
        <v/>
      </c>
    </row>
    <row r="22">
      <c r="A22" s="12" t="inlineStr">
        <is>
          <t>say_trendHaziran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say_normAnahtar</t>
        </is>
      </c>
      <c r="N22" s="26">
        <f>COUNTA(tblAnahtarA[Norm])</f>
        <v/>
      </c>
    </row>
    <row r="23">
      <c r="A23" s="12" t="inlineStr">
        <is>
          <t>say_trendTemmuz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say_tanimsizKova</t>
        </is>
      </c>
      <c r="N23" s="26">
        <f>COUNTIF(tblKok[NedenKodu],"TANIMSIZ")</f>
        <v/>
      </c>
    </row>
    <row r="24">
      <c r="A24" s="12" t="inlineStr">
        <is>
          <t>say_trendAgustos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say_durumHaritasi</t>
        </is>
      </c>
      <c r="N24" s="26">
        <f>COUNTA(AYARLAR!G6:G10)</f>
        <v/>
      </c>
    </row>
    <row r="25">
      <c r="A25" s="12" t="inlineStr">
        <is>
          <t>say_trendEylul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say_kanitRaporu</t>
        </is>
      </c>
      <c r="N25" s="26">
        <f>IF(say_kararSayisi&gt;0,1,)</f>
        <v/>
      </c>
    </row>
    <row r="26">
      <c r="A26" s="12" t="inlineStr">
        <is>
          <t>say_trendEkim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say_kapaliDusum</t>
        </is>
      </c>
      <c r="N26" s="26">
        <f>COUNTIF(tblAkis[Durum],"TAHSIL")+COUNTIF(tblAkis[Durum],"KAPALI")</f>
        <v/>
      </c>
    </row>
    <row r="27">
      <c r="A27" s="12" t="inlineStr">
        <is>
          <t>say_trendKasim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say_modulT1</t>
        </is>
      </c>
      <c r="N27" s="14">
        <f>say_tahsilatOrani</f>
        <v/>
      </c>
    </row>
    <row r="28">
      <c r="A28" s="12" t="inlineStr">
        <is>
          <t>say_trendAralik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say_modulT1Yorum</t>
        </is>
      </c>
      <c r="N28" s="12">
        <f>"Tahsilat oranı: "&amp;TEXT(say_modulT1,"0.0%")</f>
        <v/>
      </c>
    </row>
    <row r="29">
      <c r="M29" s="12" t="inlineStr">
        <is>
          <t>say_modulT2</t>
        </is>
      </c>
      <c r="N29" s="31">
        <f>say_trendAgustos</f>
        <v/>
      </c>
    </row>
    <row r="30">
      <c r="M30" s="12" t="inlineStr">
        <is>
          <t>say_modulT2Yorum</t>
        </is>
      </c>
      <c r="N30" s="12">
        <f>"Ağustos trend endeksi "&amp;TEXT(say_modulT2,"0.00")</f>
        <v/>
      </c>
    </row>
    <row r="31">
      <c r="M31" s="12" t="inlineStr">
        <is>
          <t>say_modulO1</t>
        </is>
      </c>
      <c r="N31" s="26">
        <f>say_gecikenMalik</f>
        <v/>
      </c>
    </row>
    <row r="32">
      <c r="M32" s="12" t="inlineStr">
        <is>
          <t>say_modulO1Yorum</t>
        </is>
      </c>
      <c r="N32" s="12">
        <f>"Geciken aktif malik: "&amp;say_modulO1</f>
        <v/>
      </c>
    </row>
    <row r="33">
      <c r="M33" s="12" t="inlineStr">
        <is>
          <t>say_modulO2</t>
        </is>
      </c>
      <c r="N33" s="15">
        <f>say_toplamBorc*say_gecikmeZammi</f>
        <v/>
      </c>
    </row>
    <row r="34">
      <c r="M34" s="12" t="inlineStr">
        <is>
          <t>say_modulO2Yorum</t>
        </is>
      </c>
      <c r="N34" s="12">
        <f>"Tornado: gecikme zammı etkisi"</f>
        <v/>
      </c>
    </row>
    <row r="35">
      <c r="M35" s="12" t="inlineStr">
        <is>
          <t>say_modulO3</t>
        </is>
      </c>
      <c r="N35" s="15">
        <f>say_toplamTahsilat*(say_senaryoIyimser-say_senaryoKotumser)</f>
        <v/>
      </c>
    </row>
    <row r="36">
      <c r="M36" s="12" t="inlineStr">
        <is>
          <t>say_modulO3Yorum</t>
        </is>
      </c>
      <c r="N36" s="12">
        <f>"Senaryo bandı genişliği"</f>
        <v/>
      </c>
    </row>
    <row r="37">
      <c r="M37" s="12" t="inlineStr">
        <is>
          <t>say_modulO6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say_modulO6Yorum</t>
        </is>
      </c>
      <c r="N38" s="12">
        <f>"Gider yoğunlaşma vekili"</f>
        <v/>
      </c>
    </row>
    <row r="39">
      <c r="M39" s="12" t="inlineStr">
        <is>
          <t>say_modulO8</t>
        </is>
      </c>
      <c r="N39" s="26">
        <f>IF(COUNTA(tblDonem[BorcId])=0,0,ROUND(100*(1-(say_yetimKayit+say_gecersizGecis+say_zincirKirik)/10),0))</f>
        <v/>
      </c>
    </row>
    <row r="40">
      <c r="M40" s="12" t="inlineStr">
        <is>
          <t>say_modulO8Yorum</t>
        </is>
      </c>
      <c r="N40" s="12">
        <f>"Veri kalite skoru 0-100"</f>
        <v/>
      </c>
    </row>
    <row r="41">
      <c r="M41" s="12" t="inlineStr">
        <is>
          <t>say_modulI1</t>
        </is>
      </c>
      <c r="N41" s="15">
        <f>say_toplamTahsilat*say_trendEylul</f>
        <v/>
      </c>
    </row>
    <row r="42">
      <c r="M42" s="12" t="inlineStr">
        <is>
          <t>say_modulI1Yorum</t>
        </is>
      </c>
      <c r="N42" s="12">
        <f>"Sonraki ay tahmin (Eylül endeksi)"</f>
        <v/>
      </c>
    </row>
    <row r="43">
      <c r="M43" s="12" t="inlineStr">
        <is>
          <t>say_modulI2</t>
        </is>
      </c>
      <c r="N43" s="33">
        <f>IFERROR(PERCENTILE(tblDonem[GecikmeGun],0.9),0)</f>
        <v/>
      </c>
    </row>
    <row r="44">
      <c r="M44" s="12" t="inlineStr">
        <is>
          <t>say_modulI2Yorum</t>
        </is>
      </c>
      <c r="N44" s="12">
        <f>"Gecikme günü P90"</f>
        <v/>
      </c>
    </row>
    <row r="45">
      <c r="M45" s="12" t="inlineStr">
        <is>
          <t>say_kvkkBeyani</t>
        </is>
      </c>
      <c r="N45" s="26" t="n">
        <v>1</v>
      </c>
    </row>
    <row r="46">
      <c r="M46" s="12" t="inlineStr">
        <is>
          <t>say_kritikCarpan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Site/Apartman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0" t="inlineStr">
        <is>
          <t>Kullanım kılavuzu</t>
        </is>
      </c>
    </row>
    <row r="5">
      <c r="A5" s="11" t="inlineStr">
        <is>
          <t>1. GIRDI: Site adı, dönem, aidat tabanı ve hedefleri sarı hücrelere yazın.</t>
        </is>
      </c>
    </row>
    <row r="6">
      <c r="A6" s="11" t="inlineStr">
        <is>
          <t>2. PAYDASLAR: Her malik için benzersiz MalikId kullanın.</t>
        </is>
      </c>
    </row>
    <row r="7">
      <c r="A7" s="11" t="inlineStr">
        <is>
          <t>3. DONEMLER: Aylık borçlandırma; gecikme zammı AYARLAR.say_gecikmeZammi ile hesaplanır.</t>
        </is>
      </c>
    </row>
    <row r="8">
      <c r="A8" s="11" t="inlineStr">
        <is>
          <t>4. TAHSILAT: Ödemeleri malik+dönem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Bütçe sapması ve genel kurul kararlarını kaydedin.</t>
        </is>
      </c>
    </row>
    <row r="11">
      <c r="A11" s="11" t="inlineStr">
        <is>
          <t>7. PANO / KARAR / RAPOR: Yönetim özeti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KMK çerçevesinde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H9"/>
    <mergeCell ref="A12:H12"/>
    <mergeCell ref="A1:J1"/>
    <mergeCell ref="A7:H7"/>
    <mergeCell ref="A10:H10"/>
    <mergeCell ref="A13:H13"/>
    <mergeCell ref="A11:H11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2026-08-11T18:45:24Z</dcterms:created>
  <dcterms:modified xsi:type="dcterms:W3CDTF">2026-08-11T18:45:24Z</dcterms:modified>
</cp:coreProperties>
</file>