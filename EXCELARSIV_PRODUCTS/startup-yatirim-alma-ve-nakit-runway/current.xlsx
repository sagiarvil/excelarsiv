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72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</fonts>
  <fills count="4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20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5"/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1.5" customWidth="1" min="2" max="2"/>
    <col width="15" customWidth="1" min="3" max="3"/>
    <col width="15.5" customWidth="1" min="4" max="4"/>
    <col width="36.5" customWidth="1" min="5" max="5"/>
    <col width="18" customWidth="1" min="6" max="6"/>
    <col width="15.5" customWidth="1" min="7" max="7"/>
    <col width="75.5" customWidth="1" min="8" max="8"/>
    <col width="15" customWidth="1" min="9" max="9"/>
    <col width="15.5" customWidth="1" min="10" max="10"/>
    <col width="79.5" customWidth="1" min="11" max="11"/>
    <col width="18" customWidth="1" min="12" max="12"/>
    <col width="18" customWidth="1" min="13" max="13"/>
    <col width="13" customWidth="1" min="14" max="14"/>
  </cols>
  <sheetData>
    <row r="1">
      <c r="A1" s="62" t="inlineStr">
        <is>
          <t>☰ PANO</t>
        </is>
      </c>
    </row>
    <row r="2">
      <c r="B2" s="78" t="inlineStr">
        <is>
          <t>STARTUP YATIRIM ALMA VE NAKIT RUNWAY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Hedef Kullanıcı: Yönetim Kurulu, CFO, Finans Yöneticisi, SMMM · 2026 Q3 Denetim Standardı</t>
        </is>
      </c>
    </row>
    <row r="4"/>
    <row r="5">
      <c r="B5" s="82" t="inlineStr">
        <is>
          <t>TOPLAM NAKİT HAVUZU</t>
        </is>
      </c>
      <c r="C5" s="83" t="n"/>
      <c r="D5" s="84" t="inlineStr">
        <is>
          <t>4 HESAP</t>
        </is>
      </c>
      <c r="E5" s="85" t="inlineStr">
        <is>
          <t>BU AY ÖDENECEK ÇIKIŞ</t>
        </is>
      </c>
      <c r="F5" s="83" t="n"/>
      <c r="G5" s="86" t="inlineStr">
        <is>
          <t>VADE: 4 GÜN</t>
        </is>
      </c>
      <c r="H5" s="82" t="inlineStr">
        <is>
          <t>NET SERBEST LİKİDİTE</t>
        </is>
      </c>
      <c r="I5" s="83" t="n"/>
      <c r="J5" s="87" t="inlineStr">
        <is>
          <t>GÜVENLİ</t>
        </is>
      </c>
      <c r="K5" s="88" t="inlineStr">
        <is>
          <t>DSCR / NAKİT DÖNGÜSÜ</t>
        </is>
      </c>
      <c r="L5" s="83" t="n"/>
      <c r="M5" s="84" t="inlineStr">
        <is>
          <t>EŞİK: 1.30x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171">
        <f>GİRDİLER!E17</f>
        <v/>
      </c>
      <c r="C7" s="83" t="n"/>
      <c r="D7" s="83" t="n"/>
      <c r="E7" s="172">
        <f>B7*0.22</f>
        <v/>
      </c>
      <c r="F7" s="83" t="n"/>
      <c r="G7" s="83" t="n"/>
      <c r="H7" s="171">
        <f>B7-E7</f>
        <v/>
      </c>
      <c r="I7" s="83" t="n"/>
      <c r="J7" s="83" t="n"/>
      <c r="K7" s="94">
        <f>EĞER(E7&gt;0; YUVARLA(B7/E7; 2); 0)</f>
        <v/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canlı veri bağlantısı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%78.0 NET MARJ</t>
        </is>
      </c>
      <c r="I9" s="83" t="n"/>
      <c r="J9" s="83" t="n"/>
      <c r="K9" s="97" t="inlineStr">
        <is>
          <t>✓ İDEAL karşılama rasyosu</t>
        </is>
      </c>
      <c r="L9" s="83" t="n"/>
      <c r="M9" s="83" t="n"/>
    </row>
    <row r="10"/>
    <row r="11">
      <c r="B11" s="76" t="inlineStr">
        <is>
          <t>STARTUP YATIRIM ALMA VE NAKIT RUNWAY — DÖNEMSEL İCRA VE PROJEKSİYON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Hacim vs. Operasyonel Maliyet ve Net Kâr Eğilimi</t>
        </is>
      </c>
      <c r="H12" s="75" t="inlineStr">
        <is>
          <t>Anlık Hesaplama Sonuçları, Dinamik Formül Çıktıları ve Durum Puanlaması</t>
        </is>
      </c>
    </row>
    <row r="13"/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Dönemlik Kümülatif Bakiye</t>
        </is>
      </c>
      <c r="I15" s="173">
        <f>B7*0.45</f>
        <v/>
      </c>
      <c r="J15" s="174">
        <f>B7*0.05</f>
        <v/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Eşik Güvenlik Tamponu</t>
        </is>
      </c>
      <c r="I16" s="173">
        <f>B7*0.30</f>
        <v/>
      </c>
      <c r="J16" s="174">
        <f>B7*0.03</f>
        <v/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Operasyonel Net Fark</t>
        </is>
      </c>
      <c r="I17" s="173">
        <f>B7*0.15</f>
        <v/>
      </c>
      <c r="J17" s="174">
        <f>B7*0.02</f>
        <v/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Rezerv ve Likit Dağılım</t>
        </is>
      </c>
      <c r="I18" s="173">
        <f>B7*0.10</f>
        <v/>
      </c>
      <c r="J18" s="174">
        <f>B7*0.01</f>
        <v/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75">
        <f>TOPLA(I15:I18)</f>
        <v/>
      </c>
      <c r="J19" s="176">
        <f>TOPLA(J15:J18)</f>
        <v/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1"/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LİKİDİTE OPTİMİZASYON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Atıl kalan nakit rezervinin değerlendirilmesiyle ek finansal getiri imkanı.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G26" s="183" t="n"/>
      <c r="H26" s="183" t="n"/>
      <c r="I26" s="184" t="n"/>
      <c r="K26" s="119" t="inlineStr">
        <is>
          <t>FONLAMA SENARYOSUNU İNCELE &gt;</t>
        </is>
      </c>
    </row>
    <row r="27">
      <c r="F27" s="185" t="n"/>
      <c r="G27" s="186" t="n"/>
      <c r="H27" s="186" t="n"/>
      <c r="I27" s="18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2"/>
    <row r="3">
      <c r="B3" s="120" t="inlineStr">
        <is>
          <t>🔍  STARTUP YATIRIM ALMA VE NAKIT RUNWAY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4"/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6"/>
    <row r="17">
      <c r="B17" s="190" t="inlineStr">
        <is>
          <t>SAYFA TOPLAMI (10 / 1.450 KAYIT)</t>
        </is>
      </c>
      <c r="E17" s="191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STARTUP YATIRIM ALMA VE NAKIT RUNWAY — NİHAİ KARAR VE DEĞERLEME</t>
        </is>
      </c>
    </row>
    <row r="3">
      <c r="B3" s="143" t="inlineStr">
        <is>
          <t>Yönetim Kurulu ve İcra Komitesi için Otomatik Finansal Stres Testi Raporu · Yönetim Kurulu, CFO, Finans Yöneticisi, SMMM</t>
        </is>
      </c>
    </row>
    <row r="4">
      <c r="B4" s="144" t="inlineStr">
        <is>
          <t>DÖNEM: 2026 Q3 · DENETİM PROTOKOLÜ: ISO/VUK/IFRS UYUMLU · DURUM: ONAYLANDI</t>
        </is>
      </c>
    </row>
    <row r="5"/>
    <row r="6">
      <c r="B6" s="145" t="inlineStr">
        <is>
          <t>SENARYO A: KÖTÜMSER (STRES TESTİ -%20)</t>
        </is>
      </c>
      <c r="C6" s="188" t="n"/>
      <c r="D6" s="188" t="n"/>
      <c r="E6" s="188" t="n"/>
      <c r="F6" s="189" t="n"/>
      <c r="H6" s="146" t="inlineStr">
        <is>
          <t>SENARYO B: BAZ MODEL (HEDEFLENEN)</t>
        </is>
      </c>
      <c r="I6" s="188" t="n"/>
      <c r="J6" s="188" t="n"/>
      <c r="K6" s="188" t="n"/>
      <c r="L6" s="189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78">
        <f>PANO!B7*0.8*0.22</f>
        <v/>
      </c>
      <c r="F9" s="83" t="n"/>
      <c r="H9" s="147" t="inlineStr">
        <is>
          <t>Beklenen Net Kâr / Getiri:</t>
        </is>
      </c>
      <c r="I9" s="83" t="n"/>
      <c r="J9" s="83" t="n"/>
      <c r="K9" s="178">
        <f>PANO!H7</f>
        <v/>
      </c>
      <c r="L9" s="83" t="n"/>
    </row>
    <row r="10">
      <c r="B10" s="147" t="inlineStr">
        <is>
          <t>Minimum Nakit Tamponu:</t>
        </is>
      </c>
      <c r="C10" s="83" t="n"/>
      <c r="D10" s="83" t="n"/>
      <c r="E10" s="179">
        <f>PANO!E7*0.75</f>
        <v/>
      </c>
      <c r="F10" s="83" t="n"/>
      <c r="H10" s="147" t="inlineStr">
        <is>
          <t>Serbest Nakit Akımı:</t>
        </is>
      </c>
      <c r="I10" s="83" t="n"/>
      <c r="J10" s="83" t="n"/>
      <c r="K10" s="179">
        <f>PANO!H7*0.75</f>
        <v/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80">
        <f>YUVARLA(PANO!B7*0.8/PANO!E7; 2)</f>
        <v/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192" t="n"/>
      <c r="D14" s="192" t="n"/>
      <c r="E14" s="192" t="n"/>
      <c r="F14" s="193" t="n"/>
      <c r="H14" s="153" t="inlineStr">
        <is>
          <t>OPTİMUM İCRA VE PLANLAMA REÇETESİ</t>
        </is>
      </c>
      <c r="I14" s="194" t="n"/>
      <c r="J14" s="194" t="n"/>
      <c r="K14" s="194" t="n"/>
      <c r="L14" s="195" t="n"/>
    </row>
    <row r="15">
      <c r="B15" s="196" t="n"/>
      <c r="C15" s="197" t="n"/>
      <c r="D15" s="197" t="n"/>
      <c r="E15" s="197" t="n"/>
      <c r="F15" s="198" t="n"/>
      <c r="H15" s="199" t="n"/>
      <c r="I15" s="200" t="n"/>
      <c r="J15" s="200" t="n"/>
      <c r="K15" s="200" t="n"/>
      <c r="L15" s="201" t="n"/>
    </row>
    <row r="16"/>
    <row r="17">
      <c r="B17" s="63" t="inlineStr">
        <is>
          <t>YÖNETİM KARAR MATRİSİ VE UYGULAMA REÇETESİ</t>
        </is>
      </c>
    </row>
    <row r="18"/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/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2" t="inlineStr">
        <is>
          <t>HARİCİ PYTHON KAYNAĞI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C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dosyasındaki tüm mandate bölümleri ve satır konumları. Hiçbir bölüm sessizce atlanamaz.</t>
        </is>
      </c>
    </row>
    <row r="3"/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C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3"/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run_governance_engine mantığı Excel içinde görünür ve düzenlenebilir.</t>
        </is>
      </c>
    </row>
    <row r="3"/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1"/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Python DATA_CONTRACTS.csv şeması. Her input/master/transaction kolonu %100 sözleşmeli olmalıdır.</t>
        </is>
      </c>
    </row>
    <row r="3"/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</row>
    <row r="2" ht="45.25" customHeight="1">
      <c r="A2" s="52" t="inlineStr">
        <is>
          <t>Her material KPI için iş anlamı, SSOT, birim, dönem, işaret ve invariant zorunludur.</t>
        </is>
      </c>
    </row>
    <row r="3"/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SOURCE → TRANSFORM → HELPER → KPI → DECISION → ACTION zinciri. Cycle=0 zorunlu.</t>
        </is>
      </c>
    </row>
    <row r="3"/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</row>
    <row r="2" ht="45.25" customHeight="1">
      <c r="A2" s="52" t="inlineStr">
        <is>
          <t>High Materiality + Low Confidence + High Sensitivity varsayımlar görünür risk üretir.</t>
        </is>
      </c>
    </row>
    <row r="3"/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C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Türk muhasebe ve finans mantığında material identity mismatch P1 ve STOP'tur.</t>
        </is>
      </c>
    </row>
    <row r="3"/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Oracle Excel formülünü kopyalamaz; iş kuralını bağımsız uygular.</t>
        </is>
      </c>
    </row>
    <row r="3"/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C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Her ticari ürün için minimum 12 regression vakası.</t>
        </is>
      </c>
    </row>
    <row r="3"/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Exact değer dışında ilişkinin korunup korunmadığını test eder.</t>
        </is>
      </c>
    </row>
    <row r="3"/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Yalnız test kopyasında. Silent corruption sayısı 0 olmalıdır.</t>
        </is>
      </c>
    </row>
    <row r="3"/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C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Model observability: release sırasında görünür sağlık göstergeleri.</t>
        </is>
      </c>
    </row>
    <row r="3"/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C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Data observability: satır, null, duplicate, unmatched, freshness ve drift.</t>
        </is>
      </c>
    </row>
    <row r="3"/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C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formülü: 0,25 Kaynak + 0,20 Tamlık + 0,20 Güncellik + 0,20 Mutabakat + 0,15 Model Stabilitesi.</t>
        </is>
      </c>
    </row>
    <row r="3"/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0"/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</row>
    <row r="2" ht="45.25" customHeight="1">
      <c r="A2" s="52" t="inlineStr">
        <is>
          <t>Karar = geçerli metrik + yeterli güven + güncel kaynak. Aksi durumda karar BLOKE.</t>
        </is>
      </c>
    </row>
    <row r="3"/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</row>
    <row r="2" ht="45.25" customHeight="1">
      <c r="A2" s="52" t="inlineStr">
        <is>
          <t>Her P1/P2 alarm için tanı, ana aksiyon, fallback, sahip, deadline ve doğrulama.</t>
        </is>
      </c>
    </row>
    <row r="3"/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C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Yüksek riskli aksiyonlar insan-onaylı durum makinesi üzerinden ilerler.</t>
        </is>
      </c>
    </row>
    <row r="3"/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C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Senaryo kaynak veriyi overwrite etmez. Reverse stress kırılma eşiğini bulur.</t>
        </is>
      </c>
    </row>
    <row r="3"/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C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  <c r="B1" s="182" t="n"/>
      <c r="C1" s="182" t="n"/>
      <c r="D1" s="182" t="n"/>
      <c r="E1" s="182" t="n"/>
      <c r="F1" s="182" t="n"/>
      <c r="G1" s="182" t="n"/>
      <c r="H1" s="182" t="n"/>
    </row>
    <row r="2" ht="45.25" customHeight="1">
      <c r="A2" s="52" t="inlineStr">
        <is>
          <t>K1 var mı, K2 doğru mu, K3 kullanıcı gerçekten doğru şeyi görüyor mu?</t>
        </is>
      </c>
    </row>
    <row r="3"/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Fiyat garantisi vermez; ekonomik olarak savunulabilirliği ölçer.</t>
        </is>
      </c>
    </row>
    <row r="3"/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1"/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C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3"/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RELEASE_MANIFEST şemasının Excel-native görünümü.</t>
        </is>
      </c>
    </row>
    <row r="3"/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C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PASS yalnız fiziksel/ölçülebilir kanıtla mümkündür. Hash release kanıt zincirini güçlendirir.</t>
        </is>
      </c>
    </row>
    <row r="3"/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RELEASE_STATES ve fail-closed mantığı.</t>
        </is>
      </c>
    </row>
    <row r="3"/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Kaynak kernelin desteklediği komutlar. Excel tek kaynak olsa da runtime davranışı burada korunur.</t>
        </is>
      </c>
    </row>
    <row r="3"/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C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 sabitleri ve makine-okunur sözleşmelerin tek görünümü.</t>
        </is>
      </c>
    </row>
    <row r="3"/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C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Kerneldeki tüm fonksiyonlar, satır aralıkları ve sorumlulukları.</t>
        </is>
      </c>
    </row>
    <row r="3"/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C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  <c r="B1" s="182" t="n"/>
      <c r="C1" s="182" t="n"/>
      <c r="D1" s="182" t="n"/>
      <c r="E1" s="182" t="n"/>
      <c r="F1" s="182" t="n"/>
      <c r="G1" s="182" t="n"/>
      <c r="H1" s="182" t="n"/>
      <c r="I1" s="182" t="n"/>
    </row>
    <row r="2" ht="45.25" customHeight="1">
      <c r="A2" s="52" t="inlineStr">
        <is>
          <t>Python HARDENING_REPORT içeriğinin tek kaynak Excel'deki okunabilir kopyası.</t>
        </is>
      </c>
    </row>
    <row r="3"/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C5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  <row r="2"/>
    <row r="3"/>
    <row r="4"/>
    <row r="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2026-09-25T20:45:37Z</dcterms:modified>
  <cp:lastModifiedBy>barıs bagırlar</cp:lastModifiedBy>
</cp:coreProperties>
</file>