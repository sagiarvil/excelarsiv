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RAPOR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ORNEK_VER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raporTarihi">AYARLAR!$B$6</definedName>
    <definedName name="zincirTolerans">AYARLAR!$B$7</definedName>
    <definedName name="soa_esikOluGun">AYARLAR!$B$8</definedName>
    <definedName name="soa_esikOluNakit">AYARLAR!$B$9</definedName>
    <definedName name="soa_esikOluAdet">AYARLAR!$B$10</definedName>
    <definedName name="soa_esikSiparis">AYARLAR!$B$11</definedName>
    <definedName name="soa_kovaEsik1">AYARLAR!$B$12</definedName>
    <definedName name="soa_kovaEsik2">AYARLAR!$B$13</definedName>
    <definedName name="soa_kovaEsik3">AYARLAR!$B$14</definedName>
    <definedName name="soa_hedefStokGunu">AYARLAR!$B$15</definedName>
    <definedName name="soa_senaryoTemkinli">AYARLAR!$B$16</definedName>
    <definedName name="soa_senaryoBaz">AYARLAR!$B$17</definedName>
    <definedName name="soa_senaryoIyimser">AYARLAR!$B$18</definedName>
    <definedName name="soa_tornadoOran">AYARLAR!$B$19</definedName>
    <definedName name="soa_yuzdelikOran">AYARLAR!$B$20</definedName>
    <definedName name="soa_olcekHedef">AYARLAR!$B$21</definedName>
    <definedName name="soa_azamiMiktar">AYARLAR!$B$22</definedName>
    <definedName name="soa_durumHaritasi">AYARLAR!$B$23</definedName>
    <definedName name="soa_kuyrukOzeti_metin">AYARLAR!$B$24</definedName>
    <definedName name="soa_kapaliDusum_metin">AYARLAR!$B$25</definedName>
    <definedName name="soa_kanitRaporu_metin">AYARLAR!$B$26</definedName>
    <definedName name="soa_dosyaSurumu">AYARLAR!$B$27</definedName>
    <definedName name="soa_firmaUnvan">AYARLAR!$B$28</definedName>
    <definedName name="soa_kuralSOA001">AYARLAR!$B$29</definedName>
    <definedName name="soa_kuralSOA002">AYARLAR!$B$30</definedName>
    <definedName name="soa_kuralSOA003">AYARLAR!$B$31</definedName>
    <definedName name="soa_kuralSOA004">AYARLAR!$B$32</definedName>
    <definedName name="soa_kuralSOA005">AYARLAR!$B$33</definedName>
    <definedName name="soa_oluStokNakit">AYARLAR!$I$48</definedName>
    <definedName name="soa_onerilenSiparis">AYARLAR!$I$49</definedName>
    <definedName name="soa_oluAdet">AYARLAR!$I$50</definedName>
    <definedName name="soa_stokGunuSapma">AYARLAR!$I$51</definedName>
    <definedName name="soa_yetimKayit">AYARLAR!$I$52</definedName>
    <definedName name="soa_gecersizGecis">AYARLAR!$I$53</definedName>
    <definedName name="soa_zincirKirik">AYARLAR!$I$54</definedName>
    <definedName name="soa_tahminAralik">AYARLAR!$I$55</definedName>
    <definedName name="soa_senaryoKarsilastirma">AYARLAR!$I$56</definedName>
    <definedName name="soa_tornadoZirve">AYARLAR!$I$57</definedName>
    <definedName name="soa_hhi">AYARLAR!$I$58</definedName>
    <definedName name="soa_kaliteSkor">AYARLAR!$I$59</definedName>
    <definedName name="soa_yuzdelikP90">AYARLAR!$I$60</definedName>
    <definedName name="soa_senaryoMotor">AYARLAR!$I$61</definedName>
    <definedName name="soa_kapaliDusum">AYARLAR!$I$62</definedName>
    <definedName name="soa_kuyrukOzeti">AYARLAR!$I$63</definedName>
    <definedName name="soa_kanitRaporu">AYARLAR!$I$64</definedName>
    <definedName name="soa_sonrakiKimlik">AYARLAR!$I$65</definedName>
    <definedName name="soa_kararMetni">AYARLAR!$I$66</definedName>
    <definedName name="soa_yorumOlu">AYARLAR!$I$69</definedName>
    <definedName name="soa_yorumSiparis">AYARLAR!$I$70</definedName>
    <definedName name="soa_yorumSapma">AYARLAR!$I$71</definedName>
    <definedName name="soa_yorumTornado">AYARLAR!$I$72</definedName>
    <definedName name="soa_yorumSenaryo">AYARLAR!$I$73</definedName>
    <definedName name="soa_yorumHhi">AYARLAR!$I$74</definedName>
    <definedName name="soa_yorumKalite">AYARLAR!$I$75</definedName>
    <definedName name="soa_yorumSenMotor">AYARLAR!$I$76</definedName>
    <definedName name="soa_yorumTahmin">AYARLAR!$I$77</definedName>
    <definedName name="soa_yorumP90">AYARLAR!$I$78</definedName>
    <definedName name="ListeDurumlar">LISTELER!$A$7:$A$10</definedName>
    <definedName name="ListeIzinliGecis">LISTELER!$C$7:$C$11</definedName>
    <definedName name="ListeEvetHayir">LISTELER!$E$7:$E$8</definedName>
    <definedName name="ListeYorumAB">LISTELER!$G$7:$G$8</definedName>
    <definedName name="ListeAbc">LISTELER!$I$7:$I$9</definedName>
    <definedName name="_xlnm.Print_Area" localSheetId="14">'RAPOR'!$A$1:$H$26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&quot; gün&quot;"/>
    <numFmt numFmtId="167" formatCode="0.0%;[Red](0.0%);-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7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7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SKU-00009 | Risk: Elle çakışma</t>
      </text>
    </comment>
    <comment ref="A6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6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6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6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6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6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6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7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7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7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7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7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7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8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8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8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8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8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8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9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9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9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9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9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9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10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10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10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10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10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10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11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11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11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11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11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11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12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12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12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12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12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12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Stok ABC ve ölü stok nakit kararını etkiler | Doğru kullanım: SKU-##### formatında | Örnek: hücredeki örnek değere bakın | Risk: Yanlış giriş hatalı karar üretir</t>
      </text>
    </comment>
    <comment ref="B13" authorId="0" shapeId="0">
      <text>
        <t>Tanım: Unvan | Neden önemli: Stok ABC ve ölü stok nakit kararını etkiler | Doğru kullanım: SKU unvanı | Örnek: hücredeki örnek değere bakın | Risk: Yanlış giriş hatalı karar üretir</t>
      </text>
    </comment>
    <comment ref="C13" authorId="0" shapeId="0">
      <text>
        <t>Tanım: Sınıf | Neden önemli: Stok ABC ve ölü stok nakit kararını etkiler | Doğru kullanım: Malzeme sınıfı | Örnek: hücredeki örnek değere bakın | Risk: Yanlış giriş hatalı karar üretir</t>
      </text>
    </comment>
    <comment ref="D13" authorId="0" shapeId="0">
      <text>
        <t>Tanım: Depo | Neden önemli: Stok ABC ve ölü stok nakit kararını etkiler | Doğru kullanım: Depo adı | Örnek: hücredeki örnek değere bakın | Risk: Yanlış giriş hatalı karar üretir</t>
      </text>
    </comment>
    <comment ref="E13" authorId="0" shapeId="0">
      <text>
        <t>Tanım: Min Stok | Neden önemli: Stok ABC ve ölü stok nakit kararını etkiler | Doğru kullanım: Asgari stok adet | Örnek: hücredeki örnek değere bakın | Risk: Yanlış giriş hatalı karar üretir</t>
      </text>
    </comment>
    <comment ref="F13" authorId="0" shapeId="0">
      <text>
        <t>Tanım: Risk Notu | Neden önemli: Stok ABC ve ölü stok nakit kararını etkiler | Doğru kullanım: Kısa risk notu | Örnek: hücredeki örnek değere bakın | Risk: Yanlış giriş hatalı karar üretir</t>
      </text>
    </comment>
    <comment ref="G13" authorId="0" shapeId="0">
      <text>
        <t>Tanım: Aktif | Neden önemli: Stok ABC ve ölü stok nakit kararını etkiler | Doğru kullanım: EVET veya HAYIR | Örnek: hücredeki örnek değere bakın | Risk: Yanlış giriş hatalı karar üretir</t>
      </text>
    </comment>
    <comment ref="A1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3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3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3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3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3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3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4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4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4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4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4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4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5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5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5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5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5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5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6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6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6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6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6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6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7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7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7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7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7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7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8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8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8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8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8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8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9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9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9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9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9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9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0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0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0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0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0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0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1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1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1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1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1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1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2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2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2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2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2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2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3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3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3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3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3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3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4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4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4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4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4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4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5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5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5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5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5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5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6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6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6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6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6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6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7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7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7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7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7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7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8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8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8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8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8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8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19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19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19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19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19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19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0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0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0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0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0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0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1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1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1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1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1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1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2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2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2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2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2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2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3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3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3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3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3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3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6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6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6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6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6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6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7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7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7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7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7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7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8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8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8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8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8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8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49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49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49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49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49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49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50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50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50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50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50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50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51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51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51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51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51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51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52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52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52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52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52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52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53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53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53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53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53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53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54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54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54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54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54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54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Stok ABC ve ölü stok nakit kararını etkiler | Doğru kullanım: Manuel giriş | Örnek: hücredeki örnek değere bakın | Risk: Yanlış giriş hatalı karar üretir</t>
      </text>
    </comment>
    <comment ref="B255" authorId="0" shapeId="0">
      <text>
        <t>Tanım: Unvan | Neden önemli: Stok ABC ve ölü stok nakit kararını etkiler | Doğru kullanım: Manuel giriş | Örnek: hücredeki örnek değere bakın | Risk: Yanlış giriş hatalı karar üretir</t>
      </text>
    </comment>
    <comment ref="C255" authorId="0" shapeId="0">
      <text>
        <t>Tanım: Sinif | Neden önemli: Stok ABC ve ölü stok nakit kararını etkiler | Doğru kullanım: Manuel giriş | Örnek: hücredeki örnek değere bakın | Risk: Yanlış giriş hatalı karar üretir</t>
      </text>
    </comment>
    <comment ref="D255" authorId="0" shapeId="0">
      <text>
        <t>Tanım: Depo | Neden önemli: Stok ABC ve ölü stok nakit kararını etkiler | Doğru kullanım: Manuel giriş | Örnek: hücredeki örnek değere bakın | Risk: Yanlış giriş hatalı karar üretir</t>
      </text>
    </comment>
    <comment ref="E255" authorId="0" shapeId="0">
      <text>
        <t>Tanım: MinStok | Neden önemli: Stok ABC ve ölü stok nakit kararını etkiler | Doğru kullanım: Manuel giriş | Örnek: hücredeki örnek değere bakın | Risk: Yanlış giriş hatalı karar üretir</t>
      </text>
    </comment>
    <comment ref="F255" authorId="0" shapeId="0">
      <text>
        <t>Tanım: RiskNotu | Neden önemli: Stok ABC ve ölü stok nakit kararını etkiler | Doğru kullanım: Manuel giriş | Örnek: hücredeki örnek değere bakın | Risk: Yanlış giriş hatalı karar üretir</t>
      </text>
    </comment>
    <comment ref="G255" authorId="0" shapeId="0">
      <text>
        <t>Tanım: Aktif | Neden önemli: Stok ABC ve ölü stok nakit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6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6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6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6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6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6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6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6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6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6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6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6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6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6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7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7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7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7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7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7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7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7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7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7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7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7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7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7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7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8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8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8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8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8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8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8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8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8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8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8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8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8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8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8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9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9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9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9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9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9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9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9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9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9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9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9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9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9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9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0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0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0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0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0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0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0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0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0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0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0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0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0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0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0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1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1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1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1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1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1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1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1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1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1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1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1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1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1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1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2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2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2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2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2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2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2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2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2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2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2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2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2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2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2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3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3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3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3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3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3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3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3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3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3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3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3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3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3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3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4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4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4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4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4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4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4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4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4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4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4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4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4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4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4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5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5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5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5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5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5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5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5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5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5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5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5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5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5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5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6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6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6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6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6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6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6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6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6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6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6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6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6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6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6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7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7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7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7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7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7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7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7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7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7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7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7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7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7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7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8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8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8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8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8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8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8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8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8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8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8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8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8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8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8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19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19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19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19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19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19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19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19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19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19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19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19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19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19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19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0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0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0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0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0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0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0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0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0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0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0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0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0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0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0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1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1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1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1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1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1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1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1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1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1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1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1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1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1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1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2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2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2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2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2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2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2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2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2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2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2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2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2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2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2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3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3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3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3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3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3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3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3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3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3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3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3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3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3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3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4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4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4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4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4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4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4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4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4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4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4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4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4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4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4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5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5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5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5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5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5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5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5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5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5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5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5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5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5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5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6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6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6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6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6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6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6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6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6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6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6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6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6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6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6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7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7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7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7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7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7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7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7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7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7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7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7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7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7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7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8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8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8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8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8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8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8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8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8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8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8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8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8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8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8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29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29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29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29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29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29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29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29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29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29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29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29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29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29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29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30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30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30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30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30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30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30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30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30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30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30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30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30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30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30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31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31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31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31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31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31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31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31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31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31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31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31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31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31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31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32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32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32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32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32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32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32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32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32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32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32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32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32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32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32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33" authorId="0" shapeId="0">
      <text>
        <t>Tanım: İşlem Kimliği | Neden önemli: Stok ABC ve ölü stok nakit kararını etkiler | Doğru kullanım: SOA-##### | Örnek: hücredeki örnek değere bakın | Risk: Yanlış giriş hatalı karar üretir</t>
      </text>
    </comment>
    <comment ref="B33" authorId="0" shapeId="0">
      <text>
        <t>Tanım: Kaynak Kart | Neden önemli: Stok ABC ve ölü stok nakit kararını etkiler | Doğru kullanım: KARTLAR'daki KartId | Örnek: hücredeki örnek değere bakın | Risk: Yanlış giriş hatalı karar üretir</t>
      </text>
    </comment>
    <comment ref="C33" authorId="0" shapeId="0">
      <text>
        <t>Tanım: SKU Kod | Neden önemli: Stok ABC ve ölü stok nakit kararını etkiler | Doğru kullanım: Stok kodu | Örnek: hücredeki örnek değere bakın | Risk: Yanlış giriş hatalı karar üretir</t>
      </text>
    </comment>
    <comment ref="D33" authorId="0" shapeId="0">
      <text>
        <t>Tanım: Sayım Tarihi | Neden önemli: Stok ABC ve ölü stok nakit kararını etkiler | Doğru kullanım: Sayım tarihi | Örnek: hücredeki örnek değere bakın | Risk: Yanlış giriş hatalı karar üretir</t>
      </text>
    </comment>
    <comment ref="E33" authorId="0" shapeId="0">
      <text>
        <t>Tanım: Son Hareket | Neden önemli: Stok ABC ve ölü stok nakit kararını etkiler | Doğru kullanım: Son hareket tarihi | Örnek: hücredeki örnek değere bakın | Risk: Yanlış giriş hatalı karar üretir</t>
      </text>
    </comment>
    <comment ref="F33" authorId="0" shapeId="0">
      <text>
        <t>Tanım: Önceki Durum | Neden önemli: Stok ABC ve ölü stok nakit kararını etkiler | Doğru kullanım: Önceki durum_id | Örnek: hücredeki örnek değere bakın | Risk: Yanlış giriş hatalı karar üretir</t>
      </text>
    </comment>
    <comment ref="G33" authorId="0" shapeId="0">
      <text>
        <t>Tanım: Durum | Neden önemli: Stok ABC ve ölü stok nakit kararını etkiler | Doğru kullanım: Durum haritasından seçin | Örnek: hücredeki örnek değere bakın | Risk: Yanlış giriş hatalı karar üretir</t>
      </text>
    </comment>
    <comment ref="H33" authorId="0" shapeId="0">
      <text>
        <t>Tanım: Stok Adet | Neden önemli: Stok ABC ve ölü stok nakit kararını etkiler | Doğru kullanım: Stok adet | Örnek: hücredeki örnek değere bakın | Risk: Yanlış giriş hatalı karar üretir</t>
      </text>
    </comment>
    <comment ref="I33" authorId="0" shapeId="0">
      <text>
        <t>Tanım: Birim Maliyet | Neden önemli: Stok ABC ve ölü stok nakit kararını etkiler | Doğru kullanım: Birim maliyet TL | Örnek: hücredeki örnek değere bakın | Risk: Yanlış giriş hatalı karar üretir</t>
      </text>
    </comment>
    <comment ref="J33" authorId="0" shapeId="0">
      <text>
        <t>Tanım: Kontrol Nakit | Neden önemli: Stok ABC ve ölü stok nakit kararını etkiler | Doğru kullanım: Kontrol nakit TL | Örnek: hücredeki örnek değere bakın | Risk: Yanlış giriş hatalı karar üretir</t>
      </text>
    </comment>
    <comment ref="K33" authorId="0" shapeId="0">
      <text>
        <t>Tanım: Önerilen Sipariş | Neden önemli: Stok ABC ve ölü stok nakit kararını etkiler | Doğru kullanım: Önerilen sipariş adet | Örnek: hücredeki örnek değere bakın | Risk: Yanlış giriş hatalı karar üretir</t>
      </text>
    </comment>
    <comment ref="L33" authorId="0" shapeId="0">
      <text>
        <t>Tanım: Stok Günü | Neden önemli: Stok ABC ve ölü stok nakit kararını etkiler | Doğru kullanım: Stokta kalma günü | Örnek: hücredeki örnek değere bakın | Risk: Yanlış giriş hatalı karar üretir</t>
      </text>
    </comment>
    <comment ref="M33" authorId="0" shapeId="0">
      <text>
        <t>Tanım: ABC Sınıf | Neden önemli: Stok ABC ve ölü stok nakit kararını etkiler | Doğru kullanım: A, B veya C | Örnek: hücredeki örnek değere bakın | Risk: Yanlış giriş hatalı karar üretir</t>
      </text>
    </comment>
    <comment ref="N33" authorId="0" shapeId="0">
      <text>
        <t>Tanım: Yorum A | Neden önemli: Stok ABC ve ölü stok nakit kararını etkiler | Doğru kullanım: A veya B | Örnek: hücredeki örnek değere bakın | Risk: Yanlış giriş hatalı karar üretir</t>
      </text>
    </comment>
    <comment ref="O33" authorId="0" shapeId="0">
      <text>
        <t>Tanım: Yorum B | Neden önemli: Stok ABC ve ölü stok nakit kararını etkiler | Doğru kullanım: Serbest takip notu | Örnek: hücredeki örnek değere bakın | Risk: Yanlış giriş hatalı karar üretir</t>
      </text>
    </comment>
    <comment ref="A3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3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3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3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3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3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3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3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3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3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3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3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3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3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3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3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3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3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3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3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3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3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3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3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3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3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3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3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3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3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3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3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3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3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3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3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3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3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3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3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3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3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3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3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3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3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3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3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3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3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3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3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3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3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3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3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3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3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3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3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3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3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3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3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3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3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3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3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3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3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3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3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3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3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3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3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3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3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3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4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4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4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4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4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4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4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4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4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4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4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4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4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5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5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5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5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5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5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5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5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5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5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5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5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5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6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6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6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6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6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6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6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6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6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6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6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6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6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7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7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7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7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7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7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7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7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7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7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7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7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7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8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8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8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8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8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8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8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8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8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8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8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8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8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9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9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9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9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9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9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9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9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9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9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9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9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9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0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0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0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0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0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0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0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0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0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0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0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0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0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1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1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1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1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1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1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1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1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1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1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1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1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1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2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2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2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2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2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2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2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2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2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2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2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2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2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3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3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3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3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3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3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3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3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3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3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3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3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3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4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4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4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4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4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4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4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4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4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4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4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4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4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5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5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5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5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5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5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5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5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5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5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5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5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5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6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6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6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6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6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6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6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6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6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6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6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6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6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7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7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7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7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7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7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7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7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7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7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7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7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7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8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8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8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8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8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8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8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8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8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8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8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8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8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19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19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19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19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19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19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19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19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19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19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19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19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19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0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0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0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0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0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0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0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0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0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0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0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0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0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1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1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1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1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1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1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1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1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1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1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1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1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1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2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2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2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2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2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2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2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2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2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2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2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2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2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3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3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3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3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3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3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3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3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3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3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3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3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3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6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6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6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6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6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6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6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6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6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6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6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6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6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7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7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7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7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7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7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7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7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7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7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7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7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7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8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8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8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8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8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8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8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8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8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8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8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8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8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49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49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49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49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49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49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49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49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49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49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49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49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49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50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50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50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50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50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50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50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50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50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50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50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50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50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51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51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51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51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51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51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51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51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51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51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51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51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51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52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52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52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52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52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52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52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52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52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52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52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52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52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53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53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53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53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53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53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53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53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53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53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53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53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53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54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54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54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54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54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54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54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54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54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54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54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54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54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Stok ABC ve ölü stok nakit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Stok ABC ve ölü stok nakit kararını etkiler | Doğru kullanım: Manuel giriş | Örnek: hücredeki örnek değere bakın | Risk: Yanlış giriş hatalı karar üretir</t>
      </text>
    </comment>
    <comment ref="C255" authorId="0" shapeId="0">
      <text>
        <t>Tanım: SkuKod | Neden önemli: Stok ABC ve ölü stok nakit kararını etkiler | Doğru kullanım: Manuel giriş | Örnek: hücredeki örnek değere bakın | Risk: Yanlış giriş hatalı karar üretir</t>
      </text>
    </comment>
    <comment ref="D255" authorId="0" shapeId="0">
      <text>
        <t>Tanım: SayimTarihi | Neden önemli: Stok ABC ve ölü stok nakit kararını etkiler | Doğru kullanım: Manuel giriş | Örnek: hücredeki örnek değere bakın | Risk: Yanlış giriş hatalı karar üretir</t>
      </text>
    </comment>
    <comment ref="E255" authorId="0" shapeId="0">
      <text>
        <t>Tanım: SonHareket | Neden önemli: Stok ABC ve ölü stok nakit kararını etkiler | Doğru kullanım: Manuel giriş | Örnek: hücredeki örnek değere bakın | Risk: Yanlış giriş hatalı karar üretir</t>
      </text>
    </comment>
    <comment ref="F255" authorId="0" shapeId="0">
      <text>
        <t>Tanım: OncekiDurum | Neden önemli: Stok ABC ve ölü stok nakit kararını etkiler | Doğru kullanım: Manuel giriş | Örnek: hücredeki örnek değere bakın | Risk: Yanlış giriş hatalı karar üretir</t>
      </text>
    </comment>
    <comment ref="G255" authorId="0" shapeId="0">
      <text>
        <t>Tanım: Durum | Neden önemli: Stok ABC ve ölü stok nakit kararını etkiler | Doğru kullanım: Manuel giriş | Örnek: hücredeki örnek değere bakın | Risk: Yanlış giriş hatalı karar üretir</t>
      </text>
    </comment>
    <comment ref="H255" authorId="0" shapeId="0">
      <text>
        <t>Tanım: StokAdet | Neden önemli: Stok ABC ve ölü stok nakit kararını etkiler | Doğru kullanım: Manuel giriş | Örnek: hücredeki örnek değere bakın | Risk: Yanlış giriş hatalı karar üretir</t>
      </text>
    </comment>
    <comment ref="I255" authorId="0" shapeId="0">
      <text>
        <t>Tanım: BirimMaliyet | Neden önemli: Stok ABC ve ölü stok nakit kararını etkiler | Doğru kullanım: Manuel giriş | Örnek: hücredeki örnek değere bakın | Risk: Yanlış giriş hatalı karar üretir</t>
      </text>
    </comment>
    <comment ref="J255" authorId="0" shapeId="0">
      <text>
        <t>Tanım: KontrolNakit | Neden önemli: Stok ABC ve ölü stok nakit kararını etkiler | Doğru kullanım: Manuel giriş | Örnek: hücredeki örnek değere bakın | Risk: Yanlış giriş hatalı karar üretir</t>
      </text>
    </comment>
    <comment ref="K255" authorId="0" shapeId="0">
      <text>
        <t>Tanım: OnerilenSiparis | Neden önemli: Stok ABC ve ölü stok nakit kararını etkiler | Doğru kullanım: Manuel giriş | Örnek: hücredeki örnek değere bakın | Risk: Yanlış giriş hatalı karar üretir</t>
      </text>
    </comment>
    <comment ref="L255" authorId="0" shapeId="0">
      <text>
        <t>Tanım: StokGunu | Neden önemli: Stok ABC ve ölü stok nakit kararını etkiler | Doğru kullanım: Manuel giriş | Örnek: hücredeki örnek değere bakın | Risk: Yanlış giriş hatalı karar üretir</t>
      </text>
    </comment>
    <comment ref="M255" authorId="0" shapeId="0">
      <text>
        <t>Tanım: AbcSinif | Neden önemli: Stok ABC ve ölü stok nakit kararını etkiler | Doğru kullanım: Manuel giriş | Örnek: hücredeki örnek değere bakın | Risk: Yanlış giriş hatalı karar üretir</t>
      </text>
    </comment>
    <comment ref="N255" authorId="0" shapeId="0">
      <text>
        <t>Tanım: YorumA | Neden önemli: Stok ABC ve ölü stok nakit kararını etkiler | Doğru kullanım: Manuel giriş | Örnek: hücredeki örnek değere bakın | Risk: Yanlış giriş hatalı karar üretir</t>
      </text>
    </comment>
    <comment ref="O255" authorId="0" shapeId="0">
      <text>
        <t>Tanım: YorumB | Neden önemli: Stok ABC ve ölü stok nakit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Stok ABC ve ölü stok nakit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Stok ABC ve ölü stok nakit kararını etkiler | Doğru kullanım: eski|yeni | Örnek: hücredeki örnek değere bakın | Risk: Yanlış giriş hatalı karar üretir</t>
      </text>
    </comment>
    <comment ref="E7" authorId="0" shapeId="0">
      <text>
        <t>Tanım: Seçim | Neden önemli: Stok ABC ve ölü stok nakit kararını etkiler | Doğru kullanım: EVET/HAYIR | Örnek: hücredeki örnek değere bakın | Risk: Yanlış giriş hatalı karar üretir</t>
      </text>
    </comment>
    <comment ref="G7" authorId="0" shapeId="0">
      <text>
        <t>Tanım: Yorum | Neden önemli: Stok ABC ve ölü stok nakit kararını etkiler | Doğru kullanım: A veya B | Örnek: hücredeki örnek değere bakın | Risk: Yanlış giriş hatalı karar üretir</t>
      </text>
    </comment>
    <comment ref="I7" authorId="0" shapeId="0">
      <text>
        <t>Tanım: ABC | Neden önemli: Stok ABC ve ölü stok nakit kararını etkiler | Doğru kullanım: ABC sınıfı | Örnek: hücredeki örnek değere bakın | Risk: Yanlış giriş hatalı karar üretir</t>
      </text>
    </comment>
    <comment ref="A8" authorId="0" shapeId="0">
      <text>
        <t>Tanım: Durum | Neden önemli: Stok ABC ve ölü stok nakit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Stok ABC ve ölü stok nakit kararını etkiler | Doğru kullanım: eski|yeni | Örnek: hücredeki örnek değere bakın | Risk: Yanlış giriş hatalı karar üretir</t>
      </text>
    </comment>
    <comment ref="E8" authorId="0" shapeId="0">
      <text>
        <t>Tanım: Seçim | Neden önemli: Stok ABC ve ölü stok nakit kararını etkiler | Doğru kullanım: EVET/HAYIR | Örnek: hücredeki örnek değere bakın | Risk: Yanlış giriş hatalı karar üretir</t>
      </text>
    </comment>
    <comment ref="G8" authorId="0" shapeId="0">
      <text>
        <t>Tanım: Yorum | Neden önemli: Stok ABC ve ölü stok nakit kararını etkiler | Doğru kullanım: A veya B | Örnek: hücredeki örnek değere bakın | Risk: Yanlış giriş hatalı karar üretir</t>
      </text>
    </comment>
    <comment ref="I8" authorId="0" shapeId="0">
      <text>
        <t>Tanım: ABC | Neden önemli: Stok ABC ve ölü stok nakit kararını etkiler | Doğru kullanım: ABC sınıfı | Örnek: hücredeki örnek değere bakın | Risk: Yanlış giriş hatalı karar üretir</t>
      </text>
    </comment>
    <comment ref="A9" authorId="0" shapeId="0">
      <text>
        <t>Tanım: Durum | Neden önemli: Stok ABC ve ölü stok nakit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Stok ABC ve ölü stok nakit kararını etkiler | Doğru kullanım: eski|yeni | Örnek: hücredeki örnek değere bakın | Risk: Yanlış giriş hatalı karar üretir</t>
      </text>
    </comment>
    <comment ref="I9" authorId="0" shapeId="0">
      <text>
        <t>Tanım: ABC | Neden önemli: Stok ABC ve ölü stok nakit kararını etkiler | Doğru kullanım: ABC sınıfı | Örnek: hücredeki örnek değere bakın | Risk: Yanlış giriş hatalı karar üretir</t>
      </text>
    </comment>
    <comment ref="A10" authorId="0" shapeId="0">
      <text>
        <t>Tanım: Durum | Neden önemli: Stok ABC ve ölü stok nakit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Stok ABC ve ölü stok nakit kararını etkiler | Doğru kullanım: eski|yeni | Örnek: hücredeki örnek değere bakın | Risk: Yanlış giriş hatalı karar üretir</t>
      </text>
    </comment>
    <comment ref="C11" authorId="0" shapeId="0">
      <text>
        <t>Tanım: Geçiş | Neden önemli: Stok ABC ve ölü stok nakit kararını etkiler | Doğru kullanım: eski|yeni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Stok ABC ve ölü stok nakit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Stok ABC ve ölü stok nakit kararını etkiler | Doğru kullanım: ZİNCİR KIRIK eşiği | Örnek: hücredeki örnek değere bakın | Risk: Yanlış giriş hatalı karar üretir</t>
      </text>
    </comment>
    <comment ref="B8" authorId="0" shapeId="0">
      <text>
        <t>Tanım: soa_esikOluGun | Neden önemli: Stok ABC ve ölü stok nakit kararını etkiler | Doğru kullanım: Ölü stok gün eşiği | Örnek: hücredeki örnek değere bakın | Risk: Yanlış giriş hatalı karar üretir</t>
      </text>
    </comment>
    <comment ref="B9" authorId="0" shapeId="0">
      <text>
        <t>Tanım: soa_esikOluNakit | Neden önemli: Stok ABC ve ölü stok nakit kararını etkiler | Doğru kullanım: ÖLÜ STOK ERİT nakit eşiği | Örnek: hücredeki örnek değere bakın | Risk: Yanlış giriş hatalı karar üretir</t>
      </text>
    </comment>
    <comment ref="B10" authorId="0" shapeId="0">
      <text>
        <t>Tanım: soa_esikOluAdet | Neden önemli: Stok ABC ve ölü stok nakit kararını etkiler | Doğru kullanım: ÖLÜ STOK ERİT adet eşiği | Örnek: hücredeki örnek değere bakın | Risk: Yanlış giriş hatalı karar üretir</t>
      </text>
    </comment>
    <comment ref="B11" authorId="0" shapeId="0">
      <text>
        <t>Tanım: soa_esikSiparis | Neden önemli: Stok ABC ve ölü stok nakit kararını etkiler | Doğru kullanım: SİPARİŞ ort. eşiği | Örnek: hücredeki örnek değere bakın | Risk: Yanlış giriş hatalı karar üretir</t>
      </text>
    </comment>
    <comment ref="B12" authorId="0" shapeId="0">
      <text>
        <t>Tanım: soa_kovaEsik1 | Neden önemli: Stok ABC ve ölü stok nakit kararını etkiler | Doğru kullanım: Kova 1 üst sınır | Örnek: hücredeki örnek değere bakın | Risk: Yanlış giriş hatalı karar üretir</t>
      </text>
    </comment>
    <comment ref="B13" authorId="0" shapeId="0">
      <text>
        <t>Tanım: soa_kovaEsik2 | Neden önemli: Stok ABC ve ölü stok nakit kararını etkiler | Doğru kullanım: Kova 2 üst sınır | Örnek: hücredeki örnek değere bakın | Risk: Yanlış giriş hatalı karar üretir</t>
      </text>
    </comment>
    <comment ref="B14" authorId="0" shapeId="0">
      <text>
        <t>Tanım: soa_kovaEsik3 | Neden önemli: Stok ABC ve ölü stok nakit kararını etkiler | Doğru kullanım: Kova 3 üst sınır | Örnek: hücredeki örnek değere bakın | Risk: Yanlış giriş hatalı karar üretir</t>
      </text>
    </comment>
    <comment ref="B15" authorId="0" shapeId="0">
      <text>
        <t>Tanım: soa_hedefStokGunu | Neden önemli: Stok ABC ve ölü stok nakit kararını etkiler | Doğru kullanım: Hedef stok günü | Örnek: hücredeki örnek değere bakın | Risk: Yanlış giriş hatalı karar üretir</t>
      </text>
    </comment>
    <comment ref="B16" authorId="0" shapeId="0">
      <text>
        <t>Tanım: soa_senaryoTemkinli | Neden önemli: Stok ABC ve ölü stok nakit kararını etkiler | Doğru kullanım: Temkinli çarpan | Örnek: hücredeki örnek değere bakın | Risk: Yanlış giriş hatalı karar üretir</t>
      </text>
    </comment>
    <comment ref="B17" authorId="0" shapeId="0">
      <text>
        <t>Tanım: soa_senaryoBaz | Neden önemli: Stok ABC ve ölü stok nakit kararını etkiler | Doğru kullanım: Baz çarpan | Örnek: hücredeki örnek değere bakın | Risk: Yanlış giriş hatalı karar üretir</t>
      </text>
    </comment>
    <comment ref="B18" authorId="0" shapeId="0">
      <text>
        <t>Tanım: soa_senaryoIyimser | Neden önemli: Stok ABC ve ölü stok nakit kararını etkiler | Doğru kullanım: İyimser çarpan | Örnek: hücredeki örnek değere bakın | Risk: Yanlış giriş hatalı karar üretir</t>
      </text>
    </comment>
    <comment ref="B19" authorId="0" shapeId="0">
      <text>
        <t>Tanım: soa_tornadoOran | Neden önemli: Stok ABC ve ölü stok nakit kararını etkiler | Doğru kullanım: Tornado etki oranı | Örnek: hücredeki örnek değere bakın | Risk: Yanlış giriş hatalı karar üretir</t>
      </text>
    </comment>
    <comment ref="B20" authorId="0" shapeId="0">
      <text>
        <t>Tanım: soa_yuzdelikOran | Neden önemli: Stok ABC ve ölü stok nakit kararını etkiler | Doğru kullanım: PERCENTILE oranı | Örnek: hücredeki örnek değere bakın | Risk: Yanlış giriş hatalı karar üretir</t>
      </text>
    </comment>
    <comment ref="B21" authorId="0" shapeId="0">
      <text>
        <t>Tanım: soa_olcekHedef | Neden önemli: Stok ABC ve ölü stok nakit kararını etkiler | Doğru kullanım: Ölçek sözleşmesi | Örnek: hücredeki örnek değere bakın | Risk: Yanlış giriş hatalı karar üretir</t>
      </text>
    </comment>
    <comment ref="B22" authorId="0" shapeId="0">
      <text>
        <t>Tanım: soa_azamiMiktar | Neden önemli: Stok ABC ve ölü stok nakit kararını etkiler | Doğru kullanım: Azami makul | Örnek: hücredeki örnek değere bakın | Risk: Yanlış giriş hatalı karar üretir</t>
      </text>
    </comment>
    <comment ref="B23" authorId="0" shapeId="0">
      <text>
        <t>Tanım: soa_durumHaritasi | Neden önemli: Stok ABC ve ölü stok nakit kararını etkiler | Doğru kullanım: Durum makinesi kaynağı | Örnek: hücredeki örnek değere bakın | Risk: Yanlış giriş hatalı karar üretir</t>
      </text>
    </comment>
    <comment ref="B24" authorId="0" shapeId="0">
      <text>
        <t>Tanım: soa_kuyrukOzeti_metin | Neden önemli: Stok ABC ve ölü stok nakit kararını etkiler | Doğru kullanım: Kuyruk görünümü | Örnek: hücredeki örnek değere bakın | Risk: Yanlış giriş hatalı karar üretir</t>
      </text>
    </comment>
    <comment ref="B25" authorId="0" shapeId="0">
      <text>
        <t>Tanım: soa_kapaliDusum_metin | Neden önemli: Stok ABC ve ölü stok nakit kararını etkiler | Doğru kullanım: Kapalı düşüm kuralı | Örnek: hücredeki örnek değere bakın | Risk: Yanlış giriş hatalı karar üretir</t>
      </text>
    </comment>
    <comment ref="B26" authorId="0" shapeId="0">
      <text>
        <t>Tanım: soa_kanitRaporu_metin | Neden önemli: Stok ABC ve ölü stok nakit kararını etkiler | Doğru kullanım: Kanıt raporu | Örnek: hücredeki örnek değere bakın | Risk: Yanlış giriş hatalı karar üretir</t>
      </text>
    </comment>
    <comment ref="B27" authorId="0" shapeId="0">
      <text>
        <t>Tanım: soa_dosyaSurumu | Neden önemli: Stok ABC ve ölü stok nakit kararını etkiler | Doğru kullanım: Ürün sürümü | Örnek: hücredeki örnek değere bakın | Risk: Yanlış giriş hatalı karar üretir</t>
      </text>
    </comment>
    <comment ref="B28" authorId="0" shapeId="0">
      <text>
        <t>Tanım: soa_firmaUnvan | Neden önemli: Stok ABC ve ölü stok nakit kararını etkiler | Doğru kullanım: Firma | Örnek: hücredeki örnek değere bakın | Risk: Yanlış giriş hatalı karar üretir</t>
      </text>
    </comment>
    <comment ref="B29" authorId="0" shapeId="0">
      <text>
        <t>Tanım: soa_kuralSOA001 | Neden önemli: Stok ABC ve ölü stok nakit kararını etkiler | Doğru kullanım: Durum makinesi AYARLAR'da | Örnek: hücredeki örnek değere bakın | Risk: Yanlış giriş hatalı karar üretir</t>
      </text>
    </comment>
    <comment ref="B30" authorId="0" shapeId="0">
      <text>
        <t>Tanım: soa_kuralSOA002 | Neden önemli: Stok ABC ve ölü stok nakit kararını etkiler | Doğru kullanım: Engellemez, bayrak üretir | Örnek: hücredeki örnek değere bakın | Risk: Yanlış giriş hatalı karar üretir</t>
      </text>
    </comment>
    <comment ref="B31" authorId="0" shapeId="0">
      <text>
        <t>Tanım: soa_kuralSOA003 | Neden önemli: Stok ABC ve ölü stok nakit kararını etkiler | Doğru kullanım: ZİNCİR KIRIK | Örnek: hücredeki örnek değere bakın | Risk: Yanlış giriş hatalı karar üretir</t>
      </text>
    </comment>
    <comment ref="B32" authorId="0" shapeId="0">
      <text>
        <t>Tanım: soa_kuralSOA004 | Neden önemli: Stok ABC ve ölü stok nakit kararını etkiler | Doğru kullanım: A06 kapalı düşüm | Örnek: hücredeki örnek değere bakın | Risk: Yanlış giriş hatalı karar üretir</t>
      </text>
    </comment>
    <comment ref="B33" authorId="0" shapeId="0">
      <text>
        <t>Tanım: soa_kuralSOA005 | Neden önemli: Stok ABC ve ölü stok nakit kararını etkiler | Doğru kullanım: ÖLÜ STOK ERİT / SİPARİŞ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Kartlar" displayName="tblKartlar" ref="A5:I255" headerRowCount="1">
  <tableColumns count="9">
    <tableColumn id="1" name="KartId"/>
    <tableColumn id="2" name="Unvan"/>
    <tableColumn id="3" name="Sinif"/>
    <tableColumn id="4" name="Depo"/>
    <tableColumn id="5" name="MinStok"/>
    <tableColumn id="6" name="RiskNotu"/>
    <tableColumn id="7" name="Aktif"/>
    <tableColumn id="8" name="ToplamStok">
      <calculatedColumnFormula>IF(tblKartlar[[#This Row],[KartId]]="","",SUMIF(tblAkis[KaynakKartId],tblKartlar[[#This Row],[KartId]],tblAkis[StokAdet]))</calculatedColumnFormula>
    </tableColumn>
    <tableColumn id="9" name="OrtStokGunu">
      <calculatedColumnFormula>IF(tblKartlar[[#This Row],[KartId]]="","",IFERROR(AVERAGEIF(tblAkis[KaynakKartId],tblKartlar[[#This Row],[KartId]],tblAkis[StokGunu]),0))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X255" headerRowCount="1">
  <tableColumns count="24">
    <tableColumn id="1" name="IslemId"/>
    <tableColumn id="2" name="KaynakKartId"/>
    <tableColumn id="3" name="SkuKod"/>
    <tableColumn id="4" name="SayimTarihi"/>
    <tableColumn id="5" name="SonHareket"/>
    <tableColumn id="6" name="OncekiDurum"/>
    <tableColumn id="7" name="Durum"/>
    <tableColumn id="8" name="StokAdet"/>
    <tableColumn id="9" name="BirimMaliyet"/>
    <tableColumn id="10" name="KontrolNakit"/>
    <tableColumn id="11" name="OnerilenSiparis"/>
    <tableColumn id="12" name="StokGunu"/>
    <tableColumn id="13" name="AbcSinif"/>
    <tableColumn id="14" name="YorumA"/>
    <tableColumn id="15" name="YorumB"/>
    <tableColumn id="16" name="HesaplananNakit">
      <calculatedColumnFormula>IF(tblAkis[[#This Row],[IslemId]]="","",tblAkis[[#This Row],[StokAdet]]*tblAkis[[#This Row],[BirimMaliyet]])</calculatedColumnFormula>
    </tableColumn>
    <tableColumn id="17" name="OluBayrak">
      <calculatedColumnFormula>IF(OR(tblAkis[[#This Row],[IslemId]]="",tblAkis[[#This Row],[Durum]]="KAPALI"),"",IF(tblAkis[[#This Row],[StokGunu]]&gt;soa_esikOluGun,"ÖLÜ",""))</calculatedColumnFormula>
    </tableColumn>
    <tableColumn id="18" name="YasGun">
      <calculatedColumnFormula>IF(tblAkis[[#This Row],[IslemId]]="","",IF(tblAkis[[#This Row],[SonHareket]]="","",raporTarihi-tblAkis[[#This Row],[SonHareket]]))</calculatedColumnFormula>
    </tableColumn>
    <tableColumn id="19" name="YasKova">
      <calculatedColumnFormula>IF(tblAkis[[#This Row],[IslemId]]="","",IF(tblAkis[[#This Row],[YasGun]]="","",IF(tblAkis[[#This Row],[YasGun]]&lt;=soa_kovaEsik1,"0-7",IF(tblAkis[[#This Row],[YasGun]]&lt;=soa_kovaEsik2,"8-30",IF(tblAkis[[#This Row],[YasGun]]&lt;=soa_kovaEsik3,"31-90","90+")))))</calculatedColumnFormula>
    </tableColumn>
    <tableColumn id="20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21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22" name="ZincirBayrak">
      <calculatedColumnFormula>IF(tblAkis[[#This Row],[IslemId]]="","",IF(OR(tblAkis[[#This Row],[HesaplananNakit]]="",tblAkis[[#This Row],[KontrolNakit]]=""),"",IF(ABS(tblAkis[[#This Row],[KontrolNakit]]-tblAkis[[#This Row],[HesaplananNakit]])&gt;zincirTolerans,"ZİNCİR KIRIK","OK")))</calculatedColumnFormula>
    </tableColumn>
    <tableColumn id="23" name="KayitDolu">
      <calculatedColumnFormula>IF(tblAkis[[#This Row],[IslemId]]="","",1)</calculatedColumnFormula>
    </tableColumn>
    <tableColumn id="24" name="SiparisTl">
      <calculatedColumnFormula>IF(tblAkis[[#This Row],[IslemId]]="","",tblAkis[[#This Row],[OnerilenSiparis]]*tblAkis[[#This Row],[BirimMaliyet]])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38:L4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EXCELARŞİV KARAR SİSTEMİ v15.1 — ÜRETİM REFERANSI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4" customHeight="1">
      <c r="A3" s="146" t="inlineStr">
        <is>
          <t>Konu</t>
        </is>
      </c>
      <c r="B3" s="146" t="inlineStr">
        <is>
          <t>Bağlayıcı Standart</t>
        </is>
      </c>
    </row>
    <row r="4">
      <c r="A4" s="147" t="inlineStr">
        <is>
          <t>Amaç</t>
        </is>
      </c>
      <c r="B4" s="148" t="inlineStr">
        <is>
          <t>Kanıta dayalı, hatada kapalı çalışan Excel üretim ve denetim sistemi</t>
        </is>
      </c>
    </row>
    <row r="5">
      <c r="A5" s="147" t="inlineStr">
        <is>
          <t>Öncelik</t>
        </is>
      </c>
      <c r="B5" s="148" t="inlineStr">
        <is>
          <t>Kullanıcının açık iş talebi ve gerçek kullanım senaryosu</t>
        </is>
      </c>
    </row>
    <row r="6">
      <c r="A6" s="147" t="inlineStr">
        <is>
          <t>Ana akış</t>
        </is>
      </c>
      <c r="B6" s="148" t="inlineStr">
        <is>
          <t>Uygunluk → Yönetişim → Sözleşmeler → Üretim → Test → Kanıt → Kullanıcı Kabulü → Yayın</t>
        </is>
      </c>
    </row>
    <row r="7">
      <c r="A7" s="147" t="inlineStr">
        <is>
          <t>Yayın ilkesi</t>
        </is>
      </c>
      <c r="B7" s="148" t="inlineStr">
        <is>
          <t>Üst aşamada hata varsa alt aşama GEÇTİ üretilemez</t>
        </is>
      </c>
    </row>
    <row r="8">
      <c r="A8" s="147" t="inlineStr">
        <is>
          <t>Kullanıcı kabulü</t>
        </is>
      </c>
      <c r="B8" s="148" t="inlineStr">
        <is>
          <t>Excel masaüstü görünümü test edilmediyse DIŞ_KABUL_GEREKLİ</t>
        </is>
      </c>
    </row>
    <row r="9">
      <c r="A9" s="147" t="inlineStr">
        <is>
          <t>Nihai yayın</t>
        </is>
      </c>
      <c r="B9" s="148" t="inlineStr">
        <is>
          <t>Yalnız uygulanabilir modüller GEÇTİ veya gerekçeli UYGULANMAZ</t>
        </is>
      </c>
    </row>
    <row r="10">
      <c r="A10" s="147" t="inlineStr">
        <is>
          <t>Ticari ayrım</t>
        </is>
      </c>
      <c r="B10" s="148" t="inlineStr">
        <is>
          <t>Ekonomik olarak savunulabilir fiyat, gerçek pazar kabulü ile aynı değildir</t>
        </is>
      </c>
    </row>
    <row r="11">
      <c r="A11" s="147" t="inlineStr">
        <is>
          <t>Karmaşıklık</t>
        </is>
      </c>
      <c r="B11" s="148" t="inlineStr">
        <is>
          <t>Karar değeri, eklenen karmaşıklığın maliyetinden büyük olmalıdır</t>
        </is>
      </c>
    </row>
    <row r="12">
      <c r="A12" s="147" t="inlineStr">
        <is>
          <t>Excel sınırı</t>
        </is>
      </c>
      <c r="B12" s="148" t="inlineStr">
        <is>
          <t>Veritabanı, kurumsal yetkilendirme, değiştirilemez kayıt sistemi veya gerçek zamanlı olay platformu değildir</t>
        </is>
      </c>
    </row>
    <row r="13">
      <c r="A13" s="147" t="inlineStr">
        <is>
          <t>Dil standardı</t>
        </is>
      </c>
      <c r="B13" s="148" t="inlineStr">
        <is>
          <t>Kullanıcıya görünen tüm sayfa, tablo, başlık, açıklama, uyarı ve karar metinleri saf Türkçe olmalıdır</t>
        </is>
      </c>
    </row>
    <row r="14">
      <c r="A14" s="147" t="inlineStr">
        <is>
          <t>Muhasebe standardı</t>
        </is>
      </c>
      <c r="B14" s="148" t="inlineStr">
        <is>
          <t>Finansal ürünlerde Türkiye Tekdüzen Hesap Planı ve Türk muhasebe kullanım alışkanlıkları esas alınır</t>
        </is>
      </c>
    </row>
    <row r="15">
      <c r="A15" s="147" t="inlineStr">
        <is>
          <t>Görsel standart</t>
        </is>
      </c>
      <c r="B15" s="148" t="inlineStr">
        <is>
          <t>Her sayfa başlıklı, renk kodlu, sıkı kolon düzenli ve premium kurumsal görünümde olmalıdır</t>
        </is>
      </c>
    </row>
    <row r="16">
      <c r="A16" s="147" t="inlineStr">
        <is>
          <t>Grafik standardı</t>
        </is>
      </c>
      <c r="B16" s="148" t="inlineStr">
        <is>
          <t>Grafikler karar üretmeli; dekoratif, 3B, anlamsız renkli veya varsayılan Excel grafiği kullanılamaz</t>
        </is>
      </c>
    </row>
    <row r="17">
      <c r="A17" s="147" t="inlineStr">
        <is>
          <t>Hata standardı</t>
        </is>
      </c>
      <c r="B17" s="148" t="inlineStr">
        <is>
          <t>#AD? / #BAŞV! / #DEĞER! / #SAYI/0! / #YOK gibi hatalar GEÇTİ sonucuyla birlikte bulunamaz</t>
        </is>
      </c>
    </row>
    <row r="18">
      <c r="A18" s="147" t="inlineStr">
        <is>
          <t>Karar standardı</t>
        </is>
      </c>
      <c r="B18" s="148" t="inlineStr">
        <is>
          <t>Her kritik çıktı: ne oldu, neden oldu, parasal etki, ne yapılmalı, ne zamana kadar sorularını cevaplar</t>
        </is>
      </c>
    </row>
    <row r="19">
      <c r="A19" s="147" t="inlineStr">
        <is>
          <t>Satış standardı</t>
        </is>
      </c>
      <c r="B19" s="148" t="inlineStr">
        <is>
          <t>Ürün 5 saniyede anlaşılmalı; pahalı problemi, ekonomik sonucu, kanıtı ve satın alma gerekçesini göstermelidir</t>
        </is>
      </c>
    </row>
    <row r="20">
      <c r="A20" s="147" t="inlineStr">
        <is>
          <t>Güven standardı</t>
        </is>
      </c>
      <c r="B20" s="148" t="inlineStr">
        <is>
          <t>Kanıtsız 'premium', 'kusursuz', 'sıfır hata' veya yüksek fiyat iddiası kullanılamaz</t>
        </is>
      </c>
    </row>
    <row r="21">
      <c r="A21" s="147" t="inlineStr">
        <is>
          <t>Kaynak</t>
        </is>
      </c>
      <c r="B21" s="148" t="inlineStr">
        <is>
          <t>Teknik Python çekirdeği 99_TEKNIK_KAYNAK sayfasında saklanır; kullanıcı arayüzü değildir</t>
        </is>
      </c>
    </row>
    <row r="22">
      <c r="A22" s="147" t="inlineStr">
        <is>
          <t>Bağlayıcı standart</t>
        </is>
      </c>
      <c r="B22" s="148" t="inlineStr">
        <is>
          <t>Teknik kaynak içindeki üretim sözleşmesi + bu çalışma kitabındaki Türkçe operasyon standartları</t>
        </is>
      </c>
    </row>
    <row r="23">
      <c r="A23" s="147" t="inlineStr">
        <is>
          <t>Çıktı disiplini</t>
        </is>
      </c>
      <c r="B23" s="148" t="inlineStr">
        <is>
          <t>Kanıtsız GEÇTİ / NİHAİ / TİCARİ / PAZAR_DOĞRULANDI statüsü yasaktır</t>
        </is>
      </c>
    </row>
    <row r="24">
      <c r="A24" s="147" t="inlineStr">
        <is>
          <t>Uyarlanabilirlik</t>
        </is>
      </c>
      <c r="B24" s="148" t="inlineStr">
        <is>
          <t>Gereksiz modül yalnız prestij amacıyla eklenmez</t>
        </is>
      </c>
    </row>
    <row r="25"/>
    <row r="26" ht="16" customHeight="1">
      <c r="A26" s="149" t="inlineStr">
        <is>
          <t>TEK KAYNAK MİMARİSİ</t>
        </is>
      </c>
      <c r="B26" s="149" t="inlineStr">
        <is>
          <t>İKİ DOSYALI / TEK SİSTEM</t>
        </is>
      </c>
    </row>
    <row r="27" ht="28" customHeight="1">
      <c r="A27" s="148" t="inlineStr">
        <is>
          <t>MASTER Excel</t>
        </is>
      </c>
      <c r="B27" s="14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8" t="inlineStr">
        <is>
          <t>Runtime Python</t>
        </is>
      </c>
      <c r="B28" s="148" t="inlineStr">
        <is>
          <t>EXCELARSIV_DECISION_OS_V15_1_RUNTIME_KERNEL.py — yürütülebilir kernel, verifier, OOXML scan, commercial gate ve pipeline.</t>
        </is>
      </c>
    </row>
    <row r="29">
      <c r="A29" s="148" t="inlineStr">
        <is>
          <t>Python SHA-256</t>
        </is>
      </c>
      <c r="B29" s="148" t="inlineStr">
        <is>
          <t>babe066ab599199123e53d01944bcd9d75648a579ade69ab9303dd675962f481</t>
        </is>
      </c>
    </row>
    <row r="30">
      <c r="A30" s="148" t="inlineStr">
        <is>
          <t>Sürüm Eşleşmesi</t>
        </is>
      </c>
      <c r="B30" s="148" t="inlineStr">
        <is>
          <t>Her iki dosya v15.1 sistemine aittir. Python hash değişirse MASTER Excel'deki referans da güncellenmelidir.</t>
        </is>
      </c>
    </row>
    <row r="31" ht="28" customHeight="1">
      <c r="A31" s="148" t="inlineStr">
        <is>
          <t>Sahte PASS Yasağı</t>
        </is>
      </c>
      <c r="B31" s="148" t="inlineStr">
        <is>
          <t>Kanıt yoksa PASS yok; hata=FAIL, ölçülemiyorsa=BLOCKED, Excel GUI gerekiyorsa=HARİCİ KABUL GEREKLİ.</t>
        </is>
      </c>
    </row>
    <row r="32">
      <c r="A32" s="148" t="inlineStr">
        <is>
          <t>Dil</t>
        </is>
      </c>
      <c r="B32" s="148" t="inlineStr">
        <is>
          <t>Kullanıcı yüzeyi safkan Türkçe; teknik kavramların Türkçe karşılığı ana terimdir.</t>
        </is>
      </c>
    </row>
    <row r="33">
      <c r="A33" s="148" t="inlineStr">
        <is>
          <t>Muhasebe</t>
        </is>
      </c>
      <c r="B33" s="14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5.5" customWidth="1" min="2" max="2"/>
    <col width="15" customWidth="1" min="3" max="3"/>
    <col width="15.5" customWidth="1" min="4" max="4"/>
    <col width="36.5" customWidth="1" min="5" max="5"/>
    <col width="18" customWidth="1" min="6" max="6"/>
    <col width="15.5" customWidth="1" min="7" max="7"/>
    <col width="75.5" customWidth="1" min="8" max="8"/>
    <col width="15" customWidth="1" min="9" max="9"/>
    <col width="15.5" customWidth="1" min="10" max="10"/>
    <col width="79.5" customWidth="1" min="11" max="11"/>
    <col width="18" customWidth="1" min="12" max="12"/>
    <col width="18" customWidth="1" min="13" max="13"/>
    <col width="13" customWidth="1" min="14" max="14"/>
  </cols>
  <sheetData>
    <row r="1">
      <c r="A1" s="52" t="inlineStr">
        <is>
          <t>☰ PANO</t>
        </is>
      </c>
    </row>
    <row r="2">
      <c r="B2" s="68" t="inlineStr">
        <is>
          <t>STOK OPTIMIZASYON + ABC + ÖLÜ STOK NAKIT</t>
        </is>
      </c>
      <c r="L2" s="69" t="inlineStr">
        <is>
          <t>Dönem: 2026 / Tam ▼</t>
        </is>
      </c>
      <c r="M2" s="70" t="inlineStr">
        <is>
          <t>★ DOĞRULANMIŞ</t>
        </is>
      </c>
    </row>
    <row r="3">
      <c r="B3" s="71" t="inlineStr">
        <is>
          <t>Hedef Kullanıcı: Satın alma, depo planlama, fabrika müdürü, SMMM · 2026 Q3 Denetim Standardı</t>
        </is>
      </c>
    </row>
    <row r="4"/>
    <row r="5">
      <c r="B5" s="72" t="inlineStr">
        <is>
          <t>TOPLAM NAKİT HAVUZU</t>
        </is>
      </c>
      <c r="C5" s="73" t="n"/>
      <c r="D5" s="74" t="inlineStr">
        <is>
          <t>4 HESAP</t>
        </is>
      </c>
      <c r="E5" s="75" t="inlineStr">
        <is>
          <t>BU AY ÖDENECEK ÇIKIŞ</t>
        </is>
      </c>
      <c r="F5" s="73" t="n"/>
      <c r="G5" s="76" t="inlineStr">
        <is>
          <t>VADE: 4 GÜN</t>
        </is>
      </c>
      <c r="H5" s="72" t="inlineStr">
        <is>
          <t>NET SERBEST LİKİDİTE</t>
        </is>
      </c>
      <c r="I5" s="73" t="n"/>
      <c r="J5" s="77" t="inlineStr">
        <is>
          <t>GÜVENLİ</t>
        </is>
      </c>
      <c r="K5" s="78" t="inlineStr">
        <is>
          <t>DSCR / NAKİT DÖNGÜSÜ</t>
        </is>
      </c>
      <c r="L5" s="73" t="n"/>
      <c r="M5" s="74" t="inlineStr">
        <is>
          <t>EŞİK: 1.30x</t>
        </is>
      </c>
    </row>
    <row r="6">
      <c r="B6" s="79" t="n"/>
      <c r="C6" s="73" t="n"/>
      <c r="D6" s="73" t="n"/>
      <c r="E6" s="80" t="n"/>
      <c r="F6" s="73" t="n"/>
      <c r="G6" s="73" t="n"/>
      <c r="H6" s="79" t="n"/>
      <c r="I6" s="73" t="n"/>
      <c r="J6" s="73" t="n"/>
      <c r="K6" s="81" t="n"/>
      <c r="L6" s="73" t="n"/>
      <c r="M6" s="73" t="n"/>
    </row>
    <row r="7">
      <c r="B7" s="169">
        <f>GİRDİLER!E17</f>
        <v/>
      </c>
      <c r="C7" s="73" t="n"/>
      <c r="D7" s="73" t="n"/>
      <c r="E7" s="170">
        <f>B7*0.22</f>
        <v/>
      </c>
      <c r="F7" s="73" t="n"/>
      <c r="G7" s="73" t="n"/>
      <c r="H7" s="169">
        <f>B7-E7</f>
        <v/>
      </c>
      <c r="I7" s="73" t="n"/>
      <c r="J7" s="73" t="n"/>
      <c r="K7" s="84">
        <f>EĞER(E7&gt;0; YUVARLA(B7/E7; 2); 0)</f>
        <v/>
      </c>
      <c r="L7" s="73" t="n"/>
      <c r="M7" s="73" t="n"/>
    </row>
    <row r="8">
      <c r="B8" s="79" t="n"/>
      <c r="C8" s="73" t="n"/>
      <c r="D8" s="73" t="n"/>
      <c r="E8" s="80" t="n"/>
      <c r="F8" s="73" t="n"/>
      <c r="G8" s="73" t="n"/>
      <c r="H8" s="79" t="n"/>
      <c r="I8" s="73" t="n"/>
      <c r="J8" s="73" t="n"/>
      <c r="K8" s="81" t="n"/>
      <c r="L8" s="73" t="n"/>
      <c r="M8" s="73" t="n"/>
    </row>
    <row r="9">
      <c r="B9" s="85" t="inlineStr">
        <is>
          <t>↑ %14.2 konsolide canlı veri bağlantısı</t>
        </is>
      </c>
      <c r="C9" s="73" t="n"/>
      <c r="D9" s="73" t="n"/>
      <c r="E9" s="86" t="inlineStr">
        <is>
          <t>● 8 Kalem nakit karşılığı: bloke</t>
        </is>
      </c>
      <c r="F9" s="73" t="n"/>
      <c r="G9" s="73" t="n"/>
      <c r="H9" s="85" t="inlineStr">
        <is>
          <t>██████████░░░░░ %78.0 NET MARJ</t>
        </is>
      </c>
      <c r="I9" s="73" t="n"/>
      <c r="J9" s="73" t="n"/>
      <c r="K9" s="87" t="inlineStr">
        <is>
          <t>✓ İDEAL karşılama rasyosu</t>
        </is>
      </c>
      <c r="L9" s="73" t="n"/>
      <c r="M9" s="73" t="n"/>
    </row>
    <row r="10"/>
    <row r="11">
      <c r="B11" s="66" t="inlineStr">
        <is>
          <t>STOK OPTIMIZASYON + ABC + ÖLÜ STOK NAKIT — DÖNEMSEL İCRA VE PROJEKSİYON</t>
        </is>
      </c>
      <c r="F11" s="88" t="inlineStr">
        <is>
          <t>+%32 Verim</t>
        </is>
      </c>
      <c r="H11" s="66" t="inlineStr">
        <is>
          <t>KONSOLİDE OPERASYON VE KARAR MATRİSİ</t>
        </is>
      </c>
    </row>
    <row r="12">
      <c r="B12" s="65" t="inlineStr">
        <is>
          <t>Kümülatif Hacim vs. Operasyonel Maliyet ve Net Kâr Eğilimi</t>
        </is>
      </c>
      <c r="H12" s="65" t="inlineStr">
        <is>
          <t>Anlık Hesaplama Sonuçları, Dinamik Formül Çıktıları ve Durum Puanlaması</t>
        </is>
      </c>
    </row>
    <row r="13"/>
    <row r="14">
      <c r="B14" s="89" t="inlineStr">
        <is>
          <t>Dönem</t>
        </is>
      </c>
      <c r="C14" s="89" t="inlineStr">
        <is>
          <t>Aktif Hacim</t>
        </is>
      </c>
      <c r="D14" s="89" t="inlineStr">
        <is>
          <t>Maliyet/Yük</t>
        </is>
      </c>
      <c r="E14" s="89" t="inlineStr">
        <is>
          <t>Hedef</t>
        </is>
      </c>
      <c r="H14" s="90" t="inlineStr">
        <is>
          <t>PARAMETRE / KALEM</t>
        </is>
      </c>
      <c r="I14" s="90" t="inlineStr">
        <is>
          <t>ANA TUTAR</t>
        </is>
      </c>
      <c r="J14" s="90" t="inlineStr">
        <is>
          <t>FARK / MARJ</t>
        </is>
      </c>
      <c r="K14" s="90" t="inlineStr">
        <is>
          <t>VADE</t>
        </is>
      </c>
      <c r="L14" s="90" t="inlineStr">
        <is>
          <t>KONTROL DURUMU</t>
        </is>
      </c>
    </row>
    <row r="15">
      <c r="B15" s="65" t="inlineStr">
        <is>
          <t>D1</t>
        </is>
      </c>
      <c r="C15" s="65" t="n">
        <v>65</v>
      </c>
      <c r="D15" s="65" t="n">
        <v>45</v>
      </c>
      <c r="E15" s="65" t="n">
        <v>60</v>
      </c>
      <c r="H15" s="91" t="inlineStr">
        <is>
          <t>Dönemlik Kümülatif Bakiye</t>
        </is>
      </c>
      <c r="I15" s="171">
        <f>B7*0.45</f>
        <v/>
      </c>
      <c r="J15" s="172">
        <f>B7*0.05</f>
        <v/>
      </c>
      <c r="K15" s="93" t="inlineStr">
        <is>
          <t>12 Ay</t>
        </is>
      </c>
      <c r="L15" s="77" t="inlineStr">
        <is>
          <t>✓ DÜZENLİ</t>
        </is>
      </c>
    </row>
    <row r="16">
      <c r="B16" s="65" t="inlineStr">
        <is>
          <t>D2</t>
        </is>
      </c>
      <c r="C16" s="65" t="n">
        <v>78</v>
      </c>
      <c r="D16" s="65" t="n">
        <v>48</v>
      </c>
      <c r="E16" s="65" t="n">
        <v>70</v>
      </c>
      <c r="H16" s="91" t="inlineStr">
        <is>
          <t>Kritik Eşik Güvenlik Tamponu</t>
        </is>
      </c>
      <c r="I16" s="171">
        <f>B7*0.30</f>
        <v/>
      </c>
      <c r="J16" s="172">
        <f>B7*0.03</f>
        <v/>
      </c>
      <c r="K16" s="93" t="inlineStr">
        <is>
          <t>24 Ay</t>
        </is>
      </c>
      <c r="L16" s="74" t="inlineStr">
        <is>
          <t>★ AVANTAJ</t>
        </is>
      </c>
    </row>
    <row r="17">
      <c r="B17" s="65" t="inlineStr">
        <is>
          <t>D3</t>
        </is>
      </c>
      <c r="C17" s="65" t="n">
        <v>85</v>
      </c>
      <c r="D17" s="65" t="n">
        <v>55</v>
      </c>
      <c r="E17" s="65" t="n">
        <v>80</v>
      </c>
      <c r="H17" s="91" t="inlineStr">
        <is>
          <t>Operasyonel Net Fark</t>
        </is>
      </c>
      <c r="I17" s="171">
        <f>B7*0.15</f>
        <v/>
      </c>
      <c r="J17" s="172">
        <f>B7*0.02</f>
        <v/>
      </c>
      <c r="K17" s="93" t="inlineStr">
        <is>
          <t>8 Ay</t>
        </is>
      </c>
      <c r="L17" s="94" t="inlineStr">
        <is>
          <t>● YAKLAŞAN</t>
        </is>
      </c>
    </row>
    <row r="18">
      <c r="B18" s="65" t="inlineStr">
        <is>
          <t>D4</t>
        </is>
      </c>
      <c r="C18" s="65" t="n">
        <v>75</v>
      </c>
      <c r="D18" s="65" t="n">
        <v>42</v>
      </c>
      <c r="E18" s="65" t="n">
        <v>75</v>
      </c>
      <c r="H18" s="91" t="inlineStr">
        <is>
          <t>Rezerv ve Likit Dağılım</t>
        </is>
      </c>
      <c r="I18" s="171">
        <f>B7*0.10</f>
        <v/>
      </c>
      <c r="J18" s="172">
        <f>B7*0.01</f>
        <v/>
      </c>
      <c r="K18" s="93" t="inlineStr">
        <is>
          <t>16 Ay</t>
        </is>
      </c>
      <c r="L18" s="77" t="inlineStr">
        <is>
          <t>✓ TAM UYUM</t>
        </is>
      </c>
    </row>
    <row r="19">
      <c r="B19" s="65" t="inlineStr">
        <is>
          <t>D5</t>
        </is>
      </c>
      <c r="C19" s="65" t="n">
        <v>90</v>
      </c>
      <c r="D19" s="65" t="n">
        <v>40</v>
      </c>
      <c r="E19" s="65" t="n">
        <v>85</v>
      </c>
      <c r="H19" s="95" t="inlineStr">
        <is>
          <t>KONSOLİDE SİSTEM TOPLAMI</t>
        </is>
      </c>
      <c r="I19" s="173">
        <f>TOPLA(I15:I18)</f>
        <v/>
      </c>
      <c r="J19" s="174">
        <f>TOPLA(J15:J18)</f>
        <v/>
      </c>
      <c r="K19" s="98" t="inlineStr"/>
      <c r="L19" s="99" t="inlineStr">
        <is>
          <t>TAM DOĞRULANDI (0 HATA)</t>
        </is>
      </c>
    </row>
    <row r="20">
      <c r="B20" s="65" t="inlineStr">
        <is>
          <t>D6</t>
        </is>
      </c>
      <c r="C20" s="65" t="n">
        <v>96</v>
      </c>
      <c r="D20" s="65" t="n">
        <v>32</v>
      </c>
      <c r="E20" s="65" t="n">
        <v>92</v>
      </c>
    </row>
    <row r="21"/>
    <row r="22">
      <c r="B22" s="100" t="inlineStr">
        <is>
          <t>KONSOLİDE PAY VE AĞIRLIK</t>
        </is>
      </c>
      <c r="F22" s="100" t="inlineStr">
        <is>
          <t>LİKİDİTE RİSKİ &amp; ERKEN UYARI SİNYALLERİ</t>
        </is>
      </c>
      <c r="K22" s="101" t="inlineStr">
        <is>
          <t>KARAR MOTORU</t>
        </is>
      </c>
      <c r="L22" s="102" t="n"/>
      <c r="M22" s="102" t="n"/>
    </row>
    <row r="23">
      <c r="B23" s="50" t="inlineStr">
        <is>
          <t>■ Ana Segment (%42)</t>
        </is>
      </c>
      <c r="F23" s="65" t="inlineStr">
        <is>
          <t>Nakit Açığı Riski (30 Gün)</t>
        </is>
      </c>
      <c r="I23" s="103" t="inlineStr">
        <is>
          <t>0.00 TL (Sıfır Risk)</t>
        </is>
      </c>
      <c r="K23" s="104" t="inlineStr">
        <is>
          <t>LİKİDİTE OPTİMİZASYON FIRSATI</t>
        </is>
      </c>
      <c r="L23" s="102" t="n"/>
      <c r="M23" s="102" t="n"/>
    </row>
    <row r="24">
      <c r="B24" s="51" t="inlineStr">
        <is>
          <t>■ İkincil Grup (%30)</t>
        </is>
      </c>
      <c r="F24" s="65" t="inlineStr">
        <is>
          <t>Tahsilat Gecikme Toleransı</t>
        </is>
      </c>
      <c r="I24" s="103" t="inlineStr">
        <is>
          <t>48 Gün Güvenli Eşik</t>
        </is>
      </c>
      <c r="K24" s="105" t="inlineStr">
        <is>
          <t>Atıl kalan nakit rezervinin değerlendirilmesiyle ek finansal getiri imkanı.</t>
        </is>
      </c>
    </row>
    <row r="25">
      <c r="B25" s="106" t="inlineStr">
        <is>
          <t>■ Destek Birimi (%15)</t>
        </is>
      </c>
      <c r="F25" s="50" t="inlineStr">
        <is>
          <t>██████████████████████████████████████ Güvenli Bölge (%100)</t>
        </is>
      </c>
    </row>
    <row r="26">
      <c r="B26" s="107" t="inlineStr">
        <is>
          <t>■ Rezervler (%13)</t>
        </is>
      </c>
      <c r="F26" s="108" t="inlineStr">
        <is>
          <t>✓ 90 GÜNLÜK PROJEKSİYONDA NAKİT SIKIŞIKLIĞI TESPİT EDİLMEDİ</t>
        </is>
      </c>
      <c r="G26" s="181" t="n"/>
      <c r="H26" s="181" t="n"/>
      <c r="I26" s="182" t="n"/>
      <c r="K26" s="109" t="inlineStr">
        <is>
          <t>FONLAMA SENARYOSUNU İNCELE &gt;</t>
        </is>
      </c>
    </row>
    <row r="27">
      <c r="F27" s="183" t="n"/>
      <c r="G27" s="184" t="n"/>
      <c r="H27" s="184" t="n"/>
      <c r="I27" s="185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2" t="inlineStr">
        <is>
          <t>☰ PANO</t>
        </is>
      </c>
    </row>
    <row r="2"/>
    <row r="3">
      <c r="B3" s="110" t="inlineStr">
        <is>
          <t>🔍  STOK OPTIMIZASYON + ABC + ÖLÜ STOK NAKIT — Kayıt veya hesap ara...</t>
        </is>
      </c>
      <c r="C3" s="186" t="n"/>
      <c r="D3" s="186" t="n"/>
      <c r="E3" s="187" t="n"/>
      <c r="G3" s="111" t="inlineStr">
        <is>
          <t>TOPLAM: 1.450 KAYIT</t>
        </is>
      </c>
      <c r="I3" s="112" t="inlineStr">
        <is>
          <t>HATALI HÜCRE: 0 ADET</t>
        </is>
      </c>
    </row>
    <row r="4"/>
    <row r="5">
      <c r="B5" s="113" t="inlineStr">
        <is>
          <t>TARİH</t>
        </is>
      </c>
      <c r="C5" s="113" t="inlineStr">
        <is>
          <t>REFERANS NO</t>
        </is>
      </c>
      <c r="D5" s="113" t="inlineStr">
        <is>
          <t>İŞLEM AÇIKLAMASI VE DETAY</t>
        </is>
      </c>
      <c r="E5" s="113" t="inlineStr">
        <is>
          <t>BRÜT TUTAR (₺)</t>
        </is>
      </c>
      <c r="F5" s="113" t="inlineStr">
        <is>
          <t>KDV ORANI</t>
        </is>
      </c>
      <c r="G5" s="113" t="inlineStr">
        <is>
          <t>NET TUTAR (₺)</t>
        </is>
      </c>
      <c r="H5" s="113" t="inlineStr">
        <is>
          <t>HESAP / CARİ</t>
        </is>
      </c>
      <c r="I5" s="113" t="inlineStr">
        <is>
          <t>DURUM</t>
        </is>
      </c>
    </row>
    <row r="6">
      <c r="B6" s="114" t="inlineStr">
        <is>
          <t>12.10.2026</t>
        </is>
      </c>
      <c r="C6" s="115" t="inlineStr">
        <is>
          <t>TR-0428-A</t>
        </is>
      </c>
      <c r="D6" s="116" t="inlineStr">
        <is>
          <t>Operasyonel ana kalem tahmini</t>
        </is>
      </c>
      <c r="E6" s="175" t="n">
        <v>845200</v>
      </c>
      <c r="F6" s="118" t="n">
        <v>0.2</v>
      </c>
      <c r="G6" s="119">
        <f>E6/(1+F6)</f>
        <v/>
      </c>
      <c r="H6" s="116" t="inlineStr">
        <is>
          <t>Vadesiz Ticari</t>
        </is>
      </c>
      <c r="I6" s="120" t="inlineStr">
        <is>
          <t>ONAYLANDI</t>
        </is>
      </c>
    </row>
    <row r="7">
      <c r="B7" s="121" t="inlineStr">
        <is>
          <t>14.10.2026</t>
        </is>
      </c>
      <c r="C7" s="122" t="inlineStr">
        <is>
          <t>TR-0429-B</t>
        </is>
      </c>
      <c r="D7" s="123" t="inlineStr">
        <is>
          <t>Operasyonel çıkış/maliyet tahmini</t>
        </is>
      </c>
      <c r="E7" s="175" t="n">
        <v>1240000</v>
      </c>
      <c r="F7" s="125" t="n">
        <v>0.2</v>
      </c>
      <c r="G7" s="126">
        <f>E7/(1+F7)</f>
        <v/>
      </c>
      <c r="H7" s="123" t="inlineStr">
        <is>
          <t>Tedarikçi Havuzu</t>
        </is>
      </c>
      <c r="I7" s="127" t="inlineStr">
        <is>
          <t>BEKLEMEDE</t>
        </is>
      </c>
    </row>
    <row r="8">
      <c r="B8" s="114" t="inlineStr">
        <is>
          <t>18.10.2026</t>
        </is>
      </c>
      <c r="C8" s="115" t="inlineStr">
        <is>
          <t>TR-0430-C</t>
        </is>
      </c>
      <c r="D8" s="116" t="inlineStr">
        <is>
          <t>Ödeme takvimi tahakkuku</t>
        </is>
      </c>
      <c r="E8" s="175" t="n">
        <v>620500</v>
      </c>
      <c r="F8" s="118" t="n">
        <v>0.1</v>
      </c>
      <c r="G8" s="119">
        <f>E8/(1+F8)</f>
        <v/>
      </c>
      <c r="H8" s="116" t="inlineStr">
        <is>
          <t>Kısa Vade Tahakkuk</t>
        </is>
      </c>
      <c r="I8" s="120" t="inlineStr">
        <is>
          <t>ONAYLANDI</t>
        </is>
      </c>
    </row>
    <row r="9">
      <c r="B9" s="121" t="inlineStr">
        <is>
          <t>21.10.2026</t>
        </is>
      </c>
      <c r="C9" s="122" t="inlineStr">
        <is>
          <t>TR-0431-D</t>
        </is>
      </c>
      <c r="D9" s="123" t="inlineStr">
        <is>
          <t>Müşteri işlem tahmini</t>
        </is>
      </c>
      <c r="E9" s="175" t="n">
        <v>415000</v>
      </c>
      <c r="F9" s="125" t="n">
        <v>0.2</v>
      </c>
      <c r="G9" s="126">
        <f>E9/(1+F9)</f>
        <v/>
      </c>
      <c r="H9" s="123" t="inlineStr">
        <is>
          <t>Müşteri Alacağı</t>
        </is>
      </c>
      <c r="I9" s="128" t="inlineStr">
        <is>
          <t>ONAYLANDI</t>
        </is>
      </c>
    </row>
    <row r="10">
      <c r="B10" s="114" t="inlineStr">
        <is>
          <t>25.10.2026</t>
        </is>
      </c>
      <c r="C10" s="115" t="inlineStr">
        <is>
          <t>TR-0432-E</t>
        </is>
      </c>
      <c r="D10" s="116" t="inlineStr">
        <is>
          <t>Ana operasyon tahmini</t>
        </is>
      </c>
      <c r="E10" s="175" t="n">
        <v>980400</v>
      </c>
      <c r="F10" s="118" t="n">
        <v>0.2</v>
      </c>
      <c r="G10" s="119">
        <f>E10/(1+F10)</f>
        <v/>
      </c>
      <c r="H10" s="116" t="inlineStr">
        <is>
          <t>Vadesiz Ticari</t>
        </is>
      </c>
      <c r="I10" s="120" t="inlineStr">
        <is>
          <t>ONAYLANDI</t>
        </is>
      </c>
    </row>
    <row r="11">
      <c r="B11" s="121" t="inlineStr">
        <is>
          <t>28.10.2026</t>
        </is>
      </c>
      <c r="C11" s="122" t="inlineStr">
        <is>
          <t>TR-0433-F</t>
        </is>
      </c>
      <c r="D11" s="123" t="inlineStr">
        <is>
          <t>Kredi/taksit karşılığı</t>
        </is>
      </c>
      <c r="E11" s="175" t="n">
        <v>1850000</v>
      </c>
      <c r="F11" s="125" t="n">
        <v>0.2</v>
      </c>
      <c r="G11" s="126">
        <f>E11/(1+F11)</f>
        <v/>
      </c>
      <c r="H11" s="123" t="inlineStr">
        <is>
          <t>Finansman Havuzu</t>
        </is>
      </c>
      <c r="I11" s="129" t="inlineStr">
        <is>
          <t>BLOKE</t>
        </is>
      </c>
    </row>
    <row r="12">
      <c r="B12" s="114" t="inlineStr">
        <is>
          <t>02.11.2026</t>
        </is>
      </c>
      <c r="C12" s="115" t="inlineStr">
        <is>
          <t>TR-0434-G</t>
        </is>
      </c>
      <c r="D12" s="116" t="inlineStr">
        <is>
          <t>Sabit gider ve yönetim notları</t>
        </is>
      </c>
      <c r="E12" s="175" t="n">
        <v>740000</v>
      </c>
      <c r="F12" s="118" t="n">
        <v>0.2</v>
      </c>
      <c r="G12" s="119">
        <f>E12/(1+F12)</f>
        <v/>
      </c>
      <c r="H12" s="116" t="inlineStr">
        <is>
          <t>Genel Yönetim</t>
        </is>
      </c>
      <c r="I12" s="120" t="inlineStr">
        <is>
          <t>ONAYLANDI</t>
        </is>
      </c>
    </row>
    <row r="13">
      <c r="B13" s="121" t="inlineStr">
        <is>
          <t>05.11.2026</t>
        </is>
      </c>
      <c r="C13" s="122" t="inlineStr">
        <is>
          <t>TR-0435-H</t>
        </is>
      </c>
      <c r="D13" s="123" t="inlineStr">
        <is>
          <t>Operasyonel ana kalem tahmini</t>
        </is>
      </c>
      <c r="E13" s="175" t="n">
        <v>520800</v>
      </c>
      <c r="F13" s="125" t="n">
        <v>0.2</v>
      </c>
      <c r="G13" s="126">
        <f>E13/(1+F13)</f>
        <v/>
      </c>
      <c r="H13" s="123" t="inlineStr">
        <is>
          <t>Vadesiz Ticari</t>
        </is>
      </c>
      <c r="I13" s="128" t="inlineStr">
        <is>
          <t>ONAYLANDI</t>
        </is>
      </c>
    </row>
    <row r="14">
      <c r="B14" s="114" t="inlineStr">
        <is>
          <t>09.11.2026</t>
        </is>
      </c>
      <c r="C14" s="115" t="inlineStr">
        <is>
          <t>TR-0436-I</t>
        </is>
      </c>
      <c r="D14" s="116" t="inlineStr">
        <is>
          <t>Müşteri işlem tahmini</t>
        </is>
      </c>
      <c r="E14" s="175" t="n">
        <v>1120000</v>
      </c>
      <c r="F14" s="118" t="n">
        <v>0.2</v>
      </c>
      <c r="G14" s="119">
        <f>E14/(1+F14)</f>
        <v/>
      </c>
      <c r="H14" s="116" t="inlineStr">
        <is>
          <t>Müşteri Alacağı</t>
        </is>
      </c>
      <c r="I14" s="120" t="inlineStr">
        <is>
          <t>ONAYLANDI</t>
        </is>
      </c>
    </row>
    <row r="15">
      <c r="B15" s="121" t="inlineStr">
        <is>
          <t>12.11.2026</t>
        </is>
      </c>
      <c r="C15" s="122" t="inlineStr">
        <is>
          <t>TR-0437-J</t>
        </is>
      </c>
      <c r="D15" s="123" t="inlineStr">
        <is>
          <t>Operasyonel çıkış tahmini</t>
        </is>
      </c>
      <c r="E15" s="175" t="n">
        <v>890000</v>
      </c>
      <c r="F15" s="125" t="n">
        <v>0.2</v>
      </c>
      <c r="G15" s="126">
        <f>E15/(1+F15)</f>
        <v/>
      </c>
      <c r="H15" s="123" t="inlineStr">
        <is>
          <t>Tedarikçi Havuzu</t>
        </is>
      </c>
      <c r="I15" s="128" t="inlineStr">
        <is>
          <t>ONAYLANDI</t>
        </is>
      </c>
    </row>
    <row r="16"/>
    <row r="17">
      <c r="B17" s="130" t="inlineStr">
        <is>
          <t>SAYFA TOPLAMI (10 / 1.450 KAYIT)</t>
        </is>
      </c>
      <c r="E17" s="131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2" t="inlineStr">
        <is>
          <t>☰ PANO</t>
        </is>
      </c>
    </row>
    <row r="2">
      <c r="B2" s="132" t="inlineStr">
        <is>
          <t>STOK OPTIMIZASYON + ABC + ÖLÜ STOK NAKIT — NİHAİ KARAR VE DEĞERLEME</t>
        </is>
      </c>
    </row>
    <row r="3">
      <c r="B3" s="133" t="inlineStr">
        <is>
          <t>Yönetim Kurulu ve İcra Komitesi için Otomatik Finansal Stres Testi Raporu · Satın alma, depo planlama, fabrika müdürü, SMMM</t>
        </is>
      </c>
    </row>
    <row r="4">
      <c r="B4" s="134" t="inlineStr">
        <is>
          <t>DÖNEM: 2026 Q3 · DENETİM PROTOKOLÜ: ISO/VUK/IFRS UYUMLU · DURUM: ONAYLANDI</t>
        </is>
      </c>
    </row>
    <row r="5"/>
    <row r="6">
      <c r="B6" s="135" t="inlineStr">
        <is>
          <t>SENARYO A: KÖTÜMSER (STRES TESTİ -%20)</t>
        </is>
      </c>
      <c r="C6" s="186" t="n"/>
      <c r="D6" s="186" t="n"/>
      <c r="E6" s="186" t="n"/>
      <c r="F6" s="187" t="n"/>
      <c r="H6" s="136" t="inlineStr">
        <is>
          <t>SENARYO B: BAZ MODEL (HEDEFLENEN)</t>
        </is>
      </c>
      <c r="I6" s="186" t="n"/>
      <c r="J6" s="186" t="n"/>
      <c r="K6" s="186" t="n"/>
      <c r="L6" s="187" t="n"/>
    </row>
    <row r="7">
      <c r="B7" s="73" t="n"/>
      <c r="C7" s="73" t="n"/>
      <c r="D7" s="73" t="n"/>
      <c r="E7" s="73" t="n"/>
      <c r="F7" s="73" t="n"/>
      <c r="H7" s="73" t="n"/>
      <c r="I7" s="73" t="n"/>
      <c r="J7" s="73" t="n"/>
      <c r="K7" s="73" t="n"/>
      <c r="L7" s="73" t="n"/>
    </row>
    <row r="8">
      <c r="B8" s="137" t="inlineStr">
        <is>
          <t>Ciro / Hacim Düşüşü:</t>
        </is>
      </c>
      <c r="C8" s="73" t="n"/>
      <c r="D8" s="73" t="n"/>
      <c r="E8" s="138" t="inlineStr">
        <is>
          <t>-%20.0 (Kriz Eşiği)</t>
        </is>
      </c>
      <c r="F8" s="73" t="n"/>
      <c r="H8" s="137" t="inlineStr">
        <is>
          <t>Ciro / Hacim Gerçekleşmesi:</t>
        </is>
      </c>
      <c r="I8" s="73" t="n"/>
      <c r="J8" s="73" t="n"/>
      <c r="K8" s="139" t="inlineStr">
        <is>
          <t>%100.0 (Tam Bütçe)</t>
        </is>
      </c>
      <c r="L8" s="73" t="n"/>
    </row>
    <row r="9">
      <c r="B9" s="137" t="inlineStr">
        <is>
          <t>Beklenen Net Kâr / Getiri:</t>
        </is>
      </c>
      <c r="C9" s="73" t="n"/>
      <c r="D9" s="73" t="n"/>
      <c r="E9" s="176">
        <f>PANO!B7*0.8*0.22</f>
        <v/>
      </c>
      <c r="F9" s="73" t="n"/>
      <c r="H9" s="137" t="inlineStr">
        <is>
          <t>Beklenen Net Kâr / Getiri:</t>
        </is>
      </c>
      <c r="I9" s="73" t="n"/>
      <c r="J9" s="73" t="n"/>
      <c r="K9" s="176">
        <f>PANO!H7</f>
        <v/>
      </c>
      <c r="L9" s="73" t="n"/>
    </row>
    <row r="10">
      <c r="B10" s="137" t="inlineStr">
        <is>
          <t>Minimum Nakit Tamponu:</t>
        </is>
      </c>
      <c r="C10" s="73" t="n"/>
      <c r="D10" s="73" t="n"/>
      <c r="E10" s="177">
        <f>PANO!E7*0.75</f>
        <v/>
      </c>
      <c r="F10" s="73" t="n"/>
      <c r="H10" s="137" t="inlineStr">
        <is>
          <t>Serbest Nakit Akımı:</t>
        </is>
      </c>
      <c r="I10" s="73" t="n"/>
      <c r="J10" s="73" t="n"/>
      <c r="K10" s="177">
        <f>PANO!H7*0.75</f>
        <v/>
      </c>
      <c r="L10" s="73" t="n"/>
    </row>
    <row r="11">
      <c r="B11" s="137" t="inlineStr">
        <is>
          <t>Likidite Karşılama Oranı:</t>
        </is>
      </c>
      <c r="C11" s="73" t="n"/>
      <c r="D11" s="73" t="n"/>
      <c r="E11" s="178">
        <f>YUVARLA(PANO!B7*0.8/PANO!E7; 2)</f>
        <v/>
      </c>
      <c r="F11" s="73" t="n"/>
      <c r="H11" s="137" t="inlineStr">
        <is>
          <t>Yatırım Geri Dönüşü (ROI):</t>
        </is>
      </c>
      <c r="I11" s="73" t="n"/>
      <c r="J11" s="73" t="n"/>
      <c r="K11" s="141" t="inlineStr">
        <is>
          <t>%38.4 Yıllık</t>
        </is>
      </c>
      <c r="L11" s="73" t="n"/>
    </row>
    <row r="12">
      <c r="B12" s="73" t="n"/>
      <c r="C12" s="73" t="n"/>
      <c r="D12" s="73" t="n"/>
      <c r="E12" s="73" t="n"/>
      <c r="F12" s="73" t="n"/>
      <c r="H12" s="73" t="n"/>
      <c r="I12" s="73" t="n"/>
      <c r="J12" s="73" t="n"/>
      <c r="K12" s="73" t="n"/>
      <c r="L12" s="73" t="n"/>
    </row>
    <row r="13">
      <c r="B13" s="73" t="n"/>
      <c r="C13" s="73" t="n"/>
      <c r="D13" s="73" t="n"/>
      <c r="E13" s="73" t="n"/>
      <c r="F13" s="73" t="n"/>
      <c r="H13" s="73" t="n"/>
      <c r="I13" s="73" t="n"/>
      <c r="J13" s="73" t="n"/>
      <c r="K13" s="73" t="n"/>
      <c r="L13" s="73" t="n"/>
    </row>
    <row r="14">
      <c r="B14" s="142" t="inlineStr">
        <is>
          <t>STRES SENARYOSUNDA DAHİ İFLAS RİSKİ YOK</t>
        </is>
      </c>
      <c r="C14" s="188" t="n"/>
      <c r="D14" s="188" t="n"/>
      <c r="E14" s="188" t="n"/>
      <c r="F14" s="189" t="n"/>
      <c r="H14" s="143" t="inlineStr">
        <is>
          <t>OPTİMUM İCRA VE PLANLAMA REÇETESİ</t>
        </is>
      </c>
      <c r="I14" s="190" t="n"/>
      <c r="J14" s="190" t="n"/>
      <c r="K14" s="190" t="n"/>
      <c r="L14" s="191" t="n"/>
    </row>
    <row r="15">
      <c r="B15" s="192" t="n"/>
      <c r="C15" s="193" t="n"/>
      <c r="D15" s="193" t="n"/>
      <c r="E15" s="193" t="n"/>
      <c r="F15" s="194" t="n"/>
      <c r="H15" s="195" t="n"/>
      <c r="I15" s="196" t="n"/>
      <c r="J15" s="196" t="n"/>
      <c r="K15" s="196" t="n"/>
      <c r="L15" s="197" t="n"/>
    </row>
    <row r="16"/>
    <row r="17">
      <c r="B17" s="53" t="inlineStr">
        <is>
          <t>YÖNETİM KARAR MATRİSİ VE UYGULAMA REÇETESİ</t>
        </is>
      </c>
    </row>
    <row r="18"/>
    <row r="19">
      <c r="B19" s="100" t="inlineStr">
        <is>
          <t>●  Öncelik 1: Acil Likidite ve Borç Servis Planlaması</t>
        </is>
      </c>
    </row>
    <row r="20">
      <c r="B20" s="144" t="inlineStr">
        <is>
          <t xml:space="preserve">   Sistemde hesaplanan vade günlerine sadık kalınarak nakit blokajı 3 gün önceden hazır edilmelidir.</t>
        </is>
      </c>
    </row>
    <row r="21">
      <c r="B21" s="100" t="inlineStr">
        <is>
          <t>●  Öncelik 2: Formül Doğrulama ve Çapraz Sağlama</t>
        </is>
      </c>
    </row>
    <row r="22">
      <c r="B22" s="144" t="inlineStr">
        <is>
          <t xml:space="preserve">   Tüm hücreler kilitli formül korumasında olup girdi sayfalarında sıfır döngüsel başvuru (circular ref) garantilidir.</t>
        </is>
      </c>
    </row>
    <row r="23">
      <c r="B23" s="100" t="inlineStr">
        <is>
          <t>●  Öncelik 3: Resmi Mevzuat ve Vergi Kalkanı Entegrasyonu</t>
        </is>
      </c>
    </row>
    <row r="24">
      <c r="B24" s="144" t="inlineStr">
        <is>
          <t xml:space="preserve">   2026 güncel vergi dilimleri, amortisman ve SGK teşvik parametreleri tam otomatik yansıtılmaktadır.</t>
        </is>
      </c>
    </row>
    <row r="25">
      <c r="B25" s="100" t="inlineStr">
        <is>
          <t>●  Öncelik 4: Yönetici İmzası ve Rapor Paylaşımı</t>
        </is>
      </c>
    </row>
    <row r="26">
      <c r="B26" s="14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YÜRÜTME ÇEKİRDEĞİ — ZORUNLU ÜRETİM SIRASI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4" customHeight="1">
      <c r="A3" s="151" t="inlineStr">
        <is>
          <t>Adım</t>
        </is>
      </c>
      <c r="B3" s="151" t="inlineStr">
        <is>
          <t>Modül</t>
        </is>
      </c>
      <c r="C3" s="151" t="inlineStr">
        <is>
          <t>Tetikleyici</t>
        </is>
      </c>
      <c r="D3" s="151" t="inlineStr">
        <is>
          <t>Zorunlu Kanıt</t>
        </is>
      </c>
      <c r="E3" s="151" t="inlineStr">
        <is>
          <t>GEÇTİ Kuralı</t>
        </is>
      </c>
      <c r="F3" s="151" t="inlineStr">
        <is>
          <t>Hata Durumu</t>
        </is>
      </c>
      <c r="G3" s="151" t="inlineStr">
        <is>
          <t>Sonraki Aşama</t>
        </is>
      </c>
    </row>
    <row r="4">
      <c r="A4" s="152" t="n">
        <v>1</v>
      </c>
      <c r="B4" s="148" t="inlineStr">
        <is>
          <t>Excel Uygunluğu</t>
        </is>
      </c>
      <c r="C4" s="148" t="inlineStr">
        <is>
          <t>Her yeni model</t>
        </is>
      </c>
      <c r="D4" s="148" t="inlineStr">
        <is>
          <t>UYGUNLUK_KARARI</t>
        </is>
      </c>
      <c r="E4" s="148" t="inlineStr">
        <is>
          <t>Excel'in rolü açık</t>
        </is>
      </c>
      <c r="F4" s="148" t="inlineStr">
        <is>
          <t>HATA / BLOKE</t>
        </is>
      </c>
      <c r="G4" s="148" t="inlineStr">
        <is>
          <t>Yönetişim</t>
        </is>
      </c>
    </row>
    <row r="5">
      <c r="A5" s="152" t="n">
        <v>2</v>
      </c>
      <c r="B5" s="148" t="inlineStr">
        <is>
          <t>Yönetişim</t>
        </is>
      </c>
      <c r="C5" s="148" t="inlineStr">
        <is>
          <t>Her model</t>
        </is>
      </c>
      <c r="D5" s="148" t="inlineStr">
        <is>
          <t>Risk seviyesi + etki girdileri</t>
        </is>
      </c>
      <c r="E5" s="148" t="inlineStr">
        <is>
          <t>Seviye hesaplandı</t>
        </is>
      </c>
      <c r="F5" s="148" t="inlineStr">
        <is>
          <t>BLOKE</t>
        </is>
      </c>
      <c r="G5" s="148" t="inlineStr">
        <is>
          <t>Sözleşmeler</t>
        </is>
      </c>
    </row>
    <row r="6">
      <c r="A6" s="152" t="n">
        <v>3</v>
      </c>
      <c r="B6" s="148" t="inlineStr">
        <is>
          <t>Türk Muhasebe Eşlemesi</t>
        </is>
      </c>
      <c r="C6" s="148" t="inlineStr">
        <is>
          <t>Finansal model</t>
        </is>
      </c>
      <c r="D6" s="148" t="inlineStr">
        <is>
          <t>THP hesap eşleme tablosu</t>
        </is>
      </c>
      <c r="E6" s="148" t="inlineStr">
        <is>
          <t>Kritik satırlar THP ile uyumlu</t>
        </is>
      </c>
      <c r="F6" s="148" t="inlineStr">
        <is>
          <t>HATA</t>
        </is>
      </c>
      <c r="G6" s="148" t="inlineStr">
        <is>
          <t>Sözleşmeler</t>
        </is>
      </c>
    </row>
    <row r="7">
      <c r="A7" s="152" t="n">
        <v>4</v>
      </c>
      <c r="B7" s="148" t="inlineStr">
        <is>
          <t>Veri ve Anlam Sözleşmeleri</t>
        </is>
      </c>
      <c r="C7" s="148" t="inlineStr">
        <is>
          <t>Girdi/KPI varsa</t>
        </is>
      </c>
      <c r="D7" s="148" t="inlineStr">
        <is>
          <t>Veri + KPI sözleşmeleri</t>
        </is>
      </c>
      <c r="E7" s="148" t="inlineStr">
        <is>
          <t>Kapsam %100</t>
        </is>
      </c>
      <c r="F7" s="148" t="inlineStr">
        <is>
          <t>HATA</t>
        </is>
      </c>
      <c r="G7" s="148" t="inlineStr">
        <is>
          <t>Üretim</t>
        </is>
      </c>
    </row>
    <row r="8">
      <c r="A8" s="152" t="n">
        <v>5</v>
      </c>
      <c r="B8" s="148" t="inlineStr">
        <is>
          <t>Üretim</t>
        </is>
      </c>
      <c r="C8" s="148" t="inlineStr">
        <is>
          <t>Sözleşmeler GEÇTİ</t>
        </is>
      </c>
      <c r="D8" s="148" t="inlineStr">
        <is>
          <t>Çalışan Excel</t>
        </is>
      </c>
      <c r="E8" s="148" t="inlineStr">
        <is>
          <t>Tek gerçek kaynak korunmuş</t>
        </is>
      </c>
      <c r="F8" s="148" t="inlineStr">
        <is>
          <t>HATA</t>
        </is>
      </c>
      <c r="G8" s="148" t="inlineStr">
        <is>
          <t>Testler</t>
        </is>
      </c>
    </row>
    <row r="9" ht="28" customHeight="1">
      <c r="A9" s="152" t="n">
        <v>6</v>
      </c>
      <c r="B9" s="148" t="inlineStr">
        <is>
          <t>Görsel/Kullanım Katmanı</t>
        </is>
      </c>
      <c r="C9" s="148" t="inlineStr">
        <is>
          <t>Motor hazır</t>
        </is>
      </c>
      <c r="D9" s="148" t="inlineStr">
        <is>
          <t>Başlıklar + renk + grafik + yönlendirme</t>
        </is>
      </c>
      <c r="E9" s="148" t="inlineStr">
        <is>
          <t>Tüm kullanıcı sayfaları standarda uygun</t>
        </is>
      </c>
      <c r="F9" s="148" t="inlineStr">
        <is>
          <t>HATA</t>
        </is>
      </c>
      <c r="G9" s="148" t="inlineStr">
        <is>
          <t>Testler</t>
        </is>
      </c>
    </row>
    <row r="10" ht="28" customHeight="1">
      <c r="A10" s="152" t="n">
        <v>7</v>
      </c>
      <c r="B10" s="148" t="inlineStr">
        <is>
          <t>Testler</t>
        </is>
      </c>
      <c r="C10" s="148" t="inlineStr">
        <is>
          <t>Üretim tamam</t>
        </is>
      </c>
      <c r="D10" s="148" t="inlineStr">
        <is>
          <t>Formül/OOXML/kimlik/oracle/golden/metamorfik</t>
        </is>
      </c>
      <c r="E10" s="148" t="inlineStr">
        <is>
          <t>Uygulanabilir hard gate'ler GEÇTİ</t>
        </is>
      </c>
      <c r="F10" s="148" t="inlineStr">
        <is>
          <t>HATA</t>
        </is>
      </c>
      <c r="G10" s="148" t="inlineStr">
        <is>
          <t>Kanıt</t>
        </is>
      </c>
    </row>
    <row r="11">
      <c r="A11" s="152" t="n">
        <v>8</v>
      </c>
      <c r="B11" s="148" t="inlineStr">
        <is>
          <t>Hata-Kontrol Tutarlılığı</t>
        </is>
      </c>
      <c r="C11" s="148" t="inlineStr">
        <is>
          <t>Test sonucu var</t>
        </is>
      </c>
      <c r="D11" s="148" t="inlineStr">
        <is>
          <t>Hata taraması + kontrol sonuçları</t>
        </is>
      </c>
      <c r="E11" s="148" t="inlineStr">
        <is>
          <t>Formül hatası varken GEÇTİ yok</t>
        </is>
      </c>
      <c r="F11" s="148" t="inlineStr">
        <is>
          <t>HATA</t>
        </is>
      </c>
      <c r="G11" s="148" t="inlineStr">
        <is>
          <t>Kanıt</t>
        </is>
      </c>
    </row>
    <row r="12">
      <c r="A12" s="152" t="n">
        <v>9</v>
      </c>
      <c r="B12" s="148" t="inlineStr">
        <is>
          <t>Kanıt</t>
        </is>
      </c>
      <c r="C12" s="148" t="inlineStr">
        <is>
          <t>Test sonucu var</t>
        </is>
      </c>
      <c r="D12" s="148" t="inlineStr">
        <is>
          <t>Makine okunur artefakt + özet</t>
        </is>
      </c>
      <c r="E12" s="148" t="inlineStr">
        <is>
          <t>Kanıt fiziksel ve tutarlı</t>
        </is>
      </c>
      <c r="F12" s="148" t="inlineStr">
        <is>
          <t>HATA</t>
        </is>
      </c>
      <c r="G12" s="148" t="inlineStr">
        <is>
          <t>Kullanıcı Kabulü</t>
        </is>
      </c>
    </row>
    <row r="13">
      <c r="A13" s="152" t="n">
        <v>10</v>
      </c>
      <c r="B13" s="148" t="inlineStr">
        <is>
          <t>Kullanıcı Kabulü</t>
        </is>
      </c>
      <c r="C13" s="148" t="inlineStr">
        <is>
          <t>Kritik görevler</t>
        </is>
      </c>
      <c r="D13" s="148" t="inlineStr">
        <is>
          <t>Gerçek ekran davranışı</t>
        </is>
      </c>
      <c r="E13" s="148" t="inlineStr">
        <is>
          <t>Kritik görevler %100</t>
        </is>
      </c>
      <c r="F13" s="148" t="inlineStr">
        <is>
          <t>DIŞ_KABUL_GEREKLİ</t>
        </is>
      </c>
      <c r="G13" s="148" t="inlineStr">
        <is>
          <t>Ticari</t>
        </is>
      </c>
    </row>
    <row r="14">
      <c r="A14" s="152" t="n">
        <v>11</v>
      </c>
      <c r="B14" s="148" t="inlineStr">
        <is>
          <t>Ticari Değer</t>
        </is>
      </c>
      <c r="C14" s="148" t="inlineStr">
        <is>
          <t>Ürün satılacaksa</t>
        </is>
      </c>
      <c r="D14" s="148" t="inlineStr">
        <is>
          <t>ROI + demo + kanıt paketi</t>
        </is>
      </c>
      <c r="E14" s="148" t="inlineStr">
        <is>
          <t>Ekonomik değer kanıtlı</t>
        </is>
      </c>
      <c r="F14" s="148" t="inlineStr">
        <is>
          <t>UYARI / HATA</t>
        </is>
      </c>
      <c r="G14" s="148" t="inlineStr">
        <is>
          <t>Pazar Doğrulama</t>
        </is>
      </c>
    </row>
    <row r="15">
      <c r="A15" s="152" t="n">
        <v>12</v>
      </c>
      <c r="B15" s="148" t="inlineStr">
        <is>
          <t>Pazar Doğrulama</t>
        </is>
      </c>
      <c r="C15" s="148" t="inlineStr">
        <is>
          <t>Pazar iddiası varsa</t>
        </is>
      </c>
      <c r="D15" s="148" t="inlineStr">
        <is>
          <t>Ücretli satış/pilot/fiyat kabul kanıtı</t>
        </is>
      </c>
      <c r="E15" s="148" t="inlineStr">
        <is>
          <t>Gerçek fiyat kabul kanıtı</t>
        </is>
      </c>
      <c r="F15" s="148" t="inlineStr">
        <is>
          <t>UYGULANMAZ / HATA</t>
        </is>
      </c>
      <c r="G15" s="14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NİHAİ KONTROL LİSTESİ — KANITSIZ GEÇİŞ YOK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4" customHeight="1">
      <c r="A3" s="154" t="inlineStr">
        <is>
          <t>Kontrol No</t>
        </is>
      </c>
      <c r="B3" s="154" t="inlineStr">
        <is>
          <t>Kontrol</t>
        </is>
      </c>
      <c r="C3" s="154" t="inlineStr">
        <is>
          <t>Beklenen</t>
        </is>
      </c>
      <c r="D3" s="154" t="inlineStr">
        <is>
          <t>Zorunlu Kapı?</t>
        </is>
      </c>
      <c r="E3" s="154" t="inlineStr">
        <is>
          <t>Sonuç</t>
        </is>
      </c>
    </row>
    <row r="4">
      <c r="A4" s="155" t="inlineStr">
        <is>
          <t>K01</t>
        </is>
      </c>
      <c r="B4" s="148" t="inlineStr">
        <is>
          <t>Kullanıcının açık talebi öncelikli mi?</t>
        </is>
      </c>
      <c r="C4" s="148" t="inlineStr">
        <is>
          <t>Evet</t>
        </is>
      </c>
      <c r="D4" s="148" t="inlineStr">
        <is>
          <t>EVET</t>
        </is>
      </c>
    </row>
    <row r="5">
      <c r="A5" s="155" t="inlineStr">
        <is>
          <t>K02</t>
        </is>
      </c>
      <c r="B5" s="148" t="inlineStr">
        <is>
          <t>Mevcut yapı, formüller ve tek gerçek kaynak korunuyor mu?</t>
        </is>
      </c>
      <c r="C5" s="148" t="inlineStr">
        <is>
          <t>Evet, değişiklik gerekçeli</t>
        </is>
      </c>
      <c r="D5" s="148" t="inlineStr">
        <is>
          <t>EVET</t>
        </is>
      </c>
    </row>
    <row r="6">
      <c r="A6" s="155" t="inlineStr">
        <is>
          <t>K03</t>
        </is>
      </c>
      <c r="B6" s="148" t="inlineStr">
        <is>
          <t>Üst aşama HATA ise alt aşama GEÇTİ engelleniyor mu?</t>
        </is>
      </c>
      <c r="C6" s="148" t="inlineStr">
        <is>
          <t>Evet</t>
        </is>
      </c>
      <c r="D6" s="148" t="inlineStr">
        <is>
          <t>EVET</t>
        </is>
      </c>
    </row>
    <row r="7">
      <c r="A7" s="155" t="inlineStr">
        <is>
          <t>K04</t>
        </is>
      </c>
      <c r="B7" s="148" t="inlineStr">
        <is>
          <t>Kanıt fiziksel çıktı ve içerik doğrulaması içeriyor mu?</t>
        </is>
      </c>
      <c r="C7" s="148" t="inlineStr">
        <is>
          <t>Evet</t>
        </is>
      </c>
      <c r="D7" s="148" t="inlineStr">
        <is>
          <t>EVET</t>
        </is>
      </c>
    </row>
    <row r="8">
      <c r="A8" s="155" t="inlineStr">
        <is>
          <t>K05</t>
        </is>
      </c>
      <c r="B8" s="148" t="inlineStr">
        <is>
          <t>Excel GUI erişimi olmadan kullanıcı görünümü GEÇTİ yazılıyor mu?</t>
        </is>
      </c>
      <c r="C8" s="148" t="inlineStr">
        <is>
          <t>Hayır</t>
        </is>
      </c>
      <c r="D8" s="148" t="inlineStr">
        <is>
          <t>EVET</t>
        </is>
      </c>
    </row>
    <row r="9">
      <c r="A9" s="155" t="inlineStr">
        <is>
          <t>K06</t>
        </is>
      </c>
      <c r="B9" s="148" t="inlineStr">
        <is>
          <t>NİHAİ yalnız GEÇTİ / gerekçeli UYGULANMAZ ile mi?</t>
        </is>
      </c>
      <c r="C9" s="148" t="inlineStr">
        <is>
          <t>Evet</t>
        </is>
      </c>
      <c r="D9" s="148" t="inlineStr">
        <is>
          <t>EVET</t>
        </is>
      </c>
    </row>
    <row r="10">
      <c r="A10" s="155" t="inlineStr">
        <is>
          <t>K07</t>
        </is>
      </c>
      <c r="B10" s="148" t="inlineStr">
        <is>
          <t>Ekonomik fiyat savunusu pazar doğrulamasından ayrılmış mı?</t>
        </is>
      </c>
      <c r="C10" s="148" t="inlineStr">
        <is>
          <t>Evet</t>
        </is>
      </c>
      <c r="D10" s="148" t="inlineStr">
        <is>
          <t>EVET</t>
        </is>
      </c>
    </row>
    <row r="11">
      <c r="A11" s="155" t="inlineStr">
        <is>
          <t>K08</t>
        </is>
      </c>
      <c r="B11" s="148" t="inlineStr">
        <is>
          <t>Prestij için gereksiz modül var mı?</t>
        </is>
      </c>
      <c r="C11" s="148" t="inlineStr">
        <is>
          <t>Hayır</t>
        </is>
      </c>
      <c r="D11" s="148" t="inlineStr">
        <is>
          <t>HAYIR</t>
        </is>
      </c>
    </row>
    <row r="12">
      <c r="A12" s="155" t="inlineStr">
        <is>
          <t>K09</t>
        </is>
      </c>
      <c r="B12" s="148" t="inlineStr">
        <is>
          <t>Excel sınırları açık mı?</t>
        </is>
      </c>
      <c r="C12" s="148" t="inlineStr">
        <is>
          <t>Evet</t>
        </is>
      </c>
      <c r="D12" s="148" t="inlineStr">
        <is>
          <t>EVET</t>
        </is>
      </c>
    </row>
    <row r="13">
      <c r="A13" s="155" t="inlineStr">
        <is>
          <t>K10</t>
        </is>
      </c>
      <c r="B13" s="148" t="inlineStr">
        <is>
          <t>Teknik kaynak korunuyor mu?</t>
        </is>
      </c>
      <c r="C13" s="148" t="inlineStr">
        <is>
          <t>Evet</t>
        </is>
      </c>
      <c r="D13" s="148" t="inlineStr">
        <is>
          <t>EVET</t>
        </is>
      </c>
    </row>
    <row r="14">
      <c r="A14" s="155" t="inlineStr">
        <is>
          <t>K11</t>
        </is>
      </c>
      <c r="B14" s="148" t="inlineStr">
        <is>
          <t>Kullanıcıya görünen tüm metinler Türkçe mi?</t>
        </is>
      </c>
      <c r="C14" s="148" t="inlineStr">
        <is>
          <t>Evet</t>
        </is>
      </c>
      <c r="D14" s="148" t="inlineStr">
        <is>
          <t>EVET</t>
        </is>
      </c>
    </row>
    <row r="15">
      <c r="A15" s="155" t="inlineStr">
        <is>
          <t>K12</t>
        </is>
      </c>
      <c r="B15" s="148" t="inlineStr">
        <is>
          <t>Her kullanıcı sayfasında üst başlık var mı?</t>
        </is>
      </c>
      <c r="C15" s="148" t="inlineStr">
        <is>
          <t>Evet</t>
        </is>
      </c>
      <c r="D15" s="148" t="inlineStr">
        <is>
          <t>EVET</t>
        </is>
      </c>
    </row>
    <row r="16">
      <c r="A16" s="155" t="inlineStr">
        <is>
          <t>K13</t>
        </is>
      </c>
      <c r="B16" s="148" t="inlineStr">
        <is>
          <t>Sayfalar arasında tutarlı renk sistemi var mı?</t>
        </is>
      </c>
      <c r="C16" s="148" t="inlineStr">
        <is>
          <t>Evet</t>
        </is>
      </c>
      <c r="D16" s="148" t="inlineStr">
        <is>
          <t>EVET</t>
        </is>
      </c>
    </row>
    <row r="17">
      <c r="A17" s="155" t="inlineStr">
        <is>
          <t>K14</t>
        </is>
      </c>
      <c r="B17" s="148" t="inlineStr">
        <is>
          <t>Alt sayfa sekmeleri işlevine göre renklendirilmiş mi?</t>
        </is>
      </c>
      <c r="C17" s="148" t="inlineStr">
        <is>
          <t>Evet</t>
        </is>
      </c>
      <c r="D17" s="148" t="inlineStr">
        <is>
          <t>EVET</t>
        </is>
      </c>
    </row>
    <row r="18">
      <c r="A18" s="155" t="inlineStr">
        <is>
          <t>K15</t>
        </is>
      </c>
      <c r="B18" s="148" t="inlineStr">
        <is>
          <t>İçerik blokları arasında gereksiz boş kolon var mı?</t>
        </is>
      </c>
      <c r="C18" s="148" t="inlineStr">
        <is>
          <t>Hayır</t>
        </is>
      </c>
      <c r="D18" s="148" t="inlineStr">
        <is>
          <t>EVET</t>
        </is>
      </c>
    </row>
    <row r="19">
      <c r="A19" s="155" t="inlineStr">
        <is>
          <t>K16</t>
        </is>
      </c>
      <c r="B19" s="148" t="inlineStr">
        <is>
          <t>Grafikler premium ve karar odaklı mı?</t>
        </is>
      </c>
      <c r="C19" s="148" t="inlineStr">
        <is>
          <t>Evet</t>
        </is>
      </c>
      <c r="D19" s="148" t="inlineStr">
        <is>
          <t>EVET</t>
        </is>
      </c>
    </row>
    <row r="20">
      <c r="A20" s="155" t="inlineStr">
        <is>
          <t>K17</t>
        </is>
      </c>
      <c r="B20" s="148" t="inlineStr">
        <is>
          <t>Varsayılan Excel grafiği / 3B / dekoratif grafik var mı?</t>
        </is>
      </c>
      <c r="C20" s="148" t="inlineStr">
        <is>
          <t>Hayır</t>
        </is>
      </c>
      <c r="D20" s="148" t="inlineStr">
        <is>
          <t>EVET</t>
        </is>
      </c>
    </row>
    <row r="21">
      <c r="A21" s="155" t="inlineStr">
        <is>
          <t>K18</t>
        </is>
      </c>
      <c r="B21" s="148" t="inlineStr">
        <is>
          <t>Finansal ürün Türkiye Tekdüzen Hesap Planı ile eşleşiyor mu?</t>
        </is>
      </c>
      <c r="C21" s="148" t="inlineStr">
        <is>
          <t>Evet</t>
        </is>
      </c>
      <c r="D21" s="148" t="inlineStr">
        <is>
          <t>EVET</t>
        </is>
      </c>
    </row>
    <row r="22">
      <c r="A22" s="155" t="inlineStr">
        <is>
          <t>K19</t>
        </is>
      </c>
      <c r="B22" s="148" t="inlineStr">
        <is>
          <t>Muhasebe satır adları Türkiye kullanımına uygun mu?</t>
        </is>
      </c>
      <c r="C22" s="148" t="inlineStr">
        <is>
          <t>Evet</t>
        </is>
      </c>
      <c r="D22" s="148" t="inlineStr">
        <is>
          <t>EVET</t>
        </is>
      </c>
    </row>
    <row r="23">
      <c r="A23" s="155" t="inlineStr">
        <is>
          <t>K20</t>
        </is>
      </c>
      <c r="B23" s="148" t="inlineStr">
        <is>
          <t>Formül hatası varken herhangi bir kontrol GEÇTİ gösteriyor mu?</t>
        </is>
      </c>
      <c r="C23" s="148" t="inlineStr">
        <is>
          <t>Hayır</t>
        </is>
      </c>
      <c r="D23" s="148" t="inlineStr">
        <is>
          <t>EVET</t>
        </is>
      </c>
    </row>
    <row r="24">
      <c r="A24" s="155" t="inlineStr">
        <is>
          <t>K21</t>
        </is>
      </c>
      <c r="B24" s="148" t="inlineStr">
        <is>
          <t>Karar Motoru boş veya yalnız başlık düzeyinde mi?</t>
        </is>
      </c>
      <c r="C24" s="148" t="inlineStr">
        <is>
          <t>Hayır</t>
        </is>
      </c>
      <c r="D24" s="148" t="inlineStr">
        <is>
          <t>EVET</t>
        </is>
      </c>
    </row>
    <row r="25">
      <c r="A25" s="155" t="inlineStr">
        <is>
          <t>K22</t>
        </is>
      </c>
      <c r="B25" s="148" t="inlineStr">
        <is>
          <t>Senaryo/Stres modülü gerçekten sonuç değiştiriyor mu?</t>
        </is>
      </c>
      <c r="C25" s="148" t="inlineStr">
        <is>
          <t>Evet</t>
        </is>
      </c>
      <c r="D25" s="148" t="inlineStr">
        <is>
          <t>EVET</t>
        </is>
      </c>
    </row>
    <row r="26">
      <c r="A26" s="155" t="inlineStr">
        <is>
          <t>K23</t>
        </is>
      </c>
      <c r="B26" s="148" t="inlineStr">
        <is>
          <t>Oracle/bağımsız doğrulama gerçek veri üretiyor mu?</t>
        </is>
      </c>
      <c r="C26" s="148" t="inlineStr">
        <is>
          <t>Evet veya gerekçeli UYGULANMAZ</t>
        </is>
      </c>
      <c r="D26" s="148" t="inlineStr">
        <is>
          <t>EVET</t>
        </is>
      </c>
    </row>
    <row r="27">
      <c r="A27" s="155" t="inlineStr">
        <is>
          <t>K24</t>
        </is>
      </c>
      <c r="B27" s="148" t="inlineStr">
        <is>
          <t>Yönetici ekranı 5 saniyede sorunu ve aksiyonu anlatıyor mu?</t>
        </is>
      </c>
      <c r="C27" s="148" t="inlineStr">
        <is>
          <t>Evet</t>
        </is>
      </c>
      <c r="D27" s="148" t="inlineStr">
        <is>
          <t>EVET</t>
        </is>
      </c>
    </row>
    <row r="28">
      <c r="A28" s="155" t="inlineStr">
        <is>
          <t>K25</t>
        </is>
      </c>
      <c r="B28" s="148" t="inlineStr">
        <is>
          <t>Her kritik kararın parasal etkisi ve önerilen aksiyonu var mı?</t>
        </is>
      </c>
      <c r="C28" s="148" t="inlineStr">
        <is>
          <t>Evet</t>
        </is>
      </c>
      <c r="D28" s="148" t="inlineStr">
        <is>
          <t>EVET</t>
        </is>
      </c>
    </row>
    <row r="29">
      <c r="A29" s="155" t="inlineStr">
        <is>
          <t>K26</t>
        </is>
      </c>
      <c r="B29" s="148" t="inlineStr">
        <is>
          <t>Ürün sayfası/ürün içi demo satın alma gerekçesini kanıtlıyor mu?</t>
        </is>
      </c>
      <c r="C29" s="148" t="inlineStr">
        <is>
          <t>Evet</t>
        </is>
      </c>
      <c r="D29" s="148" t="inlineStr">
        <is>
          <t>EVET</t>
        </is>
      </c>
    </row>
    <row r="30" ht="30" customHeight="1">
      <c r="A30" s="156" t="inlineStr">
        <is>
          <t>K27</t>
        </is>
      </c>
      <c r="B30" s="157" t="inlineStr">
        <is>
          <t>Buton görünümü verilen tüm alanlar gerçekten tıklanabilir ve doğru hedefe gidiyor mu?</t>
        </is>
      </c>
      <c r="C30" s="157" t="inlineStr">
        <is>
          <t>Evet</t>
        </is>
      </c>
      <c r="D30" s="148" t="inlineStr">
        <is>
          <t>EVET</t>
        </is>
      </c>
    </row>
    <row r="31" ht="30" customHeight="1">
      <c r="A31" s="156" t="inlineStr">
        <is>
          <t>K28</t>
        </is>
      </c>
      <c r="B31" s="157" t="inlineStr">
        <is>
          <t>Tüm görünür kullanıcı sheet tabları kurumsal kategori rengi taşıyor mu?</t>
        </is>
      </c>
      <c r="C31" s="157" t="inlineStr">
        <is>
          <t>Evet</t>
        </is>
      </c>
      <c r="D31" s="148" t="inlineStr">
        <is>
          <t>EVET</t>
        </is>
      </c>
    </row>
    <row r="32" ht="16" customHeight="1">
      <c r="A32" s="156" t="inlineStr">
        <is>
          <t>K29</t>
        </is>
      </c>
      <c r="B32" s="157" t="inlineStr">
        <is>
          <t>Sheet sırası tanımlı kullanıcı iş akışıyla birebir aynı mı?</t>
        </is>
      </c>
      <c r="C32" s="157" t="inlineStr">
        <is>
          <t>Evet</t>
        </is>
      </c>
      <c r="D32" s="148" t="inlineStr">
        <is>
          <t>EVET</t>
        </is>
      </c>
    </row>
    <row r="33" ht="30" customHeight="1">
      <c r="A33" s="156" t="inlineStr">
        <is>
          <t>K30</t>
        </is>
      </c>
      <c r="B33" s="157" t="inlineStr">
        <is>
          <t>Kurumsal renk paleti tutarlı mı; rastgele/gökkuşağı renk kullanımı var mı?</t>
        </is>
      </c>
      <c r="C33" s="157" t="inlineStr">
        <is>
          <t>Evet / Hayır</t>
        </is>
      </c>
      <c r="D33" s="148" t="inlineStr">
        <is>
          <t>EVET</t>
        </is>
      </c>
    </row>
    <row r="34" ht="30" customHeight="1">
      <c r="A34" s="156" t="inlineStr">
        <is>
          <t>K31</t>
        </is>
      </c>
      <c r="B34" s="157" t="inlineStr">
        <is>
          <t>Premium vitrin, altyapı kadar güçlü ve satış fiyatını destekleyecek seviyede mi?</t>
        </is>
      </c>
      <c r="C34" s="157" t="inlineStr">
        <is>
          <t>Evet</t>
        </is>
      </c>
      <c r="D34" s="14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GÖRSEL TASARIM VE PREMIUM EXCEL STANDARDI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4" customHeight="1">
      <c r="A3" s="159" t="inlineStr">
        <is>
          <t>Alan</t>
        </is>
      </c>
      <c r="B3" s="159" t="inlineStr">
        <is>
          <t>Zorunlu Kural</t>
        </is>
      </c>
      <c r="C3" s="159" t="inlineStr">
        <is>
          <t>Uygulama</t>
        </is>
      </c>
      <c r="D3" s="159" t="inlineStr">
        <is>
          <t>Yasak</t>
        </is>
      </c>
      <c r="E3" s="159" t="inlineStr">
        <is>
          <t>Kontrol</t>
        </is>
      </c>
      <c r="F3" s="159" t="inlineStr">
        <is>
          <t>Durum</t>
        </is>
      </c>
    </row>
    <row r="4" ht="28" customHeight="1">
      <c r="A4" s="160" t="inlineStr">
        <is>
          <t>Sayfa başlığı</t>
        </is>
      </c>
      <c r="B4" s="148" t="inlineStr">
        <is>
          <t>Her kullanıcı sayfasının en üstünde tek ve açık sayfa başlığı</t>
        </is>
      </c>
      <c r="C4" s="148" t="inlineStr">
        <is>
          <t>A1'den başlayan koyu lacivert başlık bandı</t>
        </is>
      </c>
      <c r="D4" s="148" t="inlineStr">
        <is>
          <t>Başlıksız sayfa</t>
        </is>
      </c>
      <c r="E4" s="148" t="inlineStr">
        <is>
          <t>Başlık kapsama = %100</t>
        </is>
      </c>
      <c r="F4" s="161" t="inlineStr">
        <is>
          <t>ZORUNLU</t>
        </is>
      </c>
    </row>
    <row r="5" ht="28" customHeight="1">
      <c r="A5" s="160" t="inlineStr">
        <is>
          <t>Sekme renkleri</t>
        </is>
      </c>
      <c r="B5" s="148" t="inlineStr">
        <is>
          <t>Sayfalar işlevine göre renk kodlanır</t>
        </is>
      </c>
      <c r="C5" s="148" t="inlineStr">
        <is>
          <t>Girdi=mavi, hesap=gri, rapor=lacivert, kontrol=kırmızı, kılavuz=altın</t>
        </is>
      </c>
      <c r="D5" s="148" t="inlineStr">
        <is>
          <t>Rastgele renk</t>
        </is>
      </c>
      <c r="E5" s="148" t="inlineStr">
        <is>
          <t>Renk semantiği tutarlı</t>
        </is>
      </c>
      <c r="F5" s="161" t="inlineStr">
        <is>
          <t>ZORUNLU</t>
        </is>
      </c>
    </row>
    <row r="6" ht="28" customHeight="1">
      <c r="A6" s="160" t="inlineStr">
        <is>
          <t>Kolon düzeni</t>
        </is>
      </c>
      <c r="B6" s="148" t="inlineStr">
        <is>
          <t>Veri blokları bitişik kolonlarda ilerler</t>
        </is>
      </c>
      <c r="C6" s="148" t="inlineStr">
        <is>
          <t>Gereksiz boş kolon bırakma; yalnız gerçek bölüm ayrımı varsa kontrollü boşluk</t>
        </is>
      </c>
      <c r="D6" s="148" t="inlineStr">
        <is>
          <t>A:C veri, D boş, E:F veri gibi parçalı yapı</t>
        </is>
      </c>
      <c r="E6" s="148" t="inlineStr">
        <is>
          <t>Boş kolon taraması</t>
        </is>
      </c>
      <c r="F6" s="161" t="inlineStr">
        <is>
          <t>ZORUNLU</t>
        </is>
      </c>
    </row>
    <row r="7" ht="16" customHeight="1">
      <c r="A7" s="160" t="inlineStr">
        <is>
          <t>Girdi hücreleri</t>
        </is>
      </c>
      <c r="B7" s="148" t="inlineStr">
        <is>
          <t>Kullanıcının değiştireceği alan açıkça görünür</t>
        </is>
      </c>
      <c r="C7" s="148" t="inlineStr">
        <is>
          <t>Açık sarı dolgu + mavi yazı</t>
        </is>
      </c>
      <c r="D7" s="148" t="inlineStr">
        <is>
          <t>Formülle aynı görünüm</t>
        </is>
      </c>
      <c r="E7" s="148" t="inlineStr">
        <is>
          <t>Girdi/formül ayrımı</t>
        </is>
      </c>
      <c r="F7" s="161" t="inlineStr">
        <is>
          <t>ZORUNLU</t>
        </is>
      </c>
    </row>
    <row r="8" ht="16" customHeight="1">
      <c r="A8" s="160" t="inlineStr">
        <is>
          <t>Formüller</t>
        </is>
      </c>
      <c r="B8" s="148" t="inlineStr">
        <is>
          <t>Hesap hücreleri kullanıcı girdisinden ayrılır</t>
        </is>
      </c>
      <c r="C8" s="148" t="inlineStr">
        <is>
          <t>Siyah yazı; sayfalar arası bağlantı yeşil yazı</t>
        </is>
      </c>
      <c r="D8" s="148" t="inlineStr">
        <is>
          <t>Hard-code gizleme</t>
        </is>
      </c>
      <c r="E8" s="148" t="inlineStr">
        <is>
          <t>Formül sınıfı kontrolü</t>
        </is>
      </c>
      <c r="F8" s="161" t="inlineStr">
        <is>
          <t>ZORUNLU</t>
        </is>
      </c>
    </row>
    <row r="9" ht="16" customHeight="1">
      <c r="A9" s="160" t="inlineStr">
        <is>
          <t>Grafik sayısı</t>
        </is>
      </c>
      <c r="B9" s="148" t="inlineStr">
        <is>
          <t>Yönetici ekranında en fazla 3 ana karar grafiği</t>
        </is>
      </c>
      <c r="C9" s="148" t="inlineStr">
        <is>
          <t>Trend, karşılaştırma, köprü/dağılım; iş kararına bağlı</t>
        </is>
      </c>
      <c r="D9" s="148" t="inlineStr">
        <is>
          <t>Grafik kalabalığı</t>
        </is>
      </c>
      <c r="E9" s="148" t="inlineStr">
        <is>
          <t>Grafik başına karar sorusu</t>
        </is>
      </c>
      <c r="F9" s="161" t="inlineStr">
        <is>
          <t>ZORUNLU</t>
        </is>
      </c>
    </row>
    <row r="10" ht="16" customHeight="1">
      <c r="A10" s="160" t="inlineStr">
        <is>
          <t>Grafik stili</t>
        </is>
      </c>
      <c r="B10" s="148" t="inlineStr">
        <is>
          <t>Kurumsal ve yüksek okunabilirlik</t>
        </is>
      </c>
      <c r="C10" s="148" t="inlineStr">
        <is>
          <t>Beyaz zemin, ince gridline, tek vurgu rengi, açık birim/başlık</t>
        </is>
      </c>
      <c r="D10" s="148" t="inlineStr">
        <is>
          <t>3B, gölge, neon, gökkuşağı renkleri</t>
        </is>
      </c>
      <c r="E10" s="148" t="inlineStr">
        <is>
          <t>Görsel inceleme</t>
        </is>
      </c>
      <c r="F10" s="161" t="inlineStr">
        <is>
          <t>ZORUNLU</t>
        </is>
      </c>
    </row>
    <row r="11" ht="16" customHeight="1">
      <c r="A11" s="160" t="inlineStr">
        <is>
          <t>Grafik başlığı</t>
        </is>
      </c>
      <c r="B11" s="148" t="inlineStr">
        <is>
          <t>Grafik 'neyi' değil 'ne anlama geldiğini' söyler</t>
        </is>
      </c>
      <c r="C11" s="148" t="inlineStr">
        <is>
          <t>Örn: 'Nakit 2028'de kritik eşiğin altına iniyor'</t>
        </is>
      </c>
      <c r="D11" s="148" t="inlineStr">
        <is>
          <t>'Nakit Grafiği' gibi anlamsız başlık</t>
        </is>
      </c>
      <c r="E11" s="148" t="inlineStr">
        <is>
          <t>Başlık karar testi</t>
        </is>
      </c>
      <c r="F11" s="161" t="inlineStr">
        <is>
          <t>ZORUNLU</t>
        </is>
      </c>
    </row>
    <row r="12" ht="16" customHeight="1">
      <c r="A12" s="160" t="inlineStr">
        <is>
          <t>Birimler</t>
        </is>
      </c>
      <c r="B12" s="148" t="inlineStr">
        <is>
          <t>Tüm finansal görsellerde birim açık</t>
        </is>
      </c>
      <c r="C12" s="148" t="inlineStr">
        <is>
          <t>TL, bin TL, milyon TL, %, gün, x</t>
        </is>
      </c>
      <c r="D12" s="148" t="inlineStr">
        <is>
          <t>Birim belirsizliği</t>
        </is>
      </c>
      <c r="E12" s="148" t="inlineStr">
        <is>
          <t>Birim kapsama %100</t>
        </is>
      </c>
      <c r="F12" s="161" t="inlineStr">
        <is>
          <t>ZORUNLU</t>
        </is>
      </c>
    </row>
    <row r="13" ht="16" customHeight="1">
      <c r="A13" s="160" t="inlineStr">
        <is>
          <t>Sıfır/negatif</t>
        </is>
      </c>
      <c r="B13" s="148" t="inlineStr">
        <is>
          <t>Finansal format standardı</t>
        </is>
      </c>
      <c r="C13" s="148" t="inlineStr">
        <is>
          <t>Sıfır='-', negatif kırmızı parantez</t>
        </is>
      </c>
      <c r="D13" s="148" t="inlineStr">
        <is>
          <t>-500 veya 0,00 kalabalığı</t>
        </is>
      </c>
      <c r="E13" s="148" t="inlineStr">
        <is>
          <t>Format kontrolü</t>
        </is>
      </c>
      <c r="F13" s="161" t="inlineStr">
        <is>
          <t>ZORUNLU</t>
        </is>
      </c>
    </row>
    <row r="14" ht="16" customHeight="1">
      <c r="A14" s="160" t="inlineStr">
        <is>
          <t>Yazı tipi</t>
        </is>
      </c>
      <c r="B14" s="148" t="inlineStr">
        <is>
          <t>Tek aile</t>
        </is>
      </c>
      <c r="C14" s="148" t="inlineStr">
        <is>
          <t>Aptos veya Segoe UI</t>
        </is>
      </c>
      <c r="D14" s="148" t="inlineStr">
        <is>
          <t>Karışık font</t>
        </is>
      </c>
      <c r="E14" s="148" t="inlineStr">
        <is>
          <t>Tek font kontrolü</t>
        </is>
      </c>
      <c r="F14" s="161" t="inlineStr">
        <is>
          <t>ZORUNLU</t>
        </is>
      </c>
    </row>
    <row r="15" ht="16" customHeight="1">
      <c r="A15" s="160" t="inlineStr">
        <is>
          <t>Izgara</t>
        </is>
      </c>
      <c r="B15" s="148" t="inlineStr">
        <is>
          <t>Kullanıcı sayfalarında kapalı</t>
        </is>
      </c>
      <c r="C15" s="148" t="inlineStr">
        <is>
          <t>Bölüm çizgileri ve kart sınırlarıyla düzen</t>
        </is>
      </c>
      <c r="D15" s="148" t="inlineStr">
        <is>
          <t>Excel varsayılan gridline</t>
        </is>
      </c>
      <c r="E15" s="148" t="inlineStr">
        <is>
          <t>Gridline kontrolü</t>
        </is>
      </c>
      <c r="F15" s="161" t="inlineStr">
        <is>
          <t>ZORUNLU</t>
        </is>
      </c>
    </row>
    <row r="16" ht="16" customHeight="1">
      <c r="A16" s="160" t="inlineStr">
        <is>
          <t>Boş durum</t>
        </is>
      </c>
      <c r="B16" s="148" t="inlineStr">
        <is>
          <t>Veri yokken temiz ve anlaşılır</t>
        </is>
      </c>
      <c r="C16" s="148" t="inlineStr">
        <is>
          <t>'Henüz veri yok' / 'Girdi bekleniyor'</t>
        </is>
      </c>
      <c r="D16" s="148" t="inlineStr">
        <is>
          <t>0 yığını / hata kodu</t>
        </is>
      </c>
      <c r="E16" s="148" t="inlineStr">
        <is>
          <t>Boş veri testi</t>
        </is>
      </c>
      <c r="F16" s="161" t="inlineStr">
        <is>
          <t>ZORUNLU</t>
        </is>
      </c>
    </row>
    <row r="17" ht="28" customHeight="1">
      <c r="A17" s="160" t="inlineStr">
        <is>
          <t>Başlangıç deneyimi</t>
        </is>
      </c>
      <c r="B17" s="148" t="inlineStr">
        <is>
          <t>İlk 5 saniyede ne gireceği ve neye bakacağı anlaşılır</t>
        </is>
      </c>
      <c r="C17" s="148" t="inlineStr">
        <is>
          <t>Girdi → durum → aksiyon akışı</t>
        </is>
      </c>
      <c r="D17" s="148" t="inlineStr">
        <is>
          <t>Kılavuz aramaya zorlama</t>
        </is>
      </c>
      <c r="E17" s="148" t="inlineStr">
        <is>
          <t>5 saniye testi</t>
        </is>
      </c>
      <c r="F17" s="161" t="inlineStr">
        <is>
          <t>ZORUNLU</t>
        </is>
      </c>
    </row>
    <row r="18" ht="30" customHeight="1">
      <c r="A18" s="156" t="inlineStr">
        <is>
          <t>Buton standardı</t>
        </is>
      </c>
      <c r="B18" s="157" t="inlineStr">
        <is>
          <t>Buton görünümü verilen her alan gerçek işlev taşır</t>
        </is>
      </c>
      <c r="C18" s="157" t="inlineStr">
        <is>
          <t>Sayfa içi HYPERLINK / gerçek aksiyon; tıklanınca hedefe gider</t>
        </is>
      </c>
      <c r="D18" s="157" t="inlineStr">
        <is>
          <t>İşlevsiz dekoratif buton / sahte navigasyon</t>
        </is>
      </c>
      <c r="E18" s="157" t="inlineStr">
        <is>
          <t>Butonların %100'ü tıklanabilir ve hedefi doğru</t>
        </is>
      </c>
      <c r="F18" s="161" t="inlineStr">
        <is>
          <t>ZORUNLU</t>
        </is>
      </c>
    </row>
    <row r="19" ht="32" customHeight="1">
      <c r="A19" s="156" t="inlineStr">
        <is>
          <t>Native sayfa sekmesi rengi</t>
        </is>
      </c>
      <c r="B19" s="157" t="inlineStr">
        <is>
          <t>Excel alt sheet tabları kurumsal paletle renklendirilir</t>
        </is>
      </c>
      <c r="C19" s="157" t="inlineStr">
        <is>
          <t>Başlangıç/özet=lacivert; girdiler=mavi; hesap/finans=teal; karar/kontrol=burgundy; doküman=gri</t>
        </is>
      </c>
      <c r="D19" s="157" t="inlineStr">
        <is>
          <t>Renksiz sekmeler veya rastgele/gökkuşağı renkleri</t>
        </is>
      </c>
      <c r="E19" s="157" t="inlineStr">
        <is>
          <t>Tüm görünür kullanıcı sheet tabları renkli</t>
        </is>
      </c>
      <c r="F19" s="161" t="inlineStr">
        <is>
          <t>ZORUNLU</t>
        </is>
      </c>
    </row>
    <row r="20" ht="60" customHeight="1">
      <c r="A20" s="156" t="inlineStr">
        <is>
          <t>İş akışı sıralaması</t>
        </is>
      </c>
      <c r="B20" s="157" t="inlineStr">
        <is>
          <t>Sayfalar kullanıcının çalışma sırasına göre fiziksel olarak dizilir</t>
        </is>
      </c>
      <c r="C20" s="15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7" t="inlineStr">
        <is>
          <t>Teknik oluşturma sırasına göre dağınık sheet dizilimi</t>
        </is>
      </c>
      <c r="E20" s="157" t="inlineStr">
        <is>
          <t>Sheet order = tanımlı workflow</t>
        </is>
      </c>
      <c r="F20" s="161" t="inlineStr">
        <is>
          <t>ZORUNLU</t>
        </is>
      </c>
    </row>
    <row r="21" ht="30" customHeight="1">
      <c r="A21" s="156" t="inlineStr">
        <is>
          <t>Kurumsal renk paleti</t>
        </is>
      </c>
      <c r="B21" s="157" t="inlineStr">
        <is>
          <t>Sekme, başlık, buton ve vurgu renkleri tek kurumsal paletten gelir</t>
        </is>
      </c>
      <c r="C21" s="157" t="inlineStr">
        <is>
          <t>Lacivert + mavi + teal + kontrollü burgundy/gri; kategori semantiği sabit</t>
        </is>
      </c>
      <c r="D21" s="157" t="inlineStr">
        <is>
          <t>Neon, rastgele yüksek doygunluk, her sayfada farklı bağımsız renk</t>
        </is>
      </c>
      <c r="E21" s="157" t="inlineStr">
        <is>
          <t>Palette token kontrolü</t>
        </is>
      </c>
      <c r="F21" s="161" t="inlineStr">
        <is>
          <t>ZORUNLU</t>
        </is>
      </c>
    </row>
    <row r="22" ht="45" customHeight="1">
      <c r="A22" s="156" t="inlineStr">
        <is>
          <t>Premium vitrin</t>
        </is>
      </c>
      <c r="B22" s="157" t="inlineStr">
        <is>
          <t>Görsel kalite ürün değerinin zorunlu parçasıdır</t>
        </is>
      </c>
      <c r="C22" s="157" t="inlineStr">
        <is>
          <t>Kaliteli grafik, gerçek KPI kartı, finansal hiyerarşi, tab rengi, fonksiyonel navigasyon</t>
        </is>
      </c>
      <c r="D22" s="157" t="inlineStr">
        <is>
          <t>Sadece doğru hesap yapıp çıplak/varsayılan Excel görünümü bırakmak</t>
        </is>
      </c>
      <c r="E22" s="157" t="inlineStr">
        <is>
          <t>Görsel release incelemesi</t>
        </is>
      </c>
      <c r="F22" s="161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TÜRKİYE MUHASEBE VE TEKDÜZEN HESAP PLANI STANDARDI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4" customHeight="1">
      <c r="A3" s="163" t="inlineStr">
        <is>
          <t>Konu</t>
        </is>
      </c>
      <c r="B3" s="163" t="inlineStr">
        <is>
          <t>Zorunlu Standart</t>
        </is>
      </c>
      <c r="C3" s="163" t="inlineStr">
        <is>
          <t>Örnek Türkçe Ad</t>
        </is>
      </c>
      <c r="D3" s="163" t="inlineStr">
        <is>
          <t>THP / Mantık</t>
        </is>
      </c>
      <c r="E3" s="163" t="inlineStr">
        <is>
          <t>Hata Riski</t>
        </is>
      </c>
      <c r="F3" s="163" t="inlineStr">
        <is>
          <t>Kontrol</t>
        </is>
      </c>
    </row>
    <row r="4">
      <c r="A4" s="164" t="inlineStr">
        <is>
          <t>Dil</t>
        </is>
      </c>
      <c r="B4" s="148" t="inlineStr">
        <is>
          <t>Kullanıcıya görünen finansal terimler Türkçe</t>
        </is>
      </c>
      <c r="C4" s="148" t="inlineStr">
        <is>
          <t>Hasılat, Satışların Maliyeti, Brüt Kâr, Faaliyet Giderleri</t>
        </is>
      </c>
      <c r="D4" s="148" t="inlineStr">
        <is>
          <t>Türk işletme kullanımına uygun</t>
        </is>
      </c>
      <c r="E4" s="148" t="inlineStr">
        <is>
          <t>İngilizce jargon</t>
        </is>
      </c>
      <c r="F4" s="148" t="inlineStr">
        <is>
          <t>Terminoloji taraması</t>
        </is>
      </c>
    </row>
    <row r="5" ht="28" customHeight="1">
      <c r="A5" s="164" t="inlineStr">
        <is>
          <t>Gelir Tablosu</t>
        </is>
      </c>
      <c r="B5" s="148" t="inlineStr">
        <is>
          <t>Türk sunum sırası kullanılır</t>
        </is>
      </c>
      <c r="C5" s="148" t="inlineStr">
        <is>
          <t>Net Satışlar → Satışların Maliyeti → Brüt Kâr → Faaliyet Giderleri → Faaliyet Kârı</t>
        </is>
      </c>
      <c r="D5" s="148" t="inlineStr">
        <is>
          <t>600/610/611; 620-623; 63x</t>
        </is>
      </c>
      <c r="E5" s="148" t="inlineStr">
        <is>
          <t>Yanlış sınıflama</t>
        </is>
      </c>
      <c r="F5" s="148" t="inlineStr">
        <is>
          <t>Hesap eşleme</t>
        </is>
      </c>
    </row>
    <row r="6" ht="28" customHeight="1">
      <c r="A6" s="164" t="inlineStr">
        <is>
          <t>Bilanço</t>
        </is>
      </c>
      <c r="B6" s="148" t="inlineStr">
        <is>
          <t>Dönen/Duran Varlık ve Kısa/Uzun Vadeli Yükümlülük ayrımı</t>
        </is>
      </c>
      <c r="C6" s="148" t="inlineStr">
        <is>
          <t>Hazır Değerler, Ticari Alacaklar, Stoklar, Mali Borçlar</t>
        </is>
      </c>
      <c r="D6" s="148" t="inlineStr">
        <is>
          <t>1xx / 2xx / 3xx / 4xx / 5xx</t>
        </is>
      </c>
      <c r="E6" s="148" t="inlineStr">
        <is>
          <t>Vade sınıfı hatası</t>
        </is>
      </c>
      <c r="F6" s="148" t="inlineStr">
        <is>
          <t>Bilanço eşitliği</t>
        </is>
      </c>
    </row>
    <row r="7">
      <c r="A7" s="164" t="inlineStr">
        <is>
          <t>Nakit Akışı</t>
        </is>
      </c>
      <c r="B7" s="148" t="inlineStr">
        <is>
          <t>İşletme/Yatırım/Finansman nakit akışları ayrılır</t>
        </is>
      </c>
      <c r="C7" s="148" t="inlineStr">
        <is>
          <t>Faaliyetlerden Nakit, Yatırım Harcamaları, Finansman Nakit Akışı</t>
        </is>
      </c>
      <c r="D7" s="148" t="inlineStr">
        <is>
          <t>Dolaylı/doğrudan yöntem açık seçilir</t>
        </is>
      </c>
      <c r="E7" s="148" t="inlineStr">
        <is>
          <t>Kâr = nakit sanılması</t>
        </is>
      </c>
      <c r="F7" s="148" t="inlineStr">
        <is>
          <t>Nakit devri</t>
        </is>
      </c>
    </row>
    <row r="8">
      <c r="A8" s="164" t="inlineStr">
        <is>
          <t>Ticari Alacaklar</t>
        </is>
      </c>
      <c r="B8" s="148" t="inlineStr">
        <is>
          <t>Cari ve vade mantığı korunur</t>
        </is>
      </c>
      <c r="C8" s="148" t="inlineStr">
        <is>
          <t>120 Alıcılar</t>
        </is>
      </c>
      <c r="D8" s="148" t="inlineStr">
        <is>
          <t>120</t>
        </is>
      </c>
      <c r="E8" s="148" t="inlineStr">
        <is>
          <t>Tahakkuk/nakit karışması</t>
        </is>
      </c>
      <c r="F8" s="148" t="inlineStr">
        <is>
          <t>Alacak devir kontrolü</t>
        </is>
      </c>
    </row>
    <row r="9">
      <c r="A9" s="164" t="inlineStr">
        <is>
          <t>Ticari Borçlar</t>
        </is>
      </c>
      <c r="B9" s="148" t="inlineStr">
        <is>
          <t>Tedarikçi borcu ayrı izlenir</t>
        </is>
      </c>
      <c r="C9" s="148" t="inlineStr">
        <is>
          <t>320 Satıcılar</t>
        </is>
      </c>
      <c r="D9" s="148" t="inlineStr">
        <is>
          <t>320</t>
        </is>
      </c>
      <c r="E9" s="148" t="inlineStr">
        <is>
          <t>Gider/ödeme karışması</t>
        </is>
      </c>
      <c r="F9" s="148" t="inlineStr">
        <is>
          <t>Borç devir kontrolü</t>
        </is>
      </c>
    </row>
    <row r="10">
      <c r="A10" s="164" t="inlineStr">
        <is>
          <t>Kasa/Banka</t>
        </is>
      </c>
      <c r="B10" s="148" t="inlineStr">
        <is>
          <t>Hazır değerler ayrı izlenir</t>
        </is>
      </c>
      <c r="C10" s="148" t="inlineStr">
        <is>
          <t>100 Kasa, 102 Bankalar</t>
        </is>
      </c>
      <c r="D10" s="148" t="inlineStr">
        <is>
          <t>100 / 102</t>
        </is>
      </c>
      <c r="E10" s="148" t="inlineStr">
        <is>
          <t>Virmanla toplam nakdin değişmesi</t>
        </is>
      </c>
      <c r="F10" s="148" t="inlineStr">
        <is>
          <t>Virman değişmezi</t>
        </is>
      </c>
    </row>
    <row r="11">
      <c r="A11" s="164" t="inlineStr">
        <is>
          <t>Stok</t>
        </is>
      </c>
      <c r="B11" s="148" t="inlineStr">
        <is>
          <t>Dikeye uygun stok türü</t>
        </is>
      </c>
      <c r="C11" s="148" t="inlineStr">
        <is>
          <t>150 İlk Madde ve Malzeme, 153 Ticari Mallar</t>
        </is>
      </c>
      <c r="D11" s="148" t="inlineStr">
        <is>
          <t>15x</t>
        </is>
      </c>
      <c r="E11" s="148" t="inlineStr">
        <is>
          <t>Maliyet ve stok hareketinin kopması</t>
        </is>
      </c>
      <c r="F11" s="148" t="inlineStr">
        <is>
          <t>Stok devri</t>
        </is>
      </c>
    </row>
    <row r="12" ht="28" customHeight="1">
      <c r="A12" s="164" t="inlineStr">
        <is>
          <t>Maddi Duran Varlık</t>
        </is>
      </c>
      <c r="B12" s="148" t="inlineStr">
        <is>
          <t>Yatırım harcaması ve amortisman bağlantılı</t>
        </is>
      </c>
      <c r="C12" s="148" t="inlineStr">
        <is>
          <t>253 Tesis Makine Cihazlar, 255 Demirbaşlar, 257 Birikmiş Amortismanlar</t>
        </is>
      </c>
      <c r="D12" s="148" t="inlineStr">
        <is>
          <t>25x</t>
        </is>
      </c>
      <c r="E12" s="148" t="inlineStr">
        <is>
          <t>Yatırım/gider karışması</t>
        </is>
      </c>
      <c r="F12" s="148" t="inlineStr">
        <is>
          <t>Net defter değeri devri</t>
        </is>
      </c>
    </row>
    <row r="13">
      <c r="A13" s="164" t="inlineStr">
        <is>
          <t>Mali Borçlar</t>
        </is>
      </c>
      <c r="B13" s="148" t="inlineStr">
        <is>
          <t>Kısa/uzun vadeli borç ayrımı</t>
        </is>
      </c>
      <c r="C13" s="148" t="inlineStr">
        <is>
          <t>300 Banka Kredileri / 400 Banka Kredileri</t>
        </is>
      </c>
      <c r="D13" s="148" t="inlineStr">
        <is>
          <t>300 / 400</t>
        </is>
      </c>
      <c r="E13" s="148" t="inlineStr">
        <is>
          <t>Vade sınıfı yanlış</t>
        </is>
      </c>
      <c r="F13" s="148" t="inlineStr">
        <is>
          <t>Borç devri</t>
        </is>
      </c>
    </row>
    <row r="14">
      <c r="A14" s="164" t="inlineStr">
        <is>
          <t>Özkaynak</t>
        </is>
      </c>
      <c r="B14" s="148" t="inlineStr">
        <is>
          <t>Sermaye ve geçmiş yıl kârları ayrı</t>
        </is>
      </c>
      <c r="C14" s="148" t="inlineStr">
        <is>
          <t>500 Sermaye, 570 Geçmiş Yıllar Kârları, 590 Dönem Net Kârı</t>
        </is>
      </c>
      <c r="D14" s="148" t="inlineStr">
        <is>
          <t>5xx</t>
        </is>
      </c>
      <c r="E14" s="148" t="inlineStr">
        <is>
          <t>Net kâr bağının kopması</t>
        </is>
      </c>
      <c r="F14" s="148" t="inlineStr">
        <is>
          <t>Özkaynak devri</t>
        </is>
      </c>
    </row>
    <row r="15">
      <c r="A15" s="164" t="inlineStr">
        <is>
          <t>Vergi</t>
        </is>
      </c>
      <c r="B15" s="148" t="inlineStr">
        <is>
          <t>Vergi satırları Türkiye mantığına uygun</t>
        </is>
      </c>
      <c r="C15" s="148" t="inlineStr">
        <is>
          <t>Dönem Vergi ve Diğer Yasal Yükümlülük Karşılıkları</t>
        </is>
      </c>
      <c r="D15" s="148" t="inlineStr">
        <is>
          <t>37x / ilgili vergi hesapları</t>
        </is>
      </c>
      <c r="E15" s="148" t="inlineStr">
        <is>
          <t>Vergi etkisinin yanlış dönemlenmesi</t>
        </is>
      </c>
      <c r="F15" s="148" t="inlineStr">
        <is>
          <t>Vergi sözleşmesi</t>
        </is>
      </c>
    </row>
    <row r="16">
      <c r="A16" s="164" t="inlineStr">
        <is>
          <t>İsim standardı</t>
        </is>
      </c>
      <c r="B16" s="148" t="inlineStr">
        <is>
          <t>Tablo ve sayfa adları Türkçe ve işlevsel</t>
        </is>
      </c>
      <c r="C16" s="148" t="inlineStr">
        <is>
          <t>GELİR_TABLOSU, BİLANÇO, NAKİT_AKISI, BORC_PLANI</t>
        </is>
      </c>
      <c r="D16" s="148" t="inlineStr">
        <is>
          <t>Tekrarlanabilir standart</t>
        </is>
      </c>
      <c r="E16" s="148" t="inlineStr">
        <is>
          <t>İngilizce/karma isim</t>
        </is>
      </c>
      <c r="F16" s="148" t="inlineStr">
        <is>
          <t>Sayfa ve tablo taraması</t>
        </is>
      </c>
    </row>
    <row r="17">
      <c r="A17" s="164" t="inlineStr">
        <is>
          <t>THP eşleme tablosu</t>
        </is>
      </c>
      <c r="B17" s="148" t="inlineStr">
        <is>
          <t>Her kritik satır en az bir THP hesabına bağlanır</t>
        </is>
      </c>
      <c r="C17" s="148" t="inlineStr">
        <is>
          <t>RaporSatırı → HesapKodu → HesapAdı → İşaret → Dönem</t>
        </is>
      </c>
      <c r="D17" s="148" t="inlineStr">
        <is>
          <t>Kaynak izlenebilirliği</t>
        </is>
      </c>
      <c r="E17" s="148" t="inlineStr">
        <is>
          <t>Rapordan rapora kaynak</t>
        </is>
      </c>
      <c r="F17" s="148" t="inlineStr">
        <is>
          <t>Eşleme kapsama %100</t>
        </is>
      </c>
    </row>
    <row r="18">
      <c r="A18" s="164" t="inlineStr">
        <is>
          <t>İstisna</t>
        </is>
      </c>
      <c r="B18" s="148" t="inlineStr">
        <is>
          <t>TFRS özel ürün varsa fark açık yazılır</t>
        </is>
      </c>
      <c r="C18" s="148" t="inlineStr">
        <is>
          <t>Tekdüzen raporlama ≠ TFRS finansal tablo sunumu</t>
        </is>
      </c>
      <c r="D18" s="148" t="inlineStr">
        <is>
          <t>Amaç belirtilir</t>
        </is>
      </c>
      <c r="E18" s="148" t="inlineStr">
        <is>
          <t>Standartları karıştırma</t>
        </is>
      </c>
      <c r="F18" s="14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KARAR, GÜVEN VE SATIŞA HAZIRLIK STANDARDI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4" customHeight="1">
      <c r="A3" s="166" t="inlineStr">
        <is>
          <t>Alan</t>
        </is>
      </c>
      <c r="B3" s="166" t="inlineStr">
        <is>
          <t>Müşteri Sorusu</t>
        </is>
      </c>
      <c r="C3" s="166" t="inlineStr">
        <is>
          <t>Zorunlu Ürün Davranışı</t>
        </is>
      </c>
      <c r="D3" s="166" t="inlineStr">
        <is>
          <t>Kanıt</t>
        </is>
      </c>
      <c r="E3" s="166" t="inlineStr">
        <is>
          <t>Başarısızlık Durumu</t>
        </is>
      </c>
      <c r="F3" s="166" t="inlineStr">
        <is>
          <t>Kapı</t>
        </is>
      </c>
    </row>
    <row r="4">
      <c r="A4" s="167" t="inlineStr">
        <is>
          <t>5 saniye</t>
        </is>
      </c>
      <c r="B4" s="148" t="inlineStr">
        <is>
          <t>Bu ürün neyi çözüyor?</t>
        </is>
      </c>
      <c r="C4" s="148" t="inlineStr">
        <is>
          <t>İlk ekranda hedef kullanıcı + pahalı problem + sonuç görünür</t>
        </is>
      </c>
      <c r="D4" s="148" t="inlineStr">
        <is>
          <t>Başlık + alt mesaj + gerçek ekran</t>
        </is>
      </c>
      <c r="E4" s="148" t="inlineStr">
        <is>
          <t>Ürün yalnız teknik isim</t>
        </is>
      </c>
      <c r="F4" s="168" t="inlineStr">
        <is>
          <t>HATA</t>
        </is>
      </c>
    </row>
    <row r="5">
      <c r="A5" s="167" t="inlineStr">
        <is>
          <t>Acı</t>
        </is>
      </c>
      <c r="B5" s="148" t="inlineStr">
        <is>
          <t>Sorun bana neye mal oluyor?</t>
        </is>
      </c>
      <c r="C5" s="148" t="inlineStr">
        <is>
          <t>Mümkünse müşterinin kendi verisiyle parasal/zaman etkisi hesaplanır</t>
        </is>
      </c>
      <c r="D5" s="148" t="inlineStr">
        <is>
          <t>ROI/acı hesaplama yöntemi</t>
        </is>
      </c>
      <c r="E5" s="148" t="inlineStr">
        <is>
          <t>Uydurma tasarruf</t>
        </is>
      </c>
      <c r="F5" s="168" t="inlineStr">
        <is>
          <t>HATA</t>
        </is>
      </c>
    </row>
    <row r="6">
      <c r="A6" s="167" t="inlineStr">
        <is>
          <t>Karar</t>
        </is>
      </c>
      <c r="B6" s="148" t="inlineStr">
        <is>
          <t>Bu bilgiyle ne yapacağım?</t>
        </is>
      </c>
      <c r="C6" s="148" t="inlineStr">
        <is>
          <t>Her kritik KPI aksiyona bağlanır</t>
        </is>
      </c>
      <c r="D6" s="148" t="inlineStr">
        <is>
          <t>KARAR_KUYRUGU</t>
        </is>
      </c>
      <c r="E6" s="148" t="inlineStr">
        <is>
          <t>Sadece rapor</t>
        </is>
      </c>
      <c r="F6" s="168" t="inlineStr">
        <is>
          <t>HATA</t>
        </is>
      </c>
    </row>
    <row r="7">
      <c r="A7" s="167" t="inlineStr">
        <is>
          <t>Güven</t>
        </is>
      </c>
      <c r="B7" s="148" t="inlineStr">
        <is>
          <t>Bu sayıya neden inanayım?</t>
        </is>
      </c>
      <c r="C7" s="148" t="inlineStr">
        <is>
          <t>Kaynak, formül mantığı, kontrol ve son doğrulama görünür</t>
        </is>
      </c>
      <c r="D7" s="148" t="inlineStr">
        <is>
          <t>Kontroller + kaynak izi + sürüm</t>
        </is>
      </c>
      <c r="E7" s="148" t="inlineStr">
        <is>
          <t>Prestij kelimesi</t>
        </is>
      </c>
      <c r="F7" s="168" t="inlineStr">
        <is>
          <t>HATA</t>
        </is>
      </c>
    </row>
    <row r="8">
      <c r="A8" s="167" t="inlineStr">
        <is>
          <t>Referans</t>
        </is>
      </c>
      <c r="B8" s="148" t="inlineStr">
        <is>
          <t>Müşteri yorumu yoksa ne göstereceğim?</t>
        </is>
      </c>
      <c r="C8" s="148" t="inlineStr">
        <is>
          <t>Önce/Sonra + Karar Vakası + Hata Önleme Vakası üretilir</t>
        </is>
      </c>
      <c r="D8" s="148" t="inlineStr">
        <is>
          <t>Demo/örnek çıktı</t>
        </is>
      </c>
      <c r="E8" s="148" t="inlineStr">
        <is>
          <t>Kanıtsız iddia</t>
        </is>
      </c>
      <c r="F8" s="168" t="inlineStr">
        <is>
          <t>HATA</t>
        </is>
      </c>
    </row>
    <row r="9">
      <c r="A9" s="167" t="inlineStr">
        <is>
          <t>Senaryo</t>
        </is>
      </c>
      <c r="B9" s="148" t="inlineStr">
        <is>
          <t>Ne olursa işler bozulur?</t>
        </is>
      </c>
      <c r="C9" s="148" t="inlineStr">
        <is>
          <t>Baz/Aşağı/Yukarı veya uygun stres senaryosu</t>
        </is>
      </c>
      <c r="D9" s="148" t="inlineStr">
        <is>
          <t>Senaryo karşılaştırma</t>
        </is>
      </c>
      <c r="E9" s="148" t="inlineStr">
        <is>
          <t>Dekoratif senaryo</t>
        </is>
      </c>
      <c r="F9" s="168" t="inlineStr">
        <is>
          <t>HATA</t>
        </is>
      </c>
    </row>
    <row r="10">
      <c r="A10" s="167" t="inlineStr">
        <is>
          <t>Ters stres</t>
        </is>
      </c>
      <c r="B10" s="148" t="inlineStr">
        <is>
          <t>Hangi eşikte karar kırılır?</t>
        </is>
      </c>
      <c r="C10" s="148" t="inlineStr">
        <is>
          <t>En az bir kritik sürücü için kırılma eşiği</t>
        </is>
      </c>
      <c r="D10" s="148" t="inlineStr">
        <is>
          <t>Kırılma eşiği tablosu</t>
        </is>
      </c>
      <c r="E10" s="148" t="inlineStr">
        <is>
          <t>Sadece +/- %10</t>
        </is>
      </c>
      <c r="F10" s="168" t="inlineStr">
        <is>
          <t>UYARI/HATA</t>
        </is>
      </c>
    </row>
    <row r="11">
      <c r="A11" s="167" t="inlineStr">
        <is>
          <t>Hata tutarlılığı</t>
        </is>
      </c>
      <c r="B11" s="148" t="inlineStr">
        <is>
          <t>Formül hata verirse ne olur?</t>
        </is>
      </c>
      <c r="C11" s="148" t="inlineStr">
        <is>
          <t>Kontrol GEÇTİ veremez; BLOKE/HATA üretir</t>
        </is>
      </c>
      <c r="D11" s="148" t="inlineStr">
        <is>
          <t>Hata taraması</t>
        </is>
      </c>
      <c r="E11" s="148" t="inlineStr">
        <is>
          <t>Hata + GEÇTİ birlikte</t>
        </is>
      </c>
      <c r="F11" s="168" t="inlineStr">
        <is>
          <t>HATA</t>
        </is>
      </c>
    </row>
    <row r="12">
      <c r="A12" s="167" t="inlineStr">
        <is>
          <t>Karar motoru</t>
        </is>
      </c>
      <c r="B12" s="148" t="inlineStr">
        <is>
          <t>Ne oldu, neden oldu?</t>
        </is>
      </c>
      <c r="C12" s="148" t="inlineStr">
        <is>
          <t>Sorun + neden + parasal etki + aksiyon + son tarih</t>
        </is>
      </c>
      <c r="D12" s="148" t="inlineStr">
        <is>
          <t>Karar tablosu</t>
        </is>
      </c>
      <c r="E12" s="148" t="inlineStr">
        <is>
          <t>Boş sayfa / isim düzeyi modül</t>
        </is>
      </c>
      <c r="F12" s="168" t="inlineStr">
        <is>
          <t>HATA</t>
        </is>
      </c>
    </row>
    <row r="13">
      <c r="A13" s="167" t="inlineStr">
        <is>
          <t>Yönetici özeti</t>
        </is>
      </c>
      <c r="B13" s="148" t="inlineStr">
        <is>
          <t>5 saniyede ne görmeliyim?</t>
        </is>
      </c>
      <c r="C13" s="148" t="inlineStr">
        <is>
          <t>Bugün / ne değişti / ne bozulacak / neden / ne yapmalıyım / güven</t>
        </is>
      </c>
      <c r="D13" s="148" t="inlineStr">
        <is>
          <t>Yönetici özeti ekranı</t>
        </is>
      </c>
      <c r="E13" s="148" t="inlineStr">
        <is>
          <t>KPI kutusu yığını</t>
        </is>
      </c>
      <c r="F13" s="168" t="inlineStr">
        <is>
          <t>HATA</t>
        </is>
      </c>
    </row>
    <row r="14">
      <c r="A14" s="167" t="inlineStr">
        <is>
          <t>Teklif</t>
        </is>
      </c>
      <c r="B14" s="148" t="inlineStr">
        <is>
          <t>Neden satın almalıyım?</t>
        </is>
      </c>
      <c r="C14" s="148" t="inlineStr">
        <is>
          <t>Dosya özellikleri yerine sonuç ve kaçınılan maliyet sunulur</t>
        </is>
      </c>
      <c r="D14" s="148" t="inlineStr">
        <is>
          <t>Ürün sayfası kanıt eşlemesi</t>
        </is>
      </c>
      <c r="E14" s="148" t="inlineStr">
        <is>
          <t>Özellik listesiyle satış</t>
        </is>
      </c>
      <c r="F14" s="168" t="inlineStr">
        <is>
          <t>HATA</t>
        </is>
      </c>
    </row>
    <row r="15">
      <c r="A15" s="167" t="inlineStr">
        <is>
          <t>Dağıtım</t>
        </is>
      </c>
      <c r="B15" s="148" t="inlineStr">
        <is>
          <t>Beni nasıl bulacaklar?</t>
        </is>
      </c>
      <c r="C15" s="148" t="inlineStr">
        <is>
          <t>Sorun niyetine göre SEO sayfaları, iç bağlantı, temiz yapı, taranabilir metin</t>
        </is>
      </c>
      <c r="D15" s="148" t="inlineStr">
        <is>
          <t>Arama niyeti haritası</t>
        </is>
      </c>
      <c r="E15" s="148" t="inlineStr">
        <is>
          <t>Tek ürün sayfasına bağımlılık</t>
        </is>
      </c>
      <c r="F15" s="168" t="inlineStr">
        <is>
          <t>UYARI</t>
        </is>
      </c>
    </row>
    <row r="16" ht="28" customHeight="1">
      <c r="A16" s="167" t="inlineStr">
        <is>
          <t>LLM görünürlüğü</t>
        </is>
      </c>
      <c r="B16" s="148" t="inlineStr">
        <is>
          <t>AI ürünümü anlayabiliyor mu?</t>
        </is>
      </c>
      <c r="C16" s="148" t="inlineStr">
        <is>
          <t>Ürün tanımı, hedef kullanıcı, girdi/çıktı, metodoloji, sınırlar, SSS açık metindir</t>
        </is>
      </c>
      <c r="D16" s="148" t="inlineStr">
        <is>
          <t>Taranabilir ürün içeriği</t>
        </is>
      </c>
      <c r="E16" s="148" t="inlineStr">
        <is>
          <t>'AI SEO' iddiası</t>
        </is>
      </c>
      <c r="F16" s="168" t="inlineStr">
        <is>
          <t>UYARI</t>
        </is>
      </c>
    </row>
    <row r="17">
      <c r="A17" s="167" t="inlineStr">
        <is>
          <t>Satış kanalı</t>
        </is>
      </c>
      <c r="B17" s="148" t="inlineStr">
        <is>
          <t>Nerede satılmalı?</t>
        </is>
      </c>
      <c r="C17" s="148" t="inlineStr">
        <is>
          <t>Arama, LinkedIn, uzman/partner, demo/video; ürüne göre kanal seçilir</t>
        </is>
      </c>
      <c r="D17" s="148" t="inlineStr">
        <is>
          <t>Kanal matrisi</t>
        </is>
      </c>
      <c r="E17" s="148" t="inlineStr">
        <is>
          <t>Her ürüne aynı kanal</t>
        </is>
      </c>
      <c r="F17" s="168" t="inlineStr">
        <is>
          <t>UYARI</t>
        </is>
      </c>
    </row>
    <row r="18">
      <c r="A18" s="167" t="inlineStr">
        <is>
          <t>Fiyat</t>
        </is>
      </c>
      <c r="B18" s="148" t="inlineStr">
        <is>
          <t>Bu fiyat neden mantıklı?</t>
        </is>
      </c>
      <c r="C18" s="148" t="inlineStr">
        <is>
          <t>Fiyat, ekonomik karar değerine ve kanıtlanmış ürün derinliğine bağlanır</t>
        </is>
      </c>
      <c r="D18" s="148" t="inlineStr">
        <is>
          <t>Değer haritası + demo</t>
        </is>
      </c>
      <c r="E18" s="148" t="inlineStr">
        <is>
          <t>Sırf sayfa/formül sayısı</t>
        </is>
      </c>
      <c r="F18" s="168" t="inlineStr">
        <is>
          <t>HATA</t>
        </is>
      </c>
    </row>
    <row r="19">
      <c r="A19" s="167" t="inlineStr">
        <is>
          <t>Pazar kanıtı</t>
        </is>
      </c>
      <c r="B19" s="148" t="inlineStr">
        <is>
          <t>Piyasa gerçekten ödüyor mu?</t>
        </is>
      </c>
      <c r="C19" s="148" t="inlineStr">
        <is>
          <t>Satış/pilot/LOI/fiyat kabulü olmadan pazar doğrulandı yazılmaz</t>
        </is>
      </c>
      <c r="D19" s="148" t="inlineStr">
        <is>
          <t>Gerçek işlem kanıtı</t>
        </is>
      </c>
      <c r="E19" s="148" t="inlineStr">
        <is>
          <t>Tahmini talep = satış kabulü</t>
        </is>
      </c>
      <c r="F19" s="168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KAPAK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198" t="inlineStr">
        <is>
          <t>Stok Optimizasyon + ABC + Ölü Stok Nakit</t>
        </is>
      </c>
    </row>
    <row r="4">
      <c r="A4" s="4" t="inlineStr">
        <is>
          <t>Stok sayımını ABC sınıfı ve ölü stok nakit zinciri ile yönetir; önerilen siparişi görünür kılar; SİPARİŞ / BEKLE / ÖLÜ STOK ERİT kararı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 makinesi: Sayım → ABC → Aksiyon → Kapalı</t>
        </is>
      </c>
    </row>
    <row r="8">
      <c r="A8" s="6" t="inlineStr">
        <is>
          <t>• Stok adet × birim maliyet ↔ kontrol nakit zinciri (ZİNCİR KIRIK bayrağı)</t>
        </is>
      </c>
    </row>
    <row r="9">
      <c r="A9" s="6" t="inlineStr">
        <is>
          <t>• Ölü stok nakit + stok günü + önerilen sipariş kuyruğu</t>
        </is>
      </c>
    </row>
    <row r="10">
      <c r="A10" s="6" t="inlineStr">
        <is>
          <t>• Geçersiz geçiş ve yetim SKU uyarıları</t>
        </is>
      </c>
    </row>
    <row r="11">
      <c r="A11" s="6" t="inlineStr">
        <is>
          <t>• Dönemsel stok kanıt raporu — yönetici/SMMM dosyasına uygun</t>
        </is>
      </c>
    </row>
    <row r="12"/>
    <row r="13">
      <c r="A13" s="5" t="inlineStr">
        <is>
          <t>Kimler için?</t>
        </is>
      </c>
    </row>
    <row r="14">
      <c r="A14" s="7" t="inlineStr">
        <is>
          <t>• Satın alma / depo planlama — ABC sınıfı ve önerilen sipariş</t>
        </is>
      </c>
    </row>
    <row r="15">
      <c r="A15" s="7" t="inlineStr">
        <is>
          <t>• Fabrika müdürü — SİPARİŞ / BEKLE / ÖLÜ STOK ERİT kararı</t>
        </is>
      </c>
    </row>
    <row r="16">
      <c r="A16" s="7" t="inlineStr">
        <is>
          <t>• SMMM / mali işler — ölü stok nakit kanıt raporu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KARTLAR'a SKU kartı girin. 2) AKIS'e sayım/ABC satırlarını yazın. 3) KUYRUKLAR ve PANO'dan günün kararını görün. 4) RAPOR'dan kanıt çıktısı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.5" customWidth="1" min="3" max="3"/>
    <col width="14" customWidth="1" min="4" max="4"/>
    <col width="14" customWidth="1" min="5" max="5"/>
    <col width="14" customWidth="1" min="6" max="6"/>
    <col width="14" customWidth="1" min="7" max="7"/>
    <col width="14.5" customWidth="1" min="8" max="8"/>
    <col width="15.5" customWidth="1" min="9" max="9"/>
    <col width="13" customWidth="1" min="10" max="10"/>
  </cols>
  <sheetData>
    <row r="1" ht="32" customHeight="1">
      <c r="A1" s="179" t="inlineStr">
        <is>
          <t>KARTLAR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199" t="inlineStr">
        <is>
          <t>SKU kartları — her kaydın tek kimliği vardır</t>
        </is>
      </c>
    </row>
    <row r="4">
      <c r="A4" s="11" t="inlineStr">
        <is>
          <t>Sonraki Kimlik</t>
        </is>
      </c>
      <c r="B4" s="25">
        <f>soa_sonrakiKimlik</f>
        <v/>
      </c>
    </row>
    <row r="5" ht="30" customHeight="1">
      <c r="A5" s="26" t="inlineStr">
        <is>
          <t>KartId</t>
        </is>
      </c>
      <c r="B5" s="26" t="inlineStr">
        <is>
          <t>Unvan</t>
        </is>
      </c>
      <c r="C5" s="26" t="inlineStr">
        <is>
          <t>Sinif</t>
        </is>
      </c>
      <c r="D5" s="26" t="inlineStr">
        <is>
          <t>Depo</t>
        </is>
      </c>
      <c r="E5" s="26" t="inlineStr">
        <is>
          <t>MinStok</t>
        </is>
      </c>
      <c r="F5" s="26" t="inlineStr">
        <is>
          <t>RiskNotu</t>
        </is>
      </c>
      <c r="G5" s="26" t="inlineStr">
        <is>
          <t>Aktif</t>
        </is>
      </c>
      <c r="H5" s="26" t="inlineStr">
        <is>
          <t>ToplamStok</t>
        </is>
      </c>
      <c r="I5" s="26" t="inlineStr">
        <is>
          <t>OrtStokGunu</t>
        </is>
      </c>
    </row>
    <row r="6">
      <c r="A6" s="27" t="inlineStr">
        <is>
          <t>SKU-00001</t>
        </is>
      </c>
      <c r="B6" s="27" t="inlineStr">
        <is>
          <t>Çelik Sac 2mm</t>
        </is>
      </c>
      <c r="C6" s="27" t="inlineStr">
        <is>
          <t>Hammadde</t>
        </is>
      </c>
      <c r="D6" s="27" t="inlineStr">
        <is>
          <t>Merkez</t>
        </is>
      </c>
      <c r="E6" s="28" t="n">
        <v>50</v>
      </c>
      <c r="F6" s="27" t="inlineStr">
        <is>
          <t>Normal</t>
        </is>
      </c>
      <c r="G6" s="27" t="inlineStr">
        <is>
          <t>EVET</t>
        </is>
      </c>
      <c r="H6" s="29">
        <f>IF($A6="","",SUMIF(tblAkis[KaynakKartId],$A6,tblAkis[StokAdet]))</f>
        <v/>
      </c>
      <c r="I6" s="29">
        <f>IF($A6="","",IFERROR(AVERAGEIF(tblAkis[KaynakKartId],$A6,tblAkis[StokGunu]),0))</f>
        <v/>
      </c>
    </row>
    <row r="7">
      <c r="A7" s="27" t="inlineStr">
        <is>
          <t>SKU-00002</t>
        </is>
      </c>
      <c r="B7" s="27" t="inlineStr">
        <is>
          <t>Motor Rulman 6205</t>
        </is>
      </c>
      <c r="C7" s="27" t="inlineStr">
        <is>
          <t>Yedek Parça</t>
        </is>
      </c>
      <c r="D7" s="27" t="inlineStr">
        <is>
          <t>Merkez</t>
        </is>
      </c>
      <c r="E7" s="28" t="n">
        <v>60</v>
      </c>
      <c r="F7" s="27" t="inlineStr">
        <is>
          <t>Normal</t>
        </is>
      </c>
      <c r="G7" s="27" t="inlineStr">
        <is>
          <t>EVET</t>
        </is>
      </c>
      <c r="H7" s="29">
        <f>IF($A7="","",SUMIF(tblAkis[KaynakKartId],$A7,tblAkis[StokAdet]))</f>
        <v/>
      </c>
      <c r="I7" s="29">
        <f>IF($A7="","",IFERROR(AVERAGEIF(tblAkis[KaynakKartId],$A7,tblAkis[StokGunu]),0))</f>
        <v/>
      </c>
    </row>
    <row r="8">
      <c r="A8" s="27" t="inlineStr">
        <is>
          <t>SKU-00003</t>
        </is>
      </c>
      <c r="B8" s="27" t="inlineStr">
        <is>
          <t>Ambalaj Karton A</t>
        </is>
      </c>
      <c r="C8" s="27" t="inlineStr">
        <is>
          <t>Ambalaj</t>
        </is>
      </c>
      <c r="D8" s="27" t="inlineStr">
        <is>
          <t>Yan Depo</t>
        </is>
      </c>
      <c r="E8" s="28" t="n">
        <v>70</v>
      </c>
      <c r="F8" s="27" t="inlineStr">
        <is>
          <t>Normal</t>
        </is>
      </c>
      <c r="G8" s="27" t="inlineStr">
        <is>
          <t>EVET</t>
        </is>
      </c>
      <c r="H8" s="29">
        <f>IF($A8="","",SUMIF(tblAkis[KaynakKartId],$A8,tblAkis[StokAdet]))</f>
        <v/>
      </c>
      <c r="I8" s="29">
        <f>IF($A8="","",IFERROR(AVERAGEIF(tblAkis[KaynakKartId],$A8,tblAkis[StokGunu]),0))</f>
        <v/>
      </c>
    </row>
    <row r="9">
      <c r="A9" s="27" t="inlineStr">
        <is>
          <t>SKU-00004</t>
        </is>
      </c>
      <c r="B9" s="27" t="inlineStr">
        <is>
          <t>Vida M8 Set</t>
        </is>
      </c>
      <c r="C9" s="27" t="inlineStr">
        <is>
          <t>Sarf</t>
        </is>
      </c>
      <c r="D9" s="27" t="inlineStr">
        <is>
          <t>Merkez</t>
        </is>
      </c>
      <c r="E9" s="28" t="n">
        <v>80</v>
      </c>
      <c r="F9" s="27" t="inlineStr">
        <is>
          <t>Normal</t>
        </is>
      </c>
      <c r="G9" s="27" t="inlineStr">
        <is>
          <t>EVET</t>
        </is>
      </c>
      <c r="H9" s="29">
        <f>IF($A9="","",SUMIF(tblAkis[KaynakKartId],$A9,tblAkis[StokAdet]))</f>
        <v/>
      </c>
      <c r="I9" s="29">
        <f>IF($A9="","",IFERROR(AVERAGEIF(tblAkis[KaynakKartId],$A9,tblAkis[StokGunu]),0))</f>
        <v/>
      </c>
    </row>
    <row r="10">
      <c r="A10" s="27" t="inlineStr">
        <is>
          <t>SKU-00005</t>
        </is>
      </c>
      <c r="B10" s="27" t="inlineStr">
        <is>
          <t>Hidrolik Yağ 20L</t>
        </is>
      </c>
      <c r="C10" s="27" t="inlineStr">
        <is>
          <t>Sarf</t>
        </is>
      </c>
      <c r="D10" s="27" t="inlineStr">
        <is>
          <t>Yan Depo</t>
        </is>
      </c>
      <c r="E10" s="28" t="n">
        <v>90</v>
      </c>
      <c r="F10" s="27" t="inlineStr">
        <is>
          <t>Normal</t>
        </is>
      </c>
      <c r="G10" s="27" t="inlineStr">
        <is>
          <t>EVET</t>
        </is>
      </c>
      <c r="H10" s="29">
        <f>IF($A10="","",SUMIF(tblAkis[KaynakKartId],$A10,tblAkis[StokAdet]))</f>
        <v/>
      </c>
      <c r="I10" s="29">
        <f>IF($A10="","",IFERROR(AVERAGEIF(tblAkis[KaynakKartId],$A10,tblAkis[StokGunu]),0))</f>
        <v/>
      </c>
    </row>
    <row r="11">
      <c r="A11" s="27" t="inlineStr">
        <is>
          <t>SKU-00006</t>
        </is>
      </c>
      <c r="B11" s="27" t="inlineStr">
        <is>
          <t>PLC Modül S7</t>
        </is>
      </c>
      <c r="C11" s="27" t="inlineStr">
        <is>
          <t>Yedek Parça</t>
        </is>
      </c>
      <c r="D11" s="27" t="inlineStr">
        <is>
          <t>Kritik</t>
        </is>
      </c>
      <c r="E11" s="28" t="n">
        <v>100</v>
      </c>
      <c r="F11" s="27" t="inlineStr">
        <is>
          <t>Normal</t>
        </is>
      </c>
      <c r="G11" s="27" t="inlineStr">
        <is>
          <t>EVET</t>
        </is>
      </c>
      <c r="H11" s="29">
        <f>IF($A11="","",SUMIF(tblAkis[KaynakKartId],$A11,tblAkis[StokAdet]))</f>
        <v/>
      </c>
      <c r="I11" s="29">
        <f>IF($A11="","",IFERROR(AVERAGEIF(tblAkis[KaynakKartId],$A11,tblAkis[StokGunu]),0))</f>
        <v/>
      </c>
    </row>
    <row r="12">
      <c r="A12" s="27" t="inlineStr">
        <is>
          <t>SKU-00007</t>
        </is>
      </c>
      <c r="B12" s="27" t="inlineStr">
        <is>
          <t>Kayış Profil B</t>
        </is>
      </c>
      <c r="C12" s="27" t="inlineStr">
        <is>
          <t>Yedek Parça</t>
        </is>
      </c>
      <c r="D12" s="27" t="inlineStr">
        <is>
          <t>Merkez</t>
        </is>
      </c>
      <c r="E12" s="28" t="n">
        <v>110</v>
      </c>
      <c r="F12" s="27" t="inlineStr">
        <is>
          <t>Normal</t>
        </is>
      </c>
      <c r="G12" s="27" t="inlineStr">
        <is>
          <t>EVET</t>
        </is>
      </c>
      <c r="H12" s="29">
        <f>IF($A12="","",SUMIF(tblAkis[KaynakKartId],$A12,tblAkis[StokAdet]))</f>
        <v/>
      </c>
      <c r="I12" s="29">
        <f>IF($A12="","",IFERROR(AVERAGEIF(tblAkis[KaynakKartId],$A12,tblAkis[StokGunu]),0))</f>
        <v/>
      </c>
    </row>
    <row r="13">
      <c r="A13" s="27" t="inlineStr">
        <is>
          <t>SKU-00008</t>
        </is>
      </c>
      <c r="B13" s="27" t="inlineStr">
        <is>
          <t>Etiket Rulo</t>
        </is>
      </c>
      <c r="C13" s="27" t="inlineStr">
        <is>
          <t>Ambalaj</t>
        </is>
      </c>
      <c r="D13" s="27" t="inlineStr">
        <is>
          <t>Yan Depo</t>
        </is>
      </c>
      <c r="E13" s="28" t="n">
        <v>120</v>
      </c>
      <c r="F13" s="27" t="inlineStr">
        <is>
          <t>Normal</t>
        </is>
      </c>
      <c r="G13" s="27" t="inlineStr">
        <is>
          <t>EVET</t>
        </is>
      </c>
      <c r="H13" s="29">
        <f>IF($A13="","",SUMIF(tblAkis[KaynakKartId],$A13,tblAkis[StokAdet]))</f>
        <v/>
      </c>
      <c r="I13" s="29">
        <f>IF($A13="","",IFERROR(AVERAGEIF(tblAkis[KaynakKartId],$A13,tblAkis[StokGunu]),0))</f>
        <v/>
      </c>
    </row>
    <row r="14">
      <c r="A14" s="27" t="n"/>
      <c r="B14" s="27" t="n"/>
      <c r="C14" s="27" t="n"/>
      <c r="D14" s="27" t="n"/>
      <c r="E14" s="28" t="n"/>
      <c r="F14" s="27" t="n"/>
      <c r="G14" s="27" t="n"/>
      <c r="H14" s="29">
        <f>IF($A14="","",SUMIF(tblAkis[KaynakKartId],$A14,tblAkis[StokAdet]))</f>
        <v/>
      </c>
      <c r="I14" s="29">
        <f>IF($A14="","",IFERROR(AVERAGEIF(tblAkis[KaynakKartId],$A14,tblAkis[StokGunu]),0))</f>
        <v/>
      </c>
    </row>
    <row r="15">
      <c r="A15" s="27" t="n"/>
      <c r="B15" s="27" t="n"/>
      <c r="C15" s="27" t="n"/>
      <c r="D15" s="27" t="n"/>
      <c r="E15" s="28" t="n"/>
      <c r="F15" s="27" t="n"/>
      <c r="G15" s="27" t="n"/>
      <c r="H15" s="29">
        <f>IF($A15="","",SUMIF(tblAkis[KaynakKartId],$A15,tblAkis[StokAdet]))</f>
        <v/>
      </c>
      <c r="I15" s="29">
        <f>IF($A15="","",IFERROR(AVERAGEIF(tblAkis[KaynakKartId],$A15,tblAkis[StokGunu]),0))</f>
        <v/>
      </c>
    </row>
    <row r="16">
      <c r="A16" s="27" t="n"/>
      <c r="B16" s="27" t="n"/>
      <c r="C16" s="27" t="n"/>
      <c r="D16" s="27" t="n"/>
      <c r="E16" s="28" t="n"/>
      <c r="F16" s="27" t="n"/>
      <c r="G16" s="27" t="n"/>
      <c r="H16" s="29">
        <f>IF($A16="","",SUMIF(tblAkis[KaynakKartId],$A16,tblAkis[StokAdet]))</f>
        <v/>
      </c>
      <c r="I16" s="29">
        <f>IF($A16="","",IFERROR(AVERAGEIF(tblAkis[KaynakKartId],$A16,tblAkis[StokGunu]),0))</f>
        <v/>
      </c>
    </row>
    <row r="17">
      <c r="A17" s="27" t="n"/>
      <c r="B17" s="27" t="n"/>
      <c r="C17" s="27" t="n"/>
      <c r="D17" s="27" t="n"/>
      <c r="E17" s="28" t="n"/>
      <c r="F17" s="27" t="n"/>
      <c r="G17" s="27" t="n"/>
      <c r="H17" s="29">
        <f>IF($A17="","",SUMIF(tblAkis[KaynakKartId],$A17,tblAkis[StokAdet]))</f>
        <v/>
      </c>
      <c r="I17" s="29">
        <f>IF($A17="","",IFERROR(AVERAGEIF(tblAkis[KaynakKartId],$A17,tblAkis[StokGunu]),0))</f>
        <v/>
      </c>
    </row>
    <row r="18">
      <c r="A18" s="27" t="n"/>
      <c r="B18" s="27" t="n"/>
      <c r="C18" s="27" t="n"/>
      <c r="D18" s="27" t="n"/>
      <c r="E18" s="28" t="n"/>
      <c r="F18" s="27" t="n"/>
      <c r="G18" s="27" t="n"/>
      <c r="H18" s="29">
        <f>IF($A18="","",SUMIF(tblAkis[KaynakKartId],$A18,tblAkis[StokAdet]))</f>
        <v/>
      </c>
      <c r="I18" s="29">
        <f>IF($A18="","",IFERROR(AVERAGEIF(tblAkis[KaynakKartId],$A18,tblAkis[StokGunu]),0))</f>
        <v/>
      </c>
    </row>
    <row r="19">
      <c r="A19" s="27" t="n"/>
      <c r="B19" s="27" t="n"/>
      <c r="C19" s="27" t="n"/>
      <c r="D19" s="27" t="n"/>
      <c r="E19" s="28" t="n"/>
      <c r="F19" s="27" t="n"/>
      <c r="G19" s="27" t="n"/>
      <c r="H19" s="29">
        <f>IF($A19="","",SUMIF(tblAkis[KaynakKartId],$A19,tblAkis[StokAdet]))</f>
        <v/>
      </c>
      <c r="I19" s="29">
        <f>IF($A19="","",IFERROR(AVERAGEIF(tblAkis[KaynakKartId],$A19,tblAkis[StokGunu]),0))</f>
        <v/>
      </c>
    </row>
    <row r="20">
      <c r="A20" s="27" t="n"/>
      <c r="B20" s="27" t="n"/>
      <c r="C20" s="27" t="n"/>
      <c r="D20" s="27" t="n"/>
      <c r="E20" s="28" t="n"/>
      <c r="F20" s="27" t="n"/>
      <c r="G20" s="27" t="n"/>
      <c r="H20" s="29">
        <f>IF($A20="","",SUMIF(tblAkis[KaynakKartId],$A20,tblAkis[StokAdet]))</f>
        <v/>
      </c>
      <c r="I20" s="29">
        <f>IF($A20="","",IFERROR(AVERAGEIF(tblAkis[KaynakKartId],$A20,tblAkis[StokGunu]),0))</f>
        <v/>
      </c>
    </row>
    <row r="21">
      <c r="A21" s="27" t="n"/>
      <c r="B21" s="27" t="n"/>
      <c r="C21" s="27" t="n"/>
      <c r="D21" s="27" t="n"/>
      <c r="E21" s="28" t="n"/>
      <c r="F21" s="27" t="n"/>
      <c r="G21" s="27" t="n"/>
      <c r="H21" s="29">
        <f>IF($A21="","",SUMIF(tblAkis[KaynakKartId],$A21,tblAkis[StokAdet]))</f>
        <v/>
      </c>
      <c r="I21" s="29">
        <f>IF($A21="","",IFERROR(AVERAGEIF(tblAkis[KaynakKartId],$A21,tblAkis[StokGunu]),0))</f>
        <v/>
      </c>
    </row>
    <row r="22">
      <c r="A22" s="27" t="n"/>
      <c r="B22" s="27" t="n"/>
      <c r="C22" s="27" t="n"/>
      <c r="D22" s="27" t="n"/>
      <c r="E22" s="28" t="n"/>
      <c r="F22" s="27" t="n"/>
      <c r="G22" s="27" t="n"/>
      <c r="H22" s="29">
        <f>IF($A22="","",SUMIF(tblAkis[KaynakKartId],$A22,tblAkis[StokAdet]))</f>
        <v/>
      </c>
      <c r="I22" s="29">
        <f>IF($A22="","",IFERROR(AVERAGEIF(tblAkis[KaynakKartId],$A22,tblAkis[StokGunu]),0))</f>
        <v/>
      </c>
    </row>
    <row r="23">
      <c r="A23" s="27" t="n"/>
      <c r="B23" s="27" t="n"/>
      <c r="C23" s="27" t="n"/>
      <c r="D23" s="27" t="n"/>
      <c r="E23" s="28" t="n"/>
      <c r="F23" s="27" t="n"/>
      <c r="G23" s="27" t="n"/>
      <c r="H23" s="29">
        <f>IF($A23="","",SUMIF(tblAkis[KaynakKartId],$A23,tblAkis[StokAdet]))</f>
        <v/>
      </c>
      <c r="I23" s="29">
        <f>IF($A23="","",IFERROR(AVERAGEIF(tblAkis[KaynakKartId],$A23,tblAkis[StokGunu]),0))</f>
        <v/>
      </c>
    </row>
    <row r="24">
      <c r="A24" s="27" t="n"/>
      <c r="B24" s="27" t="n"/>
      <c r="C24" s="27" t="n"/>
      <c r="D24" s="27" t="n"/>
      <c r="E24" s="28" t="n"/>
      <c r="F24" s="27" t="n"/>
      <c r="G24" s="27" t="n"/>
      <c r="H24" s="29">
        <f>IF($A24="","",SUMIF(tblAkis[KaynakKartId],$A24,tblAkis[StokAdet]))</f>
        <v/>
      </c>
      <c r="I24" s="29">
        <f>IF($A24="","",IFERROR(AVERAGEIF(tblAkis[KaynakKartId],$A24,tblAkis[StokGunu]),0))</f>
        <v/>
      </c>
    </row>
    <row r="25">
      <c r="A25" s="27" t="n"/>
      <c r="B25" s="27" t="n"/>
      <c r="C25" s="27" t="n"/>
      <c r="D25" s="27" t="n"/>
      <c r="E25" s="28" t="n"/>
      <c r="F25" s="27" t="n"/>
      <c r="G25" s="27" t="n"/>
      <c r="H25" s="29">
        <f>IF($A25="","",SUMIF(tblAkis[KaynakKartId],$A25,tblAkis[StokAdet]))</f>
        <v/>
      </c>
      <c r="I25" s="29">
        <f>IF($A25="","",IFERROR(AVERAGEIF(tblAkis[KaynakKartId],$A25,tblAkis[StokGunu]),0))</f>
        <v/>
      </c>
    </row>
    <row r="26">
      <c r="A26" s="27" t="n"/>
      <c r="B26" s="27" t="n"/>
      <c r="C26" s="27" t="n"/>
      <c r="D26" s="27" t="n"/>
      <c r="E26" s="28" t="n"/>
      <c r="F26" s="27" t="n"/>
      <c r="G26" s="27" t="n"/>
      <c r="H26" s="29">
        <f>IF($A26="","",SUMIF(tblAkis[KaynakKartId],$A26,tblAkis[StokAdet]))</f>
        <v/>
      </c>
      <c r="I26" s="29">
        <f>IF($A26="","",IFERROR(AVERAGEIF(tblAkis[KaynakKartId],$A26,tblAkis[StokGunu]),0))</f>
        <v/>
      </c>
    </row>
    <row r="27">
      <c r="A27" s="27" t="n"/>
      <c r="B27" s="27" t="n"/>
      <c r="C27" s="27" t="n"/>
      <c r="D27" s="27" t="n"/>
      <c r="E27" s="28" t="n"/>
      <c r="F27" s="27" t="n"/>
      <c r="G27" s="27" t="n"/>
      <c r="H27" s="29">
        <f>IF($A27="","",SUMIF(tblAkis[KaynakKartId],$A27,tblAkis[StokAdet]))</f>
        <v/>
      </c>
      <c r="I27" s="29">
        <f>IF($A27="","",IFERROR(AVERAGEIF(tblAkis[KaynakKartId],$A27,tblAkis[StokGunu]),0))</f>
        <v/>
      </c>
    </row>
    <row r="28">
      <c r="A28" s="27" t="n"/>
      <c r="B28" s="27" t="n"/>
      <c r="C28" s="27" t="n"/>
      <c r="D28" s="27" t="n"/>
      <c r="E28" s="28" t="n"/>
      <c r="F28" s="27" t="n"/>
      <c r="G28" s="27" t="n"/>
      <c r="H28" s="29">
        <f>IF($A28="","",SUMIF(tblAkis[KaynakKartId],$A28,tblAkis[StokAdet]))</f>
        <v/>
      </c>
      <c r="I28" s="29">
        <f>IF($A28="","",IFERROR(AVERAGEIF(tblAkis[KaynakKartId],$A28,tblAkis[StokGunu]),0))</f>
        <v/>
      </c>
    </row>
    <row r="29">
      <c r="A29" s="27" t="n"/>
      <c r="B29" s="27" t="n"/>
      <c r="C29" s="27" t="n"/>
      <c r="D29" s="27" t="n"/>
      <c r="E29" s="28" t="n"/>
      <c r="F29" s="27" t="n"/>
      <c r="G29" s="27" t="n"/>
      <c r="H29" s="29">
        <f>IF($A29="","",SUMIF(tblAkis[KaynakKartId],$A29,tblAkis[StokAdet]))</f>
        <v/>
      </c>
      <c r="I29" s="29">
        <f>IF($A29="","",IFERROR(AVERAGEIF(tblAkis[KaynakKartId],$A29,tblAkis[StokGunu]),0))</f>
        <v/>
      </c>
    </row>
    <row r="30">
      <c r="A30" s="27" t="n"/>
      <c r="B30" s="27" t="n"/>
      <c r="C30" s="27" t="n"/>
      <c r="D30" s="27" t="n"/>
      <c r="E30" s="28" t="n"/>
      <c r="F30" s="27" t="n"/>
      <c r="G30" s="27" t="n"/>
      <c r="H30" s="29">
        <f>IF($A30="","",SUMIF(tblAkis[KaynakKartId],$A30,tblAkis[StokAdet]))</f>
        <v/>
      </c>
      <c r="I30" s="29">
        <f>IF($A30="","",IFERROR(AVERAGEIF(tblAkis[KaynakKartId],$A30,tblAkis[StokGunu]),0))</f>
        <v/>
      </c>
    </row>
    <row r="31">
      <c r="A31" s="27" t="n"/>
      <c r="B31" s="27" t="n"/>
      <c r="C31" s="27" t="n"/>
      <c r="D31" s="27" t="n"/>
      <c r="E31" s="28" t="n"/>
      <c r="F31" s="27" t="n"/>
      <c r="G31" s="27" t="n"/>
      <c r="H31" s="29">
        <f>IF($A31="","",SUMIF(tblAkis[KaynakKartId],$A31,tblAkis[StokAdet]))</f>
        <v/>
      </c>
      <c r="I31" s="29">
        <f>IF($A31="","",IFERROR(AVERAGEIF(tblAkis[KaynakKartId],$A31,tblAkis[StokGunu]),0))</f>
        <v/>
      </c>
    </row>
    <row r="32">
      <c r="A32" s="27" t="n"/>
      <c r="B32" s="27" t="n"/>
      <c r="C32" s="27" t="n"/>
      <c r="D32" s="27" t="n"/>
      <c r="E32" s="28" t="n"/>
      <c r="F32" s="27" t="n"/>
      <c r="G32" s="27" t="n"/>
      <c r="H32" s="29">
        <f>IF($A32="","",SUMIF(tblAkis[KaynakKartId],$A32,tblAkis[StokAdet]))</f>
        <v/>
      </c>
      <c r="I32" s="29">
        <f>IF($A32="","",IFERROR(AVERAGEIF(tblAkis[KaynakKartId],$A32,tblAkis[StokGunu]),0))</f>
        <v/>
      </c>
    </row>
    <row r="33">
      <c r="A33" s="27" t="n"/>
      <c r="B33" s="27" t="n"/>
      <c r="C33" s="27" t="n"/>
      <c r="D33" s="27" t="n"/>
      <c r="E33" s="28" t="n"/>
      <c r="F33" s="27" t="n"/>
      <c r="G33" s="27" t="n"/>
      <c r="H33" s="29">
        <f>IF($A33="","",SUMIF(tblAkis[KaynakKartId],$A33,tblAkis[StokAdet]))</f>
        <v/>
      </c>
      <c r="I33" s="29">
        <f>IF($A33="","",IFERROR(AVERAGEIF(tblAkis[KaynakKartId],$A33,tblAkis[StokGunu]),0))</f>
        <v/>
      </c>
    </row>
    <row r="34">
      <c r="A34" s="27" t="n"/>
      <c r="B34" s="27" t="n"/>
      <c r="C34" s="27" t="n"/>
      <c r="D34" s="27" t="n"/>
      <c r="E34" s="28" t="n"/>
      <c r="F34" s="27" t="n"/>
      <c r="G34" s="27" t="n"/>
      <c r="H34" s="29">
        <f>IF($A34="","",SUMIF(tblAkis[KaynakKartId],$A34,tblAkis[StokAdet]))</f>
        <v/>
      </c>
      <c r="I34" s="29">
        <f>IF($A34="","",IFERROR(AVERAGEIF(tblAkis[KaynakKartId],$A34,tblAkis[StokGunu]),0))</f>
        <v/>
      </c>
    </row>
    <row r="35">
      <c r="A35" s="27" t="n"/>
      <c r="B35" s="27" t="n"/>
      <c r="C35" s="27" t="n"/>
      <c r="D35" s="27" t="n"/>
      <c r="E35" s="28" t="n"/>
      <c r="F35" s="27" t="n"/>
      <c r="G35" s="27" t="n"/>
      <c r="H35" s="29">
        <f>IF($A35="","",SUMIF(tblAkis[KaynakKartId],$A35,tblAkis[StokAdet]))</f>
        <v/>
      </c>
      <c r="I35" s="29">
        <f>IF($A35="","",IFERROR(AVERAGEIF(tblAkis[KaynakKartId],$A35,tblAkis[StokGunu]),0))</f>
        <v/>
      </c>
    </row>
    <row r="36">
      <c r="A36" s="27" t="n"/>
      <c r="B36" s="27" t="n"/>
      <c r="C36" s="27" t="n"/>
      <c r="D36" s="27" t="n"/>
      <c r="E36" s="28" t="n"/>
      <c r="F36" s="27" t="n"/>
      <c r="G36" s="27" t="n"/>
      <c r="H36" s="29">
        <f>IF($A36="","",SUMIF(tblAkis[KaynakKartId],$A36,tblAkis[StokAdet]))</f>
        <v/>
      </c>
      <c r="I36" s="29">
        <f>IF($A36="","",IFERROR(AVERAGEIF(tblAkis[KaynakKartId],$A36,tblAkis[StokGunu]),0))</f>
        <v/>
      </c>
    </row>
    <row r="37">
      <c r="A37" s="27" t="n"/>
      <c r="B37" s="27" t="n"/>
      <c r="C37" s="27" t="n"/>
      <c r="D37" s="27" t="n"/>
      <c r="E37" s="28" t="n"/>
      <c r="F37" s="27" t="n"/>
      <c r="G37" s="27" t="n"/>
      <c r="H37" s="29">
        <f>IF($A37="","",SUMIF(tblAkis[KaynakKartId],$A37,tblAkis[StokAdet]))</f>
        <v/>
      </c>
      <c r="I37" s="29">
        <f>IF($A37="","",IFERROR(AVERAGEIF(tblAkis[KaynakKartId],$A37,tblAkis[StokGunu]),0))</f>
        <v/>
      </c>
    </row>
    <row r="38">
      <c r="A38" s="27" t="n"/>
      <c r="B38" s="27" t="n"/>
      <c r="C38" s="27" t="n"/>
      <c r="D38" s="27" t="n"/>
      <c r="E38" s="28" t="n"/>
      <c r="F38" s="27" t="n"/>
      <c r="G38" s="27" t="n"/>
      <c r="H38" s="29">
        <f>IF($A38="","",SUMIF(tblAkis[KaynakKartId],$A38,tblAkis[StokAdet]))</f>
        <v/>
      </c>
      <c r="I38" s="29">
        <f>IF($A38="","",IFERROR(AVERAGEIF(tblAkis[KaynakKartId],$A38,tblAkis[StokGunu]),0))</f>
        <v/>
      </c>
    </row>
    <row r="39">
      <c r="A39" s="27" t="n"/>
      <c r="B39" s="27" t="n"/>
      <c r="C39" s="27" t="n"/>
      <c r="D39" s="27" t="n"/>
      <c r="E39" s="28" t="n"/>
      <c r="F39" s="27" t="n"/>
      <c r="G39" s="27" t="n"/>
      <c r="H39" s="29">
        <f>IF($A39="","",SUMIF(tblAkis[KaynakKartId],$A39,tblAkis[StokAdet]))</f>
        <v/>
      </c>
      <c r="I39" s="29">
        <f>IF($A39="","",IFERROR(AVERAGEIF(tblAkis[KaynakKartId],$A39,tblAkis[StokGunu]),0))</f>
        <v/>
      </c>
    </row>
    <row r="40">
      <c r="A40" s="27" t="n"/>
      <c r="B40" s="27" t="n"/>
      <c r="C40" s="27" t="n"/>
      <c r="D40" s="27" t="n"/>
      <c r="E40" s="28" t="n"/>
      <c r="F40" s="27" t="n"/>
      <c r="G40" s="27" t="n"/>
      <c r="H40" s="29">
        <f>IF($A40="","",SUMIF(tblAkis[KaynakKartId],$A40,tblAkis[StokAdet]))</f>
        <v/>
      </c>
      <c r="I40" s="29">
        <f>IF($A40="","",IFERROR(AVERAGEIF(tblAkis[KaynakKartId],$A40,tblAkis[StokGunu]),0))</f>
        <v/>
      </c>
    </row>
    <row r="41">
      <c r="A41" s="27" t="n"/>
      <c r="B41" s="27" t="n"/>
      <c r="C41" s="27" t="n"/>
      <c r="D41" s="27" t="n"/>
      <c r="E41" s="28" t="n"/>
      <c r="F41" s="27" t="n"/>
      <c r="G41" s="27" t="n"/>
      <c r="H41" s="29">
        <f>IF($A41="","",SUMIF(tblAkis[KaynakKartId],$A41,tblAkis[StokAdet]))</f>
        <v/>
      </c>
      <c r="I41" s="29">
        <f>IF($A41="","",IFERROR(AVERAGEIF(tblAkis[KaynakKartId],$A41,tblAkis[StokGunu]),0))</f>
        <v/>
      </c>
    </row>
    <row r="42">
      <c r="A42" s="27" t="n"/>
      <c r="B42" s="27" t="n"/>
      <c r="C42" s="27" t="n"/>
      <c r="D42" s="27" t="n"/>
      <c r="E42" s="28" t="n"/>
      <c r="F42" s="27" t="n"/>
      <c r="G42" s="27" t="n"/>
      <c r="H42" s="29">
        <f>IF($A42="","",SUMIF(tblAkis[KaynakKartId],$A42,tblAkis[StokAdet]))</f>
        <v/>
      </c>
      <c r="I42" s="29">
        <f>IF($A42="","",IFERROR(AVERAGEIF(tblAkis[KaynakKartId],$A42,tblAkis[StokGunu]),0))</f>
        <v/>
      </c>
    </row>
    <row r="43">
      <c r="A43" s="27" t="n"/>
      <c r="B43" s="27" t="n"/>
      <c r="C43" s="27" t="n"/>
      <c r="D43" s="27" t="n"/>
      <c r="E43" s="28" t="n"/>
      <c r="F43" s="27" t="n"/>
      <c r="G43" s="27" t="n"/>
      <c r="H43" s="29">
        <f>IF($A43="","",SUMIF(tblAkis[KaynakKartId],$A43,tblAkis[StokAdet]))</f>
        <v/>
      </c>
      <c r="I43" s="29">
        <f>IF($A43="","",IFERROR(AVERAGEIF(tblAkis[KaynakKartId],$A43,tblAkis[StokGunu]),0))</f>
        <v/>
      </c>
    </row>
    <row r="44">
      <c r="A44" s="27" t="n"/>
      <c r="B44" s="27" t="n"/>
      <c r="C44" s="27" t="n"/>
      <c r="D44" s="27" t="n"/>
      <c r="E44" s="28" t="n"/>
      <c r="F44" s="27" t="n"/>
      <c r="G44" s="27" t="n"/>
      <c r="H44" s="29">
        <f>IF($A44="","",SUMIF(tblAkis[KaynakKartId],$A44,tblAkis[StokAdet]))</f>
        <v/>
      </c>
      <c r="I44" s="29">
        <f>IF($A44="","",IFERROR(AVERAGEIF(tblAkis[KaynakKartId],$A44,tblAkis[StokGunu]),0))</f>
        <v/>
      </c>
    </row>
    <row r="45">
      <c r="A45" s="27" t="n"/>
      <c r="B45" s="27" t="n"/>
      <c r="C45" s="27" t="n"/>
      <c r="D45" s="27" t="n"/>
      <c r="E45" s="28" t="n"/>
      <c r="F45" s="27" t="n"/>
      <c r="G45" s="27" t="n"/>
      <c r="H45" s="29">
        <f>IF($A45="","",SUMIF(tblAkis[KaynakKartId],$A45,tblAkis[StokAdet]))</f>
        <v/>
      </c>
      <c r="I45" s="29">
        <f>IF($A45="","",IFERROR(AVERAGEIF(tblAkis[KaynakKartId],$A45,tblAkis[StokGunu]),0))</f>
        <v/>
      </c>
    </row>
    <row r="46">
      <c r="A46" s="27" t="n"/>
      <c r="B46" s="27" t="n"/>
      <c r="C46" s="27" t="n"/>
      <c r="D46" s="27" t="n"/>
      <c r="E46" s="28" t="n"/>
      <c r="F46" s="27" t="n"/>
      <c r="G46" s="27" t="n"/>
      <c r="H46" s="29">
        <f>IF($A46="","",SUMIF(tblAkis[KaynakKartId],$A46,tblAkis[StokAdet]))</f>
        <v/>
      </c>
      <c r="I46" s="29">
        <f>IF($A46="","",IFERROR(AVERAGEIF(tblAkis[KaynakKartId],$A46,tblAkis[StokGunu]),0))</f>
        <v/>
      </c>
    </row>
    <row r="47">
      <c r="A47" s="27" t="n"/>
      <c r="B47" s="27" t="n"/>
      <c r="C47" s="27" t="n"/>
      <c r="D47" s="27" t="n"/>
      <c r="E47" s="28" t="n"/>
      <c r="F47" s="27" t="n"/>
      <c r="G47" s="27" t="n"/>
      <c r="H47" s="29">
        <f>IF($A47="","",SUMIF(tblAkis[KaynakKartId],$A47,tblAkis[StokAdet]))</f>
        <v/>
      </c>
      <c r="I47" s="29">
        <f>IF($A47="","",IFERROR(AVERAGEIF(tblAkis[KaynakKartId],$A47,tblAkis[StokGunu]),0))</f>
        <v/>
      </c>
    </row>
    <row r="48">
      <c r="A48" s="27" t="n"/>
      <c r="B48" s="27" t="n"/>
      <c r="C48" s="27" t="n"/>
      <c r="D48" s="27" t="n"/>
      <c r="E48" s="28" t="n"/>
      <c r="F48" s="27" t="n"/>
      <c r="G48" s="27" t="n"/>
      <c r="H48" s="29">
        <f>IF($A48="","",SUMIF(tblAkis[KaynakKartId],$A48,tblAkis[StokAdet]))</f>
        <v/>
      </c>
      <c r="I48" s="29">
        <f>IF($A48="","",IFERROR(AVERAGEIF(tblAkis[KaynakKartId],$A48,tblAkis[StokGunu]),0))</f>
        <v/>
      </c>
    </row>
    <row r="49">
      <c r="A49" s="27" t="n"/>
      <c r="B49" s="27" t="n"/>
      <c r="C49" s="27" t="n"/>
      <c r="D49" s="27" t="n"/>
      <c r="E49" s="28" t="n"/>
      <c r="F49" s="27" t="n"/>
      <c r="G49" s="27" t="n"/>
      <c r="H49" s="29">
        <f>IF($A49="","",SUMIF(tblAkis[KaynakKartId],$A49,tblAkis[StokAdet]))</f>
        <v/>
      </c>
      <c r="I49" s="29">
        <f>IF($A49="","",IFERROR(AVERAGEIF(tblAkis[KaynakKartId],$A49,tblAkis[StokGunu]),0))</f>
        <v/>
      </c>
    </row>
    <row r="50">
      <c r="A50" s="27" t="n"/>
      <c r="B50" s="27" t="n"/>
      <c r="C50" s="27" t="n"/>
      <c r="D50" s="27" t="n"/>
      <c r="E50" s="28" t="n"/>
      <c r="F50" s="27" t="n"/>
      <c r="G50" s="27" t="n"/>
      <c r="H50" s="29">
        <f>IF($A50="","",SUMIF(tblAkis[KaynakKartId],$A50,tblAkis[StokAdet]))</f>
        <v/>
      </c>
      <c r="I50" s="29">
        <f>IF($A50="","",IFERROR(AVERAGEIF(tblAkis[KaynakKartId],$A50,tblAkis[StokGunu]),0))</f>
        <v/>
      </c>
    </row>
    <row r="51">
      <c r="A51" s="27" t="n"/>
      <c r="B51" s="27" t="n"/>
      <c r="C51" s="27" t="n"/>
      <c r="D51" s="27" t="n"/>
      <c r="E51" s="28" t="n"/>
      <c r="F51" s="27" t="n"/>
      <c r="G51" s="27" t="n"/>
      <c r="H51" s="29">
        <f>IF($A51="","",SUMIF(tblAkis[KaynakKartId],$A51,tblAkis[StokAdet]))</f>
        <v/>
      </c>
      <c r="I51" s="29">
        <f>IF($A51="","",IFERROR(AVERAGEIF(tblAkis[KaynakKartId],$A51,tblAkis[StokGunu]),0))</f>
        <v/>
      </c>
    </row>
    <row r="52">
      <c r="A52" s="27" t="n"/>
      <c r="B52" s="27" t="n"/>
      <c r="C52" s="27" t="n"/>
      <c r="D52" s="27" t="n"/>
      <c r="E52" s="28" t="n"/>
      <c r="F52" s="27" t="n"/>
      <c r="G52" s="27" t="n"/>
      <c r="H52" s="29">
        <f>IF($A52="","",SUMIF(tblAkis[KaynakKartId],$A52,tblAkis[StokAdet]))</f>
        <v/>
      </c>
      <c r="I52" s="29">
        <f>IF($A52="","",IFERROR(AVERAGEIF(tblAkis[KaynakKartId],$A52,tblAkis[StokGunu]),0))</f>
        <v/>
      </c>
    </row>
    <row r="53">
      <c r="A53" s="27" t="n"/>
      <c r="B53" s="27" t="n"/>
      <c r="C53" s="27" t="n"/>
      <c r="D53" s="27" t="n"/>
      <c r="E53" s="28" t="n"/>
      <c r="F53" s="27" t="n"/>
      <c r="G53" s="27" t="n"/>
      <c r="H53" s="29">
        <f>IF($A53="","",SUMIF(tblAkis[KaynakKartId],$A53,tblAkis[StokAdet]))</f>
        <v/>
      </c>
      <c r="I53" s="29">
        <f>IF($A53="","",IFERROR(AVERAGEIF(tblAkis[KaynakKartId],$A53,tblAkis[StokGunu]),0))</f>
        <v/>
      </c>
    </row>
    <row r="54">
      <c r="A54" s="27" t="n"/>
      <c r="B54" s="27" t="n"/>
      <c r="C54" s="27" t="n"/>
      <c r="D54" s="27" t="n"/>
      <c r="E54" s="28" t="n"/>
      <c r="F54" s="27" t="n"/>
      <c r="G54" s="27" t="n"/>
      <c r="H54" s="29">
        <f>IF($A54="","",SUMIF(tblAkis[KaynakKartId],$A54,tblAkis[StokAdet]))</f>
        <v/>
      </c>
      <c r="I54" s="29">
        <f>IF($A54="","",IFERROR(AVERAGEIF(tblAkis[KaynakKartId],$A54,tblAkis[StokGunu]),0))</f>
        <v/>
      </c>
    </row>
    <row r="55">
      <c r="A55" s="27" t="n"/>
      <c r="B55" s="27" t="n"/>
      <c r="C55" s="27" t="n"/>
      <c r="D55" s="27" t="n"/>
      <c r="E55" s="28" t="n"/>
      <c r="F55" s="27" t="n"/>
      <c r="G55" s="27" t="n"/>
      <c r="H55" s="29">
        <f>IF($A55="","",SUMIF(tblAkis[KaynakKartId],$A55,tblAkis[StokAdet]))</f>
        <v/>
      </c>
      <c r="I55" s="29">
        <f>IF($A55="","",IFERROR(AVERAGEIF(tblAkis[KaynakKartId],$A55,tblAkis[StokGunu]),0))</f>
        <v/>
      </c>
    </row>
    <row r="56">
      <c r="A56" s="27" t="n"/>
      <c r="B56" s="27" t="n"/>
      <c r="C56" s="27" t="n"/>
      <c r="D56" s="27" t="n"/>
      <c r="E56" s="28" t="n"/>
      <c r="F56" s="27" t="n"/>
      <c r="G56" s="27" t="n"/>
      <c r="H56" s="29">
        <f>IF($A56="","",SUMIF(tblAkis[KaynakKartId],$A56,tblAkis[StokAdet]))</f>
        <v/>
      </c>
      <c r="I56" s="29">
        <f>IF($A56="","",IFERROR(AVERAGEIF(tblAkis[KaynakKartId],$A56,tblAkis[StokGunu]),0))</f>
        <v/>
      </c>
    </row>
    <row r="57">
      <c r="A57" s="27" t="n"/>
      <c r="B57" s="27" t="n"/>
      <c r="C57" s="27" t="n"/>
      <c r="D57" s="27" t="n"/>
      <c r="E57" s="28" t="n"/>
      <c r="F57" s="27" t="n"/>
      <c r="G57" s="27" t="n"/>
      <c r="H57" s="29">
        <f>IF($A57="","",SUMIF(tblAkis[KaynakKartId],$A57,tblAkis[StokAdet]))</f>
        <v/>
      </c>
      <c r="I57" s="29">
        <f>IF($A57="","",IFERROR(AVERAGEIF(tblAkis[KaynakKartId],$A57,tblAkis[StokGunu]),0))</f>
        <v/>
      </c>
    </row>
    <row r="58">
      <c r="A58" s="27" t="n"/>
      <c r="B58" s="27" t="n"/>
      <c r="C58" s="27" t="n"/>
      <c r="D58" s="27" t="n"/>
      <c r="E58" s="28" t="n"/>
      <c r="F58" s="27" t="n"/>
      <c r="G58" s="27" t="n"/>
      <c r="H58" s="29">
        <f>IF($A58="","",SUMIF(tblAkis[KaynakKartId],$A58,tblAkis[StokAdet]))</f>
        <v/>
      </c>
      <c r="I58" s="29">
        <f>IF($A58="","",IFERROR(AVERAGEIF(tblAkis[KaynakKartId],$A58,tblAkis[StokGunu]),0))</f>
        <v/>
      </c>
    </row>
    <row r="59">
      <c r="A59" s="27" t="n"/>
      <c r="B59" s="27" t="n"/>
      <c r="C59" s="27" t="n"/>
      <c r="D59" s="27" t="n"/>
      <c r="E59" s="28" t="n"/>
      <c r="F59" s="27" t="n"/>
      <c r="G59" s="27" t="n"/>
      <c r="H59" s="29">
        <f>IF($A59="","",SUMIF(tblAkis[KaynakKartId],$A59,tblAkis[StokAdet]))</f>
        <v/>
      </c>
      <c r="I59" s="29">
        <f>IF($A59="","",IFERROR(AVERAGEIF(tblAkis[KaynakKartId],$A59,tblAkis[StokGunu]),0))</f>
        <v/>
      </c>
    </row>
    <row r="60">
      <c r="A60" s="27" t="n"/>
      <c r="B60" s="27" t="n"/>
      <c r="C60" s="27" t="n"/>
      <c r="D60" s="27" t="n"/>
      <c r="E60" s="28" t="n"/>
      <c r="F60" s="27" t="n"/>
      <c r="G60" s="27" t="n"/>
      <c r="H60" s="29">
        <f>IF($A60="","",SUMIF(tblAkis[KaynakKartId],$A60,tblAkis[StokAdet]))</f>
        <v/>
      </c>
      <c r="I60" s="29">
        <f>IF($A60="","",IFERROR(AVERAGEIF(tblAkis[KaynakKartId],$A60,tblAkis[StokGunu]),0))</f>
        <v/>
      </c>
    </row>
    <row r="61">
      <c r="A61" s="27" t="n"/>
      <c r="B61" s="27" t="n"/>
      <c r="C61" s="27" t="n"/>
      <c r="D61" s="27" t="n"/>
      <c r="E61" s="28" t="n"/>
      <c r="F61" s="27" t="n"/>
      <c r="G61" s="27" t="n"/>
      <c r="H61" s="29">
        <f>IF($A61="","",SUMIF(tblAkis[KaynakKartId],$A61,tblAkis[StokAdet]))</f>
        <v/>
      </c>
      <c r="I61" s="29">
        <f>IF($A61="","",IFERROR(AVERAGEIF(tblAkis[KaynakKartId],$A61,tblAkis[StokGunu]),0))</f>
        <v/>
      </c>
    </row>
    <row r="62">
      <c r="A62" s="27" t="n"/>
      <c r="B62" s="27" t="n"/>
      <c r="C62" s="27" t="n"/>
      <c r="D62" s="27" t="n"/>
      <c r="E62" s="28" t="n"/>
      <c r="F62" s="27" t="n"/>
      <c r="G62" s="27" t="n"/>
      <c r="H62" s="29">
        <f>IF($A62="","",SUMIF(tblAkis[KaynakKartId],$A62,tblAkis[StokAdet]))</f>
        <v/>
      </c>
      <c r="I62" s="29">
        <f>IF($A62="","",IFERROR(AVERAGEIF(tblAkis[KaynakKartId],$A62,tblAkis[StokGunu]),0))</f>
        <v/>
      </c>
    </row>
    <row r="63">
      <c r="A63" s="27" t="n"/>
      <c r="B63" s="27" t="n"/>
      <c r="C63" s="27" t="n"/>
      <c r="D63" s="27" t="n"/>
      <c r="E63" s="28" t="n"/>
      <c r="F63" s="27" t="n"/>
      <c r="G63" s="27" t="n"/>
      <c r="H63" s="29">
        <f>IF($A63="","",SUMIF(tblAkis[KaynakKartId],$A63,tblAkis[StokAdet]))</f>
        <v/>
      </c>
      <c r="I63" s="29">
        <f>IF($A63="","",IFERROR(AVERAGEIF(tblAkis[KaynakKartId],$A63,tblAkis[StokGunu]),0))</f>
        <v/>
      </c>
    </row>
    <row r="64">
      <c r="A64" s="27" t="n"/>
      <c r="B64" s="27" t="n"/>
      <c r="C64" s="27" t="n"/>
      <c r="D64" s="27" t="n"/>
      <c r="E64" s="28" t="n"/>
      <c r="F64" s="27" t="n"/>
      <c r="G64" s="27" t="n"/>
      <c r="H64" s="29">
        <f>IF($A64="","",SUMIF(tblAkis[KaynakKartId],$A64,tblAkis[StokAdet]))</f>
        <v/>
      </c>
      <c r="I64" s="29">
        <f>IF($A64="","",IFERROR(AVERAGEIF(tblAkis[KaynakKartId],$A64,tblAkis[StokGunu]),0))</f>
        <v/>
      </c>
    </row>
    <row r="65">
      <c r="A65" s="27" t="n"/>
      <c r="B65" s="27" t="n"/>
      <c r="C65" s="27" t="n"/>
      <c r="D65" s="27" t="n"/>
      <c r="E65" s="28" t="n"/>
      <c r="F65" s="27" t="n"/>
      <c r="G65" s="27" t="n"/>
      <c r="H65" s="29">
        <f>IF($A65="","",SUMIF(tblAkis[KaynakKartId],$A65,tblAkis[StokAdet]))</f>
        <v/>
      </c>
      <c r="I65" s="29">
        <f>IF($A65="","",IFERROR(AVERAGEIF(tblAkis[KaynakKartId],$A65,tblAkis[StokGunu]),0))</f>
        <v/>
      </c>
    </row>
    <row r="66">
      <c r="A66" s="27" t="n"/>
      <c r="B66" s="27" t="n"/>
      <c r="C66" s="27" t="n"/>
      <c r="D66" s="27" t="n"/>
      <c r="E66" s="28" t="n"/>
      <c r="F66" s="27" t="n"/>
      <c r="G66" s="27" t="n"/>
      <c r="H66" s="29">
        <f>IF($A66="","",SUMIF(tblAkis[KaynakKartId],$A66,tblAkis[StokAdet]))</f>
        <v/>
      </c>
      <c r="I66" s="29">
        <f>IF($A66="","",IFERROR(AVERAGEIF(tblAkis[KaynakKartId],$A66,tblAkis[StokGunu]),0))</f>
        <v/>
      </c>
    </row>
    <row r="67">
      <c r="A67" s="27" t="n"/>
      <c r="B67" s="27" t="n"/>
      <c r="C67" s="27" t="n"/>
      <c r="D67" s="27" t="n"/>
      <c r="E67" s="28" t="n"/>
      <c r="F67" s="27" t="n"/>
      <c r="G67" s="27" t="n"/>
      <c r="H67" s="29">
        <f>IF($A67="","",SUMIF(tblAkis[KaynakKartId],$A67,tblAkis[StokAdet]))</f>
        <v/>
      </c>
      <c r="I67" s="29">
        <f>IF($A67="","",IFERROR(AVERAGEIF(tblAkis[KaynakKartId],$A67,tblAkis[StokGunu]),0))</f>
        <v/>
      </c>
    </row>
    <row r="68">
      <c r="A68" s="27" t="n"/>
      <c r="B68" s="27" t="n"/>
      <c r="C68" s="27" t="n"/>
      <c r="D68" s="27" t="n"/>
      <c r="E68" s="28" t="n"/>
      <c r="F68" s="27" t="n"/>
      <c r="G68" s="27" t="n"/>
      <c r="H68" s="29">
        <f>IF($A68="","",SUMIF(tblAkis[KaynakKartId],$A68,tblAkis[StokAdet]))</f>
        <v/>
      </c>
      <c r="I68" s="29">
        <f>IF($A68="","",IFERROR(AVERAGEIF(tblAkis[KaynakKartId],$A68,tblAkis[StokGunu]),0))</f>
        <v/>
      </c>
    </row>
    <row r="69">
      <c r="A69" s="27" t="n"/>
      <c r="B69" s="27" t="n"/>
      <c r="C69" s="27" t="n"/>
      <c r="D69" s="27" t="n"/>
      <c r="E69" s="28" t="n"/>
      <c r="F69" s="27" t="n"/>
      <c r="G69" s="27" t="n"/>
      <c r="H69" s="29">
        <f>IF($A69="","",SUMIF(tblAkis[KaynakKartId],$A69,tblAkis[StokAdet]))</f>
        <v/>
      </c>
      <c r="I69" s="29">
        <f>IF($A69="","",IFERROR(AVERAGEIF(tblAkis[KaynakKartId],$A69,tblAkis[StokGunu]),0))</f>
        <v/>
      </c>
    </row>
    <row r="70">
      <c r="A70" s="27" t="n"/>
      <c r="B70" s="27" t="n"/>
      <c r="C70" s="27" t="n"/>
      <c r="D70" s="27" t="n"/>
      <c r="E70" s="28" t="n"/>
      <c r="F70" s="27" t="n"/>
      <c r="G70" s="27" t="n"/>
      <c r="H70" s="29">
        <f>IF($A70="","",SUMIF(tblAkis[KaynakKartId],$A70,tblAkis[StokAdet]))</f>
        <v/>
      </c>
      <c r="I70" s="29">
        <f>IF($A70="","",IFERROR(AVERAGEIF(tblAkis[KaynakKartId],$A70,tblAkis[StokGunu]),0))</f>
        <v/>
      </c>
    </row>
    <row r="71">
      <c r="A71" s="27" t="n"/>
      <c r="B71" s="27" t="n"/>
      <c r="C71" s="27" t="n"/>
      <c r="D71" s="27" t="n"/>
      <c r="E71" s="28" t="n"/>
      <c r="F71" s="27" t="n"/>
      <c r="G71" s="27" t="n"/>
      <c r="H71" s="29">
        <f>IF($A71="","",SUMIF(tblAkis[KaynakKartId],$A71,tblAkis[StokAdet]))</f>
        <v/>
      </c>
      <c r="I71" s="29">
        <f>IF($A71="","",IFERROR(AVERAGEIF(tblAkis[KaynakKartId],$A71,tblAkis[StokGunu]),0))</f>
        <v/>
      </c>
    </row>
    <row r="72">
      <c r="A72" s="27" t="n"/>
      <c r="B72" s="27" t="n"/>
      <c r="C72" s="27" t="n"/>
      <c r="D72" s="27" t="n"/>
      <c r="E72" s="28" t="n"/>
      <c r="F72" s="27" t="n"/>
      <c r="G72" s="27" t="n"/>
      <c r="H72" s="29">
        <f>IF($A72="","",SUMIF(tblAkis[KaynakKartId],$A72,tblAkis[StokAdet]))</f>
        <v/>
      </c>
      <c r="I72" s="29">
        <f>IF($A72="","",IFERROR(AVERAGEIF(tblAkis[KaynakKartId],$A72,tblAkis[StokGunu]),0))</f>
        <v/>
      </c>
    </row>
    <row r="73">
      <c r="A73" s="27" t="n"/>
      <c r="B73" s="27" t="n"/>
      <c r="C73" s="27" t="n"/>
      <c r="D73" s="27" t="n"/>
      <c r="E73" s="28" t="n"/>
      <c r="F73" s="27" t="n"/>
      <c r="G73" s="27" t="n"/>
      <c r="H73" s="29">
        <f>IF($A73="","",SUMIF(tblAkis[KaynakKartId],$A73,tblAkis[StokAdet]))</f>
        <v/>
      </c>
      <c r="I73" s="29">
        <f>IF($A73="","",IFERROR(AVERAGEIF(tblAkis[KaynakKartId],$A73,tblAkis[StokGunu]),0))</f>
        <v/>
      </c>
    </row>
    <row r="74">
      <c r="A74" s="27" t="n"/>
      <c r="B74" s="27" t="n"/>
      <c r="C74" s="27" t="n"/>
      <c r="D74" s="27" t="n"/>
      <c r="E74" s="28" t="n"/>
      <c r="F74" s="27" t="n"/>
      <c r="G74" s="27" t="n"/>
      <c r="H74" s="29">
        <f>IF($A74="","",SUMIF(tblAkis[KaynakKartId],$A74,tblAkis[StokAdet]))</f>
        <v/>
      </c>
      <c r="I74" s="29">
        <f>IF($A74="","",IFERROR(AVERAGEIF(tblAkis[KaynakKartId],$A74,tblAkis[StokGunu]),0))</f>
        <v/>
      </c>
    </row>
    <row r="75">
      <c r="A75" s="27" t="n"/>
      <c r="B75" s="27" t="n"/>
      <c r="C75" s="27" t="n"/>
      <c r="D75" s="27" t="n"/>
      <c r="E75" s="28" t="n"/>
      <c r="F75" s="27" t="n"/>
      <c r="G75" s="27" t="n"/>
      <c r="H75" s="29">
        <f>IF($A75="","",SUMIF(tblAkis[KaynakKartId],$A75,tblAkis[StokAdet]))</f>
        <v/>
      </c>
      <c r="I75" s="29">
        <f>IF($A75="","",IFERROR(AVERAGEIF(tblAkis[KaynakKartId],$A75,tblAkis[StokGunu]),0))</f>
        <v/>
      </c>
    </row>
    <row r="76">
      <c r="A76" s="27" t="n"/>
      <c r="B76" s="27" t="n"/>
      <c r="C76" s="27" t="n"/>
      <c r="D76" s="27" t="n"/>
      <c r="E76" s="28" t="n"/>
      <c r="F76" s="27" t="n"/>
      <c r="G76" s="27" t="n"/>
      <c r="H76" s="29">
        <f>IF($A76="","",SUMIF(tblAkis[KaynakKartId],$A76,tblAkis[StokAdet]))</f>
        <v/>
      </c>
      <c r="I76" s="29">
        <f>IF($A76="","",IFERROR(AVERAGEIF(tblAkis[KaynakKartId],$A76,tblAkis[StokGunu]),0))</f>
        <v/>
      </c>
    </row>
    <row r="77">
      <c r="A77" s="27" t="n"/>
      <c r="B77" s="27" t="n"/>
      <c r="C77" s="27" t="n"/>
      <c r="D77" s="27" t="n"/>
      <c r="E77" s="28" t="n"/>
      <c r="F77" s="27" t="n"/>
      <c r="G77" s="27" t="n"/>
      <c r="H77" s="29">
        <f>IF($A77="","",SUMIF(tblAkis[KaynakKartId],$A77,tblAkis[StokAdet]))</f>
        <v/>
      </c>
      <c r="I77" s="29">
        <f>IF($A77="","",IFERROR(AVERAGEIF(tblAkis[KaynakKartId],$A77,tblAkis[StokGunu]),0))</f>
        <v/>
      </c>
    </row>
    <row r="78">
      <c r="A78" s="27" t="n"/>
      <c r="B78" s="27" t="n"/>
      <c r="C78" s="27" t="n"/>
      <c r="D78" s="27" t="n"/>
      <c r="E78" s="28" t="n"/>
      <c r="F78" s="27" t="n"/>
      <c r="G78" s="27" t="n"/>
      <c r="H78" s="29">
        <f>IF($A78="","",SUMIF(tblAkis[KaynakKartId],$A78,tblAkis[StokAdet]))</f>
        <v/>
      </c>
      <c r="I78" s="29">
        <f>IF($A78="","",IFERROR(AVERAGEIF(tblAkis[KaynakKartId],$A78,tblAkis[StokGunu]),0))</f>
        <v/>
      </c>
    </row>
    <row r="79">
      <c r="A79" s="27" t="n"/>
      <c r="B79" s="27" t="n"/>
      <c r="C79" s="27" t="n"/>
      <c r="D79" s="27" t="n"/>
      <c r="E79" s="28" t="n"/>
      <c r="F79" s="27" t="n"/>
      <c r="G79" s="27" t="n"/>
      <c r="H79" s="29">
        <f>IF($A79="","",SUMIF(tblAkis[KaynakKartId],$A79,tblAkis[StokAdet]))</f>
        <v/>
      </c>
      <c r="I79" s="29">
        <f>IF($A79="","",IFERROR(AVERAGEIF(tblAkis[KaynakKartId],$A79,tblAkis[StokGunu]),0))</f>
        <v/>
      </c>
    </row>
    <row r="80">
      <c r="A80" s="27" t="n"/>
      <c r="B80" s="27" t="n"/>
      <c r="C80" s="27" t="n"/>
      <c r="D80" s="27" t="n"/>
      <c r="E80" s="28" t="n"/>
      <c r="F80" s="27" t="n"/>
      <c r="G80" s="27" t="n"/>
      <c r="H80" s="29">
        <f>IF($A80="","",SUMIF(tblAkis[KaynakKartId],$A80,tblAkis[StokAdet]))</f>
        <v/>
      </c>
      <c r="I80" s="29">
        <f>IF($A80="","",IFERROR(AVERAGEIF(tblAkis[KaynakKartId],$A80,tblAkis[StokGunu]),0))</f>
        <v/>
      </c>
    </row>
    <row r="81">
      <c r="A81" s="27" t="n"/>
      <c r="B81" s="27" t="n"/>
      <c r="C81" s="27" t="n"/>
      <c r="D81" s="27" t="n"/>
      <c r="E81" s="28" t="n"/>
      <c r="F81" s="27" t="n"/>
      <c r="G81" s="27" t="n"/>
      <c r="H81" s="29">
        <f>IF($A81="","",SUMIF(tblAkis[KaynakKartId],$A81,tblAkis[StokAdet]))</f>
        <v/>
      </c>
      <c r="I81" s="29">
        <f>IF($A81="","",IFERROR(AVERAGEIF(tblAkis[KaynakKartId],$A81,tblAkis[StokGunu]),0))</f>
        <v/>
      </c>
    </row>
    <row r="82">
      <c r="A82" s="27" t="n"/>
      <c r="B82" s="27" t="n"/>
      <c r="C82" s="27" t="n"/>
      <c r="D82" s="27" t="n"/>
      <c r="E82" s="28" t="n"/>
      <c r="F82" s="27" t="n"/>
      <c r="G82" s="27" t="n"/>
      <c r="H82" s="29">
        <f>IF($A82="","",SUMIF(tblAkis[KaynakKartId],$A82,tblAkis[StokAdet]))</f>
        <v/>
      </c>
      <c r="I82" s="29">
        <f>IF($A82="","",IFERROR(AVERAGEIF(tblAkis[KaynakKartId],$A82,tblAkis[StokGunu]),0))</f>
        <v/>
      </c>
    </row>
    <row r="83">
      <c r="A83" s="27" t="n"/>
      <c r="B83" s="27" t="n"/>
      <c r="C83" s="27" t="n"/>
      <c r="D83" s="27" t="n"/>
      <c r="E83" s="28" t="n"/>
      <c r="F83" s="27" t="n"/>
      <c r="G83" s="27" t="n"/>
      <c r="H83" s="29">
        <f>IF($A83="","",SUMIF(tblAkis[KaynakKartId],$A83,tblAkis[StokAdet]))</f>
        <v/>
      </c>
      <c r="I83" s="29">
        <f>IF($A83="","",IFERROR(AVERAGEIF(tblAkis[KaynakKartId],$A83,tblAkis[StokGunu]),0))</f>
        <v/>
      </c>
    </row>
    <row r="84">
      <c r="A84" s="27" t="n"/>
      <c r="B84" s="27" t="n"/>
      <c r="C84" s="27" t="n"/>
      <c r="D84" s="27" t="n"/>
      <c r="E84" s="28" t="n"/>
      <c r="F84" s="27" t="n"/>
      <c r="G84" s="27" t="n"/>
      <c r="H84" s="29">
        <f>IF($A84="","",SUMIF(tblAkis[KaynakKartId],$A84,tblAkis[StokAdet]))</f>
        <v/>
      </c>
      <c r="I84" s="29">
        <f>IF($A84="","",IFERROR(AVERAGEIF(tblAkis[KaynakKartId],$A84,tblAkis[StokGunu]),0))</f>
        <v/>
      </c>
    </row>
    <row r="85">
      <c r="A85" s="27" t="n"/>
      <c r="B85" s="27" t="n"/>
      <c r="C85" s="27" t="n"/>
      <c r="D85" s="27" t="n"/>
      <c r="E85" s="28" t="n"/>
      <c r="F85" s="27" t="n"/>
      <c r="G85" s="27" t="n"/>
      <c r="H85" s="29">
        <f>IF($A85="","",SUMIF(tblAkis[KaynakKartId],$A85,tblAkis[StokAdet]))</f>
        <v/>
      </c>
      <c r="I85" s="29">
        <f>IF($A85="","",IFERROR(AVERAGEIF(tblAkis[KaynakKartId],$A85,tblAkis[StokGunu]),0))</f>
        <v/>
      </c>
    </row>
    <row r="86">
      <c r="A86" s="27" t="n"/>
      <c r="B86" s="27" t="n"/>
      <c r="C86" s="27" t="n"/>
      <c r="D86" s="27" t="n"/>
      <c r="E86" s="28" t="n"/>
      <c r="F86" s="27" t="n"/>
      <c r="G86" s="27" t="n"/>
      <c r="H86" s="29">
        <f>IF($A86="","",SUMIF(tblAkis[KaynakKartId],$A86,tblAkis[StokAdet]))</f>
        <v/>
      </c>
      <c r="I86" s="29">
        <f>IF($A86="","",IFERROR(AVERAGEIF(tblAkis[KaynakKartId],$A86,tblAkis[StokGunu]),0))</f>
        <v/>
      </c>
    </row>
    <row r="87">
      <c r="A87" s="27" t="n"/>
      <c r="B87" s="27" t="n"/>
      <c r="C87" s="27" t="n"/>
      <c r="D87" s="27" t="n"/>
      <c r="E87" s="28" t="n"/>
      <c r="F87" s="27" t="n"/>
      <c r="G87" s="27" t="n"/>
      <c r="H87" s="29">
        <f>IF($A87="","",SUMIF(tblAkis[KaynakKartId],$A87,tblAkis[StokAdet]))</f>
        <v/>
      </c>
      <c r="I87" s="29">
        <f>IF($A87="","",IFERROR(AVERAGEIF(tblAkis[KaynakKartId],$A87,tblAkis[StokGunu]),0))</f>
        <v/>
      </c>
    </row>
    <row r="88">
      <c r="A88" s="27" t="n"/>
      <c r="B88" s="27" t="n"/>
      <c r="C88" s="27" t="n"/>
      <c r="D88" s="27" t="n"/>
      <c r="E88" s="28" t="n"/>
      <c r="F88" s="27" t="n"/>
      <c r="G88" s="27" t="n"/>
      <c r="H88" s="29">
        <f>IF($A88="","",SUMIF(tblAkis[KaynakKartId],$A88,tblAkis[StokAdet]))</f>
        <v/>
      </c>
      <c r="I88" s="29">
        <f>IF($A88="","",IFERROR(AVERAGEIF(tblAkis[KaynakKartId],$A88,tblAkis[StokGunu]),0))</f>
        <v/>
      </c>
    </row>
    <row r="89">
      <c r="A89" s="27" t="n"/>
      <c r="B89" s="27" t="n"/>
      <c r="C89" s="27" t="n"/>
      <c r="D89" s="27" t="n"/>
      <c r="E89" s="28" t="n"/>
      <c r="F89" s="27" t="n"/>
      <c r="G89" s="27" t="n"/>
      <c r="H89" s="29">
        <f>IF($A89="","",SUMIF(tblAkis[KaynakKartId],$A89,tblAkis[StokAdet]))</f>
        <v/>
      </c>
      <c r="I89" s="29">
        <f>IF($A89="","",IFERROR(AVERAGEIF(tblAkis[KaynakKartId],$A89,tblAkis[StokGunu]),0))</f>
        <v/>
      </c>
    </row>
    <row r="90">
      <c r="A90" s="27" t="n"/>
      <c r="B90" s="27" t="n"/>
      <c r="C90" s="27" t="n"/>
      <c r="D90" s="27" t="n"/>
      <c r="E90" s="28" t="n"/>
      <c r="F90" s="27" t="n"/>
      <c r="G90" s="27" t="n"/>
      <c r="H90" s="29">
        <f>IF($A90="","",SUMIF(tblAkis[KaynakKartId],$A90,tblAkis[StokAdet]))</f>
        <v/>
      </c>
      <c r="I90" s="29">
        <f>IF($A90="","",IFERROR(AVERAGEIF(tblAkis[KaynakKartId],$A90,tblAkis[StokGunu]),0))</f>
        <v/>
      </c>
    </row>
    <row r="91">
      <c r="A91" s="27" t="n"/>
      <c r="B91" s="27" t="n"/>
      <c r="C91" s="27" t="n"/>
      <c r="D91" s="27" t="n"/>
      <c r="E91" s="28" t="n"/>
      <c r="F91" s="27" t="n"/>
      <c r="G91" s="27" t="n"/>
      <c r="H91" s="29">
        <f>IF($A91="","",SUMIF(tblAkis[KaynakKartId],$A91,tblAkis[StokAdet]))</f>
        <v/>
      </c>
      <c r="I91" s="29">
        <f>IF($A91="","",IFERROR(AVERAGEIF(tblAkis[KaynakKartId],$A91,tblAkis[StokGunu]),0))</f>
        <v/>
      </c>
    </row>
    <row r="92">
      <c r="A92" s="27" t="n"/>
      <c r="B92" s="27" t="n"/>
      <c r="C92" s="27" t="n"/>
      <c r="D92" s="27" t="n"/>
      <c r="E92" s="28" t="n"/>
      <c r="F92" s="27" t="n"/>
      <c r="G92" s="27" t="n"/>
      <c r="H92" s="29">
        <f>IF($A92="","",SUMIF(tblAkis[KaynakKartId],$A92,tblAkis[StokAdet]))</f>
        <v/>
      </c>
      <c r="I92" s="29">
        <f>IF($A92="","",IFERROR(AVERAGEIF(tblAkis[KaynakKartId],$A92,tblAkis[StokGunu]),0))</f>
        <v/>
      </c>
    </row>
    <row r="93">
      <c r="A93" s="27" t="n"/>
      <c r="B93" s="27" t="n"/>
      <c r="C93" s="27" t="n"/>
      <c r="D93" s="27" t="n"/>
      <c r="E93" s="28" t="n"/>
      <c r="F93" s="27" t="n"/>
      <c r="G93" s="27" t="n"/>
      <c r="H93" s="29">
        <f>IF($A93="","",SUMIF(tblAkis[KaynakKartId],$A93,tblAkis[StokAdet]))</f>
        <v/>
      </c>
      <c r="I93" s="29">
        <f>IF($A93="","",IFERROR(AVERAGEIF(tblAkis[KaynakKartId],$A93,tblAkis[StokGunu]),0))</f>
        <v/>
      </c>
    </row>
    <row r="94">
      <c r="A94" s="27" t="n"/>
      <c r="B94" s="27" t="n"/>
      <c r="C94" s="27" t="n"/>
      <c r="D94" s="27" t="n"/>
      <c r="E94" s="28" t="n"/>
      <c r="F94" s="27" t="n"/>
      <c r="G94" s="27" t="n"/>
      <c r="H94" s="29">
        <f>IF($A94="","",SUMIF(tblAkis[KaynakKartId],$A94,tblAkis[StokAdet]))</f>
        <v/>
      </c>
      <c r="I94" s="29">
        <f>IF($A94="","",IFERROR(AVERAGEIF(tblAkis[KaynakKartId],$A94,tblAkis[StokGunu]),0))</f>
        <v/>
      </c>
    </row>
    <row r="95">
      <c r="A95" s="27" t="n"/>
      <c r="B95" s="27" t="n"/>
      <c r="C95" s="27" t="n"/>
      <c r="D95" s="27" t="n"/>
      <c r="E95" s="28" t="n"/>
      <c r="F95" s="27" t="n"/>
      <c r="G95" s="27" t="n"/>
      <c r="H95" s="29">
        <f>IF($A95="","",SUMIF(tblAkis[KaynakKartId],$A95,tblAkis[StokAdet]))</f>
        <v/>
      </c>
      <c r="I95" s="29">
        <f>IF($A95="","",IFERROR(AVERAGEIF(tblAkis[KaynakKartId],$A95,tblAkis[StokGunu]),0))</f>
        <v/>
      </c>
    </row>
    <row r="96">
      <c r="A96" s="27" t="n"/>
      <c r="B96" s="27" t="n"/>
      <c r="C96" s="27" t="n"/>
      <c r="D96" s="27" t="n"/>
      <c r="E96" s="28" t="n"/>
      <c r="F96" s="27" t="n"/>
      <c r="G96" s="27" t="n"/>
      <c r="H96" s="29">
        <f>IF($A96="","",SUMIF(tblAkis[KaynakKartId],$A96,tblAkis[StokAdet]))</f>
        <v/>
      </c>
      <c r="I96" s="29">
        <f>IF($A96="","",IFERROR(AVERAGEIF(tblAkis[KaynakKartId],$A96,tblAkis[StokGunu]),0))</f>
        <v/>
      </c>
    </row>
    <row r="97">
      <c r="A97" s="27" t="n"/>
      <c r="B97" s="27" t="n"/>
      <c r="C97" s="27" t="n"/>
      <c r="D97" s="27" t="n"/>
      <c r="E97" s="28" t="n"/>
      <c r="F97" s="27" t="n"/>
      <c r="G97" s="27" t="n"/>
      <c r="H97" s="29">
        <f>IF($A97="","",SUMIF(tblAkis[KaynakKartId],$A97,tblAkis[StokAdet]))</f>
        <v/>
      </c>
      <c r="I97" s="29">
        <f>IF($A97="","",IFERROR(AVERAGEIF(tblAkis[KaynakKartId],$A97,tblAkis[StokGunu]),0))</f>
        <v/>
      </c>
    </row>
    <row r="98">
      <c r="A98" s="27" t="n"/>
      <c r="B98" s="27" t="n"/>
      <c r="C98" s="27" t="n"/>
      <c r="D98" s="27" t="n"/>
      <c r="E98" s="28" t="n"/>
      <c r="F98" s="27" t="n"/>
      <c r="G98" s="27" t="n"/>
      <c r="H98" s="29">
        <f>IF($A98="","",SUMIF(tblAkis[KaynakKartId],$A98,tblAkis[StokAdet]))</f>
        <v/>
      </c>
      <c r="I98" s="29">
        <f>IF($A98="","",IFERROR(AVERAGEIF(tblAkis[KaynakKartId],$A98,tblAkis[StokGunu]),0))</f>
        <v/>
      </c>
    </row>
    <row r="99">
      <c r="A99" s="27" t="n"/>
      <c r="B99" s="27" t="n"/>
      <c r="C99" s="27" t="n"/>
      <c r="D99" s="27" t="n"/>
      <c r="E99" s="28" t="n"/>
      <c r="F99" s="27" t="n"/>
      <c r="G99" s="27" t="n"/>
      <c r="H99" s="29">
        <f>IF($A99="","",SUMIF(tblAkis[KaynakKartId],$A99,tblAkis[StokAdet]))</f>
        <v/>
      </c>
      <c r="I99" s="29">
        <f>IF($A99="","",IFERROR(AVERAGEIF(tblAkis[KaynakKartId],$A99,tblAkis[StokGunu]),0))</f>
        <v/>
      </c>
    </row>
    <row r="100">
      <c r="A100" s="27" t="n"/>
      <c r="B100" s="27" t="n"/>
      <c r="C100" s="27" t="n"/>
      <c r="D100" s="27" t="n"/>
      <c r="E100" s="28" t="n"/>
      <c r="F100" s="27" t="n"/>
      <c r="G100" s="27" t="n"/>
      <c r="H100" s="29">
        <f>IF($A100="","",SUMIF(tblAkis[KaynakKartId],$A100,tblAkis[StokAdet]))</f>
        <v/>
      </c>
      <c r="I100" s="29">
        <f>IF($A100="","",IFERROR(AVERAGEIF(tblAkis[KaynakKartId],$A100,tblAkis[StokGunu]),0))</f>
        <v/>
      </c>
    </row>
    <row r="101">
      <c r="A101" s="27" t="n"/>
      <c r="B101" s="27" t="n"/>
      <c r="C101" s="27" t="n"/>
      <c r="D101" s="27" t="n"/>
      <c r="E101" s="28" t="n"/>
      <c r="F101" s="27" t="n"/>
      <c r="G101" s="27" t="n"/>
      <c r="H101" s="29">
        <f>IF($A101="","",SUMIF(tblAkis[KaynakKartId],$A101,tblAkis[StokAdet]))</f>
        <v/>
      </c>
      <c r="I101" s="29">
        <f>IF($A101="","",IFERROR(AVERAGEIF(tblAkis[KaynakKartId],$A101,tblAkis[StokGunu]),0))</f>
        <v/>
      </c>
    </row>
    <row r="102">
      <c r="A102" s="27" t="n"/>
      <c r="B102" s="27" t="n"/>
      <c r="C102" s="27" t="n"/>
      <c r="D102" s="27" t="n"/>
      <c r="E102" s="28" t="n"/>
      <c r="F102" s="27" t="n"/>
      <c r="G102" s="27" t="n"/>
      <c r="H102" s="29">
        <f>IF($A102="","",SUMIF(tblAkis[KaynakKartId],$A102,tblAkis[StokAdet]))</f>
        <v/>
      </c>
      <c r="I102" s="29">
        <f>IF($A102="","",IFERROR(AVERAGEIF(tblAkis[KaynakKartId],$A102,tblAkis[StokGunu]),0))</f>
        <v/>
      </c>
    </row>
    <row r="103">
      <c r="A103" s="27" t="n"/>
      <c r="B103" s="27" t="n"/>
      <c r="C103" s="27" t="n"/>
      <c r="D103" s="27" t="n"/>
      <c r="E103" s="28" t="n"/>
      <c r="F103" s="27" t="n"/>
      <c r="G103" s="27" t="n"/>
      <c r="H103" s="29">
        <f>IF($A103="","",SUMIF(tblAkis[KaynakKartId],$A103,tblAkis[StokAdet]))</f>
        <v/>
      </c>
      <c r="I103" s="29">
        <f>IF($A103="","",IFERROR(AVERAGEIF(tblAkis[KaynakKartId],$A103,tblAkis[StokGunu]),0))</f>
        <v/>
      </c>
    </row>
    <row r="104">
      <c r="A104" s="27" t="n"/>
      <c r="B104" s="27" t="n"/>
      <c r="C104" s="27" t="n"/>
      <c r="D104" s="27" t="n"/>
      <c r="E104" s="28" t="n"/>
      <c r="F104" s="27" t="n"/>
      <c r="G104" s="27" t="n"/>
      <c r="H104" s="29">
        <f>IF($A104="","",SUMIF(tblAkis[KaynakKartId],$A104,tblAkis[StokAdet]))</f>
        <v/>
      </c>
      <c r="I104" s="29">
        <f>IF($A104="","",IFERROR(AVERAGEIF(tblAkis[KaynakKartId],$A104,tblAkis[StokGunu]),0))</f>
        <v/>
      </c>
    </row>
    <row r="105">
      <c r="A105" s="27" t="n"/>
      <c r="B105" s="27" t="n"/>
      <c r="C105" s="27" t="n"/>
      <c r="D105" s="27" t="n"/>
      <c r="E105" s="28" t="n"/>
      <c r="F105" s="27" t="n"/>
      <c r="G105" s="27" t="n"/>
      <c r="H105" s="29">
        <f>IF($A105="","",SUMIF(tblAkis[KaynakKartId],$A105,tblAkis[StokAdet]))</f>
        <v/>
      </c>
      <c r="I105" s="29">
        <f>IF($A105="","",IFERROR(AVERAGEIF(tblAkis[KaynakKartId],$A105,tblAkis[StokGunu]),0))</f>
        <v/>
      </c>
    </row>
    <row r="106">
      <c r="A106" s="27" t="n"/>
      <c r="B106" s="27" t="n"/>
      <c r="C106" s="27" t="n"/>
      <c r="D106" s="27" t="n"/>
      <c r="E106" s="28" t="n"/>
      <c r="F106" s="27" t="n"/>
      <c r="G106" s="27" t="n"/>
      <c r="H106" s="29">
        <f>IF($A106="","",SUMIF(tblAkis[KaynakKartId],$A106,tblAkis[StokAdet]))</f>
        <v/>
      </c>
      <c r="I106" s="29">
        <f>IF($A106="","",IFERROR(AVERAGEIF(tblAkis[KaynakKartId],$A106,tblAkis[StokGunu]),0))</f>
        <v/>
      </c>
    </row>
    <row r="107">
      <c r="A107" s="27" t="n"/>
      <c r="B107" s="27" t="n"/>
      <c r="C107" s="27" t="n"/>
      <c r="D107" s="27" t="n"/>
      <c r="E107" s="28" t="n"/>
      <c r="F107" s="27" t="n"/>
      <c r="G107" s="27" t="n"/>
      <c r="H107" s="29">
        <f>IF($A107="","",SUMIF(tblAkis[KaynakKartId],$A107,tblAkis[StokAdet]))</f>
        <v/>
      </c>
      <c r="I107" s="29">
        <f>IF($A107="","",IFERROR(AVERAGEIF(tblAkis[KaynakKartId],$A107,tblAkis[StokGunu]),0))</f>
        <v/>
      </c>
    </row>
    <row r="108">
      <c r="A108" s="27" t="n"/>
      <c r="B108" s="27" t="n"/>
      <c r="C108" s="27" t="n"/>
      <c r="D108" s="27" t="n"/>
      <c r="E108" s="28" t="n"/>
      <c r="F108" s="27" t="n"/>
      <c r="G108" s="27" t="n"/>
      <c r="H108" s="29">
        <f>IF($A108="","",SUMIF(tblAkis[KaynakKartId],$A108,tblAkis[StokAdet]))</f>
        <v/>
      </c>
      <c r="I108" s="29">
        <f>IF($A108="","",IFERROR(AVERAGEIF(tblAkis[KaynakKartId],$A108,tblAkis[StokGunu]),0))</f>
        <v/>
      </c>
    </row>
    <row r="109">
      <c r="A109" s="27" t="n"/>
      <c r="B109" s="27" t="n"/>
      <c r="C109" s="27" t="n"/>
      <c r="D109" s="27" t="n"/>
      <c r="E109" s="28" t="n"/>
      <c r="F109" s="27" t="n"/>
      <c r="G109" s="27" t="n"/>
      <c r="H109" s="29">
        <f>IF($A109="","",SUMIF(tblAkis[KaynakKartId],$A109,tblAkis[StokAdet]))</f>
        <v/>
      </c>
      <c r="I109" s="29">
        <f>IF($A109="","",IFERROR(AVERAGEIF(tblAkis[KaynakKartId],$A109,tblAkis[StokGunu]),0))</f>
        <v/>
      </c>
    </row>
    <row r="110">
      <c r="A110" s="27" t="n"/>
      <c r="B110" s="27" t="n"/>
      <c r="C110" s="27" t="n"/>
      <c r="D110" s="27" t="n"/>
      <c r="E110" s="28" t="n"/>
      <c r="F110" s="27" t="n"/>
      <c r="G110" s="27" t="n"/>
      <c r="H110" s="29">
        <f>IF($A110="","",SUMIF(tblAkis[KaynakKartId],$A110,tblAkis[StokAdet]))</f>
        <v/>
      </c>
      <c r="I110" s="29">
        <f>IF($A110="","",IFERROR(AVERAGEIF(tblAkis[KaynakKartId],$A110,tblAkis[StokGunu]),0))</f>
        <v/>
      </c>
    </row>
    <row r="111">
      <c r="A111" s="27" t="n"/>
      <c r="B111" s="27" t="n"/>
      <c r="C111" s="27" t="n"/>
      <c r="D111" s="27" t="n"/>
      <c r="E111" s="28" t="n"/>
      <c r="F111" s="27" t="n"/>
      <c r="G111" s="27" t="n"/>
      <c r="H111" s="29">
        <f>IF($A111="","",SUMIF(tblAkis[KaynakKartId],$A111,tblAkis[StokAdet]))</f>
        <v/>
      </c>
      <c r="I111" s="29">
        <f>IF($A111="","",IFERROR(AVERAGEIF(tblAkis[KaynakKartId],$A111,tblAkis[StokGunu]),0))</f>
        <v/>
      </c>
    </row>
    <row r="112">
      <c r="A112" s="27" t="n"/>
      <c r="B112" s="27" t="n"/>
      <c r="C112" s="27" t="n"/>
      <c r="D112" s="27" t="n"/>
      <c r="E112" s="28" t="n"/>
      <c r="F112" s="27" t="n"/>
      <c r="G112" s="27" t="n"/>
      <c r="H112" s="29">
        <f>IF($A112="","",SUMIF(tblAkis[KaynakKartId],$A112,tblAkis[StokAdet]))</f>
        <v/>
      </c>
      <c r="I112" s="29">
        <f>IF($A112="","",IFERROR(AVERAGEIF(tblAkis[KaynakKartId],$A112,tblAkis[StokGunu]),0))</f>
        <v/>
      </c>
    </row>
    <row r="113">
      <c r="A113" s="27" t="n"/>
      <c r="B113" s="27" t="n"/>
      <c r="C113" s="27" t="n"/>
      <c r="D113" s="27" t="n"/>
      <c r="E113" s="28" t="n"/>
      <c r="F113" s="27" t="n"/>
      <c r="G113" s="27" t="n"/>
      <c r="H113" s="29">
        <f>IF($A113="","",SUMIF(tblAkis[KaynakKartId],$A113,tblAkis[StokAdet]))</f>
        <v/>
      </c>
      <c r="I113" s="29">
        <f>IF($A113="","",IFERROR(AVERAGEIF(tblAkis[KaynakKartId],$A113,tblAkis[StokGunu]),0))</f>
        <v/>
      </c>
    </row>
    <row r="114">
      <c r="A114" s="27" t="n"/>
      <c r="B114" s="27" t="n"/>
      <c r="C114" s="27" t="n"/>
      <c r="D114" s="27" t="n"/>
      <c r="E114" s="28" t="n"/>
      <c r="F114" s="27" t="n"/>
      <c r="G114" s="27" t="n"/>
      <c r="H114" s="29">
        <f>IF($A114="","",SUMIF(tblAkis[KaynakKartId],$A114,tblAkis[StokAdet]))</f>
        <v/>
      </c>
      <c r="I114" s="29">
        <f>IF($A114="","",IFERROR(AVERAGEIF(tblAkis[KaynakKartId],$A114,tblAkis[StokGunu]),0))</f>
        <v/>
      </c>
    </row>
    <row r="115">
      <c r="A115" s="27" t="n"/>
      <c r="B115" s="27" t="n"/>
      <c r="C115" s="27" t="n"/>
      <c r="D115" s="27" t="n"/>
      <c r="E115" s="28" t="n"/>
      <c r="F115" s="27" t="n"/>
      <c r="G115" s="27" t="n"/>
      <c r="H115" s="29">
        <f>IF($A115="","",SUMIF(tblAkis[KaynakKartId],$A115,tblAkis[StokAdet]))</f>
        <v/>
      </c>
      <c r="I115" s="29">
        <f>IF($A115="","",IFERROR(AVERAGEIF(tblAkis[KaynakKartId],$A115,tblAkis[StokGunu]),0))</f>
        <v/>
      </c>
    </row>
    <row r="116">
      <c r="A116" s="27" t="n"/>
      <c r="B116" s="27" t="n"/>
      <c r="C116" s="27" t="n"/>
      <c r="D116" s="27" t="n"/>
      <c r="E116" s="28" t="n"/>
      <c r="F116" s="27" t="n"/>
      <c r="G116" s="27" t="n"/>
      <c r="H116" s="29">
        <f>IF($A116="","",SUMIF(tblAkis[KaynakKartId],$A116,tblAkis[StokAdet]))</f>
        <v/>
      </c>
      <c r="I116" s="29">
        <f>IF($A116="","",IFERROR(AVERAGEIF(tblAkis[KaynakKartId],$A116,tblAkis[StokGunu]),0))</f>
        <v/>
      </c>
    </row>
    <row r="117">
      <c r="A117" s="27" t="n"/>
      <c r="B117" s="27" t="n"/>
      <c r="C117" s="27" t="n"/>
      <c r="D117" s="27" t="n"/>
      <c r="E117" s="28" t="n"/>
      <c r="F117" s="27" t="n"/>
      <c r="G117" s="27" t="n"/>
      <c r="H117" s="29">
        <f>IF($A117="","",SUMIF(tblAkis[KaynakKartId],$A117,tblAkis[StokAdet]))</f>
        <v/>
      </c>
      <c r="I117" s="29">
        <f>IF($A117="","",IFERROR(AVERAGEIF(tblAkis[KaynakKartId],$A117,tblAkis[StokGunu]),0))</f>
        <v/>
      </c>
    </row>
    <row r="118">
      <c r="A118" s="27" t="n"/>
      <c r="B118" s="27" t="n"/>
      <c r="C118" s="27" t="n"/>
      <c r="D118" s="27" t="n"/>
      <c r="E118" s="28" t="n"/>
      <c r="F118" s="27" t="n"/>
      <c r="G118" s="27" t="n"/>
      <c r="H118" s="29">
        <f>IF($A118="","",SUMIF(tblAkis[KaynakKartId],$A118,tblAkis[StokAdet]))</f>
        <v/>
      </c>
      <c r="I118" s="29">
        <f>IF($A118="","",IFERROR(AVERAGEIF(tblAkis[KaynakKartId],$A118,tblAkis[StokGunu]),0))</f>
        <v/>
      </c>
    </row>
    <row r="119">
      <c r="A119" s="27" t="n"/>
      <c r="B119" s="27" t="n"/>
      <c r="C119" s="27" t="n"/>
      <c r="D119" s="27" t="n"/>
      <c r="E119" s="28" t="n"/>
      <c r="F119" s="27" t="n"/>
      <c r="G119" s="27" t="n"/>
      <c r="H119" s="29">
        <f>IF($A119="","",SUMIF(tblAkis[KaynakKartId],$A119,tblAkis[StokAdet]))</f>
        <v/>
      </c>
      <c r="I119" s="29">
        <f>IF($A119="","",IFERROR(AVERAGEIF(tblAkis[KaynakKartId],$A119,tblAkis[StokGunu]),0))</f>
        <v/>
      </c>
    </row>
    <row r="120">
      <c r="A120" s="27" t="n"/>
      <c r="B120" s="27" t="n"/>
      <c r="C120" s="27" t="n"/>
      <c r="D120" s="27" t="n"/>
      <c r="E120" s="28" t="n"/>
      <c r="F120" s="27" t="n"/>
      <c r="G120" s="27" t="n"/>
      <c r="H120" s="29">
        <f>IF($A120="","",SUMIF(tblAkis[KaynakKartId],$A120,tblAkis[StokAdet]))</f>
        <v/>
      </c>
      <c r="I120" s="29">
        <f>IF($A120="","",IFERROR(AVERAGEIF(tblAkis[KaynakKartId],$A120,tblAkis[StokGunu]),0))</f>
        <v/>
      </c>
    </row>
    <row r="121">
      <c r="A121" s="27" t="n"/>
      <c r="B121" s="27" t="n"/>
      <c r="C121" s="27" t="n"/>
      <c r="D121" s="27" t="n"/>
      <c r="E121" s="28" t="n"/>
      <c r="F121" s="27" t="n"/>
      <c r="G121" s="27" t="n"/>
      <c r="H121" s="29">
        <f>IF($A121="","",SUMIF(tblAkis[KaynakKartId],$A121,tblAkis[StokAdet]))</f>
        <v/>
      </c>
      <c r="I121" s="29">
        <f>IF($A121="","",IFERROR(AVERAGEIF(tblAkis[KaynakKartId],$A121,tblAkis[StokGunu]),0))</f>
        <v/>
      </c>
    </row>
    <row r="122">
      <c r="A122" s="27" t="n"/>
      <c r="B122" s="27" t="n"/>
      <c r="C122" s="27" t="n"/>
      <c r="D122" s="27" t="n"/>
      <c r="E122" s="28" t="n"/>
      <c r="F122" s="27" t="n"/>
      <c r="G122" s="27" t="n"/>
      <c r="H122" s="29">
        <f>IF($A122="","",SUMIF(tblAkis[KaynakKartId],$A122,tblAkis[StokAdet]))</f>
        <v/>
      </c>
      <c r="I122" s="29">
        <f>IF($A122="","",IFERROR(AVERAGEIF(tblAkis[KaynakKartId],$A122,tblAkis[StokGunu]),0))</f>
        <v/>
      </c>
    </row>
    <row r="123">
      <c r="A123" s="27" t="n"/>
      <c r="B123" s="27" t="n"/>
      <c r="C123" s="27" t="n"/>
      <c r="D123" s="27" t="n"/>
      <c r="E123" s="28" t="n"/>
      <c r="F123" s="27" t="n"/>
      <c r="G123" s="27" t="n"/>
      <c r="H123" s="29">
        <f>IF($A123="","",SUMIF(tblAkis[KaynakKartId],$A123,tblAkis[StokAdet]))</f>
        <v/>
      </c>
      <c r="I123" s="29">
        <f>IF($A123="","",IFERROR(AVERAGEIF(tblAkis[KaynakKartId],$A123,tblAkis[StokGunu]),0))</f>
        <v/>
      </c>
    </row>
    <row r="124">
      <c r="A124" s="27" t="n"/>
      <c r="B124" s="27" t="n"/>
      <c r="C124" s="27" t="n"/>
      <c r="D124" s="27" t="n"/>
      <c r="E124" s="28" t="n"/>
      <c r="F124" s="27" t="n"/>
      <c r="G124" s="27" t="n"/>
      <c r="H124" s="29">
        <f>IF($A124="","",SUMIF(tblAkis[KaynakKartId],$A124,tblAkis[StokAdet]))</f>
        <v/>
      </c>
      <c r="I124" s="29">
        <f>IF($A124="","",IFERROR(AVERAGEIF(tblAkis[KaynakKartId],$A124,tblAkis[StokGunu]),0))</f>
        <v/>
      </c>
    </row>
    <row r="125">
      <c r="A125" s="27" t="n"/>
      <c r="B125" s="27" t="n"/>
      <c r="C125" s="27" t="n"/>
      <c r="D125" s="27" t="n"/>
      <c r="E125" s="28" t="n"/>
      <c r="F125" s="27" t="n"/>
      <c r="G125" s="27" t="n"/>
      <c r="H125" s="29">
        <f>IF($A125="","",SUMIF(tblAkis[KaynakKartId],$A125,tblAkis[StokAdet]))</f>
        <v/>
      </c>
      <c r="I125" s="29">
        <f>IF($A125="","",IFERROR(AVERAGEIF(tblAkis[KaynakKartId],$A125,tblAkis[StokGunu]),0))</f>
        <v/>
      </c>
    </row>
    <row r="126">
      <c r="A126" s="27" t="n"/>
      <c r="B126" s="27" t="n"/>
      <c r="C126" s="27" t="n"/>
      <c r="D126" s="27" t="n"/>
      <c r="E126" s="28" t="n"/>
      <c r="F126" s="27" t="n"/>
      <c r="G126" s="27" t="n"/>
      <c r="H126" s="29">
        <f>IF($A126="","",SUMIF(tblAkis[KaynakKartId],$A126,tblAkis[StokAdet]))</f>
        <v/>
      </c>
      <c r="I126" s="29">
        <f>IF($A126="","",IFERROR(AVERAGEIF(tblAkis[KaynakKartId],$A126,tblAkis[StokGunu]),0))</f>
        <v/>
      </c>
    </row>
    <row r="127">
      <c r="A127" s="27" t="n"/>
      <c r="B127" s="27" t="n"/>
      <c r="C127" s="27" t="n"/>
      <c r="D127" s="27" t="n"/>
      <c r="E127" s="28" t="n"/>
      <c r="F127" s="27" t="n"/>
      <c r="G127" s="27" t="n"/>
      <c r="H127" s="29">
        <f>IF($A127="","",SUMIF(tblAkis[KaynakKartId],$A127,tblAkis[StokAdet]))</f>
        <v/>
      </c>
      <c r="I127" s="29">
        <f>IF($A127="","",IFERROR(AVERAGEIF(tblAkis[KaynakKartId],$A127,tblAkis[StokGunu]),0))</f>
        <v/>
      </c>
    </row>
    <row r="128">
      <c r="A128" s="27" t="n"/>
      <c r="B128" s="27" t="n"/>
      <c r="C128" s="27" t="n"/>
      <c r="D128" s="27" t="n"/>
      <c r="E128" s="28" t="n"/>
      <c r="F128" s="27" t="n"/>
      <c r="G128" s="27" t="n"/>
      <c r="H128" s="29">
        <f>IF($A128="","",SUMIF(tblAkis[KaynakKartId],$A128,tblAkis[StokAdet]))</f>
        <v/>
      </c>
      <c r="I128" s="29">
        <f>IF($A128="","",IFERROR(AVERAGEIF(tblAkis[KaynakKartId],$A128,tblAkis[StokGunu]),0))</f>
        <v/>
      </c>
    </row>
    <row r="129">
      <c r="A129" s="27" t="n"/>
      <c r="B129" s="27" t="n"/>
      <c r="C129" s="27" t="n"/>
      <c r="D129" s="27" t="n"/>
      <c r="E129" s="28" t="n"/>
      <c r="F129" s="27" t="n"/>
      <c r="G129" s="27" t="n"/>
      <c r="H129" s="29">
        <f>IF($A129="","",SUMIF(tblAkis[KaynakKartId],$A129,tblAkis[StokAdet]))</f>
        <v/>
      </c>
      <c r="I129" s="29">
        <f>IF($A129="","",IFERROR(AVERAGEIF(tblAkis[KaynakKartId],$A129,tblAkis[StokGunu]),0))</f>
        <v/>
      </c>
    </row>
    <row r="130">
      <c r="A130" s="27" t="n"/>
      <c r="B130" s="27" t="n"/>
      <c r="C130" s="27" t="n"/>
      <c r="D130" s="27" t="n"/>
      <c r="E130" s="28" t="n"/>
      <c r="F130" s="27" t="n"/>
      <c r="G130" s="27" t="n"/>
      <c r="H130" s="29">
        <f>IF($A130="","",SUMIF(tblAkis[KaynakKartId],$A130,tblAkis[StokAdet]))</f>
        <v/>
      </c>
      <c r="I130" s="29">
        <f>IF($A130="","",IFERROR(AVERAGEIF(tblAkis[KaynakKartId],$A130,tblAkis[StokGunu]),0))</f>
        <v/>
      </c>
    </row>
    <row r="131">
      <c r="A131" s="27" t="n"/>
      <c r="B131" s="27" t="n"/>
      <c r="C131" s="27" t="n"/>
      <c r="D131" s="27" t="n"/>
      <c r="E131" s="28" t="n"/>
      <c r="F131" s="27" t="n"/>
      <c r="G131" s="27" t="n"/>
      <c r="H131" s="29">
        <f>IF($A131="","",SUMIF(tblAkis[KaynakKartId],$A131,tblAkis[StokAdet]))</f>
        <v/>
      </c>
      <c r="I131" s="29">
        <f>IF($A131="","",IFERROR(AVERAGEIF(tblAkis[KaynakKartId],$A131,tblAkis[StokGunu]),0))</f>
        <v/>
      </c>
    </row>
    <row r="132">
      <c r="A132" s="27" t="n"/>
      <c r="B132" s="27" t="n"/>
      <c r="C132" s="27" t="n"/>
      <c r="D132" s="27" t="n"/>
      <c r="E132" s="28" t="n"/>
      <c r="F132" s="27" t="n"/>
      <c r="G132" s="27" t="n"/>
      <c r="H132" s="29">
        <f>IF($A132="","",SUMIF(tblAkis[KaynakKartId],$A132,tblAkis[StokAdet]))</f>
        <v/>
      </c>
      <c r="I132" s="29">
        <f>IF($A132="","",IFERROR(AVERAGEIF(tblAkis[KaynakKartId],$A132,tblAkis[StokGunu]),0))</f>
        <v/>
      </c>
    </row>
    <row r="133">
      <c r="A133" s="27" t="n"/>
      <c r="B133" s="27" t="n"/>
      <c r="C133" s="27" t="n"/>
      <c r="D133" s="27" t="n"/>
      <c r="E133" s="28" t="n"/>
      <c r="F133" s="27" t="n"/>
      <c r="G133" s="27" t="n"/>
      <c r="H133" s="29">
        <f>IF($A133="","",SUMIF(tblAkis[KaynakKartId],$A133,tblAkis[StokAdet]))</f>
        <v/>
      </c>
      <c r="I133" s="29">
        <f>IF($A133="","",IFERROR(AVERAGEIF(tblAkis[KaynakKartId],$A133,tblAkis[StokGunu]),0))</f>
        <v/>
      </c>
    </row>
    <row r="134">
      <c r="A134" s="27" t="n"/>
      <c r="B134" s="27" t="n"/>
      <c r="C134" s="27" t="n"/>
      <c r="D134" s="27" t="n"/>
      <c r="E134" s="28" t="n"/>
      <c r="F134" s="27" t="n"/>
      <c r="G134" s="27" t="n"/>
      <c r="H134" s="29">
        <f>IF($A134="","",SUMIF(tblAkis[KaynakKartId],$A134,tblAkis[StokAdet]))</f>
        <v/>
      </c>
      <c r="I134" s="29">
        <f>IF($A134="","",IFERROR(AVERAGEIF(tblAkis[KaynakKartId],$A134,tblAkis[StokGunu]),0))</f>
        <v/>
      </c>
    </row>
    <row r="135">
      <c r="A135" s="27" t="n"/>
      <c r="B135" s="27" t="n"/>
      <c r="C135" s="27" t="n"/>
      <c r="D135" s="27" t="n"/>
      <c r="E135" s="28" t="n"/>
      <c r="F135" s="27" t="n"/>
      <c r="G135" s="27" t="n"/>
      <c r="H135" s="29">
        <f>IF($A135="","",SUMIF(tblAkis[KaynakKartId],$A135,tblAkis[StokAdet]))</f>
        <v/>
      </c>
      <c r="I135" s="29">
        <f>IF($A135="","",IFERROR(AVERAGEIF(tblAkis[KaynakKartId],$A135,tblAkis[StokGunu]),0))</f>
        <v/>
      </c>
    </row>
    <row r="136">
      <c r="A136" s="27" t="n"/>
      <c r="B136" s="27" t="n"/>
      <c r="C136" s="27" t="n"/>
      <c r="D136" s="27" t="n"/>
      <c r="E136" s="28" t="n"/>
      <c r="F136" s="27" t="n"/>
      <c r="G136" s="27" t="n"/>
      <c r="H136" s="29">
        <f>IF($A136="","",SUMIF(tblAkis[KaynakKartId],$A136,tblAkis[StokAdet]))</f>
        <v/>
      </c>
      <c r="I136" s="29">
        <f>IF($A136="","",IFERROR(AVERAGEIF(tblAkis[KaynakKartId],$A136,tblAkis[StokGunu]),0))</f>
        <v/>
      </c>
    </row>
    <row r="137">
      <c r="A137" s="27" t="n"/>
      <c r="B137" s="27" t="n"/>
      <c r="C137" s="27" t="n"/>
      <c r="D137" s="27" t="n"/>
      <c r="E137" s="28" t="n"/>
      <c r="F137" s="27" t="n"/>
      <c r="G137" s="27" t="n"/>
      <c r="H137" s="29">
        <f>IF($A137="","",SUMIF(tblAkis[KaynakKartId],$A137,tblAkis[StokAdet]))</f>
        <v/>
      </c>
      <c r="I137" s="29">
        <f>IF($A137="","",IFERROR(AVERAGEIF(tblAkis[KaynakKartId],$A137,tblAkis[StokGunu]),0))</f>
        <v/>
      </c>
    </row>
    <row r="138">
      <c r="A138" s="27" t="n"/>
      <c r="B138" s="27" t="n"/>
      <c r="C138" s="27" t="n"/>
      <c r="D138" s="27" t="n"/>
      <c r="E138" s="28" t="n"/>
      <c r="F138" s="27" t="n"/>
      <c r="G138" s="27" t="n"/>
      <c r="H138" s="29">
        <f>IF($A138="","",SUMIF(tblAkis[KaynakKartId],$A138,tblAkis[StokAdet]))</f>
        <v/>
      </c>
      <c r="I138" s="29">
        <f>IF($A138="","",IFERROR(AVERAGEIF(tblAkis[KaynakKartId],$A138,tblAkis[StokGunu]),0))</f>
        <v/>
      </c>
    </row>
    <row r="139">
      <c r="A139" s="27" t="n"/>
      <c r="B139" s="27" t="n"/>
      <c r="C139" s="27" t="n"/>
      <c r="D139" s="27" t="n"/>
      <c r="E139" s="28" t="n"/>
      <c r="F139" s="27" t="n"/>
      <c r="G139" s="27" t="n"/>
      <c r="H139" s="29">
        <f>IF($A139="","",SUMIF(tblAkis[KaynakKartId],$A139,tblAkis[StokAdet]))</f>
        <v/>
      </c>
      <c r="I139" s="29">
        <f>IF($A139="","",IFERROR(AVERAGEIF(tblAkis[KaynakKartId],$A139,tblAkis[StokGunu]),0))</f>
        <v/>
      </c>
    </row>
    <row r="140">
      <c r="A140" s="27" t="n"/>
      <c r="B140" s="27" t="n"/>
      <c r="C140" s="27" t="n"/>
      <c r="D140" s="27" t="n"/>
      <c r="E140" s="28" t="n"/>
      <c r="F140" s="27" t="n"/>
      <c r="G140" s="27" t="n"/>
      <c r="H140" s="29">
        <f>IF($A140="","",SUMIF(tblAkis[KaynakKartId],$A140,tblAkis[StokAdet]))</f>
        <v/>
      </c>
      <c r="I140" s="29">
        <f>IF($A140="","",IFERROR(AVERAGEIF(tblAkis[KaynakKartId],$A140,tblAkis[StokGunu]),0))</f>
        <v/>
      </c>
    </row>
    <row r="141">
      <c r="A141" s="27" t="n"/>
      <c r="B141" s="27" t="n"/>
      <c r="C141" s="27" t="n"/>
      <c r="D141" s="27" t="n"/>
      <c r="E141" s="28" t="n"/>
      <c r="F141" s="27" t="n"/>
      <c r="G141" s="27" t="n"/>
      <c r="H141" s="29">
        <f>IF($A141="","",SUMIF(tblAkis[KaynakKartId],$A141,tblAkis[StokAdet]))</f>
        <v/>
      </c>
      <c r="I141" s="29">
        <f>IF($A141="","",IFERROR(AVERAGEIF(tblAkis[KaynakKartId],$A141,tblAkis[StokGunu]),0))</f>
        <v/>
      </c>
    </row>
    <row r="142">
      <c r="A142" s="27" t="n"/>
      <c r="B142" s="27" t="n"/>
      <c r="C142" s="27" t="n"/>
      <c r="D142" s="27" t="n"/>
      <c r="E142" s="28" t="n"/>
      <c r="F142" s="27" t="n"/>
      <c r="G142" s="27" t="n"/>
      <c r="H142" s="29">
        <f>IF($A142="","",SUMIF(tblAkis[KaynakKartId],$A142,tblAkis[StokAdet]))</f>
        <v/>
      </c>
      <c r="I142" s="29">
        <f>IF($A142="","",IFERROR(AVERAGEIF(tblAkis[KaynakKartId],$A142,tblAkis[StokGunu]),0))</f>
        <v/>
      </c>
    </row>
    <row r="143">
      <c r="A143" s="27" t="n"/>
      <c r="B143" s="27" t="n"/>
      <c r="C143" s="27" t="n"/>
      <c r="D143" s="27" t="n"/>
      <c r="E143" s="28" t="n"/>
      <c r="F143" s="27" t="n"/>
      <c r="G143" s="27" t="n"/>
      <c r="H143" s="29">
        <f>IF($A143="","",SUMIF(tblAkis[KaynakKartId],$A143,tblAkis[StokAdet]))</f>
        <v/>
      </c>
      <c r="I143" s="29">
        <f>IF($A143="","",IFERROR(AVERAGEIF(tblAkis[KaynakKartId],$A143,tblAkis[StokGunu]),0))</f>
        <v/>
      </c>
    </row>
    <row r="144">
      <c r="A144" s="27" t="n"/>
      <c r="B144" s="27" t="n"/>
      <c r="C144" s="27" t="n"/>
      <c r="D144" s="27" t="n"/>
      <c r="E144" s="28" t="n"/>
      <c r="F144" s="27" t="n"/>
      <c r="G144" s="27" t="n"/>
      <c r="H144" s="29">
        <f>IF($A144="","",SUMIF(tblAkis[KaynakKartId],$A144,tblAkis[StokAdet]))</f>
        <v/>
      </c>
      <c r="I144" s="29">
        <f>IF($A144="","",IFERROR(AVERAGEIF(tblAkis[KaynakKartId],$A144,tblAkis[StokGunu]),0))</f>
        <v/>
      </c>
    </row>
    <row r="145">
      <c r="A145" s="27" t="n"/>
      <c r="B145" s="27" t="n"/>
      <c r="C145" s="27" t="n"/>
      <c r="D145" s="27" t="n"/>
      <c r="E145" s="28" t="n"/>
      <c r="F145" s="27" t="n"/>
      <c r="G145" s="27" t="n"/>
      <c r="H145" s="29">
        <f>IF($A145="","",SUMIF(tblAkis[KaynakKartId],$A145,tblAkis[StokAdet]))</f>
        <v/>
      </c>
      <c r="I145" s="29">
        <f>IF($A145="","",IFERROR(AVERAGEIF(tblAkis[KaynakKartId],$A145,tblAkis[StokGunu]),0))</f>
        <v/>
      </c>
    </row>
    <row r="146">
      <c r="A146" s="27" t="n"/>
      <c r="B146" s="27" t="n"/>
      <c r="C146" s="27" t="n"/>
      <c r="D146" s="27" t="n"/>
      <c r="E146" s="28" t="n"/>
      <c r="F146" s="27" t="n"/>
      <c r="G146" s="27" t="n"/>
      <c r="H146" s="29">
        <f>IF($A146="","",SUMIF(tblAkis[KaynakKartId],$A146,tblAkis[StokAdet]))</f>
        <v/>
      </c>
      <c r="I146" s="29">
        <f>IF($A146="","",IFERROR(AVERAGEIF(tblAkis[KaynakKartId],$A146,tblAkis[StokGunu]),0))</f>
        <v/>
      </c>
    </row>
    <row r="147">
      <c r="A147" s="27" t="n"/>
      <c r="B147" s="27" t="n"/>
      <c r="C147" s="27" t="n"/>
      <c r="D147" s="27" t="n"/>
      <c r="E147" s="28" t="n"/>
      <c r="F147" s="27" t="n"/>
      <c r="G147" s="27" t="n"/>
      <c r="H147" s="29">
        <f>IF($A147="","",SUMIF(tblAkis[KaynakKartId],$A147,tblAkis[StokAdet]))</f>
        <v/>
      </c>
      <c r="I147" s="29">
        <f>IF($A147="","",IFERROR(AVERAGEIF(tblAkis[KaynakKartId],$A147,tblAkis[StokGunu]),0))</f>
        <v/>
      </c>
    </row>
    <row r="148">
      <c r="A148" s="27" t="n"/>
      <c r="B148" s="27" t="n"/>
      <c r="C148" s="27" t="n"/>
      <c r="D148" s="27" t="n"/>
      <c r="E148" s="28" t="n"/>
      <c r="F148" s="27" t="n"/>
      <c r="G148" s="27" t="n"/>
      <c r="H148" s="29">
        <f>IF($A148="","",SUMIF(tblAkis[KaynakKartId],$A148,tblAkis[StokAdet]))</f>
        <v/>
      </c>
      <c r="I148" s="29">
        <f>IF($A148="","",IFERROR(AVERAGEIF(tblAkis[KaynakKartId],$A148,tblAkis[StokGunu]),0))</f>
        <v/>
      </c>
    </row>
    <row r="149">
      <c r="A149" s="27" t="n"/>
      <c r="B149" s="27" t="n"/>
      <c r="C149" s="27" t="n"/>
      <c r="D149" s="27" t="n"/>
      <c r="E149" s="28" t="n"/>
      <c r="F149" s="27" t="n"/>
      <c r="G149" s="27" t="n"/>
      <c r="H149" s="29">
        <f>IF($A149="","",SUMIF(tblAkis[KaynakKartId],$A149,tblAkis[StokAdet]))</f>
        <v/>
      </c>
      <c r="I149" s="29">
        <f>IF($A149="","",IFERROR(AVERAGEIF(tblAkis[KaynakKartId],$A149,tblAkis[StokGunu]),0))</f>
        <v/>
      </c>
    </row>
    <row r="150">
      <c r="A150" s="27" t="n"/>
      <c r="B150" s="27" t="n"/>
      <c r="C150" s="27" t="n"/>
      <c r="D150" s="27" t="n"/>
      <c r="E150" s="28" t="n"/>
      <c r="F150" s="27" t="n"/>
      <c r="G150" s="27" t="n"/>
      <c r="H150" s="29">
        <f>IF($A150="","",SUMIF(tblAkis[KaynakKartId],$A150,tblAkis[StokAdet]))</f>
        <v/>
      </c>
      <c r="I150" s="29">
        <f>IF($A150="","",IFERROR(AVERAGEIF(tblAkis[KaynakKartId],$A150,tblAkis[StokGunu]),0))</f>
        <v/>
      </c>
    </row>
    <row r="151">
      <c r="A151" s="27" t="n"/>
      <c r="B151" s="27" t="n"/>
      <c r="C151" s="27" t="n"/>
      <c r="D151" s="27" t="n"/>
      <c r="E151" s="28" t="n"/>
      <c r="F151" s="27" t="n"/>
      <c r="G151" s="27" t="n"/>
      <c r="H151" s="29">
        <f>IF($A151="","",SUMIF(tblAkis[KaynakKartId],$A151,tblAkis[StokAdet]))</f>
        <v/>
      </c>
      <c r="I151" s="29">
        <f>IF($A151="","",IFERROR(AVERAGEIF(tblAkis[KaynakKartId],$A151,tblAkis[StokGunu]),0))</f>
        <v/>
      </c>
    </row>
    <row r="152">
      <c r="A152" s="27" t="n"/>
      <c r="B152" s="27" t="n"/>
      <c r="C152" s="27" t="n"/>
      <c r="D152" s="27" t="n"/>
      <c r="E152" s="28" t="n"/>
      <c r="F152" s="27" t="n"/>
      <c r="G152" s="27" t="n"/>
      <c r="H152" s="29">
        <f>IF($A152="","",SUMIF(tblAkis[KaynakKartId],$A152,tblAkis[StokAdet]))</f>
        <v/>
      </c>
      <c r="I152" s="29">
        <f>IF($A152="","",IFERROR(AVERAGEIF(tblAkis[KaynakKartId],$A152,tblAkis[StokGunu]),0))</f>
        <v/>
      </c>
    </row>
    <row r="153">
      <c r="A153" s="27" t="n"/>
      <c r="B153" s="27" t="n"/>
      <c r="C153" s="27" t="n"/>
      <c r="D153" s="27" t="n"/>
      <c r="E153" s="28" t="n"/>
      <c r="F153" s="27" t="n"/>
      <c r="G153" s="27" t="n"/>
      <c r="H153" s="29">
        <f>IF($A153="","",SUMIF(tblAkis[KaynakKartId],$A153,tblAkis[StokAdet]))</f>
        <v/>
      </c>
      <c r="I153" s="29">
        <f>IF($A153="","",IFERROR(AVERAGEIF(tblAkis[KaynakKartId],$A153,tblAkis[StokGunu]),0))</f>
        <v/>
      </c>
    </row>
    <row r="154">
      <c r="A154" s="27" t="n"/>
      <c r="B154" s="27" t="n"/>
      <c r="C154" s="27" t="n"/>
      <c r="D154" s="27" t="n"/>
      <c r="E154" s="28" t="n"/>
      <c r="F154" s="27" t="n"/>
      <c r="G154" s="27" t="n"/>
      <c r="H154" s="29">
        <f>IF($A154="","",SUMIF(tblAkis[KaynakKartId],$A154,tblAkis[StokAdet]))</f>
        <v/>
      </c>
      <c r="I154" s="29">
        <f>IF($A154="","",IFERROR(AVERAGEIF(tblAkis[KaynakKartId],$A154,tblAkis[StokGunu]),0))</f>
        <v/>
      </c>
    </row>
    <row r="155">
      <c r="A155" s="27" t="n"/>
      <c r="B155" s="27" t="n"/>
      <c r="C155" s="27" t="n"/>
      <c r="D155" s="27" t="n"/>
      <c r="E155" s="28" t="n"/>
      <c r="F155" s="27" t="n"/>
      <c r="G155" s="27" t="n"/>
      <c r="H155" s="29">
        <f>IF($A155="","",SUMIF(tblAkis[KaynakKartId],$A155,tblAkis[StokAdet]))</f>
        <v/>
      </c>
      <c r="I155" s="29">
        <f>IF($A155="","",IFERROR(AVERAGEIF(tblAkis[KaynakKartId],$A155,tblAkis[StokGunu]),0))</f>
        <v/>
      </c>
    </row>
    <row r="156">
      <c r="A156" s="27" t="n"/>
      <c r="B156" s="27" t="n"/>
      <c r="C156" s="27" t="n"/>
      <c r="D156" s="27" t="n"/>
      <c r="E156" s="28" t="n"/>
      <c r="F156" s="27" t="n"/>
      <c r="G156" s="27" t="n"/>
      <c r="H156" s="29">
        <f>IF($A156="","",SUMIF(tblAkis[KaynakKartId],$A156,tblAkis[StokAdet]))</f>
        <v/>
      </c>
      <c r="I156" s="29">
        <f>IF($A156="","",IFERROR(AVERAGEIF(tblAkis[KaynakKartId],$A156,tblAkis[StokGunu]),0))</f>
        <v/>
      </c>
    </row>
    <row r="157">
      <c r="A157" s="27" t="n"/>
      <c r="B157" s="27" t="n"/>
      <c r="C157" s="27" t="n"/>
      <c r="D157" s="27" t="n"/>
      <c r="E157" s="28" t="n"/>
      <c r="F157" s="27" t="n"/>
      <c r="G157" s="27" t="n"/>
      <c r="H157" s="29">
        <f>IF($A157="","",SUMIF(tblAkis[KaynakKartId],$A157,tblAkis[StokAdet]))</f>
        <v/>
      </c>
      <c r="I157" s="29">
        <f>IF($A157="","",IFERROR(AVERAGEIF(tblAkis[KaynakKartId],$A157,tblAkis[StokGunu]),0))</f>
        <v/>
      </c>
    </row>
    <row r="158">
      <c r="A158" s="27" t="n"/>
      <c r="B158" s="27" t="n"/>
      <c r="C158" s="27" t="n"/>
      <c r="D158" s="27" t="n"/>
      <c r="E158" s="28" t="n"/>
      <c r="F158" s="27" t="n"/>
      <c r="G158" s="27" t="n"/>
      <c r="H158" s="29">
        <f>IF($A158="","",SUMIF(tblAkis[KaynakKartId],$A158,tblAkis[StokAdet]))</f>
        <v/>
      </c>
      <c r="I158" s="29">
        <f>IF($A158="","",IFERROR(AVERAGEIF(tblAkis[KaynakKartId],$A158,tblAkis[StokGunu]),0))</f>
        <v/>
      </c>
    </row>
    <row r="159">
      <c r="A159" s="27" t="n"/>
      <c r="B159" s="27" t="n"/>
      <c r="C159" s="27" t="n"/>
      <c r="D159" s="27" t="n"/>
      <c r="E159" s="28" t="n"/>
      <c r="F159" s="27" t="n"/>
      <c r="G159" s="27" t="n"/>
      <c r="H159" s="29">
        <f>IF($A159="","",SUMIF(tblAkis[KaynakKartId],$A159,tblAkis[StokAdet]))</f>
        <v/>
      </c>
      <c r="I159" s="29">
        <f>IF($A159="","",IFERROR(AVERAGEIF(tblAkis[KaynakKartId],$A159,tblAkis[StokGunu]),0))</f>
        <v/>
      </c>
    </row>
    <row r="160">
      <c r="A160" s="27" t="n"/>
      <c r="B160" s="27" t="n"/>
      <c r="C160" s="27" t="n"/>
      <c r="D160" s="27" t="n"/>
      <c r="E160" s="28" t="n"/>
      <c r="F160" s="27" t="n"/>
      <c r="G160" s="27" t="n"/>
      <c r="H160" s="29">
        <f>IF($A160="","",SUMIF(tblAkis[KaynakKartId],$A160,tblAkis[StokAdet]))</f>
        <v/>
      </c>
      <c r="I160" s="29">
        <f>IF($A160="","",IFERROR(AVERAGEIF(tblAkis[KaynakKartId],$A160,tblAkis[StokGunu]),0))</f>
        <v/>
      </c>
    </row>
    <row r="161">
      <c r="A161" s="27" t="n"/>
      <c r="B161" s="27" t="n"/>
      <c r="C161" s="27" t="n"/>
      <c r="D161" s="27" t="n"/>
      <c r="E161" s="28" t="n"/>
      <c r="F161" s="27" t="n"/>
      <c r="G161" s="27" t="n"/>
      <c r="H161" s="29">
        <f>IF($A161="","",SUMIF(tblAkis[KaynakKartId],$A161,tblAkis[StokAdet]))</f>
        <v/>
      </c>
      <c r="I161" s="29">
        <f>IF($A161="","",IFERROR(AVERAGEIF(tblAkis[KaynakKartId],$A161,tblAkis[StokGunu]),0))</f>
        <v/>
      </c>
    </row>
    <row r="162">
      <c r="A162" s="27" t="n"/>
      <c r="B162" s="27" t="n"/>
      <c r="C162" s="27" t="n"/>
      <c r="D162" s="27" t="n"/>
      <c r="E162" s="28" t="n"/>
      <c r="F162" s="27" t="n"/>
      <c r="G162" s="27" t="n"/>
      <c r="H162" s="29">
        <f>IF($A162="","",SUMIF(tblAkis[KaynakKartId],$A162,tblAkis[StokAdet]))</f>
        <v/>
      </c>
      <c r="I162" s="29">
        <f>IF($A162="","",IFERROR(AVERAGEIF(tblAkis[KaynakKartId],$A162,tblAkis[StokGunu]),0))</f>
        <v/>
      </c>
    </row>
    <row r="163">
      <c r="A163" s="27" t="n"/>
      <c r="B163" s="27" t="n"/>
      <c r="C163" s="27" t="n"/>
      <c r="D163" s="27" t="n"/>
      <c r="E163" s="28" t="n"/>
      <c r="F163" s="27" t="n"/>
      <c r="G163" s="27" t="n"/>
      <c r="H163" s="29">
        <f>IF($A163="","",SUMIF(tblAkis[KaynakKartId],$A163,tblAkis[StokAdet]))</f>
        <v/>
      </c>
      <c r="I163" s="29">
        <f>IF($A163="","",IFERROR(AVERAGEIF(tblAkis[KaynakKartId],$A163,tblAkis[StokGunu]),0))</f>
        <v/>
      </c>
    </row>
    <row r="164">
      <c r="A164" s="27" t="n"/>
      <c r="B164" s="27" t="n"/>
      <c r="C164" s="27" t="n"/>
      <c r="D164" s="27" t="n"/>
      <c r="E164" s="28" t="n"/>
      <c r="F164" s="27" t="n"/>
      <c r="G164" s="27" t="n"/>
      <c r="H164" s="29">
        <f>IF($A164="","",SUMIF(tblAkis[KaynakKartId],$A164,tblAkis[StokAdet]))</f>
        <v/>
      </c>
      <c r="I164" s="29">
        <f>IF($A164="","",IFERROR(AVERAGEIF(tblAkis[KaynakKartId],$A164,tblAkis[StokGunu]),0))</f>
        <v/>
      </c>
    </row>
    <row r="165">
      <c r="A165" s="27" t="n"/>
      <c r="B165" s="27" t="n"/>
      <c r="C165" s="27" t="n"/>
      <c r="D165" s="27" t="n"/>
      <c r="E165" s="28" t="n"/>
      <c r="F165" s="27" t="n"/>
      <c r="G165" s="27" t="n"/>
      <c r="H165" s="29">
        <f>IF($A165="","",SUMIF(tblAkis[KaynakKartId],$A165,tblAkis[StokAdet]))</f>
        <v/>
      </c>
      <c r="I165" s="29">
        <f>IF($A165="","",IFERROR(AVERAGEIF(tblAkis[KaynakKartId],$A165,tblAkis[StokGunu]),0))</f>
        <v/>
      </c>
    </row>
    <row r="166">
      <c r="A166" s="27" t="n"/>
      <c r="B166" s="27" t="n"/>
      <c r="C166" s="27" t="n"/>
      <c r="D166" s="27" t="n"/>
      <c r="E166" s="28" t="n"/>
      <c r="F166" s="27" t="n"/>
      <c r="G166" s="27" t="n"/>
      <c r="H166" s="29">
        <f>IF($A166="","",SUMIF(tblAkis[KaynakKartId],$A166,tblAkis[StokAdet]))</f>
        <v/>
      </c>
      <c r="I166" s="29">
        <f>IF($A166="","",IFERROR(AVERAGEIF(tblAkis[KaynakKartId],$A166,tblAkis[StokGunu]),0))</f>
        <v/>
      </c>
    </row>
    <row r="167">
      <c r="A167" s="27" t="n"/>
      <c r="B167" s="27" t="n"/>
      <c r="C167" s="27" t="n"/>
      <c r="D167" s="27" t="n"/>
      <c r="E167" s="28" t="n"/>
      <c r="F167" s="27" t="n"/>
      <c r="G167" s="27" t="n"/>
      <c r="H167" s="29">
        <f>IF($A167="","",SUMIF(tblAkis[KaynakKartId],$A167,tblAkis[StokAdet]))</f>
        <v/>
      </c>
      <c r="I167" s="29">
        <f>IF($A167="","",IFERROR(AVERAGEIF(tblAkis[KaynakKartId],$A167,tblAkis[StokGunu]),0))</f>
        <v/>
      </c>
    </row>
    <row r="168">
      <c r="A168" s="27" t="n"/>
      <c r="B168" s="27" t="n"/>
      <c r="C168" s="27" t="n"/>
      <c r="D168" s="27" t="n"/>
      <c r="E168" s="28" t="n"/>
      <c r="F168" s="27" t="n"/>
      <c r="G168" s="27" t="n"/>
      <c r="H168" s="29">
        <f>IF($A168="","",SUMIF(tblAkis[KaynakKartId],$A168,tblAkis[StokAdet]))</f>
        <v/>
      </c>
      <c r="I168" s="29">
        <f>IF($A168="","",IFERROR(AVERAGEIF(tblAkis[KaynakKartId],$A168,tblAkis[StokGunu]),0))</f>
        <v/>
      </c>
    </row>
    <row r="169">
      <c r="A169" s="27" t="n"/>
      <c r="B169" s="27" t="n"/>
      <c r="C169" s="27" t="n"/>
      <c r="D169" s="27" t="n"/>
      <c r="E169" s="28" t="n"/>
      <c r="F169" s="27" t="n"/>
      <c r="G169" s="27" t="n"/>
      <c r="H169" s="29">
        <f>IF($A169="","",SUMIF(tblAkis[KaynakKartId],$A169,tblAkis[StokAdet]))</f>
        <v/>
      </c>
      <c r="I169" s="29">
        <f>IF($A169="","",IFERROR(AVERAGEIF(tblAkis[KaynakKartId],$A169,tblAkis[StokGunu]),0))</f>
        <v/>
      </c>
    </row>
    <row r="170">
      <c r="A170" s="27" t="n"/>
      <c r="B170" s="27" t="n"/>
      <c r="C170" s="27" t="n"/>
      <c r="D170" s="27" t="n"/>
      <c r="E170" s="28" t="n"/>
      <c r="F170" s="27" t="n"/>
      <c r="G170" s="27" t="n"/>
      <c r="H170" s="29">
        <f>IF($A170="","",SUMIF(tblAkis[KaynakKartId],$A170,tblAkis[StokAdet]))</f>
        <v/>
      </c>
      <c r="I170" s="29">
        <f>IF($A170="","",IFERROR(AVERAGEIF(tblAkis[KaynakKartId],$A170,tblAkis[StokGunu]),0))</f>
        <v/>
      </c>
    </row>
    <row r="171">
      <c r="A171" s="27" t="n"/>
      <c r="B171" s="27" t="n"/>
      <c r="C171" s="27" t="n"/>
      <c r="D171" s="27" t="n"/>
      <c r="E171" s="28" t="n"/>
      <c r="F171" s="27" t="n"/>
      <c r="G171" s="27" t="n"/>
      <c r="H171" s="29">
        <f>IF($A171="","",SUMIF(tblAkis[KaynakKartId],$A171,tblAkis[StokAdet]))</f>
        <v/>
      </c>
      <c r="I171" s="29">
        <f>IF($A171="","",IFERROR(AVERAGEIF(tblAkis[KaynakKartId],$A171,tblAkis[StokGunu]),0))</f>
        <v/>
      </c>
    </row>
    <row r="172">
      <c r="A172" s="27" t="n"/>
      <c r="B172" s="27" t="n"/>
      <c r="C172" s="27" t="n"/>
      <c r="D172" s="27" t="n"/>
      <c r="E172" s="28" t="n"/>
      <c r="F172" s="27" t="n"/>
      <c r="G172" s="27" t="n"/>
      <c r="H172" s="29">
        <f>IF($A172="","",SUMIF(tblAkis[KaynakKartId],$A172,tblAkis[StokAdet]))</f>
        <v/>
      </c>
      <c r="I172" s="29">
        <f>IF($A172="","",IFERROR(AVERAGEIF(tblAkis[KaynakKartId],$A172,tblAkis[StokGunu]),0))</f>
        <v/>
      </c>
    </row>
    <row r="173">
      <c r="A173" s="27" t="n"/>
      <c r="B173" s="27" t="n"/>
      <c r="C173" s="27" t="n"/>
      <c r="D173" s="27" t="n"/>
      <c r="E173" s="28" t="n"/>
      <c r="F173" s="27" t="n"/>
      <c r="G173" s="27" t="n"/>
      <c r="H173" s="29">
        <f>IF($A173="","",SUMIF(tblAkis[KaynakKartId],$A173,tblAkis[StokAdet]))</f>
        <v/>
      </c>
      <c r="I173" s="29">
        <f>IF($A173="","",IFERROR(AVERAGEIF(tblAkis[KaynakKartId],$A173,tblAkis[StokGunu]),0))</f>
        <v/>
      </c>
    </row>
    <row r="174">
      <c r="A174" s="27" t="n"/>
      <c r="B174" s="27" t="n"/>
      <c r="C174" s="27" t="n"/>
      <c r="D174" s="27" t="n"/>
      <c r="E174" s="28" t="n"/>
      <c r="F174" s="27" t="n"/>
      <c r="G174" s="27" t="n"/>
      <c r="H174" s="29">
        <f>IF($A174="","",SUMIF(tblAkis[KaynakKartId],$A174,tblAkis[StokAdet]))</f>
        <v/>
      </c>
      <c r="I174" s="29">
        <f>IF($A174="","",IFERROR(AVERAGEIF(tblAkis[KaynakKartId],$A174,tblAkis[StokGunu]),0))</f>
        <v/>
      </c>
    </row>
    <row r="175">
      <c r="A175" s="27" t="n"/>
      <c r="B175" s="27" t="n"/>
      <c r="C175" s="27" t="n"/>
      <c r="D175" s="27" t="n"/>
      <c r="E175" s="28" t="n"/>
      <c r="F175" s="27" t="n"/>
      <c r="G175" s="27" t="n"/>
      <c r="H175" s="29">
        <f>IF($A175="","",SUMIF(tblAkis[KaynakKartId],$A175,tblAkis[StokAdet]))</f>
        <v/>
      </c>
      <c r="I175" s="29">
        <f>IF($A175="","",IFERROR(AVERAGEIF(tblAkis[KaynakKartId],$A175,tblAkis[StokGunu]),0))</f>
        <v/>
      </c>
    </row>
    <row r="176">
      <c r="A176" s="27" t="n"/>
      <c r="B176" s="27" t="n"/>
      <c r="C176" s="27" t="n"/>
      <c r="D176" s="27" t="n"/>
      <c r="E176" s="28" t="n"/>
      <c r="F176" s="27" t="n"/>
      <c r="G176" s="27" t="n"/>
      <c r="H176" s="29">
        <f>IF($A176="","",SUMIF(tblAkis[KaynakKartId],$A176,tblAkis[StokAdet]))</f>
        <v/>
      </c>
      <c r="I176" s="29">
        <f>IF($A176="","",IFERROR(AVERAGEIF(tblAkis[KaynakKartId],$A176,tblAkis[StokGunu]),0))</f>
        <v/>
      </c>
    </row>
    <row r="177">
      <c r="A177" s="27" t="n"/>
      <c r="B177" s="27" t="n"/>
      <c r="C177" s="27" t="n"/>
      <c r="D177" s="27" t="n"/>
      <c r="E177" s="28" t="n"/>
      <c r="F177" s="27" t="n"/>
      <c r="G177" s="27" t="n"/>
      <c r="H177" s="29">
        <f>IF($A177="","",SUMIF(tblAkis[KaynakKartId],$A177,tblAkis[StokAdet]))</f>
        <v/>
      </c>
      <c r="I177" s="29">
        <f>IF($A177="","",IFERROR(AVERAGEIF(tblAkis[KaynakKartId],$A177,tblAkis[StokGunu]),0))</f>
        <v/>
      </c>
    </row>
    <row r="178">
      <c r="A178" s="27" t="n"/>
      <c r="B178" s="27" t="n"/>
      <c r="C178" s="27" t="n"/>
      <c r="D178" s="27" t="n"/>
      <c r="E178" s="28" t="n"/>
      <c r="F178" s="27" t="n"/>
      <c r="G178" s="27" t="n"/>
      <c r="H178" s="29">
        <f>IF($A178="","",SUMIF(tblAkis[KaynakKartId],$A178,tblAkis[StokAdet]))</f>
        <v/>
      </c>
      <c r="I178" s="29">
        <f>IF($A178="","",IFERROR(AVERAGEIF(tblAkis[KaynakKartId],$A178,tblAkis[StokGunu]),0))</f>
        <v/>
      </c>
    </row>
    <row r="179">
      <c r="A179" s="27" t="n"/>
      <c r="B179" s="27" t="n"/>
      <c r="C179" s="27" t="n"/>
      <c r="D179" s="27" t="n"/>
      <c r="E179" s="28" t="n"/>
      <c r="F179" s="27" t="n"/>
      <c r="G179" s="27" t="n"/>
      <c r="H179" s="29">
        <f>IF($A179="","",SUMIF(tblAkis[KaynakKartId],$A179,tblAkis[StokAdet]))</f>
        <v/>
      </c>
      <c r="I179" s="29">
        <f>IF($A179="","",IFERROR(AVERAGEIF(tblAkis[KaynakKartId],$A179,tblAkis[StokGunu]),0))</f>
        <v/>
      </c>
    </row>
    <row r="180">
      <c r="A180" s="27" t="n"/>
      <c r="B180" s="27" t="n"/>
      <c r="C180" s="27" t="n"/>
      <c r="D180" s="27" t="n"/>
      <c r="E180" s="28" t="n"/>
      <c r="F180" s="27" t="n"/>
      <c r="G180" s="27" t="n"/>
      <c r="H180" s="29">
        <f>IF($A180="","",SUMIF(tblAkis[KaynakKartId],$A180,tblAkis[StokAdet]))</f>
        <v/>
      </c>
      <c r="I180" s="29">
        <f>IF($A180="","",IFERROR(AVERAGEIF(tblAkis[KaynakKartId],$A180,tblAkis[StokGunu]),0))</f>
        <v/>
      </c>
    </row>
    <row r="181">
      <c r="A181" s="27" t="n"/>
      <c r="B181" s="27" t="n"/>
      <c r="C181" s="27" t="n"/>
      <c r="D181" s="27" t="n"/>
      <c r="E181" s="28" t="n"/>
      <c r="F181" s="27" t="n"/>
      <c r="G181" s="27" t="n"/>
      <c r="H181" s="29">
        <f>IF($A181="","",SUMIF(tblAkis[KaynakKartId],$A181,tblAkis[StokAdet]))</f>
        <v/>
      </c>
      <c r="I181" s="29">
        <f>IF($A181="","",IFERROR(AVERAGEIF(tblAkis[KaynakKartId],$A181,tblAkis[StokGunu]),0))</f>
        <v/>
      </c>
    </row>
    <row r="182">
      <c r="A182" s="27" t="n"/>
      <c r="B182" s="27" t="n"/>
      <c r="C182" s="27" t="n"/>
      <c r="D182" s="27" t="n"/>
      <c r="E182" s="28" t="n"/>
      <c r="F182" s="27" t="n"/>
      <c r="G182" s="27" t="n"/>
      <c r="H182" s="29">
        <f>IF($A182="","",SUMIF(tblAkis[KaynakKartId],$A182,tblAkis[StokAdet]))</f>
        <v/>
      </c>
      <c r="I182" s="29">
        <f>IF($A182="","",IFERROR(AVERAGEIF(tblAkis[KaynakKartId],$A182,tblAkis[StokGunu]),0))</f>
        <v/>
      </c>
    </row>
    <row r="183">
      <c r="A183" s="27" t="n"/>
      <c r="B183" s="27" t="n"/>
      <c r="C183" s="27" t="n"/>
      <c r="D183" s="27" t="n"/>
      <c r="E183" s="28" t="n"/>
      <c r="F183" s="27" t="n"/>
      <c r="G183" s="27" t="n"/>
      <c r="H183" s="29">
        <f>IF($A183="","",SUMIF(tblAkis[KaynakKartId],$A183,tblAkis[StokAdet]))</f>
        <v/>
      </c>
      <c r="I183" s="29">
        <f>IF($A183="","",IFERROR(AVERAGEIF(tblAkis[KaynakKartId],$A183,tblAkis[StokGunu]),0))</f>
        <v/>
      </c>
    </row>
    <row r="184">
      <c r="A184" s="27" t="n"/>
      <c r="B184" s="27" t="n"/>
      <c r="C184" s="27" t="n"/>
      <c r="D184" s="27" t="n"/>
      <c r="E184" s="28" t="n"/>
      <c r="F184" s="27" t="n"/>
      <c r="G184" s="27" t="n"/>
      <c r="H184" s="29">
        <f>IF($A184="","",SUMIF(tblAkis[KaynakKartId],$A184,tblAkis[StokAdet]))</f>
        <v/>
      </c>
      <c r="I184" s="29">
        <f>IF($A184="","",IFERROR(AVERAGEIF(tblAkis[KaynakKartId],$A184,tblAkis[StokGunu]),0))</f>
        <v/>
      </c>
    </row>
    <row r="185">
      <c r="A185" s="27" t="n"/>
      <c r="B185" s="27" t="n"/>
      <c r="C185" s="27" t="n"/>
      <c r="D185" s="27" t="n"/>
      <c r="E185" s="28" t="n"/>
      <c r="F185" s="27" t="n"/>
      <c r="G185" s="27" t="n"/>
      <c r="H185" s="29">
        <f>IF($A185="","",SUMIF(tblAkis[KaynakKartId],$A185,tblAkis[StokAdet]))</f>
        <v/>
      </c>
      <c r="I185" s="29">
        <f>IF($A185="","",IFERROR(AVERAGEIF(tblAkis[KaynakKartId],$A185,tblAkis[StokGunu]),0))</f>
        <v/>
      </c>
    </row>
    <row r="186">
      <c r="A186" s="27" t="n"/>
      <c r="B186" s="27" t="n"/>
      <c r="C186" s="27" t="n"/>
      <c r="D186" s="27" t="n"/>
      <c r="E186" s="28" t="n"/>
      <c r="F186" s="27" t="n"/>
      <c r="G186" s="27" t="n"/>
      <c r="H186" s="29">
        <f>IF($A186="","",SUMIF(tblAkis[KaynakKartId],$A186,tblAkis[StokAdet]))</f>
        <v/>
      </c>
      <c r="I186" s="29">
        <f>IF($A186="","",IFERROR(AVERAGEIF(tblAkis[KaynakKartId],$A186,tblAkis[StokGunu]),0))</f>
        <v/>
      </c>
    </row>
    <row r="187">
      <c r="A187" s="27" t="n"/>
      <c r="B187" s="27" t="n"/>
      <c r="C187" s="27" t="n"/>
      <c r="D187" s="27" t="n"/>
      <c r="E187" s="28" t="n"/>
      <c r="F187" s="27" t="n"/>
      <c r="G187" s="27" t="n"/>
      <c r="H187" s="29">
        <f>IF($A187="","",SUMIF(tblAkis[KaynakKartId],$A187,tblAkis[StokAdet]))</f>
        <v/>
      </c>
      <c r="I187" s="29">
        <f>IF($A187="","",IFERROR(AVERAGEIF(tblAkis[KaynakKartId],$A187,tblAkis[StokGunu]),0))</f>
        <v/>
      </c>
    </row>
    <row r="188">
      <c r="A188" s="27" t="n"/>
      <c r="B188" s="27" t="n"/>
      <c r="C188" s="27" t="n"/>
      <c r="D188" s="27" t="n"/>
      <c r="E188" s="28" t="n"/>
      <c r="F188" s="27" t="n"/>
      <c r="G188" s="27" t="n"/>
      <c r="H188" s="29">
        <f>IF($A188="","",SUMIF(tblAkis[KaynakKartId],$A188,tblAkis[StokAdet]))</f>
        <v/>
      </c>
      <c r="I188" s="29">
        <f>IF($A188="","",IFERROR(AVERAGEIF(tblAkis[KaynakKartId],$A188,tblAkis[StokGunu]),0))</f>
        <v/>
      </c>
    </row>
    <row r="189">
      <c r="A189" s="27" t="n"/>
      <c r="B189" s="27" t="n"/>
      <c r="C189" s="27" t="n"/>
      <c r="D189" s="27" t="n"/>
      <c r="E189" s="28" t="n"/>
      <c r="F189" s="27" t="n"/>
      <c r="G189" s="27" t="n"/>
      <c r="H189" s="29">
        <f>IF($A189="","",SUMIF(tblAkis[KaynakKartId],$A189,tblAkis[StokAdet]))</f>
        <v/>
      </c>
      <c r="I189" s="29">
        <f>IF($A189="","",IFERROR(AVERAGEIF(tblAkis[KaynakKartId],$A189,tblAkis[StokGunu]),0))</f>
        <v/>
      </c>
    </row>
    <row r="190">
      <c r="A190" s="27" t="n"/>
      <c r="B190" s="27" t="n"/>
      <c r="C190" s="27" t="n"/>
      <c r="D190" s="27" t="n"/>
      <c r="E190" s="28" t="n"/>
      <c r="F190" s="27" t="n"/>
      <c r="G190" s="27" t="n"/>
      <c r="H190" s="29">
        <f>IF($A190="","",SUMIF(tblAkis[KaynakKartId],$A190,tblAkis[StokAdet]))</f>
        <v/>
      </c>
      <c r="I190" s="29">
        <f>IF($A190="","",IFERROR(AVERAGEIF(tblAkis[KaynakKartId],$A190,tblAkis[StokGunu]),0))</f>
        <v/>
      </c>
    </row>
    <row r="191">
      <c r="A191" s="27" t="n"/>
      <c r="B191" s="27" t="n"/>
      <c r="C191" s="27" t="n"/>
      <c r="D191" s="27" t="n"/>
      <c r="E191" s="28" t="n"/>
      <c r="F191" s="27" t="n"/>
      <c r="G191" s="27" t="n"/>
      <c r="H191" s="29">
        <f>IF($A191="","",SUMIF(tblAkis[KaynakKartId],$A191,tblAkis[StokAdet]))</f>
        <v/>
      </c>
      <c r="I191" s="29">
        <f>IF($A191="","",IFERROR(AVERAGEIF(tblAkis[KaynakKartId],$A191,tblAkis[StokGunu]),0))</f>
        <v/>
      </c>
    </row>
    <row r="192">
      <c r="A192" s="27" t="n"/>
      <c r="B192" s="27" t="n"/>
      <c r="C192" s="27" t="n"/>
      <c r="D192" s="27" t="n"/>
      <c r="E192" s="28" t="n"/>
      <c r="F192" s="27" t="n"/>
      <c r="G192" s="27" t="n"/>
      <c r="H192" s="29">
        <f>IF($A192="","",SUMIF(tblAkis[KaynakKartId],$A192,tblAkis[StokAdet]))</f>
        <v/>
      </c>
      <c r="I192" s="29">
        <f>IF($A192="","",IFERROR(AVERAGEIF(tblAkis[KaynakKartId],$A192,tblAkis[StokGunu]),0))</f>
        <v/>
      </c>
    </row>
    <row r="193">
      <c r="A193" s="27" t="n"/>
      <c r="B193" s="27" t="n"/>
      <c r="C193" s="27" t="n"/>
      <c r="D193" s="27" t="n"/>
      <c r="E193" s="28" t="n"/>
      <c r="F193" s="27" t="n"/>
      <c r="G193" s="27" t="n"/>
      <c r="H193" s="29">
        <f>IF($A193="","",SUMIF(tblAkis[KaynakKartId],$A193,tblAkis[StokAdet]))</f>
        <v/>
      </c>
      <c r="I193" s="29">
        <f>IF($A193="","",IFERROR(AVERAGEIF(tblAkis[KaynakKartId],$A193,tblAkis[StokGunu]),0))</f>
        <v/>
      </c>
    </row>
    <row r="194">
      <c r="A194" s="27" t="n"/>
      <c r="B194" s="27" t="n"/>
      <c r="C194" s="27" t="n"/>
      <c r="D194" s="27" t="n"/>
      <c r="E194" s="28" t="n"/>
      <c r="F194" s="27" t="n"/>
      <c r="G194" s="27" t="n"/>
      <c r="H194" s="29">
        <f>IF($A194="","",SUMIF(tblAkis[KaynakKartId],$A194,tblAkis[StokAdet]))</f>
        <v/>
      </c>
      <c r="I194" s="29">
        <f>IF($A194="","",IFERROR(AVERAGEIF(tblAkis[KaynakKartId],$A194,tblAkis[StokGunu]),0))</f>
        <v/>
      </c>
    </row>
    <row r="195">
      <c r="A195" s="27" t="n"/>
      <c r="B195" s="27" t="n"/>
      <c r="C195" s="27" t="n"/>
      <c r="D195" s="27" t="n"/>
      <c r="E195" s="28" t="n"/>
      <c r="F195" s="27" t="n"/>
      <c r="G195" s="27" t="n"/>
      <c r="H195" s="29">
        <f>IF($A195="","",SUMIF(tblAkis[KaynakKartId],$A195,tblAkis[StokAdet]))</f>
        <v/>
      </c>
      <c r="I195" s="29">
        <f>IF($A195="","",IFERROR(AVERAGEIF(tblAkis[KaynakKartId],$A195,tblAkis[StokGunu]),0))</f>
        <v/>
      </c>
    </row>
    <row r="196">
      <c r="A196" s="27" t="n"/>
      <c r="B196" s="27" t="n"/>
      <c r="C196" s="27" t="n"/>
      <c r="D196" s="27" t="n"/>
      <c r="E196" s="28" t="n"/>
      <c r="F196" s="27" t="n"/>
      <c r="G196" s="27" t="n"/>
      <c r="H196" s="29">
        <f>IF($A196="","",SUMIF(tblAkis[KaynakKartId],$A196,tblAkis[StokAdet]))</f>
        <v/>
      </c>
      <c r="I196" s="29">
        <f>IF($A196="","",IFERROR(AVERAGEIF(tblAkis[KaynakKartId],$A196,tblAkis[StokGunu]),0))</f>
        <v/>
      </c>
    </row>
    <row r="197">
      <c r="A197" s="27" t="n"/>
      <c r="B197" s="27" t="n"/>
      <c r="C197" s="27" t="n"/>
      <c r="D197" s="27" t="n"/>
      <c r="E197" s="28" t="n"/>
      <c r="F197" s="27" t="n"/>
      <c r="G197" s="27" t="n"/>
      <c r="H197" s="29">
        <f>IF($A197="","",SUMIF(tblAkis[KaynakKartId],$A197,tblAkis[StokAdet]))</f>
        <v/>
      </c>
      <c r="I197" s="29">
        <f>IF($A197="","",IFERROR(AVERAGEIF(tblAkis[KaynakKartId],$A197,tblAkis[StokGunu]),0))</f>
        <v/>
      </c>
    </row>
    <row r="198">
      <c r="A198" s="27" t="n"/>
      <c r="B198" s="27" t="n"/>
      <c r="C198" s="27" t="n"/>
      <c r="D198" s="27" t="n"/>
      <c r="E198" s="28" t="n"/>
      <c r="F198" s="27" t="n"/>
      <c r="G198" s="27" t="n"/>
      <c r="H198" s="29">
        <f>IF($A198="","",SUMIF(tblAkis[KaynakKartId],$A198,tblAkis[StokAdet]))</f>
        <v/>
      </c>
      <c r="I198" s="29">
        <f>IF($A198="","",IFERROR(AVERAGEIF(tblAkis[KaynakKartId],$A198,tblAkis[StokGunu]),0))</f>
        <v/>
      </c>
    </row>
    <row r="199">
      <c r="A199" s="27" t="n"/>
      <c r="B199" s="27" t="n"/>
      <c r="C199" s="27" t="n"/>
      <c r="D199" s="27" t="n"/>
      <c r="E199" s="28" t="n"/>
      <c r="F199" s="27" t="n"/>
      <c r="G199" s="27" t="n"/>
      <c r="H199" s="29">
        <f>IF($A199="","",SUMIF(tblAkis[KaynakKartId],$A199,tblAkis[StokAdet]))</f>
        <v/>
      </c>
      <c r="I199" s="29">
        <f>IF($A199="","",IFERROR(AVERAGEIF(tblAkis[KaynakKartId],$A199,tblAkis[StokGunu]),0))</f>
        <v/>
      </c>
    </row>
    <row r="200">
      <c r="A200" s="27" t="n"/>
      <c r="B200" s="27" t="n"/>
      <c r="C200" s="27" t="n"/>
      <c r="D200" s="27" t="n"/>
      <c r="E200" s="28" t="n"/>
      <c r="F200" s="27" t="n"/>
      <c r="G200" s="27" t="n"/>
      <c r="H200" s="29">
        <f>IF($A200="","",SUMIF(tblAkis[KaynakKartId],$A200,tblAkis[StokAdet]))</f>
        <v/>
      </c>
      <c r="I200" s="29">
        <f>IF($A200="","",IFERROR(AVERAGEIF(tblAkis[KaynakKartId],$A200,tblAkis[StokGunu]),0))</f>
        <v/>
      </c>
    </row>
    <row r="201">
      <c r="A201" s="27" t="n"/>
      <c r="B201" s="27" t="n"/>
      <c r="C201" s="27" t="n"/>
      <c r="D201" s="27" t="n"/>
      <c r="E201" s="28" t="n"/>
      <c r="F201" s="27" t="n"/>
      <c r="G201" s="27" t="n"/>
      <c r="H201" s="29">
        <f>IF($A201="","",SUMIF(tblAkis[KaynakKartId],$A201,tblAkis[StokAdet]))</f>
        <v/>
      </c>
      <c r="I201" s="29">
        <f>IF($A201="","",IFERROR(AVERAGEIF(tblAkis[KaynakKartId],$A201,tblAkis[StokGunu]),0))</f>
        <v/>
      </c>
    </row>
    <row r="202">
      <c r="A202" s="27" t="n"/>
      <c r="B202" s="27" t="n"/>
      <c r="C202" s="27" t="n"/>
      <c r="D202" s="27" t="n"/>
      <c r="E202" s="28" t="n"/>
      <c r="F202" s="27" t="n"/>
      <c r="G202" s="27" t="n"/>
      <c r="H202" s="29">
        <f>IF($A202="","",SUMIF(tblAkis[KaynakKartId],$A202,tblAkis[StokAdet]))</f>
        <v/>
      </c>
      <c r="I202" s="29">
        <f>IF($A202="","",IFERROR(AVERAGEIF(tblAkis[KaynakKartId],$A202,tblAkis[StokGunu]),0))</f>
        <v/>
      </c>
    </row>
    <row r="203">
      <c r="A203" s="27" t="n"/>
      <c r="B203" s="27" t="n"/>
      <c r="C203" s="27" t="n"/>
      <c r="D203" s="27" t="n"/>
      <c r="E203" s="28" t="n"/>
      <c r="F203" s="27" t="n"/>
      <c r="G203" s="27" t="n"/>
      <c r="H203" s="29">
        <f>IF($A203="","",SUMIF(tblAkis[KaynakKartId],$A203,tblAkis[StokAdet]))</f>
        <v/>
      </c>
      <c r="I203" s="29">
        <f>IF($A203="","",IFERROR(AVERAGEIF(tblAkis[KaynakKartId],$A203,tblAkis[StokGunu]),0))</f>
        <v/>
      </c>
    </row>
    <row r="204">
      <c r="A204" s="27" t="n"/>
      <c r="B204" s="27" t="n"/>
      <c r="C204" s="27" t="n"/>
      <c r="D204" s="27" t="n"/>
      <c r="E204" s="28" t="n"/>
      <c r="F204" s="27" t="n"/>
      <c r="G204" s="27" t="n"/>
      <c r="H204" s="29">
        <f>IF($A204="","",SUMIF(tblAkis[KaynakKartId],$A204,tblAkis[StokAdet]))</f>
        <v/>
      </c>
      <c r="I204" s="29">
        <f>IF($A204="","",IFERROR(AVERAGEIF(tblAkis[KaynakKartId],$A204,tblAkis[StokGunu]),0))</f>
        <v/>
      </c>
    </row>
    <row r="205">
      <c r="A205" s="27" t="n"/>
      <c r="B205" s="27" t="n"/>
      <c r="C205" s="27" t="n"/>
      <c r="D205" s="27" t="n"/>
      <c r="E205" s="28" t="n"/>
      <c r="F205" s="27" t="n"/>
      <c r="G205" s="27" t="n"/>
      <c r="H205" s="29">
        <f>IF($A205="","",SUMIF(tblAkis[KaynakKartId],$A205,tblAkis[StokAdet]))</f>
        <v/>
      </c>
      <c r="I205" s="29">
        <f>IF($A205="","",IFERROR(AVERAGEIF(tblAkis[KaynakKartId],$A205,tblAkis[StokGunu]),0))</f>
        <v/>
      </c>
    </row>
    <row r="206">
      <c r="A206" s="27" t="n"/>
      <c r="B206" s="27" t="n"/>
      <c r="C206" s="27" t="n"/>
      <c r="D206" s="27" t="n"/>
      <c r="E206" s="28" t="n"/>
      <c r="F206" s="27" t="n"/>
      <c r="G206" s="27" t="n"/>
      <c r="H206" s="29">
        <f>IF($A206="","",SUMIF(tblAkis[KaynakKartId],$A206,tblAkis[StokAdet]))</f>
        <v/>
      </c>
      <c r="I206" s="29">
        <f>IF($A206="","",IFERROR(AVERAGEIF(tblAkis[KaynakKartId],$A206,tblAkis[StokGunu]),0))</f>
        <v/>
      </c>
    </row>
    <row r="207">
      <c r="A207" s="27" t="n"/>
      <c r="B207" s="27" t="n"/>
      <c r="C207" s="27" t="n"/>
      <c r="D207" s="27" t="n"/>
      <c r="E207" s="28" t="n"/>
      <c r="F207" s="27" t="n"/>
      <c r="G207" s="27" t="n"/>
      <c r="H207" s="29">
        <f>IF($A207="","",SUMIF(tblAkis[KaynakKartId],$A207,tblAkis[StokAdet]))</f>
        <v/>
      </c>
      <c r="I207" s="29">
        <f>IF($A207="","",IFERROR(AVERAGEIF(tblAkis[KaynakKartId],$A207,tblAkis[StokGunu]),0))</f>
        <v/>
      </c>
    </row>
    <row r="208">
      <c r="A208" s="27" t="n"/>
      <c r="B208" s="27" t="n"/>
      <c r="C208" s="27" t="n"/>
      <c r="D208" s="27" t="n"/>
      <c r="E208" s="28" t="n"/>
      <c r="F208" s="27" t="n"/>
      <c r="G208" s="27" t="n"/>
      <c r="H208" s="29">
        <f>IF($A208="","",SUMIF(tblAkis[KaynakKartId],$A208,tblAkis[StokAdet]))</f>
        <v/>
      </c>
      <c r="I208" s="29">
        <f>IF($A208="","",IFERROR(AVERAGEIF(tblAkis[KaynakKartId],$A208,tblAkis[StokGunu]),0))</f>
        <v/>
      </c>
    </row>
    <row r="209">
      <c r="A209" s="27" t="n"/>
      <c r="B209" s="27" t="n"/>
      <c r="C209" s="27" t="n"/>
      <c r="D209" s="27" t="n"/>
      <c r="E209" s="28" t="n"/>
      <c r="F209" s="27" t="n"/>
      <c r="G209" s="27" t="n"/>
      <c r="H209" s="29">
        <f>IF($A209="","",SUMIF(tblAkis[KaynakKartId],$A209,tblAkis[StokAdet]))</f>
        <v/>
      </c>
      <c r="I209" s="29">
        <f>IF($A209="","",IFERROR(AVERAGEIF(tblAkis[KaynakKartId],$A209,tblAkis[StokGunu]),0))</f>
        <v/>
      </c>
    </row>
    <row r="210">
      <c r="A210" s="27" t="n"/>
      <c r="B210" s="27" t="n"/>
      <c r="C210" s="27" t="n"/>
      <c r="D210" s="27" t="n"/>
      <c r="E210" s="28" t="n"/>
      <c r="F210" s="27" t="n"/>
      <c r="G210" s="27" t="n"/>
      <c r="H210" s="29">
        <f>IF($A210="","",SUMIF(tblAkis[KaynakKartId],$A210,tblAkis[StokAdet]))</f>
        <v/>
      </c>
      <c r="I210" s="29">
        <f>IF($A210="","",IFERROR(AVERAGEIF(tblAkis[KaynakKartId],$A210,tblAkis[StokGunu]),0))</f>
        <v/>
      </c>
    </row>
    <row r="211">
      <c r="A211" s="27" t="n"/>
      <c r="B211" s="27" t="n"/>
      <c r="C211" s="27" t="n"/>
      <c r="D211" s="27" t="n"/>
      <c r="E211" s="28" t="n"/>
      <c r="F211" s="27" t="n"/>
      <c r="G211" s="27" t="n"/>
      <c r="H211" s="29">
        <f>IF($A211="","",SUMIF(tblAkis[KaynakKartId],$A211,tblAkis[StokAdet]))</f>
        <v/>
      </c>
      <c r="I211" s="29">
        <f>IF($A211="","",IFERROR(AVERAGEIF(tblAkis[KaynakKartId],$A211,tblAkis[StokGunu]),0))</f>
        <v/>
      </c>
    </row>
    <row r="212">
      <c r="A212" s="27" t="n"/>
      <c r="B212" s="27" t="n"/>
      <c r="C212" s="27" t="n"/>
      <c r="D212" s="27" t="n"/>
      <c r="E212" s="28" t="n"/>
      <c r="F212" s="27" t="n"/>
      <c r="G212" s="27" t="n"/>
      <c r="H212" s="29">
        <f>IF($A212="","",SUMIF(tblAkis[KaynakKartId],$A212,tblAkis[StokAdet]))</f>
        <v/>
      </c>
      <c r="I212" s="29">
        <f>IF($A212="","",IFERROR(AVERAGEIF(tblAkis[KaynakKartId],$A212,tblAkis[StokGunu]),0))</f>
        <v/>
      </c>
    </row>
    <row r="213">
      <c r="A213" s="27" t="n"/>
      <c r="B213" s="27" t="n"/>
      <c r="C213" s="27" t="n"/>
      <c r="D213" s="27" t="n"/>
      <c r="E213" s="28" t="n"/>
      <c r="F213" s="27" t="n"/>
      <c r="G213" s="27" t="n"/>
      <c r="H213" s="29">
        <f>IF($A213="","",SUMIF(tblAkis[KaynakKartId],$A213,tblAkis[StokAdet]))</f>
        <v/>
      </c>
      <c r="I213" s="29">
        <f>IF($A213="","",IFERROR(AVERAGEIF(tblAkis[KaynakKartId],$A213,tblAkis[StokGunu]),0))</f>
        <v/>
      </c>
    </row>
    <row r="214">
      <c r="A214" s="27" t="n"/>
      <c r="B214" s="27" t="n"/>
      <c r="C214" s="27" t="n"/>
      <c r="D214" s="27" t="n"/>
      <c r="E214" s="28" t="n"/>
      <c r="F214" s="27" t="n"/>
      <c r="G214" s="27" t="n"/>
      <c r="H214" s="29">
        <f>IF($A214="","",SUMIF(tblAkis[KaynakKartId],$A214,tblAkis[StokAdet]))</f>
        <v/>
      </c>
      <c r="I214" s="29">
        <f>IF($A214="","",IFERROR(AVERAGEIF(tblAkis[KaynakKartId],$A214,tblAkis[StokGunu]),0))</f>
        <v/>
      </c>
    </row>
    <row r="215">
      <c r="A215" s="27" t="n"/>
      <c r="B215" s="27" t="n"/>
      <c r="C215" s="27" t="n"/>
      <c r="D215" s="27" t="n"/>
      <c r="E215" s="28" t="n"/>
      <c r="F215" s="27" t="n"/>
      <c r="G215" s="27" t="n"/>
      <c r="H215" s="29">
        <f>IF($A215="","",SUMIF(tblAkis[KaynakKartId],$A215,tblAkis[StokAdet]))</f>
        <v/>
      </c>
      <c r="I215" s="29">
        <f>IF($A215="","",IFERROR(AVERAGEIF(tblAkis[KaynakKartId],$A215,tblAkis[StokGunu]),0))</f>
        <v/>
      </c>
    </row>
    <row r="216">
      <c r="A216" s="27" t="n"/>
      <c r="B216" s="27" t="n"/>
      <c r="C216" s="27" t="n"/>
      <c r="D216" s="27" t="n"/>
      <c r="E216" s="28" t="n"/>
      <c r="F216" s="27" t="n"/>
      <c r="G216" s="27" t="n"/>
      <c r="H216" s="29">
        <f>IF($A216="","",SUMIF(tblAkis[KaynakKartId],$A216,tblAkis[StokAdet]))</f>
        <v/>
      </c>
      <c r="I216" s="29">
        <f>IF($A216="","",IFERROR(AVERAGEIF(tblAkis[KaynakKartId],$A216,tblAkis[StokGunu]),0))</f>
        <v/>
      </c>
    </row>
    <row r="217">
      <c r="A217" s="27" t="n"/>
      <c r="B217" s="27" t="n"/>
      <c r="C217" s="27" t="n"/>
      <c r="D217" s="27" t="n"/>
      <c r="E217" s="28" t="n"/>
      <c r="F217" s="27" t="n"/>
      <c r="G217" s="27" t="n"/>
      <c r="H217" s="29">
        <f>IF($A217="","",SUMIF(tblAkis[KaynakKartId],$A217,tblAkis[StokAdet]))</f>
        <v/>
      </c>
      <c r="I217" s="29">
        <f>IF($A217="","",IFERROR(AVERAGEIF(tblAkis[KaynakKartId],$A217,tblAkis[StokGunu]),0))</f>
        <v/>
      </c>
    </row>
    <row r="218">
      <c r="A218" s="27" t="n"/>
      <c r="B218" s="27" t="n"/>
      <c r="C218" s="27" t="n"/>
      <c r="D218" s="27" t="n"/>
      <c r="E218" s="28" t="n"/>
      <c r="F218" s="27" t="n"/>
      <c r="G218" s="27" t="n"/>
      <c r="H218" s="29">
        <f>IF($A218="","",SUMIF(tblAkis[KaynakKartId],$A218,tblAkis[StokAdet]))</f>
        <v/>
      </c>
      <c r="I218" s="29">
        <f>IF($A218="","",IFERROR(AVERAGEIF(tblAkis[KaynakKartId],$A218,tblAkis[StokGunu]),0))</f>
        <v/>
      </c>
    </row>
    <row r="219">
      <c r="A219" s="27" t="n"/>
      <c r="B219" s="27" t="n"/>
      <c r="C219" s="27" t="n"/>
      <c r="D219" s="27" t="n"/>
      <c r="E219" s="28" t="n"/>
      <c r="F219" s="27" t="n"/>
      <c r="G219" s="27" t="n"/>
      <c r="H219" s="29">
        <f>IF($A219="","",SUMIF(tblAkis[KaynakKartId],$A219,tblAkis[StokAdet]))</f>
        <v/>
      </c>
      <c r="I219" s="29">
        <f>IF($A219="","",IFERROR(AVERAGEIF(tblAkis[KaynakKartId],$A219,tblAkis[StokGunu]),0))</f>
        <v/>
      </c>
    </row>
    <row r="220">
      <c r="A220" s="27" t="n"/>
      <c r="B220" s="27" t="n"/>
      <c r="C220" s="27" t="n"/>
      <c r="D220" s="27" t="n"/>
      <c r="E220" s="28" t="n"/>
      <c r="F220" s="27" t="n"/>
      <c r="G220" s="27" t="n"/>
      <c r="H220" s="29">
        <f>IF($A220="","",SUMIF(tblAkis[KaynakKartId],$A220,tblAkis[StokAdet]))</f>
        <v/>
      </c>
      <c r="I220" s="29">
        <f>IF($A220="","",IFERROR(AVERAGEIF(tblAkis[KaynakKartId],$A220,tblAkis[StokGunu]),0))</f>
        <v/>
      </c>
    </row>
    <row r="221">
      <c r="A221" s="27" t="n"/>
      <c r="B221" s="27" t="n"/>
      <c r="C221" s="27" t="n"/>
      <c r="D221" s="27" t="n"/>
      <c r="E221" s="28" t="n"/>
      <c r="F221" s="27" t="n"/>
      <c r="G221" s="27" t="n"/>
      <c r="H221" s="29">
        <f>IF($A221="","",SUMIF(tblAkis[KaynakKartId],$A221,tblAkis[StokAdet]))</f>
        <v/>
      </c>
      <c r="I221" s="29">
        <f>IF($A221="","",IFERROR(AVERAGEIF(tblAkis[KaynakKartId],$A221,tblAkis[StokGunu]),0))</f>
        <v/>
      </c>
    </row>
    <row r="222">
      <c r="A222" s="27" t="n"/>
      <c r="B222" s="27" t="n"/>
      <c r="C222" s="27" t="n"/>
      <c r="D222" s="27" t="n"/>
      <c r="E222" s="28" t="n"/>
      <c r="F222" s="27" t="n"/>
      <c r="G222" s="27" t="n"/>
      <c r="H222" s="29">
        <f>IF($A222="","",SUMIF(tblAkis[KaynakKartId],$A222,tblAkis[StokAdet]))</f>
        <v/>
      </c>
      <c r="I222" s="29">
        <f>IF($A222="","",IFERROR(AVERAGEIF(tblAkis[KaynakKartId],$A222,tblAkis[StokGunu]),0))</f>
        <v/>
      </c>
    </row>
    <row r="223">
      <c r="A223" s="27" t="n"/>
      <c r="B223" s="27" t="n"/>
      <c r="C223" s="27" t="n"/>
      <c r="D223" s="27" t="n"/>
      <c r="E223" s="28" t="n"/>
      <c r="F223" s="27" t="n"/>
      <c r="G223" s="27" t="n"/>
      <c r="H223" s="29">
        <f>IF($A223="","",SUMIF(tblAkis[KaynakKartId],$A223,tblAkis[StokAdet]))</f>
        <v/>
      </c>
      <c r="I223" s="29">
        <f>IF($A223="","",IFERROR(AVERAGEIF(tblAkis[KaynakKartId],$A223,tblAkis[StokGunu]),0))</f>
        <v/>
      </c>
    </row>
    <row r="224">
      <c r="A224" s="27" t="n"/>
      <c r="B224" s="27" t="n"/>
      <c r="C224" s="27" t="n"/>
      <c r="D224" s="27" t="n"/>
      <c r="E224" s="28" t="n"/>
      <c r="F224" s="27" t="n"/>
      <c r="G224" s="27" t="n"/>
      <c r="H224" s="29">
        <f>IF($A224="","",SUMIF(tblAkis[KaynakKartId],$A224,tblAkis[StokAdet]))</f>
        <v/>
      </c>
      <c r="I224" s="29">
        <f>IF($A224="","",IFERROR(AVERAGEIF(tblAkis[KaynakKartId],$A224,tblAkis[StokGunu]),0))</f>
        <v/>
      </c>
    </row>
    <row r="225">
      <c r="A225" s="27" t="n"/>
      <c r="B225" s="27" t="n"/>
      <c r="C225" s="27" t="n"/>
      <c r="D225" s="27" t="n"/>
      <c r="E225" s="28" t="n"/>
      <c r="F225" s="27" t="n"/>
      <c r="G225" s="27" t="n"/>
      <c r="H225" s="29">
        <f>IF($A225="","",SUMIF(tblAkis[KaynakKartId],$A225,tblAkis[StokAdet]))</f>
        <v/>
      </c>
      <c r="I225" s="29">
        <f>IF($A225="","",IFERROR(AVERAGEIF(tblAkis[KaynakKartId],$A225,tblAkis[StokGunu]),0))</f>
        <v/>
      </c>
    </row>
    <row r="226">
      <c r="A226" s="27" t="n"/>
      <c r="B226" s="27" t="n"/>
      <c r="C226" s="27" t="n"/>
      <c r="D226" s="27" t="n"/>
      <c r="E226" s="28" t="n"/>
      <c r="F226" s="27" t="n"/>
      <c r="G226" s="27" t="n"/>
      <c r="H226" s="29">
        <f>IF($A226="","",SUMIF(tblAkis[KaynakKartId],$A226,tblAkis[StokAdet]))</f>
        <v/>
      </c>
      <c r="I226" s="29">
        <f>IF($A226="","",IFERROR(AVERAGEIF(tblAkis[KaynakKartId],$A226,tblAkis[StokGunu]),0))</f>
        <v/>
      </c>
    </row>
    <row r="227">
      <c r="A227" s="27" t="n"/>
      <c r="B227" s="27" t="n"/>
      <c r="C227" s="27" t="n"/>
      <c r="D227" s="27" t="n"/>
      <c r="E227" s="28" t="n"/>
      <c r="F227" s="27" t="n"/>
      <c r="G227" s="27" t="n"/>
      <c r="H227" s="29">
        <f>IF($A227="","",SUMIF(tblAkis[KaynakKartId],$A227,tblAkis[StokAdet]))</f>
        <v/>
      </c>
      <c r="I227" s="29">
        <f>IF($A227="","",IFERROR(AVERAGEIF(tblAkis[KaynakKartId],$A227,tblAkis[StokGunu]),0))</f>
        <v/>
      </c>
    </row>
    <row r="228">
      <c r="A228" s="27" t="n"/>
      <c r="B228" s="27" t="n"/>
      <c r="C228" s="27" t="n"/>
      <c r="D228" s="27" t="n"/>
      <c r="E228" s="28" t="n"/>
      <c r="F228" s="27" t="n"/>
      <c r="G228" s="27" t="n"/>
      <c r="H228" s="29">
        <f>IF($A228="","",SUMIF(tblAkis[KaynakKartId],$A228,tblAkis[StokAdet]))</f>
        <v/>
      </c>
      <c r="I228" s="29">
        <f>IF($A228="","",IFERROR(AVERAGEIF(tblAkis[KaynakKartId],$A228,tblAkis[StokGunu]),0))</f>
        <v/>
      </c>
    </row>
    <row r="229">
      <c r="A229" s="27" t="n"/>
      <c r="B229" s="27" t="n"/>
      <c r="C229" s="27" t="n"/>
      <c r="D229" s="27" t="n"/>
      <c r="E229" s="28" t="n"/>
      <c r="F229" s="27" t="n"/>
      <c r="G229" s="27" t="n"/>
      <c r="H229" s="29">
        <f>IF($A229="","",SUMIF(tblAkis[KaynakKartId],$A229,tblAkis[StokAdet]))</f>
        <v/>
      </c>
      <c r="I229" s="29">
        <f>IF($A229="","",IFERROR(AVERAGEIF(tblAkis[KaynakKartId],$A229,tblAkis[StokGunu]),0))</f>
        <v/>
      </c>
    </row>
    <row r="230">
      <c r="A230" s="27" t="n"/>
      <c r="B230" s="27" t="n"/>
      <c r="C230" s="27" t="n"/>
      <c r="D230" s="27" t="n"/>
      <c r="E230" s="28" t="n"/>
      <c r="F230" s="27" t="n"/>
      <c r="G230" s="27" t="n"/>
      <c r="H230" s="29">
        <f>IF($A230="","",SUMIF(tblAkis[KaynakKartId],$A230,tblAkis[StokAdet]))</f>
        <v/>
      </c>
      <c r="I230" s="29">
        <f>IF($A230="","",IFERROR(AVERAGEIF(tblAkis[KaynakKartId],$A230,tblAkis[StokGunu]),0))</f>
        <v/>
      </c>
    </row>
    <row r="231">
      <c r="A231" s="27" t="n"/>
      <c r="B231" s="27" t="n"/>
      <c r="C231" s="27" t="n"/>
      <c r="D231" s="27" t="n"/>
      <c r="E231" s="28" t="n"/>
      <c r="F231" s="27" t="n"/>
      <c r="G231" s="27" t="n"/>
      <c r="H231" s="29">
        <f>IF($A231="","",SUMIF(tblAkis[KaynakKartId],$A231,tblAkis[StokAdet]))</f>
        <v/>
      </c>
      <c r="I231" s="29">
        <f>IF($A231="","",IFERROR(AVERAGEIF(tblAkis[KaynakKartId],$A231,tblAkis[StokGunu]),0))</f>
        <v/>
      </c>
    </row>
    <row r="232">
      <c r="A232" s="27" t="n"/>
      <c r="B232" s="27" t="n"/>
      <c r="C232" s="27" t="n"/>
      <c r="D232" s="27" t="n"/>
      <c r="E232" s="28" t="n"/>
      <c r="F232" s="27" t="n"/>
      <c r="G232" s="27" t="n"/>
      <c r="H232" s="29">
        <f>IF($A232="","",SUMIF(tblAkis[KaynakKartId],$A232,tblAkis[StokAdet]))</f>
        <v/>
      </c>
      <c r="I232" s="29">
        <f>IF($A232="","",IFERROR(AVERAGEIF(tblAkis[KaynakKartId],$A232,tblAkis[StokGunu]),0))</f>
        <v/>
      </c>
    </row>
    <row r="233">
      <c r="A233" s="27" t="n"/>
      <c r="B233" s="27" t="n"/>
      <c r="C233" s="27" t="n"/>
      <c r="D233" s="27" t="n"/>
      <c r="E233" s="28" t="n"/>
      <c r="F233" s="27" t="n"/>
      <c r="G233" s="27" t="n"/>
      <c r="H233" s="29">
        <f>IF($A233="","",SUMIF(tblAkis[KaynakKartId],$A233,tblAkis[StokAdet]))</f>
        <v/>
      </c>
      <c r="I233" s="29">
        <f>IF($A233="","",IFERROR(AVERAGEIF(tblAkis[KaynakKartId],$A233,tblAkis[StokGunu]),0))</f>
        <v/>
      </c>
    </row>
    <row r="234">
      <c r="A234" s="27" t="n"/>
      <c r="B234" s="27" t="n"/>
      <c r="C234" s="27" t="n"/>
      <c r="D234" s="27" t="n"/>
      <c r="E234" s="28" t="n"/>
      <c r="F234" s="27" t="n"/>
      <c r="G234" s="27" t="n"/>
      <c r="H234" s="29">
        <f>IF($A234="","",SUMIF(tblAkis[KaynakKartId],$A234,tblAkis[StokAdet]))</f>
        <v/>
      </c>
      <c r="I234" s="29">
        <f>IF($A234="","",IFERROR(AVERAGEIF(tblAkis[KaynakKartId],$A234,tblAkis[StokGunu]),0))</f>
        <v/>
      </c>
    </row>
    <row r="235">
      <c r="A235" s="27" t="n"/>
      <c r="B235" s="27" t="n"/>
      <c r="C235" s="27" t="n"/>
      <c r="D235" s="27" t="n"/>
      <c r="E235" s="28" t="n"/>
      <c r="F235" s="27" t="n"/>
      <c r="G235" s="27" t="n"/>
      <c r="H235" s="29">
        <f>IF($A235="","",SUMIF(tblAkis[KaynakKartId],$A235,tblAkis[StokAdet]))</f>
        <v/>
      </c>
      <c r="I235" s="29">
        <f>IF($A235="","",IFERROR(AVERAGEIF(tblAkis[KaynakKartId],$A235,tblAkis[StokGunu]),0))</f>
        <v/>
      </c>
    </row>
    <row r="236">
      <c r="A236" s="27" t="n"/>
      <c r="B236" s="27" t="n"/>
      <c r="C236" s="27" t="n"/>
      <c r="D236" s="27" t="n"/>
      <c r="E236" s="28" t="n"/>
      <c r="F236" s="27" t="n"/>
      <c r="G236" s="27" t="n"/>
      <c r="H236" s="29">
        <f>IF($A236="","",SUMIF(tblAkis[KaynakKartId],$A236,tblAkis[StokAdet]))</f>
        <v/>
      </c>
      <c r="I236" s="29">
        <f>IF($A236="","",IFERROR(AVERAGEIF(tblAkis[KaynakKartId],$A236,tblAkis[StokGunu]),0))</f>
        <v/>
      </c>
    </row>
    <row r="237">
      <c r="A237" s="27" t="n"/>
      <c r="B237" s="27" t="n"/>
      <c r="C237" s="27" t="n"/>
      <c r="D237" s="27" t="n"/>
      <c r="E237" s="28" t="n"/>
      <c r="F237" s="27" t="n"/>
      <c r="G237" s="27" t="n"/>
      <c r="H237" s="29">
        <f>IF($A237="","",SUMIF(tblAkis[KaynakKartId],$A237,tblAkis[StokAdet]))</f>
        <v/>
      </c>
      <c r="I237" s="29">
        <f>IF($A237="","",IFERROR(AVERAGEIF(tblAkis[KaynakKartId],$A237,tblAkis[StokGunu]),0))</f>
        <v/>
      </c>
    </row>
    <row r="238">
      <c r="A238" s="27" t="n"/>
      <c r="B238" s="27" t="n"/>
      <c r="C238" s="27" t="n"/>
      <c r="D238" s="27" t="n"/>
      <c r="E238" s="28" t="n"/>
      <c r="F238" s="27" t="n"/>
      <c r="G238" s="27" t="n"/>
      <c r="H238" s="29">
        <f>IF($A238="","",SUMIF(tblAkis[KaynakKartId],$A238,tblAkis[StokAdet]))</f>
        <v/>
      </c>
      <c r="I238" s="29">
        <f>IF($A238="","",IFERROR(AVERAGEIF(tblAkis[KaynakKartId],$A238,tblAkis[StokGunu]),0))</f>
        <v/>
      </c>
    </row>
    <row r="239">
      <c r="A239" s="27" t="n"/>
      <c r="B239" s="27" t="n"/>
      <c r="C239" s="27" t="n"/>
      <c r="D239" s="27" t="n"/>
      <c r="E239" s="28" t="n"/>
      <c r="F239" s="27" t="n"/>
      <c r="G239" s="27" t="n"/>
      <c r="H239" s="29">
        <f>IF($A239="","",SUMIF(tblAkis[KaynakKartId],$A239,tblAkis[StokAdet]))</f>
        <v/>
      </c>
      <c r="I239" s="29">
        <f>IF($A239="","",IFERROR(AVERAGEIF(tblAkis[KaynakKartId],$A239,tblAkis[StokGunu]),0))</f>
        <v/>
      </c>
    </row>
    <row r="240">
      <c r="A240" s="27" t="n"/>
      <c r="B240" s="27" t="n"/>
      <c r="C240" s="27" t="n"/>
      <c r="D240" s="27" t="n"/>
      <c r="E240" s="28" t="n"/>
      <c r="F240" s="27" t="n"/>
      <c r="G240" s="27" t="n"/>
      <c r="H240" s="29">
        <f>IF($A240="","",SUMIF(tblAkis[KaynakKartId],$A240,tblAkis[StokAdet]))</f>
        <v/>
      </c>
      <c r="I240" s="29">
        <f>IF($A240="","",IFERROR(AVERAGEIF(tblAkis[KaynakKartId],$A240,tblAkis[StokGunu]),0))</f>
        <v/>
      </c>
    </row>
    <row r="241">
      <c r="A241" s="27" t="n"/>
      <c r="B241" s="27" t="n"/>
      <c r="C241" s="27" t="n"/>
      <c r="D241" s="27" t="n"/>
      <c r="E241" s="28" t="n"/>
      <c r="F241" s="27" t="n"/>
      <c r="G241" s="27" t="n"/>
      <c r="H241" s="29">
        <f>IF($A241="","",SUMIF(tblAkis[KaynakKartId],$A241,tblAkis[StokAdet]))</f>
        <v/>
      </c>
      <c r="I241" s="29">
        <f>IF($A241="","",IFERROR(AVERAGEIF(tblAkis[KaynakKartId],$A241,tblAkis[StokGunu]),0))</f>
        <v/>
      </c>
    </row>
    <row r="242">
      <c r="A242" s="27" t="n"/>
      <c r="B242" s="27" t="n"/>
      <c r="C242" s="27" t="n"/>
      <c r="D242" s="27" t="n"/>
      <c r="E242" s="28" t="n"/>
      <c r="F242" s="27" t="n"/>
      <c r="G242" s="27" t="n"/>
      <c r="H242" s="29">
        <f>IF($A242="","",SUMIF(tblAkis[KaynakKartId],$A242,tblAkis[StokAdet]))</f>
        <v/>
      </c>
      <c r="I242" s="29">
        <f>IF($A242="","",IFERROR(AVERAGEIF(tblAkis[KaynakKartId],$A242,tblAkis[StokGunu]),0))</f>
        <v/>
      </c>
    </row>
    <row r="243">
      <c r="A243" s="27" t="n"/>
      <c r="B243" s="27" t="n"/>
      <c r="C243" s="27" t="n"/>
      <c r="D243" s="27" t="n"/>
      <c r="E243" s="28" t="n"/>
      <c r="F243" s="27" t="n"/>
      <c r="G243" s="27" t="n"/>
      <c r="H243" s="29">
        <f>IF($A243="","",SUMIF(tblAkis[KaynakKartId],$A243,tblAkis[StokAdet]))</f>
        <v/>
      </c>
      <c r="I243" s="29">
        <f>IF($A243="","",IFERROR(AVERAGEIF(tblAkis[KaynakKartId],$A243,tblAkis[StokGunu]),0))</f>
        <v/>
      </c>
    </row>
    <row r="244">
      <c r="A244" s="27" t="n"/>
      <c r="B244" s="27" t="n"/>
      <c r="C244" s="27" t="n"/>
      <c r="D244" s="27" t="n"/>
      <c r="E244" s="28" t="n"/>
      <c r="F244" s="27" t="n"/>
      <c r="G244" s="27" t="n"/>
      <c r="H244" s="29">
        <f>IF($A244="","",SUMIF(tblAkis[KaynakKartId],$A244,tblAkis[StokAdet]))</f>
        <v/>
      </c>
      <c r="I244" s="29">
        <f>IF($A244="","",IFERROR(AVERAGEIF(tblAkis[KaynakKartId],$A244,tblAkis[StokGunu]),0))</f>
        <v/>
      </c>
    </row>
    <row r="245">
      <c r="A245" s="27" t="n"/>
      <c r="B245" s="27" t="n"/>
      <c r="C245" s="27" t="n"/>
      <c r="D245" s="27" t="n"/>
      <c r="E245" s="28" t="n"/>
      <c r="F245" s="27" t="n"/>
      <c r="G245" s="27" t="n"/>
      <c r="H245" s="29">
        <f>IF($A245="","",SUMIF(tblAkis[KaynakKartId],$A245,tblAkis[StokAdet]))</f>
        <v/>
      </c>
      <c r="I245" s="29">
        <f>IF($A245="","",IFERROR(AVERAGEIF(tblAkis[KaynakKartId],$A245,tblAkis[StokGunu]),0))</f>
        <v/>
      </c>
    </row>
    <row r="246">
      <c r="A246" s="27" t="n"/>
      <c r="B246" s="27" t="n"/>
      <c r="C246" s="27" t="n"/>
      <c r="D246" s="27" t="n"/>
      <c r="E246" s="28" t="n"/>
      <c r="F246" s="27" t="n"/>
      <c r="G246" s="27" t="n"/>
      <c r="H246" s="29">
        <f>IF($A246="","",SUMIF(tblAkis[KaynakKartId],$A246,tblAkis[StokAdet]))</f>
        <v/>
      </c>
      <c r="I246" s="29">
        <f>IF($A246="","",IFERROR(AVERAGEIF(tblAkis[KaynakKartId],$A246,tblAkis[StokGunu]),0))</f>
        <v/>
      </c>
    </row>
    <row r="247">
      <c r="A247" s="27" t="n"/>
      <c r="B247" s="27" t="n"/>
      <c r="C247" s="27" t="n"/>
      <c r="D247" s="27" t="n"/>
      <c r="E247" s="28" t="n"/>
      <c r="F247" s="27" t="n"/>
      <c r="G247" s="27" t="n"/>
      <c r="H247" s="29">
        <f>IF($A247="","",SUMIF(tblAkis[KaynakKartId],$A247,tblAkis[StokAdet]))</f>
        <v/>
      </c>
      <c r="I247" s="29">
        <f>IF($A247="","",IFERROR(AVERAGEIF(tblAkis[KaynakKartId],$A247,tblAkis[StokGunu]),0))</f>
        <v/>
      </c>
    </row>
    <row r="248">
      <c r="A248" s="27" t="n"/>
      <c r="B248" s="27" t="n"/>
      <c r="C248" s="27" t="n"/>
      <c r="D248" s="27" t="n"/>
      <c r="E248" s="28" t="n"/>
      <c r="F248" s="27" t="n"/>
      <c r="G248" s="27" t="n"/>
      <c r="H248" s="29">
        <f>IF($A248="","",SUMIF(tblAkis[KaynakKartId],$A248,tblAkis[StokAdet]))</f>
        <v/>
      </c>
      <c r="I248" s="29">
        <f>IF($A248="","",IFERROR(AVERAGEIF(tblAkis[KaynakKartId],$A248,tblAkis[StokGunu]),0))</f>
        <v/>
      </c>
    </row>
    <row r="249">
      <c r="A249" s="27" t="n"/>
      <c r="B249" s="27" t="n"/>
      <c r="C249" s="27" t="n"/>
      <c r="D249" s="27" t="n"/>
      <c r="E249" s="28" t="n"/>
      <c r="F249" s="27" t="n"/>
      <c r="G249" s="27" t="n"/>
      <c r="H249" s="29">
        <f>IF($A249="","",SUMIF(tblAkis[KaynakKartId],$A249,tblAkis[StokAdet]))</f>
        <v/>
      </c>
      <c r="I249" s="29">
        <f>IF($A249="","",IFERROR(AVERAGEIF(tblAkis[KaynakKartId],$A249,tblAkis[StokGunu]),0))</f>
        <v/>
      </c>
    </row>
    <row r="250">
      <c r="A250" s="27" t="n"/>
      <c r="B250" s="27" t="n"/>
      <c r="C250" s="27" t="n"/>
      <c r="D250" s="27" t="n"/>
      <c r="E250" s="28" t="n"/>
      <c r="F250" s="27" t="n"/>
      <c r="G250" s="27" t="n"/>
      <c r="H250" s="29">
        <f>IF($A250="","",SUMIF(tblAkis[KaynakKartId],$A250,tblAkis[StokAdet]))</f>
        <v/>
      </c>
      <c r="I250" s="29">
        <f>IF($A250="","",IFERROR(AVERAGEIF(tblAkis[KaynakKartId],$A250,tblAkis[StokGunu]),0))</f>
        <v/>
      </c>
    </row>
    <row r="251">
      <c r="A251" s="27" t="n"/>
      <c r="B251" s="27" t="n"/>
      <c r="C251" s="27" t="n"/>
      <c r="D251" s="27" t="n"/>
      <c r="E251" s="28" t="n"/>
      <c r="F251" s="27" t="n"/>
      <c r="G251" s="27" t="n"/>
      <c r="H251" s="29">
        <f>IF($A251="","",SUMIF(tblAkis[KaynakKartId],$A251,tblAkis[StokAdet]))</f>
        <v/>
      </c>
      <c r="I251" s="29">
        <f>IF($A251="","",IFERROR(AVERAGEIF(tblAkis[KaynakKartId],$A251,tblAkis[StokGunu]),0))</f>
        <v/>
      </c>
    </row>
    <row r="252">
      <c r="A252" s="27" t="n"/>
      <c r="B252" s="27" t="n"/>
      <c r="C252" s="27" t="n"/>
      <c r="D252" s="27" t="n"/>
      <c r="E252" s="28" t="n"/>
      <c r="F252" s="27" t="n"/>
      <c r="G252" s="27" t="n"/>
      <c r="H252" s="29">
        <f>IF($A252="","",SUMIF(tblAkis[KaynakKartId],$A252,tblAkis[StokAdet]))</f>
        <v/>
      </c>
      <c r="I252" s="29">
        <f>IF($A252="","",IFERROR(AVERAGEIF(tblAkis[KaynakKartId],$A252,tblAkis[StokGunu]),0))</f>
        <v/>
      </c>
    </row>
    <row r="253">
      <c r="A253" s="27" t="n"/>
      <c r="B253" s="27" t="n"/>
      <c r="C253" s="27" t="n"/>
      <c r="D253" s="27" t="n"/>
      <c r="E253" s="28" t="n"/>
      <c r="F253" s="27" t="n"/>
      <c r="G253" s="27" t="n"/>
      <c r="H253" s="29">
        <f>IF($A253="","",SUMIF(tblAkis[KaynakKartId],$A253,tblAkis[StokAdet]))</f>
        <v/>
      </c>
      <c r="I253" s="29">
        <f>IF($A253="","",IFERROR(AVERAGEIF(tblAkis[KaynakKartId],$A253,tblAkis[StokGunu]),0))</f>
        <v/>
      </c>
    </row>
    <row r="254">
      <c r="A254" s="27" t="n"/>
      <c r="B254" s="27" t="n"/>
      <c r="C254" s="27" t="n"/>
      <c r="D254" s="27" t="n"/>
      <c r="E254" s="28" t="n"/>
      <c r="F254" s="27" t="n"/>
      <c r="G254" s="27" t="n"/>
      <c r="H254" s="29">
        <f>IF($A254="","",SUMIF(tblAkis[KaynakKartId],$A254,tblAkis[StokAdet]))</f>
        <v/>
      </c>
      <c r="I254" s="29">
        <f>IF($A254="","",IFERROR(AVERAGEIF(tblAkis[KaynakKartId],$A254,tblAkis[StokGunu]),0))</f>
        <v/>
      </c>
    </row>
    <row r="255">
      <c r="A255" s="27" t="n"/>
      <c r="B255" s="27" t="n"/>
      <c r="C255" s="27" t="n"/>
      <c r="D255" s="27" t="n"/>
      <c r="E255" s="28" t="n"/>
      <c r="F255" s="27" t="n"/>
      <c r="G255" s="27" t="n"/>
      <c r="H255" s="29">
        <f>IF($A255="","",SUMIF(tblAkis[KaynakKartId],$A255,tblAkis[StokAdet]))</f>
        <v/>
      </c>
      <c r="I255" s="29">
        <f>IF($A255="","",IFERROR(AVERAGEIF(tblAkis[KaynakKartId],$A255,tblAkis[StokGunu]),0))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6:G255">
    <cfRule type="cellIs" priority="1" operator="equal" dxfId="1">
      <formula>"HAYIR"</formula>
    </cfRule>
  </conditionalFormatting>
  <conditionalFormatting sqref="E6:E255">
    <cfRule type="cellIs" priority="2" operator="greaterThan" dxfId="3">
      <formula>100</formula>
    </cfRule>
  </conditionalFormatting>
  <dataValidations count="7">
    <dataValidation sqref="A6:A255" showDropDown="0" showInputMessage="1" showErrorMessage="1" allowBlank="1" errorTitle="Kimlik" error="En az 1 karakter" promptTitle="Kart Kimliği" prompt="SKU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Sınıf" error="Geçersiz" promptTitle="Sınıf" prompt="Sınıf girin" type="textLength" errorStyle="stop" operator="greaterThanOrEqual">
      <formula1>0</formula1>
      <formula2>80</formula2>
    </dataValidation>
    <dataValidation sqref="D6:D255" showDropDown="0" showInputMessage="1" showErrorMessage="1" allowBlank="1" errorTitle="Depo" error="Geçersiz" promptTitle="Depo" prompt="Depo girin" type="textLength" errorStyle="stop" operator="greaterThanOrEqual">
      <formula1>0</formula1>
      <formula2>80</formula2>
    </dataValidation>
    <dataValidation sqref="F6:F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E6:E255" showDropDown="0" showInputMessage="1" showErrorMessage="1" allowBlank="1" errorTitle="Min Stok" error="0 veya üzeri" promptTitle="Min Stok" prompt="Min stok ≥ 0" type="whole" errorStyle="stop" operator="greaterThanOrEqual">
      <formula1>0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AC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7.5" customWidth="1" min="3" max="3"/>
    <col width="23.5" customWidth="1" min="4" max="4"/>
    <col width="23.5" customWidth="1" min="5" max="5"/>
    <col width="15.5" customWidth="1" min="6" max="6"/>
    <col width="12" customWidth="1" min="7" max="7"/>
    <col width="12.5" customWidth="1" min="8" max="8"/>
    <col width="16.5" customWidth="1" min="9" max="9"/>
    <col width="16.5" customWidth="1" min="10" max="10"/>
    <col width="19.5" customWidth="1" min="11" max="11"/>
    <col width="12.5" customWidth="1" min="12" max="12"/>
    <col width="12.5" customWidth="1" min="13" max="13"/>
    <col width="12" customWidth="1" min="14" max="14"/>
    <col width="16.5" customWidth="1" min="15" max="15"/>
    <col width="19.5" customWidth="1" min="16" max="16"/>
    <col width="13.5" customWidth="1" min="17" max="17"/>
    <col width="12" customWidth="1" min="18" max="18"/>
    <col width="12" customWidth="1" min="19" max="19"/>
    <col width="15.5" customWidth="1" min="20" max="20"/>
    <col width="16.5" customWidth="1" min="21" max="21"/>
    <col width="16.5" customWidth="1" min="22" max="22"/>
    <col width="13.5" customWidth="1" min="23" max="23"/>
    <col width="13.5" customWidth="1" min="24" max="24"/>
  </cols>
  <sheetData>
    <row r="1" ht="32" customHeight="1">
      <c r="A1" s="179" t="inlineStr">
        <is>
          <t>AKIS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</row>
    <row r="2"/>
    <row r="3" ht="22" customHeight="1">
      <c r="A3" s="199" t="inlineStr">
        <is>
          <t>Stok sayım/ABC satırları — durum makinesi + yetim + geçersiz geçiş + zincir</t>
        </is>
      </c>
    </row>
    <row r="4"/>
    <row r="5" ht="30" customHeight="1">
      <c r="A5" s="26" t="inlineStr">
        <is>
          <t>IslemId</t>
        </is>
      </c>
      <c r="B5" s="26" t="inlineStr">
        <is>
          <t>KaynakKartId</t>
        </is>
      </c>
      <c r="C5" s="26" t="inlineStr">
        <is>
          <t>SkuKod</t>
        </is>
      </c>
      <c r="D5" s="26" t="inlineStr">
        <is>
          <t>SayimTarihi</t>
        </is>
      </c>
      <c r="E5" s="26" t="inlineStr">
        <is>
          <t>SonHareket</t>
        </is>
      </c>
      <c r="F5" s="26" t="inlineStr">
        <is>
          <t>OncekiDurum</t>
        </is>
      </c>
      <c r="G5" s="26" t="inlineStr">
        <is>
          <t>Durum</t>
        </is>
      </c>
      <c r="H5" s="26" t="inlineStr">
        <is>
          <t>StokAdet</t>
        </is>
      </c>
      <c r="I5" s="26" t="inlineStr">
        <is>
          <t>BirimMaliyet</t>
        </is>
      </c>
      <c r="J5" s="26" t="inlineStr">
        <is>
          <t>KontrolNakit</t>
        </is>
      </c>
      <c r="K5" s="26" t="inlineStr">
        <is>
          <t>OnerilenSiparis</t>
        </is>
      </c>
      <c r="L5" s="26" t="inlineStr">
        <is>
          <t>StokGunu</t>
        </is>
      </c>
      <c r="M5" s="26" t="inlineStr">
        <is>
          <t>AbcSinif</t>
        </is>
      </c>
      <c r="N5" s="26" t="inlineStr">
        <is>
          <t>YorumA</t>
        </is>
      </c>
      <c r="O5" s="26" t="inlineStr">
        <is>
          <t>YorumB</t>
        </is>
      </c>
      <c r="P5" s="26" t="inlineStr">
        <is>
          <t>HesaplananNakit</t>
        </is>
      </c>
      <c r="Q5" s="26" t="inlineStr">
        <is>
          <t>OluBayrak</t>
        </is>
      </c>
      <c r="R5" s="26" t="inlineStr">
        <is>
          <t>YasGun</t>
        </is>
      </c>
      <c r="S5" s="26" t="inlineStr">
        <is>
          <t>YasKova</t>
        </is>
      </c>
      <c r="T5" s="26" t="inlineStr">
        <is>
          <t>YetimBayrak</t>
        </is>
      </c>
      <c r="U5" s="26" t="inlineStr">
        <is>
          <t>GecisUyarisi</t>
        </is>
      </c>
      <c r="V5" s="26" t="inlineStr">
        <is>
          <t>ZincirBayrak</t>
        </is>
      </c>
      <c r="W5" s="26" t="inlineStr">
        <is>
          <t>KayitDolu</t>
        </is>
      </c>
      <c r="X5" s="26" t="inlineStr">
        <is>
          <t>SiparisTl</t>
        </is>
      </c>
    </row>
    <row r="6">
      <c r="A6" s="27" t="inlineStr">
        <is>
          <t>SOA-00001</t>
        </is>
      </c>
      <c r="B6" s="27" t="inlineStr">
        <is>
          <t>SKU-00001</t>
        </is>
      </c>
      <c r="C6" s="27" t="inlineStr">
        <is>
          <t>STK-2026-0001</t>
        </is>
      </c>
      <c r="D6" s="30" t="n">
        <v>46243</v>
      </c>
      <c r="E6" s="30" t="n">
        <v>46228</v>
      </c>
      <c r="F6" s="27" t="n"/>
      <c r="G6" s="27" t="inlineStr">
        <is>
          <t>SAYIM</t>
        </is>
      </c>
      <c r="H6" s="28" t="n">
        <v>240</v>
      </c>
      <c r="I6" s="31" t="n">
        <v>26</v>
      </c>
      <c r="J6" s="31" t="n">
        <v>6240</v>
      </c>
      <c r="K6" s="28" t="n">
        <v>79</v>
      </c>
      <c r="L6" s="32" t="n">
        <v>17</v>
      </c>
      <c r="M6" s="27" t="inlineStr">
        <is>
          <t>A</t>
        </is>
      </c>
      <c r="N6" s="27" t="inlineStr">
        <is>
          <t>A</t>
        </is>
      </c>
      <c r="O6" s="27" t="inlineStr">
        <is>
          <t>Stok notu 1</t>
        </is>
      </c>
      <c r="P6" s="29">
        <f>IF($A6="","",$H6*$I6)</f>
        <v/>
      </c>
      <c r="Q6" s="29">
        <f>IF(OR($A6="",$G6="KAPALI"),"",IF($L6&gt;soa_esikOluGun,"ÖLÜ",""))</f>
        <v/>
      </c>
      <c r="R6" s="29">
        <f>IF($A6="","",IF($E6="","",raporTarihi-$E6))</f>
        <v/>
      </c>
      <c r="S6" s="29">
        <f>IF($A6="","",IF($R6="","",IF($R6&lt;=soa_kovaEsik1,"0-7",IF($R6&lt;=soa_kovaEsik2,"8-30",IF($R6&lt;=soa_kovaEsik3,"31-90","90+")))))</f>
        <v/>
      </c>
      <c r="T6" s="29">
        <f>IF($A6="","",IF($B6="","YETİM",IF(COUNTIF(tblKartlar[KartId],$B6)=0,"YETİM","")))</f>
        <v/>
      </c>
      <c r="U6" s="29">
        <f>IF(OR($A6="",$F6=""),"",IF(OR($F6&amp;"|"&amp;$G6="",COUNTIF(ListeIzinliGecis,$F6&amp;"|"&amp;$G6)&gt;0),"","GEÇERSİZ GEÇİŞ"))</f>
        <v/>
      </c>
      <c r="V6" s="29">
        <f>IF($A6="","",IF(OR($P6="",$J6=""),"",IF(ABS($J6-$P6)&gt;zincirTolerans,"ZİNCİR KIRIK","OK")))</f>
        <v/>
      </c>
      <c r="W6" s="29">
        <f>IF($A6="","",1)</f>
        <v/>
      </c>
      <c r="X6" s="29">
        <f>IF($A6="","",$K6*$I6)</f>
        <v/>
      </c>
    </row>
    <row r="7">
      <c r="A7" s="27" t="inlineStr">
        <is>
          <t>SOA-00002</t>
        </is>
      </c>
      <c r="B7" s="27" t="inlineStr">
        <is>
          <t>SKU-00002</t>
        </is>
      </c>
      <c r="C7" s="27" t="inlineStr">
        <is>
          <t>STK-2026-0002</t>
        </is>
      </c>
      <c r="D7" s="30" t="n">
        <v>46241</v>
      </c>
      <c r="E7" s="30" t="n">
        <v>46221</v>
      </c>
      <c r="F7" s="27" t="inlineStr">
        <is>
          <t>SAYIM</t>
        </is>
      </c>
      <c r="G7" s="27" t="inlineStr">
        <is>
          <t>ABC</t>
        </is>
      </c>
      <c r="H7" s="28" t="n">
        <v>280</v>
      </c>
      <c r="I7" s="31" t="n">
        <v>27</v>
      </c>
      <c r="J7" s="31" t="n">
        <v>7560</v>
      </c>
      <c r="K7" s="28" t="n">
        <v>78</v>
      </c>
      <c r="L7" s="32" t="n">
        <v>24</v>
      </c>
      <c r="M7" s="27" t="inlineStr">
        <is>
          <t>B</t>
        </is>
      </c>
      <c r="N7" s="27" t="inlineStr">
        <is>
          <t>B</t>
        </is>
      </c>
      <c r="O7" s="27" t="inlineStr">
        <is>
          <t>Stok notu 2</t>
        </is>
      </c>
      <c r="P7" s="29">
        <f>IF($A7="","",$H7*$I7)</f>
        <v/>
      </c>
      <c r="Q7" s="29">
        <f>IF(OR($A7="",$G7="KAPALI"),"",IF($L7&gt;soa_esikOluGun,"ÖLÜ",""))</f>
        <v/>
      </c>
      <c r="R7" s="29">
        <f>IF($A7="","",IF($E7="","",raporTarihi-$E7))</f>
        <v/>
      </c>
      <c r="S7" s="29">
        <f>IF($A7="","",IF($R7="","",IF($R7&lt;=soa_kovaEsik1,"0-7",IF($R7&lt;=soa_kovaEsik2,"8-30",IF($R7&lt;=soa_kovaEsik3,"31-90","90+")))))</f>
        <v/>
      </c>
      <c r="T7" s="29">
        <f>IF($A7="","",IF($B7="","YETİM",IF(COUNTIF(tblKartlar[KartId],$B7)=0,"YETİM","")))</f>
        <v/>
      </c>
      <c r="U7" s="29">
        <f>IF(OR($A7="",$F7=""),"",IF(OR($F7&amp;"|"&amp;$G7="",COUNTIF(ListeIzinliGecis,$F7&amp;"|"&amp;$G7)&gt;0),"","GEÇERSİZ GEÇİŞ"))</f>
        <v/>
      </c>
      <c r="V7" s="29">
        <f>IF($A7="","",IF(OR($P7="",$J7=""),"",IF(ABS($J7-$P7)&gt;zincirTolerans,"ZİNCİR KIRIK","OK")))</f>
        <v/>
      </c>
      <c r="W7" s="29">
        <f>IF($A7="","",1)</f>
        <v/>
      </c>
      <c r="X7" s="29">
        <f>IF($A7="","",$K7*$I7)</f>
        <v/>
      </c>
    </row>
    <row r="8">
      <c r="A8" s="27" t="inlineStr">
        <is>
          <t>SOA-00003</t>
        </is>
      </c>
      <c r="B8" s="27" t="inlineStr">
        <is>
          <t>SKU-00003</t>
        </is>
      </c>
      <c r="C8" s="27" t="inlineStr">
        <is>
          <t>STK-2026-0003</t>
        </is>
      </c>
      <c r="D8" s="30" t="n">
        <v>46239</v>
      </c>
      <c r="E8" s="30" t="n">
        <v>46214</v>
      </c>
      <c r="F8" s="27" t="inlineStr">
        <is>
          <t>ABC</t>
        </is>
      </c>
      <c r="G8" s="27" t="inlineStr">
        <is>
          <t>AKSIYON</t>
        </is>
      </c>
      <c r="H8" s="28" t="n">
        <v>320</v>
      </c>
      <c r="I8" s="31" t="n">
        <v>28</v>
      </c>
      <c r="J8" s="31" t="n">
        <v>8960</v>
      </c>
      <c r="K8" s="28" t="n">
        <v>77</v>
      </c>
      <c r="L8" s="32" t="n">
        <v>31</v>
      </c>
      <c r="M8" s="27" t="inlineStr">
        <is>
          <t>C</t>
        </is>
      </c>
      <c r="N8" s="27" t="inlineStr">
        <is>
          <t>A</t>
        </is>
      </c>
      <c r="O8" s="27" t="inlineStr">
        <is>
          <t>Stok notu 3</t>
        </is>
      </c>
      <c r="P8" s="29">
        <f>IF($A8="","",$H8*$I8)</f>
        <v/>
      </c>
      <c r="Q8" s="29">
        <f>IF(OR($A8="",$G8="KAPALI"),"",IF($L8&gt;soa_esikOluGun,"ÖLÜ",""))</f>
        <v/>
      </c>
      <c r="R8" s="29">
        <f>IF($A8="","",IF($E8="","",raporTarihi-$E8))</f>
        <v/>
      </c>
      <c r="S8" s="29">
        <f>IF($A8="","",IF($R8="","",IF($R8&lt;=soa_kovaEsik1,"0-7",IF($R8&lt;=soa_kovaEsik2,"8-30",IF($R8&lt;=soa_kovaEsik3,"31-90","90+")))))</f>
        <v/>
      </c>
      <c r="T8" s="29">
        <f>IF($A8="","",IF($B8="","YETİM",IF(COUNTIF(tblKartlar[KartId],$B8)=0,"YETİM","")))</f>
        <v/>
      </c>
      <c r="U8" s="29">
        <f>IF(OR($A8="",$F8=""),"",IF(OR($F8&amp;"|"&amp;$G8="",COUNTIF(ListeIzinliGecis,$F8&amp;"|"&amp;$G8)&gt;0),"","GEÇERSİZ GEÇİŞ"))</f>
        <v/>
      </c>
      <c r="V8" s="29">
        <f>IF($A8="","",IF(OR($P8="",$J8=""),"",IF(ABS($J8-$P8)&gt;zincirTolerans,"ZİNCİR KIRIK","OK")))</f>
        <v/>
      </c>
      <c r="W8" s="29">
        <f>IF($A8="","",1)</f>
        <v/>
      </c>
      <c r="X8" s="29">
        <f>IF($A8="","",$K8*$I8)</f>
        <v/>
      </c>
    </row>
    <row r="9">
      <c r="A9" s="27" t="inlineStr">
        <is>
          <t>SOA-00004</t>
        </is>
      </c>
      <c r="B9" s="27" t="inlineStr">
        <is>
          <t>SKU-00004</t>
        </is>
      </c>
      <c r="C9" s="27" t="inlineStr">
        <is>
          <t>STK-2026-0004</t>
        </is>
      </c>
      <c r="D9" s="30" t="n">
        <v>46237</v>
      </c>
      <c r="E9" s="30" t="n">
        <v>46207</v>
      </c>
      <c r="F9" s="27" t="inlineStr">
        <is>
          <t>AKSIYON</t>
        </is>
      </c>
      <c r="G9" s="27" t="inlineStr">
        <is>
          <t>KAPALI</t>
        </is>
      </c>
      <c r="H9" s="28" t="n">
        <v>360</v>
      </c>
      <c r="I9" s="31" t="n">
        <v>29</v>
      </c>
      <c r="J9" s="31" t="n">
        <v>10440</v>
      </c>
      <c r="K9" s="28" t="n">
        <v>0</v>
      </c>
      <c r="L9" s="32" t="n">
        <v>38</v>
      </c>
      <c r="M9" s="27" t="inlineStr">
        <is>
          <t>A</t>
        </is>
      </c>
      <c r="N9" s="27" t="inlineStr">
        <is>
          <t>B</t>
        </is>
      </c>
      <c r="O9" s="27" t="inlineStr">
        <is>
          <t>Stok notu 4</t>
        </is>
      </c>
      <c r="P9" s="29">
        <f>IF($A9="","",$H9*$I9)</f>
        <v/>
      </c>
      <c r="Q9" s="29">
        <f>IF(OR($A9="",$G9="KAPALI"),"",IF($L9&gt;soa_esikOluGun,"ÖLÜ",""))</f>
        <v/>
      </c>
      <c r="R9" s="29">
        <f>IF($A9="","",IF($E9="","",raporTarihi-$E9))</f>
        <v/>
      </c>
      <c r="S9" s="29">
        <f>IF($A9="","",IF($R9="","",IF($R9&lt;=soa_kovaEsik1,"0-7",IF($R9&lt;=soa_kovaEsik2,"8-30",IF($R9&lt;=soa_kovaEsik3,"31-90","90+")))))</f>
        <v/>
      </c>
      <c r="T9" s="29">
        <f>IF($A9="","",IF($B9="","YETİM",IF(COUNTIF(tblKartlar[KartId],$B9)=0,"YETİM","")))</f>
        <v/>
      </c>
      <c r="U9" s="29">
        <f>IF(OR($A9="",$F9=""),"",IF(OR($F9&amp;"|"&amp;$G9="",COUNTIF(ListeIzinliGecis,$F9&amp;"|"&amp;$G9)&gt;0),"","GEÇERSİZ GEÇİŞ"))</f>
        <v/>
      </c>
      <c r="V9" s="29">
        <f>IF($A9="","",IF(OR($P9="",$J9=""),"",IF(ABS($J9-$P9)&gt;zincirTolerans,"ZİNCİR KIRIK","OK")))</f>
        <v/>
      </c>
      <c r="W9" s="29">
        <f>IF($A9="","",1)</f>
        <v/>
      </c>
      <c r="X9" s="29">
        <f>IF($A9="","",$K9*$I9)</f>
        <v/>
      </c>
    </row>
    <row r="10">
      <c r="A10" s="27" t="inlineStr">
        <is>
          <t>SOA-00005</t>
        </is>
      </c>
      <c r="B10" s="27" t="inlineStr">
        <is>
          <t>SKU-00005</t>
        </is>
      </c>
      <c r="C10" s="27" t="inlineStr">
        <is>
          <t>STK-2026-0005</t>
        </is>
      </c>
      <c r="D10" s="30" t="n">
        <v>46235</v>
      </c>
      <c r="E10" s="30" t="n">
        <v>46200</v>
      </c>
      <c r="F10" s="27" t="inlineStr">
        <is>
          <t>SAYIM</t>
        </is>
      </c>
      <c r="G10" s="27" t="inlineStr">
        <is>
          <t>ABC</t>
        </is>
      </c>
      <c r="H10" s="28" t="n">
        <v>400</v>
      </c>
      <c r="I10" s="31" t="n">
        <v>30</v>
      </c>
      <c r="J10" s="31" t="n">
        <v>12000</v>
      </c>
      <c r="K10" s="28" t="n">
        <v>75</v>
      </c>
      <c r="L10" s="32" t="n">
        <v>45</v>
      </c>
      <c r="M10" s="27" t="inlineStr">
        <is>
          <t>B</t>
        </is>
      </c>
      <c r="N10" s="27" t="inlineStr">
        <is>
          <t>A</t>
        </is>
      </c>
      <c r="O10" s="27" t="inlineStr">
        <is>
          <t>Stok notu 5</t>
        </is>
      </c>
      <c r="P10" s="29">
        <f>IF($A10="","",$H10*$I10)</f>
        <v/>
      </c>
      <c r="Q10" s="29">
        <f>IF(OR($A10="",$G10="KAPALI"),"",IF($L10&gt;soa_esikOluGun,"ÖLÜ",""))</f>
        <v/>
      </c>
      <c r="R10" s="29">
        <f>IF($A10="","",IF($E10="","",raporTarihi-$E10))</f>
        <v/>
      </c>
      <c r="S10" s="29">
        <f>IF($A10="","",IF($R10="","",IF($R10&lt;=soa_kovaEsik1,"0-7",IF($R10&lt;=soa_kovaEsik2,"8-30",IF($R10&lt;=soa_kovaEsik3,"31-90","90+")))))</f>
        <v/>
      </c>
      <c r="T10" s="29">
        <f>IF($A10="","",IF($B10="","YETİM",IF(COUNTIF(tblKartlar[KartId],$B10)=0,"YETİM","")))</f>
        <v/>
      </c>
      <c r="U10" s="29">
        <f>IF(OR($A10="",$F10=""),"",IF(OR($F10&amp;"|"&amp;$G10="",COUNTIF(ListeIzinliGecis,$F10&amp;"|"&amp;$G10)&gt;0),"","GEÇERSİZ GEÇİŞ"))</f>
        <v/>
      </c>
      <c r="V10" s="29">
        <f>IF($A10="","",IF(OR($P10="",$J10=""),"",IF(ABS($J10-$P10)&gt;zincirTolerans,"ZİNCİR KIRIK","OK")))</f>
        <v/>
      </c>
      <c r="W10" s="29">
        <f>IF($A10="","",1)</f>
        <v/>
      </c>
      <c r="X10" s="29">
        <f>IF($A10="","",$K10*$I10)</f>
        <v/>
      </c>
    </row>
    <row r="11">
      <c r="A11" s="27" t="inlineStr">
        <is>
          <t>SOA-00006</t>
        </is>
      </c>
      <c r="B11" s="27" t="inlineStr">
        <is>
          <t>SKU-00006</t>
        </is>
      </c>
      <c r="C11" s="27" t="inlineStr">
        <is>
          <t>STK-2026-0006</t>
        </is>
      </c>
      <c r="D11" s="30" t="n">
        <v>46233</v>
      </c>
      <c r="E11" s="30" t="n">
        <v>46193</v>
      </c>
      <c r="F11" s="27" t="inlineStr">
        <is>
          <t>ABC</t>
        </is>
      </c>
      <c r="G11" s="27" t="inlineStr">
        <is>
          <t>AKSIYON</t>
        </is>
      </c>
      <c r="H11" s="28" t="n">
        <v>440</v>
      </c>
      <c r="I11" s="31" t="n">
        <v>31</v>
      </c>
      <c r="J11" s="31" t="n">
        <v>13640</v>
      </c>
      <c r="K11" s="28" t="n">
        <v>74</v>
      </c>
      <c r="L11" s="32" t="n">
        <v>52</v>
      </c>
      <c r="M11" s="27" t="inlineStr">
        <is>
          <t>C</t>
        </is>
      </c>
      <c r="N11" s="27" t="inlineStr">
        <is>
          <t>B</t>
        </is>
      </c>
      <c r="O11" s="27" t="inlineStr">
        <is>
          <t>Stok notu 6</t>
        </is>
      </c>
      <c r="P11" s="29">
        <f>IF($A11="","",$H11*$I11)</f>
        <v/>
      </c>
      <c r="Q11" s="29">
        <f>IF(OR($A11="",$G11="KAPALI"),"",IF($L11&gt;soa_esikOluGun,"ÖLÜ",""))</f>
        <v/>
      </c>
      <c r="R11" s="29">
        <f>IF($A11="","",IF($E11="","",raporTarihi-$E11))</f>
        <v/>
      </c>
      <c r="S11" s="29">
        <f>IF($A11="","",IF($R11="","",IF($R11&lt;=soa_kovaEsik1,"0-7",IF($R11&lt;=soa_kovaEsik2,"8-30",IF($R11&lt;=soa_kovaEsik3,"31-90","90+")))))</f>
        <v/>
      </c>
      <c r="T11" s="29">
        <f>IF($A11="","",IF($B11="","YETİM",IF(COUNTIF(tblKartlar[KartId],$B11)=0,"YETİM","")))</f>
        <v/>
      </c>
      <c r="U11" s="29">
        <f>IF(OR($A11="",$F11=""),"",IF(OR($F11&amp;"|"&amp;$G11="",COUNTIF(ListeIzinliGecis,$F11&amp;"|"&amp;$G11)&gt;0),"","GEÇERSİZ GEÇİŞ"))</f>
        <v/>
      </c>
      <c r="V11" s="29">
        <f>IF($A11="","",IF(OR($P11="",$J11=""),"",IF(ABS($J11-$P11)&gt;zincirTolerans,"ZİNCİR KIRIK","OK")))</f>
        <v/>
      </c>
      <c r="W11" s="29">
        <f>IF($A11="","",1)</f>
        <v/>
      </c>
      <c r="X11" s="29">
        <f>IF($A11="","",$K11*$I11)</f>
        <v/>
      </c>
    </row>
    <row r="12">
      <c r="A12" s="27" t="inlineStr">
        <is>
          <t>SOA-00007</t>
        </is>
      </c>
      <c r="B12" s="27" t="inlineStr">
        <is>
          <t>SKU-00007</t>
        </is>
      </c>
      <c r="C12" s="27" t="inlineStr">
        <is>
          <t>STK-2026-0007</t>
        </is>
      </c>
      <c r="D12" s="30" t="n">
        <v>46231</v>
      </c>
      <c r="E12" s="30" t="n">
        <v>46186</v>
      </c>
      <c r="F12" s="27" t="inlineStr">
        <is>
          <t>SAYIM</t>
        </is>
      </c>
      <c r="G12" s="27" t="inlineStr">
        <is>
          <t>SAYIM</t>
        </is>
      </c>
      <c r="H12" s="28" t="n">
        <v>480</v>
      </c>
      <c r="I12" s="31" t="n">
        <v>32</v>
      </c>
      <c r="J12" s="31" t="n">
        <v>15360</v>
      </c>
      <c r="K12" s="28" t="n">
        <v>73</v>
      </c>
      <c r="L12" s="32" t="n">
        <v>59</v>
      </c>
      <c r="M12" s="27" t="inlineStr">
        <is>
          <t>A</t>
        </is>
      </c>
      <c r="N12" s="27" t="inlineStr">
        <is>
          <t>A</t>
        </is>
      </c>
      <c r="O12" s="27" t="inlineStr">
        <is>
          <t>Stok notu 7</t>
        </is>
      </c>
      <c r="P12" s="29">
        <f>IF($A12="","",$H12*$I12)</f>
        <v/>
      </c>
      <c r="Q12" s="29">
        <f>IF(OR($A12="",$G12="KAPALI"),"",IF($L12&gt;soa_esikOluGun,"ÖLÜ",""))</f>
        <v/>
      </c>
      <c r="R12" s="29">
        <f>IF($A12="","",IF($E12="","",raporTarihi-$E12))</f>
        <v/>
      </c>
      <c r="S12" s="29">
        <f>IF($A12="","",IF($R12="","",IF($R12&lt;=soa_kovaEsik1,"0-7",IF($R12&lt;=soa_kovaEsik2,"8-30",IF($R12&lt;=soa_kovaEsik3,"31-90","90+")))))</f>
        <v/>
      </c>
      <c r="T12" s="29">
        <f>IF($A12="","",IF($B12="","YETİM",IF(COUNTIF(tblKartlar[KartId],$B12)=0,"YETİM","")))</f>
        <v/>
      </c>
      <c r="U12" s="29">
        <f>IF(OR($A12="",$F12=""),"",IF(OR($F12&amp;"|"&amp;$G12="",COUNTIF(ListeIzinliGecis,$F12&amp;"|"&amp;$G12)&gt;0),"","GEÇERSİZ GEÇİŞ"))</f>
        <v/>
      </c>
      <c r="V12" s="29">
        <f>IF($A12="","",IF(OR($P12="",$J12=""),"",IF(ABS($J12-$P12)&gt;zincirTolerans,"ZİNCİR KIRIK","OK")))</f>
        <v/>
      </c>
      <c r="W12" s="29">
        <f>IF($A12="","",1)</f>
        <v/>
      </c>
      <c r="X12" s="29">
        <f>IF($A12="","",$K12*$I12)</f>
        <v/>
      </c>
    </row>
    <row r="13">
      <c r="A13" s="27" t="inlineStr">
        <is>
          <t>SOA-00008</t>
        </is>
      </c>
      <c r="B13" s="27" t="inlineStr">
        <is>
          <t>SKU-00008</t>
        </is>
      </c>
      <c r="C13" s="27" t="inlineStr">
        <is>
          <t>STK-2026-0008</t>
        </is>
      </c>
      <c r="D13" s="30" t="n">
        <v>46229</v>
      </c>
      <c r="E13" s="30" t="n">
        <v>46127</v>
      </c>
      <c r="F13" s="27" t="inlineStr">
        <is>
          <t>SAYIM</t>
        </is>
      </c>
      <c r="G13" s="27" t="inlineStr">
        <is>
          <t>ABC</t>
        </is>
      </c>
      <c r="H13" s="28" t="n">
        <v>520</v>
      </c>
      <c r="I13" s="31" t="n">
        <v>33</v>
      </c>
      <c r="J13" s="31" t="n">
        <v>17160</v>
      </c>
      <c r="K13" s="28" t="n">
        <v>0</v>
      </c>
      <c r="L13" s="32" t="n">
        <v>118</v>
      </c>
      <c r="M13" s="27" t="inlineStr">
        <is>
          <t>B</t>
        </is>
      </c>
      <c r="N13" s="27" t="inlineStr">
        <is>
          <t>B</t>
        </is>
      </c>
      <c r="O13" s="27" t="inlineStr">
        <is>
          <t>Stok notu 8</t>
        </is>
      </c>
      <c r="P13" s="29">
        <f>IF($A13="","",$H13*$I13)</f>
        <v/>
      </c>
      <c r="Q13" s="29">
        <f>IF(OR($A13="",$G13="KAPALI"),"",IF($L13&gt;soa_esikOluGun,"ÖLÜ",""))</f>
        <v/>
      </c>
      <c r="R13" s="29">
        <f>IF($A13="","",IF($E13="","",raporTarihi-$E13))</f>
        <v/>
      </c>
      <c r="S13" s="29">
        <f>IF($A13="","",IF($R13="","",IF($R13&lt;=soa_kovaEsik1,"0-7",IF($R13&lt;=soa_kovaEsik2,"8-30",IF($R13&lt;=soa_kovaEsik3,"31-90","90+")))))</f>
        <v/>
      </c>
      <c r="T13" s="29">
        <f>IF($A13="","",IF($B13="","YETİM",IF(COUNTIF(tblKartlar[KartId],$B13)=0,"YETİM","")))</f>
        <v/>
      </c>
      <c r="U13" s="29">
        <f>IF(OR($A13="",$F13=""),"",IF(OR($F13&amp;"|"&amp;$G13="",COUNTIF(ListeIzinliGecis,$F13&amp;"|"&amp;$G13)&gt;0),"","GEÇERSİZ GEÇİŞ"))</f>
        <v/>
      </c>
      <c r="V13" s="29">
        <f>IF($A13="","",IF(OR($P13="",$J13=""),"",IF(ABS($J13-$P13)&gt;zincirTolerans,"ZİNCİR KIRIK","OK")))</f>
        <v/>
      </c>
      <c r="W13" s="29">
        <f>IF($A13="","",1)</f>
        <v/>
      </c>
      <c r="X13" s="29">
        <f>IF($A13="","",$K13*$I13)</f>
        <v/>
      </c>
    </row>
    <row r="14">
      <c r="A14" s="27" t="inlineStr">
        <is>
          <t>SOA-00009</t>
        </is>
      </c>
      <c r="B14" s="27" t="inlineStr">
        <is>
          <t>SKU-00001</t>
        </is>
      </c>
      <c r="C14" s="27" t="inlineStr">
        <is>
          <t>STK-2026-0009</t>
        </is>
      </c>
      <c r="D14" s="30" t="n">
        <v>46227</v>
      </c>
      <c r="E14" s="30" t="n">
        <v>46172</v>
      </c>
      <c r="F14" s="27" t="n"/>
      <c r="G14" s="27" t="inlineStr">
        <is>
          <t>SAYIM</t>
        </is>
      </c>
      <c r="H14" s="28" t="n">
        <v>560</v>
      </c>
      <c r="I14" s="31" t="n">
        <v>34</v>
      </c>
      <c r="J14" s="31" t="n">
        <v>19040</v>
      </c>
      <c r="K14" s="28" t="n">
        <v>71</v>
      </c>
      <c r="L14" s="32" t="n">
        <v>73</v>
      </c>
      <c r="M14" s="27" t="inlineStr">
        <is>
          <t>A</t>
        </is>
      </c>
      <c r="N14" s="27" t="inlineStr">
        <is>
          <t>A</t>
        </is>
      </c>
      <c r="O14" s="27" t="inlineStr">
        <is>
          <t>Stok notu 9</t>
        </is>
      </c>
      <c r="P14" s="29">
        <f>IF($A14="","",$H14*$I14)</f>
        <v/>
      </c>
      <c r="Q14" s="29">
        <f>IF(OR($A14="",$G14="KAPALI"),"",IF($L14&gt;soa_esikOluGun,"ÖLÜ",""))</f>
        <v/>
      </c>
      <c r="R14" s="29">
        <f>IF($A14="","",IF($E14="","",raporTarihi-$E14))</f>
        <v/>
      </c>
      <c r="S14" s="29">
        <f>IF($A14="","",IF($R14="","",IF($R14&lt;=soa_kovaEsik1,"0-7",IF($R14&lt;=soa_kovaEsik2,"8-30",IF($R14&lt;=soa_kovaEsik3,"31-90","90+")))))</f>
        <v/>
      </c>
      <c r="T14" s="29">
        <f>IF($A14="","",IF($B14="","YETİM",IF(COUNTIF(tblKartlar[KartId],$B14)=0,"YETİM","")))</f>
        <v/>
      </c>
      <c r="U14" s="29">
        <f>IF(OR($A14="",$F14=""),"",IF(OR($F14&amp;"|"&amp;$G14="",COUNTIF(ListeIzinliGecis,$F14&amp;"|"&amp;$G14)&gt;0),"","GEÇERSİZ GEÇİŞ"))</f>
        <v/>
      </c>
      <c r="V14" s="29">
        <f>IF($A14="","",IF(OR($P14="",$J14=""),"",IF(ABS($J14-$P14)&gt;zincirTolerans,"ZİNCİR KIRIK","OK")))</f>
        <v/>
      </c>
      <c r="W14" s="29">
        <f>IF($A14="","",1)</f>
        <v/>
      </c>
      <c r="X14" s="29">
        <f>IF($A14="","",$K14*$I14)</f>
        <v/>
      </c>
    </row>
    <row r="15">
      <c r="A15" s="27" t="inlineStr">
        <is>
          <t>SOA-00010</t>
        </is>
      </c>
      <c r="B15" s="27" t="inlineStr">
        <is>
          <t>SKU-00002</t>
        </is>
      </c>
      <c r="C15" s="27" t="inlineStr">
        <is>
          <t>STK-2026-0010</t>
        </is>
      </c>
      <c r="D15" s="30" t="n">
        <v>46245</v>
      </c>
      <c r="E15" s="30" t="n">
        <v>46165</v>
      </c>
      <c r="F15" s="27" t="inlineStr">
        <is>
          <t>SAYIM</t>
        </is>
      </c>
      <c r="G15" s="27" t="inlineStr">
        <is>
          <t>ABC</t>
        </is>
      </c>
      <c r="H15" s="28" t="n">
        <v>600</v>
      </c>
      <c r="I15" s="31" t="n">
        <v>35</v>
      </c>
      <c r="J15" s="31" t="n">
        <v>21000</v>
      </c>
      <c r="K15" s="28" t="n">
        <v>70</v>
      </c>
      <c r="L15" s="32" t="n">
        <v>80</v>
      </c>
      <c r="M15" s="27" t="inlineStr">
        <is>
          <t>B</t>
        </is>
      </c>
      <c r="N15" s="27" t="inlineStr">
        <is>
          <t>B</t>
        </is>
      </c>
      <c r="O15" s="27" t="inlineStr">
        <is>
          <t>Stok notu 10</t>
        </is>
      </c>
      <c r="P15" s="29">
        <f>IF($A15="","",$H15*$I15)</f>
        <v/>
      </c>
      <c r="Q15" s="29">
        <f>IF(OR($A15="",$G15="KAPALI"),"",IF($L15&gt;soa_esikOluGun,"ÖLÜ",""))</f>
        <v/>
      </c>
      <c r="R15" s="29">
        <f>IF($A15="","",IF($E15="","",raporTarihi-$E15))</f>
        <v/>
      </c>
      <c r="S15" s="29">
        <f>IF($A15="","",IF($R15="","",IF($R15&lt;=soa_kovaEsik1,"0-7",IF($R15&lt;=soa_kovaEsik2,"8-30",IF($R15&lt;=soa_kovaEsik3,"31-90","90+")))))</f>
        <v/>
      </c>
      <c r="T15" s="29">
        <f>IF($A15="","",IF($B15="","YETİM",IF(COUNTIF(tblKartlar[KartId],$B15)=0,"YETİM","")))</f>
        <v/>
      </c>
      <c r="U15" s="29">
        <f>IF(OR($A15="",$F15=""),"",IF(OR($F15&amp;"|"&amp;$G15="",COUNTIF(ListeIzinliGecis,$F15&amp;"|"&amp;$G15)&gt;0),"","GEÇERSİZ GEÇİŞ"))</f>
        <v/>
      </c>
      <c r="V15" s="29">
        <f>IF($A15="","",IF(OR($P15="",$J15=""),"",IF(ABS($J15-$P15)&gt;zincirTolerans,"ZİNCİR KIRIK","OK")))</f>
        <v/>
      </c>
      <c r="W15" s="29">
        <f>IF($A15="","",1)</f>
        <v/>
      </c>
      <c r="X15" s="29">
        <f>IF($A15="","",$K15*$I15)</f>
        <v/>
      </c>
    </row>
    <row r="16">
      <c r="A16" s="27" t="inlineStr">
        <is>
          <t>SOA-00011</t>
        </is>
      </c>
      <c r="B16" s="27" t="inlineStr">
        <is>
          <t>SKU-00003</t>
        </is>
      </c>
      <c r="C16" s="27" t="inlineStr">
        <is>
          <t>STK-2026-0011</t>
        </is>
      </c>
      <c r="D16" s="30" t="n">
        <v>46243</v>
      </c>
      <c r="E16" s="30" t="n">
        <v>46158</v>
      </c>
      <c r="F16" s="27" t="inlineStr">
        <is>
          <t>ABC</t>
        </is>
      </c>
      <c r="G16" s="27" t="inlineStr">
        <is>
          <t>AKSIYON</t>
        </is>
      </c>
      <c r="H16" s="28" t="n">
        <v>640</v>
      </c>
      <c r="I16" s="31" t="n">
        <v>36</v>
      </c>
      <c r="J16" s="31" t="n">
        <v>23040</v>
      </c>
      <c r="K16" s="28" t="n">
        <v>69</v>
      </c>
      <c r="L16" s="32" t="n">
        <v>87</v>
      </c>
      <c r="M16" s="27" t="inlineStr">
        <is>
          <t>C</t>
        </is>
      </c>
      <c r="N16" s="27" t="inlineStr">
        <is>
          <t>A</t>
        </is>
      </c>
      <c r="O16" s="27" t="inlineStr">
        <is>
          <t>Stok notu 11</t>
        </is>
      </c>
      <c r="P16" s="29">
        <f>IF($A16="","",$H16*$I16)</f>
        <v/>
      </c>
      <c r="Q16" s="29">
        <f>IF(OR($A16="",$G16="KAPALI"),"",IF($L16&gt;soa_esikOluGun,"ÖLÜ",""))</f>
        <v/>
      </c>
      <c r="R16" s="29">
        <f>IF($A16="","",IF($E16="","",raporTarihi-$E16))</f>
        <v/>
      </c>
      <c r="S16" s="29">
        <f>IF($A16="","",IF($R16="","",IF($R16&lt;=soa_kovaEsik1,"0-7",IF($R16&lt;=soa_kovaEsik2,"8-30",IF($R16&lt;=soa_kovaEsik3,"31-90","90+")))))</f>
        <v/>
      </c>
      <c r="T16" s="29">
        <f>IF($A16="","",IF($B16="","YETİM",IF(COUNTIF(tblKartlar[KartId],$B16)=0,"YETİM","")))</f>
        <v/>
      </c>
      <c r="U16" s="29">
        <f>IF(OR($A16="",$F16=""),"",IF(OR($F16&amp;"|"&amp;$G16="",COUNTIF(ListeIzinliGecis,$F16&amp;"|"&amp;$G16)&gt;0),"","GEÇERSİZ GEÇİŞ"))</f>
        <v/>
      </c>
      <c r="V16" s="29">
        <f>IF($A16="","",IF(OR($P16="",$J16=""),"",IF(ABS($J16-$P16)&gt;zincirTolerans,"ZİNCİR KIRIK","OK")))</f>
        <v/>
      </c>
      <c r="W16" s="29">
        <f>IF($A16="","",1)</f>
        <v/>
      </c>
      <c r="X16" s="29">
        <f>IF($A16="","",$K16*$I16)</f>
        <v/>
      </c>
    </row>
    <row r="17">
      <c r="A17" s="27" t="inlineStr">
        <is>
          <t>SOA-00012</t>
        </is>
      </c>
      <c r="B17" s="27" t="inlineStr">
        <is>
          <t>SKU-00004</t>
        </is>
      </c>
      <c r="C17" s="27" t="inlineStr">
        <is>
          <t>STK-2026-0012</t>
        </is>
      </c>
      <c r="D17" s="30" t="n">
        <v>46241</v>
      </c>
      <c r="E17" s="30" t="n">
        <v>46151</v>
      </c>
      <c r="F17" s="27" t="inlineStr">
        <is>
          <t>AKSIYON</t>
        </is>
      </c>
      <c r="G17" s="27" t="inlineStr">
        <is>
          <t>KAPALI</t>
        </is>
      </c>
      <c r="H17" s="28" t="n">
        <v>680</v>
      </c>
      <c r="I17" s="31" t="n">
        <v>37</v>
      </c>
      <c r="J17" s="31" t="n">
        <v>26010</v>
      </c>
      <c r="K17" s="28" t="n">
        <v>0</v>
      </c>
      <c r="L17" s="32" t="n">
        <v>94</v>
      </c>
      <c r="M17" s="27" t="inlineStr">
        <is>
          <t>A</t>
        </is>
      </c>
      <c r="N17" s="27" t="inlineStr">
        <is>
          <t>B</t>
        </is>
      </c>
      <c r="O17" s="27" t="inlineStr">
        <is>
          <t>Stok notu 12</t>
        </is>
      </c>
      <c r="P17" s="29">
        <f>IF($A17="","",$H17*$I17)</f>
        <v/>
      </c>
      <c r="Q17" s="29">
        <f>IF(OR($A17="",$G17="KAPALI"),"",IF($L17&gt;soa_esikOluGun,"ÖLÜ",""))</f>
        <v/>
      </c>
      <c r="R17" s="29">
        <f>IF($A17="","",IF($E17="","",raporTarihi-$E17))</f>
        <v/>
      </c>
      <c r="S17" s="29">
        <f>IF($A17="","",IF($R17="","",IF($R17&lt;=soa_kovaEsik1,"0-7",IF($R17&lt;=soa_kovaEsik2,"8-30",IF($R17&lt;=soa_kovaEsik3,"31-90","90+")))))</f>
        <v/>
      </c>
      <c r="T17" s="29">
        <f>IF($A17="","",IF($B17="","YETİM",IF(COUNTIF(tblKartlar[KartId],$B17)=0,"YETİM","")))</f>
        <v/>
      </c>
      <c r="U17" s="29">
        <f>IF(OR($A17="",$F17=""),"",IF(OR($F17&amp;"|"&amp;$G17="",COUNTIF(ListeIzinliGecis,$F17&amp;"|"&amp;$G17)&gt;0),"","GEÇERSİZ GEÇİŞ"))</f>
        <v/>
      </c>
      <c r="V17" s="29">
        <f>IF($A17="","",IF(OR($P17="",$J17=""),"",IF(ABS($J17-$P17)&gt;zincirTolerans,"ZİNCİR KIRIK","OK")))</f>
        <v/>
      </c>
      <c r="W17" s="29">
        <f>IF($A17="","",1)</f>
        <v/>
      </c>
      <c r="X17" s="29">
        <f>IF($A17="","",$K17*$I17)</f>
        <v/>
      </c>
    </row>
    <row r="18">
      <c r="A18" s="27" t="inlineStr">
        <is>
          <t>SOA-00013</t>
        </is>
      </c>
      <c r="B18" s="27" t="inlineStr">
        <is>
          <t>SKU-00005</t>
        </is>
      </c>
      <c r="C18" s="27" t="inlineStr">
        <is>
          <t>STK-2026-0013</t>
        </is>
      </c>
      <c r="D18" s="30" t="n">
        <v>46239</v>
      </c>
      <c r="E18" s="30" t="n">
        <v>46144</v>
      </c>
      <c r="F18" s="27" t="inlineStr">
        <is>
          <t>SAYIM</t>
        </is>
      </c>
      <c r="G18" s="27" t="inlineStr">
        <is>
          <t>ABC</t>
        </is>
      </c>
      <c r="H18" s="28" t="n">
        <v>720</v>
      </c>
      <c r="I18" s="31" t="n">
        <v>38</v>
      </c>
      <c r="J18" s="31" t="n">
        <v>27360</v>
      </c>
      <c r="K18" s="28" t="n">
        <v>0</v>
      </c>
      <c r="L18" s="32" t="n">
        <v>101</v>
      </c>
      <c r="M18" s="27" t="inlineStr">
        <is>
          <t>B</t>
        </is>
      </c>
      <c r="N18" s="27" t="inlineStr">
        <is>
          <t>A</t>
        </is>
      </c>
      <c r="O18" s="27" t="inlineStr">
        <is>
          <t>Stok notu 13</t>
        </is>
      </c>
      <c r="P18" s="29">
        <f>IF($A18="","",$H18*$I18)</f>
        <v/>
      </c>
      <c r="Q18" s="29">
        <f>IF(OR($A18="",$G18="KAPALI"),"",IF($L18&gt;soa_esikOluGun,"ÖLÜ",""))</f>
        <v/>
      </c>
      <c r="R18" s="29">
        <f>IF($A18="","",IF($E18="","",raporTarihi-$E18))</f>
        <v/>
      </c>
      <c r="S18" s="29">
        <f>IF($A18="","",IF($R18="","",IF($R18&lt;=soa_kovaEsik1,"0-7",IF($R18&lt;=soa_kovaEsik2,"8-30",IF($R18&lt;=soa_kovaEsik3,"31-90","90+")))))</f>
        <v/>
      </c>
      <c r="T18" s="29">
        <f>IF($A18="","",IF($B18="","YETİM",IF(COUNTIF(tblKartlar[KartId],$B18)=0,"YETİM","")))</f>
        <v/>
      </c>
      <c r="U18" s="29">
        <f>IF(OR($A18="",$F18=""),"",IF(OR($F18&amp;"|"&amp;$G18="",COUNTIF(ListeIzinliGecis,$F18&amp;"|"&amp;$G18)&gt;0),"","GEÇERSİZ GEÇİŞ"))</f>
        <v/>
      </c>
      <c r="V18" s="29">
        <f>IF($A18="","",IF(OR($P18="",$J18=""),"",IF(ABS($J18-$P18)&gt;zincirTolerans,"ZİNCİR KIRIK","OK")))</f>
        <v/>
      </c>
      <c r="W18" s="29">
        <f>IF($A18="","",1)</f>
        <v/>
      </c>
      <c r="X18" s="29">
        <f>IF($A18="","",$K18*$I18)</f>
        <v/>
      </c>
    </row>
    <row r="19">
      <c r="A19" s="27" t="inlineStr">
        <is>
          <t>SOA-00014</t>
        </is>
      </c>
      <c r="B19" s="27" t="inlineStr">
        <is>
          <t>SKU-00006</t>
        </is>
      </c>
      <c r="C19" s="27" t="inlineStr">
        <is>
          <t>STK-2026-0014</t>
        </is>
      </c>
      <c r="D19" s="30" t="n">
        <v>46237</v>
      </c>
      <c r="E19" s="30" t="n">
        <v>46137</v>
      </c>
      <c r="F19" s="27" t="inlineStr">
        <is>
          <t>ABC</t>
        </is>
      </c>
      <c r="G19" s="27" t="inlineStr">
        <is>
          <t>AKSIYON</t>
        </is>
      </c>
      <c r="H19" s="28" t="n">
        <v>760</v>
      </c>
      <c r="I19" s="31" t="n">
        <v>39</v>
      </c>
      <c r="J19" s="31" t="n">
        <v>29640</v>
      </c>
      <c r="K19" s="28" t="n">
        <v>0</v>
      </c>
      <c r="L19" s="32" t="n">
        <v>108</v>
      </c>
      <c r="M19" s="27" t="inlineStr">
        <is>
          <t>C</t>
        </is>
      </c>
      <c r="N19" s="27" t="inlineStr">
        <is>
          <t>B</t>
        </is>
      </c>
      <c r="O19" s="27" t="inlineStr">
        <is>
          <t>Stok notu 14</t>
        </is>
      </c>
      <c r="P19" s="29">
        <f>IF($A19="","",$H19*$I19)</f>
        <v/>
      </c>
      <c r="Q19" s="29">
        <f>IF(OR($A19="",$G19="KAPALI"),"",IF($L19&gt;soa_esikOluGun,"ÖLÜ",""))</f>
        <v/>
      </c>
      <c r="R19" s="29">
        <f>IF($A19="","",IF($E19="","",raporTarihi-$E19))</f>
        <v/>
      </c>
      <c r="S19" s="29">
        <f>IF($A19="","",IF($R19="","",IF($R19&lt;=soa_kovaEsik1,"0-7",IF($R19&lt;=soa_kovaEsik2,"8-30",IF($R19&lt;=soa_kovaEsik3,"31-90","90+")))))</f>
        <v/>
      </c>
      <c r="T19" s="29">
        <f>IF($A19="","",IF($B19="","YETİM",IF(COUNTIF(tblKartlar[KartId],$B19)=0,"YETİM","")))</f>
        <v/>
      </c>
      <c r="U19" s="29">
        <f>IF(OR($A19="",$F19=""),"",IF(OR($F19&amp;"|"&amp;$G19="",COUNTIF(ListeIzinliGecis,$F19&amp;"|"&amp;$G19)&gt;0),"","GEÇERSİZ GEÇİŞ"))</f>
        <v/>
      </c>
      <c r="V19" s="29">
        <f>IF($A19="","",IF(OR($P19="",$J19=""),"",IF(ABS($J19-$P19)&gt;zincirTolerans,"ZİNCİR KIRIK","OK")))</f>
        <v/>
      </c>
      <c r="W19" s="29">
        <f>IF($A19="","",1)</f>
        <v/>
      </c>
      <c r="X19" s="29">
        <f>IF($A19="","",$K19*$I19)</f>
        <v/>
      </c>
    </row>
    <row r="20">
      <c r="A20" s="27" t="inlineStr">
        <is>
          <t>SOA-00015</t>
        </is>
      </c>
      <c r="B20" s="27" t="inlineStr">
        <is>
          <t>SKU-00007</t>
        </is>
      </c>
      <c r="C20" s="27" t="inlineStr">
        <is>
          <t>STK-2026-0015</t>
        </is>
      </c>
      <c r="D20" s="30" t="n">
        <v>46235</v>
      </c>
      <c r="E20" s="30" t="n">
        <v>46120</v>
      </c>
      <c r="F20" s="27" t="inlineStr">
        <is>
          <t>SAYIM</t>
        </is>
      </c>
      <c r="G20" s="27" t="inlineStr">
        <is>
          <t>SAYIM</t>
        </is>
      </c>
      <c r="H20" s="28" t="n">
        <v>800</v>
      </c>
      <c r="I20" s="31" t="n">
        <v>40</v>
      </c>
      <c r="J20" s="31" t="n">
        <v>32000</v>
      </c>
      <c r="K20" s="28" t="n">
        <v>0</v>
      </c>
      <c r="L20" s="32" t="n">
        <v>125</v>
      </c>
      <c r="M20" s="27" t="inlineStr">
        <is>
          <t>A</t>
        </is>
      </c>
      <c r="N20" s="27" t="inlineStr">
        <is>
          <t>A</t>
        </is>
      </c>
      <c r="O20" s="27" t="inlineStr">
        <is>
          <t>Stok notu 15</t>
        </is>
      </c>
      <c r="P20" s="29">
        <f>IF($A20="","",$H20*$I20)</f>
        <v/>
      </c>
      <c r="Q20" s="29">
        <f>IF(OR($A20="",$G20="KAPALI"),"",IF($L20&gt;soa_esikOluGun,"ÖLÜ",""))</f>
        <v/>
      </c>
      <c r="R20" s="29">
        <f>IF($A20="","",IF($E20="","",raporTarihi-$E20))</f>
        <v/>
      </c>
      <c r="S20" s="29">
        <f>IF($A20="","",IF($R20="","",IF($R20&lt;=soa_kovaEsik1,"0-7",IF($R20&lt;=soa_kovaEsik2,"8-30",IF($R20&lt;=soa_kovaEsik3,"31-90","90+")))))</f>
        <v/>
      </c>
      <c r="T20" s="29">
        <f>IF($A20="","",IF($B20="","YETİM",IF(COUNTIF(tblKartlar[KartId],$B20)=0,"YETİM","")))</f>
        <v/>
      </c>
      <c r="U20" s="29">
        <f>IF(OR($A20="",$F20=""),"",IF(OR($F20&amp;"|"&amp;$G20="",COUNTIF(ListeIzinliGecis,$F20&amp;"|"&amp;$G20)&gt;0),"","GEÇERSİZ GEÇİŞ"))</f>
        <v/>
      </c>
      <c r="V20" s="29">
        <f>IF($A20="","",IF(OR($P20="",$J20=""),"",IF(ABS($J20-$P20)&gt;zincirTolerans,"ZİNCİR KIRIK","OK")))</f>
        <v/>
      </c>
      <c r="W20" s="29">
        <f>IF($A20="","",1)</f>
        <v/>
      </c>
      <c r="X20" s="29">
        <f>IF($A20="","",$K20*$I20)</f>
        <v/>
      </c>
    </row>
    <row r="21">
      <c r="A21" s="27" t="inlineStr">
        <is>
          <t>SOA-00016</t>
        </is>
      </c>
      <c r="B21" s="27" t="inlineStr">
        <is>
          <t>SKU-00008</t>
        </is>
      </c>
      <c r="C21" s="27" t="inlineStr">
        <is>
          <t>STK-2026-0016</t>
        </is>
      </c>
      <c r="D21" s="30" t="n">
        <v>46233</v>
      </c>
      <c r="E21" s="30" t="n">
        <v>46123</v>
      </c>
      <c r="F21" s="27" t="inlineStr">
        <is>
          <t>SAYIM</t>
        </is>
      </c>
      <c r="G21" s="27" t="inlineStr">
        <is>
          <t>ABC</t>
        </is>
      </c>
      <c r="H21" s="28" t="n">
        <v>840</v>
      </c>
      <c r="I21" s="31" t="n">
        <v>41</v>
      </c>
      <c r="J21" s="31" t="n">
        <v>34440</v>
      </c>
      <c r="K21" s="28" t="n">
        <v>0</v>
      </c>
      <c r="L21" s="32" t="n">
        <v>122</v>
      </c>
      <c r="M21" s="27" t="inlineStr">
        <is>
          <t>B</t>
        </is>
      </c>
      <c r="N21" s="27" t="inlineStr">
        <is>
          <t>B</t>
        </is>
      </c>
      <c r="O21" s="27" t="inlineStr">
        <is>
          <t>Stok notu 16</t>
        </is>
      </c>
      <c r="P21" s="29">
        <f>IF($A21="","",$H21*$I21)</f>
        <v/>
      </c>
      <c r="Q21" s="29">
        <f>IF(OR($A21="",$G21="KAPALI"),"",IF($L21&gt;soa_esikOluGun,"ÖLÜ",""))</f>
        <v/>
      </c>
      <c r="R21" s="29">
        <f>IF($A21="","",IF($E21="","",raporTarihi-$E21))</f>
        <v/>
      </c>
      <c r="S21" s="29">
        <f>IF($A21="","",IF($R21="","",IF($R21&lt;=soa_kovaEsik1,"0-7",IF($R21&lt;=soa_kovaEsik2,"8-30",IF($R21&lt;=soa_kovaEsik3,"31-90","90+")))))</f>
        <v/>
      </c>
      <c r="T21" s="29">
        <f>IF($A21="","",IF($B21="","YETİM",IF(COUNTIF(tblKartlar[KartId],$B21)=0,"YETİM","")))</f>
        <v/>
      </c>
      <c r="U21" s="29">
        <f>IF(OR($A21="",$F21=""),"",IF(OR($F21&amp;"|"&amp;$G21="",COUNTIF(ListeIzinliGecis,$F21&amp;"|"&amp;$G21)&gt;0),"","GEÇERSİZ GEÇİŞ"))</f>
        <v/>
      </c>
      <c r="V21" s="29">
        <f>IF($A21="","",IF(OR($P21="",$J21=""),"",IF(ABS($J21-$P21)&gt;zincirTolerans,"ZİNCİR KIRIK","OK")))</f>
        <v/>
      </c>
      <c r="W21" s="29">
        <f>IF($A21="","",1)</f>
        <v/>
      </c>
      <c r="X21" s="29">
        <f>IF($A21="","",$K21*$I21)</f>
        <v/>
      </c>
    </row>
    <row r="22">
      <c r="A22" s="27" t="inlineStr">
        <is>
          <t>SOA-00017</t>
        </is>
      </c>
      <c r="B22" s="27" t="inlineStr">
        <is>
          <t>SKU-00001</t>
        </is>
      </c>
      <c r="C22" s="27" t="inlineStr">
        <is>
          <t>STK-2026-0017</t>
        </is>
      </c>
      <c r="D22" s="30" t="n">
        <v>46231</v>
      </c>
      <c r="E22" s="30" t="n">
        <v>46116</v>
      </c>
      <c r="F22" s="27" t="n"/>
      <c r="G22" s="27" t="inlineStr">
        <is>
          <t>SAYIM</t>
        </is>
      </c>
      <c r="H22" s="28" t="n">
        <v>880</v>
      </c>
      <c r="I22" s="31" t="n">
        <v>42</v>
      </c>
      <c r="J22" s="31" t="n">
        <v>36960</v>
      </c>
      <c r="K22" s="28" t="n">
        <v>0</v>
      </c>
      <c r="L22" s="32" t="n">
        <v>129</v>
      </c>
      <c r="M22" s="27" t="inlineStr">
        <is>
          <t>A</t>
        </is>
      </c>
      <c r="N22" s="27" t="inlineStr">
        <is>
          <t>A</t>
        </is>
      </c>
      <c r="O22" s="27" t="inlineStr">
        <is>
          <t>Stok notu 17</t>
        </is>
      </c>
      <c r="P22" s="29">
        <f>IF($A22="","",$H22*$I22)</f>
        <v/>
      </c>
      <c r="Q22" s="29">
        <f>IF(OR($A22="",$G22="KAPALI"),"",IF($L22&gt;soa_esikOluGun,"ÖLÜ",""))</f>
        <v/>
      </c>
      <c r="R22" s="29">
        <f>IF($A22="","",IF($E22="","",raporTarihi-$E22))</f>
        <v/>
      </c>
      <c r="S22" s="29">
        <f>IF($A22="","",IF($R22="","",IF($R22&lt;=soa_kovaEsik1,"0-7",IF($R22&lt;=soa_kovaEsik2,"8-30",IF($R22&lt;=soa_kovaEsik3,"31-90","90+")))))</f>
        <v/>
      </c>
      <c r="T22" s="29">
        <f>IF($A22="","",IF($B22="","YETİM",IF(COUNTIF(tblKartlar[KartId],$B22)=0,"YETİM","")))</f>
        <v/>
      </c>
      <c r="U22" s="29">
        <f>IF(OR($A22="",$F22=""),"",IF(OR($F22&amp;"|"&amp;$G22="",COUNTIF(ListeIzinliGecis,$F22&amp;"|"&amp;$G22)&gt;0),"","GEÇERSİZ GEÇİŞ"))</f>
        <v/>
      </c>
      <c r="V22" s="29">
        <f>IF($A22="","",IF(OR($P22="",$J22=""),"",IF(ABS($J22-$P22)&gt;zincirTolerans,"ZİNCİR KIRIK","OK")))</f>
        <v/>
      </c>
      <c r="W22" s="29">
        <f>IF($A22="","",1)</f>
        <v/>
      </c>
      <c r="X22" s="29">
        <f>IF($A22="","",$K22*$I22)</f>
        <v/>
      </c>
    </row>
    <row r="23">
      <c r="A23" s="27" t="inlineStr">
        <is>
          <t>SOA-00018</t>
        </is>
      </c>
      <c r="B23" s="27" t="inlineStr">
        <is>
          <t>SKU-00002</t>
        </is>
      </c>
      <c r="C23" s="27" t="inlineStr">
        <is>
          <t>STK-2026-0018</t>
        </is>
      </c>
      <c r="D23" s="30" t="n">
        <v>46229</v>
      </c>
      <c r="E23" s="30" t="n">
        <v>46229</v>
      </c>
      <c r="F23" s="27" t="inlineStr">
        <is>
          <t>SAYIM</t>
        </is>
      </c>
      <c r="G23" s="27" t="inlineStr">
        <is>
          <t>AKSIYON</t>
        </is>
      </c>
      <c r="H23" s="28" t="n">
        <v>920</v>
      </c>
      <c r="I23" s="31" t="n">
        <v>43</v>
      </c>
      <c r="J23" s="31" t="n">
        <v>39560</v>
      </c>
      <c r="K23" s="28" t="n">
        <v>62</v>
      </c>
      <c r="L23" s="32" t="n">
        <v>16</v>
      </c>
      <c r="M23" s="27" t="inlineStr">
        <is>
          <t>B</t>
        </is>
      </c>
      <c r="N23" s="27" t="inlineStr">
        <is>
          <t>B</t>
        </is>
      </c>
      <c r="O23" s="27" t="inlineStr">
        <is>
          <t>Stok notu 18</t>
        </is>
      </c>
      <c r="P23" s="29">
        <f>IF($A23="","",$H23*$I23)</f>
        <v/>
      </c>
      <c r="Q23" s="29">
        <f>IF(OR($A23="",$G23="KAPALI"),"",IF($L23&gt;soa_esikOluGun,"ÖLÜ",""))</f>
        <v/>
      </c>
      <c r="R23" s="29">
        <f>IF($A23="","",IF($E23="","",raporTarihi-$E23))</f>
        <v/>
      </c>
      <c r="S23" s="29">
        <f>IF($A23="","",IF($R23="","",IF($R23&lt;=soa_kovaEsik1,"0-7",IF($R23&lt;=soa_kovaEsik2,"8-30",IF($R23&lt;=soa_kovaEsik3,"31-90","90+")))))</f>
        <v/>
      </c>
      <c r="T23" s="29">
        <f>IF($A23="","",IF($B23="","YETİM",IF(COUNTIF(tblKartlar[KartId],$B23)=0,"YETİM","")))</f>
        <v/>
      </c>
      <c r="U23" s="29">
        <f>IF(OR($A23="",$F23=""),"",IF(OR($F23&amp;"|"&amp;$G23="",COUNTIF(ListeIzinliGecis,$F23&amp;"|"&amp;$G23)&gt;0),"","GEÇERSİZ GEÇİŞ"))</f>
        <v/>
      </c>
      <c r="V23" s="29">
        <f>IF($A23="","",IF(OR($P23="",$J23=""),"",IF(ABS($J23-$P23)&gt;zincirTolerans,"ZİNCİR KIRIK","OK")))</f>
        <v/>
      </c>
      <c r="W23" s="29">
        <f>IF($A23="","",1)</f>
        <v/>
      </c>
      <c r="X23" s="29">
        <f>IF($A23="","",$K23*$I23)</f>
        <v/>
      </c>
    </row>
    <row r="24">
      <c r="A24" s="27" t="inlineStr">
        <is>
          <t>SOA-00019</t>
        </is>
      </c>
      <c r="B24" s="27" t="inlineStr">
        <is>
          <t>SKU-00003</t>
        </is>
      </c>
      <c r="C24" s="27" t="inlineStr">
        <is>
          <t>STK-2026-0019</t>
        </is>
      </c>
      <c r="D24" s="30" t="n">
        <v>46227</v>
      </c>
      <c r="E24" s="30" t="n">
        <v>46222</v>
      </c>
      <c r="F24" s="27" t="inlineStr">
        <is>
          <t>ABC</t>
        </is>
      </c>
      <c r="G24" s="27" t="inlineStr">
        <is>
          <t>AKSIYON</t>
        </is>
      </c>
      <c r="H24" s="28" t="n">
        <v>960</v>
      </c>
      <c r="I24" s="31" t="n">
        <v>44</v>
      </c>
      <c r="J24" s="31" t="n">
        <v>43090</v>
      </c>
      <c r="K24" s="28" t="n">
        <v>61</v>
      </c>
      <c r="L24" s="32" t="n">
        <v>23</v>
      </c>
      <c r="M24" s="27" t="inlineStr">
        <is>
          <t>C</t>
        </is>
      </c>
      <c r="N24" s="27" t="inlineStr">
        <is>
          <t>A</t>
        </is>
      </c>
      <c r="O24" s="27" t="inlineStr">
        <is>
          <t>Stok notu 19</t>
        </is>
      </c>
      <c r="P24" s="29">
        <f>IF($A24="","",$H24*$I24)</f>
        <v/>
      </c>
      <c r="Q24" s="29">
        <f>IF(OR($A24="",$G24="KAPALI"),"",IF($L24&gt;soa_esikOluGun,"ÖLÜ",""))</f>
        <v/>
      </c>
      <c r="R24" s="29">
        <f>IF($A24="","",IF($E24="","",raporTarihi-$E24))</f>
        <v/>
      </c>
      <c r="S24" s="29">
        <f>IF($A24="","",IF($R24="","",IF($R24&lt;=soa_kovaEsik1,"0-7",IF($R24&lt;=soa_kovaEsik2,"8-30",IF($R24&lt;=soa_kovaEsik3,"31-90","90+")))))</f>
        <v/>
      </c>
      <c r="T24" s="29">
        <f>IF($A24="","",IF($B24="","YETİM",IF(COUNTIF(tblKartlar[KartId],$B24)=0,"YETİM","")))</f>
        <v/>
      </c>
      <c r="U24" s="29">
        <f>IF(OR($A24="",$F24=""),"",IF(OR($F24&amp;"|"&amp;$G24="",COUNTIF(ListeIzinliGecis,$F24&amp;"|"&amp;$G24)&gt;0),"","GEÇERSİZ GEÇİŞ"))</f>
        <v/>
      </c>
      <c r="V24" s="29">
        <f>IF($A24="","",IF(OR($P24="",$J24=""),"",IF(ABS($J24-$P24)&gt;zincirTolerans,"ZİNCİR KIRIK","OK")))</f>
        <v/>
      </c>
      <c r="W24" s="29">
        <f>IF($A24="","",1)</f>
        <v/>
      </c>
      <c r="X24" s="29">
        <f>IF($A24="","",$K24*$I24)</f>
        <v/>
      </c>
    </row>
    <row r="25">
      <c r="A25" s="27" t="inlineStr">
        <is>
          <t>SOA-00020</t>
        </is>
      </c>
      <c r="B25" s="27" t="inlineStr">
        <is>
          <t>SKU-00004</t>
        </is>
      </c>
      <c r="C25" s="27" t="inlineStr">
        <is>
          <t>STK-2026-0020</t>
        </is>
      </c>
      <c r="D25" s="30" t="n">
        <v>46245</v>
      </c>
      <c r="E25" s="30" t="n">
        <v>46215</v>
      </c>
      <c r="F25" s="27" t="inlineStr">
        <is>
          <t>KAPALI</t>
        </is>
      </c>
      <c r="G25" s="27" t="inlineStr">
        <is>
          <t>SAYIM</t>
        </is>
      </c>
      <c r="H25" s="28" t="n">
        <v>1000</v>
      </c>
      <c r="I25" s="31" t="n">
        <v>45</v>
      </c>
      <c r="J25" s="31" t="n">
        <v>45000</v>
      </c>
      <c r="K25" s="28" t="n">
        <v>60</v>
      </c>
      <c r="L25" s="32" t="n">
        <v>30</v>
      </c>
      <c r="M25" s="27" t="inlineStr">
        <is>
          <t>A</t>
        </is>
      </c>
      <c r="N25" s="27" t="inlineStr">
        <is>
          <t>B</t>
        </is>
      </c>
      <c r="O25" s="27" t="inlineStr">
        <is>
          <t>Stok notu 20</t>
        </is>
      </c>
      <c r="P25" s="29">
        <f>IF($A25="","",$H25*$I25)</f>
        <v/>
      </c>
      <c r="Q25" s="29">
        <f>IF(OR($A25="",$G25="KAPALI"),"",IF($L25&gt;soa_esikOluGun,"ÖLÜ",""))</f>
        <v/>
      </c>
      <c r="R25" s="29">
        <f>IF($A25="","",IF($E25="","",raporTarihi-$E25))</f>
        <v/>
      </c>
      <c r="S25" s="29">
        <f>IF($A25="","",IF($R25="","",IF($R25&lt;=soa_kovaEsik1,"0-7",IF($R25&lt;=soa_kovaEsik2,"8-30",IF($R25&lt;=soa_kovaEsik3,"31-90","90+")))))</f>
        <v/>
      </c>
      <c r="T25" s="29">
        <f>IF($A25="","",IF($B25="","YETİM",IF(COUNTIF(tblKartlar[KartId],$B25)=0,"YETİM","")))</f>
        <v/>
      </c>
      <c r="U25" s="29">
        <f>IF(OR($A25="",$F25=""),"",IF(OR($F25&amp;"|"&amp;$G25="",COUNTIF(ListeIzinliGecis,$F25&amp;"|"&amp;$G25)&gt;0),"","GEÇERSİZ GEÇİŞ"))</f>
        <v/>
      </c>
      <c r="V25" s="29">
        <f>IF($A25="","",IF(OR($P25="",$J25=""),"",IF(ABS($J25-$P25)&gt;zincirTolerans,"ZİNCİR KIRIK","OK")))</f>
        <v/>
      </c>
      <c r="W25" s="29">
        <f>IF($A25="","",1)</f>
        <v/>
      </c>
      <c r="X25" s="29">
        <f>IF($A25="","",$K25*$I25)</f>
        <v/>
      </c>
    </row>
    <row r="26">
      <c r="A26" s="27" t="inlineStr">
        <is>
          <t>SOA-00021</t>
        </is>
      </c>
      <c r="B26" s="27" t="inlineStr">
        <is>
          <t>SKU-00005</t>
        </is>
      </c>
      <c r="C26" s="27" t="inlineStr">
        <is>
          <t>STK-2026-0021</t>
        </is>
      </c>
      <c r="D26" s="30" t="n">
        <v>46243</v>
      </c>
      <c r="E26" s="30" t="n">
        <v>46208</v>
      </c>
      <c r="F26" s="27" t="inlineStr">
        <is>
          <t>SAYIM</t>
        </is>
      </c>
      <c r="G26" s="27" t="inlineStr">
        <is>
          <t>ABC</t>
        </is>
      </c>
      <c r="H26" s="28" t="n">
        <v>1040</v>
      </c>
      <c r="I26" s="31" t="n">
        <v>46</v>
      </c>
      <c r="J26" s="31" t="n">
        <v>47840</v>
      </c>
      <c r="K26" s="28" t="n">
        <v>59</v>
      </c>
      <c r="L26" s="32" t="n">
        <v>37</v>
      </c>
      <c r="M26" s="27" t="inlineStr">
        <is>
          <t>B</t>
        </is>
      </c>
      <c r="N26" s="27" t="inlineStr">
        <is>
          <t>A</t>
        </is>
      </c>
      <c r="O26" s="27" t="inlineStr">
        <is>
          <t>Stok notu 21</t>
        </is>
      </c>
      <c r="P26" s="29">
        <f>IF($A26="","",$H26*$I26)</f>
        <v/>
      </c>
      <c r="Q26" s="29">
        <f>IF(OR($A26="",$G26="KAPALI"),"",IF($L26&gt;soa_esikOluGun,"ÖLÜ",""))</f>
        <v/>
      </c>
      <c r="R26" s="29">
        <f>IF($A26="","",IF($E26="","",raporTarihi-$E26))</f>
        <v/>
      </c>
      <c r="S26" s="29">
        <f>IF($A26="","",IF($R26="","",IF($R26&lt;=soa_kovaEsik1,"0-7",IF($R26&lt;=soa_kovaEsik2,"8-30",IF($R26&lt;=soa_kovaEsik3,"31-90","90+")))))</f>
        <v/>
      </c>
      <c r="T26" s="29">
        <f>IF($A26="","",IF($B26="","YETİM",IF(COUNTIF(tblKartlar[KartId],$B26)=0,"YETİM","")))</f>
        <v/>
      </c>
      <c r="U26" s="29">
        <f>IF(OR($A26="",$F26=""),"",IF(OR($F26&amp;"|"&amp;$G26="",COUNTIF(ListeIzinliGecis,$F26&amp;"|"&amp;$G26)&gt;0),"","GEÇERSİZ GEÇİŞ"))</f>
        <v/>
      </c>
      <c r="V26" s="29">
        <f>IF($A26="","",IF(OR($P26="",$J26=""),"",IF(ABS($J26-$P26)&gt;zincirTolerans,"ZİNCİR KIRIK","OK")))</f>
        <v/>
      </c>
      <c r="W26" s="29">
        <f>IF($A26="","",1)</f>
        <v/>
      </c>
      <c r="X26" s="29">
        <f>IF($A26="","",$K26*$I26)</f>
        <v/>
      </c>
    </row>
    <row r="27">
      <c r="A27" s="27" t="inlineStr">
        <is>
          <t>SOA-00022</t>
        </is>
      </c>
      <c r="B27" s="27" t="n"/>
      <c r="C27" s="27" t="inlineStr">
        <is>
          <t>STK-2026-0022</t>
        </is>
      </c>
      <c r="D27" s="30" t="n">
        <v>46241</v>
      </c>
      <c r="E27" s="30" t="n">
        <v>46201</v>
      </c>
      <c r="F27" s="27" t="inlineStr">
        <is>
          <t>ABC</t>
        </is>
      </c>
      <c r="G27" s="27" t="inlineStr">
        <is>
          <t>AKSIYON</t>
        </is>
      </c>
      <c r="H27" s="28" t="n">
        <v>1080</v>
      </c>
      <c r="I27" s="31" t="n">
        <v>47</v>
      </c>
      <c r="J27" s="31" t="n">
        <v>50760</v>
      </c>
      <c r="K27" s="28" t="n">
        <v>58</v>
      </c>
      <c r="L27" s="32" t="n">
        <v>44</v>
      </c>
      <c r="M27" s="27" t="inlineStr">
        <is>
          <t>C</t>
        </is>
      </c>
      <c r="N27" s="27" t="inlineStr">
        <is>
          <t>B</t>
        </is>
      </c>
      <c r="O27" s="27" t="inlineStr">
        <is>
          <t>Stok notu 22</t>
        </is>
      </c>
      <c r="P27" s="29">
        <f>IF($A27="","",$H27*$I27)</f>
        <v/>
      </c>
      <c r="Q27" s="29">
        <f>IF(OR($A27="",$G27="KAPALI"),"",IF($L27&gt;soa_esikOluGun,"ÖLÜ",""))</f>
        <v/>
      </c>
      <c r="R27" s="29">
        <f>IF($A27="","",IF($E27="","",raporTarihi-$E27))</f>
        <v/>
      </c>
      <c r="S27" s="29">
        <f>IF($A27="","",IF($R27="","",IF($R27&lt;=soa_kovaEsik1,"0-7",IF($R27&lt;=soa_kovaEsik2,"8-30",IF($R27&lt;=soa_kovaEsik3,"31-90","90+")))))</f>
        <v/>
      </c>
      <c r="T27" s="29">
        <f>IF($A27="","",IF($B27="","YETİM",IF(COUNTIF(tblKartlar[KartId],$B27)=0,"YETİM","")))</f>
        <v/>
      </c>
      <c r="U27" s="29">
        <f>IF(OR($A27="",$F27=""),"",IF(OR($F27&amp;"|"&amp;$G27="",COUNTIF(ListeIzinliGecis,$F27&amp;"|"&amp;$G27)&gt;0),"","GEÇERSİZ GEÇİŞ"))</f>
        <v/>
      </c>
      <c r="V27" s="29">
        <f>IF($A27="","",IF(OR($P27="",$J27=""),"",IF(ABS($J27-$P27)&gt;zincirTolerans,"ZİNCİR KIRIK","OK")))</f>
        <v/>
      </c>
      <c r="W27" s="29">
        <f>IF($A27="","",1)</f>
        <v/>
      </c>
      <c r="X27" s="29">
        <f>IF($A27="","",$K27*$I27)</f>
        <v/>
      </c>
    </row>
    <row r="28">
      <c r="A28" s="27" t="inlineStr">
        <is>
          <t>SOA-00023</t>
        </is>
      </c>
      <c r="B28" s="27" t="inlineStr">
        <is>
          <t>SKU-00007</t>
        </is>
      </c>
      <c r="C28" s="27" t="inlineStr">
        <is>
          <t>STK-2026-0023</t>
        </is>
      </c>
      <c r="D28" s="30" t="n">
        <v>46239</v>
      </c>
      <c r="E28" s="30" t="n">
        <v>46194</v>
      </c>
      <c r="F28" s="27" t="inlineStr">
        <is>
          <t>SAYIM</t>
        </is>
      </c>
      <c r="G28" s="27" t="inlineStr">
        <is>
          <t>SAYIM</t>
        </is>
      </c>
      <c r="H28" s="28" t="n">
        <v>1120</v>
      </c>
      <c r="I28" s="31" t="n">
        <v>48</v>
      </c>
      <c r="J28" s="31" t="n">
        <v>53760</v>
      </c>
      <c r="K28" s="28" t="n">
        <v>57</v>
      </c>
      <c r="L28" s="32" t="n">
        <v>51</v>
      </c>
      <c r="M28" s="27" t="inlineStr">
        <is>
          <t>A</t>
        </is>
      </c>
      <c r="N28" s="27" t="inlineStr">
        <is>
          <t>A</t>
        </is>
      </c>
      <c r="O28" s="27" t="inlineStr">
        <is>
          <t>Stok notu 23</t>
        </is>
      </c>
      <c r="P28" s="29">
        <f>IF($A28="","",$H28*$I28)</f>
        <v/>
      </c>
      <c r="Q28" s="29">
        <f>IF(OR($A28="",$G28="KAPALI"),"",IF($L28&gt;soa_esikOluGun,"ÖLÜ",""))</f>
        <v/>
      </c>
      <c r="R28" s="29">
        <f>IF($A28="","",IF($E28="","",raporTarihi-$E28))</f>
        <v/>
      </c>
      <c r="S28" s="29">
        <f>IF($A28="","",IF($R28="","",IF($R28&lt;=soa_kovaEsik1,"0-7",IF($R28&lt;=soa_kovaEsik2,"8-30",IF($R28&lt;=soa_kovaEsik3,"31-90","90+")))))</f>
        <v/>
      </c>
      <c r="T28" s="29">
        <f>IF($A28="","",IF($B28="","YETİM",IF(COUNTIF(tblKartlar[KartId],$B28)=0,"YETİM","")))</f>
        <v/>
      </c>
      <c r="U28" s="29">
        <f>IF(OR($A28="",$F28=""),"",IF(OR($F28&amp;"|"&amp;$G28="",COUNTIF(ListeIzinliGecis,$F28&amp;"|"&amp;$G28)&gt;0),"","GEÇERSİZ GEÇİŞ"))</f>
        <v/>
      </c>
      <c r="V28" s="29">
        <f>IF($A28="","",IF(OR($P28="",$J28=""),"",IF(ABS($J28-$P28)&gt;zincirTolerans,"ZİNCİR KIRIK","OK")))</f>
        <v/>
      </c>
      <c r="W28" s="29">
        <f>IF($A28="","",1)</f>
        <v/>
      </c>
      <c r="X28" s="29">
        <f>IF($A28="","",$K28*$I28)</f>
        <v/>
      </c>
    </row>
    <row r="29">
      <c r="A29" s="27" t="inlineStr">
        <is>
          <t>SOA-00024</t>
        </is>
      </c>
      <c r="B29" s="27" t="inlineStr">
        <is>
          <t>SKU-00008</t>
        </is>
      </c>
      <c r="C29" s="27" t="inlineStr">
        <is>
          <t>STK-2026-0024</t>
        </is>
      </c>
      <c r="D29" s="30" t="n">
        <v>46237</v>
      </c>
      <c r="E29" s="30" t="n">
        <v>46111</v>
      </c>
      <c r="F29" s="27" t="inlineStr">
        <is>
          <t>SAYIM</t>
        </is>
      </c>
      <c r="G29" s="27" t="inlineStr">
        <is>
          <t>ABC</t>
        </is>
      </c>
      <c r="H29" s="28" t="n">
        <v>1160</v>
      </c>
      <c r="I29" s="31" t="n">
        <v>49</v>
      </c>
      <c r="J29" s="31" t="n">
        <v>56840</v>
      </c>
      <c r="K29" s="28" t="n">
        <v>0</v>
      </c>
      <c r="L29" s="32" t="n">
        <v>134</v>
      </c>
      <c r="M29" s="27" t="inlineStr">
        <is>
          <t>B</t>
        </is>
      </c>
      <c r="N29" s="27" t="inlineStr">
        <is>
          <t>B</t>
        </is>
      </c>
      <c r="O29" s="27" t="inlineStr">
        <is>
          <t>Stok notu 24</t>
        </is>
      </c>
      <c r="P29" s="29">
        <f>IF($A29="","",$H29*$I29)</f>
        <v/>
      </c>
      <c r="Q29" s="29">
        <f>IF(OR($A29="",$G29="KAPALI"),"",IF($L29&gt;soa_esikOluGun,"ÖLÜ",""))</f>
        <v/>
      </c>
      <c r="R29" s="29">
        <f>IF($A29="","",IF($E29="","",raporTarihi-$E29))</f>
        <v/>
      </c>
      <c r="S29" s="29">
        <f>IF($A29="","",IF($R29="","",IF($R29&lt;=soa_kovaEsik1,"0-7",IF($R29&lt;=soa_kovaEsik2,"8-30",IF($R29&lt;=soa_kovaEsik3,"31-90","90+")))))</f>
        <v/>
      </c>
      <c r="T29" s="29">
        <f>IF($A29="","",IF($B29="","YETİM",IF(COUNTIF(tblKartlar[KartId],$B29)=0,"YETİM","")))</f>
        <v/>
      </c>
      <c r="U29" s="29">
        <f>IF(OR($A29="",$F29=""),"",IF(OR($F29&amp;"|"&amp;$G29="",COUNTIF(ListeIzinliGecis,$F29&amp;"|"&amp;$G29)&gt;0),"","GEÇERSİZ GEÇİŞ"))</f>
        <v/>
      </c>
      <c r="V29" s="29">
        <f>IF($A29="","",IF(OR($P29="",$J29=""),"",IF(ABS($J29-$P29)&gt;zincirTolerans,"ZİNCİR KIRIK","OK")))</f>
        <v/>
      </c>
      <c r="W29" s="29">
        <f>IF($A29="","",1)</f>
        <v/>
      </c>
      <c r="X29" s="29">
        <f>IF($A29="","",$K29*$I29)</f>
        <v/>
      </c>
    </row>
    <row r="30">
      <c r="A30" s="27" t="inlineStr">
        <is>
          <t>SOA-00025</t>
        </is>
      </c>
      <c r="B30" s="27" t="inlineStr">
        <is>
          <t>SKU-99999</t>
        </is>
      </c>
      <c r="C30" s="27" t="inlineStr">
        <is>
          <t>STK-2026-0025</t>
        </is>
      </c>
      <c r="D30" s="30" t="n">
        <v>46235</v>
      </c>
      <c r="E30" s="30" t="n">
        <v>46180</v>
      </c>
      <c r="F30" s="27" t="n"/>
      <c r="G30" s="27" t="inlineStr">
        <is>
          <t>SAYIM</t>
        </is>
      </c>
      <c r="H30" s="28" t="n">
        <v>1200</v>
      </c>
      <c r="I30" s="31" t="n">
        <v>50</v>
      </c>
      <c r="J30" s="31" t="n">
        <v>60000</v>
      </c>
      <c r="K30" s="28" t="n">
        <v>55</v>
      </c>
      <c r="L30" s="32" t="n">
        <v>65</v>
      </c>
      <c r="M30" s="27" t="inlineStr">
        <is>
          <t>A</t>
        </is>
      </c>
      <c r="N30" s="27" t="inlineStr">
        <is>
          <t>A</t>
        </is>
      </c>
      <c r="O30" s="27" t="inlineStr">
        <is>
          <t>Stok notu 25</t>
        </is>
      </c>
      <c r="P30" s="29">
        <f>IF($A30="","",$H30*$I30)</f>
        <v/>
      </c>
      <c r="Q30" s="29">
        <f>IF(OR($A30="",$G30="KAPALI"),"",IF($L30&gt;soa_esikOluGun,"ÖLÜ",""))</f>
        <v/>
      </c>
      <c r="R30" s="29">
        <f>IF($A30="","",IF($E30="","",raporTarihi-$E30))</f>
        <v/>
      </c>
      <c r="S30" s="29">
        <f>IF($A30="","",IF($R30="","",IF($R30&lt;=soa_kovaEsik1,"0-7",IF($R30&lt;=soa_kovaEsik2,"8-30",IF($R30&lt;=soa_kovaEsik3,"31-90","90+")))))</f>
        <v/>
      </c>
      <c r="T30" s="29">
        <f>IF($A30="","",IF($B30="","YETİM",IF(COUNTIF(tblKartlar[KartId],$B30)=0,"YETİM","")))</f>
        <v/>
      </c>
      <c r="U30" s="29">
        <f>IF(OR($A30="",$F30=""),"",IF(OR($F30&amp;"|"&amp;$G30="",COUNTIF(ListeIzinliGecis,$F30&amp;"|"&amp;$G30)&gt;0),"","GEÇERSİZ GEÇİŞ"))</f>
        <v/>
      </c>
      <c r="V30" s="29">
        <f>IF($A30="","",IF(OR($P30="",$J30=""),"",IF(ABS($J30-$P30)&gt;zincirTolerans,"ZİNCİR KIRIK","OK")))</f>
        <v/>
      </c>
      <c r="W30" s="29">
        <f>IF($A30="","",1)</f>
        <v/>
      </c>
      <c r="X30" s="29">
        <f>IF($A30="","",$K30*$I30)</f>
        <v/>
      </c>
    </row>
    <row r="31">
      <c r="A31" s="27" t="inlineStr">
        <is>
          <t>SOA-00026</t>
        </is>
      </c>
      <c r="B31" s="27" t="inlineStr">
        <is>
          <t>SKU-00002</t>
        </is>
      </c>
      <c r="C31" s="27" t="inlineStr">
        <is>
          <t>STK-2026-0026</t>
        </is>
      </c>
      <c r="D31" s="30" t="n">
        <v>46233</v>
      </c>
      <c r="E31" s="30" t="n">
        <v>46173</v>
      </c>
      <c r="F31" s="27" t="inlineStr">
        <is>
          <t>SAYIM</t>
        </is>
      </c>
      <c r="G31" s="27" t="inlineStr">
        <is>
          <t>ABC</t>
        </is>
      </c>
      <c r="H31" s="28" t="n">
        <v>1240</v>
      </c>
      <c r="I31" s="31" t="n">
        <v>51</v>
      </c>
      <c r="J31" s="31" t="n">
        <v>63240</v>
      </c>
      <c r="K31" s="28" t="n">
        <v>54</v>
      </c>
      <c r="L31" s="32" t="n">
        <v>72</v>
      </c>
      <c r="M31" s="27" t="inlineStr">
        <is>
          <t>B</t>
        </is>
      </c>
      <c r="N31" s="27" t="inlineStr">
        <is>
          <t>B</t>
        </is>
      </c>
      <c r="O31" s="27" t="inlineStr">
        <is>
          <t>Stok notu 26</t>
        </is>
      </c>
      <c r="P31" s="29">
        <f>IF($A31="","",$H31*$I31)</f>
        <v/>
      </c>
      <c r="Q31" s="29">
        <f>IF(OR($A31="",$G31="KAPALI"),"",IF($L31&gt;soa_esikOluGun,"ÖLÜ",""))</f>
        <v/>
      </c>
      <c r="R31" s="29">
        <f>IF($A31="","",IF($E31="","",raporTarihi-$E31))</f>
        <v/>
      </c>
      <c r="S31" s="29">
        <f>IF($A31="","",IF($R31="","",IF($R31&lt;=soa_kovaEsik1,"0-7",IF($R31&lt;=soa_kovaEsik2,"8-30",IF($R31&lt;=soa_kovaEsik3,"31-90","90+")))))</f>
        <v/>
      </c>
      <c r="T31" s="29">
        <f>IF($A31="","",IF($B31="","YETİM",IF(COUNTIF(tblKartlar[KartId],$B31)=0,"YETİM","")))</f>
        <v/>
      </c>
      <c r="U31" s="29">
        <f>IF(OR($A31="",$F31=""),"",IF(OR($F31&amp;"|"&amp;$G31="",COUNTIF(ListeIzinliGecis,$F31&amp;"|"&amp;$G31)&gt;0),"","GEÇERSİZ GEÇİŞ"))</f>
        <v/>
      </c>
      <c r="V31" s="29">
        <f>IF($A31="","",IF(OR($P31="",$J31=""),"",IF(ABS($J31-$P31)&gt;zincirTolerans,"ZİNCİR KIRIK","OK")))</f>
        <v/>
      </c>
      <c r="W31" s="29">
        <f>IF($A31="","",1)</f>
        <v/>
      </c>
      <c r="X31" s="29">
        <f>IF($A31="","",$K31*$I31)</f>
        <v/>
      </c>
    </row>
    <row r="32">
      <c r="A32" s="27" t="inlineStr">
        <is>
          <t>SOA-00027</t>
        </is>
      </c>
      <c r="B32" s="27" t="inlineStr">
        <is>
          <t>SKU-00003</t>
        </is>
      </c>
      <c r="C32" s="27" t="inlineStr">
        <is>
          <t>STK-2026-0027</t>
        </is>
      </c>
      <c r="D32" s="30" t="n">
        <v>46231</v>
      </c>
      <c r="E32" s="30" t="n">
        <v>46166</v>
      </c>
      <c r="F32" s="27" t="inlineStr">
        <is>
          <t>ABC</t>
        </is>
      </c>
      <c r="G32" s="27" t="inlineStr">
        <is>
          <t>AKSIYON</t>
        </is>
      </c>
      <c r="H32" s="28" t="n">
        <v>1280</v>
      </c>
      <c r="I32" s="31" t="n">
        <v>52</v>
      </c>
      <c r="J32" s="31" t="n">
        <v>66560</v>
      </c>
      <c r="K32" s="28" t="n">
        <v>53</v>
      </c>
      <c r="L32" s="32" t="n">
        <v>79</v>
      </c>
      <c r="M32" s="27" t="inlineStr">
        <is>
          <t>C</t>
        </is>
      </c>
      <c r="N32" s="27" t="inlineStr">
        <is>
          <t>A</t>
        </is>
      </c>
      <c r="O32" s="27" t="inlineStr">
        <is>
          <t>Stok notu 27</t>
        </is>
      </c>
      <c r="P32" s="29">
        <f>IF($A32="","",$H32*$I32)</f>
        <v/>
      </c>
      <c r="Q32" s="29">
        <f>IF(OR($A32="",$G32="KAPALI"),"",IF($L32&gt;soa_esikOluGun,"ÖLÜ",""))</f>
        <v/>
      </c>
      <c r="R32" s="29">
        <f>IF($A32="","",IF($E32="","",raporTarihi-$E32))</f>
        <v/>
      </c>
      <c r="S32" s="29">
        <f>IF($A32="","",IF($R32="","",IF($R32&lt;=soa_kovaEsik1,"0-7",IF($R32&lt;=soa_kovaEsik2,"8-30",IF($R32&lt;=soa_kovaEsik3,"31-90","90+")))))</f>
        <v/>
      </c>
      <c r="T32" s="29">
        <f>IF($A32="","",IF($B32="","YETİM",IF(COUNTIF(tblKartlar[KartId],$B32)=0,"YETİM","")))</f>
        <v/>
      </c>
      <c r="U32" s="29">
        <f>IF(OR($A32="",$F32=""),"",IF(OR($F32&amp;"|"&amp;$G32="",COUNTIF(ListeIzinliGecis,$F32&amp;"|"&amp;$G32)&gt;0),"","GEÇERSİZ GEÇİŞ"))</f>
        <v/>
      </c>
      <c r="V32" s="29">
        <f>IF($A32="","",IF(OR($P32="",$J32=""),"",IF(ABS($J32-$P32)&gt;zincirTolerans,"ZİNCİR KIRIK","OK")))</f>
        <v/>
      </c>
      <c r="W32" s="29">
        <f>IF($A32="","",1)</f>
        <v/>
      </c>
      <c r="X32" s="29">
        <f>IF($A32="","",$K32*$I32)</f>
        <v/>
      </c>
    </row>
    <row r="33">
      <c r="A33" s="27" t="inlineStr">
        <is>
          <t>SOA-00028</t>
        </is>
      </c>
      <c r="B33" s="27" t="inlineStr">
        <is>
          <t>SKU-00004</t>
        </is>
      </c>
      <c r="C33" s="27" t="inlineStr">
        <is>
          <t>STK-2026-0028</t>
        </is>
      </c>
      <c r="D33" s="30" t="n">
        <v>46229</v>
      </c>
      <c r="E33" s="30" t="n">
        <v>46159</v>
      </c>
      <c r="F33" s="27" t="inlineStr">
        <is>
          <t>AKSIYON</t>
        </is>
      </c>
      <c r="G33" s="27" t="inlineStr">
        <is>
          <t>KAPALI</t>
        </is>
      </c>
      <c r="H33" s="28" t="n">
        <v>1320</v>
      </c>
      <c r="I33" s="31" t="n">
        <v>53</v>
      </c>
      <c r="J33" s="31" t="n">
        <v>69960</v>
      </c>
      <c r="K33" s="28" t="n">
        <v>0</v>
      </c>
      <c r="L33" s="32" t="n">
        <v>86</v>
      </c>
      <c r="M33" s="27" t="inlineStr">
        <is>
          <t>A</t>
        </is>
      </c>
      <c r="N33" s="27" t="inlineStr">
        <is>
          <t>B</t>
        </is>
      </c>
      <c r="O33" s="27" t="inlineStr">
        <is>
          <t>Stok notu 28</t>
        </is>
      </c>
      <c r="P33" s="29">
        <f>IF($A33="","",$H33*$I33)</f>
        <v/>
      </c>
      <c r="Q33" s="29">
        <f>IF(OR($A33="",$G33="KAPALI"),"",IF($L33&gt;soa_esikOluGun,"ÖLÜ",""))</f>
        <v/>
      </c>
      <c r="R33" s="29">
        <f>IF($A33="","",IF($E33="","",raporTarihi-$E33))</f>
        <v/>
      </c>
      <c r="S33" s="29">
        <f>IF($A33="","",IF($R33="","",IF($R33&lt;=soa_kovaEsik1,"0-7",IF($R33&lt;=soa_kovaEsik2,"8-30",IF($R33&lt;=soa_kovaEsik3,"31-90","90+")))))</f>
        <v/>
      </c>
      <c r="T33" s="29">
        <f>IF($A33="","",IF($B33="","YETİM",IF(COUNTIF(tblKartlar[KartId],$B33)=0,"YETİM","")))</f>
        <v/>
      </c>
      <c r="U33" s="29">
        <f>IF(OR($A33="",$F33=""),"",IF(OR($F33&amp;"|"&amp;$G33="",COUNTIF(ListeIzinliGecis,$F33&amp;"|"&amp;$G33)&gt;0),"","GEÇERSİZ GEÇİŞ"))</f>
        <v/>
      </c>
      <c r="V33" s="29">
        <f>IF($A33="","",IF(OR($P33="",$J33=""),"",IF(ABS($J33-$P33)&gt;zincirTolerans,"ZİNCİR KIRIK","OK")))</f>
        <v/>
      </c>
      <c r="W33" s="29">
        <f>IF($A33="","",1)</f>
        <v/>
      </c>
      <c r="X33" s="29">
        <f>IF($A33="","",$K33*$I33)</f>
        <v/>
      </c>
    </row>
    <row r="34">
      <c r="A34" s="27" t="n"/>
      <c r="B34" s="27" t="n"/>
      <c r="C34" s="27" t="n"/>
      <c r="D34" s="30" t="n"/>
      <c r="E34" s="30" t="n"/>
      <c r="F34" s="27" t="n"/>
      <c r="G34" s="27" t="n"/>
      <c r="H34" s="28" t="n"/>
      <c r="I34" s="31" t="n"/>
      <c r="J34" s="31" t="n"/>
      <c r="K34" s="28" t="n"/>
      <c r="L34" s="32" t="n"/>
      <c r="M34" s="27" t="n"/>
      <c r="N34" s="27" t="n"/>
      <c r="O34" s="27" t="n"/>
      <c r="P34" s="29">
        <f>IF($A34="","",$H34*$I34)</f>
        <v/>
      </c>
      <c r="Q34" s="29">
        <f>IF(OR($A34="",$G34="KAPALI"),"",IF($L34&gt;soa_esikOluGun,"ÖLÜ",""))</f>
        <v/>
      </c>
      <c r="R34" s="29">
        <f>IF($A34="","",IF($E34="","",raporTarihi-$E34))</f>
        <v/>
      </c>
      <c r="S34" s="29">
        <f>IF($A34="","",IF($R34="","",IF($R34&lt;=soa_kovaEsik1,"0-7",IF($R34&lt;=soa_kovaEsik2,"8-30",IF($R34&lt;=soa_kovaEsik3,"31-90","90+")))))</f>
        <v/>
      </c>
      <c r="T34" s="29">
        <f>IF($A34="","",IF($B34="","YETİM",IF(COUNTIF(tblKartlar[KartId],$B34)=0,"YETİM","")))</f>
        <v/>
      </c>
      <c r="U34" s="29">
        <f>IF(OR($A34="",$F34=""),"",IF(OR($F34&amp;"|"&amp;$G34="",COUNTIF(ListeIzinliGecis,$F34&amp;"|"&amp;$G34)&gt;0),"","GEÇERSİZ GEÇİŞ"))</f>
        <v/>
      </c>
      <c r="V34" s="29">
        <f>IF($A34="","",IF(OR($P34="",$J34=""),"",IF(ABS($J34-$P34)&gt;zincirTolerans,"ZİNCİR KIRIK","OK")))</f>
        <v/>
      </c>
      <c r="W34" s="29">
        <f>IF($A34="","",1)</f>
        <v/>
      </c>
      <c r="X34" s="29">
        <f>IF($A34="","",$K34*$I34)</f>
        <v/>
      </c>
    </row>
    <row r="35">
      <c r="A35" s="27" t="n"/>
      <c r="B35" s="27" t="n"/>
      <c r="C35" s="27" t="n"/>
      <c r="D35" s="30" t="n"/>
      <c r="E35" s="30" t="n"/>
      <c r="F35" s="27" t="n"/>
      <c r="G35" s="27" t="n"/>
      <c r="H35" s="28" t="n"/>
      <c r="I35" s="31" t="n"/>
      <c r="J35" s="31" t="n"/>
      <c r="K35" s="28" t="n"/>
      <c r="L35" s="32" t="n"/>
      <c r="M35" s="27" t="n"/>
      <c r="N35" s="27" t="n"/>
      <c r="O35" s="27" t="n"/>
      <c r="P35" s="29">
        <f>IF($A35="","",$H35*$I35)</f>
        <v/>
      </c>
      <c r="Q35" s="29">
        <f>IF(OR($A35="",$G35="KAPALI"),"",IF($L35&gt;soa_esikOluGun,"ÖLÜ",""))</f>
        <v/>
      </c>
      <c r="R35" s="29">
        <f>IF($A35="","",IF($E35="","",raporTarihi-$E35))</f>
        <v/>
      </c>
      <c r="S35" s="29">
        <f>IF($A35="","",IF($R35="","",IF($R35&lt;=soa_kovaEsik1,"0-7",IF($R35&lt;=soa_kovaEsik2,"8-30",IF($R35&lt;=soa_kovaEsik3,"31-90","90+")))))</f>
        <v/>
      </c>
      <c r="T35" s="29">
        <f>IF($A35="","",IF($B35="","YETİM",IF(COUNTIF(tblKartlar[KartId],$B35)=0,"YETİM","")))</f>
        <v/>
      </c>
      <c r="U35" s="29">
        <f>IF(OR($A35="",$F35=""),"",IF(OR($F35&amp;"|"&amp;$G35="",COUNTIF(ListeIzinliGecis,$F35&amp;"|"&amp;$G35)&gt;0),"","GEÇERSİZ GEÇİŞ"))</f>
        <v/>
      </c>
      <c r="V35" s="29">
        <f>IF($A35="","",IF(OR($P35="",$J35=""),"",IF(ABS($J35-$P35)&gt;zincirTolerans,"ZİNCİR KIRIK","OK")))</f>
        <v/>
      </c>
      <c r="W35" s="29">
        <f>IF($A35="","",1)</f>
        <v/>
      </c>
      <c r="X35" s="29">
        <f>IF($A35="","",$K35*$I35)</f>
        <v/>
      </c>
    </row>
    <row r="36">
      <c r="A36" s="27" t="n"/>
      <c r="B36" s="27" t="n"/>
      <c r="C36" s="27" t="n"/>
      <c r="D36" s="30" t="n"/>
      <c r="E36" s="30" t="n"/>
      <c r="F36" s="27" t="n"/>
      <c r="G36" s="27" t="n"/>
      <c r="H36" s="28" t="n"/>
      <c r="I36" s="31" t="n"/>
      <c r="J36" s="31" t="n"/>
      <c r="K36" s="28" t="n"/>
      <c r="L36" s="32" t="n"/>
      <c r="M36" s="27" t="n"/>
      <c r="N36" s="27" t="n"/>
      <c r="O36" s="27" t="n"/>
      <c r="P36" s="29">
        <f>IF($A36="","",$H36*$I36)</f>
        <v/>
      </c>
      <c r="Q36" s="29">
        <f>IF(OR($A36="",$G36="KAPALI"),"",IF($L36&gt;soa_esikOluGun,"ÖLÜ",""))</f>
        <v/>
      </c>
      <c r="R36" s="29">
        <f>IF($A36="","",IF($E36="","",raporTarihi-$E36))</f>
        <v/>
      </c>
      <c r="S36" s="29">
        <f>IF($A36="","",IF($R36="","",IF($R36&lt;=soa_kovaEsik1,"0-7",IF($R36&lt;=soa_kovaEsik2,"8-30",IF($R36&lt;=soa_kovaEsik3,"31-90","90+")))))</f>
        <v/>
      </c>
      <c r="T36" s="29">
        <f>IF($A36="","",IF($B36="","YETİM",IF(COUNTIF(tblKartlar[KartId],$B36)=0,"YETİM","")))</f>
        <v/>
      </c>
      <c r="U36" s="29">
        <f>IF(OR($A36="",$F36=""),"",IF(OR($F36&amp;"|"&amp;$G36="",COUNTIF(ListeIzinliGecis,$F36&amp;"|"&amp;$G36)&gt;0),"","GEÇERSİZ GEÇİŞ"))</f>
        <v/>
      </c>
      <c r="V36" s="29">
        <f>IF($A36="","",IF(OR($P36="",$J36=""),"",IF(ABS($J36-$P36)&gt;zincirTolerans,"ZİNCİR KIRIK","OK")))</f>
        <v/>
      </c>
      <c r="W36" s="29">
        <f>IF($A36="","",1)</f>
        <v/>
      </c>
      <c r="X36" s="29">
        <f>IF($A36="","",$K36*$I36)</f>
        <v/>
      </c>
    </row>
    <row r="37">
      <c r="A37" s="27" t="n"/>
      <c r="B37" s="27" t="n"/>
      <c r="C37" s="27" t="n"/>
      <c r="D37" s="30" t="n"/>
      <c r="E37" s="30" t="n"/>
      <c r="F37" s="27" t="n"/>
      <c r="G37" s="27" t="n"/>
      <c r="H37" s="28" t="n"/>
      <c r="I37" s="31" t="n"/>
      <c r="J37" s="31" t="n"/>
      <c r="K37" s="28" t="n"/>
      <c r="L37" s="32" t="n"/>
      <c r="M37" s="27" t="n"/>
      <c r="N37" s="27" t="n"/>
      <c r="O37" s="27" t="n"/>
      <c r="P37" s="29">
        <f>IF($A37="","",$H37*$I37)</f>
        <v/>
      </c>
      <c r="Q37" s="29">
        <f>IF(OR($A37="",$G37="KAPALI"),"",IF($L37&gt;soa_esikOluGun,"ÖLÜ",""))</f>
        <v/>
      </c>
      <c r="R37" s="29">
        <f>IF($A37="","",IF($E37="","",raporTarihi-$E37))</f>
        <v/>
      </c>
      <c r="S37" s="29">
        <f>IF($A37="","",IF($R37="","",IF($R37&lt;=soa_kovaEsik1,"0-7",IF($R37&lt;=soa_kovaEsik2,"8-30",IF($R37&lt;=soa_kovaEsik3,"31-90","90+")))))</f>
        <v/>
      </c>
      <c r="T37" s="29">
        <f>IF($A37="","",IF($B37="","YETİM",IF(COUNTIF(tblKartlar[KartId],$B37)=0,"YETİM","")))</f>
        <v/>
      </c>
      <c r="U37" s="29">
        <f>IF(OR($A37="",$F37=""),"",IF(OR($F37&amp;"|"&amp;$G37="",COUNTIF(ListeIzinliGecis,$F37&amp;"|"&amp;$G37)&gt;0),"","GEÇERSİZ GEÇİŞ"))</f>
        <v/>
      </c>
      <c r="V37" s="29">
        <f>IF($A37="","",IF(OR($P37="",$J37=""),"",IF(ABS($J37-$P37)&gt;zincirTolerans,"ZİNCİR KIRIK","OK")))</f>
        <v/>
      </c>
      <c r="W37" s="29">
        <f>IF($A37="","",1)</f>
        <v/>
      </c>
      <c r="X37" s="29">
        <f>IF($A37="","",$K37*$I37)</f>
        <v/>
      </c>
    </row>
    <row r="38">
      <c r="A38" s="27" t="n"/>
      <c r="B38" s="27" t="n"/>
      <c r="C38" s="27" t="n"/>
      <c r="D38" s="30" t="n"/>
      <c r="E38" s="30" t="n"/>
      <c r="F38" s="27" t="n"/>
      <c r="G38" s="27" t="n"/>
      <c r="H38" s="28" t="n"/>
      <c r="I38" s="31" t="n"/>
      <c r="J38" s="31" t="n"/>
      <c r="K38" s="28" t="n"/>
      <c r="L38" s="32" t="n"/>
      <c r="M38" s="27" t="n"/>
      <c r="N38" s="27" t="n"/>
      <c r="O38" s="27" t="n"/>
      <c r="P38" s="29">
        <f>IF($A38="","",$H38*$I38)</f>
        <v/>
      </c>
      <c r="Q38" s="29">
        <f>IF(OR($A38="",$G38="KAPALI"),"",IF($L38&gt;soa_esikOluGun,"ÖLÜ",""))</f>
        <v/>
      </c>
      <c r="R38" s="29">
        <f>IF($A38="","",IF($E38="","",raporTarihi-$E38))</f>
        <v/>
      </c>
      <c r="S38" s="29">
        <f>IF($A38="","",IF($R38="","",IF($R38&lt;=soa_kovaEsik1,"0-7",IF($R38&lt;=soa_kovaEsik2,"8-30",IF($R38&lt;=soa_kovaEsik3,"31-90","90+")))))</f>
        <v/>
      </c>
      <c r="T38" s="29">
        <f>IF($A38="","",IF($B38="","YETİM",IF(COUNTIF(tblKartlar[KartId],$B38)=0,"YETİM","")))</f>
        <v/>
      </c>
      <c r="U38" s="29">
        <f>IF(OR($A38="",$F38=""),"",IF(OR($F38&amp;"|"&amp;$G38="",COUNTIF(ListeIzinliGecis,$F38&amp;"|"&amp;$G38)&gt;0),"","GEÇERSİZ GEÇİŞ"))</f>
        <v/>
      </c>
      <c r="V38" s="29">
        <f>IF($A38="","",IF(OR($P38="",$J38=""),"",IF(ABS($J38-$P38)&gt;zincirTolerans,"ZİNCİR KIRIK","OK")))</f>
        <v/>
      </c>
      <c r="W38" s="29">
        <f>IF($A38="","",1)</f>
        <v/>
      </c>
      <c r="X38" s="29">
        <f>IF($A38="","",$K38*$I38)</f>
        <v/>
      </c>
    </row>
    <row r="39">
      <c r="A39" s="27" t="n"/>
      <c r="B39" s="27" t="n"/>
      <c r="C39" s="27" t="n"/>
      <c r="D39" s="30" t="n"/>
      <c r="E39" s="30" t="n"/>
      <c r="F39" s="27" t="n"/>
      <c r="G39" s="27" t="n"/>
      <c r="H39" s="28" t="n"/>
      <c r="I39" s="31" t="n"/>
      <c r="J39" s="31" t="n"/>
      <c r="K39" s="28" t="n"/>
      <c r="L39" s="32" t="n"/>
      <c r="M39" s="27" t="n"/>
      <c r="N39" s="27" t="n"/>
      <c r="O39" s="27" t="n"/>
      <c r="P39" s="29">
        <f>IF($A39="","",$H39*$I39)</f>
        <v/>
      </c>
      <c r="Q39" s="29">
        <f>IF(OR($A39="",$G39="KAPALI"),"",IF($L39&gt;soa_esikOluGun,"ÖLÜ",""))</f>
        <v/>
      </c>
      <c r="R39" s="29">
        <f>IF($A39="","",IF($E39="","",raporTarihi-$E39))</f>
        <v/>
      </c>
      <c r="S39" s="29">
        <f>IF($A39="","",IF($R39="","",IF($R39&lt;=soa_kovaEsik1,"0-7",IF($R39&lt;=soa_kovaEsik2,"8-30",IF($R39&lt;=soa_kovaEsik3,"31-90","90+")))))</f>
        <v/>
      </c>
      <c r="T39" s="29">
        <f>IF($A39="","",IF($B39="","YETİM",IF(COUNTIF(tblKartlar[KartId],$B39)=0,"YETİM","")))</f>
        <v/>
      </c>
      <c r="U39" s="29">
        <f>IF(OR($A39="",$F39=""),"",IF(OR($F39&amp;"|"&amp;$G39="",COUNTIF(ListeIzinliGecis,$F39&amp;"|"&amp;$G39)&gt;0),"","GEÇERSİZ GEÇİŞ"))</f>
        <v/>
      </c>
      <c r="V39" s="29">
        <f>IF($A39="","",IF(OR($P39="",$J39=""),"",IF(ABS($J39-$P39)&gt;zincirTolerans,"ZİNCİR KIRIK","OK")))</f>
        <v/>
      </c>
      <c r="W39" s="29">
        <f>IF($A39="","",1)</f>
        <v/>
      </c>
      <c r="X39" s="29">
        <f>IF($A39="","",$K39*$I39)</f>
        <v/>
      </c>
    </row>
    <row r="40">
      <c r="A40" s="27" t="n"/>
      <c r="B40" s="27" t="n"/>
      <c r="C40" s="27" t="n"/>
      <c r="D40" s="30" t="n"/>
      <c r="E40" s="30" t="n"/>
      <c r="F40" s="27" t="n"/>
      <c r="G40" s="27" t="n"/>
      <c r="H40" s="28" t="n"/>
      <c r="I40" s="31" t="n"/>
      <c r="J40" s="31" t="n"/>
      <c r="K40" s="28" t="n"/>
      <c r="L40" s="32" t="n"/>
      <c r="M40" s="27" t="n"/>
      <c r="N40" s="27" t="n"/>
      <c r="O40" s="27" t="n"/>
      <c r="P40" s="29">
        <f>IF($A40="","",$H40*$I40)</f>
        <v/>
      </c>
      <c r="Q40" s="29">
        <f>IF(OR($A40="",$G40="KAPALI"),"",IF($L40&gt;soa_esikOluGun,"ÖLÜ",""))</f>
        <v/>
      </c>
      <c r="R40" s="29">
        <f>IF($A40="","",IF($E40="","",raporTarihi-$E40))</f>
        <v/>
      </c>
      <c r="S40" s="29">
        <f>IF($A40="","",IF($R40="","",IF($R40&lt;=soa_kovaEsik1,"0-7",IF($R40&lt;=soa_kovaEsik2,"8-30",IF($R40&lt;=soa_kovaEsik3,"31-90","90+")))))</f>
        <v/>
      </c>
      <c r="T40" s="29">
        <f>IF($A40="","",IF($B40="","YETİM",IF(COUNTIF(tblKartlar[KartId],$B40)=0,"YETİM","")))</f>
        <v/>
      </c>
      <c r="U40" s="29">
        <f>IF(OR($A40="",$F40=""),"",IF(OR($F40&amp;"|"&amp;$G40="",COUNTIF(ListeIzinliGecis,$F40&amp;"|"&amp;$G40)&gt;0),"","GEÇERSİZ GEÇİŞ"))</f>
        <v/>
      </c>
      <c r="V40" s="29">
        <f>IF($A40="","",IF(OR($P40="",$J40=""),"",IF(ABS($J40-$P40)&gt;zincirTolerans,"ZİNCİR KIRIK","OK")))</f>
        <v/>
      </c>
      <c r="W40" s="29">
        <f>IF($A40="","",1)</f>
        <v/>
      </c>
      <c r="X40" s="29">
        <f>IF($A40="","",$K40*$I40)</f>
        <v/>
      </c>
    </row>
    <row r="41">
      <c r="A41" s="27" t="n"/>
      <c r="B41" s="27" t="n"/>
      <c r="C41" s="27" t="n"/>
      <c r="D41" s="30" t="n"/>
      <c r="E41" s="30" t="n"/>
      <c r="F41" s="27" t="n"/>
      <c r="G41" s="27" t="n"/>
      <c r="H41" s="28" t="n"/>
      <c r="I41" s="31" t="n"/>
      <c r="J41" s="31" t="n"/>
      <c r="K41" s="28" t="n"/>
      <c r="L41" s="32" t="n"/>
      <c r="M41" s="27" t="n"/>
      <c r="N41" s="27" t="n"/>
      <c r="O41" s="27" t="n"/>
      <c r="P41" s="29">
        <f>IF($A41="","",$H41*$I41)</f>
        <v/>
      </c>
      <c r="Q41" s="29">
        <f>IF(OR($A41="",$G41="KAPALI"),"",IF($L41&gt;soa_esikOluGun,"ÖLÜ",""))</f>
        <v/>
      </c>
      <c r="R41" s="29">
        <f>IF($A41="","",IF($E41="","",raporTarihi-$E41))</f>
        <v/>
      </c>
      <c r="S41" s="29">
        <f>IF($A41="","",IF($R41="","",IF($R41&lt;=soa_kovaEsik1,"0-7",IF($R41&lt;=soa_kovaEsik2,"8-30",IF($R41&lt;=soa_kovaEsik3,"31-90","90+")))))</f>
        <v/>
      </c>
      <c r="T41" s="29">
        <f>IF($A41="","",IF($B41="","YETİM",IF(COUNTIF(tblKartlar[KartId],$B41)=0,"YETİM","")))</f>
        <v/>
      </c>
      <c r="U41" s="29">
        <f>IF(OR($A41="",$F41=""),"",IF(OR($F41&amp;"|"&amp;$G41="",COUNTIF(ListeIzinliGecis,$F41&amp;"|"&amp;$G41)&gt;0),"","GEÇERSİZ GEÇİŞ"))</f>
        <v/>
      </c>
      <c r="V41" s="29">
        <f>IF($A41="","",IF(OR($P41="",$J41=""),"",IF(ABS($J41-$P41)&gt;zincirTolerans,"ZİNCİR KIRIK","OK")))</f>
        <v/>
      </c>
      <c r="W41" s="29">
        <f>IF($A41="","",1)</f>
        <v/>
      </c>
      <c r="X41" s="29">
        <f>IF($A41="","",$K41*$I41)</f>
        <v/>
      </c>
    </row>
    <row r="42">
      <c r="A42" s="27" t="n"/>
      <c r="B42" s="27" t="n"/>
      <c r="C42" s="27" t="n"/>
      <c r="D42" s="30" t="n"/>
      <c r="E42" s="30" t="n"/>
      <c r="F42" s="27" t="n"/>
      <c r="G42" s="27" t="n"/>
      <c r="H42" s="28" t="n"/>
      <c r="I42" s="31" t="n"/>
      <c r="J42" s="31" t="n"/>
      <c r="K42" s="28" t="n"/>
      <c r="L42" s="32" t="n"/>
      <c r="M42" s="27" t="n"/>
      <c r="N42" s="27" t="n"/>
      <c r="O42" s="27" t="n"/>
      <c r="P42" s="29">
        <f>IF($A42="","",$H42*$I42)</f>
        <v/>
      </c>
      <c r="Q42" s="29">
        <f>IF(OR($A42="",$G42="KAPALI"),"",IF($L42&gt;soa_esikOluGun,"ÖLÜ",""))</f>
        <v/>
      </c>
      <c r="R42" s="29">
        <f>IF($A42="","",IF($E42="","",raporTarihi-$E42))</f>
        <v/>
      </c>
      <c r="S42" s="29">
        <f>IF($A42="","",IF($R42="","",IF($R42&lt;=soa_kovaEsik1,"0-7",IF($R42&lt;=soa_kovaEsik2,"8-30",IF($R42&lt;=soa_kovaEsik3,"31-90","90+")))))</f>
        <v/>
      </c>
      <c r="T42" s="29">
        <f>IF($A42="","",IF($B42="","YETİM",IF(COUNTIF(tblKartlar[KartId],$B42)=0,"YETİM","")))</f>
        <v/>
      </c>
      <c r="U42" s="29">
        <f>IF(OR($A42="",$F42=""),"",IF(OR($F42&amp;"|"&amp;$G42="",COUNTIF(ListeIzinliGecis,$F42&amp;"|"&amp;$G42)&gt;0),"","GEÇERSİZ GEÇİŞ"))</f>
        <v/>
      </c>
      <c r="V42" s="29">
        <f>IF($A42="","",IF(OR($P42="",$J42=""),"",IF(ABS($J42-$P42)&gt;zincirTolerans,"ZİNCİR KIRIK","OK")))</f>
        <v/>
      </c>
      <c r="W42" s="29">
        <f>IF($A42="","",1)</f>
        <v/>
      </c>
      <c r="X42" s="29">
        <f>IF($A42="","",$K42*$I42)</f>
        <v/>
      </c>
    </row>
    <row r="43">
      <c r="A43" s="27" t="n"/>
      <c r="B43" s="27" t="n"/>
      <c r="C43" s="27" t="n"/>
      <c r="D43" s="30" t="n"/>
      <c r="E43" s="30" t="n"/>
      <c r="F43" s="27" t="n"/>
      <c r="G43" s="27" t="n"/>
      <c r="H43" s="28" t="n"/>
      <c r="I43" s="31" t="n"/>
      <c r="J43" s="31" t="n"/>
      <c r="K43" s="28" t="n"/>
      <c r="L43" s="32" t="n"/>
      <c r="M43" s="27" t="n"/>
      <c r="N43" s="27" t="n"/>
      <c r="O43" s="27" t="n"/>
      <c r="P43" s="29">
        <f>IF($A43="","",$H43*$I43)</f>
        <v/>
      </c>
      <c r="Q43" s="29">
        <f>IF(OR($A43="",$G43="KAPALI"),"",IF($L43&gt;soa_esikOluGun,"ÖLÜ",""))</f>
        <v/>
      </c>
      <c r="R43" s="29">
        <f>IF($A43="","",IF($E43="","",raporTarihi-$E43))</f>
        <v/>
      </c>
      <c r="S43" s="29">
        <f>IF($A43="","",IF($R43="","",IF($R43&lt;=soa_kovaEsik1,"0-7",IF($R43&lt;=soa_kovaEsik2,"8-30",IF($R43&lt;=soa_kovaEsik3,"31-90","90+")))))</f>
        <v/>
      </c>
      <c r="T43" s="29">
        <f>IF($A43="","",IF($B43="","YETİM",IF(COUNTIF(tblKartlar[KartId],$B43)=0,"YETİM","")))</f>
        <v/>
      </c>
      <c r="U43" s="29">
        <f>IF(OR($A43="",$F43=""),"",IF(OR($F43&amp;"|"&amp;$G43="",COUNTIF(ListeIzinliGecis,$F43&amp;"|"&amp;$G43)&gt;0),"","GEÇERSİZ GEÇİŞ"))</f>
        <v/>
      </c>
      <c r="V43" s="29">
        <f>IF($A43="","",IF(OR($P43="",$J43=""),"",IF(ABS($J43-$P43)&gt;zincirTolerans,"ZİNCİR KIRIK","OK")))</f>
        <v/>
      </c>
      <c r="W43" s="29">
        <f>IF($A43="","",1)</f>
        <v/>
      </c>
      <c r="X43" s="29">
        <f>IF($A43="","",$K43*$I43)</f>
        <v/>
      </c>
    </row>
    <row r="44">
      <c r="A44" s="27" t="n"/>
      <c r="B44" s="27" t="n"/>
      <c r="C44" s="27" t="n"/>
      <c r="D44" s="30" t="n"/>
      <c r="E44" s="30" t="n"/>
      <c r="F44" s="27" t="n"/>
      <c r="G44" s="27" t="n"/>
      <c r="H44" s="28" t="n"/>
      <c r="I44" s="31" t="n"/>
      <c r="J44" s="31" t="n"/>
      <c r="K44" s="28" t="n"/>
      <c r="L44" s="32" t="n"/>
      <c r="M44" s="27" t="n"/>
      <c r="N44" s="27" t="n"/>
      <c r="O44" s="27" t="n"/>
      <c r="P44" s="29">
        <f>IF($A44="","",$H44*$I44)</f>
        <v/>
      </c>
      <c r="Q44" s="29">
        <f>IF(OR($A44="",$G44="KAPALI"),"",IF($L44&gt;soa_esikOluGun,"ÖLÜ",""))</f>
        <v/>
      </c>
      <c r="R44" s="29">
        <f>IF($A44="","",IF($E44="","",raporTarihi-$E44))</f>
        <v/>
      </c>
      <c r="S44" s="29">
        <f>IF($A44="","",IF($R44="","",IF($R44&lt;=soa_kovaEsik1,"0-7",IF($R44&lt;=soa_kovaEsik2,"8-30",IF($R44&lt;=soa_kovaEsik3,"31-90","90+")))))</f>
        <v/>
      </c>
      <c r="T44" s="29">
        <f>IF($A44="","",IF($B44="","YETİM",IF(COUNTIF(tblKartlar[KartId],$B44)=0,"YETİM","")))</f>
        <v/>
      </c>
      <c r="U44" s="29">
        <f>IF(OR($A44="",$F44=""),"",IF(OR($F44&amp;"|"&amp;$G44="",COUNTIF(ListeIzinliGecis,$F44&amp;"|"&amp;$G44)&gt;0),"","GEÇERSİZ GEÇİŞ"))</f>
        <v/>
      </c>
      <c r="V44" s="29">
        <f>IF($A44="","",IF(OR($P44="",$J44=""),"",IF(ABS($J44-$P44)&gt;zincirTolerans,"ZİNCİR KIRIK","OK")))</f>
        <v/>
      </c>
      <c r="W44" s="29">
        <f>IF($A44="","",1)</f>
        <v/>
      </c>
      <c r="X44" s="29">
        <f>IF($A44="","",$K44*$I44)</f>
        <v/>
      </c>
    </row>
    <row r="45">
      <c r="A45" s="27" t="n"/>
      <c r="B45" s="27" t="n"/>
      <c r="C45" s="27" t="n"/>
      <c r="D45" s="30" t="n"/>
      <c r="E45" s="30" t="n"/>
      <c r="F45" s="27" t="n"/>
      <c r="G45" s="27" t="n"/>
      <c r="H45" s="28" t="n"/>
      <c r="I45" s="31" t="n"/>
      <c r="J45" s="31" t="n"/>
      <c r="K45" s="28" t="n"/>
      <c r="L45" s="32" t="n"/>
      <c r="M45" s="27" t="n"/>
      <c r="N45" s="27" t="n"/>
      <c r="O45" s="27" t="n"/>
      <c r="P45" s="29">
        <f>IF($A45="","",$H45*$I45)</f>
        <v/>
      </c>
      <c r="Q45" s="29">
        <f>IF(OR($A45="",$G45="KAPALI"),"",IF($L45&gt;soa_esikOluGun,"ÖLÜ",""))</f>
        <v/>
      </c>
      <c r="R45" s="29">
        <f>IF($A45="","",IF($E45="","",raporTarihi-$E45))</f>
        <v/>
      </c>
      <c r="S45" s="29">
        <f>IF($A45="","",IF($R45="","",IF($R45&lt;=soa_kovaEsik1,"0-7",IF($R45&lt;=soa_kovaEsik2,"8-30",IF($R45&lt;=soa_kovaEsik3,"31-90","90+")))))</f>
        <v/>
      </c>
      <c r="T45" s="29">
        <f>IF($A45="","",IF($B45="","YETİM",IF(COUNTIF(tblKartlar[KartId],$B45)=0,"YETİM","")))</f>
        <v/>
      </c>
      <c r="U45" s="29">
        <f>IF(OR($A45="",$F45=""),"",IF(OR($F45&amp;"|"&amp;$G45="",COUNTIF(ListeIzinliGecis,$F45&amp;"|"&amp;$G45)&gt;0),"","GEÇERSİZ GEÇİŞ"))</f>
        <v/>
      </c>
      <c r="V45" s="29">
        <f>IF($A45="","",IF(OR($P45="",$J45=""),"",IF(ABS($J45-$P45)&gt;zincirTolerans,"ZİNCİR KIRIK","OK")))</f>
        <v/>
      </c>
      <c r="W45" s="29">
        <f>IF($A45="","",1)</f>
        <v/>
      </c>
      <c r="X45" s="29">
        <f>IF($A45="","",$K45*$I45)</f>
        <v/>
      </c>
    </row>
    <row r="46">
      <c r="A46" s="27" t="n"/>
      <c r="B46" s="27" t="n"/>
      <c r="C46" s="27" t="n"/>
      <c r="D46" s="30" t="n"/>
      <c r="E46" s="30" t="n"/>
      <c r="F46" s="27" t="n"/>
      <c r="G46" s="27" t="n"/>
      <c r="H46" s="28" t="n"/>
      <c r="I46" s="31" t="n"/>
      <c r="J46" s="31" t="n"/>
      <c r="K46" s="28" t="n"/>
      <c r="L46" s="32" t="n"/>
      <c r="M46" s="27" t="n"/>
      <c r="N46" s="27" t="n"/>
      <c r="O46" s="27" t="n"/>
      <c r="P46" s="29">
        <f>IF($A46="","",$H46*$I46)</f>
        <v/>
      </c>
      <c r="Q46" s="29">
        <f>IF(OR($A46="",$G46="KAPALI"),"",IF($L46&gt;soa_esikOluGun,"ÖLÜ",""))</f>
        <v/>
      </c>
      <c r="R46" s="29">
        <f>IF($A46="","",IF($E46="","",raporTarihi-$E46))</f>
        <v/>
      </c>
      <c r="S46" s="29">
        <f>IF($A46="","",IF($R46="","",IF($R46&lt;=soa_kovaEsik1,"0-7",IF($R46&lt;=soa_kovaEsik2,"8-30",IF($R46&lt;=soa_kovaEsik3,"31-90","90+")))))</f>
        <v/>
      </c>
      <c r="T46" s="29">
        <f>IF($A46="","",IF($B46="","YETİM",IF(COUNTIF(tblKartlar[KartId],$B46)=0,"YETİM","")))</f>
        <v/>
      </c>
      <c r="U46" s="29">
        <f>IF(OR($A46="",$F46=""),"",IF(OR($F46&amp;"|"&amp;$G46="",COUNTIF(ListeIzinliGecis,$F46&amp;"|"&amp;$G46)&gt;0),"","GEÇERSİZ GEÇİŞ"))</f>
        <v/>
      </c>
      <c r="V46" s="29">
        <f>IF($A46="","",IF(OR($P46="",$J46=""),"",IF(ABS($J46-$P46)&gt;zincirTolerans,"ZİNCİR KIRIK","OK")))</f>
        <v/>
      </c>
      <c r="W46" s="29">
        <f>IF($A46="","",1)</f>
        <v/>
      </c>
      <c r="X46" s="29">
        <f>IF($A46="","",$K46*$I46)</f>
        <v/>
      </c>
    </row>
    <row r="47">
      <c r="A47" s="27" t="n"/>
      <c r="B47" s="27" t="n"/>
      <c r="C47" s="27" t="n"/>
      <c r="D47" s="30" t="n"/>
      <c r="E47" s="30" t="n"/>
      <c r="F47" s="27" t="n"/>
      <c r="G47" s="27" t="n"/>
      <c r="H47" s="28" t="n"/>
      <c r="I47" s="31" t="n"/>
      <c r="J47" s="31" t="n"/>
      <c r="K47" s="28" t="n"/>
      <c r="L47" s="32" t="n"/>
      <c r="M47" s="27" t="n"/>
      <c r="N47" s="27" t="n"/>
      <c r="O47" s="27" t="n"/>
      <c r="P47" s="29">
        <f>IF($A47="","",$H47*$I47)</f>
        <v/>
      </c>
      <c r="Q47" s="29">
        <f>IF(OR($A47="",$G47="KAPALI"),"",IF($L47&gt;soa_esikOluGun,"ÖLÜ",""))</f>
        <v/>
      </c>
      <c r="R47" s="29">
        <f>IF($A47="","",IF($E47="","",raporTarihi-$E47))</f>
        <v/>
      </c>
      <c r="S47" s="29">
        <f>IF($A47="","",IF($R47="","",IF($R47&lt;=soa_kovaEsik1,"0-7",IF($R47&lt;=soa_kovaEsik2,"8-30",IF($R47&lt;=soa_kovaEsik3,"31-90","90+")))))</f>
        <v/>
      </c>
      <c r="T47" s="29">
        <f>IF($A47="","",IF($B47="","YETİM",IF(COUNTIF(tblKartlar[KartId],$B47)=0,"YETİM","")))</f>
        <v/>
      </c>
      <c r="U47" s="29">
        <f>IF(OR($A47="",$F47=""),"",IF(OR($F47&amp;"|"&amp;$G47="",COUNTIF(ListeIzinliGecis,$F47&amp;"|"&amp;$G47)&gt;0),"","GEÇERSİZ GEÇİŞ"))</f>
        <v/>
      </c>
      <c r="V47" s="29">
        <f>IF($A47="","",IF(OR($P47="",$J47=""),"",IF(ABS($J47-$P47)&gt;zincirTolerans,"ZİNCİR KIRIK","OK")))</f>
        <v/>
      </c>
      <c r="W47" s="29">
        <f>IF($A47="","",1)</f>
        <v/>
      </c>
      <c r="X47" s="29">
        <f>IF($A47="","",$K47*$I47)</f>
        <v/>
      </c>
    </row>
    <row r="48">
      <c r="A48" s="27" t="n"/>
      <c r="B48" s="27" t="n"/>
      <c r="C48" s="27" t="n"/>
      <c r="D48" s="30" t="n"/>
      <c r="E48" s="30" t="n"/>
      <c r="F48" s="27" t="n"/>
      <c r="G48" s="27" t="n"/>
      <c r="H48" s="28" t="n"/>
      <c r="I48" s="31" t="n"/>
      <c r="J48" s="31" t="n"/>
      <c r="K48" s="28" t="n"/>
      <c r="L48" s="32" t="n"/>
      <c r="M48" s="27" t="n"/>
      <c r="N48" s="27" t="n"/>
      <c r="O48" s="27" t="n"/>
      <c r="P48" s="29">
        <f>IF($A48="","",$H48*$I48)</f>
        <v/>
      </c>
      <c r="Q48" s="29">
        <f>IF(OR($A48="",$G48="KAPALI"),"",IF($L48&gt;soa_esikOluGun,"ÖLÜ",""))</f>
        <v/>
      </c>
      <c r="R48" s="29">
        <f>IF($A48="","",IF($E48="","",raporTarihi-$E48))</f>
        <v/>
      </c>
      <c r="S48" s="29">
        <f>IF($A48="","",IF($R48="","",IF($R48&lt;=soa_kovaEsik1,"0-7",IF($R48&lt;=soa_kovaEsik2,"8-30",IF($R48&lt;=soa_kovaEsik3,"31-90","90+")))))</f>
        <v/>
      </c>
      <c r="T48" s="29">
        <f>IF($A48="","",IF($B48="","YETİM",IF(COUNTIF(tblKartlar[KartId],$B48)=0,"YETİM","")))</f>
        <v/>
      </c>
      <c r="U48" s="29">
        <f>IF(OR($A48="",$F48=""),"",IF(OR($F48&amp;"|"&amp;$G48="",COUNTIF(ListeIzinliGecis,$F48&amp;"|"&amp;$G48)&gt;0),"","GEÇERSİZ GEÇİŞ"))</f>
        <v/>
      </c>
      <c r="V48" s="29">
        <f>IF($A48="","",IF(OR($P48="",$J48=""),"",IF(ABS($J48-$P48)&gt;zincirTolerans,"ZİNCİR KIRIK","OK")))</f>
        <v/>
      </c>
      <c r="W48" s="29">
        <f>IF($A48="","",1)</f>
        <v/>
      </c>
      <c r="X48" s="29">
        <f>IF($A48="","",$K48*$I48)</f>
        <v/>
      </c>
    </row>
    <row r="49">
      <c r="A49" s="27" t="n"/>
      <c r="B49" s="27" t="n"/>
      <c r="C49" s="27" t="n"/>
      <c r="D49" s="30" t="n"/>
      <c r="E49" s="30" t="n"/>
      <c r="F49" s="27" t="n"/>
      <c r="G49" s="27" t="n"/>
      <c r="H49" s="28" t="n"/>
      <c r="I49" s="31" t="n"/>
      <c r="J49" s="31" t="n"/>
      <c r="K49" s="28" t="n"/>
      <c r="L49" s="32" t="n"/>
      <c r="M49" s="27" t="n"/>
      <c r="N49" s="27" t="n"/>
      <c r="O49" s="27" t="n"/>
      <c r="P49" s="29">
        <f>IF($A49="","",$H49*$I49)</f>
        <v/>
      </c>
      <c r="Q49" s="29">
        <f>IF(OR($A49="",$G49="KAPALI"),"",IF($L49&gt;soa_esikOluGun,"ÖLÜ",""))</f>
        <v/>
      </c>
      <c r="R49" s="29">
        <f>IF($A49="","",IF($E49="","",raporTarihi-$E49))</f>
        <v/>
      </c>
      <c r="S49" s="29">
        <f>IF($A49="","",IF($R49="","",IF($R49&lt;=soa_kovaEsik1,"0-7",IF($R49&lt;=soa_kovaEsik2,"8-30",IF($R49&lt;=soa_kovaEsik3,"31-90","90+")))))</f>
        <v/>
      </c>
      <c r="T49" s="29">
        <f>IF($A49="","",IF($B49="","YETİM",IF(COUNTIF(tblKartlar[KartId],$B49)=0,"YETİM","")))</f>
        <v/>
      </c>
      <c r="U49" s="29">
        <f>IF(OR($A49="",$F49=""),"",IF(OR($F49&amp;"|"&amp;$G49="",COUNTIF(ListeIzinliGecis,$F49&amp;"|"&amp;$G49)&gt;0),"","GEÇERSİZ GEÇİŞ"))</f>
        <v/>
      </c>
      <c r="V49" s="29">
        <f>IF($A49="","",IF(OR($P49="",$J49=""),"",IF(ABS($J49-$P49)&gt;zincirTolerans,"ZİNCİR KIRIK","OK")))</f>
        <v/>
      </c>
      <c r="W49" s="29">
        <f>IF($A49="","",1)</f>
        <v/>
      </c>
      <c r="X49" s="29">
        <f>IF($A49="","",$K49*$I49)</f>
        <v/>
      </c>
    </row>
    <row r="50">
      <c r="A50" s="27" t="n"/>
      <c r="B50" s="27" t="n"/>
      <c r="C50" s="27" t="n"/>
      <c r="D50" s="30" t="n"/>
      <c r="E50" s="30" t="n"/>
      <c r="F50" s="27" t="n"/>
      <c r="G50" s="27" t="n"/>
      <c r="H50" s="28" t="n"/>
      <c r="I50" s="31" t="n"/>
      <c r="J50" s="31" t="n"/>
      <c r="K50" s="28" t="n"/>
      <c r="L50" s="32" t="n"/>
      <c r="M50" s="27" t="n"/>
      <c r="N50" s="27" t="n"/>
      <c r="O50" s="27" t="n"/>
      <c r="P50" s="29">
        <f>IF($A50="","",$H50*$I50)</f>
        <v/>
      </c>
      <c r="Q50" s="29">
        <f>IF(OR($A50="",$G50="KAPALI"),"",IF($L50&gt;soa_esikOluGun,"ÖLÜ",""))</f>
        <v/>
      </c>
      <c r="R50" s="29">
        <f>IF($A50="","",IF($E50="","",raporTarihi-$E50))</f>
        <v/>
      </c>
      <c r="S50" s="29">
        <f>IF($A50="","",IF($R50="","",IF($R50&lt;=soa_kovaEsik1,"0-7",IF($R50&lt;=soa_kovaEsik2,"8-30",IF($R50&lt;=soa_kovaEsik3,"31-90","90+")))))</f>
        <v/>
      </c>
      <c r="T50" s="29">
        <f>IF($A50="","",IF($B50="","YETİM",IF(COUNTIF(tblKartlar[KartId],$B50)=0,"YETİM","")))</f>
        <v/>
      </c>
      <c r="U50" s="29">
        <f>IF(OR($A50="",$F50=""),"",IF(OR($F50&amp;"|"&amp;$G50="",COUNTIF(ListeIzinliGecis,$F50&amp;"|"&amp;$G50)&gt;0),"","GEÇERSİZ GEÇİŞ"))</f>
        <v/>
      </c>
      <c r="V50" s="29">
        <f>IF($A50="","",IF(OR($P50="",$J50=""),"",IF(ABS($J50-$P50)&gt;zincirTolerans,"ZİNCİR KIRIK","OK")))</f>
        <v/>
      </c>
      <c r="W50" s="29">
        <f>IF($A50="","",1)</f>
        <v/>
      </c>
      <c r="X50" s="29">
        <f>IF($A50="","",$K50*$I50)</f>
        <v/>
      </c>
    </row>
    <row r="51">
      <c r="A51" s="27" t="n"/>
      <c r="B51" s="27" t="n"/>
      <c r="C51" s="27" t="n"/>
      <c r="D51" s="30" t="n"/>
      <c r="E51" s="30" t="n"/>
      <c r="F51" s="27" t="n"/>
      <c r="G51" s="27" t="n"/>
      <c r="H51" s="28" t="n"/>
      <c r="I51" s="31" t="n"/>
      <c r="J51" s="31" t="n"/>
      <c r="K51" s="28" t="n"/>
      <c r="L51" s="32" t="n"/>
      <c r="M51" s="27" t="n"/>
      <c r="N51" s="27" t="n"/>
      <c r="O51" s="27" t="n"/>
      <c r="P51" s="29">
        <f>IF($A51="","",$H51*$I51)</f>
        <v/>
      </c>
      <c r="Q51" s="29">
        <f>IF(OR($A51="",$G51="KAPALI"),"",IF($L51&gt;soa_esikOluGun,"ÖLÜ",""))</f>
        <v/>
      </c>
      <c r="R51" s="29">
        <f>IF($A51="","",IF($E51="","",raporTarihi-$E51))</f>
        <v/>
      </c>
      <c r="S51" s="29">
        <f>IF($A51="","",IF($R51="","",IF($R51&lt;=soa_kovaEsik1,"0-7",IF($R51&lt;=soa_kovaEsik2,"8-30",IF($R51&lt;=soa_kovaEsik3,"31-90","90+")))))</f>
        <v/>
      </c>
      <c r="T51" s="29">
        <f>IF($A51="","",IF($B51="","YETİM",IF(COUNTIF(tblKartlar[KartId],$B51)=0,"YETİM","")))</f>
        <v/>
      </c>
      <c r="U51" s="29">
        <f>IF(OR($A51="",$F51=""),"",IF(OR($F51&amp;"|"&amp;$G51="",COUNTIF(ListeIzinliGecis,$F51&amp;"|"&amp;$G51)&gt;0),"","GEÇERSİZ GEÇİŞ"))</f>
        <v/>
      </c>
      <c r="V51" s="29">
        <f>IF($A51="","",IF(OR($P51="",$J51=""),"",IF(ABS($J51-$P51)&gt;zincirTolerans,"ZİNCİR KIRIK","OK")))</f>
        <v/>
      </c>
      <c r="W51" s="29">
        <f>IF($A51="","",1)</f>
        <v/>
      </c>
      <c r="X51" s="29">
        <f>IF($A51="","",$K51*$I51)</f>
        <v/>
      </c>
    </row>
    <row r="52">
      <c r="A52" s="27" t="n"/>
      <c r="B52" s="27" t="n"/>
      <c r="C52" s="27" t="n"/>
      <c r="D52" s="30" t="n"/>
      <c r="E52" s="30" t="n"/>
      <c r="F52" s="27" t="n"/>
      <c r="G52" s="27" t="n"/>
      <c r="H52" s="28" t="n"/>
      <c r="I52" s="31" t="n"/>
      <c r="J52" s="31" t="n"/>
      <c r="K52" s="28" t="n"/>
      <c r="L52" s="32" t="n"/>
      <c r="M52" s="27" t="n"/>
      <c r="N52" s="27" t="n"/>
      <c r="O52" s="27" t="n"/>
      <c r="P52" s="29">
        <f>IF($A52="","",$H52*$I52)</f>
        <v/>
      </c>
      <c r="Q52" s="29">
        <f>IF(OR($A52="",$G52="KAPALI"),"",IF($L52&gt;soa_esikOluGun,"ÖLÜ",""))</f>
        <v/>
      </c>
      <c r="R52" s="29">
        <f>IF($A52="","",IF($E52="","",raporTarihi-$E52))</f>
        <v/>
      </c>
      <c r="S52" s="29">
        <f>IF($A52="","",IF($R52="","",IF($R52&lt;=soa_kovaEsik1,"0-7",IF($R52&lt;=soa_kovaEsik2,"8-30",IF($R52&lt;=soa_kovaEsik3,"31-90","90+")))))</f>
        <v/>
      </c>
      <c r="T52" s="29">
        <f>IF($A52="","",IF($B52="","YETİM",IF(COUNTIF(tblKartlar[KartId],$B52)=0,"YETİM","")))</f>
        <v/>
      </c>
      <c r="U52" s="29">
        <f>IF(OR($A52="",$F52=""),"",IF(OR($F52&amp;"|"&amp;$G52="",COUNTIF(ListeIzinliGecis,$F52&amp;"|"&amp;$G52)&gt;0),"","GEÇERSİZ GEÇİŞ"))</f>
        <v/>
      </c>
      <c r="V52" s="29">
        <f>IF($A52="","",IF(OR($P52="",$J52=""),"",IF(ABS($J52-$P52)&gt;zincirTolerans,"ZİNCİR KIRIK","OK")))</f>
        <v/>
      </c>
      <c r="W52" s="29">
        <f>IF($A52="","",1)</f>
        <v/>
      </c>
      <c r="X52" s="29">
        <f>IF($A52="","",$K52*$I52)</f>
        <v/>
      </c>
    </row>
    <row r="53">
      <c r="A53" s="27" t="n"/>
      <c r="B53" s="27" t="n"/>
      <c r="C53" s="27" t="n"/>
      <c r="D53" s="30" t="n"/>
      <c r="E53" s="30" t="n"/>
      <c r="F53" s="27" t="n"/>
      <c r="G53" s="27" t="n"/>
      <c r="H53" s="28" t="n"/>
      <c r="I53" s="31" t="n"/>
      <c r="J53" s="31" t="n"/>
      <c r="K53" s="28" t="n"/>
      <c r="L53" s="32" t="n"/>
      <c r="M53" s="27" t="n"/>
      <c r="N53" s="27" t="n"/>
      <c r="O53" s="27" t="n"/>
      <c r="P53" s="29">
        <f>IF($A53="","",$H53*$I53)</f>
        <v/>
      </c>
      <c r="Q53" s="29">
        <f>IF(OR($A53="",$G53="KAPALI"),"",IF($L53&gt;soa_esikOluGun,"ÖLÜ",""))</f>
        <v/>
      </c>
      <c r="R53" s="29">
        <f>IF($A53="","",IF($E53="","",raporTarihi-$E53))</f>
        <v/>
      </c>
      <c r="S53" s="29">
        <f>IF($A53="","",IF($R53="","",IF($R53&lt;=soa_kovaEsik1,"0-7",IF($R53&lt;=soa_kovaEsik2,"8-30",IF($R53&lt;=soa_kovaEsik3,"31-90","90+")))))</f>
        <v/>
      </c>
      <c r="T53" s="29">
        <f>IF($A53="","",IF($B53="","YETİM",IF(COUNTIF(tblKartlar[KartId],$B53)=0,"YETİM","")))</f>
        <v/>
      </c>
      <c r="U53" s="29">
        <f>IF(OR($A53="",$F53=""),"",IF(OR($F53&amp;"|"&amp;$G53="",COUNTIF(ListeIzinliGecis,$F53&amp;"|"&amp;$G53)&gt;0),"","GEÇERSİZ GEÇİŞ"))</f>
        <v/>
      </c>
      <c r="V53" s="29">
        <f>IF($A53="","",IF(OR($P53="",$J53=""),"",IF(ABS($J53-$P53)&gt;zincirTolerans,"ZİNCİR KIRIK","OK")))</f>
        <v/>
      </c>
      <c r="W53" s="29">
        <f>IF($A53="","",1)</f>
        <v/>
      </c>
      <c r="X53" s="29">
        <f>IF($A53="","",$K53*$I53)</f>
        <v/>
      </c>
    </row>
    <row r="54">
      <c r="A54" s="27" t="n"/>
      <c r="B54" s="27" t="n"/>
      <c r="C54" s="27" t="n"/>
      <c r="D54" s="30" t="n"/>
      <c r="E54" s="30" t="n"/>
      <c r="F54" s="27" t="n"/>
      <c r="G54" s="27" t="n"/>
      <c r="H54" s="28" t="n"/>
      <c r="I54" s="31" t="n"/>
      <c r="J54" s="31" t="n"/>
      <c r="K54" s="28" t="n"/>
      <c r="L54" s="32" t="n"/>
      <c r="M54" s="27" t="n"/>
      <c r="N54" s="27" t="n"/>
      <c r="O54" s="27" t="n"/>
      <c r="P54" s="29">
        <f>IF($A54="","",$H54*$I54)</f>
        <v/>
      </c>
      <c r="Q54" s="29">
        <f>IF(OR($A54="",$G54="KAPALI"),"",IF($L54&gt;soa_esikOluGun,"ÖLÜ",""))</f>
        <v/>
      </c>
      <c r="R54" s="29">
        <f>IF($A54="","",IF($E54="","",raporTarihi-$E54))</f>
        <v/>
      </c>
      <c r="S54" s="29">
        <f>IF($A54="","",IF($R54="","",IF($R54&lt;=soa_kovaEsik1,"0-7",IF($R54&lt;=soa_kovaEsik2,"8-30",IF($R54&lt;=soa_kovaEsik3,"31-90","90+")))))</f>
        <v/>
      </c>
      <c r="T54" s="29">
        <f>IF($A54="","",IF($B54="","YETİM",IF(COUNTIF(tblKartlar[KartId],$B54)=0,"YETİM","")))</f>
        <v/>
      </c>
      <c r="U54" s="29">
        <f>IF(OR($A54="",$F54=""),"",IF(OR($F54&amp;"|"&amp;$G54="",COUNTIF(ListeIzinliGecis,$F54&amp;"|"&amp;$G54)&gt;0),"","GEÇERSİZ GEÇİŞ"))</f>
        <v/>
      </c>
      <c r="V54" s="29">
        <f>IF($A54="","",IF(OR($P54="",$J54=""),"",IF(ABS($J54-$P54)&gt;zincirTolerans,"ZİNCİR KIRIK","OK")))</f>
        <v/>
      </c>
      <c r="W54" s="29">
        <f>IF($A54="","",1)</f>
        <v/>
      </c>
      <c r="X54" s="29">
        <f>IF($A54="","",$K54*$I54)</f>
        <v/>
      </c>
    </row>
    <row r="55">
      <c r="A55" s="27" t="n"/>
      <c r="B55" s="27" t="n"/>
      <c r="C55" s="27" t="n"/>
      <c r="D55" s="30" t="n"/>
      <c r="E55" s="30" t="n"/>
      <c r="F55" s="27" t="n"/>
      <c r="G55" s="27" t="n"/>
      <c r="H55" s="28" t="n"/>
      <c r="I55" s="31" t="n"/>
      <c r="J55" s="31" t="n"/>
      <c r="K55" s="28" t="n"/>
      <c r="L55" s="32" t="n"/>
      <c r="M55" s="27" t="n"/>
      <c r="N55" s="27" t="n"/>
      <c r="O55" s="27" t="n"/>
      <c r="P55" s="29">
        <f>IF($A55="","",$H55*$I55)</f>
        <v/>
      </c>
      <c r="Q55" s="29">
        <f>IF(OR($A55="",$G55="KAPALI"),"",IF($L55&gt;soa_esikOluGun,"ÖLÜ",""))</f>
        <v/>
      </c>
      <c r="R55" s="29">
        <f>IF($A55="","",IF($E55="","",raporTarihi-$E55))</f>
        <v/>
      </c>
      <c r="S55" s="29">
        <f>IF($A55="","",IF($R55="","",IF($R55&lt;=soa_kovaEsik1,"0-7",IF($R55&lt;=soa_kovaEsik2,"8-30",IF($R55&lt;=soa_kovaEsik3,"31-90","90+")))))</f>
        <v/>
      </c>
      <c r="T55" s="29">
        <f>IF($A55="","",IF($B55="","YETİM",IF(COUNTIF(tblKartlar[KartId],$B55)=0,"YETİM","")))</f>
        <v/>
      </c>
      <c r="U55" s="29">
        <f>IF(OR($A55="",$F55=""),"",IF(OR($F55&amp;"|"&amp;$G55="",COUNTIF(ListeIzinliGecis,$F55&amp;"|"&amp;$G55)&gt;0),"","GEÇERSİZ GEÇİŞ"))</f>
        <v/>
      </c>
      <c r="V55" s="29">
        <f>IF($A55="","",IF(OR($P55="",$J55=""),"",IF(ABS($J55-$P55)&gt;zincirTolerans,"ZİNCİR KIRIK","OK")))</f>
        <v/>
      </c>
      <c r="W55" s="29">
        <f>IF($A55="","",1)</f>
        <v/>
      </c>
      <c r="X55" s="29">
        <f>IF($A55="","",$K55*$I55)</f>
        <v/>
      </c>
    </row>
    <row r="56">
      <c r="A56" s="27" t="n"/>
      <c r="B56" s="27" t="n"/>
      <c r="C56" s="27" t="n"/>
      <c r="D56" s="30" t="n"/>
      <c r="E56" s="30" t="n"/>
      <c r="F56" s="27" t="n"/>
      <c r="G56" s="27" t="n"/>
      <c r="H56" s="28" t="n"/>
      <c r="I56" s="31" t="n"/>
      <c r="J56" s="31" t="n"/>
      <c r="K56" s="28" t="n"/>
      <c r="L56" s="32" t="n"/>
      <c r="M56" s="27" t="n"/>
      <c r="N56" s="27" t="n"/>
      <c r="O56" s="27" t="n"/>
      <c r="P56" s="29">
        <f>IF($A56="","",$H56*$I56)</f>
        <v/>
      </c>
      <c r="Q56" s="29">
        <f>IF(OR($A56="",$G56="KAPALI"),"",IF($L56&gt;soa_esikOluGun,"ÖLÜ",""))</f>
        <v/>
      </c>
      <c r="R56" s="29">
        <f>IF($A56="","",IF($E56="","",raporTarihi-$E56))</f>
        <v/>
      </c>
      <c r="S56" s="29">
        <f>IF($A56="","",IF($R56="","",IF($R56&lt;=soa_kovaEsik1,"0-7",IF($R56&lt;=soa_kovaEsik2,"8-30",IF($R56&lt;=soa_kovaEsik3,"31-90","90+")))))</f>
        <v/>
      </c>
      <c r="T56" s="29">
        <f>IF($A56="","",IF($B56="","YETİM",IF(COUNTIF(tblKartlar[KartId],$B56)=0,"YETİM","")))</f>
        <v/>
      </c>
      <c r="U56" s="29">
        <f>IF(OR($A56="",$F56=""),"",IF(OR($F56&amp;"|"&amp;$G56="",COUNTIF(ListeIzinliGecis,$F56&amp;"|"&amp;$G56)&gt;0),"","GEÇERSİZ GEÇİŞ"))</f>
        <v/>
      </c>
      <c r="V56" s="29">
        <f>IF($A56="","",IF(OR($P56="",$J56=""),"",IF(ABS($J56-$P56)&gt;zincirTolerans,"ZİNCİR KIRIK","OK")))</f>
        <v/>
      </c>
      <c r="W56" s="29">
        <f>IF($A56="","",1)</f>
        <v/>
      </c>
      <c r="X56" s="29">
        <f>IF($A56="","",$K56*$I56)</f>
        <v/>
      </c>
    </row>
    <row r="57">
      <c r="A57" s="27" t="n"/>
      <c r="B57" s="27" t="n"/>
      <c r="C57" s="27" t="n"/>
      <c r="D57" s="30" t="n"/>
      <c r="E57" s="30" t="n"/>
      <c r="F57" s="27" t="n"/>
      <c r="G57" s="27" t="n"/>
      <c r="H57" s="28" t="n"/>
      <c r="I57" s="31" t="n"/>
      <c r="J57" s="31" t="n"/>
      <c r="K57" s="28" t="n"/>
      <c r="L57" s="32" t="n"/>
      <c r="M57" s="27" t="n"/>
      <c r="N57" s="27" t="n"/>
      <c r="O57" s="27" t="n"/>
      <c r="P57" s="29">
        <f>IF($A57="","",$H57*$I57)</f>
        <v/>
      </c>
      <c r="Q57" s="29">
        <f>IF(OR($A57="",$G57="KAPALI"),"",IF($L57&gt;soa_esikOluGun,"ÖLÜ",""))</f>
        <v/>
      </c>
      <c r="R57" s="29">
        <f>IF($A57="","",IF($E57="","",raporTarihi-$E57))</f>
        <v/>
      </c>
      <c r="S57" s="29">
        <f>IF($A57="","",IF($R57="","",IF($R57&lt;=soa_kovaEsik1,"0-7",IF($R57&lt;=soa_kovaEsik2,"8-30",IF($R57&lt;=soa_kovaEsik3,"31-90","90+")))))</f>
        <v/>
      </c>
      <c r="T57" s="29">
        <f>IF($A57="","",IF($B57="","YETİM",IF(COUNTIF(tblKartlar[KartId],$B57)=0,"YETİM","")))</f>
        <v/>
      </c>
      <c r="U57" s="29">
        <f>IF(OR($A57="",$F57=""),"",IF(OR($F57&amp;"|"&amp;$G57="",COUNTIF(ListeIzinliGecis,$F57&amp;"|"&amp;$G57)&gt;0),"","GEÇERSİZ GEÇİŞ"))</f>
        <v/>
      </c>
      <c r="V57" s="29">
        <f>IF($A57="","",IF(OR($P57="",$J57=""),"",IF(ABS($J57-$P57)&gt;zincirTolerans,"ZİNCİR KIRIK","OK")))</f>
        <v/>
      </c>
      <c r="W57" s="29">
        <f>IF($A57="","",1)</f>
        <v/>
      </c>
      <c r="X57" s="29">
        <f>IF($A57="","",$K57*$I57)</f>
        <v/>
      </c>
    </row>
    <row r="58">
      <c r="A58" s="27" t="n"/>
      <c r="B58" s="27" t="n"/>
      <c r="C58" s="27" t="n"/>
      <c r="D58" s="30" t="n"/>
      <c r="E58" s="30" t="n"/>
      <c r="F58" s="27" t="n"/>
      <c r="G58" s="27" t="n"/>
      <c r="H58" s="28" t="n"/>
      <c r="I58" s="31" t="n"/>
      <c r="J58" s="31" t="n"/>
      <c r="K58" s="28" t="n"/>
      <c r="L58" s="32" t="n"/>
      <c r="M58" s="27" t="n"/>
      <c r="N58" s="27" t="n"/>
      <c r="O58" s="27" t="n"/>
      <c r="P58" s="29">
        <f>IF($A58="","",$H58*$I58)</f>
        <v/>
      </c>
      <c r="Q58" s="29">
        <f>IF(OR($A58="",$G58="KAPALI"),"",IF($L58&gt;soa_esikOluGun,"ÖLÜ",""))</f>
        <v/>
      </c>
      <c r="R58" s="29">
        <f>IF($A58="","",IF($E58="","",raporTarihi-$E58))</f>
        <v/>
      </c>
      <c r="S58" s="29">
        <f>IF($A58="","",IF($R58="","",IF($R58&lt;=soa_kovaEsik1,"0-7",IF($R58&lt;=soa_kovaEsik2,"8-30",IF($R58&lt;=soa_kovaEsik3,"31-90","90+")))))</f>
        <v/>
      </c>
      <c r="T58" s="29">
        <f>IF($A58="","",IF($B58="","YETİM",IF(COUNTIF(tblKartlar[KartId],$B58)=0,"YETİM","")))</f>
        <v/>
      </c>
      <c r="U58" s="29">
        <f>IF(OR($A58="",$F58=""),"",IF(OR($F58&amp;"|"&amp;$G58="",COUNTIF(ListeIzinliGecis,$F58&amp;"|"&amp;$G58)&gt;0),"","GEÇERSİZ GEÇİŞ"))</f>
        <v/>
      </c>
      <c r="V58" s="29">
        <f>IF($A58="","",IF(OR($P58="",$J58=""),"",IF(ABS($J58-$P58)&gt;zincirTolerans,"ZİNCİR KIRIK","OK")))</f>
        <v/>
      </c>
      <c r="W58" s="29">
        <f>IF($A58="","",1)</f>
        <v/>
      </c>
      <c r="X58" s="29">
        <f>IF($A58="","",$K58*$I58)</f>
        <v/>
      </c>
    </row>
    <row r="59">
      <c r="A59" s="27" t="n"/>
      <c r="B59" s="27" t="n"/>
      <c r="C59" s="27" t="n"/>
      <c r="D59" s="30" t="n"/>
      <c r="E59" s="30" t="n"/>
      <c r="F59" s="27" t="n"/>
      <c r="G59" s="27" t="n"/>
      <c r="H59" s="28" t="n"/>
      <c r="I59" s="31" t="n"/>
      <c r="J59" s="31" t="n"/>
      <c r="K59" s="28" t="n"/>
      <c r="L59" s="32" t="n"/>
      <c r="M59" s="27" t="n"/>
      <c r="N59" s="27" t="n"/>
      <c r="O59" s="27" t="n"/>
      <c r="P59" s="29">
        <f>IF($A59="","",$H59*$I59)</f>
        <v/>
      </c>
      <c r="Q59" s="29">
        <f>IF(OR($A59="",$G59="KAPALI"),"",IF($L59&gt;soa_esikOluGun,"ÖLÜ",""))</f>
        <v/>
      </c>
      <c r="R59" s="29">
        <f>IF($A59="","",IF($E59="","",raporTarihi-$E59))</f>
        <v/>
      </c>
      <c r="S59" s="29">
        <f>IF($A59="","",IF($R59="","",IF($R59&lt;=soa_kovaEsik1,"0-7",IF($R59&lt;=soa_kovaEsik2,"8-30",IF($R59&lt;=soa_kovaEsik3,"31-90","90+")))))</f>
        <v/>
      </c>
      <c r="T59" s="29">
        <f>IF($A59="","",IF($B59="","YETİM",IF(COUNTIF(tblKartlar[KartId],$B59)=0,"YETİM","")))</f>
        <v/>
      </c>
      <c r="U59" s="29">
        <f>IF(OR($A59="",$F59=""),"",IF(OR($F59&amp;"|"&amp;$G59="",COUNTIF(ListeIzinliGecis,$F59&amp;"|"&amp;$G59)&gt;0),"","GEÇERSİZ GEÇİŞ"))</f>
        <v/>
      </c>
      <c r="V59" s="29">
        <f>IF($A59="","",IF(OR($P59="",$J59=""),"",IF(ABS($J59-$P59)&gt;zincirTolerans,"ZİNCİR KIRIK","OK")))</f>
        <v/>
      </c>
      <c r="W59" s="29">
        <f>IF($A59="","",1)</f>
        <v/>
      </c>
      <c r="X59" s="29">
        <f>IF($A59="","",$K59*$I59)</f>
        <v/>
      </c>
    </row>
    <row r="60">
      <c r="A60" s="27" t="n"/>
      <c r="B60" s="27" t="n"/>
      <c r="C60" s="27" t="n"/>
      <c r="D60" s="30" t="n"/>
      <c r="E60" s="30" t="n"/>
      <c r="F60" s="27" t="n"/>
      <c r="G60" s="27" t="n"/>
      <c r="H60" s="28" t="n"/>
      <c r="I60" s="31" t="n"/>
      <c r="J60" s="31" t="n"/>
      <c r="K60" s="28" t="n"/>
      <c r="L60" s="32" t="n"/>
      <c r="M60" s="27" t="n"/>
      <c r="N60" s="27" t="n"/>
      <c r="O60" s="27" t="n"/>
      <c r="P60" s="29">
        <f>IF($A60="","",$H60*$I60)</f>
        <v/>
      </c>
      <c r="Q60" s="29">
        <f>IF(OR($A60="",$G60="KAPALI"),"",IF($L60&gt;soa_esikOluGun,"ÖLÜ",""))</f>
        <v/>
      </c>
      <c r="R60" s="29">
        <f>IF($A60="","",IF($E60="","",raporTarihi-$E60))</f>
        <v/>
      </c>
      <c r="S60" s="29">
        <f>IF($A60="","",IF($R60="","",IF($R60&lt;=soa_kovaEsik1,"0-7",IF($R60&lt;=soa_kovaEsik2,"8-30",IF($R60&lt;=soa_kovaEsik3,"31-90","90+")))))</f>
        <v/>
      </c>
      <c r="T60" s="29">
        <f>IF($A60="","",IF($B60="","YETİM",IF(COUNTIF(tblKartlar[KartId],$B60)=0,"YETİM","")))</f>
        <v/>
      </c>
      <c r="U60" s="29">
        <f>IF(OR($A60="",$F60=""),"",IF(OR($F60&amp;"|"&amp;$G60="",COUNTIF(ListeIzinliGecis,$F60&amp;"|"&amp;$G60)&gt;0),"","GEÇERSİZ GEÇİŞ"))</f>
        <v/>
      </c>
      <c r="V60" s="29">
        <f>IF($A60="","",IF(OR($P60="",$J60=""),"",IF(ABS($J60-$P60)&gt;zincirTolerans,"ZİNCİR KIRIK","OK")))</f>
        <v/>
      </c>
      <c r="W60" s="29">
        <f>IF($A60="","",1)</f>
        <v/>
      </c>
      <c r="X60" s="29">
        <f>IF($A60="","",$K60*$I60)</f>
        <v/>
      </c>
    </row>
    <row r="61">
      <c r="A61" s="27" t="n"/>
      <c r="B61" s="27" t="n"/>
      <c r="C61" s="27" t="n"/>
      <c r="D61" s="30" t="n"/>
      <c r="E61" s="30" t="n"/>
      <c r="F61" s="27" t="n"/>
      <c r="G61" s="27" t="n"/>
      <c r="H61" s="28" t="n"/>
      <c r="I61" s="31" t="n"/>
      <c r="J61" s="31" t="n"/>
      <c r="K61" s="28" t="n"/>
      <c r="L61" s="32" t="n"/>
      <c r="M61" s="27" t="n"/>
      <c r="N61" s="27" t="n"/>
      <c r="O61" s="27" t="n"/>
      <c r="P61" s="29">
        <f>IF($A61="","",$H61*$I61)</f>
        <v/>
      </c>
      <c r="Q61" s="29">
        <f>IF(OR($A61="",$G61="KAPALI"),"",IF($L61&gt;soa_esikOluGun,"ÖLÜ",""))</f>
        <v/>
      </c>
      <c r="R61" s="29">
        <f>IF($A61="","",IF($E61="","",raporTarihi-$E61))</f>
        <v/>
      </c>
      <c r="S61" s="29">
        <f>IF($A61="","",IF($R61="","",IF($R61&lt;=soa_kovaEsik1,"0-7",IF($R61&lt;=soa_kovaEsik2,"8-30",IF($R61&lt;=soa_kovaEsik3,"31-90","90+")))))</f>
        <v/>
      </c>
      <c r="T61" s="29">
        <f>IF($A61="","",IF($B61="","YETİM",IF(COUNTIF(tblKartlar[KartId],$B61)=0,"YETİM","")))</f>
        <v/>
      </c>
      <c r="U61" s="29">
        <f>IF(OR($A61="",$F61=""),"",IF(OR($F61&amp;"|"&amp;$G61="",COUNTIF(ListeIzinliGecis,$F61&amp;"|"&amp;$G61)&gt;0),"","GEÇERSİZ GEÇİŞ"))</f>
        <v/>
      </c>
      <c r="V61" s="29">
        <f>IF($A61="","",IF(OR($P61="",$J61=""),"",IF(ABS($J61-$P61)&gt;zincirTolerans,"ZİNCİR KIRIK","OK")))</f>
        <v/>
      </c>
      <c r="W61" s="29">
        <f>IF($A61="","",1)</f>
        <v/>
      </c>
      <c r="X61" s="29">
        <f>IF($A61="","",$K61*$I61)</f>
        <v/>
      </c>
    </row>
    <row r="62">
      <c r="A62" s="27" t="n"/>
      <c r="B62" s="27" t="n"/>
      <c r="C62" s="27" t="n"/>
      <c r="D62" s="30" t="n"/>
      <c r="E62" s="30" t="n"/>
      <c r="F62" s="27" t="n"/>
      <c r="G62" s="27" t="n"/>
      <c r="H62" s="28" t="n"/>
      <c r="I62" s="31" t="n"/>
      <c r="J62" s="31" t="n"/>
      <c r="K62" s="28" t="n"/>
      <c r="L62" s="32" t="n"/>
      <c r="M62" s="27" t="n"/>
      <c r="N62" s="27" t="n"/>
      <c r="O62" s="27" t="n"/>
      <c r="P62" s="29">
        <f>IF($A62="","",$H62*$I62)</f>
        <v/>
      </c>
      <c r="Q62" s="29">
        <f>IF(OR($A62="",$G62="KAPALI"),"",IF($L62&gt;soa_esikOluGun,"ÖLÜ",""))</f>
        <v/>
      </c>
      <c r="R62" s="29">
        <f>IF($A62="","",IF($E62="","",raporTarihi-$E62))</f>
        <v/>
      </c>
      <c r="S62" s="29">
        <f>IF($A62="","",IF($R62="","",IF($R62&lt;=soa_kovaEsik1,"0-7",IF($R62&lt;=soa_kovaEsik2,"8-30",IF($R62&lt;=soa_kovaEsik3,"31-90","90+")))))</f>
        <v/>
      </c>
      <c r="T62" s="29">
        <f>IF($A62="","",IF($B62="","YETİM",IF(COUNTIF(tblKartlar[KartId],$B62)=0,"YETİM","")))</f>
        <v/>
      </c>
      <c r="U62" s="29">
        <f>IF(OR($A62="",$F62=""),"",IF(OR($F62&amp;"|"&amp;$G62="",COUNTIF(ListeIzinliGecis,$F62&amp;"|"&amp;$G62)&gt;0),"","GEÇERSİZ GEÇİŞ"))</f>
        <v/>
      </c>
      <c r="V62" s="29">
        <f>IF($A62="","",IF(OR($P62="",$J62=""),"",IF(ABS($J62-$P62)&gt;zincirTolerans,"ZİNCİR KIRIK","OK")))</f>
        <v/>
      </c>
      <c r="W62" s="29">
        <f>IF($A62="","",1)</f>
        <v/>
      </c>
      <c r="X62" s="29">
        <f>IF($A62="","",$K62*$I62)</f>
        <v/>
      </c>
    </row>
    <row r="63">
      <c r="A63" s="27" t="n"/>
      <c r="B63" s="27" t="n"/>
      <c r="C63" s="27" t="n"/>
      <c r="D63" s="30" t="n"/>
      <c r="E63" s="30" t="n"/>
      <c r="F63" s="27" t="n"/>
      <c r="G63" s="27" t="n"/>
      <c r="H63" s="28" t="n"/>
      <c r="I63" s="31" t="n"/>
      <c r="J63" s="31" t="n"/>
      <c r="K63" s="28" t="n"/>
      <c r="L63" s="32" t="n"/>
      <c r="M63" s="27" t="n"/>
      <c r="N63" s="27" t="n"/>
      <c r="O63" s="27" t="n"/>
      <c r="P63" s="29">
        <f>IF($A63="","",$H63*$I63)</f>
        <v/>
      </c>
      <c r="Q63" s="29">
        <f>IF(OR($A63="",$G63="KAPALI"),"",IF($L63&gt;soa_esikOluGun,"ÖLÜ",""))</f>
        <v/>
      </c>
      <c r="R63" s="29">
        <f>IF($A63="","",IF($E63="","",raporTarihi-$E63))</f>
        <v/>
      </c>
      <c r="S63" s="29">
        <f>IF($A63="","",IF($R63="","",IF($R63&lt;=soa_kovaEsik1,"0-7",IF($R63&lt;=soa_kovaEsik2,"8-30",IF($R63&lt;=soa_kovaEsik3,"31-90","90+")))))</f>
        <v/>
      </c>
      <c r="T63" s="29">
        <f>IF($A63="","",IF($B63="","YETİM",IF(COUNTIF(tblKartlar[KartId],$B63)=0,"YETİM","")))</f>
        <v/>
      </c>
      <c r="U63" s="29">
        <f>IF(OR($A63="",$F63=""),"",IF(OR($F63&amp;"|"&amp;$G63="",COUNTIF(ListeIzinliGecis,$F63&amp;"|"&amp;$G63)&gt;0),"","GEÇERSİZ GEÇİŞ"))</f>
        <v/>
      </c>
      <c r="V63" s="29">
        <f>IF($A63="","",IF(OR($P63="",$J63=""),"",IF(ABS($J63-$P63)&gt;zincirTolerans,"ZİNCİR KIRIK","OK")))</f>
        <v/>
      </c>
      <c r="W63" s="29">
        <f>IF($A63="","",1)</f>
        <v/>
      </c>
      <c r="X63" s="29">
        <f>IF($A63="","",$K63*$I63)</f>
        <v/>
      </c>
    </row>
    <row r="64">
      <c r="A64" s="27" t="n"/>
      <c r="B64" s="27" t="n"/>
      <c r="C64" s="27" t="n"/>
      <c r="D64" s="30" t="n"/>
      <c r="E64" s="30" t="n"/>
      <c r="F64" s="27" t="n"/>
      <c r="G64" s="27" t="n"/>
      <c r="H64" s="28" t="n"/>
      <c r="I64" s="31" t="n"/>
      <c r="J64" s="31" t="n"/>
      <c r="K64" s="28" t="n"/>
      <c r="L64" s="32" t="n"/>
      <c r="M64" s="27" t="n"/>
      <c r="N64" s="27" t="n"/>
      <c r="O64" s="27" t="n"/>
      <c r="P64" s="29">
        <f>IF($A64="","",$H64*$I64)</f>
        <v/>
      </c>
      <c r="Q64" s="29">
        <f>IF(OR($A64="",$G64="KAPALI"),"",IF($L64&gt;soa_esikOluGun,"ÖLÜ",""))</f>
        <v/>
      </c>
      <c r="R64" s="29">
        <f>IF($A64="","",IF($E64="","",raporTarihi-$E64))</f>
        <v/>
      </c>
      <c r="S64" s="29">
        <f>IF($A64="","",IF($R64="","",IF($R64&lt;=soa_kovaEsik1,"0-7",IF($R64&lt;=soa_kovaEsik2,"8-30",IF($R64&lt;=soa_kovaEsik3,"31-90","90+")))))</f>
        <v/>
      </c>
      <c r="T64" s="29">
        <f>IF($A64="","",IF($B64="","YETİM",IF(COUNTIF(tblKartlar[KartId],$B64)=0,"YETİM","")))</f>
        <v/>
      </c>
      <c r="U64" s="29">
        <f>IF(OR($A64="",$F64=""),"",IF(OR($F64&amp;"|"&amp;$G64="",COUNTIF(ListeIzinliGecis,$F64&amp;"|"&amp;$G64)&gt;0),"","GEÇERSİZ GEÇİŞ"))</f>
        <v/>
      </c>
      <c r="V64" s="29">
        <f>IF($A64="","",IF(OR($P64="",$J64=""),"",IF(ABS($J64-$P64)&gt;zincirTolerans,"ZİNCİR KIRIK","OK")))</f>
        <v/>
      </c>
      <c r="W64" s="29">
        <f>IF($A64="","",1)</f>
        <v/>
      </c>
      <c r="X64" s="29">
        <f>IF($A64="","",$K64*$I64)</f>
        <v/>
      </c>
    </row>
    <row r="65">
      <c r="A65" s="27" t="n"/>
      <c r="B65" s="27" t="n"/>
      <c r="C65" s="27" t="n"/>
      <c r="D65" s="30" t="n"/>
      <c r="E65" s="30" t="n"/>
      <c r="F65" s="27" t="n"/>
      <c r="G65" s="27" t="n"/>
      <c r="H65" s="28" t="n"/>
      <c r="I65" s="31" t="n"/>
      <c r="J65" s="31" t="n"/>
      <c r="K65" s="28" t="n"/>
      <c r="L65" s="32" t="n"/>
      <c r="M65" s="27" t="n"/>
      <c r="N65" s="27" t="n"/>
      <c r="O65" s="27" t="n"/>
      <c r="P65" s="29">
        <f>IF($A65="","",$H65*$I65)</f>
        <v/>
      </c>
      <c r="Q65" s="29">
        <f>IF(OR($A65="",$G65="KAPALI"),"",IF($L65&gt;soa_esikOluGun,"ÖLÜ",""))</f>
        <v/>
      </c>
      <c r="R65" s="29">
        <f>IF($A65="","",IF($E65="","",raporTarihi-$E65))</f>
        <v/>
      </c>
      <c r="S65" s="29">
        <f>IF($A65="","",IF($R65="","",IF($R65&lt;=soa_kovaEsik1,"0-7",IF($R65&lt;=soa_kovaEsik2,"8-30",IF($R65&lt;=soa_kovaEsik3,"31-90","90+")))))</f>
        <v/>
      </c>
      <c r="T65" s="29">
        <f>IF($A65="","",IF($B65="","YETİM",IF(COUNTIF(tblKartlar[KartId],$B65)=0,"YETİM","")))</f>
        <v/>
      </c>
      <c r="U65" s="29">
        <f>IF(OR($A65="",$F65=""),"",IF(OR($F65&amp;"|"&amp;$G65="",COUNTIF(ListeIzinliGecis,$F65&amp;"|"&amp;$G65)&gt;0),"","GEÇERSİZ GEÇİŞ"))</f>
        <v/>
      </c>
      <c r="V65" s="29">
        <f>IF($A65="","",IF(OR($P65="",$J65=""),"",IF(ABS($J65-$P65)&gt;zincirTolerans,"ZİNCİR KIRIK","OK")))</f>
        <v/>
      </c>
      <c r="W65" s="29">
        <f>IF($A65="","",1)</f>
        <v/>
      </c>
      <c r="X65" s="29">
        <f>IF($A65="","",$K65*$I65)</f>
        <v/>
      </c>
    </row>
    <row r="66">
      <c r="A66" s="27" t="n"/>
      <c r="B66" s="27" t="n"/>
      <c r="C66" s="27" t="n"/>
      <c r="D66" s="30" t="n"/>
      <c r="E66" s="30" t="n"/>
      <c r="F66" s="27" t="n"/>
      <c r="G66" s="27" t="n"/>
      <c r="H66" s="28" t="n"/>
      <c r="I66" s="31" t="n"/>
      <c r="J66" s="31" t="n"/>
      <c r="K66" s="28" t="n"/>
      <c r="L66" s="32" t="n"/>
      <c r="M66" s="27" t="n"/>
      <c r="N66" s="27" t="n"/>
      <c r="O66" s="27" t="n"/>
      <c r="P66" s="29">
        <f>IF($A66="","",$H66*$I66)</f>
        <v/>
      </c>
      <c r="Q66" s="29">
        <f>IF(OR($A66="",$G66="KAPALI"),"",IF($L66&gt;soa_esikOluGun,"ÖLÜ",""))</f>
        <v/>
      </c>
      <c r="R66" s="29">
        <f>IF($A66="","",IF($E66="","",raporTarihi-$E66))</f>
        <v/>
      </c>
      <c r="S66" s="29">
        <f>IF($A66="","",IF($R66="","",IF($R66&lt;=soa_kovaEsik1,"0-7",IF($R66&lt;=soa_kovaEsik2,"8-30",IF($R66&lt;=soa_kovaEsik3,"31-90","90+")))))</f>
        <v/>
      </c>
      <c r="T66" s="29">
        <f>IF($A66="","",IF($B66="","YETİM",IF(COUNTIF(tblKartlar[KartId],$B66)=0,"YETİM","")))</f>
        <v/>
      </c>
      <c r="U66" s="29">
        <f>IF(OR($A66="",$F66=""),"",IF(OR($F66&amp;"|"&amp;$G66="",COUNTIF(ListeIzinliGecis,$F66&amp;"|"&amp;$G66)&gt;0),"","GEÇERSİZ GEÇİŞ"))</f>
        <v/>
      </c>
      <c r="V66" s="29">
        <f>IF($A66="","",IF(OR($P66="",$J66=""),"",IF(ABS($J66-$P66)&gt;zincirTolerans,"ZİNCİR KIRIK","OK")))</f>
        <v/>
      </c>
      <c r="W66" s="29">
        <f>IF($A66="","",1)</f>
        <v/>
      </c>
      <c r="X66" s="29">
        <f>IF($A66="","",$K66*$I66)</f>
        <v/>
      </c>
    </row>
    <row r="67">
      <c r="A67" s="27" t="n"/>
      <c r="B67" s="27" t="n"/>
      <c r="C67" s="27" t="n"/>
      <c r="D67" s="30" t="n"/>
      <c r="E67" s="30" t="n"/>
      <c r="F67" s="27" t="n"/>
      <c r="G67" s="27" t="n"/>
      <c r="H67" s="28" t="n"/>
      <c r="I67" s="31" t="n"/>
      <c r="J67" s="31" t="n"/>
      <c r="K67" s="28" t="n"/>
      <c r="L67" s="32" t="n"/>
      <c r="M67" s="27" t="n"/>
      <c r="N67" s="27" t="n"/>
      <c r="O67" s="27" t="n"/>
      <c r="P67" s="29">
        <f>IF($A67="","",$H67*$I67)</f>
        <v/>
      </c>
      <c r="Q67" s="29">
        <f>IF(OR($A67="",$G67="KAPALI"),"",IF($L67&gt;soa_esikOluGun,"ÖLÜ",""))</f>
        <v/>
      </c>
      <c r="R67" s="29">
        <f>IF($A67="","",IF($E67="","",raporTarihi-$E67))</f>
        <v/>
      </c>
      <c r="S67" s="29">
        <f>IF($A67="","",IF($R67="","",IF($R67&lt;=soa_kovaEsik1,"0-7",IF($R67&lt;=soa_kovaEsik2,"8-30",IF($R67&lt;=soa_kovaEsik3,"31-90","90+")))))</f>
        <v/>
      </c>
      <c r="T67" s="29">
        <f>IF($A67="","",IF($B67="","YETİM",IF(COUNTIF(tblKartlar[KartId],$B67)=0,"YETİM","")))</f>
        <v/>
      </c>
      <c r="U67" s="29">
        <f>IF(OR($A67="",$F67=""),"",IF(OR($F67&amp;"|"&amp;$G67="",COUNTIF(ListeIzinliGecis,$F67&amp;"|"&amp;$G67)&gt;0),"","GEÇERSİZ GEÇİŞ"))</f>
        <v/>
      </c>
      <c r="V67" s="29">
        <f>IF($A67="","",IF(OR($P67="",$J67=""),"",IF(ABS($J67-$P67)&gt;zincirTolerans,"ZİNCİR KIRIK","OK")))</f>
        <v/>
      </c>
      <c r="W67" s="29">
        <f>IF($A67="","",1)</f>
        <v/>
      </c>
      <c r="X67" s="29">
        <f>IF($A67="","",$K67*$I67)</f>
        <v/>
      </c>
    </row>
    <row r="68">
      <c r="A68" s="27" t="n"/>
      <c r="B68" s="27" t="n"/>
      <c r="C68" s="27" t="n"/>
      <c r="D68" s="30" t="n"/>
      <c r="E68" s="30" t="n"/>
      <c r="F68" s="27" t="n"/>
      <c r="G68" s="27" t="n"/>
      <c r="H68" s="28" t="n"/>
      <c r="I68" s="31" t="n"/>
      <c r="J68" s="31" t="n"/>
      <c r="K68" s="28" t="n"/>
      <c r="L68" s="32" t="n"/>
      <c r="M68" s="27" t="n"/>
      <c r="N68" s="27" t="n"/>
      <c r="O68" s="27" t="n"/>
      <c r="P68" s="29">
        <f>IF($A68="","",$H68*$I68)</f>
        <v/>
      </c>
      <c r="Q68" s="29">
        <f>IF(OR($A68="",$G68="KAPALI"),"",IF($L68&gt;soa_esikOluGun,"ÖLÜ",""))</f>
        <v/>
      </c>
      <c r="R68" s="29">
        <f>IF($A68="","",IF($E68="","",raporTarihi-$E68))</f>
        <v/>
      </c>
      <c r="S68" s="29">
        <f>IF($A68="","",IF($R68="","",IF($R68&lt;=soa_kovaEsik1,"0-7",IF($R68&lt;=soa_kovaEsik2,"8-30",IF($R68&lt;=soa_kovaEsik3,"31-90","90+")))))</f>
        <v/>
      </c>
      <c r="T68" s="29">
        <f>IF($A68="","",IF($B68="","YETİM",IF(COUNTIF(tblKartlar[KartId],$B68)=0,"YETİM","")))</f>
        <v/>
      </c>
      <c r="U68" s="29">
        <f>IF(OR($A68="",$F68=""),"",IF(OR($F68&amp;"|"&amp;$G68="",COUNTIF(ListeIzinliGecis,$F68&amp;"|"&amp;$G68)&gt;0),"","GEÇERSİZ GEÇİŞ"))</f>
        <v/>
      </c>
      <c r="V68" s="29">
        <f>IF($A68="","",IF(OR($P68="",$J68=""),"",IF(ABS($J68-$P68)&gt;zincirTolerans,"ZİNCİR KIRIK","OK")))</f>
        <v/>
      </c>
      <c r="W68" s="29">
        <f>IF($A68="","",1)</f>
        <v/>
      </c>
      <c r="X68" s="29">
        <f>IF($A68="","",$K68*$I68)</f>
        <v/>
      </c>
    </row>
    <row r="69">
      <c r="A69" s="27" t="n"/>
      <c r="B69" s="27" t="n"/>
      <c r="C69" s="27" t="n"/>
      <c r="D69" s="30" t="n"/>
      <c r="E69" s="30" t="n"/>
      <c r="F69" s="27" t="n"/>
      <c r="G69" s="27" t="n"/>
      <c r="H69" s="28" t="n"/>
      <c r="I69" s="31" t="n"/>
      <c r="J69" s="31" t="n"/>
      <c r="K69" s="28" t="n"/>
      <c r="L69" s="32" t="n"/>
      <c r="M69" s="27" t="n"/>
      <c r="N69" s="27" t="n"/>
      <c r="O69" s="27" t="n"/>
      <c r="P69" s="29">
        <f>IF($A69="","",$H69*$I69)</f>
        <v/>
      </c>
      <c r="Q69" s="29">
        <f>IF(OR($A69="",$G69="KAPALI"),"",IF($L69&gt;soa_esikOluGun,"ÖLÜ",""))</f>
        <v/>
      </c>
      <c r="R69" s="29">
        <f>IF($A69="","",IF($E69="","",raporTarihi-$E69))</f>
        <v/>
      </c>
      <c r="S69" s="29">
        <f>IF($A69="","",IF($R69="","",IF($R69&lt;=soa_kovaEsik1,"0-7",IF($R69&lt;=soa_kovaEsik2,"8-30",IF($R69&lt;=soa_kovaEsik3,"31-90","90+")))))</f>
        <v/>
      </c>
      <c r="T69" s="29">
        <f>IF($A69="","",IF($B69="","YETİM",IF(COUNTIF(tblKartlar[KartId],$B69)=0,"YETİM","")))</f>
        <v/>
      </c>
      <c r="U69" s="29">
        <f>IF(OR($A69="",$F69=""),"",IF(OR($F69&amp;"|"&amp;$G69="",COUNTIF(ListeIzinliGecis,$F69&amp;"|"&amp;$G69)&gt;0),"","GEÇERSİZ GEÇİŞ"))</f>
        <v/>
      </c>
      <c r="V69" s="29">
        <f>IF($A69="","",IF(OR($P69="",$J69=""),"",IF(ABS($J69-$P69)&gt;zincirTolerans,"ZİNCİR KIRIK","OK")))</f>
        <v/>
      </c>
      <c r="W69" s="29">
        <f>IF($A69="","",1)</f>
        <v/>
      </c>
      <c r="X69" s="29">
        <f>IF($A69="","",$K69*$I69)</f>
        <v/>
      </c>
    </row>
    <row r="70">
      <c r="A70" s="27" t="n"/>
      <c r="B70" s="27" t="n"/>
      <c r="C70" s="27" t="n"/>
      <c r="D70" s="30" t="n"/>
      <c r="E70" s="30" t="n"/>
      <c r="F70" s="27" t="n"/>
      <c r="G70" s="27" t="n"/>
      <c r="H70" s="28" t="n"/>
      <c r="I70" s="31" t="n"/>
      <c r="J70" s="31" t="n"/>
      <c r="K70" s="28" t="n"/>
      <c r="L70" s="32" t="n"/>
      <c r="M70" s="27" t="n"/>
      <c r="N70" s="27" t="n"/>
      <c r="O70" s="27" t="n"/>
      <c r="P70" s="29">
        <f>IF($A70="","",$H70*$I70)</f>
        <v/>
      </c>
      <c r="Q70" s="29">
        <f>IF(OR($A70="",$G70="KAPALI"),"",IF($L70&gt;soa_esikOluGun,"ÖLÜ",""))</f>
        <v/>
      </c>
      <c r="R70" s="29">
        <f>IF($A70="","",IF($E70="","",raporTarihi-$E70))</f>
        <v/>
      </c>
      <c r="S70" s="29">
        <f>IF($A70="","",IF($R70="","",IF($R70&lt;=soa_kovaEsik1,"0-7",IF($R70&lt;=soa_kovaEsik2,"8-30",IF($R70&lt;=soa_kovaEsik3,"31-90","90+")))))</f>
        <v/>
      </c>
      <c r="T70" s="29">
        <f>IF($A70="","",IF($B70="","YETİM",IF(COUNTIF(tblKartlar[KartId],$B70)=0,"YETİM","")))</f>
        <v/>
      </c>
      <c r="U70" s="29">
        <f>IF(OR($A70="",$F70=""),"",IF(OR($F70&amp;"|"&amp;$G70="",COUNTIF(ListeIzinliGecis,$F70&amp;"|"&amp;$G70)&gt;0),"","GEÇERSİZ GEÇİŞ"))</f>
        <v/>
      </c>
      <c r="V70" s="29">
        <f>IF($A70="","",IF(OR($P70="",$J70=""),"",IF(ABS($J70-$P70)&gt;zincirTolerans,"ZİNCİR KIRIK","OK")))</f>
        <v/>
      </c>
      <c r="W70" s="29">
        <f>IF($A70="","",1)</f>
        <v/>
      </c>
      <c r="X70" s="29">
        <f>IF($A70="","",$K70*$I70)</f>
        <v/>
      </c>
    </row>
    <row r="71">
      <c r="A71" s="27" t="n"/>
      <c r="B71" s="27" t="n"/>
      <c r="C71" s="27" t="n"/>
      <c r="D71" s="30" t="n"/>
      <c r="E71" s="30" t="n"/>
      <c r="F71" s="27" t="n"/>
      <c r="G71" s="27" t="n"/>
      <c r="H71" s="28" t="n"/>
      <c r="I71" s="31" t="n"/>
      <c r="J71" s="31" t="n"/>
      <c r="K71" s="28" t="n"/>
      <c r="L71" s="32" t="n"/>
      <c r="M71" s="27" t="n"/>
      <c r="N71" s="27" t="n"/>
      <c r="O71" s="27" t="n"/>
      <c r="P71" s="29">
        <f>IF($A71="","",$H71*$I71)</f>
        <v/>
      </c>
      <c r="Q71" s="29">
        <f>IF(OR($A71="",$G71="KAPALI"),"",IF($L71&gt;soa_esikOluGun,"ÖLÜ",""))</f>
        <v/>
      </c>
      <c r="R71" s="29">
        <f>IF($A71="","",IF($E71="","",raporTarihi-$E71))</f>
        <v/>
      </c>
      <c r="S71" s="29">
        <f>IF($A71="","",IF($R71="","",IF($R71&lt;=soa_kovaEsik1,"0-7",IF($R71&lt;=soa_kovaEsik2,"8-30",IF($R71&lt;=soa_kovaEsik3,"31-90","90+")))))</f>
        <v/>
      </c>
      <c r="T71" s="29">
        <f>IF($A71="","",IF($B71="","YETİM",IF(COUNTIF(tblKartlar[KartId],$B71)=0,"YETİM","")))</f>
        <v/>
      </c>
      <c r="U71" s="29">
        <f>IF(OR($A71="",$F71=""),"",IF(OR($F71&amp;"|"&amp;$G71="",COUNTIF(ListeIzinliGecis,$F71&amp;"|"&amp;$G71)&gt;0),"","GEÇERSİZ GEÇİŞ"))</f>
        <v/>
      </c>
      <c r="V71" s="29">
        <f>IF($A71="","",IF(OR($P71="",$J71=""),"",IF(ABS($J71-$P71)&gt;zincirTolerans,"ZİNCİR KIRIK","OK")))</f>
        <v/>
      </c>
      <c r="W71" s="29">
        <f>IF($A71="","",1)</f>
        <v/>
      </c>
      <c r="X71" s="29">
        <f>IF($A71="","",$K71*$I71)</f>
        <v/>
      </c>
    </row>
    <row r="72">
      <c r="A72" s="27" t="n"/>
      <c r="B72" s="27" t="n"/>
      <c r="C72" s="27" t="n"/>
      <c r="D72" s="30" t="n"/>
      <c r="E72" s="30" t="n"/>
      <c r="F72" s="27" t="n"/>
      <c r="G72" s="27" t="n"/>
      <c r="H72" s="28" t="n"/>
      <c r="I72" s="31" t="n"/>
      <c r="J72" s="31" t="n"/>
      <c r="K72" s="28" t="n"/>
      <c r="L72" s="32" t="n"/>
      <c r="M72" s="27" t="n"/>
      <c r="N72" s="27" t="n"/>
      <c r="O72" s="27" t="n"/>
      <c r="P72" s="29">
        <f>IF($A72="","",$H72*$I72)</f>
        <v/>
      </c>
      <c r="Q72" s="29">
        <f>IF(OR($A72="",$G72="KAPALI"),"",IF($L72&gt;soa_esikOluGun,"ÖLÜ",""))</f>
        <v/>
      </c>
      <c r="R72" s="29">
        <f>IF($A72="","",IF($E72="","",raporTarihi-$E72))</f>
        <v/>
      </c>
      <c r="S72" s="29">
        <f>IF($A72="","",IF($R72="","",IF($R72&lt;=soa_kovaEsik1,"0-7",IF($R72&lt;=soa_kovaEsik2,"8-30",IF($R72&lt;=soa_kovaEsik3,"31-90","90+")))))</f>
        <v/>
      </c>
      <c r="T72" s="29">
        <f>IF($A72="","",IF($B72="","YETİM",IF(COUNTIF(tblKartlar[KartId],$B72)=0,"YETİM","")))</f>
        <v/>
      </c>
      <c r="U72" s="29">
        <f>IF(OR($A72="",$F72=""),"",IF(OR($F72&amp;"|"&amp;$G72="",COUNTIF(ListeIzinliGecis,$F72&amp;"|"&amp;$G72)&gt;0),"","GEÇERSİZ GEÇİŞ"))</f>
        <v/>
      </c>
      <c r="V72" s="29">
        <f>IF($A72="","",IF(OR($P72="",$J72=""),"",IF(ABS($J72-$P72)&gt;zincirTolerans,"ZİNCİR KIRIK","OK")))</f>
        <v/>
      </c>
      <c r="W72" s="29">
        <f>IF($A72="","",1)</f>
        <v/>
      </c>
      <c r="X72" s="29">
        <f>IF($A72="","",$K72*$I72)</f>
        <v/>
      </c>
    </row>
    <row r="73">
      <c r="A73" s="27" t="n"/>
      <c r="B73" s="27" t="n"/>
      <c r="C73" s="27" t="n"/>
      <c r="D73" s="30" t="n"/>
      <c r="E73" s="30" t="n"/>
      <c r="F73" s="27" t="n"/>
      <c r="G73" s="27" t="n"/>
      <c r="H73" s="28" t="n"/>
      <c r="I73" s="31" t="n"/>
      <c r="J73" s="31" t="n"/>
      <c r="K73" s="28" t="n"/>
      <c r="L73" s="32" t="n"/>
      <c r="M73" s="27" t="n"/>
      <c r="N73" s="27" t="n"/>
      <c r="O73" s="27" t="n"/>
      <c r="P73" s="29">
        <f>IF($A73="","",$H73*$I73)</f>
        <v/>
      </c>
      <c r="Q73" s="29">
        <f>IF(OR($A73="",$G73="KAPALI"),"",IF($L73&gt;soa_esikOluGun,"ÖLÜ",""))</f>
        <v/>
      </c>
      <c r="R73" s="29">
        <f>IF($A73="","",IF($E73="","",raporTarihi-$E73))</f>
        <v/>
      </c>
      <c r="S73" s="29">
        <f>IF($A73="","",IF($R73="","",IF($R73&lt;=soa_kovaEsik1,"0-7",IF($R73&lt;=soa_kovaEsik2,"8-30",IF($R73&lt;=soa_kovaEsik3,"31-90","90+")))))</f>
        <v/>
      </c>
      <c r="T73" s="29">
        <f>IF($A73="","",IF($B73="","YETİM",IF(COUNTIF(tblKartlar[KartId],$B73)=0,"YETİM","")))</f>
        <v/>
      </c>
      <c r="U73" s="29">
        <f>IF(OR($A73="",$F73=""),"",IF(OR($F73&amp;"|"&amp;$G73="",COUNTIF(ListeIzinliGecis,$F73&amp;"|"&amp;$G73)&gt;0),"","GEÇERSİZ GEÇİŞ"))</f>
        <v/>
      </c>
      <c r="V73" s="29">
        <f>IF($A73="","",IF(OR($P73="",$J73=""),"",IF(ABS($J73-$P73)&gt;zincirTolerans,"ZİNCİR KIRIK","OK")))</f>
        <v/>
      </c>
      <c r="W73" s="29">
        <f>IF($A73="","",1)</f>
        <v/>
      </c>
      <c r="X73" s="29">
        <f>IF($A73="","",$K73*$I73)</f>
        <v/>
      </c>
    </row>
    <row r="74">
      <c r="A74" s="27" t="n"/>
      <c r="B74" s="27" t="n"/>
      <c r="C74" s="27" t="n"/>
      <c r="D74" s="30" t="n"/>
      <c r="E74" s="30" t="n"/>
      <c r="F74" s="27" t="n"/>
      <c r="G74" s="27" t="n"/>
      <c r="H74" s="28" t="n"/>
      <c r="I74" s="31" t="n"/>
      <c r="J74" s="31" t="n"/>
      <c r="K74" s="28" t="n"/>
      <c r="L74" s="32" t="n"/>
      <c r="M74" s="27" t="n"/>
      <c r="N74" s="27" t="n"/>
      <c r="O74" s="27" t="n"/>
      <c r="P74" s="29">
        <f>IF($A74="","",$H74*$I74)</f>
        <v/>
      </c>
      <c r="Q74" s="29">
        <f>IF(OR($A74="",$G74="KAPALI"),"",IF($L74&gt;soa_esikOluGun,"ÖLÜ",""))</f>
        <v/>
      </c>
      <c r="R74" s="29">
        <f>IF($A74="","",IF($E74="","",raporTarihi-$E74))</f>
        <v/>
      </c>
      <c r="S74" s="29">
        <f>IF($A74="","",IF($R74="","",IF($R74&lt;=soa_kovaEsik1,"0-7",IF($R74&lt;=soa_kovaEsik2,"8-30",IF($R74&lt;=soa_kovaEsik3,"31-90","90+")))))</f>
        <v/>
      </c>
      <c r="T74" s="29">
        <f>IF($A74="","",IF($B74="","YETİM",IF(COUNTIF(tblKartlar[KartId],$B74)=0,"YETİM","")))</f>
        <v/>
      </c>
      <c r="U74" s="29">
        <f>IF(OR($A74="",$F74=""),"",IF(OR($F74&amp;"|"&amp;$G74="",COUNTIF(ListeIzinliGecis,$F74&amp;"|"&amp;$G74)&gt;0),"","GEÇERSİZ GEÇİŞ"))</f>
        <v/>
      </c>
      <c r="V74" s="29">
        <f>IF($A74="","",IF(OR($P74="",$J74=""),"",IF(ABS($J74-$P74)&gt;zincirTolerans,"ZİNCİR KIRIK","OK")))</f>
        <v/>
      </c>
      <c r="W74" s="29">
        <f>IF($A74="","",1)</f>
        <v/>
      </c>
      <c r="X74" s="29">
        <f>IF($A74="","",$K74*$I74)</f>
        <v/>
      </c>
    </row>
    <row r="75">
      <c r="A75" s="27" t="n"/>
      <c r="B75" s="27" t="n"/>
      <c r="C75" s="27" t="n"/>
      <c r="D75" s="30" t="n"/>
      <c r="E75" s="30" t="n"/>
      <c r="F75" s="27" t="n"/>
      <c r="G75" s="27" t="n"/>
      <c r="H75" s="28" t="n"/>
      <c r="I75" s="31" t="n"/>
      <c r="J75" s="31" t="n"/>
      <c r="K75" s="28" t="n"/>
      <c r="L75" s="32" t="n"/>
      <c r="M75" s="27" t="n"/>
      <c r="N75" s="27" t="n"/>
      <c r="O75" s="27" t="n"/>
      <c r="P75" s="29">
        <f>IF($A75="","",$H75*$I75)</f>
        <v/>
      </c>
      <c r="Q75" s="29">
        <f>IF(OR($A75="",$G75="KAPALI"),"",IF($L75&gt;soa_esikOluGun,"ÖLÜ",""))</f>
        <v/>
      </c>
      <c r="R75" s="29">
        <f>IF($A75="","",IF($E75="","",raporTarihi-$E75))</f>
        <v/>
      </c>
      <c r="S75" s="29">
        <f>IF($A75="","",IF($R75="","",IF($R75&lt;=soa_kovaEsik1,"0-7",IF($R75&lt;=soa_kovaEsik2,"8-30",IF($R75&lt;=soa_kovaEsik3,"31-90","90+")))))</f>
        <v/>
      </c>
      <c r="T75" s="29">
        <f>IF($A75="","",IF($B75="","YETİM",IF(COUNTIF(tblKartlar[KartId],$B75)=0,"YETİM","")))</f>
        <v/>
      </c>
      <c r="U75" s="29">
        <f>IF(OR($A75="",$F75=""),"",IF(OR($F75&amp;"|"&amp;$G75="",COUNTIF(ListeIzinliGecis,$F75&amp;"|"&amp;$G75)&gt;0),"","GEÇERSİZ GEÇİŞ"))</f>
        <v/>
      </c>
      <c r="V75" s="29">
        <f>IF($A75="","",IF(OR($P75="",$J75=""),"",IF(ABS($J75-$P75)&gt;zincirTolerans,"ZİNCİR KIRIK","OK")))</f>
        <v/>
      </c>
      <c r="W75" s="29">
        <f>IF($A75="","",1)</f>
        <v/>
      </c>
      <c r="X75" s="29">
        <f>IF($A75="","",$K75*$I75)</f>
        <v/>
      </c>
    </row>
    <row r="76">
      <c r="A76" s="27" t="n"/>
      <c r="B76" s="27" t="n"/>
      <c r="C76" s="27" t="n"/>
      <c r="D76" s="30" t="n"/>
      <c r="E76" s="30" t="n"/>
      <c r="F76" s="27" t="n"/>
      <c r="G76" s="27" t="n"/>
      <c r="H76" s="28" t="n"/>
      <c r="I76" s="31" t="n"/>
      <c r="J76" s="31" t="n"/>
      <c r="K76" s="28" t="n"/>
      <c r="L76" s="32" t="n"/>
      <c r="M76" s="27" t="n"/>
      <c r="N76" s="27" t="n"/>
      <c r="O76" s="27" t="n"/>
      <c r="P76" s="29">
        <f>IF($A76="","",$H76*$I76)</f>
        <v/>
      </c>
      <c r="Q76" s="29">
        <f>IF(OR($A76="",$G76="KAPALI"),"",IF($L76&gt;soa_esikOluGun,"ÖLÜ",""))</f>
        <v/>
      </c>
      <c r="R76" s="29">
        <f>IF($A76="","",IF($E76="","",raporTarihi-$E76))</f>
        <v/>
      </c>
      <c r="S76" s="29">
        <f>IF($A76="","",IF($R76="","",IF($R76&lt;=soa_kovaEsik1,"0-7",IF($R76&lt;=soa_kovaEsik2,"8-30",IF($R76&lt;=soa_kovaEsik3,"31-90","90+")))))</f>
        <v/>
      </c>
      <c r="T76" s="29">
        <f>IF($A76="","",IF($B76="","YETİM",IF(COUNTIF(tblKartlar[KartId],$B76)=0,"YETİM","")))</f>
        <v/>
      </c>
      <c r="U76" s="29">
        <f>IF(OR($A76="",$F76=""),"",IF(OR($F76&amp;"|"&amp;$G76="",COUNTIF(ListeIzinliGecis,$F76&amp;"|"&amp;$G76)&gt;0),"","GEÇERSİZ GEÇİŞ"))</f>
        <v/>
      </c>
      <c r="V76" s="29">
        <f>IF($A76="","",IF(OR($P76="",$J76=""),"",IF(ABS($J76-$P76)&gt;zincirTolerans,"ZİNCİR KIRIK","OK")))</f>
        <v/>
      </c>
      <c r="W76" s="29">
        <f>IF($A76="","",1)</f>
        <v/>
      </c>
      <c r="X76" s="29">
        <f>IF($A76="","",$K76*$I76)</f>
        <v/>
      </c>
    </row>
    <row r="77">
      <c r="A77" s="27" t="n"/>
      <c r="B77" s="27" t="n"/>
      <c r="C77" s="27" t="n"/>
      <c r="D77" s="30" t="n"/>
      <c r="E77" s="30" t="n"/>
      <c r="F77" s="27" t="n"/>
      <c r="G77" s="27" t="n"/>
      <c r="H77" s="28" t="n"/>
      <c r="I77" s="31" t="n"/>
      <c r="J77" s="31" t="n"/>
      <c r="K77" s="28" t="n"/>
      <c r="L77" s="32" t="n"/>
      <c r="M77" s="27" t="n"/>
      <c r="N77" s="27" t="n"/>
      <c r="O77" s="27" t="n"/>
      <c r="P77" s="29">
        <f>IF($A77="","",$H77*$I77)</f>
        <v/>
      </c>
      <c r="Q77" s="29">
        <f>IF(OR($A77="",$G77="KAPALI"),"",IF($L77&gt;soa_esikOluGun,"ÖLÜ",""))</f>
        <v/>
      </c>
      <c r="R77" s="29">
        <f>IF($A77="","",IF($E77="","",raporTarihi-$E77))</f>
        <v/>
      </c>
      <c r="S77" s="29">
        <f>IF($A77="","",IF($R77="","",IF($R77&lt;=soa_kovaEsik1,"0-7",IF($R77&lt;=soa_kovaEsik2,"8-30",IF($R77&lt;=soa_kovaEsik3,"31-90","90+")))))</f>
        <v/>
      </c>
      <c r="T77" s="29">
        <f>IF($A77="","",IF($B77="","YETİM",IF(COUNTIF(tblKartlar[KartId],$B77)=0,"YETİM","")))</f>
        <v/>
      </c>
      <c r="U77" s="29">
        <f>IF(OR($A77="",$F77=""),"",IF(OR($F77&amp;"|"&amp;$G77="",COUNTIF(ListeIzinliGecis,$F77&amp;"|"&amp;$G77)&gt;0),"","GEÇERSİZ GEÇİŞ"))</f>
        <v/>
      </c>
      <c r="V77" s="29">
        <f>IF($A77="","",IF(OR($P77="",$J77=""),"",IF(ABS($J77-$P77)&gt;zincirTolerans,"ZİNCİR KIRIK","OK")))</f>
        <v/>
      </c>
      <c r="W77" s="29">
        <f>IF($A77="","",1)</f>
        <v/>
      </c>
      <c r="X77" s="29">
        <f>IF($A77="","",$K77*$I77)</f>
        <v/>
      </c>
    </row>
    <row r="78">
      <c r="A78" s="27" t="n"/>
      <c r="B78" s="27" t="n"/>
      <c r="C78" s="27" t="n"/>
      <c r="D78" s="30" t="n"/>
      <c r="E78" s="30" t="n"/>
      <c r="F78" s="27" t="n"/>
      <c r="G78" s="27" t="n"/>
      <c r="H78" s="28" t="n"/>
      <c r="I78" s="31" t="n"/>
      <c r="J78" s="31" t="n"/>
      <c r="K78" s="28" t="n"/>
      <c r="L78" s="32" t="n"/>
      <c r="M78" s="27" t="n"/>
      <c r="N78" s="27" t="n"/>
      <c r="O78" s="27" t="n"/>
      <c r="P78" s="29">
        <f>IF($A78="","",$H78*$I78)</f>
        <v/>
      </c>
      <c r="Q78" s="29">
        <f>IF(OR($A78="",$G78="KAPALI"),"",IF($L78&gt;soa_esikOluGun,"ÖLÜ",""))</f>
        <v/>
      </c>
      <c r="R78" s="29">
        <f>IF($A78="","",IF($E78="","",raporTarihi-$E78))</f>
        <v/>
      </c>
      <c r="S78" s="29">
        <f>IF($A78="","",IF($R78="","",IF($R78&lt;=soa_kovaEsik1,"0-7",IF($R78&lt;=soa_kovaEsik2,"8-30",IF($R78&lt;=soa_kovaEsik3,"31-90","90+")))))</f>
        <v/>
      </c>
      <c r="T78" s="29">
        <f>IF($A78="","",IF($B78="","YETİM",IF(COUNTIF(tblKartlar[KartId],$B78)=0,"YETİM","")))</f>
        <v/>
      </c>
      <c r="U78" s="29">
        <f>IF(OR($A78="",$F78=""),"",IF(OR($F78&amp;"|"&amp;$G78="",COUNTIF(ListeIzinliGecis,$F78&amp;"|"&amp;$G78)&gt;0),"","GEÇERSİZ GEÇİŞ"))</f>
        <v/>
      </c>
      <c r="V78" s="29">
        <f>IF($A78="","",IF(OR($P78="",$J78=""),"",IF(ABS($J78-$P78)&gt;zincirTolerans,"ZİNCİR KIRIK","OK")))</f>
        <v/>
      </c>
      <c r="W78" s="29">
        <f>IF($A78="","",1)</f>
        <v/>
      </c>
      <c r="X78" s="29">
        <f>IF($A78="","",$K78*$I78)</f>
        <v/>
      </c>
    </row>
    <row r="79">
      <c r="A79" s="27" t="n"/>
      <c r="B79" s="27" t="n"/>
      <c r="C79" s="27" t="n"/>
      <c r="D79" s="30" t="n"/>
      <c r="E79" s="30" t="n"/>
      <c r="F79" s="27" t="n"/>
      <c r="G79" s="27" t="n"/>
      <c r="H79" s="28" t="n"/>
      <c r="I79" s="31" t="n"/>
      <c r="J79" s="31" t="n"/>
      <c r="K79" s="28" t="n"/>
      <c r="L79" s="32" t="n"/>
      <c r="M79" s="27" t="n"/>
      <c r="N79" s="27" t="n"/>
      <c r="O79" s="27" t="n"/>
      <c r="P79" s="29">
        <f>IF($A79="","",$H79*$I79)</f>
        <v/>
      </c>
      <c r="Q79" s="29">
        <f>IF(OR($A79="",$G79="KAPALI"),"",IF($L79&gt;soa_esikOluGun,"ÖLÜ",""))</f>
        <v/>
      </c>
      <c r="R79" s="29">
        <f>IF($A79="","",IF($E79="","",raporTarihi-$E79))</f>
        <v/>
      </c>
      <c r="S79" s="29">
        <f>IF($A79="","",IF($R79="","",IF($R79&lt;=soa_kovaEsik1,"0-7",IF($R79&lt;=soa_kovaEsik2,"8-30",IF($R79&lt;=soa_kovaEsik3,"31-90","90+")))))</f>
        <v/>
      </c>
      <c r="T79" s="29">
        <f>IF($A79="","",IF($B79="","YETİM",IF(COUNTIF(tblKartlar[KartId],$B79)=0,"YETİM","")))</f>
        <v/>
      </c>
      <c r="U79" s="29">
        <f>IF(OR($A79="",$F79=""),"",IF(OR($F79&amp;"|"&amp;$G79="",COUNTIF(ListeIzinliGecis,$F79&amp;"|"&amp;$G79)&gt;0),"","GEÇERSİZ GEÇİŞ"))</f>
        <v/>
      </c>
      <c r="V79" s="29">
        <f>IF($A79="","",IF(OR($P79="",$J79=""),"",IF(ABS($J79-$P79)&gt;zincirTolerans,"ZİNCİR KIRIK","OK")))</f>
        <v/>
      </c>
      <c r="W79" s="29">
        <f>IF($A79="","",1)</f>
        <v/>
      </c>
      <c r="X79" s="29">
        <f>IF($A79="","",$K79*$I79)</f>
        <v/>
      </c>
    </row>
    <row r="80">
      <c r="A80" s="27" t="n"/>
      <c r="B80" s="27" t="n"/>
      <c r="C80" s="27" t="n"/>
      <c r="D80" s="30" t="n"/>
      <c r="E80" s="30" t="n"/>
      <c r="F80" s="27" t="n"/>
      <c r="G80" s="27" t="n"/>
      <c r="H80" s="28" t="n"/>
      <c r="I80" s="31" t="n"/>
      <c r="J80" s="31" t="n"/>
      <c r="K80" s="28" t="n"/>
      <c r="L80" s="32" t="n"/>
      <c r="M80" s="27" t="n"/>
      <c r="N80" s="27" t="n"/>
      <c r="O80" s="27" t="n"/>
      <c r="P80" s="29">
        <f>IF($A80="","",$H80*$I80)</f>
        <v/>
      </c>
      <c r="Q80" s="29">
        <f>IF(OR($A80="",$G80="KAPALI"),"",IF($L80&gt;soa_esikOluGun,"ÖLÜ",""))</f>
        <v/>
      </c>
      <c r="R80" s="29">
        <f>IF($A80="","",IF($E80="","",raporTarihi-$E80))</f>
        <v/>
      </c>
      <c r="S80" s="29">
        <f>IF($A80="","",IF($R80="","",IF($R80&lt;=soa_kovaEsik1,"0-7",IF($R80&lt;=soa_kovaEsik2,"8-30",IF($R80&lt;=soa_kovaEsik3,"31-90","90+")))))</f>
        <v/>
      </c>
      <c r="T80" s="29">
        <f>IF($A80="","",IF($B80="","YETİM",IF(COUNTIF(tblKartlar[KartId],$B80)=0,"YETİM","")))</f>
        <v/>
      </c>
      <c r="U80" s="29">
        <f>IF(OR($A80="",$F80=""),"",IF(OR($F80&amp;"|"&amp;$G80="",COUNTIF(ListeIzinliGecis,$F80&amp;"|"&amp;$G80)&gt;0),"","GEÇERSİZ GEÇİŞ"))</f>
        <v/>
      </c>
      <c r="V80" s="29">
        <f>IF($A80="","",IF(OR($P80="",$J80=""),"",IF(ABS($J80-$P80)&gt;zincirTolerans,"ZİNCİR KIRIK","OK")))</f>
        <v/>
      </c>
      <c r="W80" s="29">
        <f>IF($A80="","",1)</f>
        <v/>
      </c>
      <c r="X80" s="29">
        <f>IF($A80="","",$K80*$I80)</f>
        <v/>
      </c>
    </row>
    <row r="81">
      <c r="A81" s="27" t="n"/>
      <c r="B81" s="27" t="n"/>
      <c r="C81" s="27" t="n"/>
      <c r="D81" s="30" t="n"/>
      <c r="E81" s="30" t="n"/>
      <c r="F81" s="27" t="n"/>
      <c r="G81" s="27" t="n"/>
      <c r="H81" s="28" t="n"/>
      <c r="I81" s="31" t="n"/>
      <c r="J81" s="31" t="n"/>
      <c r="K81" s="28" t="n"/>
      <c r="L81" s="32" t="n"/>
      <c r="M81" s="27" t="n"/>
      <c r="N81" s="27" t="n"/>
      <c r="O81" s="27" t="n"/>
      <c r="P81" s="29">
        <f>IF($A81="","",$H81*$I81)</f>
        <v/>
      </c>
      <c r="Q81" s="29">
        <f>IF(OR($A81="",$G81="KAPALI"),"",IF($L81&gt;soa_esikOluGun,"ÖLÜ",""))</f>
        <v/>
      </c>
      <c r="R81" s="29">
        <f>IF($A81="","",IF($E81="","",raporTarihi-$E81))</f>
        <v/>
      </c>
      <c r="S81" s="29">
        <f>IF($A81="","",IF($R81="","",IF($R81&lt;=soa_kovaEsik1,"0-7",IF($R81&lt;=soa_kovaEsik2,"8-30",IF($R81&lt;=soa_kovaEsik3,"31-90","90+")))))</f>
        <v/>
      </c>
      <c r="T81" s="29">
        <f>IF($A81="","",IF($B81="","YETİM",IF(COUNTIF(tblKartlar[KartId],$B81)=0,"YETİM","")))</f>
        <v/>
      </c>
      <c r="U81" s="29">
        <f>IF(OR($A81="",$F81=""),"",IF(OR($F81&amp;"|"&amp;$G81="",COUNTIF(ListeIzinliGecis,$F81&amp;"|"&amp;$G81)&gt;0),"","GEÇERSİZ GEÇİŞ"))</f>
        <v/>
      </c>
      <c r="V81" s="29">
        <f>IF($A81="","",IF(OR($P81="",$J81=""),"",IF(ABS($J81-$P81)&gt;zincirTolerans,"ZİNCİR KIRIK","OK")))</f>
        <v/>
      </c>
      <c r="W81" s="29">
        <f>IF($A81="","",1)</f>
        <v/>
      </c>
      <c r="X81" s="29">
        <f>IF($A81="","",$K81*$I81)</f>
        <v/>
      </c>
    </row>
    <row r="82">
      <c r="A82" s="27" t="n"/>
      <c r="B82" s="27" t="n"/>
      <c r="C82" s="27" t="n"/>
      <c r="D82" s="30" t="n"/>
      <c r="E82" s="30" t="n"/>
      <c r="F82" s="27" t="n"/>
      <c r="G82" s="27" t="n"/>
      <c r="H82" s="28" t="n"/>
      <c r="I82" s="31" t="n"/>
      <c r="J82" s="31" t="n"/>
      <c r="K82" s="28" t="n"/>
      <c r="L82" s="32" t="n"/>
      <c r="M82" s="27" t="n"/>
      <c r="N82" s="27" t="n"/>
      <c r="O82" s="27" t="n"/>
      <c r="P82" s="29">
        <f>IF($A82="","",$H82*$I82)</f>
        <v/>
      </c>
      <c r="Q82" s="29">
        <f>IF(OR($A82="",$G82="KAPALI"),"",IF($L82&gt;soa_esikOluGun,"ÖLÜ",""))</f>
        <v/>
      </c>
      <c r="R82" s="29">
        <f>IF($A82="","",IF($E82="","",raporTarihi-$E82))</f>
        <v/>
      </c>
      <c r="S82" s="29">
        <f>IF($A82="","",IF($R82="","",IF($R82&lt;=soa_kovaEsik1,"0-7",IF($R82&lt;=soa_kovaEsik2,"8-30",IF($R82&lt;=soa_kovaEsik3,"31-90","90+")))))</f>
        <v/>
      </c>
      <c r="T82" s="29">
        <f>IF($A82="","",IF($B82="","YETİM",IF(COUNTIF(tblKartlar[KartId],$B82)=0,"YETİM","")))</f>
        <v/>
      </c>
      <c r="U82" s="29">
        <f>IF(OR($A82="",$F82=""),"",IF(OR($F82&amp;"|"&amp;$G82="",COUNTIF(ListeIzinliGecis,$F82&amp;"|"&amp;$G82)&gt;0),"","GEÇERSİZ GEÇİŞ"))</f>
        <v/>
      </c>
      <c r="V82" s="29">
        <f>IF($A82="","",IF(OR($P82="",$J82=""),"",IF(ABS($J82-$P82)&gt;zincirTolerans,"ZİNCİR KIRIK","OK")))</f>
        <v/>
      </c>
      <c r="W82" s="29">
        <f>IF($A82="","",1)</f>
        <v/>
      </c>
      <c r="X82" s="29">
        <f>IF($A82="","",$K82*$I82)</f>
        <v/>
      </c>
    </row>
    <row r="83">
      <c r="A83" s="27" t="n"/>
      <c r="B83" s="27" t="n"/>
      <c r="C83" s="27" t="n"/>
      <c r="D83" s="30" t="n"/>
      <c r="E83" s="30" t="n"/>
      <c r="F83" s="27" t="n"/>
      <c r="G83" s="27" t="n"/>
      <c r="H83" s="28" t="n"/>
      <c r="I83" s="31" t="n"/>
      <c r="J83" s="31" t="n"/>
      <c r="K83" s="28" t="n"/>
      <c r="L83" s="32" t="n"/>
      <c r="M83" s="27" t="n"/>
      <c r="N83" s="27" t="n"/>
      <c r="O83" s="27" t="n"/>
      <c r="P83" s="29">
        <f>IF($A83="","",$H83*$I83)</f>
        <v/>
      </c>
      <c r="Q83" s="29">
        <f>IF(OR($A83="",$G83="KAPALI"),"",IF($L83&gt;soa_esikOluGun,"ÖLÜ",""))</f>
        <v/>
      </c>
      <c r="R83" s="29">
        <f>IF($A83="","",IF($E83="","",raporTarihi-$E83))</f>
        <v/>
      </c>
      <c r="S83" s="29">
        <f>IF($A83="","",IF($R83="","",IF($R83&lt;=soa_kovaEsik1,"0-7",IF($R83&lt;=soa_kovaEsik2,"8-30",IF($R83&lt;=soa_kovaEsik3,"31-90","90+")))))</f>
        <v/>
      </c>
      <c r="T83" s="29">
        <f>IF($A83="","",IF($B83="","YETİM",IF(COUNTIF(tblKartlar[KartId],$B83)=0,"YETİM","")))</f>
        <v/>
      </c>
      <c r="U83" s="29">
        <f>IF(OR($A83="",$F83=""),"",IF(OR($F83&amp;"|"&amp;$G83="",COUNTIF(ListeIzinliGecis,$F83&amp;"|"&amp;$G83)&gt;0),"","GEÇERSİZ GEÇİŞ"))</f>
        <v/>
      </c>
      <c r="V83" s="29">
        <f>IF($A83="","",IF(OR($P83="",$J83=""),"",IF(ABS($J83-$P83)&gt;zincirTolerans,"ZİNCİR KIRIK","OK")))</f>
        <v/>
      </c>
      <c r="W83" s="29">
        <f>IF($A83="","",1)</f>
        <v/>
      </c>
      <c r="X83" s="29">
        <f>IF($A83="","",$K83*$I83)</f>
        <v/>
      </c>
    </row>
    <row r="84">
      <c r="A84" s="27" t="n"/>
      <c r="B84" s="27" t="n"/>
      <c r="C84" s="27" t="n"/>
      <c r="D84" s="30" t="n"/>
      <c r="E84" s="30" t="n"/>
      <c r="F84" s="27" t="n"/>
      <c r="G84" s="27" t="n"/>
      <c r="H84" s="28" t="n"/>
      <c r="I84" s="31" t="n"/>
      <c r="J84" s="31" t="n"/>
      <c r="K84" s="28" t="n"/>
      <c r="L84" s="32" t="n"/>
      <c r="M84" s="27" t="n"/>
      <c r="N84" s="27" t="n"/>
      <c r="O84" s="27" t="n"/>
      <c r="P84" s="29">
        <f>IF($A84="","",$H84*$I84)</f>
        <v/>
      </c>
      <c r="Q84" s="29">
        <f>IF(OR($A84="",$G84="KAPALI"),"",IF($L84&gt;soa_esikOluGun,"ÖLÜ",""))</f>
        <v/>
      </c>
      <c r="R84" s="29">
        <f>IF($A84="","",IF($E84="","",raporTarihi-$E84))</f>
        <v/>
      </c>
      <c r="S84" s="29">
        <f>IF($A84="","",IF($R84="","",IF($R84&lt;=soa_kovaEsik1,"0-7",IF($R84&lt;=soa_kovaEsik2,"8-30",IF($R84&lt;=soa_kovaEsik3,"31-90","90+")))))</f>
        <v/>
      </c>
      <c r="T84" s="29">
        <f>IF($A84="","",IF($B84="","YETİM",IF(COUNTIF(tblKartlar[KartId],$B84)=0,"YETİM","")))</f>
        <v/>
      </c>
      <c r="U84" s="29">
        <f>IF(OR($A84="",$F84=""),"",IF(OR($F84&amp;"|"&amp;$G84="",COUNTIF(ListeIzinliGecis,$F84&amp;"|"&amp;$G84)&gt;0),"","GEÇERSİZ GEÇİŞ"))</f>
        <v/>
      </c>
      <c r="V84" s="29">
        <f>IF($A84="","",IF(OR($P84="",$J84=""),"",IF(ABS($J84-$P84)&gt;zincirTolerans,"ZİNCİR KIRIK","OK")))</f>
        <v/>
      </c>
      <c r="W84" s="29">
        <f>IF($A84="","",1)</f>
        <v/>
      </c>
      <c r="X84" s="29">
        <f>IF($A84="","",$K84*$I84)</f>
        <v/>
      </c>
    </row>
    <row r="85">
      <c r="A85" s="27" t="n"/>
      <c r="B85" s="27" t="n"/>
      <c r="C85" s="27" t="n"/>
      <c r="D85" s="30" t="n"/>
      <c r="E85" s="30" t="n"/>
      <c r="F85" s="27" t="n"/>
      <c r="G85" s="27" t="n"/>
      <c r="H85" s="28" t="n"/>
      <c r="I85" s="31" t="n"/>
      <c r="J85" s="31" t="n"/>
      <c r="K85" s="28" t="n"/>
      <c r="L85" s="32" t="n"/>
      <c r="M85" s="27" t="n"/>
      <c r="N85" s="27" t="n"/>
      <c r="O85" s="27" t="n"/>
      <c r="P85" s="29">
        <f>IF($A85="","",$H85*$I85)</f>
        <v/>
      </c>
      <c r="Q85" s="29">
        <f>IF(OR($A85="",$G85="KAPALI"),"",IF($L85&gt;soa_esikOluGun,"ÖLÜ",""))</f>
        <v/>
      </c>
      <c r="R85" s="29">
        <f>IF($A85="","",IF($E85="","",raporTarihi-$E85))</f>
        <v/>
      </c>
      <c r="S85" s="29">
        <f>IF($A85="","",IF($R85="","",IF($R85&lt;=soa_kovaEsik1,"0-7",IF($R85&lt;=soa_kovaEsik2,"8-30",IF($R85&lt;=soa_kovaEsik3,"31-90","90+")))))</f>
        <v/>
      </c>
      <c r="T85" s="29">
        <f>IF($A85="","",IF($B85="","YETİM",IF(COUNTIF(tblKartlar[KartId],$B85)=0,"YETİM","")))</f>
        <v/>
      </c>
      <c r="U85" s="29">
        <f>IF(OR($A85="",$F85=""),"",IF(OR($F85&amp;"|"&amp;$G85="",COUNTIF(ListeIzinliGecis,$F85&amp;"|"&amp;$G85)&gt;0),"","GEÇERSİZ GEÇİŞ"))</f>
        <v/>
      </c>
      <c r="V85" s="29">
        <f>IF($A85="","",IF(OR($P85="",$J85=""),"",IF(ABS($J85-$P85)&gt;zincirTolerans,"ZİNCİR KIRIK","OK")))</f>
        <v/>
      </c>
      <c r="W85" s="29">
        <f>IF($A85="","",1)</f>
        <v/>
      </c>
      <c r="X85" s="29">
        <f>IF($A85="","",$K85*$I85)</f>
        <v/>
      </c>
    </row>
    <row r="86">
      <c r="A86" s="27" t="n"/>
      <c r="B86" s="27" t="n"/>
      <c r="C86" s="27" t="n"/>
      <c r="D86" s="30" t="n"/>
      <c r="E86" s="30" t="n"/>
      <c r="F86" s="27" t="n"/>
      <c r="G86" s="27" t="n"/>
      <c r="H86" s="28" t="n"/>
      <c r="I86" s="31" t="n"/>
      <c r="J86" s="31" t="n"/>
      <c r="K86" s="28" t="n"/>
      <c r="L86" s="32" t="n"/>
      <c r="M86" s="27" t="n"/>
      <c r="N86" s="27" t="n"/>
      <c r="O86" s="27" t="n"/>
      <c r="P86" s="29">
        <f>IF($A86="","",$H86*$I86)</f>
        <v/>
      </c>
      <c r="Q86" s="29">
        <f>IF(OR($A86="",$G86="KAPALI"),"",IF($L86&gt;soa_esikOluGun,"ÖLÜ",""))</f>
        <v/>
      </c>
      <c r="R86" s="29">
        <f>IF($A86="","",IF($E86="","",raporTarihi-$E86))</f>
        <v/>
      </c>
      <c r="S86" s="29">
        <f>IF($A86="","",IF($R86="","",IF($R86&lt;=soa_kovaEsik1,"0-7",IF($R86&lt;=soa_kovaEsik2,"8-30",IF($R86&lt;=soa_kovaEsik3,"31-90","90+")))))</f>
        <v/>
      </c>
      <c r="T86" s="29">
        <f>IF($A86="","",IF($B86="","YETİM",IF(COUNTIF(tblKartlar[KartId],$B86)=0,"YETİM","")))</f>
        <v/>
      </c>
      <c r="U86" s="29">
        <f>IF(OR($A86="",$F86=""),"",IF(OR($F86&amp;"|"&amp;$G86="",COUNTIF(ListeIzinliGecis,$F86&amp;"|"&amp;$G86)&gt;0),"","GEÇERSİZ GEÇİŞ"))</f>
        <v/>
      </c>
      <c r="V86" s="29">
        <f>IF($A86="","",IF(OR($P86="",$J86=""),"",IF(ABS($J86-$P86)&gt;zincirTolerans,"ZİNCİR KIRIK","OK")))</f>
        <v/>
      </c>
      <c r="W86" s="29">
        <f>IF($A86="","",1)</f>
        <v/>
      </c>
      <c r="X86" s="29">
        <f>IF($A86="","",$K86*$I86)</f>
        <v/>
      </c>
    </row>
    <row r="87">
      <c r="A87" s="27" t="n"/>
      <c r="B87" s="27" t="n"/>
      <c r="C87" s="27" t="n"/>
      <c r="D87" s="30" t="n"/>
      <c r="E87" s="30" t="n"/>
      <c r="F87" s="27" t="n"/>
      <c r="G87" s="27" t="n"/>
      <c r="H87" s="28" t="n"/>
      <c r="I87" s="31" t="n"/>
      <c r="J87" s="31" t="n"/>
      <c r="K87" s="28" t="n"/>
      <c r="L87" s="32" t="n"/>
      <c r="M87" s="27" t="n"/>
      <c r="N87" s="27" t="n"/>
      <c r="O87" s="27" t="n"/>
      <c r="P87" s="29">
        <f>IF($A87="","",$H87*$I87)</f>
        <v/>
      </c>
      <c r="Q87" s="29">
        <f>IF(OR($A87="",$G87="KAPALI"),"",IF($L87&gt;soa_esikOluGun,"ÖLÜ",""))</f>
        <v/>
      </c>
      <c r="R87" s="29">
        <f>IF($A87="","",IF($E87="","",raporTarihi-$E87))</f>
        <v/>
      </c>
      <c r="S87" s="29">
        <f>IF($A87="","",IF($R87="","",IF($R87&lt;=soa_kovaEsik1,"0-7",IF($R87&lt;=soa_kovaEsik2,"8-30",IF($R87&lt;=soa_kovaEsik3,"31-90","90+")))))</f>
        <v/>
      </c>
      <c r="T87" s="29">
        <f>IF($A87="","",IF($B87="","YETİM",IF(COUNTIF(tblKartlar[KartId],$B87)=0,"YETİM","")))</f>
        <v/>
      </c>
      <c r="U87" s="29">
        <f>IF(OR($A87="",$F87=""),"",IF(OR($F87&amp;"|"&amp;$G87="",COUNTIF(ListeIzinliGecis,$F87&amp;"|"&amp;$G87)&gt;0),"","GEÇERSİZ GEÇİŞ"))</f>
        <v/>
      </c>
      <c r="V87" s="29">
        <f>IF($A87="","",IF(OR($P87="",$J87=""),"",IF(ABS($J87-$P87)&gt;zincirTolerans,"ZİNCİR KIRIK","OK")))</f>
        <v/>
      </c>
      <c r="W87" s="29">
        <f>IF($A87="","",1)</f>
        <v/>
      </c>
      <c r="X87" s="29">
        <f>IF($A87="","",$K87*$I87)</f>
        <v/>
      </c>
    </row>
    <row r="88">
      <c r="A88" s="27" t="n"/>
      <c r="B88" s="27" t="n"/>
      <c r="C88" s="27" t="n"/>
      <c r="D88" s="30" t="n"/>
      <c r="E88" s="30" t="n"/>
      <c r="F88" s="27" t="n"/>
      <c r="G88" s="27" t="n"/>
      <c r="H88" s="28" t="n"/>
      <c r="I88" s="31" t="n"/>
      <c r="J88" s="31" t="n"/>
      <c r="K88" s="28" t="n"/>
      <c r="L88" s="32" t="n"/>
      <c r="M88" s="27" t="n"/>
      <c r="N88" s="27" t="n"/>
      <c r="O88" s="27" t="n"/>
      <c r="P88" s="29">
        <f>IF($A88="","",$H88*$I88)</f>
        <v/>
      </c>
      <c r="Q88" s="29">
        <f>IF(OR($A88="",$G88="KAPALI"),"",IF($L88&gt;soa_esikOluGun,"ÖLÜ",""))</f>
        <v/>
      </c>
      <c r="R88" s="29">
        <f>IF($A88="","",IF($E88="","",raporTarihi-$E88))</f>
        <v/>
      </c>
      <c r="S88" s="29">
        <f>IF($A88="","",IF($R88="","",IF($R88&lt;=soa_kovaEsik1,"0-7",IF($R88&lt;=soa_kovaEsik2,"8-30",IF($R88&lt;=soa_kovaEsik3,"31-90","90+")))))</f>
        <v/>
      </c>
      <c r="T88" s="29">
        <f>IF($A88="","",IF($B88="","YETİM",IF(COUNTIF(tblKartlar[KartId],$B88)=0,"YETİM","")))</f>
        <v/>
      </c>
      <c r="U88" s="29">
        <f>IF(OR($A88="",$F88=""),"",IF(OR($F88&amp;"|"&amp;$G88="",COUNTIF(ListeIzinliGecis,$F88&amp;"|"&amp;$G88)&gt;0),"","GEÇERSİZ GEÇİŞ"))</f>
        <v/>
      </c>
      <c r="V88" s="29">
        <f>IF($A88="","",IF(OR($P88="",$J88=""),"",IF(ABS($J88-$P88)&gt;zincirTolerans,"ZİNCİR KIRIK","OK")))</f>
        <v/>
      </c>
      <c r="W88" s="29">
        <f>IF($A88="","",1)</f>
        <v/>
      </c>
      <c r="X88" s="29">
        <f>IF($A88="","",$K88*$I88)</f>
        <v/>
      </c>
    </row>
    <row r="89">
      <c r="A89" s="27" t="n"/>
      <c r="B89" s="27" t="n"/>
      <c r="C89" s="27" t="n"/>
      <c r="D89" s="30" t="n"/>
      <c r="E89" s="30" t="n"/>
      <c r="F89" s="27" t="n"/>
      <c r="G89" s="27" t="n"/>
      <c r="H89" s="28" t="n"/>
      <c r="I89" s="31" t="n"/>
      <c r="J89" s="31" t="n"/>
      <c r="K89" s="28" t="n"/>
      <c r="L89" s="32" t="n"/>
      <c r="M89" s="27" t="n"/>
      <c r="N89" s="27" t="n"/>
      <c r="O89" s="27" t="n"/>
      <c r="P89" s="29">
        <f>IF($A89="","",$H89*$I89)</f>
        <v/>
      </c>
      <c r="Q89" s="29">
        <f>IF(OR($A89="",$G89="KAPALI"),"",IF($L89&gt;soa_esikOluGun,"ÖLÜ",""))</f>
        <v/>
      </c>
      <c r="R89" s="29">
        <f>IF($A89="","",IF($E89="","",raporTarihi-$E89))</f>
        <v/>
      </c>
      <c r="S89" s="29">
        <f>IF($A89="","",IF($R89="","",IF($R89&lt;=soa_kovaEsik1,"0-7",IF($R89&lt;=soa_kovaEsik2,"8-30",IF($R89&lt;=soa_kovaEsik3,"31-90","90+")))))</f>
        <v/>
      </c>
      <c r="T89" s="29">
        <f>IF($A89="","",IF($B89="","YETİM",IF(COUNTIF(tblKartlar[KartId],$B89)=0,"YETİM","")))</f>
        <v/>
      </c>
      <c r="U89" s="29">
        <f>IF(OR($A89="",$F89=""),"",IF(OR($F89&amp;"|"&amp;$G89="",COUNTIF(ListeIzinliGecis,$F89&amp;"|"&amp;$G89)&gt;0),"","GEÇERSİZ GEÇİŞ"))</f>
        <v/>
      </c>
      <c r="V89" s="29">
        <f>IF($A89="","",IF(OR($P89="",$J89=""),"",IF(ABS($J89-$P89)&gt;zincirTolerans,"ZİNCİR KIRIK","OK")))</f>
        <v/>
      </c>
      <c r="W89" s="29">
        <f>IF($A89="","",1)</f>
        <v/>
      </c>
      <c r="X89" s="29">
        <f>IF($A89="","",$K89*$I89)</f>
        <v/>
      </c>
    </row>
    <row r="90">
      <c r="A90" s="27" t="n"/>
      <c r="B90" s="27" t="n"/>
      <c r="C90" s="27" t="n"/>
      <c r="D90" s="30" t="n"/>
      <c r="E90" s="30" t="n"/>
      <c r="F90" s="27" t="n"/>
      <c r="G90" s="27" t="n"/>
      <c r="H90" s="28" t="n"/>
      <c r="I90" s="31" t="n"/>
      <c r="J90" s="31" t="n"/>
      <c r="K90" s="28" t="n"/>
      <c r="L90" s="32" t="n"/>
      <c r="M90" s="27" t="n"/>
      <c r="N90" s="27" t="n"/>
      <c r="O90" s="27" t="n"/>
      <c r="P90" s="29">
        <f>IF($A90="","",$H90*$I90)</f>
        <v/>
      </c>
      <c r="Q90" s="29">
        <f>IF(OR($A90="",$G90="KAPALI"),"",IF($L90&gt;soa_esikOluGun,"ÖLÜ",""))</f>
        <v/>
      </c>
      <c r="R90" s="29">
        <f>IF($A90="","",IF($E90="","",raporTarihi-$E90))</f>
        <v/>
      </c>
      <c r="S90" s="29">
        <f>IF($A90="","",IF($R90="","",IF($R90&lt;=soa_kovaEsik1,"0-7",IF($R90&lt;=soa_kovaEsik2,"8-30",IF($R90&lt;=soa_kovaEsik3,"31-90","90+")))))</f>
        <v/>
      </c>
      <c r="T90" s="29">
        <f>IF($A90="","",IF($B90="","YETİM",IF(COUNTIF(tblKartlar[KartId],$B90)=0,"YETİM","")))</f>
        <v/>
      </c>
      <c r="U90" s="29">
        <f>IF(OR($A90="",$F90=""),"",IF(OR($F90&amp;"|"&amp;$G90="",COUNTIF(ListeIzinliGecis,$F90&amp;"|"&amp;$G90)&gt;0),"","GEÇERSİZ GEÇİŞ"))</f>
        <v/>
      </c>
      <c r="V90" s="29">
        <f>IF($A90="","",IF(OR($P90="",$J90=""),"",IF(ABS($J90-$P90)&gt;zincirTolerans,"ZİNCİR KIRIK","OK")))</f>
        <v/>
      </c>
      <c r="W90" s="29">
        <f>IF($A90="","",1)</f>
        <v/>
      </c>
      <c r="X90" s="29">
        <f>IF($A90="","",$K90*$I90)</f>
        <v/>
      </c>
    </row>
    <row r="91">
      <c r="A91" s="27" t="n"/>
      <c r="B91" s="27" t="n"/>
      <c r="C91" s="27" t="n"/>
      <c r="D91" s="30" t="n"/>
      <c r="E91" s="30" t="n"/>
      <c r="F91" s="27" t="n"/>
      <c r="G91" s="27" t="n"/>
      <c r="H91" s="28" t="n"/>
      <c r="I91" s="31" t="n"/>
      <c r="J91" s="31" t="n"/>
      <c r="K91" s="28" t="n"/>
      <c r="L91" s="32" t="n"/>
      <c r="M91" s="27" t="n"/>
      <c r="N91" s="27" t="n"/>
      <c r="O91" s="27" t="n"/>
      <c r="P91" s="29">
        <f>IF($A91="","",$H91*$I91)</f>
        <v/>
      </c>
      <c r="Q91" s="29">
        <f>IF(OR($A91="",$G91="KAPALI"),"",IF($L91&gt;soa_esikOluGun,"ÖLÜ",""))</f>
        <v/>
      </c>
      <c r="R91" s="29">
        <f>IF($A91="","",IF($E91="","",raporTarihi-$E91))</f>
        <v/>
      </c>
      <c r="S91" s="29">
        <f>IF($A91="","",IF($R91="","",IF($R91&lt;=soa_kovaEsik1,"0-7",IF($R91&lt;=soa_kovaEsik2,"8-30",IF($R91&lt;=soa_kovaEsik3,"31-90","90+")))))</f>
        <v/>
      </c>
      <c r="T91" s="29">
        <f>IF($A91="","",IF($B91="","YETİM",IF(COUNTIF(tblKartlar[KartId],$B91)=0,"YETİM","")))</f>
        <v/>
      </c>
      <c r="U91" s="29">
        <f>IF(OR($A91="",$F91=""),"",IF(OR($F91&amp;"|"&amp;$G91="",COUNTIF(ListeIzinliGecis,$F91&amp;"|"&amp;$G91)&gt;0),"","GEÇERSİZ GEÇİŞ"))</f>
        <v/>
      </c>
      <c r="V91" s="29">
        <f>IF($A91="","",IF(OR($P91="",$J91=""),"",IF(ABS($J91-$P91)&gt;zincirTolerans,"ZİNCİR KIRIK","OK")))</f>
        <v/>
      </c>
      <c r="W91" s="29">
        <f>IF($A91="","",1)</f>
        <v/>
      </c>
      <c r="X91" s="29">
        <f>IF($A91="","",$K91*$I91)</f>
        <v/>
      </c>
    </row>
    <row r="92">
      <c r="A92" s="27" t="n"/>
      <c r="B92" s="27" t="n"/>
      <c r="C92" s="27" t="n"/>
      <c r="D92" s="30" t="n"/>
      <c r="E92" s="30" t="n"/>
      <c r="F92" s="27" t="n"/>
      <c r="G92" s="27" t="n"/>
      <c r="H92" s="28" t="n"/>
      <c r="I92" s="31" t="n"/>
      <c r="J92" s="31" t="n"/>
      <c r="K92" s="28" t="n"/>
      <c r="L92" s="32" t="n"/>
      <c r="M92" s="27" t="n"/>
      <c r="N92" s="27" t="n"/>
      <c r="O92" s="27" t="n"/>
      <c r="P92" s="29">
        <f>IF($A92="","",$H92*$I92)</f>
        <v/>
      </c>
      <c r="Q92" s="29">
        <f>IF(OR($A92="",$G92="KAPALI"),"",IF($L92&gt;soa_esikOluGun,"ÖLÜ",""))</f>
        <v/>
      </c>
      <c r="R92" s="29">
        <f>IF($A92="","",IF($E92="","",raporTarihi-$E92))</f>
        <v/>
      </c>
      <c r="S92" s="29">
        <f>IF($A92="","",IF($R92="","",IF($R92&lt;=soa_kovaEsik1,"0-7",IF($R92&lt;=soa_kovaEsik2,"8-30",IF($R92&lt;=soa_kovaEsik3,"31-90","90+")))))</f>
        <v/>
      </c>
      <c r="T92" s="29">
        <f>IF($A92="","",IF($B92="","YETİM",IF(COUNTIF(tblKartlar[KartId],$B92)=0,"YETİM","")))</f>
        <v/>
      </c>
      <c r="U92" s="29">
        <f>IF(OR($A92="",$F92=""),"",IF(OR($F92&amp;"|"&amp;$G92="",COUNTIF(ListeIzinliGecis,$F92&amp;"|"&amp;$G92)&gt;0),"","GEÇERSİZ GEÇİŞ"))</f>
        <v/>
      </c>
      <c r="V92" s="29">
        <f>IF($A92="","",IF(OR($P92="",$J92=""),"",IF(ABS($J92-$P92)&gt;zincirTolerans,"ZİNCİR KIRIK","OK")))</f>
        <v/>
      </c>
      <c r="W92" s="29">
        <f>IF($A92="","",1)</f>
        <v/>
      </c>
      <c r="X92" s="29">
        <f>IF($A92="","",$K92*$I92)</f>
        <v/>
      </c>
    </row>
    <row r="93">
      <c r="A93" s="27" t="n"/>
      <c r="B93" s="27" t="n"/>
      <c r="C93" s="27" t="n"/>
      <c r="D93" s="30" t="n"/>
      <c r="E93" s="30" t="n"/>
      <c r="F93" s="27" t="n"/>
      <c r="G93" s="27" t="n"/>
      <c r="H93" s="28" t="n"/>
      <c r="I93" s="31" t="n"/>
      <c r="J93" s="31" t="n"/>
      <c r="K93" s="28" t="n"/>
      <c r="L93" s="32" t="n"/>
      <c r="M93" s="27" t="n"/>
      <c r="N93" s="27" t="n"/>
      <c r="O93" s="27" t="n"/>
      <c r="P93" s="29">
        <f>IF($A93="","",$H93*$I93)</f>
        <v/>
      </c>
      <c r="Q93" s="29">
        <f>IF(OR($A93="",$G93="KAPALI"),"",IF($L93&gt;soa_esikOluGun,"ÖLÜ",""))</f>
        <v/>
      </c>
      <c r="R93" s="29">
        <f>IF($A93="","",IF($E93="","",raporTarihi-$E93))</f>
        <v/>
      </c>
      <c r="S93" s="29">
        <f>IF($A93="","",IF($R93="","",IF($R93&lt;=soa_kovaEsik1,"0-7",IF($R93&lt;=soa_kovaEsik2,"8-30",IF($R93&lt;=soa_kovaEsik3,"31-90","90+")))))</f>
        <v/>
      </c>
      <c r="T93" s="29">
        <f>IF($A93="","",IF($B93="","YETİM",IF(COUNTIF(tblKartlar[KartId],$B93)=0,"YETİM","")))</f>
        <v/>
      </c>
      <c r="U93" s="29">
        <f>IF(OR($A93="",$F93=""),"",IF(OR($F93&amp;"|"&amp;$G93="",COUNTIF(ListeIzinliGecis,$F93&amp;"|"&amp;$G93)&gt;0),"","GEÇERSİZ GEÇİŞ"))</f>
        <v/>
      </c>
      <c r="V93" s="29">
        <f>IF($A93="","",IF(OR($P93="",$J93=""),"",IF(ABS($J93-$P93)&gt;zincirTolerans,"ZİNCİR KIRIK","OK")))</f>
        <v/>
      </c>
      <c r="W93" s="29">
        <f>IF($A93="","",1)</f>
        <v/>
      </c>
      <c r="X93" s="29">
        <f>IF($A93="","",$K93*$I93)</f>
        <v/>
      </c>
    </row>
    <row r="94">
      <c r="A94" s="27" t="n"/>
      <c r="B94" s="27" t="n"/>
      <c r="C94" s="27" t="n"/>
      <c r="D94" s="30" t="n"/>
      <c r="E94" s="30" t="n"/>
      <c r="F94" s="27" t="n"/>
      <c r="G94" s="27" t="n"/>
      <c r="H94" s="28" t="n"/>
      <c r="I94" s="31" t="n"/>
      <c r="J94" s="31" t="n"/>
      <c r="K94" s="28" t="n"/>
      <c r="L94" s="32" t="n"/>
      <c r="M94" s="27" t="n"/>
      <c r="N94" s="27" t="n"/>
      <c r="O94" s="27" t="n"/>
      <c r="P94" s="29">
        <f>IF($A94="","",$H94*$I94)</f>
        <v/>
      </c>
      <c r="Q94" s="29">
        <f>IF(OR($A94="",$G94="KAPALI"),"",IF($L94&gt;soa_esikOluGun,"ÖLÜ",""))</f>
        <v/>
      </c>
      <c r="R94" s="29">
        <f>IF($A94="","",IF($E94="","",raporTarihi-$E94))</f>
        <v/>
      </c>
      <c r="S94" s="29">
        <f>IF($A94="","",IF($R94="","",IF($R94&lt;=soa_kovaEsik1,"0-7",IF($R94&lt;=soa_kovaEsik2,"8-30",IF($R94&lt;=soa_kovaEsik3,"31-90","90+")))))</f>
        <v/>
      </c>
      <c r="T94" s="29">
        <f>IF($A94="","",IF($B94="","YETİM",IF(COUNTIF(tblKartlar[KartId],$B94)=0,"YETİM","")))</f>
        <v/>
      </c>
      <c r="U94" s="29">
        <f>IF(OR($A94="",$F94=""),"",IF(OR($F94&amp;"|"&amp;$G94="",COUNTIF(ListeIzinliGecis,$F94&amp;"|"&amp;$G94)&gt;0),"","GEÇERSİZ GEÇİŞ"))</f>
        <v/>
      </c>
      <c r="V94" s="29">
        <f>IF($A94="","",IF(OR($P94="",$J94=""),"",IF(ABS($J94-$P94)&gt;zincirTolerans,"ZİNCİR KIRIK","OK")))</f>
        <v/>
      </c>
      <c r="W94" s="29">
        <f>IF($A94="","",1)</f>
        <v/>
      </c>
      <c r="X94" s="29">
        <f>IF($A94="","",$K94*$I94)</f>
        <v/>
      </c>
    </row>
    <row r="95">
      <c r="A95" s="27" t="n"/>
      <c r="B95" s="27" t="n"/>
      <c r="C95" s="27" t="n"/>
      <c r="D95" s="30" t="n"/>
      <c r="E95" s="30" t="n"/>
      <c r="F95" s="27" t="n"/>
      <c r="G95" s="27" t="n"/>
      <c r="H95" s="28" t="n"/>
      <c r="I95" s="31" t="n"/>
      <c r="J95" s="31" t="n"/>
      <c r="K95" s="28" t="n"/>
      <c r="L95" s="32" t="n"/>
      <c r="M95" s="27" t="n"/>
      <c r="N95" s="27" t="n"/>
      <c r="O95" s="27" t="n"/>
      <c r="P95" s="29">
        <f>IF($A95="","",$H95*$I95)</f>
        <v/>
      </c>
      <c r="Q95" s="29">
        <f>IF(OR($A95="",$G95="KAPALI"),"",IF($L95&gt;soa_esikOluGun,"ÖLÜ",""))</f>
        <v/>
      </c>
      <c r="R95" s="29">
        <f>IF($A95="","",IF($E95="","",raporTarihi-$E95))</f>
        <v/>
      </c>
      <c r="S95" s="29">
        <f>IF($A95="","",IF($R95="","",IF($R95&lt;=soa_kovaEsik1,"0-7",IF($R95&lt;=soa_kovaEsik2,"8-30",IF($R95&lt;=soa_kovaEsik3,"31-90","90+")))))</f>
        <v/>
      </c>
      <c r="T95" s="29">
        <f>IF($A95="","",IF($B95="","YETİM",IF(COUNTIF(tblKartlar[KartId],$B95)=0,"YETİM","")))</f>
        <v/>
      </c>
      <c r="U95" s="29">
        <f>IF(OR($A95="",$F95=""),"",IF(OR($F95&amp;"|"&amp;$G95="",COUNTIF(ListeIzinliGecis,$F95&amp;"|"&amp;$G95)&gt;0),"","GEÇERSİZ GEÇİŞ"))</f>
        <v/>
      </c>
      <c r="V95" s="29">
        <f>IF($A95="","",IF(OR($P95="",$J95=""),"",IF(ABS($J95-$P95)&gt;zincirTolerans,"ZİNCİR KIRIK","OK")))</f>
        <v/>
      </c>
      <c r="W95" s="29">
        <f>IF($A95="","",1)</f>
        <v/>
      </c>
      <c r="X95" s="29">
        <f>IF($A95="","",$K95*$I95)</f>
        <v/>
      </c>
    </row>
    <row r="96">
      <c r="A96" s="27" t="n"/>
      <c r="B96" s="27" t="n"/>
      <c r="C96" s="27" t="n"/>
      <c r="D96" s="30" t="n"/>
      <c r="E96" s="30" t="n"/>
      <c r="F96" s="27" t="n"/>
      <c r="G96" s="27" t="n"/>
      <c r="H96" s="28" t="n"/>
      <c r="I96" s="31" t="n"/>
      <c r="J96" s="31" t="n"/>
      <c r="K96" s="28" t="n"/>
      <c r="L96" s="32" t="n"/>
      <c r="M96" s="27" t="n"/>
      <c r="N96" s="27" t="n"/>
      <c r="O96" s="27" t="n"/>
      <c r="P96" s="29">
        <f>IF($A96="","",$H96*$I96)</f>
        <v/>
      </c>
      <c r="Q96" s="29">
        <f>IF(OR($A96="",$G96="KAPALI"),"",IF($L96&gt;soa_esikOluGun,"ÖLÜ",""))</f>
        <v/>
      </c>
      <c r="R96" s="29">
        <f>IF($A96="","",IF($E96="","",raporTarihi-$E96))</f>
        <v/>
      </c>
      <c r="S96" s="29">
        <f>IF($A96="","",IF($R96="","",IF($R96&lt;=soa_kovaEsik1,"0-7",IF($R96&lt;=soa_kovaEsik2,"8-30",IF($R96&lt;=soa_kovaEsik3,"31-90","90+")))))</f>
        <v/>
      </c>
      <c r="T96" s="29">
        <f>IF($A96="","",IF($B96="","YETİM",IF(COUNTIF(tblKartlar[KartId],$B96)=0,"YETİM","")))</f>
        <v/>
      </c>
      <c r="U96" s="29">
        <f>IF(OR($A96="",$F96=""),"",IF(OR($F96&amp;"|"&amp;$G96="",COUNTIF(ListeIzinliGecis,$F96&amp;"|"&amp;$G96)&gt;0),"","GEÇERSİZ GEÇİŞ"))</f>
        <v/>
      </c>
      <c r="V96" s="29">
        <f>IF($A96="","",IF(OR($P96="",$J96=""),"",IF(ABS($J96-$P96)&gt;zincirTolerans,"ZİNCİR KIRIK","OK")))</f>
        <v/>
      </c>
      <c r="W96" s="29">
        <f>IF($A96="","",1)</f>
        <v/>
      </c>
      <c r="X96" s="29">
        <f>IF($A96="","",$K96*$I96)</f>
        <v/>
      </c>
    </row>
    <row r="97">
      <c r="A97" s="27" t="n"/>
      <c r="B97" s="27" t="n"/>
      <c r="C97" s="27" t="n"/>
      <c r="D97" s="30" t="n"/>
      <c r="E97" s="30" t="n"/>
      <c r="F97" s="27" t="n"/>
      <c r="G97" s="27" t="n"/>
      <c r="H97" s="28" t="n"/>
      <c r="I97" s="31" t="n"/>
      <c r="J97" s="31" t="n"/>
      <c r="K97" s="28" t="n"/>
      <c r="L97" s="32" t="n"/>
      <c r="M97" s="27" t="n"/>
      <c r="N97" s="27" t="n"/>
      <c r="O97" s="27" t="n"/>
      <c r="P97" s="29">
        <f>IF($A97="","",$H97*$I97)</f>
        <v/>
      </c>
      <c r="Q97" s="29">
        <f>IF(OR($A97="",$G97="KAPALI"),"",IF($L97&gt;soa_esikOluGun,"ÖLÜ",""))</f>
        <v/>
      </c>
      <c r="R97" s="29">
        <f>IF($A97="","",IF($E97="","",raporTarihi-$E97))</f>
        <v/>
      </c>
      <c r="S97" s="29">
        <f>IF($A97="","",IF($R97="","",IF($R97&lt;=soa_kovaEsik1,"0-7",IF($R97&lt;=soa_kovaEsik2,"8-30",IF($R97&lt;=soa_kovaEsik3,"31-90","90+")))))</f>
        <v/>
      </c>
      <c r="T97" s="29">
        <f>IF($A97="","",IF($B97="","YETİM",IF(COUNTIF(tblKartlar[KartId],$B97)=0,"YETİM","")))</f>
        <v/>
      </c>
      <c r="U97" s="29">
        <f>IF(OR($A97="",$F97=""),"",IF(OR($F97&amp;"|"&amp;$G97="",COUNTIF(ListeIzinliGecis,$F97&amp;"|"&amp;$G97)&gt;0),"","GEÇERSİZ GEÇİŞ"))</f>
        <v/>
      </c>
      <c r="V97" s="29">
        <f>IF($A97="","",IF(OR($P97="",$J97=""),"",IF(ABS($J97-$P97)&gt;zincirTolerans,"ZİNCİR KIRIK","OK")))</f>
        <v/>
      </c>
      <c r="W97" s="29">
        <f>IF($A97="","",1)</f>
        <v/>
      </c>
      <c r="X97" s="29">
        <f>IF($A97="","",$K97*$I97)</f>
        <v/>
      </c>
    </row>
    <row r="98">
      <c r="A98" s="27" t="n"/>
      <c r="B98" s="27" t="n"/>
      <c r="C98" s="27" t="n"/>
      <c r="D98" s="30" t="n"/>
      <c r="E98" s="30" t="n"/>
      <c r="F98" s="27" t="n"/>
      <c r="G98" s="27" t="n"/>
      <c r="H98" s="28" t="n"/>
      <c r="I98" s="31" t="n"/>
      <c r="J98" s="31" t="n"/>
      <c r="K98" s="28" t="n"/>
      <c r="L98" s="32" t="n"/>
      <c r="M98" s="27" t="n"/>
      <c r="N98" s="27" t="n"/>
      <c r="O98" s="27" t="n"/>
      <c r="P98" s="29">
        <f>IF($A98="","",$H98*$I98)</f>
        <v/>
      </c>
      <c r="Q98" s="29">
        <f>IF(OR($A98="",$G98="KAPALI"),"",IF($L98&gt;soa_esikOluGun,"ÖLÜ",""))</f>
        <v/>
      </c>
      <c r="R98" s="29">
        <f>IF($A98="","",IF($E98="","",raporTarihi-$E98))</f>
        <v/>
      </c>
      <c r="S98" s="29">
        <f>IF($A98="","",IF($R98="","",IF($R98&lt;=soa_kovaEsik1,"0-7",IF($R98&lt;=soa_kovaEsik2,"8-30",IF($R98&lt;=soa_kovaEsik3,"31-90","90+")))))</f>
        <v/>
      </c>
      <c r="T98" s="29">
        <f>IF($A98="","",IF($B98="","YETİM",IF(COUNTIF(tblKartlar[KartId],$B98)=0,"YETİM","")))</f>
        <v/>
      </c>
      <c r="U98" s="29">
        <f>IF(OR($A98="",$F98=""),"",IF(OR($F98&amp;"|"&amp;$G98="",COUNTIF(ListeIzinliGecis,$F98&amp;"|"&amp;$G98)&gt;0),"","GEÇERSİZ GEÇİŞ"))</f>
        <v/>
      </c>
      <c r="V98" s="29">
        <f>IF($A98="","",IF(OR($P98="",$J98=""),"",IF(ABS($J98-$P98)&gt;zincirTolerans,"ZİNCİR KIRIK","OK")))</f>
        <v/>
      </c>
      <c r="W98" s="29">
        <f>IF($A98="","",1)</f>
        <v/>
      </c>
      <c r="X98" s="29">
        <f>IF($A98="","",$K98*$I98)</f>
        <v/>
      </c>
    </row>
    <row r="99">
      <c r="A99" s="27" t="n"/>
      <c r="B99" s="27" t="n"/>
      <c r="C99" s="27" t="n"/>
      <c r="D99" s="30" t="n"/>
      <c r="E99" s="30" t="n"/>
      <c r="F99" s="27" t="n"/>
      <c r="G99" s="27" t="n"/>
      <c r="H99" s="28" t="n"/>
      <c r="I99" s="31" t="n"/>
      <c r="J99" s="31" t="n"/>
      <c r="K99" s="28" t="n"/>
      <c r="L99" s="32" t="n"/>
      <c r="M99" s="27" t="n"/>
      <c r="N99" s="27" t="n"/>
      <c r="O99" s="27" t="n"/>
      <c r="P99" s="29">
        <f>IF($A99="","",$H99*$I99)</f>
        <v/>
      </c>
      <c r="Q99" s="29">
        <f>IF(OR($A99="",$G99="KAPALI"),"",IF($L99&gt;soa_esikOluGun,"ÖLÜ",""))</f>
        <v/>
      </c>
      <c r="R99" s="29">
        <f>IF($A99="","",IF($E99="","",raporTarihi-$E99))</f>
        <v/>
      </c>
      <c r="S99" s="29">
        <f>IF($A99="","",IF($R99="","",IF($R99&lt;=soa_kovaEsik1,"0-7",IF($R99&lt;=soa_kovaEsik2,"8-30",IF($R99&lt;=soa_kovaEsik3,"31-90","90+")))))</f>
        <v/>
      </c>
      <c r="T99" s="29">
        <f>IF($A99="","",IF($B99="","YETİM",IF(COUNTIF(tblKartlar[KartId],$B99)=0,"YETİM","")))</f>
        <v/>
      </c>
      <c r="U99" s="29">
        <f>IF(OR($A99="",$F99=""),"",IF(OR($F99&amp;"|"&amp;$G99="",COUNTIF(ListeIzinliGecis,$F99&amp;"|"&amp;$G99)&gt;0),"","GEÇERSİZ GEÇİŞ"))</f>
        <v/>
      </c>
      <c r="V99" s="29">
        <f>IF($A99="","",IF(OR($P99="",$J99=""),"",IF(ABS($J99-$P99)&gt;zincirTolerans,"ZİNCİR KIRIK","OK")))</f>
        <v/>
      </c>
      <c r="W99" s="29">
        <f>IF($A99="","",1)</f>
        <v/>
      </c>
      <c r="X99" s="29">
        <f>IF($A99="","",$K99*$I99)</f>
        <v/>
      </c>
    </row>
    <row r="100">
      <c r="A100" s="27" t="n"/>
      <c r="B100" s="27" t="n"/>
      <c r="C100" s="27" t="n"/>
      <c r="D100" s="30" t="n"/>
      <c r="E100" s="30" t="n"/>
      <c r="F100" s="27" t="n"/>
      <c r="G100" s="27" t="n"/>
      <c r="H100" s="28" t="n"/>
      <c r="I100" s="31" t="n"/>
      <c r="J100" s="31" t="n"/>
      <c r="K100" s="28" t="n"/>
      <c r="L100" s="32" t="n"/>
      <c r="M100" s="27" t="n"/>
      <c r="N100" s="27" t="n"/>
      <c r="O100" s="27" t="n"/>
      <c r="P100" s="29">
        <f>IF($A100="","",$H100*$I100)</f>
        <v/>
      </c>
      <c r="Q100" s="29">
        <f>IF(OR($A100="",$G100="KAPALI"),"",IF($L100&gt;soa_esikOluGun,"ÖLÜ",""))</f>
        <v/>
      </c>
      <c r="R100" s="29">
        <f>IF($A100="","",IF($E100="","",raporTarihi-$E100))</f>
        <v/>
      </c>
      <c r="S100" s="29">
        <f>IF($A100="","",IF($R100="","",IF($R100&lt;=soa_kovaEsik1,"0-7",IF($R100&lt;=soa_kovaEsik2,"8-30",IF($R100&lt;=soa_kovaEsik3,"31-90","90+")))))</f>
        <v/>
      </c>
      <c r="T100" s="29">
        <f>IF($A100="","",IF($B100="","YETİM",IF(COUNTIF(tblKartlar[KartId],$B100)=0,"YETİM","")))</f>
        <v/>
      </c>
      <c r="U100" s="29">
        <f>IF(OR($A100="",$F100=""),"",IF(OR($F100&amp;"|"&amp;$G100="",COUNTIF(ListeIzinliGecis,$F100&amp;"|"&amp;$G100)&gt;0),"","GEÇERSİZ GEÇİŞ"))</f>
        <v/>
      </c>
      <c r="V100" s="29">
        <f>IF($A100="","",IF(OR($P100="",$J100=""),"",IF(ABS($J100-$P100)&gt;zincirTolerans,"ZİNCİR KIRIK","OK")))</f>
        <v/>
      </c>
      <c r="W100" s="29">
        <f>IF($A100="","",1)</f>
        <v/>
      </c>
      <c r="X100" s="29">
        <f>IF($A100="","",$K100*$I100)</f>
        <v/>
      </c>
    </row>
    <row r="101">
      <c r="A101" s="27" t="n"/>
      <c r="B101" s="27" t="n"/>
      <c r="C101" s="27" t="n"/>
      <c r="D101" s="30" t="n"/>
      <c r="E101" s="30" t="n"/>
      <c r="F101" s="27" t="n"/>
      <c r="G101" s="27" t="n"/>
      <c r="H101" s="28" t="n"/>
      <c r="I101" s="31" t="n"/>
      <c r="J101" s="31" t="n"/>
      <c r="K101" s="28" t="n"/>
      <c r="L101" s="32" t="n"/>
      <c r="M101" s="27" t="n"/>
      <c r="N101" s="27" t="n"/>
      <c r="O101" s="27" t="n"/>
      <c r="P101" s="29">
        <f>IF($A101="","",$H101*$I101)</f>
        <v/>
      </c>
      <c r="Q101" s="29">
        <f>IF(OR($A101="",$G101="KAPALI"),"",IF($L101&gt;soa_esikOluGun,"ÖLÜ",""))</f>
        <v/>
      </c>
      <c r="R101" s="29">
        <f>IF($A101="","",IF($E101="","",raporTarihi-$E101))</f>
        <v/>
      </c>
      <c r="S101" s="29">
        <f>IF($A101="","",IF($R101="","",IF($R101&lt;=soa_kovaEsik1,"0-7",IF($R101&lt;=soa_kovaEsik2,"8-30",IF($R101&lt;=soa_kovaEsik3,"31-90","90+")))))</f>
        <v/>
      </c>
      <c r="T101" s="29">
        <f>IF($A101="","",IF($B101="","YETİM",IF(COUNTIF(tblKartlar[KartId],$B101)=0,"YETİM","")))</f>
        <v/>
      </c>
      <c r="U101" s="29">
        <f>IF(OR($A101="",$F101=""),"",IF(OR($F101&amp;"|"&amp;$G101="",COUNTIF(ListeIzinliGecis,$F101&amp;"|"&amp;$G101)&gt;0),"","GEÇERSİZ GEÇİŞ"))</f>
        <v/>
      </c>
      <c r="V101" s="29">
        <f>IF($A101="","",IF(OR($P101="",$J101=""),"",IF(ABS($J101-$P101)&gt;zincirTolerans,"ZİNCİR KIRIK","OK")))</f>
        <v/>
      </c>
      <c r="W101" s="29">
        <f>IF($A101="","",1)</f>
        <v/>
      </c>
      <c r="X101" s="29">
        <f>IF($A101="","",$K101*$I101)</f>
        <v/>
      </c>
    </row>
    <row r="102">
      <c r="A102" s="27" t="n"/>
      <c r="B102" s="27" t="n"/>
      <c r="C102" s="27" t="n"/>
      <c r="D102" s="30" t="n"/>
      <c r="E102" s="30" t="n"/>
      <c r="F102" s="27" t="n"/>
      <c r="G102" s="27" t="n"/>
      <c r="H102" s="28" t="n"/>
      <c r="I102" s="31" t="n"/>
      <c r="J102" s="31" t="n"/>
      <c r="K102" s="28" t="n"/>
      <c r="L102" s="32" t="n"/>
      <c r="M102" s="27" t="n"/>
      <c r="N102" s="27" t="n"/>
      <c r="O102" s="27" t="n"/>
      <c r="P102" s="29">
        <f>IF($A102="","",$H102*$I102)</f>
        <v/>
      </c>
      <c r="Q102" s="29">
        <f>IF(OR($A102="",$G102="KAPALI"),"",IF($L102&gt;soa_esikOluGun,"ÖLÜ",""))</f>
        <v/>
      </c>
      <c r="R102" s="29">
        <f>IF($A102="","",IF($E102="","",raporTarihi-$E102))</f>
        <v/>
      </c>
      <c r="S102" s="29">
        <f>IF($A102="","",IF($R102="","",IF($R102&lt;=soa_kovaEsik1,"0-7",IF($R102&lt;=soa_kovaEsik2,"8-30",IF($R102&lt;=soa_kovaEsik3,"31-90","90+")))))</f>
        <v/>
      </c>
      <c r="T102" s="29">
        <f>IF($A102="","",IF($B102="","YETİM",IF(COUNTIF(tblKartlar[KartId],$B102)=0,"YETİM","")))</f>
        <v/>
      </c>
      <c r="U102" s="29">
        <f>IF(OR($A102="",$F102=""),"",IF(OR($F102&amp;"|"&amp;$G102="",COUNTIF(ListeIzinliGecis,$F102&amp;"|"&amp;$G102)&gt;0),"","GEÇERSİZ GEÇİŞ"))</f>
        <v/>
      </c>
      <c r="V102" s="29">
        <f>IF($A102="","",IF(OR($P102="",$J102=""),"",IF(ABS($J102-$P102)&gt;zincirTolerans,"ZİNCİR KIRIK","OK")))</f>
        <v/>
      </c>
      <c r="W102" s="29">
        <f>IF($A102="","",1)</f>
        <v/>
      </c>
      <c r="X102" s="29">
        <f>IF($A102="","",$K102*$I102)</f>
        <v/>
      </c>
    </row>
    <row r="103">
      <c r="A103" s="27" t="n"/>
      <c r="B103" s="27" t="n"/>
      <c r="C103" s="27" t="n"/>
      <c r="D103" s="30" t="n"/>
      <c r="E103" s="30" t="n"/>
      <c r="F103" s="27" t="n"/>
      <c r="G103" s="27" t="n"/>
      <c r="H103" s="28" t="n"/>
      <c r="I103" s="31" t="n"/>
      <c r="J103" s="31" t="n"/>
      <c r="K103" s="28" t="n"/>
      <c r="L103" s="32" t="n"/>
      <c r="M103" s="27" t="n"/>
      <c r="N103" s="27" t="n"/>
      <c r="O103" s="27" t="n"/>
      <c r="P103" s="29">
        <f>IF($A103="","",$H103*$I103)</f>
        <v/>
      </c>
      <c r="Q103" s="29">
        <f>IF(OR($A103="",$G103="KAPALI"),"",IF($L103&gt;soa_esikOluGun,"ÖLÜ",""))</f>
        <v/>
      </c>
      <c r="R103" s="29">
        <f>IF($A103="","",IF($E103="","",raporTarihi-$E103))</f>
        <v/>
      </c>
      <c r="S103" s="29">
        <f>IF($A103="","",IF($R103="","",IF($R103&lt;=soa_kovaEsik1,"0-7",IF($R103&lt;=soa_kovaEsik2,"8-30",IF($R103&lt;=soa_kovaEsik3,"31-90","90+")))))</f>
        <v/>
      </c>
      <c r="T103" s="29">
        <f>IF($A103="","",IF($B103="","YETİM",IF(COUNTIF(tblKartlar[KartId],$B103)=0,"YETİM","")))</f>
        <v/>
      </c>
      <c r="U103" s="29">
        <f>IF(OR($A103="",$F103=""),"",IF(OR($F103&amp;"|"&amp;$G103="",COUNTIF(ListeIzinliGecis,$F103&amp;"|"&amp;$G103)&gt;0),"","GEÇERSİZ GEÇİŞ"))</f>
        <v/>
      </c>
      <c r="V103" s="29">
        <f>IF($A103="","",IF(OR($P103="",$J103=""),"",IF(ABS($J103-$P103)&gt;zincirTolerans,"ZİNCİR KIRIK","OK")))</f>
        <v/>
      </c>
      <c r="W103" s="29">
        <f>IF($A103="","",1)</f>
        <v/>
      </c>
      <c r="X103" s="29">
        <f>IF($A103="","",$K103*$I103)</f>
        <v/>
      </c>
    </row>
    <row r="104">
      <c r="A104" s="27" t="n"/>
      <c r="B104" s="27" t="n"/>
      <c r="C104" s="27" t="n"/>
      <c r="D104" s="30" t="n"/>
      <c r="E104" s="30" t="n"/>
      <c r="F104" s="27" t="n"/>
      <c r="G104" s="27" t="n"/>
      <c r="H104" s="28" t="n"/>
      <c r="I104" s="31" t="n"/>
      <c r="J104" s="31" t="n"/>
      <c r="K104" s="28" t="n"/>
      <c r="L104" s="32" t="n"/>
      <c r="M104" s="27" t="n"/>
      <c r="N104" s="27" t="n"/>
      <c r="O104" s="27" t="n"/>
      <c r="P104" s="29">
        <f>IF($A104="","",$H104*$I104)</f>
        <v/>
      </c>
      <c r="Q104" s="29">
        <f>IF(OR($A104="",$G104="KAPALI"),"",IF($L104&gt;soa_esikOluGun,"ÖLÜ",""))</f>
        <v/>
      </c>
      <c r="R104" s="29">
        <f>IF($A104="","",IF($E104="","",raporTarihi-$E104))</f>
        <v/>
      </c>
      <c r="S104" s="29">
        <f>IF($A104="","",IF($R104="","",IF($R104&lt;=soa_kovaEsik1,"0-7",IF($R104&lt;=soa_kovaEsik2,"8-30",IF($R104&lt;=soa_kovaEsik3,"31-90","90+")))))</f>
        <v/>
      </c>
      <c r="T104" s="29">
        <f>IF($A104="","",IF($B104="","YETİM",IF(COUNTIF(tblKartlar[KartId],$B104)=0,"YETİM","")))</f>
        <v/>
      </c>
      <c r="U104" s="29">
        <f>IF(OR($A104="",$F104=""),"",IF(OR($F104&amp;"|"&amp;$G104="",COUNTIF(ListeIzinliGecis,$F104&amp;"|"&amp;$G104)&gt;0),"","GEÇERSİZ GEÇİŞ"))</f>
        <v/>
      </c>
      <c r="V104" s="29">
        <f>IF($A104="","",IF(OR($P104="",$J104=""),"",IF(ABS($J104-$P104)&gt;zincirTolerans,"ZİNCİR KIRIK","OK")))</f>
        <v/>
      </c>
      <c r="W104" s="29">
        <f>IF($A104="","",1)</f>
        <v/>
      </c>
      <c r="X104" s="29">
        <f>IF($A104="","",$K104*$I104)</f>
        <v/>
      </c>
    </row>
    <row r="105">
      <c r="A105" s="27" t="n"/>
      <c r="B105" s="27" t="n"/>
      <c r="C105" s="27" t="n"/>
      <c r="D105" s="30" t="n"/>
      <c r="E105" s="30" t="n"/>
      <c r="F105" s="27" t="n"/>
      <c r="G105" s="27" t="n"/>
      <c r="H105" s="28" t="n"/>
      <c r="I105" s="31" t="n"/>
      <c r="J105" s="31" t="n"/>
      <c r="K105" s="28" t="n"/>
      <c r="L105" s="32" t="n"/>
      <c r="M105" s="27" t="n"/>
      <c r="N105" s="27" t="n"/>
      <c r="O105" s="27" t="n"/>
      <c r="P105" s="29">
        <f>IF($A105="","",$H105*$I105)</f>
        <v/>
      </c>
      <c r="Q105" s="29">
        <f>IF(OR($A105="",$G105="KAPALI"),"",IF($L105&gt;soa_esikOluGun,"ÖLÜ",""))</f>
        <v/>
      </c>
      <c r="R105" s="29">
        <f>IF($A105="","",IF($E105="","",raporTarihi-$E105))</f>
        <v/>
      </c>
      <c r="S105" s="29">
        <f>IF($A105="","",IF($R105="","",IF($R105&lt;=soa_kovaEsik1,"0-7",IF($R105&lt;=soa_kovaEsik2,"8-30",IF($R105&lt;=soa_kovaEsik3,"31-90","90+")))))</f>
        <v/>
      </c>
      <c r="T105" s="29">
        <f>IF($A105="","",IF($B105="","YETİM",IF(COUNTIF(tblKartlar[KartId],$B105)=0,"YETİM","")))</f>
        <v/>
      </c>
      <c r="U105" s="29">
        <f>IF(OR($A105="",$F105=""),"",IF(OR($F105&amp;"|"&amp;$G105="",COUNTIF(ListeIzinliGecis,$F105&amp;"|"&amp;$G105)&gt;0),"","GEÇERSİZ GEÇİŞ"))</f>
        <v/>
      </c>
      <c r="V105" s="29">
        <f>IF($A105="","",IF(OR($P105="",$J105=""),"",IF(ABS($J105-$P105)&gt;zincirTolerans,"ZİNCİR KIRIK","OK")))</f>
        <v/>
      </c>
      <c r="W105" s="29">
        <f>IF($A105="","",1)</f>
        <v/>
      </c>
      <c r="X105" s="29">
        <f>IF($A105="","",$K105*$I105)</f>
        <v/>
      </c>
    </row>
    <row r="106">
      <c r="A106" s="27" t="n"/>
      <c r="B106" s="27" t="n"/>
      <c r="C106" s="27" t="n"/>
      <c r="D106" s="30" t="n"/>
      <c r="E106" s="30" t="n"/>
      <c r="F106" s="27" t="n"/>
      <c r="G106" s="27" t="n"/>
      <c r="H106" s="28" t="n"/>
      <c r="I106" s="31" t="n"/>
      <c r="J106" s="31" t="n"/>
      <c r="K106" s="28" t="n"/>
      <c r="L106" s="32" t="n"/>
      <c r="M106" s="27" t="n"/>
      <c r="N106" s="27" t="n"/>
      <c r="O106" s="27" t="n"/>
      <c r="P106" s="29">
        <f>IF($A106="","",$H106*$I106)</f>
        <v/>
      </c>
      <c r="Q106" s="29">
        <f>IF(OR($A106="",$G106="KAPALI"),"",IF($L106&gt;soa_esikOluGun,"ÖLÜ",""))</f>
        <v/>
      </c>
      <c r="R106" s="29">
        <f>IF($A106="","",IF($E106="","",raporTarihi-$E106))</f>
        <v/>
      </c>
      <c r="S106" s="29">
        <f>IF($A106="","",IF($R106="","",IF($R106&lt;=soa_kovaEsik1,"0-7",IF($R106&lt;=soa_kovaEsik2,"8-30",IF($R106&lt;=soa_kovaEsik3,"31-90","90+")))))</f>
        <v/>
      </c>
      <c r="T106" s="29">
        <f>IF($A106="","",IF($B106="","YETİM",IF(COUNTIF(tblKartlar[KartId],$B106)=0,"YETİM","")))</f>
        <v/>
      </c>
      <c r="U106" s="29">
        <f>IF(OR($A106="",$F106=""),"",IF(OR($F106&amp;"|"&amp;$G106="",COUNTIF(ListeIzinliGecis,$F106&amp;"|"&amp;$G106)&gt;0),"","GEÇERSİZ GEÇİŞ"))</f>
        <v/>
      </c>
      <c r="V106" s="29">
        <f>IF($A106="","",IF(OR($P106="",$J106=""),"",IF(ABS($J106-$P106)&gt;zincirTolerans,"ZİNCİR KIRIK","OK")))</f>
        <v/>
      </c>
      <c r="W106" s="29">
        <f>IF($A106="","",1)</f>
        <v/>
      </c>
      <c r="X106" s="29">
        <f>IF($A106="","",$K106*$I106)</f>
        <v/>
      </c>
    </row>
    <row r="107">
      <c r="A107" s="27" t="n"/>
      <c r="B107" s="27" t="n"/>
      <c r="C107" s="27" t="n"/>
      <c r="D107" s="30" t="n"/>
      <c r="E107" s="30" t="n"/>
      <c r="F107" s="27" t="n"/>
      <c r="G107" s="27" t="n"/>
      <c r="H107" s="28" t="n"/>
      <c r="I107" s="31" t="n"/>
      <c r="J107" s="31" t="n"/>
      <c r="K107" s="28" t="n"/>
      <c r="L107" s="32" t="n"/>
      <c r="M107" s="27" t="n"/>
      <c r="N107" s="27" t="n"/>
      <c r="O107" s="27" t="n"/>
      <c r="P107" s="29">
        <f>IF($A107="","",$H107*$I107)</f>
        <v/>
      </c>
      <c r="Q107" s="29">
        <f>IF(OR($A107="",$G107="KAPALI"),"",IF($L107&gt;soa_esikOluGun,"ÖLÜ",""))</f>
        <v/>
      </c>
      <c r="R107" s="29">
        <f>IF($A107="","",IF($E107="","",raporTarihi-$E107))</f>
        <v/>
      </c>
      <c r="S107" s="29">
        <f>IF($A107="","",IF($R107="","",IF($R107&lt;=soa_kovaEsik1,"0-7",IF($R107&lt;=soa_kovaEsik2,"8-30",IF($R107&lt;=soa_kovaEsik3,"31-90","90+")))))</f>
        <v/>
      </c>
      <c r="T107" s="29">
        <f>IF($A107="","",IF($B107="","YETİM",IF(COUNTIF(tblKartlar[KartId],$B107)=0,"YETİM","")))</f>
        <v/>
      </c>
      <c r="U107" s="29">
        <f>IF(OR($A107="",$F107=""),"",IF(OR($F107&amp;"|"&amp;$G107="",COUNTIF(ListeIzinliGecis,$F107&amp;"|"&amp;$G107)&gt;0),"","GEÇERSİZ GEÇİŞ"))</f>
        <v/>
      </c>
      <c r="V107" s="29">
        <f>IF($A107="","",IF(OR($P107="",$J107=""),"",IF(ABS($J107-$P107)&gt;zincirTolerans,"ZİNCİR KIRIK","OK")))</f>
        <v/>
      </c>
      <c r="W107" s="29">
        <f>IF($A107="","",1)</f>
        <v/>
      </c>
      <c r="X107" s="29">
        <f>IF($A107="","",$K107*$I107)</f>
        <v/>
      </c>
    </row>
    <row r="108">
      <c r="A108" s="27" t="n"/>
      <c r="B108" s="27" t="n"/>
      <c r="C108" s="27" t="n"/>
      <c r="D108" s="30" t="n"/>
      <c r="E108" s="30" t="n"/>
      <c r="F108" s="27" t="n"/>
      <c r="G108" s="27" t="n"/>
      <c r="H108" s="28" t="n"/>
      <c r="I108" s="31" t="n"/>
      <c r="J108" s="31" t="n"/>
      <c r="K108" s="28" t="n"/>
      <c r="L108" s="32" t="n"/>
      <c r="M108" s="27" t="n"/>
      <c r="N108" s="27" t="n"/>
      <c r="O108" s="27" t="n"/>
      <c r="P108" s="29">
        <f>IF($A108="","",$H108*$I108)</f>
        <v/>
      </c>
      <c r="Q108" s="29">
        <f>IF(OR($A108="",$G108="KAPALI"),"",IF($L108&gt;soa_esikOluGun,"ÖLÜ",""))</f>
        <v/>
      </c>
      <c r="R108" s="29">
        <f>IF($A108="","",IF($E108="","",raporTarihi-$E108))</f>
        <v/>
      </c>
      <c r="S108" s="29">
        <f>IF($A108="","",IF($R108="","",IF($R108&lt;=soa_kovaEsik1,"0-7",IF($R108&lt;=soa_kovaEsik2,"8-30",IF($R108&lt;=soa_kovaEsik3,"31-90","90+")))))</f>
        <v/>
      </c>
      <c r="T108" s="29">
        <f>IF($A108="","",IF($B108="","YETİM",IF(COUNTIF(tblKartlar[KartId],$B108)=0,"YETİM","")))</f>
        <v/>
      </c>
      <c r="U108" s="29">
        <f>IF(OR($A108="",$F108=""),"",IF(OR($F108&amp;"|"&amp;$G108="",COUNTIF(ListeIzinliGecis,$F108&amp;"|"&amp;$G108)&gt;0),"","GEÇERSİZ GEÇİŞ"))</f>
        <v/>
      </c>
      <c r="V108" s="29">
        <f>IF($A108="","",IF(OR($P108="",$J108=""),"",IF(ABS($J108-$P108)&gt;zincirTolerans,"ZİNCİR KIRIK","OK")))</f>
        <v/>
      </c>
      <c r="W108" s="29">
        <f>IF($A108="","",1)</f>
        <v/>
      </c>
      <c r="X108" s="29">
        <f>IF($A108="","",$K108*$I108)</f>
        <v/>
      </c>
    </row>
    <row r="109">
      <c r="A109" s="27" t="n"/>
      <c r="B109" s="27" t="n"/>
      <c r="C109" s="27" t="n"/>
      <c r="D109" s="30" t="n"/>
      <c r="E109" s="30" t="n"/>
      <c r="F109" s="27" t="n"/>
      <c r="G109" s="27" t="n"/>
      <c r="H109" s="28" t="n"/>
      <c r="I109" s="31" t="n"/>
      <c r="J109" s="31" t="n"/>
      <c r="K109" s="28" t="n"/>
      <c r="L109" s="32" t="n"/>
      <c r="M109" s="27" t="n"/>
      <c r="N109" s="27" t="n"/>
      <c r="O109" s="27" t="n"/>
      <c r="P109" s="29">
        <f>IF($A109="","",$H109*$I109)</f>
        <v/>
      </c>
      <c r="Q109" s="29">
        <f>IF(OR($A109="",$G109="KAPALI"),"",IF($L109&gt;soa_esikOluGun,"ÖLÜ",""))</f>
        <v/>
      </c>
      <c r="R109" s="29">
        <f>IF($A109="","",IF($E109="","",raporTarihi-$E109))</f>
        <v/>
      </c>
      <c r="S109" s="29">
        <f>IF($A109="","",IF($R109="","",IF($R109&lt;=soa_kovaEsik1,"0-7",IF($R109&lt;=soa_kovaEsik2,"8-30",IF($R109&lt;=soa_kovaEsik3,"31-90","90+")))))</f>
        <v/>
      </c>
      <c r="T109" s="29">
        <f>IF($A109="","",IF($B109="","YETİM",IF(COUNTIF(tblKartlar[KartId],$B109)=0,"YETİM","")))</f>
        <v/>
      </c>
      <c r="U109" s="29">
        <f>IF(OR($A109="",$F109=""),"",IF(OR($F109&amp;"|"&amp;$G109="",COUNTIF(ListeIzinliGecis,$F109&amp;"|"&amp;$G109)&gt;0),"","GEÇERSİZ GEÇİŞ"))</f>
        <v/>
      </c>
      <c r="V109" s="29">
        <f>IF($A109="","",IF(OR($P109="",$J109=""),"",IF(ABS($J109-$P109)&gt;zincirTolerans,"ZİNCİR KIRIK","OK")))</f>
        <v/>
      </c>
      <c r="W109" s="29">
        <f>IF($A109="","",1)</f>
        <v/>
      </c>
      <c r="X109" s="29">
        <f>IF($A109="","",$K109*$I109)</f>
        <v/>
      </c>
    </row>
    <row r="110">
      <c r="A110" s="27" t="n"/>
      <c r="B110" s="27" t="n"/>
      <c r="C110" s="27" t="n"/>
      <c r="D110" s="30" t="n"/>
      <c r="E110" s="30" t="n"/>
      <c r="F110" s="27" t="n"/>
      <c r="G110" s="27" t="n"/>
      <c r="H110" s="28" t="n"/>
      <c r="I110" s="31" t="n"/>
      <c r="J110" s="31" t="n"/>
      <c r="K110" s="28" t="n"/>
      <c r="L110" s="32" t="n"/>
      <c r="M110" s="27" t="n"/>
      <c r="N110" s="27" t="n"/>
      <c r="O110" s="27" t="n"/>
      <c r="P110" s="29">
        <f>IF($A110="","",$H110*$I110)</f>
        <v/>
      </c>
      <c r="Q110" s="29">
        <f>IF(OR($A110="",$G110="KAPALI"),"",IF($L110&gt;soa_esikOluGun,"ÖLÜ",""))</f>
        <v/>
      </c>
      <c r="R110" s="29">
        <f>IF($A110="","",IF($E110="","",raporTarihi-$E110))</f>
        <v/>
      </c>
      <c r="S110" s="29">
        <f>IF($A110="","",IF($R110="","",IF($R110&lt;=soa_kovaEsik1,"0-7",IF($R110&lt;=soa_kovaEsik2,"8-30",IF($R110&lt;=soa_kovaEsik3,"31-90","90+")))))</f>
        <v/>
      </c>
      <c r="T110" s="29">
        <f>IF($A110="","",IF($B110="","YETİM",IF(COUNTIF(tblKartlar[KartId],$B110)=0,"YETİM","")))</f>
        <v/>
      </c>
      <c r="U110" s="29">
        <f>IF(OR($A110="",$F110=""),"",IF(OR($F110&amp;"|"&amp;$G110="",COUNTIF(ListeIzinliGecis,$F110&amp;"|"&amp;$G110)&gt;0),"","GEÇERSİZ GEÇİŞ"))</f>
        <v/>
      </c>
      <c r="V110" s="29">
        <f>IF($A110="","",IF(OR($P110="",$J110=""),"",IF(ABS($J110-$P110)&gt;zincirTolerans,"ZİNCİR KIRIK","OK")))</f>
        <v/>
      </c>
      <c r="W110" s="29">
        <f>IF($A110="","",1)</f>
        <v/>
      </c>
      <c r="X110" s="29">
        <f>IF($A110="","",$K110*$I110)</f>
        <v/>
      </c>
    </row>
    <row r="111">
      <c r="A111" s="27" t="n"/>
      <c r="B111" s="27" t="n"/>
      <c r="C111" s="27" t="n"/>
      <c r="D111" s="30" t="n"/>
      <c r="E111" s="30" t="n"/>
      <c r="F111" s="27" t="n"/>
      <c r="G111" s="27" t="n"/>
      <c r="H111" s="28" t="n"/>
      <c r="I111" s="31" t="n"/>
      <c r="J111" s="31" t="n"/>
      <c r="K111" s="28" t="n"/>
      <c r="L111" s="32" t="n"/>
      <c r="M111" s="27" t="n"/>
      <c r="N111" s="27" t="n"/>
      <c r="O111" s="27" t="n"/>
      <c r="P111" s="29">
        <f>IF($A111="","",$H111*$I111)</f>
        <v/>
      </c>
      <c r="Q111" s="29">
        <f>IF(OR($A111="",$G111="KAPALI"),"",IF($L111&gt;soa_esikOluGun,"ÖLÜ",""))</f>
        <v/>
      </c>
      <c r="R111" s="29">
        <f>IF($A111="","",IF($E111="","",raporTarihi-$E111))</f>
        <v/>
      </c>
      <c r="S111" s="29">
        <f>IF($A111="","",IF($R111="","",IF($R111&lt;=soa_kovaEsik1,"0-7",IF($R111&lt;=soa_kovaEsik2,"8-30",IF($R111&lt;=soa_kovaEsik3,"31-90","90+")))))</f>
        <v/>
      </c>
      <c r="T111" s="29">
        <f>IF($A111="","",IF($B111="","YETİM",IF(COUNTIF(tblKartlar[KartId],$B111)=0,"YETİM","")))</f>
        <v/>
      </c>
      <c r="U111" s="29">
        <f>IF(OR($A111="",$F111=""),"",IF(OR($F111&amp;"|"&amp;$G111="",COUNTIF(ListeIzinliGecis,$F111&amp;"|"&amp;$G111)&gt;0),"","GEÇERSİZ GEÇİŞ"))</f>
        <v/>
      </c>
      <c r="V111" s="29">
        <f>IF($A111="","",IF(OR($P111="",$J111=""),"",IF(ABS($J111-$P111)&gt;zincirTolerans,"ZİNCİR KIRIK","OK")))</f>
        <v/>
      </c>
      <c r="W111" s="29">
        <f>IF($A111="","",1)</f>
        <v/>
      </c>
      <c r="X111" s="29">
        <f>IF($A111="","",$K111*$I111)</f>
        <v/>
      </c>
    </row>
    <row r="112">
      <c r="A112" s="27" t="n"/>
      <c r="B112" s="27" t="n"/>
      <c r="C112" s="27" t="n"/>
      <c r="D112" s="30" t="n"/>
      <c r="E112" s="30" t="n"/>
      <c r="F112" s="27" t="n"/>
      <c r="G112" s="27" t="n"/>
      <c r="H112" s="28" t="n"/>
      <c r="I112" s="31" t="n"/>
      <c r="J112" s="31" t="n"/>
      <c r="K112" s="28" t="n"/>
      <c r="L112" s="32" t="n"/>
      <c r="M112" s="27" t="n"/>
      <c r="N112" s="27" t="n"/>
      <c r="O112" s="27" t="n"/>
      <c r="P112" s="29">
        <f>IF($A112="","",$H112*$I112)</f>
        <v/>
      </c>
      <c r="Q112" s="29">
        <f>IF(OR($A112="",$G112="KAPALI"),"",IF($L112&gt;soa_esikOluGun,"ÖLÜ",""))</f>
        <v/>
      </c>
      <c r="R112" s="29">
        <f>IF($A112="","",IF($E112="","",raporTarihi-$E112))</f>
        <v/>
      </c>
      <c r="S112" s="29">
        <f>IF($A112="","",IF($R112="","",IF($R112&lt;=soa_kovaEsik1,"0-7",IF($R112&lt;=soa_kovaEsik2,"8-30",IF($R112&lt;=soa_kovaEsik3,"31-90","90+")))))</f>
        <v/>
      </c>
      <c r="T112" s="29">
        <f>IF($A112="","",IF($B112="","YETİM",IF(COUNTIF(tblKartlar[KartId],$B112)=0,"YETİM","")))</f>
        <v/>
      </c>
      <c r="U112" s="29">
        <f>IF(OR($A112="",$F112=""),"",IF(OR($F112&amp;"|"&amp;$G112="",COUNTIF(ListeIzinliGecis,$F112&amp;"|"&amp;$G112)&gt;0),"","GEÇERSİZ GEÇİŞ"))</f>
        <v/>
      </c>
      <c r="V112" s="29">
        <f>IF($A112="","",IF(OR($P112="",$J112=""),"",IF(ABS($J112-$P112)&gt;zincirTolerans,"ZİNCİR KIRIK","OK")))</f>
        <v/>
      </c>
      <c r="W112" s="29">
        <f>IF($A112="","",1)</f>
        <v/>
      </c>
      <c r="X112" s="29">
        <f>IF($A112="","",$K112*$I112)</f>
        <v/>
      </c>
    </row>
    <row r="113">
      <c r="A113" s="27" t="n"/>
      <c r="B113" s="27" t="n"/>
      <c r="C113" s="27" t="n"/>
      <c r="D113" s="30" t="n"/>
      <c r="E113" s="30" t="n"/>
      <c r="F113" s="27" t="n"/>
      <c r="G113" s="27" t="n"/>
      <c r="H113" s="28" t="n"/>
      <c r="I113" s="31" t="n"/>
      <c r="J113" s="31" t="n"/>
      <c r="K113" s="28" t="n"/>
      <c r="L113" s="32" t="n"/>
      <c r="M113" s="27" t="n"/>
      <c r="N113" s="27" t="n"/>
      <c r="O113" s="27" t="n"/>
      <c r="P113" s="29">
        <f>IF($A113="","",$H113*$I113)</f>
        <v/>
      </c>
      <c r="Q113" s="29">
        <f>IF(OR($A113="",$G113="KAPALI"),"",IF($L113&gt;soa_esikOluGun,"ÖLÜ",""))</f>
        <v/>
      </c>
      <c r="R113" s="29">
        <f>IF($A113="","",IF($E113="","",raporTarihi-$E113))</f>
        <v/>
      </c>
      <c r="S113" s="29">
        <f>IF($A113="","",IF($R113="","",IF($R113&lt;=soa_kovaEsik1,"0-7",IF($R113&lt;=soa_kovaEsik2,"8-30",IF($R113&lt;=soa_kovaEsik3,"31-90","90+")))))</f>
        <v/>
      </c>
      <c r="T113" s="29">
        <f>IF($A113="","",IF($B113="","YETİM",IF(COUNTIF(tblKartlar[KartId],$B113)=0,"YETİM","")))</f>
        <v/>
      </c>
      <c r="U113" s="29">
        <f>IF(OR($A113="",$F113=""),"",IF(OR($F113&amp;"|"&amp;$G113="",COUNTIF(ListeIzinliGecis,$F113&amp;"|"&amp;$G113)&gt;0),"","GEÇERSİZ GEÇİŞ"))</f>
        <v/>
      </c>
      <c r="V113" s="29">
        <f>IF($A113="","",IF(OR($P113="",$J113=""),"",IF(ABS($J113-$P113)&gt;zincirTolerans,"ZİNCİR KIRIK","OK")))</f>
        <v/>
      </c>
      <c r="W113" s="29">
        <f>IF($A113="","",1)</f>
        <v/>
      </c>
      <c r="X113" s="29">
        <f>IF($A113="","",$K113*$I113)</f>
        <v/>
      </c>
    </row>
    <row r="114">
      <c r="A114" s="27" t="n"/>
      <c r="B114" s="27" t="n"/>
      <c r="C114" s="27" t="n"/>
      <c r="D114" s="30" t="n"/>
      <c r="E114" s="30" t="n"/>
      <c r="F114" s="27" t="n"/>
      <c r="G114" s="27" t="n"/>
      <c r="H114" s="28" t="n"/>
      <c r="I114" s="31" t="n"/>
      <c r="J114" s="31" t="n"/>
      <c r="K114" s="28" t="n"/>
      <c r="L114" s="32" t="n"/>
      <c r="M114" s="27" t="n"/>
      <c r="N114" s="27" t="n"/>
      <c r="O114" s="27" t="n"/>
      <c r="P114" s="29">
        <f>IF($A114="","",$H114*$I114)</f>
        <v/>
      </c>
      <c r="Q114" s="29">
        <f>IF(OR($A114="",$G114="KAPALI"),"",IF($L114&gt;soa_esikOluGun,"ÖLÜ",""))</f>
        <v/>
      </c>
      <c r="R114" s="29">
        <f>IF($A114="","",IF($E114="","",raporTarihi-$E114))</f>
        <v/>
      </c>
      <c r="S114" s="29">
        <f>IF($A114="","",IF($R114="","",IF($R114&lt;=soa_kovaEsik1,"0-7",IF($R114&lt;=soa_kovaEsik2,"8-30",IF($R114&lt;=soa_kovaEsik3,"31-90","90+")))))</f>
        <v/>
      </c>
      <c r="T114" s="29">
        <f>IF($A114="","",IF($B114="","YETİM",IF(COUNTIF(tblKartlar[KartId],$B114)=0,"YETİM","")))</f>
        <v/>
      </c>
      <c r="U114" s="29">
        <f>IF(OR($A114="",$F114=""),"",IF(OR($F114&amp;"|"&amp;$G114="",COUNTIF(ListeIzinliGecis,$F114&amp;"|"&amp;$G114)&gt;0),"","GEÇERSİZ GEÇİŞ"))</f>
        <v/>
      </c>
      <c r="V114" s="29">
        <f>IF($A114="","",IF(OR($P114="",$J114=""),"",IF(ABS($J114-$P114)&gt;zincirTolerans,"ZİNCİR KIRIK","OK")))</f>
        <v/>
      </c>
      <c r="W114" s="29">
        <f>IF($A114="","",1)</f>
        <v/>
      </c>
      <c r="X114" s="29">
        <f>IF($A114="","",$K114*$I114)</f>
        <v/>
      </c>
    </row>
    <row r="115">
      <c r="A115" s="27" t="n"/>
      <c r="B115" s="27" t="n"/>
      <c r="C115" s="27" t="n"/>
      <c r="D115" s="30" t="n"/>
      <c r="E115" s="30" t="n"/>
      <c r="F115" s="27" t="n"/>
      <c r="G115" s="27" t="n"/>
      <c r="H115" s="28" t="n"/>
      <c r="I115" s="31" t="n"/>
      <c r="J115" s="31" t="n"/>
      <c r="K115" s="28" t="n"/>
      <c r="L115" s="32" t="n"/>
      <c r="M115" s="27" t="n"/>
      <c r="N115" s="27" t="n"/>
      <c r="O115" s="27" t="n"/>
      <c r="P115" s="29">
        <f>IF($A115="","",$H115*$I115)</f>
        <v/>
      </c>
      <c r="Q115" s="29">
        <f>IF(OR($A115="",$G115="KAPALI"),"",IF($L115&gt;soa_esikOluGun,"ÖLÜ",""))</f>
        <v/>
      </c>
      <c r="R115" s="29">
        <f>IF($A115="","",IF($E115="","",raporTarihi-$E115))</f>
        <v/>
      </c>
      <c r="S115" s="29">
        <f>IF($A115="","",IF($R115="","",IF($R115&lt;=soa_kovaEsik1,"0-7",IF($R115&lt;=soa_kovaEsik2,"8-30",IF($R115&lt;=soa_kovaEsik3,"31-90","90+")))))</f>
        <v/>
      </c>
      <c r="T115" s="29">
        <f>IF($A115="","",IF($B115="","YETİM",IF(COUNTIF(tblKartlar[KartId],$B115)=0,"YETİM","")))</f>
        <v/>
      </c>
      <c r="U115" s="29">
        <f>IF(OR($A115="",$F115=""),"",IF(OR($F115&amp;"|"&amp;$G115="",COUNTIF(ListeIzinliGecis,$F115&amp;"|"&amp;$G115)&gt;0),"","GEÇERSİZ GEÇİŞ"))</f>
        <v/>
      </c>
      <c r="V115" s="29">
        <f>IF($A115="","",IF(OR($P115="",$J115=""),"",IF(ABS($J115-$P115)&gt;zincirTolerans,"ZİNCİR KIRIK","OK")))</f>
        <v/>
      </c>
      <c r="W115" s="29">
        <f>IF($A115="","",1)</f>
        <v/>
      </c>
      <c r="X115" s="29">
        <f>IF($A115="","",$K115*$I115)</f>
        <v/>
      </c>
    </row>
    <row r="116">
      <c r="A116" s="27" t="n"/>
      <c r="B116" s="27" t="n"/>
      <c r="C116" s="27" t="n"/>
      <c r="D116" s="30" t="n"/>
      <c r="E116" s="30" t="n"/>
      <c r="F116" s="27" t="n"/>
      <c r="G116" s="27" t="n"/>
      <c r="H116" s="28" t="n"/>
      <c r="I116" s="31" t="n"/>
      <c r="J116" s="31" t="n"/>
      <c r="K116" s="28" t="n"/>
      <c r="L116" s="32" t="n"/>
      <c r="M116" s="27" t="n"/>
      <c r="N116" s="27" t="n"/>
      <c r="O116" s="27" t="n"/>
      <c r="P116" s="29">
        <f>IF($A116="","",$H116*$I116)</f>
        <v/>
      </c>
      <c r="Q116" s="29">
        <f>IF(OR($A116="",$G116="KAPALI"),"",IF($L116&gt;soa_esikOluGun,"ÖLÜ",""))</f>
        <v/>
      </c>
      <c r="R116" s="29">
        <f>IF($A116="","",IF($E116="","",raporTarihi-$E116))</f>
        <v/>
      </c>
      <c r="S116" s="29">
        <f>IF($A116="","",IF($R116="","",IF($R116&lt;=soa_kovaEsik1,"0-7",IF($R116&lt;=soa_kovaEsik2,"8-30",IF($R116&lt;=soa_kovaEsik3,"31-90","90+")))))</f>
        <v/>
      </c>
      <c r="T116" s="29">
        <f>IF($A116="","",IF($B116="","YETİM",IF(COUNTIF(tblKartlar[KartId],$B116)=0,"YETİM","")))</f>
        <v/>
      </c>
      <c r="U116" s="29">
        <f>IF(OR($A116="",$F116=""),"",IF(OR($F116&amp;"|"&amp;$G116="",COUNTIF(ListeIzinliGecis,$F116&amp;"|"&amp;$G116)&gt;0),"","GEÇERSİZ GEÇİŞ"))</f>
        <v/>
      </c>
      <c r="V116" s="29">
        <f>IF($A116="","",IF(OR($P116="",$J116=""),"",IF(ABS($J116-$P116)&gt;zincirTolerans,"ZİNCİR KIRIK","OK")))</f>
        <v/>
      </c>
      <c r="W116" s="29">
        <f>IF($A116="","",1)</f>
        <v/>
      </c>
      <c r="X116" s="29">
        <f>IF($A116="","",$K116*$I116)</f>
        <v/>
      </c>
    </row>
    <row r="117">
      <c r="A117" s="27" t="n"/>
      <c r="B117" s="27" t="n"/>
      <c r="C117" s="27" t="n"/>
      <c r="D117" s="30" t="n"/>
      <c r="E117" s="30" t="n"/>
      <c r="F117" s="27" t="n"/>
      <c r="G117" s="27" t="n"/>
      <c r="H117" s="28" t="n"/>
      <c r="I117" s="31" t="n"/>
      <c r="J117" s="31" t="n"/>
      <c r="K117" s="28" t="n"/>
      <c r="L117" s="32" t="n"/>
      <c r="M117" s="27" t="n"/>
      <c r="N117" s="27" t="n"/>
      <c r="O117" s="27" t="n"/>
      <c r="P117" s="29">
        <f>IF($A117="","",$H117*$I117)</f>
        <v/>
      </c>
      <c r="Q117" s="29">
        <f>IF(OR($A117="",$G117="KAPALI"),"",IF($L117&gt;soa_esikOluGun,"ÖLÜ",""))</f>
        <v/>
      </c>
      <c r="R117" s="29">
        <f>IF($A117="","",IF($E117="","",raporTarihi-$E117))</f>
        <v/>
      </c>
      <c r="S117" s="29">
        <f>IF($A117="","",IF($R117="","",IF($R117&lt;=soa_kovaEsik1,"0-7",IF($R117&lt;=soa_kovaEsik2,"8-30",IF($R117&lt;=soa_kovaEsik3,"31-90","90+")))))</f>
        <v/>
      </c>
      <c r="T117" s="29">
        <f>IF($A117="","",IF($B117="","YETİM",IF(COUNTIF(tblKartlar[KartId],$B117)=0,"YETİM","")))</f>
        <v/>
      </c>
      <c r="U117" s="29">
        <f>IF(OR($A117="",$F117=""),"",IF(OR($F117&amp;"|"&amp;$G117="",COUNTIF(ListeIzinliGecis,$F117&amp;"|"&amp;$G117)&gt;0),"","GEÇERSİZ GEÇİŞ"))</f>
        <v/>
      </c>
      <c r="V117" s="29">
        <f>IF($A117="","",IF(OR($P117="",$J117=""),"",IF(ABS($J117-$P117)&gt;zincirTolerans,"ZİNCİR KIRIK","OK")))</f>
        <v/>
      </c>
      <c r="W117" s="29">
        <f>IF($A117="","",1)</f>
        <v/>
      </c>
      <c r="X117" s="29">
        <f>IF($A117="","",$K117*$I117)</f>
        <v/>
      </c>
    </row>
    <row r="118">
      <c r="A118" s="27" t="n"/>
      <c r="B118" s="27" t="n"/>
      <c r="C118" s="27" t="n"/>
      <c r="D118" s="30" t="n"/>
      <c r="E118" s="30" t="n"/>
      <c r="F118" s="27" t="n"/>
      <c r="G118" s="27" t="n"/>
      <c r="H118" s="28" t="n"/>
      <c r="I118" s="31" t="n"/>
      <c r="J118" s="31" t="n"/>
      <c r="K118" s="28" t="n"/>
      <c r="L118" s="32" t="n"/>
      <c r="M118" s="27" t="n"/>
      <c r="N118" s="27" t="n"/>
      <c r="O118" s="27" t="n"/>
      <c r="P118" s="29">
        <f>IF($A118="","",$H118*$I118)</f>
        <v/>
      </c>
      <c r="Q118" s="29">
        <f>IF(OR($A118="",$G118="KAPALI"),"",IF($L118&gt;soa_esikOluGun,"ÖLÜ",""))</f>
        <v/>
      </c>
      <c r="R118" s="29">
        <f>IF($A118="","",IF($E118="","",raporTarihi-$E118))</f>
        <v/>
      </c>
      <c r="S118" s="29">
        <f>IF($A118="","",IF($R118="","",IF($R118&lt;=soa_kovaEsik1,"0-7",IF($R118&lt;=soa_kovaEsik2,"8-30",IF($R118&lt;=soa_kovaEsik3,"31-90","90+")))))</f>
        <v/>
      </c>
      <c r="T118" s="29">
        <f>IF($A118="","",IF($B118="","YETİM",IF(COUNTIF(tblKartlar[KartId],$B118)=0,"YETİM","")))</f>
        <v/>
      </c>
      <c r="U118" s="29">
        <f>IF(OR($A118="",$F118=""),"",IF(OR($F118&amp;"|"&amp;$G118="",COUNTIF(ListeIzinliGecis,$F118&amp;"|"&amp;$G118)&gt;0),"","GEÇERSİZ GEÇİŞ"))</f>
        <v/>
      </c>
      <c r="V118" s="29">
        <f>IF($A118="","",IF(OR($P118="",$J118=""),"",IF(ABS($J118-$P118)&gt;zincirTolerans,"ZİNCİR KIRIK","OK")))</f>
        <v/>
      </c>
      <c r="W118" s="29">
        <f>IF($A118="","",1)</f>
        <v/>
      </c>
      <c r="X118" s="29">
        <f>IF($A118="","",$K118*$I118)</f>
        <v/>
      </c>
    </row>
    <row r="119">
      <c r="A119" s="27" t="n"/>
      <c r="B119" s="27" t="n"/>
      <c r="C119" s="27" t="n"/>
      <c r="D119" s="30" t="n"/>
      <c r="E119" s="30" t="n"/>
      <c r="F119" s="27" t="n"/>
      <c r="G119" s="27" t="n"/>
      <c r="H119" s="28" t="n"/>
      <c r="I119" s="31" t="n"/>
      <c r="J119" s="31" t="n"/>
      <c r="K119" s="28" t="n"/>
      <c r="L119" s="32" t="n"/>
      <c r="M119" s="27" t="n"/>
      <c r="N119" s="27" t="n"/>
      <c r="O119" s="27" t="n"/>
      <c r="P119" s="29">
        <f>IF($A119="","",$H119*$I119)</f>
        <v/>
      </c>
      <c r="Q119" s="29">
        <f>IF(OR($A119="",$G119="KAPALI"),"",IF($L119&gt;soa_esikOluGun,"ÖLÜ",""))</f>
        <v/>
      </c>
      <c r="R119" s="29">
        <f>IF($A119="","",IF($E119="","",raporTarihi-$E119))</f>
        <v/>
      </c>
      <c r="S119" s="29">
        <f>IF($A119="","",IF($R119="","",IF($R119&lt;=soa_kovaEsik1,"0-7",IF($R119&lt;=soa_kovaEsik2,"8-30",IF($R119&lt;=soa_kovaEsik3,"31-90","90+")))))</f>
        <v/>
      </c>
      <c r="T119" s="29">
        <f>IF($A119="","",IF($B119="","YETİM",IF(COUNTIF(tblKartlar[KartId],$B119)=0,"YETİM","")))</f>
        <v/>
      </c>
      <c r="U119" s="29">
        <f>IF(OR($A119="",$F119=""),"",IF(OR($F119&amp;"|"&amp;$G119="",COUNTIF(ListeIzinliGecis,$F119&amp;"|"&amp;$G119)&gt;0),"","GEÇERSİZ GEÇİŞ"))</f>
        <v/>
      </c>
      <c r="V119" s="29">
        <f>IF($A119="","",IF(OR($P119="",$J119=""),"",IF(ABS($J119-$P119)&gt;zincirTolerans,"ZİNCİR KIRIK","OK")))</f>
        <v/>
      </c>
      <c r="W119" s="29">
        <f>IF($A119="","",1)</f>
        <v/>
      </c>
      <c r="X119" s="29">
        <f>IF($A119="","",$K119*$I119)</f>
        <v/>
      </c>
    </row>
    <row r="120">
      <c r="A120" s="27" t="n"/>
      <c r="B120" s="27" t="n"/>
      <c r="C120" s="27" t="n"/>
      <c r="D120" s="30" t="n"/>
      <c r="E120" s="30" t="n"/>
      <c r="F120" s="27" t="n"/>
      <c r="G120" s="27" t="n"/>
      <c r="H120" s="28" t="n"/>
      <c r="I120" s="31" t="n"/>
      <c r="J120" s="31" t="n"/>
      <c r="K120" s="28" t="n"/>
      <c r="L120" s="32" t="n"/>
      <c r="M120" s="27" t="n"/>
      <c r="N120" s="27" t="n"/>
      <c r="O120" s="27" t="n"/>
      <c r="P120" s="29">
        <f>IF($A120="","",$H120*$I120)</f>
        <v/>
      </c>
      <c r="Q120" s="29">
        <f>IF(OR($A120="",$G120="KAPALI"),"",IF($L120&gt;soa_esikOluGun,"ÖLÜ",""))</f>
        <v/>
      </c>
      <c r="R120" s="29">
        <f>IF($A120="","",IF($E120="","",raporTarihi-$E120))</f>
        <v/>
      </c>
      <c r="S120" s="29">
        <f>IF($A120="","",IF($R120="","",IF($R120&lt;=soa_kovaEsik1,"0-7",IF($R120&lt;=soa_kovaEsik2,"8-30",IF($R120&lt;=soa_kovaEsik3,"31-90","90+")))))</f>
        <v/>
      </c>
      <c r="T120" s="29">
        <f>IF($A120="","",IF($B120="","YETİM",IF(COUNTIF(tblKartlar[KartId],$B120)=0,"YETİM","")))</f>
        <v/>
      </c>
      <c r="U120" s="29">
        <f>IF(OR($A120="",$F120=""),"",IF(OR($F120&amp;"|"&amp;$G120="",COUNTIF(ListeIzinliGecis,$F120&amp;"|"&amp;$G120)&gt;0),"","GEÇERSİZ GEÇİŞ"))</f>
        <v/>
      </c>
      <c r="V120" s="29">
        <f>IF($A120="","",IF(OR($P120="",$J120=""),"",IF(ABS($J120-$P120)&gt;zincirTolerans,"ZİNCİR KIRIK","OK")))</f>
        <v/>
      </c>
      <c r="W120" s="29">
        <f>IF($A120="","",1)</f>
        <v/>
      </c>
      <c r="X120" s="29">
        <f>IF($A120="","",$K120*$I120)</f>
        <v/>
      </c>
    </row>
    <row r="121">
      <c r="A121" s="27" t="n"/>
      <c r="B121" s="27" t="n"/>
      <c r="C121" s="27" t="n"/>
      <c r="D121" s="30" t="n"/>
      <c r="E121" s="30" t="n"/>
      <c r="F121" s="27" t="n"/>
      <c r="G121" s="27" t="n"/>
      <c r="H121" s="28" t="n"/>
      <c r="I121" s="31" t="n"/>
      <c r="J121" s="31" t="n"/>
      <c r="K121" s="28" t="n"/>
      <c r="L121" s="32" t="n"/>
      <c r="M121" s="27" t="n"/>
      <c r="N121" s="27" t="n"/>
      <c r="O121" s="27" t="n"/>
      <c r="P121" s="29">
        <f>IF($A121="","",$H121*$I121)</f>
        <v/>
      </c>
      <c r="Q121" s="29">
        <f>IF(OR($A121="",$G121="KAPALI"),"",IF($L121&gt;soa_esikOluGun,"ÖLÜ",""))</f>
        <v/>
      </c>
      <c r="R121" s="29">
        <f>IF($A121="","",IF($E121="","",raporTarihi-$E121))</f>
        <v/>
      </c>
      <c r="S121" s="29">
        <f>IF($A121="","",IF($R121="","",IF($R121&lt;=soa_kovaEsik1,"0-7",IF($R121&lt;=soa_kovaEsik2,"8-30",IF($R121&lt;=soa_kovaEsik3,"31-90","90+")))))</f>
        <v/>
      </c>
      <c r="T121" s="29">
        <f>IF($A121="","",IF($B121="","YETİM",IF(COUNTIF(tblKartlar[KartId],$B121)=0,"YETİM","")))</f>
        <v/>
      </c>
      <c r="U121" s="29">
        <f>IF(OR($A121="",$F121=""),"",IF(OR($F121&amp;"|"&amp;$G121="",COUNTIF(ListeIzinliGecis,$F121&amp;"|"&amp;$G121)&gt;0),"","GEÇERSİZ GEÇİŞ"))</f>
        <v/>
      </c>
      <c r="V121" s="29">
        <f>IF($A121="","",IF(OR($P121="",$J121=""),"",IF(ABS($J121-$P121)&gt;zincirTolerans,"ZİNCİR KIRIK","OK")))</f>
        <v/>
      </c>
      <c r="W121" s="29">
        <f>IF($A121="","",1)</f>
        <v/>
      </c>
      <c r="X121" s="29">
        <f>IF($A121="","",$K121*$I121)</f>
        <v/>
      </c>
    </row>
    <row r="122">
      <c r="A122" s="27" t="n"/>
      <c r="B122" s="27" t="n"/>
      <c r="C122" s="27" t="n"/>
      <c r="D122" s="30" t="n"/>
      <c r="E122" s="30" t="n"/>
      <c r="F122" s="27" t="n"/>
      <c r="G122" s="27" t="n"/>
      <c r="H122" s="28" t="n"/>
      <c r="I122" s="31" t="n"/>
      <c r="J122" s="31" t="n"/>
      <c r="K122" s="28" t="n"/>
      <c r="L122" s="32" t="n"/>
      <c r="M122" s="27" t="n"/>
      <c r="N122" s="27" t="n"/>
      <c r="O122" s="27" t="n"/>
      <c r="P122" s="29">
        <f>IF($A122="","",$H122*$I122)</f>
        <v/>
      </c>
      <c r="Q122" s="29">
        <f>IF(OR($A122="",$G122="KAPALI"),"",IF($L122&gt;soa_esikOluGun,"ÖLÜ",""))</f>
        <v/>
      </c>
      <c r="R122" s="29">
        <f>IF($A122="","",IF($E122="","",raporTarihi-$E122))</f>
        <v/>
      </c>
      <c r="S122" s="29">
        <f>IF($A122="","",IF($R122="","",IF($R122&lt;=soa_kovaEsik1,"0-7",IF($R122&lt;=soa_kovaEsik2,"8-30",IF($R122&lt;=soa_kovaEsik3,"31-90","90+")))))</f>
        <v/>
      </c>
      <c r="T122" s="29">
        <f>IF($A122="","",IF($B122="","YETİM",IF(COUNTIF(tblKartlar[KartId],$B122)=0,"YETİM","")))</f>
        <v/>
      </c>
      <c r="U122" s="29">
        <f>IF(OR($A122="",$F122=""),"",IF(OR($F122&amp;"|"&amp;$G122="",COUNTIF(ListeIzinliGecis,$F122&amp;"|"&amp;$G122)&gt;0),"","GEÇERSİZ GEÇİŞ"))</f>
        <v/>
      </c>
      <c r="V122" s="29">
        <f>IF($A122="","",IF(OR($P122="",$J122=""),"",IF(ABS($J122-$P122)&gt;zincirTolerans,"ZİNCİR KIRIK","OK")))</f>
        <v/>
      </c>
      <c r="W122" s="29">
        <f>IF($A122="","",1)</f>
        <v/>
      </c>
      <c r="X122" s="29">
        <f>IF($A122="","",$K122*$I122)</f>
        <v/>
      </c>
    </row>
    <row r="123">
      <c r="A123" s="27" t="n"/>
      <c r="B123" s="27" t="n"/>
      <c r="C123" s="27" t="n"/>
      <c r="D123" s="30" t="n"/>
      <c r="E123" s="30" t="n"/>
      <c r="F123" s="27" t="n"/>
      <c r="G123" s="27" t="n"/>
      <c r="H123" s="28" t="n"/>
      <c r="I123" s="31" t="n"/>
      <c r="J123" s="31" t="n"/>
      <c r="K123" s="28" t="n"/>
      <c r="L123" s="32" t="n"/>
      <c r="M123" s="27" t="n"/>
      <c r="N123" s="27" t="n"/>
      <c r="O123" s="27" t="n"/>
      <c r="P123" s="29">
        <f>IF($A123="","",$H123*$I123)</f>
        <v/>
      </c>
      <c r="Q123" s="29">
        <f>IF(OR($A123="",$G123="KAPALI"),"",IF($L123&gt;soa_esikOluGun,"ÖLÜ",""))</f>
        <v/>
      </c>
      <c r="R123" s="29">
        <f>IF($A123="","",IF($E123="","",raporTarihi-$E123))</f>
        <v/>
      </c>
      <c r="S123" s="29">
        <f>IF($A123="","",IF($R123="","",IF($R123&lt;=soa_kovaEsik1,"0-7",IF($R123&lt;=soa_kovaEsik2,"8-30",IF($R123&lt;=soa_kovaEsik3,"31-90","90+")))))</f>
        <v/>
      </c>
      <c r="T123" s="29">
        <f>IF($A123="","",IF($B123="","YETİM",IF(COUNTIF(tblKartlar[KartId],$B123)=0,"YETİM","")))</f>
        <v/>
      </c>
      <c r="U123" s="29">
        <f>IF(OR($A123="",$F123=""),"",IF(OR($F123&amp;"|"&amp;$G123="",COUNTIF(ListeIzinliGecis,$F123&amp;"|"&amp;$G123)&gt;0),"","GEÇERSİZ GEÇİŞ"))</f>
        <v/>
      </c>
      <c r="V123" s="29">
        <f>IF($A123="","",IF(OR($P123="",$J123=""),"",IF(ABS($J123-$P123)&gt;zincirTolerans,"ZİNCİR KIRIK","OK")))</f>
        <v/>
      </c>
      <c r="W123" s="29">
        <f>IF($A123="","",1)</f>
        <v/>
      </c>
      <c r="X123" s="29">
        <f>IF($A123="","",$K123*$I123)</f>
        <v/>
      </c>
    </row>
    <row r="124">
      <c r="A124" s="27" t="n"/>
      <c r="B124" s="27" t="n"/>
      <c r="C124" s="27" t="n"/>
      <c r="D124" s="30" t="n"/>
      <c r="E124" s="30" t="n"/>
      <c r="F124" s="27" t="n"/>
      <c r="G124" s="27" t="n"/>
      <c r="H124" s="28" t="n"/>
      <c r="I124" s="31" t="n"/>
      <c r="J124" s="31" t="n"/>
      <c r="K124" s="28" t="n"/>
      <c r="L124" s="32" t="n"/>
      <c r="M124" s="27" t="n"/>
      <c r="N124" s="27" t="n"/>
      <c r="O124" s="27" t="n"/>
      <c r="P124" s="29">
        <f>IF($A124="","",$H124*$I124)</f>
        <v/>
      </c>
      <c r="Q124" s="29">
        <f>IF(OR($A124="",$G124="KAPALI"),"",IF($L124&gt;soa_esikOluGun,"ÖLÜ",""))</f>
        <v/>
      </c>
      <c r="R124" s="29">
        <f>IF($A124="","",IF($E124="","",raporTarihi-$E124))</f>
        <v/>
      </c>
      <c r="S124" s="29">
        <f>IF($A124="","",IF($R124="","",IF($R124&lt;=soa_kovaEsik1,"0-7",IF($R124&lt;=soa_kovaEsik2,"8-30",IF($R124&lt;=soa_kovaEsik3,"31-90","90+")))))</f>
        <v/>
      </c>
      <c r="T124" s="29">
        <f>IF($A124="","",IF($B124="","YETİM",IF(COUNTIF(tblKartlar[KartId],$B124)=0,"YETİM","")))</f>
        <v/>
      </c>
      <c r="U124" s="29">
        <f>IF(OR($A124="",$F124=""),"",IF(OR($F124&amp;"|"&amp;$G124="",COUNTIF(ListeIzinliGecis,$F124&amp;"|"&amp;$G124)&gt;0),"","GEÇERSİZ GEÇİŞ"))</f>
        <v/>
      </c>
      <c r="V124" s="29">
        <f>IF($A124="","",IF(OR($P124="",$J124=""),"",IF(ABS($J124-$P124)&gt;zincirTolerans,"ZİNCİR KIRIK","OK")))</f>
        <v/>
      </c>
      <c r="W124" s="29">
        <f>IF($A124="","",1)</f>
        <v/>
      </c>
      <c r="X124" s="29">
        <f>IF($A124="","",$K124*$I124)</f>
        <v/>
      </c>
    </row>
    <row r="125">
      <c r="A125" s="27" t="n"/>
      <c r="B125" s="27" t="n"/>
      <c r="C125" s="27" t="n"/>
      <c r="D125" s="30" t="n"/>
      <c r="E125" s="30" t="n"/>
      <c r="F125" s="27" t="n"/>
      <c r="G125" s="27" t="n"/>
      <c r="H125" s="28" t="n"/>
      <c r="I125" s="31" t="n"/>
      <c r="J125" s="31" t="n"/>
      <c r="K125" s="28" t="n"/>
      <c r="L125" s="32" t="n"/>
      <c r="M125" s="27" t="n"/>
      <c r="N125" s="27" t="n"/>
      <c r="O125" s="27" t="n"/>
      <c r="P125" s="29">
        <f>IF($A125="","",$H125*$I125)</f>
        <v/>
      </c>
      <c r="Q125" s="29">
        <f>IF(OR($A125="",$G125="KAPALI"),"",IF($L125&gt;soa_esikOluGun,"ÖLÜ",""))</f>
        <v/>
      </c>
      <c r="R125" s="29">
        <f>IF($A125="","",IF($E125="","",raporTarihi-$E125))</f>
        <v/>
      </c>
      <c r="S125" s="29">
        <f>IF($A125="","",IF($R125="","",IF($R125&lt;=soa_kovaEsik1,"0-7",IF($R125&lt;=soa_kovaEsik2,"8-30",IF($R125&lt;=soa_kovaEsik3,"31-90","90+")))))</f>
        <v/>
      </c>
      <c r="T125" s="29">
        <f>IF($A125="","",IF($B125="","YETİM",IF(COUNTIF(tblKartlar[KartId],$B125)=0,"YETİM","")))</f>
        <v/>
      </c>
      <c r="U125" s="29">
        <f>IF(OR($A125="",$F125=""),"",IF(OR($F125&amp;"|"&amp;$G125="",COUNTIF(ListeIzinliGecis,$F125&amp;"|"&amp;$G125)&gt;0),"","GEÇERSİZ GEÇİŞ"))</f>
        <v/>
      </c>
      <c r="V125" s="29">
        <f>IF($A125="","",IF(OR($P125="",$J125=""),"",IF(ABS($J125-$P125)&gt;zincirTolerans,"ZİNCİR KIRIK","OK")))</f>
        <v/>
      </c>
      <c r="W125" s="29">
        <f>IF($A125="","",1)</f>
        <v/>
      </c>
      <c r="X125" s="29">
        <f>IF($A125="","",$K125*$I125)</f>
        <v/>
      </c>
    </row>
    <row r="126">
      <c r="A126" s="27" t="n"/>
      <c r="B126" s="27" t="n"/>
      <c r="C126" s="27" t="n"/>
      <c r="D126" s="30" t="n"/>
      <c r="E126" s="30" t="n"/>
      <c r="F126" s="27" t="n"/>
      <c r="G126" s="27" t="n"/>
      <c r="H126" s="28" t="n"/>
      <c r="I126" s="31" t="n"/>
      <c r="J126" s="31" t="n"/>
      <c r="K126" s="28" t="n"/>
      <c r="L126" s="32" t="n"/>
      <c r="M126" s="27" t="n"/>
      <c r="N126" s="27" t="n"/>
      <c r="O126" s="27" t="n"/>
      <c r="P126" s="29">
        <f>IF($A126="","",$H126*$I126)</f>
        <v/>
      </c>
      <c r="Q126" s="29">
        <f>IF(OR($A126="",$G126="KAPALI"),"",IF($L126&gt;soa_esikOluGun,"ÖLÜ",""))</f>
        <v/>
      </c>
      <c r="R126" s="29">
        <f>IF($A126="","",IF($E126="","",raporTarihi-$E126))</f>
        <v/>
      </c>
      <c r="S126" s="29">
        <f>IF($A126="","",IF($R126="","",IF($R126&lt;=soa_kovaEsik1,"0-7",IF($R126&lt;=soa_kovaEsik2,"8-30",IF($R126&lt;=soa_kovaEsik3,"31-90","90+")))))</f>
        <v/>
      </c>
      <c r="T126" s="29">
        <f>IF($A126="","",IF($B126="","YETİM",IF(COUNTIF(tblKartlar[KartId],$B126)=0,"YETİM","")))</f>
        <v/>
      </c>
      <c r="U126" s="29">
        <f>IF(OR($A126="",$F126=""),"",IF(OR($F126&amp;"|"&amp;$G126="",COUNTIF(ListeIzinliGecis,$F126&amp;"|"&amp;$G126)&gt;0),"","GEÇERSİZ GEÇİŞ"))</f>
        <v/>
      </c>
      <c r="V126" s="29">
        <f>IF($A126="","",IF(OR($P126="",$J126=""),"",IF(ABS($J126-$P126)&gt;zincirTolerans,"ZİNCİR KIRIK","OK")))</f>
        <v/>
      </c>
      <c r="W126" s="29">
        <f>IF($A126="","",1)</f>
        <v/>
      </c>
      <c r="X126" s="29">
        <f>IF($A126="","",$K126*$I126)</f>
        <v/>
      </c>
    </row>
    <row r="127">
      <c r="A127" s="27" t="n"/>
      <c r="B127" s="27" t="n"/>
      <c r="C127" s="27" t="n"/>
      <c r="D127" s="30" t="n"/>
      <c r="E127" s="30" t="n"/>
      <c r="F127" s="27" t="n"/>
      <c r="G127" s="27" t="n"/>
      <c r="H127" s="28" t="n"/>
      <c r="I127" s="31" t="n"/>
      <c r="J127" s="31" t="n"/>
      <c r="K127" s="28" t="n"/>
      <c r="L127" s="32" t="n"/>
      <c r="M127" s="27" t="n"/>
      <c r="N127" s="27" t="n"/>
      <c r="O127" s="27" t="n"/>
      <c r="P127" s="29">
        <f>IF($A127="","",$H127*$I127)</f>
        <v/>
      </c>
      <c r="Q127" s="29">
        <f>IF(OR($A127="",$G127="KAPALI"),"",IF($L127&gt;soa_esikOluGun,"ÖLÜ",""))</f>
        <v/>
      </c>
      <c r="R127" s="29">
        <f>IF($A127="","",IF($E127="","",raporTarihi-$E127))</f>
        <v/>
      </c>
      <c r="S127" s="29">
        <f>IF($A127="","",IF($R127="","",IF($R127&lt;=soa_kovaEsik1,"0-7",IF($R127&lt;=soa_kovaEsik2,"8-30",IF($R127&lt;=soa_kovaEsik3,"31-90","90+")))))</f>
        <v/>
      </c>
      <c r="T127" s="29">
        <f>IF($A127="","",IF($B127="","YETİM",IF(COUNTIF(tblKartlar[KartId],$B127)=0,"YETİM","")))</f>
        <v/>
      </c>
      <c r="U127" s="29">
        <f>IF(OR($A127="",$F127=""),"",IF(OR($F127&amp;"|"&amp;$G127="",COUNTIF(ListeIzinliGecis,$F127&amp;"|"&amp;$G127)&gt;0),"","GEÇERSİZ GEÇİŞ"))</f>
        <v/>
      </c>
      <c r="V127" s="29">
        <f>IF($A127="","",IF(OR($P127="",$J127=""),"",IF(ABS($J127-$P127)&gt;zincirTolerans,"ZİNCİR KIRIK","OK")))</f>
        <v/>
      </c>
      <c r="W127" s="29">
        <f>IF($A127="","",1)</f>
        <v/>
      </c>
      <c r="X127" s="29">
        <f>IF($A127="","",$K127*$I127)</f>
        <v/>
      </c>
    </row>
    <row r="128">
      <c r="A128" s="27" t="n"/>
      <c r="B128" s="27" t="n"/>
      <c r="C128" s="27" t="n"/>
      <c r="D128" s="30" t="n"/>
      <c r="E128" s="30" t="n"/>
      <c r="F128" s="27" t="n"/>
      <c r="G128" s="27" t="n"/>
      <c r="H128" s="28" t="n"/>
      <c r="I128" s="31" t="n"/>
      <c r="J128" s="31" t="n"/>
      <c r="K128" s="28" t="n"/>
      <c r="L128" s="32" t="n"/>
      <c r="M128" s="27" t="n"/>
      <c r="N128" s="27" t="n"/>
      <c r="O128" s="27" t="n"/>
      <c r="P128" s="29">
        <f>IF($A128="","",$H128*$I128)</f>
        <v/>
      </c>
      <c r="Q128" s="29">
        <f>IF(OR($A128="",$G128="KAPALI"),"",IF($L128&gt;soa_esikOluGun,"ÖLÜ",""))</f>
        <v/>
      </c>
      <c r="R128" s="29">
        <f>IF($A128="","",IF($E128="","",raporTarihi-$E128))</f>
        <v/>
      </c>
      <c r="S128" s="29">
        <f>IF($A128="","",IF($R128="","",IF($R128&lt;=soa_kovaEsik1,"0-7",IF($R128&lt;=soa_kovaEsik2,"8-30",IF($R128&lt;=soa_kovaEsik3,"31-90","90+")))))</f>
        <v/>
      </c>
      <c r="T128" s="29">
        <f>IF($A128="","",IF($B128="","YETİM",IF(COUNTIF(tblKartlar[KartId],$B128)=0,"YETİM","")))</f>
        <v/>
      </c>
      <c r="U128" s="29">
        <f>IF(OR($A128="",$F128=""),"",IF(OR($F128&amp;"|"&amp;$G128="",COUNTIF(ListeIzinliGecis,$F128&amp;"|"&amp;$G128)&gt;0),"","GEÇERSİZ GEÇİŞ"))</f>
        <v/>
      </c>
      <c r="V128" s="29">
        <f>IF($A128="","",IF(OR($P128="",$J128=""),"",IF(ABS($J128-$P128)&gt;zincirTolerans,"ZİNCİR KIRIK","OK")))</f>
        <v/>
      </c>
      <c r="W128" s="29">
        <f>IF($A128="","",1)</f>
        <v/>
      </c>
      <c r="X128" s="29">
        <f>IF($A128="","",$K128*$I128)</f>
        <v/>
      </c>
    </row>
    <row r="129">
      <c r="A129" s="27" t="n"/>
      <c r="B129" s="27" t="n"/>
      <c r="C129" s="27" t="n"/>
      <c r="D129" s="30" t="n"/>
      <c r="E129" s="30" t="n"/>
      <c r="F129" s="27" t="n"/>
      <c r="G129" s="27" t="n"/>
      <c r="H129" s="28" t="n"/>
      <c r="I129" s="31" t="n"/>
      <c r="J129" s="31" t="n"/>
      <c r="K129" s="28" t="n"/>
      <c r="L129" s="32" t="n"/>
      <c r="M129" s="27" t="n"/>
      <c r="N129" s="27" t="n"/>
      <c r="O129" s="27" t="n"/>
      <c r="P129" s="29">
        <f>IF($A129="","",$H129*$I129)</f>
        <v/>
      </c>
      <c r="Q129" s="29">
        <f>IF(OR($A129="",$G129="KAPALI"),"",IF($L129&gt;soa_esikOluGun,"ÖLÜ",""))</f>
        <v/>
      </c>
      <c r="R129" s="29">
        <f>IF($A129="","",IF($E129="","",raporTarihi-$E129))</f>
        <v/>
      </c>
      <c r="S129" s="29">
        <f>IF($A129="","",IF($R129="","",IF($R129&lt;=soa_kovaEsik1,"0-7",IF($R129&lt;=soa_kovaEsik2,"8-30",IF($R129&lt;=soa_kovaEsik3,"31-90","90+")))))</f>
        <v/>
      </c>
      <c r="T129" s="29">
        <f>IF($A129="","",IF($B129="","YETİM",IF(COUNTIF(tblKartlar[KartId],$B129)=0,"YETİM","")))</f>
        <v/>
      </c>
      <c r="U129" s="29">
        <f>IF(OR($A129="",$F129=""),"",IF(OR($F129&amp;"|"&amp;$G129="",COUNTIF(ListeIzinliGecis,$F129&amp;"|"&amp;$G129)&gt;0),"","GEÇERSİZ GEÇİŞ"))</f>
        <v/>
      </c>
      <c r="V129" s="29">
        <f>IF($A129="","",IF(OR($P129="",$J129=""),"",IF(ABS($J129-$P129)&gt;zincirTolerans,"ZİNCİR KIRIK","OK")))</f>
        <v/>
      </c>
      <c r="W129" s="29">
        <f>IF($A129="","",1)</f>
        <v/>
      </c>
      <c r="X129" s="29">
        <f>IF($A129="","",$K129*$I129)</f>
        <v/>
      </c>
    </row>
    <row r="130">
      <c r="A130" s="27" t="n"/>
      <c r="B130" s="27" t="n"/>
      <c r="C130" s="27" t="n"/>
      <c r="D130" s="30" t="n"/>
      <c r="E130" s="30" t="n"/>
      <c r="F130" s="27" t="n"/>
      <c r="G130" s="27" t="n"/>
      <c r="H130" s="28" t="n"/>
      <c r="I130" s="31" t="n"/>
      <c r="J130" s="31" t="n"/>
      <c r="K130" s="28" t="n"/>
      <c r="L130" s="32" t="n"/>
      <c r="M130" s="27" t="n"/>
      <c r="N130" s="27" t="n"/>
      <c r="O130" s="27" t="n"/>
      <c r="P130" s="29">
        <f>IF($A130="","",$H130*$I130)</f>
        <v/>
      </c>
      <c r="Q130" s="29">
        <f>IF(OR($A130="",$G130="KAPALI"),"",IF($L130&gt;soa_esikOluGun,"ÖLÜ",""))</f>
        <v/>
      </c>
      <c r="R130" s="29">
        <f>IF($A130="","",IF($E130="","",raporTarihi-$E130))</f>
        <v/>
      </c>
      <c r="S130" s="29">
        <f>IF($A130="","",IF($R130="","",IF($R130&lt;=soa_kovaEsik1,"0-7",IF($R130&lt;=soa_kovaEsik2,"8-30",IF($R130&lt;=soa_kovaEsik3,"31-90","90+")))))</f>
        <v/>
      </c>
      <c r="T130" s="29">
        <f>IF($A130="","",IF($B130="","YETİM",IF(COUNTIF(tblKartlar[KartId],$B130)=0,"YETİM","")))</f>
        <v/>
      </c>
      <c r="U130" s="29">
        <f>IF(OR($A130="",$F130=""),"",IF(OR($F130&amp;"|"&amp;$G130="",COUNTIF(ListeIzinliGecis,$F130&amp;"|"&amp;$G130)&gt;0),"","GEÇERSİZ GEÇİŞ"))</f>
        <v/>
      </c>
      <c r="V130" s="29">
        <f>IF($A130="","",IF(OR($P130="",$J130=""),"",IF(ABS($J130-$P130)&gt;zincirTolerans,"ZİNCİR KIRIK","OK")))</f>
        <v/>
      </c>
      <c r="W130" s="29">
        <f>IF($A130="","",1)</f>
        <v/>
      </c>
      <c r="X130" s="29">
        <f>IF($A130="","",$K130*$I130)</f>
        <v/>
      </c>
    </row>
    <row r="131">
      <c r="A131" s="27" t="n"/>
      <c r="B131" s="27" t="n"/>
      <c r="C131" s="27" t="n"/>
      <c r="D131" s="30" t="n"/>
      <c r="E131" s="30" t="n"/>
      <c r="F131" s="27" t="n"/>
      <c r="G131" s="27" t="n"/>
      <c r="H131" s="28" t="n"/>
      <c r="I131" s="31" t="n"/>
      <c r="J131" s="31" t="n"/>
      <c r="K131" s="28" t="n"/>
      <c r="L131" s="32" t="n"/>
      <c r="M131" s="27" t="n"/>
      <c r="N131" s="27" t="n"/>
      <c r="O131" s="27" t="n"/>
      <c r="P131" s="29">
        <f>IF($A131="","",$H131*$I131)</f>
        <v/>
      </c>
      <c r="Q131" s="29">
        <f>IF(OR($A131="",$G131="KAPALI"),"",IF($L131&gt;soa_esikOluGun,"ÖLÜ",""))</f>
        <v/>
      </c>
      <c r="R131" s="29">
        <f>IF($A131="","",IF($E131="","",raporTarihi-$E131))</f>
        <v/>
      </c>
      <c r="S131" s="29">
        <f>IF($A131="","",IF($R131="","",IF($R131&lt;=soa_kovaEsik1,"0-7",IF($R131&lt;=soa_kovaEsik2,"8-30",IF($R131&lt;=soa_kovaEsik3,"31-90","90+")))))</f>
        <v/>
      </c>
      <c r="T131" s="29">
        <f>IF($A131="","",IF($B131="","YETİM",IF(COUNTIF(tblKartlar[KartId],$B131)=0,"YETİM","")))</f>
        <v/>
      </c>
      <c r="U131" s="29">
        <f>IF(OR($A131="",$F131=""),"",IF(OR($F131&amp;"|"&amp;$G131="",COUNTIF(ListeIzinliGecis,$F131&amp;"|"&amp;$G131)&gt;0),"","GEÇERSİZ GEÇİŞ"))</f>
        <v/>
      </c>
      <c r="V131" s="29">
        <f>IF($A131="","",IF(OR($P131="",$J131=""),"",IF(ABS($J131-$P131)&gt;zincirTolerans,"ZİNCİR KIRIK","OK")))</f>
        <v/>
      </c>
      <c r="W131" s="29">
        <f>IF($A131="","",1)</f>
        <v/>
      </c>
      <c r="X131" s="29">
        <f>IF($A131="","",$K131*$I131)</f>
        <v/>
      </c>
    </row>
    <row r="132">
      <c r="A132" s="27" t="n"/>
      <c r="B132" s="27" t="n"/>
      <c r="C132" s="27" t="n"/>
      <c r="D132" s="30" t="n"/>
      <c r="E132" s="30" t="n"/>
      <c r="F132" s="27" t="n"/>
      <c r="G132" s="27" t="n"/>
      <c r="H132" s="28" t="n"/>
      <c r="I132" s="31" t="n"/>
      <c r="J132" s="31" t="n"/>
      <c r="K132" s="28" t="n"/>
      <c r="L132" s="32" t="n"/>
      <c r="M132" s="27" t="n"/>
      <c r="N132" s="27" t="n"/>
      <c r="O132" s="27" t="n"/>
      <c r="P132" s="29">
        <f>IF($A132="","",$H132*$I132)</f>
        <v/>
      </c>
      <c r="Q132" s="29">
        <f>IF(OR($A132="",$G132="KAPALI"),"",IF($L132&gt;soa_esikOluGun,"ÖLÜ",""))</f>
        <v/>
      </c>
      <c r="R132" s="29">
        <f>IF($A132="","",IF($E132="","",raporTarihi-$E132))</f>
        <v/>
      </c>
      <c r="S132" s="29">
        <f>IF($A132="","",IF($R132="","",IF($R132&lt;=soa_kovaEsik1,"0-7",IF($R132&lt;=soa_kovaEsik2,"8-30",IF($R132&lt;=soa_kovaEsik3,"31-90","90+")))))</f>
        <v/>
      </c>
      <c r="T132" s="29">
        <f>IF($A132="","",IF($B132="","YETİM",IF(COUNTIF(tblKartlar[KartId],$B132)=0,"YETİM","")))</f>
        <v/>
      </c>
      <c r="U132" s="29">
        <f>IF(OR($A132="",$F132=""),"",IF(OR($F132&amp;"|"&amp;$G132="",COUNTIF(ListeIzinliGecis,$F132&amp;"|"&amp;$G132)&gt;0),"","GEÇERSİZ GEÇİŞ"))</f>
        <v/>
      </c>
      <c r="V132" s="29">
        <f>IF($A132="","",IF(OR($P132="",$J132=""),"",IF(ABS($J132-$P132)&gt;zincirTolerans,"ZİNCİR KIRIK","OK")))</f>
        <v/>
      </c>
      <c r="W132" s="29">
        <f>IF($A132="","",1)</f>
        <v/>
      </c>
      <c r="X132" s="29">
        <f>IF($A132="","",$K132*$I132)</f>
        <v/>
      </c>
    </row>
    <row r="133">
      <c r="A133" s="27" t="n"/>
      <c r="B133" s="27" t="n"/>
      <c r="C133" s="27" t="n"/>
      <c r="D133" s="30" t="n"/>
      <c r="E133" s="30" t="n"/>
      <c r="F133" s="27" t="n"/>
      <c r="G133" s="27" t="n"/>
      <c r="H133" s="28" t="n"/>
      <c r="I133" s="31" t="n"/>
      <c r="J133" s="31" t="n"/>
      <c r="K133" s="28" t="n"/>
      <c r="L133" s="32" t="n"/>
      <c r="M133" s="27" t="n"/>
      <c r="N133" s="27" t="n"/>
      <c r="O133" s="27" t="n"/>
      <c r="P133" s="29">
        <f>IF($A133="","",$H133*$I133)</f>
        <v/>
      </c>
      <c r="Q133" s="29">
        <f>IF(OR($A133="",$G133="KAPALI"),"",IF($L133&gt;soa_esikOluGun,"ÖLÜ",""))</f>
        <v/>
      </c>
      <c r="R133" s="29">
        <f>IF($A133="","",IF($E133="","",raporTarihi-$E133))</f>
        <v/>
      </c>
      <c r="S133" s="29">
        <f>IF($A133="","",IF($R133="","",IF($R133&lt;=soa_kovaEsik1,"0-7",IF($R133&lt;=soa_kovaEsik2,"8-30",IF($R133&lt;=soa_kovaEsik3,"31-90","90+")))))</f>
        <v/>
      </c>
      <c r="T133" s="29">
        <f>IF($A133="","",IF($B133="","YETİM",IF(COUNTIF(tblKartlar[KartId],$B133)=0,"YETİM","")))</f>
        <v/>
      </c>
      <c r="U133" s="29">
        <f>IF(OR($A133="",$F133=""),"",IF(OR($F133&amp;"|"&amp;$G133="",COUNTIF(ListeIzinliGecis,$F133&amp;"|"&amp;$G133)&gt;0),"","GEÇERSİZ GEÇİŞ"))</f>
        <v/>
      </c>
      <c r="V133" s="29">
        <f>IF($A133="","",IF(OR($P133="",$J133=""),"",IF(ABS($J133-$P133)&gt;zincirTolerans,"ZİNCİR KIRIK","OK")))</f>
        <v/>
      </c>
      <c r="W133" s="29">
        <f>IF($A133="","",1)</f>
        <v/>
      </c>
      <c r="X133" s="29">
        <f>IF($A133="","",$K133*$I133)</f>
        <v/>
      </c>
    </row>
    <row r="134">
      <c r="A134" s="27" t="n"/>
      <c r="B134" s="27" t="n"/>
      <c r="C134" s="27" t="n"/>
      <c r="D134" s="30" t="n"/>
      <c r="E134" s="30" t="n"/>
      <c r="F134" s="27" t="n"/>
      <c r="G134" s="27" t="n"/>
      <c r="H134" s="28" t="n"/>
      <c r="I134" s="31" t="n"/>
      <c r="J134" s="31" t="n"/>
      <c r="K134" s="28" t="n"/>
      <c r="L134" s="32" t="n"/>
      <c r="M134" s="27" t="n"/>
      <c r="N134" s="27" t="n"/>
      <c r="O134" s="27" t="n"/>
      <c r="P134" s="29">
        <f>IF($A134="","",$H134*$I134)</f>
        <v/>
      </c>
      <c r="Q134" s="29">
        <f>IF(OR($A134="",$G134="KAPALI"),"",IF($L134&gt;soa_esikOluGun,"ÖLÜ",""))</f>
        <v/>
      </c>
      <c r="R134" s="29">
        <f>IF($A134="","",IF($E134="","",raporTarihi-$E134))</f>
        <v/>
      </c>
      <c r="S134" s="29">
        <f>IF($A134="","",IF($R134="","",IF($R134&lt;=soa_kovaEsik1,"0-7",IF($R134&lt;=soa_kovaEsik2,"8-30",IF($R134&lt;=soa_kovaEsik3,"31-90","90+")))))</f>
        <v/>
      </c>
      <c r="T134" s="29">
        <f>IF($A134="","",IF($B134="","YETİM",IF(COUNTIF(tblKartlar[KartId],$B134)=0,"YETİM","")))</f>
        <v/>
      </c>
      <c r="U134" s="29">
        <f>IF(OR($A134="",$F134=""),"",IF(OR($F134&amp;"|"&amp;$G134="",COUNTIF(ListeIzinliGecis,$F134&amp;"|"&amp;$G134)&gt;0),"","GEÇERSİZ GEÇİŞ"))</f>
        <v/>
      </c>
      <c r="V134" s="29">
        <f>IF($A134="","",IF(OR($P134="",$J134=""),"",IF(ABS($J134-$P134)&gt;zincirTolerans,"ZİNCİR KIRIK","OK")))</f>
        <v/>
      </c>
      <c r="W134" s="29">
        <f>IF($A134="","",1)</f>
        <v/>
      </c>
      <c r="X134" s="29">
        <f>IF($A134="","",$K134*$I134)</f>
        <v/>
      </c>
    </row>
    <row r="135">
      <c r="A135" s="27" t="n"/>
      <c r="B135" s="27" t="n"/>
      <c r="C135" s="27" t="n"/>
      <c r="D135" s="30" t="n"/>
      <c r="E135" s="30" t="n"/>
      <c r="F135" s="27" t="n"/>
      <c r="G135" s="27" t="n"/>
      <c r="H135" s="28" t="n"/>
      <c r="I135" s="31" t="n"/>
      <c r="J135" s="31" t="n"/>
      <c r="K135" s="28" t="n"/>
      <c r="L135" s="32" t="n"/>
      <c r="M135" s="27" t="n"/>
      <c r="N135" s="27" t="n"/>
      <c r="O135" s="27" t="n"/>
      <c r="P135" s="29">
        <f>IF($A135="","",$H135*$I135)</f>
        <v/>
      </c>
      <c r="Q135" s="29">
        <f>IF(OR($A135="",$G135="KAPALI"),"",IF($L135&gt;soa_esikOluGun,"ÖLÜ",""))</f>
        <v/>
      </c>
      <c r="R135" s="29">
        <f>IF($A135="","",IF($E135="","",raporTarihi-$E135))</f>
        <v/>
      </c>
      <c r="S135" s="29">
        <f>IF($A135="","",IF($R135="","",IF($R135&lt;=soa_kovaEsik1,"0-7",IF($R135&lt;=soa_kovaEsik2,"8-30",IF($R135&lt;=soa_kovaEsik3,"31-90","90+")))))</f>
        <v/>
      </c>
      <c r="T135" s="29">
        <f>IF($A135="","",IF($B135="","YETİM",IF(COUNTIF(tblKartlar[KartId],$B135)=0,"YETİM","")))</f>
        <v/>
      </c>
      <c r="U135" s="29">
        <f>IF(OR($A135="",$F135=""),"",IF(OR($F135&amp;"|"&amp;$G135="",COUNTIF(ListeIzinliGecis,$F135&amp;"|"&amp;$G135)&gt;0),"","GEÇERSİZ GEÇİŞ"))</f>
        <v/>
      </c>
      <c r="V135" s="29">
        <f>IF($A135="","",IF(OR($P135="",$J135=""),"",IF(ABS($J135-$P135)&gt;zincirTolerans,"ZİNCİR KIRIK","OK")))</f>
        <v/>
      </c>
      <c r="W135" s="29">
        <f>IF($A135="","",1)</f>
        <v/>
      </c>
      <c r="X135" s="29">
        <f>IF($A135="","",$K135*$I135)</f>
        <v/>
      </c>
    </row>
    <row r="136">
      <c r="A136" s="27" t="n"/>
      <c r="B136" s="27" t="n"/>
      <c r="C136" s="27" t="n"/>
      <c r="D136" s="30" t="n"/>
      <c r="E136" s="30" t="n"/>
      <c r="F136" s="27" t="n"/>
      <c r="G136" s="27" t="n"/>
      <c r="H136" s="28" t="n"/>
      <c r="I136" s="31" t="n"/>
      <c r="J136" s="31" t="n"/>
      <c r="K136" s="28" t="n"/>
      <c r="L136" s="32" t="n"/>
      <c r="M136" s="27" t="n"/>
      <c r="N136" s="27" t="n"/>
      <c r="O136" s="27" t="n"/>
      <c r="P136" s="29">
        <f>IF($A136="","",$H136*$I136)</f>
        <v/>
      </c>
      <c r="Q136" s="29">
        <f>IF(OR($A136="",$G136="KAPALI"),"",IF($L136&gt;soa_esikOluGun,"ÖLÜ",""))</f>
        <v/>
      </c>
      <c r="R136" s="29">
        <f>IF($A136="","",IF($E136="","",raporTarihi-$E136))</f>
        <v/>
      </c>
      <c r="S136" s="29">
        <f>IF($A136="","",IF($R136="","",IF($R136&lt;=soa_kovaEsik1,"0-7",IF($R136&lt;=soa_kovaEsik2,"8-30",IF($R136&lt;=soa_kovaEsik3,"31-90","90+")))))</f>
        <v/>
      </c>
      <c r="T136" s="29">
        <f>IF($A136="","",IF($B136="","YETİM",IF(COUNTIF(tblKartlar[KartId],$B136)=0,"YETİM","")))</f>
        <v/>
      </c>
      <c r="U136" s="29">
        <f>IF(OR($A136="",$F136=""),"",IF(OR($F136&amp;"|"&amp;$G136="",COUNTIF(ListeIzinliGecis,$F136&amp;"|"&amp;$G136)&gt;0),"","GEÇERSİZ GEÇİŞ"))</f>
        <v/>
      </c>
      <c r="V136" s="29">
        <f>IF($A136="","",IF(OR($P136="",$J136=""),"",IF(ABS($J136-$P136)&gt;zincirTolerans,"ZİNCİR KIRIK","OK")))</f>
        <v/>
      </c>
      <c r="W136" s="29">
        <f>IF($A136="","",1)</f>
        <v/>
      </c>
      <c r="X136" s="29">
        <f>IF($A136="","",$K136*$I136)</f>
        <v/>
      </c>
    </row>
    <row r="137">
      <c r="A137" s="27" t="n"/>
      <c r="B137" s="27" t="n"/>
      <c r="C137" s="27" t="n"/>
      <c r="D137" s="30" t="n"/>
      <c r="E137" s="30" t="n"/>
      <c r="F137" s="27" t="n"/>
      <c r="G137" s="27" t="n"/>
      <c r="H137" s="28" t="n"/>
      <c r="I137" s="31" t="n"/>
      <c r="J137" s="31" t="n"/>
      <c r="K137" s="28" t="n"/>
      <c r="L137" s="32" t="n"/>
      <c r="M137" s="27" t="n"/>
      <c r="N137" s="27" t="n"/>
      <c r="O137" s="27" t="n"/>
      <c r="P137" s="29">
        <f>IF($A137="","",$H137*$I137)</f>
        <v/>
      </c>
      <c r="Q137" s="29">
        <f>IF(OR($A137="",$G137="KAPALI"),"",IF($L137&gt;soa_esikOluGun,"ÖLÜ",""))</f>
        <v/>
      </c>
      <c r="R137" s="29">
        <f>IF($A137="","",IF($E137="","",raporTarihi-$E137))</f>
        <v/>
      </c>
      <c r="S137" s="29">
        <f>IF($A137="","",IF($R137="","",IF($R137&lt;=soa_kovaEsik1,"0-7",IF($R137&lt;=soa_kovaEsik2,"8-30",IF($R137&lt;=soa_kovaEsik3,"31-90","90+")))))</f>
        <v/>
      </c>
      <c r="T137" s="29">
        <f>IF($A137="","",IF($B137="","YETİM",IF(COUNTIF(tblKartlar[KartId],$B137)=0,"YETİM","")))</f>
        <v/>
      </c>
      <c r="U137" s="29">
        <f>IF(OR($A137="",$F137=""),"",IF(OR($F137&amp;"|"&amp;$G137="",COUNTIF(ListeIzinliGecis,$F137&amp;"|"&amp;$G137)&gt;0),"","GEÇERSİZ GEÇİŞ"))</f>
        <v/>
      </c>
      <c r="V137" s="29">
        <f>IF($A137="","",IF(OR($P137="",$J137=""),"",IF(ABS($J137-$P137)&gt;zincirTolerans,"ZİNCİR KIRIK","OK")))</f>
        <v/>
      </c>
      <c r="W137" s="29">
        <f>IF($A137="","",1)</f>
        <v/>
      </c>
      <c r="X137" s="29">
        <f>IF($A137="","",$K137*$I137)</f>
        <v/>
      </c>
    </row>
    <row r="138">
      <c r="A138" s="27" t="n"/>
      <c r="B138" s="27" t="n"/>
      <c r="C138" s="27" t="n"/>
      <c r="D138" s="30" t="n"/>
      <c r="E138" s="30" t="n"/>
      <c r="F138" s="27" t="n"/>
      <c r="G138" s="27" t="n"/>
      <c r="H138" s="28" t="n"/>
      <c r="I138" s="31" t="n"/>
      <c r="J138" s="31" t="n"/>
      <c r="K138" s="28" t="n"/>
      <c r="L138" s="32" t="n"/>
      <c r="M138" s="27" t="n"/>
      <c r="N138" s="27" t="n"/>
      <c r="O138" s="27" t="n"/>
      <c r="P138" s="29">
        <f>IF($A138="","",$H138*$I138)</f>
        <v/>
      </c>
      <c r="Q138" s="29">
        <f>IF(OR($A138="",$G138="KAPALI"),"",IF($L138&gt;soa_esikOluGun,"ÖLÜ",""))</f>
        <v/>
      </c>
      <c r="R138" s="29">
        <f>IF($A138="","",IF($E138="","",raporTarihi-$E138))</f>
        <v/>
      </c>
      <c r="S138" s="29">
        <f>IF($A138="","",IF($R138="","",IF($R138&lt;=soa_kovaEsik1,"0-7",IF($R138&lt;=soa_kovaEsik2,"8-30",IF($R138&lt;=soa_kovaEsik3,"31-90","90+")))))</f>
        <v/>
      </c>
      <c r="T138" s="29">
        <f>IF($A138="","",IF($B138="","YETİM",IF(COUNTIF(tblKartlar[KartId],$B138)=0,"YETİM","")))</f>
        <v/>
      </c>
      <c r="U138" s="29">
        <f>IF(OR($A138="",$F138=""),"",IF(OR($F138&amp;"|"&amp;$G138="",COUNTIF(ListeIzinliGecis,$F138&amp;"|"&amp;$G138)&gt;0),"","GEÇERSİZ GEÇİŞ"))</f>
        <v/>
      </c>
      <c r="V138" s="29">
        <f>IF($A138="","",IF(OR($P138="",$J138=""),"",IF(ABS($J138-$P138)&gt;zincirTolerans,"ZİNCİR KIRIK","OK")))</f>
        <v/>
      </c>
      <c r="W138" s="29">
        <f>IF($A138="","",1)</f>
        <v/>
      </c>
      <c r="X138" s="29">
        <f>IF($A138="","",$K138*$I138)</f>
        <v/>
      </c>
    </row>
    <row r="139">
      <c r="A139" s="27" t="n"/>
      <c r="B139" s="27" t="n"/>
      <c r="C139" s="27" t="n"/>
      <c r="D139" s="30" t="n"/>
      <c r="E139" s="30" t="n"/>
      <c r="F139" s="27" t="n"/>
      <c r="G139" s="27" t="n"/>
      <c r="H139" s="28" t="n"/>
      <c r="I139" s="31" t="n"/>
      <c r="J139" s="31" t="n"/>
      <c r="K139" s="28" t="n"/>
      <c r="L139" s="32" t="n"/>
      <c r="M139" s="27" t="n"/>
      <c r="N139" s="27" t="n"/>
      <c r="O139" s="27" t="n"/>
      <c r="P139" s="29">
        <f>IF($A139="","",$H139*$I139)</f>
        <v/>
      </c>
      <c r="Q139" s="29">
        <f>IF(OR($A139="",$G139="KAPALI"),"",IF($L139&gt;soa_esikOluGun,"ÖLÜ",""))</f>
        <v/>
      </c>
      <c r="R139" s="29">
        <f>IF($A139="","",IF($E139="","",raporTarihi-$E139))</f>
        <v/>
      </c>
      <c r="S139" s="29">
        <f>IF($A139="","",IF($R139="","",IF($R139&lt;=soa_kovaEsik1,"0-7",IF($R139&lt;=soa_kovaEsik2,"8-30",IF($R139&lt;=soa_kovaEsik3,"31-90","90+")))))</f>
        <v/>
      </c>
      <c r="T139" s="29">
        <f>IF($A139="","",IF($B139="","YETİM",IF(COUNTIF(tblKartlar[KartId],$B139)=0,"YETİM","")))</f>
        <v/>
      </c>
      <c r="U139" s="29">
        <f>IF(OR($A139="",$F139=""),"",IF(OR($F139&amp;"|"&amp;$G139="",COUNTIF(ListeIzinliGecis,$F139&amp;"|"&amp;$G139)&gt;0),"","GEÇERSİZ GEÇİŞ"))</f>
        <v/>
      </c>
      <c r="V139" s="29">
        <f>IF($A139="","",IF(OR($P139="",$J139=""),"",IF(ABS($J139-$P139)&gt;zincirTolerans,"ZİNCİR KIRIK","OK")))</f>
        <v/>
      </c>
      <c r="W139" s="29">
        <f>IF($A139="","",1)</f>
        <v/>
      </c>
      <c r="X139" s="29">
        <f>IF($A139="","",$K139*$I139)</f>
        <v/>
      </c>
    </row>
    <row r="140">
      <c r="A140" s="27" t="n"/>
      <c r="B140" s="27" t="n"/>
      <c r="C140" s="27" t="n"/>
      <c r="D140" s="30" t="n"/>
      <c r="E140" s="30" t="n"/>
      <c r="F140" s="27" t="n"/>
      <c r="G140" s="27" t="n"/>
      <c r="H140" s="28" t="n"/>
      <c r="I140" s="31" t="n"/>
      <c r="J140" s="31" t="n"/>
      <c r="K140" s="28" t="n"/>
      <c r="L140" s="32" t="n"/>
      <c r="M140" s="27" t="n"/>
      <c r="N140" s="27" t="n"/>
      <c r="O140" s="27" t="n"/>
      <c r="P140" s="29">
        <f>IF($A140="","",$H140*$I140)</f>
        <v/>
      </c>
      <c r="Q140" s="29">
        <f>IF(OR($A140="",$G140="KAPALI"),"",IF($L140&gt;soa_esikOluGun,"ÖLÜ",""))</f>
        <v/>
      </c>
      <c r="R140" s="29">
        <f>IF($A140="","",IF($E140="","",raporTarihi-$E140))</f>
        <v/>
      </c>
      <c r="S140" s="29">
        <f>IF($A140="","",IF($R140="","",IF($R140&lt;=soa_kovaEsik1,"0-7",IF($R140&lt;=soa_kovaEsik2,"8-30",IF($R140&lt;=soa_kovaEsik3,"31-90","90+")))))</f>
        <v/>
      </c>
      <c r="T140" s="29">
        <f>IF($A140="","",IF($B140="","YETİM",IF(COUNTIF(tblKartlar[KartId],$B140)=0,"YETİM","")))</f>
        <v/>
      </c>
      <c r="U140" s="29">
        <f>IF(OR($A140="",$F140=""),"",IF(OR($F140&amp;"|"&amp;$G140="",COUNTIF(ListeIzinliGecis,$F140&amp;"|"&amp;$G140)&gt;0),"","GEÇERSİZ GEÇİŞ"))</f>
        <v/>
      </c>
      <c r="V140" s="29">
        <f>IF($A140="","",IF(OR($P140="",$J140=""),"",IF(ABS($J140-$P140)&gt;zincirTolerans,"ZİNCİR KIRIK","OK")))</f>
        <v/>
      </c>
      <c r="W140" s="29">
        <f>IF($A140="","",1)</f>
        <v/>
      </c>
      <c r="X140" s="29">
        <f>IF($A140="","",$K140*$I140)</f>
        <v/>
      </c>
    </row>
    <row r="141">
      <c r="A141" s="27" t="n"/>
      <c r="B141" s="27" t="n"/>
      <c r="C141" s="27" t="n"/>
      <c r="D141" s="30" t="n"/>
      <c r="E141" s="30" t="n"/>
      <c r="F141" s="27" t="n"/>
      <c r="G141" s="27" t="n"/>
      <c r="H141" s="28" t="n"/>
      <c r="I141" s="31" t="n"/>
      <c r="J141" s="31" t="n"/>
      <c r="K141" s="28" t="n"/>
      <c r="L141" s="32" t="n"/>
      <c r="M141" s="27" t="n"/>
      <c r="N141" s="27" t="n"/>
      <c r="O141" s="27" t="n"/>
      <c r="P141" s="29">
        <f>IF($A141="","",$H141*$I141)</f>
        <v/>
      </c>
      <c r="Q141" s="29">
        <f>IF(OR($A141="",$G141="KAPALI"),"",IF($L141&gt;soa_esikOluGun,"ÖLÜ",""))</f>
        <v/>
      </c>
      <c r="R141" s="29">
        <f>IF($A141="","",IF($E141="","",raporTarihi-$E141))</f>
        <v/>
      </c>
      <c r="S141" s="29">
        <f>IF($A141="","",IF($R141="","",IF($R141&lt;=soa_kovaEsik1,"0-7",IF($R141&lt;=soa_kovaEsik2,"8-30",IF($R141&lt;=soa_kovaEsik3,"31-90","90+")))))</f>
        <v/>
      </c>
      <c r="T141" s="29">
        <f>IF($A141="","",IF($B141="","YETİM",IF(COUNTIF(tblKartlar[KartId],$B141)=0,"YETİM","")))</f>
        <v/>
      </c>
      <c r="U141" s="29">
        <f>IF(OR($A141="",$F141=""),"",IF(OR($F141&amp;"|"&amp;$G141="",COUNTIF(ListeIzinliGecis,$F141&amp;"|"&amp;$G141)&gt;0),"","GEÇERSİZ GEÇİŞ"))</f>
        <v/>
      </c>
      <c r="V141" s="29">
        <f>IF($A141="","",IF(OR($P141="",$J141=""),"",IF(ABS($J141-$P141)&gt;zincirTolerans,"ZİNCİR KIRIK","OK")))</f>
        <v/>
      </c>
      <c r="W141" s="29">
        <f>IF($A141="","",1)</f>
        <v/>
      </c>
      <c r="X141" s="29">
        <f>IF($A141="","",$K141*$I141)</f>
        <v/>
      </c>
    </row>
    <row r="142">
      <c r="A142" s="27" t="n"/>
      <c r="B142" s="27" t="n"/>
      <c r="C142" s="27" t="n"/>
      <c r="D142" s="30" t="n"/>
      <c r="E142" s="30" t="n"/>
      <c r="F142" s="27" t="n"/>
      <c r="G142" s="27" t="n"/>
      <c r="H142" s="28" t="n"/>
      <c r="I142" s="31" t="n"/>
      <c r="J142" s="31" t="n"/>
      <c r="K142" s="28" t="n"/>
      <c r="L142" s="32" t="n"/>
      <c r="M142" s="27" t="n"/>
      <c r="N142" s="27" t="n"/>
      <c r="O142" s="27" t="n"/>
      <c r="P142" s="29">
        <f>IF($A142="","",$H142*$I142)</f>
        <v/>
      </c>
      <c r="Q142" s="29">
        <f>IF(OR($A142="",$G142="KAPALI"),"",IF($L142&gt;soa_esikOluGun,"ÖLÜ",""))</f>
        <v/>
      </c>
      <c r="R142" s="29">
        <f>IF($A142="","",IF($E142="","",raporTarihi-$E142))</f>
        <v/>
      </c>
      <c r="S142" s="29">
        <f>IF($A142="","",IF($R142="","",IF($R142&lt;=soa_kovaEsik1,"0-7",IF($R142&lt;=soa_kovaEsik2,"8-30",IF($R142&lt;=soa_kovaEsik3,"31-90","90+")))))</f>
        <v/>
      </c>
      <c r="T142" s="29">
        <f>IF($A142="","",IF($B142="","YETİM",IF(COUNTIF(tblKartlar[KartId],$B142)=0,"YETİM","")))</f>
        <v/>
      </c>
      <c r="U142" s="29">
        <f>IF(OR($A142="",$F142=""),"",IF(OR($F142&amp;"|"&amp;$G142="",COUNTIF(ListeIzinliGecis,$F142&amp;"|"&amp;$G142)&gt;0),"","GEÇERSİZ GEÇİŞ"))</f>
        <v/>
      </c>
      <c r="V142" s="29">
        <f>IF($A142="","",IF(OR($P142="",$J142=""),"",IF(ABS($J142-$P142)&gt;zincirTolerans,"ZİNCİR KIRIK","OK")))</f>
        <v/>
      </c>
      <c r="W142" s="29">
        <f>IF($A142="","",1)</f>
        <v/>
      </c>
      <c r="X142" s="29">
        <f>IF($A142="","",$K142*$I142)</f>
        <v/>
      </c>
    </row>
    <row r="143">
      <c r="A143" s="27" t="n"/>
      <c r="B143" s="27" t="n"/>
      <c r="C143" s="27" t="n"/>
      <c r="D143" s="30" t="n"/>
      <c r="E143" s="30" t="n"/>
      <c r="F143" s="27" t="n"/>
      <c r="G143" s="27" t="n"/>
      <c r="H143" s="28" t="n"/>
      <c r="I143" s="31" t="n"/>
      <c r="J143" s="31" t="n"/>
      <c r="K143" s="28" t="n"/>
      <c r="L143" s="32" t="n"/>
      <c r="M143" s="27" t="n"/>
      <c r="N143" s="27" t="n"/>
      <c r="O143" s="27" t="n"/>
      <c r="P143" s="29">
        <f>IF($A143="","",$H143*$I143)</f>
        <v/>
      </c>
      <c r="Q143" s="29">
        <f>IF(OR($A143="",$G143="KAPALI"),"",IF($L143&gt;soa_esikOluGun,"ÖLÜ",""))</f>
        <v/>
      </c>
      <c r="R143" s="29">
        <f>IF($A143="","",IF($E143="","",raporTarihi-$E143))</f>
        <v/>
      </c>
      <c r="S143" s="29">
        <f>IF($A143="","",IF($R143="","",IF($R143&lt;=soa_kovaEsik1,"0-7",IF($R143&lt;=soa_kovaEsik2,"8-30",IF($R143&lt;=soa_kovaEsik3,"31-90","90+")))))</f>
        <v/>
      </c>
      <c r="T143" s="29">
        <f>IF($A143="","",IF($B143="","YETİM",IF(COUNTIF(tblKartlar[KartId],$B143)=0,"YETİM","")))</f>
        <v/>
      </c>
      <c r="U143" s="29">
        <f>IF(OR($A143="",$F143=""),"",IF(OR($F143&amp;"|"&amp;$G143="",COUNTIF(ListeIzinliGecis,$F143&amp;"|"&amp;$G143)&gt;0),"","GEÇERSİZ GEÇİŞ"))</f>
        <v/>
      </c>
      <c r="V143" s="29">
        <f>IF($A143="","",IF(OR($P143="",$J143=""),"",IF(ABS($J143-$P143)&gt;zincirTolerans,"ZİNCİR KIRIK","OK")))</f>
        <v/>
      </c>
      <c r="W143" s="29">
        <f>IF($A143="","",1)</f>
        <v/>
      </c>
      <c r="X143" s="29">
        <f>IF($A143="","",$K143*$I143)</f>
        <v/>
      </c>
    </row>
    <row r="144">
      <c r="A144" s="27" t="n"/>
      <c r="B144" s="27" t="n"/>
      <c r="C144" s="27" t="n"/>
      <c r="D144" s="30" t="n"/>
      <c r="E144" s="30" t="n"/>
      <c r="F144" s="27" t="n"/>
      <c r="G144" s="27" t="n"/>
      <c r="H144" s="28" t="n"/>
      <c r="I144" s="31" t="n"/>
      <c r="J144" s="31" t="n"/>
      <c r="K144" s="28" t="n"/>
      <c r="L144" s="32" t="n"/>
      <c r="M144" s="27" t="n"/>
      <c r="N144" s="27" t="n"/>
      <c r="O144" s="27" t="n"/>
      <c r="P144" s="29">
        <f>IF($A144="","",$H144*$I144)</f>
        <v/>
      </c>
      <c r="Q144" s="29">
        <f>IF(OR($A144="",$G144="KAPALI"),"",IF($L144&gt;soa_esikOluGun,"ÖLÜ",""))</f>
        <v/>
      </c>
      <c r="R144" s="29">
        <f>IF($A144="","",IF($E144="","",raporTarihi-$E144))</f>
        <v/>
      </c>
      <c r="S144" s="29">
        <f>IF($A144="","",IF($R144="","",IF($R144&lt;=soa_kovaEsik1,"0-7",IF($R144&lt;=soa_kovaEsik2,"8-30",IF($R144&lt;=soa_kovaEsik3,"31-90","90+")))))</f>
        <v/>
      </c>
      <c r="T144" s="29">
        <f>IF($A144="","",IF($B144="","YETİM",IF(COUNTIF(tblKartlar[KartId],$B144)=0,"YETİM","")))</f>
        <v/>
      </c>
      <c r="U144" s="29">
        <f>IF(OR($A144="",$F144=""),"",IF(OR($F144&amp;"|"&amp;$G144="",COUNTIF(ListeIzinliGecis,$F144&amp;"|"&amp;$G144)&gt;0),"","GEÇERSİZ GEÇİŞ"))</f>
        <v/>
      </c>
      <c r="V144" s="29">
        <f>IF($A144="","",IF(OR($P144="",$J144=""),"",IF(ABS($J144-$P144)&gt;zincirTolerans,"ZİNCİR KIRIK","OK")))</f>
        <v/>
      </c>
      <c r="W144" s="29">
        <f>IF($A144="","",1)</f>
        <v/>
      </c>
      <c r="X144" s="29">
        <f>IF($A144="","",$K144*$I144)</f>
        <v/>
      </c>
    </row>
    <row r="145">
      <c r="A145" s="27" t="n"/>
      <c r="B145" s="27" t="n"/>
      <c r="C145" s="27" t="n"/>
      <c r="D145" s="30" t="n"/>
      <c r="E145" s="30" t="n"/>
      <c r="F145" s="27" t="n"/>
      <c r="G145" s="27" t="n"/>
      <c r="H145" s="28" t="n"/>
      <c r="I145" s="31" t="n"/>
      <c r="J145" s="31" t="n"/>
      <c r="K145" s="28" t="n"/>
      <c r="L145" s="32" t="n"/>
      <c r="M145" s="27" t="n"/>
      <c r="N145" s="27" t="n"/>
      <c r="O145" s="27" t="n"/>
      <c r="P145" s="29">
        <f>IF($A145="","",$H145*$I145)</f>
        <v/>
      </c>
      <c r="Q145" s="29">
        <f>IF(OR($A145="",$G145="KAPALI"),"",IF($L145&gt;soa_esikOluGun,"ÖLÜ",""))</f>
        <v/>
      </c>
      <c r="R145" s="29">
        <f>IF($A145="","",IF($E145="","",raporTarihi-$E145))</f>
        <v/>
      </c>
      <c r="S145" s="29">
        <f>IF($A145="","",IF($R145="","",IF($R145&lt;=soa_kovaEsik1,"0-7",IF($R145&lt;=soa_kovaEsik2,"8-30",IF($R145&lt;=soa_kovaEsik3,"31-90","90+")))))</f>
        <v/>
      </c>
      <c r="T145" s="29">
        <f>IF($A145="","",IF($B145="","YETİM",IF(COUNTIF(tblKartlar[KartId],$B145)=0,"YETİM","")))</f>
        <v/>
      </c>
      <c r="U145" s="29">
        <f>IF(OR($A145="",$F145=""),"",IF(OR($F145&amp;"|"&amp;$G145="",COUNTIF(ListeIzinliGecis,$F145&amp;"|"&amp;$G145)&gt;0),"","GEÇERSİZ GEÇİŞ"))</f>
        <v/>
      </c>
      <c r="V145" s="29">
        <f>IF($A145="","",IF(OR($P145="",$J145=""),"",IF(ABS($J145-$P145)&gt;zincirTolerans,"ZİNCİR KIRIK","OK")))</f>
        <v/>
      </c>
      <c r="W145" s="29">
        <f>IF($A145="","",1)</f>
        <v/>
      </c>
      <c r="X145" s="29">
        <f>IF($A145="","",$K145*$I145)</f>
        <v/>
      </c>
    </row>
    <row r="146">
      <c r="A146" s="27" t="n"/>
      <c r="B146" s="27" t="n"/>
      <c r="C146" s="27" t="n"/>
      <c r="D146" s="30" t="n"/>
      <c r="E146" s="30" t="n"/>
      <c r="F146" s="27" t="n"/>
      <c r="G146" s="27" t="n"/>
      <c r="H146" s="28" t="n"/>
      <c r="I146" s="31" t="n"/>
      <c r="J146" s="31" t="n"/>
      <c r="K146" s="28" t="n"/>
      <c r="L146" s="32" t="n"/>
      <c r="M146" s="27" t="n"/>
      <c r="N146" s="27" t="n"/>
      <c r="O146" s="27" t="n"/>
      <c r="P146" s="29">
        <f>IF($A146="","",$H146*$I146)</f>
        <v/>
      </c>
      <c r="Q146" s="29">
        <f>IF(OR($A146="",$G146="KAPALI"),"",IF($L146&gt;soa_esikOluGun,"ÖLÜ",""))</f>
        <v/>
      </c>
      <c r="R146" s="29">
        <f>IF($A146="","",IF($E146="","",raporTarihi-$E146))</f>
        <v/>
      </c>
      <c r="S146" s="29">
        <f>IF($A146="","",IF($R146="","",IF($R146&lt;=soa_kovaEsik1,"0-7",IF($R146&lt;=soa_kovaEsik2,"8-30",IF($R146&lt;=soa_kovaEsik3,"31-90","90+")))))</f>
        <v/>
      </c>
      <c r="T146" s="29">
        <f>IF($A146="","",IF($B146="","YETİM",IF(COUNTIF(tblKartlar[KartId],$B146)=0,"YETİM","")))</f>
        <v/>
      </c>
      <c r="U146" s="29">
        <f>IF(OR($A146="",$F146=""),"",IF(OR($F146&amp;"|"&amp;$G146="",COUNTIF(ListeIzinliGecis,$F146&amp;"|"&amp;$G146)&gt;0),"","GEÇERSİZ GEÇİŞ"))</f>
        <v/>
      </c>
      <c r="V146" s="29">
        <f>IF($A146="","",IF(OR($P146="",$J146=""),"",IF(ABS($J146-$P146)&gt;zincirTolerans,"ZİNCİR KIRIK","OK")))</f>
        <v/>
      </c>
      <c r="W146" s="29">
        <f>IF($A146="","",1)</f>
        <v/>
      </c>
      <c r="X146" s="29">
        <f>IF($A146="","",$K146*$I146)</f>
        <v/>
      </c>
    </row>
    <row r="147">
      <c r="A147" s="27" t="n"/>
      <c r="B147" s="27" t="n"/>
      <c r="C147" s="27" t="n"/>
      <c r="D147" s="30" t="n"/>
      <c r="E147" s="30" t="n"/>
      <c r="F147" s="27" t="n"/>
      <c r="G147" s="27" t="n"/>
      <c r="H147" s="28" t="n"/>
      <c r="I147" s="31" t="n"/>
      <c r="J147" s="31" t="n"/>
      <c r="K147" s="28" t="n"/>
      <c r="L147" s="32" t="n"/>
      <c r="M147" s="27" t="n"/>
      <c r="N147" s="27" t="n"/>
      <c r="O147" s="27" t="n"/>
      <c r="P147" s="29">
        <f>IF($A147="","",$H147*$I147)</f>
        <v/>
      </c>
      <c r="Q147" s="29">
        <f>IF(OR($A147="",$G147="KAPALI"),"",IF($L147&gt;soa_esikOluGun,"ÖLÜ",""))</f>
        <v/>
      </c>
      <c r="R147" s="29">
        <f>IF($A147="","",IF($E147="","",raporTarihi-$E147))</f>
        <v/>
      </c>
      <c r="S147" s="29">
        <f>IF($A147="","",IF($R147="","",IF($R147&lt;=soa_kovaEsik1,"0-7",IF($R147&lt;=soa_kovaEsik2,"8-30",IF($R147&lt;=soa_kovaEsik3,"31-90","90+")))))</f>
        <v/>
      </c>
      <c r="T147" s="29">
        <f>IF($A147="","",IF($B147="","YETİM",IF(COUNTIF(tblKartlar[KartId],$B147)=0,"YETİM","")))</f>
        <v/>
      </c>
      <c r="U147" s="29">
        <f>IF(OR($A147="",$F147=""),"",IF(OR($F147&amp;"|"&amp;$G147="",COUNTIF(ListeIzinliGecis,$F147&amp;"|"&amp;$G147)&gt;0),"","GEÇERSİZ GEÇİŞ"))</f>
        <v/>
      </c>
      <c r="V147" s="29">
        <f>IF($A147="","",IF(OR($P147="",$J147=""),"",IF(ABS($J147-$P147)&gt;zincirTolerans,"ZİNCİR KIRIK","OK")))</f>
        <v/>
      </c>
      <c r="W147" s="29">
        <f>IF($A147="","",1)</f>
        <v/>
      </c>
      <c r="X147" s="29">
        <f>IF($A147="","",$K147*$I147)</f>
        <v/>
      </c>
    </row>
    <row r="148">
      <c r="A148" s="27" t="n"/>
      <c r="B148" s="27" t="n"/>
      <c r="C148" s="27" t="n"/>
      <c r="D148" s="30" t="n"/>
      <c r="E148" s="30" t="n"/>
      <c r="F148" s="27" t="n"/>
      <c r="G148" s="27" t="n"/>
      <c r="H148" s="28" t="n"/>
      <c r="I148" s="31" t="n"/>
      <c r="J148" s="31" t="n"/>
      <c r="K148" s="28" t="n"/>
      <c r="L148" s="32" t="n"/>
      <c r="M148" s="27" t="n"/>
      <c r="N148" s="27" t="n"/>
      <c r="O148" s="27" t="n"/>
      <c r="P148" s="29">
        <f>IF($A148="","",$H148*$I148)</f>
        <v/>
      </c>
      <c r="Q148" s="29">
        <f>IF(OR($A148="",$G148="KAPALI"),"",IF($L148&gt;soa_esikOluGun,"ÖLÜ",""))</f>
        <v/>
      </c>
      <c r="R148" s="29">
        <f>IF($A148="","",IF($E148="","",raporTarihi-$E148))</f>
        <v/>
      </c>
      <c r="S148" s="29">
        <f>IF($A148="","",IF($R148="","",IF($R148&lt;=soa_kovaEsik1,"0-7",IF($R148&lt;=soa_kovaEsik2,"8-30",IF($R148&lt;=soa_kovaEsik3,"31-90","90+")))))</f>
        <v/>
      </c>
      <c r="T148" s="29">
        <f>IF($A148="","",IF($B148="","YETİM",IF(COUNTIF(tblKartlar[KartId],$B148)=0,"YETİM","")))</f>
        <v/>
      </c>
      <c r="U148" s="29">
        <f>IF(OR($A148="",$F148=""),"",IF(OR($F148&amp;"|"&amp;$G148="",COUNTIF(ListeIzinliGecis,$F148&amp;"|"&amp;$G148)&gt;0),"","GEÇERSİZ GEÇİŞ"))</f>
        <v/>
      </c>
      <c r="V148" s="29">
        <f>IF($A148="","",IF(OR($P148="",$J148=""),"",IF(ABS($J148-$P148)&gt;zincirTolerans,"ZİNCİR KIRIK","OK")))</f>
        <v/>
      </c>
      <c r="W148" s="29">
        <f>IF($A148="","",1)</f>
        <v/>
      </c>
      <c r="X148" s="29">
        <f>IF($A148="","",$K148*$I148)</f>
        <v/>
      </c>
    </row>
    <row r="149">
      <c r="A149" s="27" t="n"/>
      <c r="B149" s="27" t="n"/>
      <c r="C149" s="27" t="n"/>
      <c r="D149" s="30" t="n"/>
      <c r="E149" s="30" t="n"/>
      <c r="F149" s="27" t="n"/>
      <c r="G149" s="27" t="n"/>
      <c r="H149" s="28" t="n"/>
      <c r="I149" s="31" t="n"/>
      <c r="J149" s="31" t="n"/>
      <c r="K149" s="28" t="n"/>
      <c r="L149" s="32" t="n"/>
      <c r="M149" s="27" t="n"/>
      <c r="N149" s="27" t="n"/>
      <c r="O149" s="27" t="n"/>
      <c r="P149" s="29">
        <f>IF($A149="","",$H149*$I149)</f>
        <v/>
      </c>
      <c r="Q149" s="29">
        <f>IF(OR($A149="",$G149="KAPALI"),"",IF($L149&gt;soa_esikOluGun,"ÖLÜ",""))</f>
        <v/>
      </c>
      <c r="R149" s="29">
        <f>IF($A149="","",IF($E149="","",raporTarihi-$E149))</f>
        <v/>
      </c>
      <c r="S149" s="29">
        <f>IF($A149="","",IF($R149="","",IF($R149&lt;=soa_kovaEsik1,"0-7",IF($R149&lt;=soa_kovaEsik2,"8-30",IF($R149&lt;=soa_kovaEsik3,"31-90","90+")))))</f>
        <v/>
      </c>
      <c r="T149" s="29">
        <f>IF($A149="","",IF($B149="","YETİM",IF(COUNTIF(tblKartlar[KartId],$B149)=0,"YETİM","")))</f>
        <v/>
      </c>
      <c r="U149" s="29">
        <f>IF(OR($A149="",$F149=""),"",IF(OR($F149&amp;"|"&amp;$G149="",COUNTIF(ListeIzinliGecis,$F149&amp;"|"&amp;$G149)&gt;0),"","GEÇERSİZ GEÇİŞ"))</f>
        <v/>
      </c>
      <c r="V149" s="29">
        <f>IF($A149="","",IF(OR($P149="",$J149=""),"",IF(ABS($J149-$P149)&gt;zincirTolerans,"ZİNCİR KIRIK","OK")))</f>
        <v/>
      </c>
      <c r="W149" s="29">
        <f>IF($A149="","",1)</f>
        <v/>
      </c>
      <c r="X149" s="29">
        <f>IF($A149="","",$K149*$I149)</f>
        <v/>
      </c>
    </row>
    <row r="150">
      <c r="A150" s="27" t="n"/>
      <c r="B150" s="27" t="n"/>
      <c r="C150" s="27" t="n"/>
      <c r="D150" s="30" t="n"/>
      <c r="E150" s="30" t="n"/>
      <c r="F150" s="27" t="n"/>
      <c r="G150" s="27" t="n"/>
      <c r="H150" s="28" t="n"/>
      <c r="I150" s="31" t="n"/>
      <c r="J150" s="31" t="n"/>
      <c r="K150" s="28" t="n"/>
      <c r="L150" s="32" t="n"/>
      <c r="M150" s="27" t="n"/>
      <c r="N150" s="27" t="n"/>
      <c r="O150" s="27" t="n"/>
      <c r="P150" s="29">
        <f>IF($A150="","",$H150*$I150)</f>
        <v/>
      </c>
      <c r="Q150" s="29">
        <f>IF(OR($A150="",$G150="KAPALI"),"",IF($L150&gt;soa_esikOluGun,"ÖLÜ",""))</f>
        <v/>
      </c>
      <c r="R150" s="29">
        <f>IF($A150="","",IF($E150="","",raporTarihi-$E150))</f>
        <v/>
      </c>
      <c r="S150" s="29">
        <f>IF($A150="","",IF($R150="","",IF($R150&lt;=soa_kovaEsik1,"0-7",IF($R150&lt;=soa_kovaEsik2,"8-30",IF($R150&lt;=soa_kovaEsik3,"31-90","90+")))))</f>
        <v/>
      </c>
      <c r="T150" s="29">
        <f>IF($A150="","",IF($B150="","YETİM",IF(COUNTIF(tblKartlar[KartId],$B150)=0,"YETİM","")))</f>
        <v/>
      </c>
      <c r="U150" s="29">
        <f>IF(OR($A150="",$F150=""),"",IF(OR($F150&amp;"|"&amp;$G150="",COUNTIF(ListeIzinliGecis,$F150&amp;"|"&amp;$G150)&gt;0),"","GEÇERSİZ GEÇİŞ"))</f>
        <v/>
      </c>
      <c r="V150" s="29">
        <f>IF($A150="","",IF(OR($P150="",$J150=""),"",IF(ABS($J150-$P150)&gt;zincirTolerans,"ZİNCİR KIRIK","OK")))</f>
        <v/>
      </c>
      <c r="W150" s="29">
        <f>IF($A150="","",1)</f>
        <v/>
      </c>
      <c r="X150" s="29">
        <f>IF($A150="","",$K150*$I150)</f>
        <v/>
      </c>
    </row>
    <row r="151">
      <c r="A151" s="27" t="n"/>
      <c r="B151" s="27" t="n"/>
      <c r="C151" s="27" t="n"/>
      <c r="D151" s="30" t="n"/>
      <c r="E151" s="30" t="n"/>
      <c r="F151" s="27" t="n"/>
      <c r="G151" s="27" t="n"/>
      <c r="H151" s="28" t="n"/>
      <c r="I151" s="31" t="n"/>
      <c r="J151" s="31" t="n"/>
      <c r="K151" s="28" t="n"/>
      <c r="L151" s="32" t="n"/>
      <c r="M151" s="27" t="n"/>
      <c r="N151" s="27" t="n"/>
      <c r="O151" s="27" t="n"/>
      <c r="P151" s="29">
        <f>IF($A151="","",$H151*$I151)</f>
        <v/>
      </c>
      <c r="Q151" s="29">
        <f>IF(OR($A151="",$G151="KAPALI"),"",IF($L151&gt;soa_esikOluGun,"ÖLÜ",""))</f>
        <v/>
      </c>
      <c r="R151" s="29">
        <f>IF($A151="","",IF($E151="","",raporTarihi-$E151))</f>
        <v/>
      </c>
      <c r="S151" s="29">
        <f>IF($A151="","",IF($R151="","",IF($R151&lt;=soa_kovaEsik1,"0-7",IF($R151&lt;=soa_kovaEsik2,"8-30",IF($R151&lt;=soa_kovaEsik3,"31-90","90+")))))</f>
        <v/>
      </c>
      <c r="T151" s="29">
        <f>IF($A151="","",IF($B151="","YETİM",IF(COUNTIF(tblKartlar[KartId],$B151)=0,"YETİM","")))</f>
        <v/>
      </c>
      <c r="U151" s="29">
        <f>IF(OR($A151="",$F151=""),"",IF(OR($F151&amp;"|"&amp;$G151="",COUNTIF(ListeIzinliGecis,$F151&amp;"|"&amp;$G151)&gt;0),"","GEÇERSİZ GEÇİŞ"))</f>
        <v/>
      </c>
      <c r="V151" s="29">
        <f>IF($A151="","",IF(OR($P151="",$J151=""),"",IF(ABS($J151-$P151)&gt;zincirTolerans,"ZİNCİR KIRIK","OK")))</f>
        <v/>
      </c>
      <c r="W151" s="29">
        <f>IF($A151="","",1)</f>
        <v/>
      </c>
      <c r="X151" s="29">
        <f>IF($A151="","",$K151*$I151)</f>
        <v/>
      </c>
    </row>
    <row r="152">
      <c r="A152" s="27" t="n"/>
      <c r="B152" s="27" t="n"/>
      <c r="C152" s="27" t="n"/>
      <c r="D152" s="30" t="n"/>
      <c r="E152" s="30" t="n"/>
      <c r="F152" s="27" t="n"/>
      <c r="G152" s="27" t="n"/>
      <c r="H152" s="28" t="n"/>
      <c r="I152" s="31" t="n"/>
      <c r="J152" s="31" t="n"/>
      <c r="K152" s="28" t="n"/>
      <c r="L152" s="32" t="n"/>
      <c r="M152" s="27" t="n"/>
      <c r="N152" s="27" t="n"/>
      <c r="O152" s="27" t="n"/>
      <c r="P152" s="29">
        <f>IF($A152="","",$H152*$I152)</f>
        <v/>
      </c>
      <c r="Q152" s="29">
        <f>IF(OR($A152="",$G152="KAPALI"),"",IF($L152&gt;soa_esikOluGun,"ÖLÜ",""))</f>
        <v/>
      </c>
      <c r="R152" s="29">
        <f>IF($A152="","",IF($E152="","",raporTarihi-$E152))</f>
        <v/>
      </c>
      <c r="S152" s="29">
        <f>IF($A152="","",IF($R152="","",IF($R152&lt;=soa_kovaEsik1,"0-7",IF($R152&lt;=soa_kovaEsik2,"8-30",IF($R152&lt;=soa_kovaEsik3,"31-90","90+")))))</f>
        <v/>
      </c>
      <c r="T152" s="29">
        <f>IF($A152="","",IF($B152="","YETİM",IF(COUNTIF(tblKartlar[KartId],$B152)=0,"YETİM","")))</f>
        <v/>
      </c>
      <c r="U152" s="29">
        <f>IF(OR($A152="",$F152=""),"",IF(OR($F152&amp;"|"&amp;$G152="",COUNTIF(ListeIzinliGecis,$F152&amp;"|"&amp;$G152)&gt;0),"","GEÇERSİZ GEÇİŞ"))</f>
        <v/>
      </c>
      <c r="V152" s="29">
        <f>IF($A152="","",IF(OR($P152="",$J152=""),"",IF(ABS($J152-$P152)&gt;zincirTolerans,"ZİNCİR KIRIK","OK")))</f>
        <v/>
      </c>
      <c r="W152" s="29">
        <f>IF($A152="","",1)</f>
        <v/>
      </c>
      <c r="X152" s="29">
        <f>IF($A152="","",$K152*$I152)</f>
        <v/>
      </c>
    </row>
    <row r="153">
      <c r="A153" s="27" t="n"/>
      <c r="B153" s="27" t="n"/>
      <c r="C153" s="27" t="n"/>
      <c r="D153" s="30" t="n"/>
      <c r="E153" s="30" t="n"/>
      <c r="F153" s="27" t="n"/>
      <c r="G153" s="27" t="n"/>
      <c r="H153" s="28" t="n"/>
      <c r="I153" s="31" t="n"/>
      <c r="J153" s="31" t="n"/>
      <c r="K153" s="28" t="n"/>
      <c r="L153" s="32" t="n"/>
      <c r="M153" s="27" t="n"/>
      <c r="N153" s="27" t="n"/>
      <c r="O153" s="27" t="n"/>
      <c r="P153" s="29">
        <f>IF($A153="","",$H153*$I153)</f>
        <v/>
      </c>
      <c r="Q153" s="29">
        <f>IF(OR($A153="",$G153="KAPALI"),"",IF($L153&gt;soa_esikOluGun,"ÖLÜ",""))</f>
        <v/>
      </c>
      <c r="R153" s="29">
        <f>IF($A153="","",IF($E153="","",raporTarihi-$E153))</f>
        <v/>
      </c>
      <c r="S153" s="29">
        <f>IF($A153="","",IF($R153="","",IF($R153&lt;=soa_kovaEsik1,"0-7",IF($R153&lt;=soa_kovaEsik2,"8-30",IF($R153&lt;=soa_kovaEsik3,"31-90","90+")))))</f>
        <v/>
      </c>
      <c r="T153" s="29">
        <f>IF($A153="","",IF($B153="","YETİM",IF(COUNTIF(tblKartlar[KartId],$B153)=0,"YETİM","")))</f>
        <v/>
      </c>
      <c r="U153" s="29">
        <f>IF(OR($A153="",$F153=""),"",IF(OR($F153&amp;"|"&amp;$G153="",COUNTIF(ListeIzinliGecis,$F153&amp;"|"&amp;$G153)&gt;0),"","GEÇERSİZ GEÇİŞ"))</f>
        <v/>
      </c>
      <c r="V153" s="29">
        <f>IF($A153="","",IF(OR($P153="",$J153=""),"",IF(ABS($J153-$P153)&gt;zincirTolerans,"ZİNCİR KIRIK","OK")))</f>
        <v/>
      </c>
      <c r="W153" s="29">
        <f>IF($A153="","",1)</f>
        <v/>
      </c>
      <c r="X153" s="29">
        <f>IF($A153="","",$K153*$I153)</f>
        <v/>
      </c>
    </row>
    <row r="154">
      <c r="A154" s="27" t="n"/>
      <c r="B154" s="27" t="n"/>
      <c r="C154" s="27" t="n"/>
      <c r="D154" s="30" t="n"/>
      <c r="E154" s="30" t="n"/>
      <c r="F154" s="27" t="n"/>
      <c r="G154" s="27" t="n"/>
      <c r="H154" s="28" t="n"/>
      <c r="I154" s="31" t="n"/>
      <c r="J154" s="31" t="n"/>
      <c r="K154" s="28" t="n"/>
      <c r="L154" s="32" t="n"/>
      <c r="M154" s="27" t="n"/>
      <c r="N154" s="27" t="n"/>
      <c r="O154" s="27" t="n"/>
      <c r="P154" s="29">
        <f>IF($A154="","",$H154*$I154)</f>
        <v/>
      </c>
      <c r="Q154" s="29">
        <f>IF(OR($A154="",$G154="KAPALI"),"",IF($L154&gt;soa_esikOluGun,"ÖLÜ",""))</f>
        <v/>
      </c>
      <c r="R154" s="29">
        <f>IF($A154="","",IF($E154="","",raporTarihi-$E154))</f>
        <v/>
      </c>
      <c r="S154" s="29">
        <f>IF($A154="","",IF($R154="","",IF($R154&lt;=soa_kovaEsik1,"0-7",IF($R154&lt;=soa_kovaEsik2,"8-30",IF($R154&lt;=soa_kovaEsik3,"31-90","90+")))))</f>
        <v/>
      </c>
      <c r="T154" s="29">
        <f>IF($A154="","",IF($B154="","YETİM",IF(COUNTIF(tblKartlar[KartId],$B154)=0,"YETİM","")))</f>
        <v/>
      </c>
      <c r="U154" s="29">
        <f>IF(OR($A154="",$F154=""),"",IF(OR($F154&amp;"|"&amp;$G154="",COUNTIF(ListeIzinliGecis,$F154&amp;"|"&amp;$G154)&gt;0),"","GEÇERSİZ GEÇİŞ"))</f>
        <v/>
      </c>
      <c r="V154" s="29">
        <f>IF($A154="","",IF(OR($P154="",$J154=""),"",IF(ABS($J154-$P154)&gt;zincirTolerans,"ZİNCİR KIRIK","OK")))</f>
        <v/>
      </c>
      <c r="W154" s="29">
        <f>IF($A154="","",1)</f>
        <v/>
      </c>
      <c r="X154" s="29">
        <f>IF($A154="","",$K154*$I154)</f>
        <v/>
      </c>
    </row>
    <row r="155">
      <c r="A155" s="27" t="n"/>
      <c r="B155" s="27" t="n"/>
      <c r="C155" s="27" t="n"/>
      <c r="D155" s="30" t="n"/>
      <c r="E155" s="30" t="n"/>
      <c r="F155" s="27" t="n"/>
      <c r="G155" s="27" t="n"/>
      <c r="H155" s="28" t="n"/>
      <c r="I155" s="31" t="n"/>
      <c r="J155" s="31" t="n"/>
      <c r="K155" s="28" t="n"/>
      <c r="L155" s="32" t="n"/>
      <c r="M155" s="27" t="n"/>
      <c r="N155" s="27" t="n"/>
      <c r="O155" s="27" t="n"/>
      <c r="P155" s="29">
        <f>IF($A155="","",$H155*$I155)</f>
        <v/>
      </c>
      <c r="Q155" s="29">
        <f>IF(OR($A155="",$G155="KAPALI"),"",IF($L155&gt;soa_esikOluGun,"ÖLÜ",""))</f>
        <v/>
      </c>
      <c r="R155" s="29">
        <f>IF($A155="","",IF($E155="","",raporTarihi-$E155))</f>
        <v/>
      </c>
      <c r="S155" s="29">
        <f>IF($A155="","",IF($R155="","",IF($R155&lt;=soa_kovaEsik1,"0-7",IF($R155&lt;=soa_kovaEsik2,"8-30",IF($R155&lt;=soa_kovaEsik3,"31-90","90+")))))</f>
        <v/>
      </c>
      <c r="T155" s="29">
        <f>IF($A155="","",IF($B155="","YETİM",IF(COUNTIF(tblKartlar[KartId],$B155)=0,"YETİM","")))</f>
        <v/>
      </c>
      <c r="U155" s="29">
        <f>IF(OR($A155="",$F155=""),"",IF(OR($F155&amp;"|"&amp;$G155="",COUNTIF(ListeIzinliGecis,$F155&amp;"|"&amp;$G155)&gt;0),"","GEÇERSİZ GEÇİŞ"))</f>
        <v/>
      </c>
      <c r="V155" s="29">
        <f>IF($A155="","",IF(OR($P155="",$J155=""),"",IF(ABS($J155-$P155)&gt;zincirTolerans,"ZİNCİR KIRIK","OK")))</f>
        <v/>
      </c>
      <c r="W155" s="29">
        <f>IF($A155="","",1)</f>
        <v/>
      </c>
      <c r="X155" s="29">
        <f>IF($A155="","",$K155*$I155)</f>
        <v/>
      </c>
    </row>
    <row r="156">
      <c r="A156" s="27" t="n"/>
      <c r="B156" s="27" t="n"/>
      <c r="C156" s="27" t="n"/>
      <c r="D156" s="30" t="n"/>
      <c r="E156" s="30" t="n"/>
      <c r="F156" s="27" t="n"/>
      <c r="G156" s="27" t="n"/>
      <c r="H156" s="28" t="n"/>
      <c r="I156" s="31" t="n"/>
      <c r="J156" s="31" t="n"/>
      <c r="K156" s="28" t="n"/>
      <c r="L156" s="32" t="n"/>
      <c r="M156" s="27" t="n"/>
      <c r="N156" s="27" t="n"/>
      <c r="O156" s="27" t="n"/>
      <c r="P156" s="29">
        <f>IF($A156="","",$H156*$I156)</f>
        <v/>
      </c>
      <c r="Q156" s="29">
        <f>IF(OR($A156="",$G156="KAPALI"),"",IF($L156&gt;soa_esikOluGun,"ÖLÜ",""))</f>
        <v/>
      </c>
      <c r="R156" s="29">
        <f>IF($A156="","",IF($E156="","",raporTarihi-$E156))</f>
        <v/>
      </c>
      <c r="S156" s="29">
        <f>IF($A156="","",IF($R156="","",IF($R156&lt;=soa_kovaEsik1,"0-7",IF($R156&lt;=soa_kovaEsik2,"8-30",IF($R156&lt;=soa_kovaEsik3,"31-90","90+")))))</f>
        <v/>
      </c>
      <c r="T156" s="29">
        <f>IF($A156="","",IF($B156="","YETİM",IF(COUNTIF(tblKartlar[KartId],$B156)=0,"YETİM","")))</f>
        <v/>
      </c>
      <c r="U156" s="29">
        <f>IF(OR($A156="",$F156=""),"",IF(OR($F156&amp;"|"&amp;$G156="",COUNTIF(ListeIzinliGecis,$F156&amp;"|"&amp;$G156)&gt;0),"","GEÇERSİZ GEÇİŞ"))</f>
        <v/>
      </c>
      <c r="V156" s="29">
        <f>IF($A156="","",IF(OR($P156="",$J156=""),"",IF(ABS($J156-$P156)&gt;zincirTolerans,"ZİNCİR KIRIK","OK")))</f>
        <v/>
      </c>
      <c r="W156" s="29">
        <f>IF($A156="","",1)</f>
        <v/>
      </c>
      <c r="X156" s="29">
        <f>IF($A156="","",$K156*$I156)</f>
        <v/>
      </c>
    </row>
    <row r="157">
      <c r="A157" s="27" t="n"/>
      <c r="B157" s="27" t="n"/>
      <c r="C157" s="27" t="n"/>
      <c r="D157" s="30" t="n"/>
      <c r="E157" s="30" t="n"/>
      <c r="F157" s="27" t="n"/>
      <c r="G157" s="27" t="n"/>
      <c r="H157" s="28" t="n"/>
      <c r="I157" s="31" t="n"/>
      <c r="J157" s="31" t="n"/>
      <c r="K157" s="28" t="n"/>
      <c r="L157" s="32" t="n"/>
      <c r="M157" s="27" t="n"/>
      <c r="N157" s="27" t="n"/>
      <c r="O157" s="27" t="n"/>
      <c r="P157" s="29">
        <f>IF($A157="","",$H157*$I157)</f>
        <v/>
      </c>
      <c r="Q157" s="29">
        <f>IF(OR($A157="",$G157="KAPALI"),"",IF($L157&gt;soa_esikOluGun,"ÖLÜ",""))</f>
        <v/>
      </c>
      <c r="R157" s="29">
        <f>IF($A157="","",IF($E157="","",raporTarihi-$E157))</f>
        <v/>
      </c>
      <c r="S157" s="29">
        <f>IF($A157="","",IF($R157="","",IF($R157&lt;=soa_kovaEsik1,"0-7",IF($R157&lt;=soa_kovaEsik2,"8-30",IF($R157&lt;=soa_kovaEsik3,"31-90","90+")))))</f>
        <v/>
      </c>
      <c r="T157" s="29">
        <f>IF($A157="","",IF($B157="","YETİM",IF(COUNTIF(tblKartlar[KartId],$B157)=0,"YETİM","")))</f>
        <v/>
      </c>
      <c r="U157" s="29">
        <f>IF(OR($A157="",$F157=""),"",IF(OR($F157&amp;"|"&amp;$G157="",COUNTIF(ListeIzinliGecis,$F157&amp;"|"&amp;$G157)&gt;0),"","GEÇERSİZ GEÇİŞ"))</f>
        <v/>
      </c>
      <c r="V157" s="29">
        <f>IF($A157="","",IF(OR($P157="",$J157=""),"",IF(ABS($J157-$P157)&gt;zincirTolerans,"ZİNCİR KIRIK","OK")))</f>
        <v/>
      </c>
      <c r="W157" s="29">
        <f>IF($A157="","",1)</f>
        <v/>
      </c>
      <c r="X157" s="29">
        <f>IF($A157="","",$K157*$I157)</f>
        <v/>
      </c>
    </row>
    <row r="158">
      <c r="A158" s="27" t="n"/>
      <c r="B158" s="27" t="n"/>
      <c r="C158" s="27" t="n"/>
      <c r="D158" s="30" t="n"/>
      <c r="E158" s="30" t="n"/>
      <c r="F158" s="27" t="n"/>
      <c r="G158" s="27" t="n"/>
      <c r="H158" s="28" t="n"/>
      <c r="I158" s="31" t="n"/>
      <c r="J158" s="31" t="n"/>
      <c r="K158" s="28" t="n"/>
      <c r="L158" s="32" t="n"/>
      <c r="M158" s="27" t="n"/>
      <c r="N158" s="27" t="n"/>
      <c r="O158" s="27" t="n"/>
      <c r="P158" s="29">
        <f>IF($A158="","",$H158*$I158)</f>
        <v/>
      </c>
      <c r="Q158" s="29">
        <f>IF(OR($A158="",$G158="KAPALI"),"",IF($L158&gt;soa_esikOluGun,"ÖLÜ",""))</f>
        <v/>
      </c>
      <c r="R158" s="29">
        <f>IF($A158="","",IF($E158="","",raporTarihi-$E158))</f>
        <v/>
      </c>
      <c r="S158" s="29">
        <f>IF($A158="","",IF($R158="","",IF($R158&lt;=soa_kovaEsik1,"0-7",IF($R158&lt;=soa_kovaEsik2,"8-30",IF($R158&lt;=soa_kovaEsik3,"31-90","90+")))))</f>
        <v/>
      </c>
      <c r="T158" s="29">
        <f>IF($A158="","",IF($B158="","YETİM",IF(COUNTIF(tblKartlar[KartId],$B158)=0,"YETİM","")))</f>
        <v/>
      </c>
      <c r="U158" s="29">
        <f>IF(OR($A158="",$F158=""),"",IF(OR($F158&amp;"|"&amp;$G158="",COUNTIF(ListeIzinliGecis,$F158&amp;"|"&amp;$G158)&gt;0),"","GEÇERSİZ GEÇİŞ"))</f>
        <v/>
      </c>
      <c r="V158" s="29">
        <f>IF($A158="","",IF(OR($P158="",$J158=""),"",IF(ABS($J158-$P158)&gt;zincirTolerans,"ZİNCİR KIRIK","OK")))</f>
        <v/>
      </c>
      <c r="W158" s="29">
        <f>IF($A158="","",1)</f>
        <v/>
      </c>
      <c r="X158" s="29">
        <f>IF($A158="","",$K158*$I158)</f>
        <v/>
      </c>
    </row>
    <row r="159">
      <c r="A159" s="27" t="n"/>
      <c r="B159" s="27" t="n"/>
      <c r="C159" s="27" t="n"/>
      <c r="D159" s="30" t="n"/>
      <c r="E159" s="30" t="n"/>
      <c r="F159" s="27" t="n"/>
      <c r="G159" s="27" t="n"/>
      <c r="H159" s="28" t="n"/>
      <c r="I159" s="31" t="n"/>
      <c r="J159" s="31" t="n"/>
      <c r="K159" s="28" t="n"/>
      <c r="L159" s="32" t="n"/>
      <c r="M159" s="27" t="n"/>
      <c r="N159" s="27" t="n"/>
      <c r="O159" s="27" t="n"/>
      <c r="P159" s="29">
        <f>IF($A159="","",$H159*$I159)</f>
        <v/>
      </c>
      <c r="Q159" s="29">
        <f>IF(OR($A159="",$G159="KAPALI"),"",IF($L159&gt;soa_esikOluGun,"ÖLÜ",""))</f>
        <v/>
      </c>
      <c r="R159" s="29">
        <f>IF($A159="","",IF($E159="","",raporTarihi-$E159))</f>
        <v/>
      </c>
      <c r="S159" s="29">
        <f>IF($A159="","",IF($R159="","",IF($R159&lt;=soa_kovaEsik1,"0-7",IF($R159&lt;=soa_kovaEsik2,"8-30",IF($R159&lt;=soa_kovaEsik3,"31-90","90+")))))</f>
        <v/>
      </c>
      <c r="T159" s="29">
        <f>IF($A159="","",IF($B159="","YETİM",IF(COUNTIF(tblKartlar[KartId],$B159)=0,"YETİM","")))</f>
        <v/>
      </c>
      <c r="U159" s="29">
        <f>IF(OR($A159="",$F159=""),"",IF(OR($F159&amp;"|"&amp;$G159="",COUNTIF(ListeIzinliGecis,$F159&amp;"|"&amp;$G159)&gt;0),"","GEÇERSİZ GEÇİŞ"))</f>
        <v/>
      </c>
      <c r="V159" s="29">
        <f>IF($A159="","",IF(OR($P159="",$J159=""),"",IF(ABS($J159-$P159)&gt;zincirTolerans,"ZİNCİR KIRIK","OK")))</f>
        <v/>
      </c>
      <c r="W159" s="29">
        <f>IF($A159="","",1)</f>
        <v/>
      </c>
      <c r="X159" s="29">
        <f>IF($A159="","",$K159*$I159)</f>
        <v/>
      </c>
    </row>
    <row r="160">
      <c r="A160" s="27" t="n"/>
      <c r="B160" s="27" t="n"/>
      <c r="C160" s="27" t="n"/>
      <c r="D160" s="30" t="n"/>
      <c r="E160" s="30" t="n"/>
      <c r="F160" s="27" t="n"/>
      <c r="G160" s="27" t="n"/>
      <c r="H160" s="28" t="n"/>
      <c r="I160" s="31" t="n"/>
      <c r="J160" s="31" t="n"/>
      <c r="K160" s="28" t="n"/>
      <c r="L160" s="32" t="n"/>
      <c r="M160" s="27" t="n"/>
      <c r="N160" s="27" t="n"/>
      <c r="O160" s="27" t="n"/>
      <c r="P160" s="29">
        <f>IF($A160="","",$H160*$I160)</f>
        <v/>
      </c>
      <c r="Q160" s="29">
        <f>IF(OR($A160="",$G160="KAPALI"),"",IF($L160&gt;soa_esikOluGun,"ÖLÜ",""))</f>
        <v/>
      </c>
      <c r="R160" s="29">
        <f>IF($A160="","",IF($E160="","",raporTarihi-$E160))</f>
        <v/>
      </c>
      <c r="S160" s="29">
        <f>IF($A160="","",IF($R160="","",IF($R160&lt;=soa_kovaEsik1,"0-7",IF($R160&lt;=soa_kovaEsik2,"8-30",IF($R160&lt;=soa_kovaEsik3,"31-90","90+")))))</f>
        <v/>
      </c>
      <c r="T160" s="29">
        <f>IF($A160="","",IF($B160="","YETİM",IF(COUNTIF(tblKartlar[KartId],$B160)=0,"YETİM","")))</f>
        <v/>
      </c>
      <c r="U160" s="29">
        <f>IF(OR($A160="",$F160=""),"",IF(OR($F160&amp;"|"&amp;$G160="",COUNTIF(ListeIzinliGecis,$F160&amp;"|"&amp;$G160)&gt;0),"","GEÇERSİZ GEÇİŞ"))</f>
        <v/>
      </c>
      <c r="V160" s="29">
        <f>IF($A160="","",IF(OR($P160="",$J160=""),"",IF(ABS($J160-$P160)&gt;zincirTolerans,"ZİNCİR KIRIK","OK")))</f>
        <v/>
      </c>
      <c r="W160" s="29">
        <f>IF($A160="","",1)</f>
        <v/>
      </c>
      <c r="X160" s="29">
        <f>IF($A160="","",$K160*$I160)</f>
        <v/>
      </c>
    </row>
    <row r="161">
      <c r="A161" s="27" t="n"/>
      <c r="B161" s="27" t="n"/>
      <c r="C161" s="27" t="n"/>
      <c r="D161" s="30" t="n"/>
      <c r="E161" s="30" t="n"/>
      <c r="F161" s="27" t="n"/>
      <c r="G161" s="27" t="n"/>
      <c r="H161" s="28" t="n"/>
      <c r="I161" s="31" t="n"/>
      <c r="J161" s="31" t="n"/>
      <c r="K161" s="28" t="n"/>
      <c r="L161" s="32" t="n"/>
      <c r="M161" s="27" t="n"/>
      <c r="N161" s="27" t="n"/>
      <c r="O161" s="27" t="n"/>
      <c r="P161" s="29">
        <f>IF($A161="","",$H161*$I161)</f>
        <v/>
      </c>
      <c r="Q161" s="29">
        <f>IF(OR($A161="",$G161="KAPALI"),"",IF($L161&gt;soa_esikOluGun,"ÖLÜ",""))</f>
        <v/>
      </c>
      <c r="R161" s="29">
        <f>IF($A161="","",IF($E161="","",raporTarihi-$E161))</f>
        <v/>
      </c>
      <c r="S161" s="29">
        <f>IF($A161="","",IF($R161="","",IF($R161&lt;=soa_kovaEsik1,"0-7",IF($R161&lt;=soa_kovaEsik2,"8-30",IF($R161&lt;=soa_kovaEsik3,"31-90","90+")))))</f>
        <v/>
      </c>
      <c r="T161" s="29">
        <f>IF($A161="","",IF($B161="","YETİM",IF(COUNTIF(tblKartlar[KartId],$B161)=0,"YETİM","")))</f>
        <v/>
      </c>
      <c r="U161" s="29">
        <f>IF(OR($A161="",$F161=""),"",IF(OR($F161&amp;"|"&amp;$G161="",COUNTIF(ListeIzinliGecis,$F161&amp;"|"&amp;$G161)&gt;0),"","GEÇERSİZ GEÇİŞ"))</f>
        <v/>
      </c>
      <c r="V161" s="29">
        <f>IF($A161="","",IF(OR($P161="",$J161=""),"",IF(ABS($J161-$P161)&gt;zincirTolerans,"ZİNCİR KIRIK","OK")))</f>
        <v/>
      </c>
      <c r="W161" s="29">
        <f>IF($A161="","",1)</f>
        <v/>
      </c>
      <c r="X161" s="29">
        <f>IF($A161="","",$K161*$I161)</f>
        <v/>
      </c>
    </row>
    <row r="162">
      <c r="A162" s="27" t="n"/>
      <c r="B162" s="27" t="n"/>
      <c r="C162" s="27" t="n"/>
      <c r="D162" s="30" t="n"/>
      <c r="E162" s="30" t="n"/>
      <c r="F162" s="27" t="n"/>
      <c r="G162" s="27" t="n"/>
      <c r="H162" s="28" t="n"/>
      <c r="I162" s="31" t="n"/>
      <c r="J162" s="31" t="n"/>
      <c r="K162" s="28" t="n"/>
      <c r="L162" s="32" t="n"/>
      <c r="M162" s="27" t="n"/>
      <c r="N162" s="27" t="n"/>
      <c r="O162" s="27" t="n"/>
      <c r="P162" s="29">
        <f>IF($A162="","",$H162*$I162)</f>
        <v/>
      </c>
      <c r="Q162" s="29">
        <f>IF(OR($A162="",$G162="KAPALI"),"",IF($L162&gt;soa_esikOluGun,"ÖLÜ",""))</f>
        <v/>
      </c>
      <c r="R162" s="29">
        <f>IF($A162="","",IF($E162="","",raporTarihi-$E162))</f>
        <v/>
      </c>
      <c r="S162" s="29">
        <f>IF($A162="","",IF($R162="","",IF($R162&lt;=soa_kovaEsik1,"0-7",IF($R162&lt;=soa_kovaEsik2,"8-30",IF($R162&lt;=soa_kovaEsik3,"31-90","90+")))))</f>
        <v/>
      </c>
      <c r="T162" s="29">
        <f>IF($A162="","",IF($B162="","YETİM",IF(COUNTIF(tblKartlar[KartId],$B162)=0,"YETİM","")))</f>
        <v/>
      </c>
      <c r="U162" s="29">
        <f>IF(OR($A162="",$F162=""),"",IF(OR($F162&amp;"|"&amp;$G162="",COUNTIF(ListeIzinliGecis,$F162&amp;"|"&amp;$G162)&gt;0),"","GEÇERSİZ GEÇİŞ"))</f>
        <v/>
      </c>
      <c r="V162" s="29">
        <f>IF($A162="","",IF(OR($P162="",$J162=""),"",IF(ABS($J162-$P162)&gt;zincirTolerans,"ZİNCİR KIRIK","OK")))</f>
        <v/>
      </c>
      <c r="W162" s="29">
        <f>IF($A162="","",1)</f>
        <v/>
      </c>
      <c r="X162" s="29">
        <f>IF($A162="","",$K162*$I162)</f>
        <v/>
      </c>
    </row>
    <row r="163">
      <c r="A163" s="27" t="n"/>
      <c r="B163" s="27" t="n"/>
      <c r="C163" s="27" t="n"/>
      <c r="D163" s="30" t="n"/>
      <c r="E163" s="30" t="n"/>
      <c r="F163" s="27" t="n"/>
      <c r="G163" s="27" t="n"/>
      <c r="H163" s="28" t="n"/>
      <c r="I163" s="31" t="n"/>
      <c r="J163" s="31" t="n"/>
      <c r="K163" s="28" t="n"/>
      <c r="L163" s="32" t="n"/>
      <c r="M163" s="27" t="n"/>
      <c r="N163" s="27" t="n"/>
      <c r="O163" s="27" t="n"/>
      <c r="P163" s="29">
        <f>IF($A163="","",$H163*$I163)</f>
        <v/>
      </c>
      <c r="Q163" s="29">
        <f>IF(OR($A163="",$G163="KAPALI"),"",IF($L163&gt;soa_esikOluGun,"ÖLÜ",""))</f>
        <v/>
      </c>
      <c r="R163" s="29">
        <f>IF($A163="","",IF($E163="","",raporTarihi-$E163))</f>
        <v/>
      </c>
      <c r="S163" s="29">
        <f>IF($A163="","",IF($R163="","",IF($R163&lt;=soa_kovaEsik1,"0-7",IF($R163&lt;=soa_kovaEsik2,"8-30",IF($R163&lt;=soa_kovaEsik3,"31-90","90+")))))</f>
        <v/>
      </c>
      <c r="T163" s="29">
        <f>IF($A163="","",IF($B163="","YETİM",IF(COUNTIF(tblKartlar[KartId],$B163)=0,"YETİM","")))</f>
        <v/>
      </c>
      <c r="U163" s="29">
        <f>IF(OR($A163="",$F163=""),"",IF(OR($F163&amp;"|"&amp;$G163="",COUNTIF(ListeIzinliGecis,$F163&amp;"|"&amp;$G163)&gt;0),"","GEÇERSİZ GEÇİŞ"))</f>
        <v/>
      </c>
      <c r="V163" s="29">
        <f>IF($A163="","",IF(OR($P163="",$J163=""),"",IF(ABS($J163-$P163)&gt;zincirTolerans,"ZİNCİR KIRIK","OK")))</f>
        <v/>
      </c>
      <c r="W163" s="29">
        <f>IF($A163="","",1)</f>
        <v/>
      </c>
      <c r="X163" s="29">
        <f>IF($A163="","",$K163*$I163)</f>
        <v/>
      </c>
    </row>
    <row r="164">
      <c r="A164" s="27" t="n"/>
      <c r="B164" s="27" t="n"/>
      <c r="C164" s="27" t="n"/>
      <c r="D164" s="30" t="n"/>
      <c r="E164" s="30" t="n"/>
      <c r="F164" s="27" t="n"/>
      <c r="G164" s="27" t="n"/>
      <c r="H164" s="28" t="n"/>
      <c r="I164" s="31" t="n"/>
      <c r="J164" s="31" t="n"/>
      <c r="K164" s="28" t="n"/>
      <c r="L164" s="32" t="n"/>
      <c r="M164" s="27" t="n"/>
      <c r="N164" s="27" t="n"/>
      <c r="O164" s="27" t="n"/>
      <c r="P164" s="29">
        <f>IF($A164="","",$H164*$I164)</f>
        <v/>
      </c>
      <c r="Q164" s="29">
        <f>IF(OR($A164="",$G164="KAPALI"),"",IF($L164&gt;soa_esikOluGun,"ÖLÜ",""))</f>
        <v/>
      </c>
      <c r="R164" s="29">
        <f>IF($A164="","",IF($E164="","",raporTarihi-$E164))</f>
        <v/>
      </c>
      <c r="S164" s="29">
        <f>IF($A164="","",IF($R164="","",IF($R164&lt;=soa_kovaEsik1,"0-7",IF($R164&lt;=soa_kovaEsik2,"8-30",IF($R164&lt;=soa_kovaEsik3,"31-90","90+")))))</f>
        <v/>
      </c>
      <c r="T164" s="29">
        <f>IF($A164="","",IF($B164="","YETİM",IF(COUNTIF(tblKartlar[KartId],$B164)=0,"YETİM","")))</f>
        <v/>
      </c>
      <c r="U164" s="29">
        <f>IF(OR($A164="",$F164=""),"",IF(OR($F164&amp;"|"&amp;$G164="",COUNTIF(ListeIzinliGecis,$F164&amp;"|"&amp;$G164)&gt;0),"","GEÇERSİZ GEÇİŞ"))</f>
        <v/>
      </c>
      <c r="V164" s="29">
        <f>IF($A164="","",IF(OR($P164="",$J164=""),"",IF(ABS($J164-$P164)&gt;zincirTolerans,"ZİNCİR KIRIK","OK")))</f>
        <v/>
      </c>
      <c r="W164" s="29">
        <f>IF($A164="","",1)</f>
        <v/>
      </c>
      <c r="X164" s="29">
        <f>IF($A164="","",$K164*$I164)</f>
        <v/>
      </c>
    </row>
    <row r="165">
      <c r="A165" s="27" t="n"/>
      <c r="B165" s="27" t="n"/>
      <c r="C165" s="27" t="n"/>
      <c r="D165" s="30" t="n"/>
      <c r="E165" s="30" t="n"/>
      <c r="F165" s="27" t="n"/>
      <c r="G165" s="27" t="n"/>
      <c r="H165" s="28" t="n"/>
      <c r="I165" s="31" t="n"/>
      <c r="J165" s="31" t="n"/>
      <c r="K165" s="28" t="n"/>
      <c r="L165" s="32" t="n"/>
      <c r="M165" s="27" t="n"/>
      <c r="N165" s="27" t="n"/>
      <c r="O165" s="27" t="n"/>
      <c r="P165" s="29">
        <f>IF($A165="","",$H165*$I165)</f>
        <v/>
      </c>
      <c r="Q165" s="29">
        <f>IF(OR($A165="",$G165="KAPALI"),"",IF($L165&gt;soa_esikOluGun,"ÖLÜ",""))</f>
        <v/>
      </c>
      <c r="R165" s="29">
        <f>IF($A165="","",IF($E165="","",raporTarihi-$E165))</f>
        <v/>
      </c>
      <c r="S165" s="29">
        <f>IF($A165="","",IF($R165="","",IF($R165&lt;=soa_kovaEsik1,"0-7",IF($R165&lt;=soa_kovaEsik2,"8-30",IF($R165&lt;=soa_kovaEsik3,"31-90","90+")))))</f>
        <v/>
      </c>
      <c r="T165" s="29">
        <f>IF($A165="","",IF($B165="","YETİM",IF(COUNTIF(tblKartlar[KartId],$B165)=0,"YETİM","")))</f>
        <v/>
      </c>
      <c r="U165" s="29">
        <f>IF(OR($A165="",$F165=""),"",IF(OR($F165&amp;"|"&amp;$G165="",COUNTIF(ListeIzinliGecis,$F165&amp;"|"&amp;$G165)&gt;0),"","GEÇERSİZ GEÇİŞ"))</f>
        <v/>
      </c>
      <c r="V165" s="29">
        <f>IF($A165="","",IF(OR($P165="",$J165=""),"",IF(ABS($J165-$P165)&gt;zincirTolerans,"ZİNCİR KIRIK","OK")))</f>
        <v/>
      </c>
      <c r="W165" s="29">
        <f>IF($A165="","",1)</f>
        <v/>
      </c>
      <c r="X165" s="29">
        <f>IF($A165="","",$K165*$I165)</f>
        <v/>
      </c>
    </row>
    <row r="166">
      <c r="A166" s="27" t="n"/>
      <c r="B166" s="27" t="n"/>
      <c r="C166" s="27" t="n"/>
      <c r="D166" s="30" t="n"/>
      <c r="E166" s="30" t="n"/>
      <c r="F166" s="27" t="n"/>
      <c r="G166" s="27" t="n"/>
      <c r="H166" s="28" t="n"/>
      <c r="I166" s="31" t="n"/>
      <c r="J166" s="31" t="n"/>
      <c r="K166" s="28" t="n"/>
      <c r="L166" s="32" t="n"/>
      <c r="M166" s="27" t="n"/>
      <c r="N166" s="27" t="n"/>
      <c r="O166" s="27" t="n"/>
      <c r="P166" s="29">
        <f>IF($A166="","",$H166*$I166)</f>
        <v/>
      </c>
      <c r="Q166" s="29">
        <f>IF(OR($A166="",$G166="KAPALI"),"",IF($L166&gt;soa_esikOluGun,"ÖLÜ",""))</f>
        <v/>
      </c>
      <c r="R166" s="29">
        <f>IF($A166="","",IF($E166="","",raporTarihi-$E166))</f>
        <v/>
      </c>
      <c r="S166" s="29">
        <f>IF($A166="","",IF($R166="","",IF($R166&lt;=soa_kovaEsik1,"0-7",IF($R166&lt;=soa_kovaEsik2,"8-30",IF($R166&lt;=soa_kovaEsik3,"31-90","90+")))))</f>
        <v/>
      </c>
      <c r="T166" s="29">
        <f>IF($A166="","",IF($B166="","YETİM",IF(COUNTIF(tblKartlar[KartId],$B166)=0,"YETİM","")))</f>
        <v/>
      </c>
      <c r="U166" s="29">
        <f>IF(OR($A166="",$F166=""),"",IF(OR($F166&amp;"|"&amp;$G166="",COUNTIF(ListeIzinliGecis,$F166&amp;"|"&amp;$G166)&gt;0),"","GEÇERSİZ GEÇİŞ"))</f>
        <v/>
      </c>
      <c r="V166" s="29">
        <f>IF($A166="","",IF(OR($P166="",$J166=""),"",IF(ABS($J166-$P166)&gt;zincirTolerans,"ZİNCİR KIRIK","OK")))</f>
        <v/>
      </c>
      <c r="W166" s="29">
        <f>IF($A166="","",1)</f>
        <v/>
      </c>
      <c r="X166" s="29">
        <f>IF($A166="","",$K166*$I166)</f>
        <v/>
      </c>
    </row>
    <row r="167">
      <c r="A167" s="27" t="n"/>
      <c r="B167" s="27" t="n"/>
      <c r="C167" s="27" t="n"/>
      <c r="D167" s="30" t="n"/>
      <c r="E167" s="30" t="n"/>
      <c r="F167" s="27" t="n"/>
      <c r="G167" s="27" t="n"/>
      <c r="H167" s="28" t="n"/>
      <c r="I167" s="31" t="n"/>
      <c r="J167" s="31" t="n"/>
      <c r="K167" s="28" t="n"/>
      <c r="L167" s="32" t="n"/>
      <c r="M167" s="27" t="n"/>
      <c r="N167" s="27" t="n"/>
      <c r="O167" s="27" t="n"/>
      <c r="P167" s="29">
        <f>IF($A167="","",$H167*$I167)</f>
        <v/>
      </c>
      <c r="Q167" s="29">
        <f>IF(OR($A167="",$G167="KAPALI"),"",IF($L167&gt;soa_esikOluGun,"ÖLÜ",""))</f>
        <v/>
      </c>
      <c r="R167" s="29">
        <f>IF($A167="","",IF($E167="","",raporTarihi-$E167))</f>
        <v/>
      </c>
      <c r="S167" s="29">
        <f>IF($A167="","",IF($R167="","",IF($R167&lt;=soa_kovaEsik1,"0-7",IF($R167&lt;=soa_kovaEsik2,"8-30",IF($R167&lt;=soa_kovaEsik3,"31-90","90+")))))</f>
        <v/>
      </c>
      <c r="T167" s="29">
        <f>IF($A167="","",IF($B167="","YETİM",IF(COUNTIF(tblKartlar[KartId],$B167)=0,"YETİM","")))</f>
        <v/>
      </c>
      <c r="U167" s="29">
        <f>IF(OR($A167="",$F167=""),"",IF(OR($F167&amp;"|"&amp;$G167="",COUNTIF(ListeIzinliGecis,$F167&amp;"|"&amp;$G167)&gt;0),"","GEÇERSİZ GEÇİŞ"))</f>
        <v/>
      </c>
      <c r="V167" s="29">
        <f>IF($A167="","",IF(OR($P167="",$J167=""),"",IF(ABS($J167-$P167)&gt;zincirTolerans,"ZİNCİR KIRIK","OK")))</f>
        <v/>
      </c>
      <c r="W167" s="29">
        <f>IF($A167="","",1)</f>
        <v/>
      </c>
      <c r="X167" s="29">
        <f>IF($A167="","",$K167*$I167)</f>
        <v/>
      </c>
    </row>
    <row r="168">
      <c r="A168" s="27" t="n"/>
      <c r="B168" s="27" t="n"/>
      <c r="C168" s="27" t="n"/>
      <c r="D168" s="30" t="n"/>
      <c r="E168" s="30" t="n"/>
      <c r="F168" s="27" t="n"/>
      <c r="G168" s="27" t="n"/>
      <c r="H168" s="28" t="n"/>
      <c r="I168" s="31" t="n"/>
      <c r="J168" s="31" t="n"/>
      <c r="K168" s="28" t="n"/>
      <c r="L168" s="32" t="n"/>
      <c r="M168" s="27" t="n"/>
      <c r="N168" s="27" t="n"/>
      <c r="O168" s="27" t="n"/>
      <c r="P168" s="29">
        <f>IF($A168="","",$H168*$I168)</f>
        <v/>
      </c>
      <c r="Q168" s="29">
        <f>IF(OR($A168="",$G168="KAPALI"),"",IF($L168&gt;soa_esikOluGun,"ÖLÜ",""))</f>
        <v/>
      </c>
      <c r="R168" s="29">
        <f>IF($A168="","",IF($E168="","",raporTarihi-$E168))</f>
        <v/>
      </c>
      <c r="S168" s="29">
        <f>IF($A168="","",IF($R168="","",IF($R168&lt;=soa_kovaEsik1,"0-7",IF($R168&lt;=soa_kovaEsik2,"8-30",IF($R168&lt;=soa_kovaEsik3,"31-90","90+")))))</f>
        <v/>
      </c>
      <c r="T168" s="29">
        <f>IF($A168="","",IF($B168="","YETİM",IF(COUNTIF(tblKartlar[KartId],$B168)=0,"YETİM","")))</f>
        <v/>
      </c>
      <c r="U168" s="29">
        <f>IF(OR($A168="",$F168=""),"",IF(OR($F168&amp;"|"&amp;$G168="",COUNTIF(ListeIzinliGecis,$F168&amp;"|"&amp;$G168)&gt;0),"","GEÇERSİZ GEÇİŞ"))</f>
        <v/>
      </c>
      <c r="V168" s="29">
        <f>IF($A168="","",IF(OR($P168="",$J168=""),"",IF(ABS($J168-$P168)&gt;zincirTolerans,"ZİNCİR KIRIK","OK")))</f>
        <v/>
      </c>
      <c r="W168" s="29">
        <f>IF($A168="","",1)</f>
        <v/>
      </c>
      <c r="X168" s="29">
        <f>IF($A168="","",$K168*$I168)</f>
        <v/>
      </c>
    </row>
    <row r="169">
      <c r="A169" s="27" t="n"/>
      <c r="B169" s="27" t="n"/>
      <c r="C169" s="27" t="n"/>
      <c r="D169" s="30" t="n"/>
      <c r="E169" s="30" t="n"/>
      <c r="F169" s="27" t="n"/>
      <c r="G169" s="27" t="n"/>
      <c r="H169" s="28" t="n"/>
      <c r="I169" s="31" t="n"/>
      <c r="J169" s="31" t="n"/>
      <c r="K169" s="28" t="n"/>
      <c r="L169" s="32" t="n"/>
      <c r="M169" s="27" t="n"/>
      <c r="N169" s="27" t="n"/>
      <c r="O169" s="27" t="n"/>
      <c r="P169" s="29">
        <f>IF($A169="","",$H169*$I169)</f>
        <v/>
      </c>
      <c r="Q169" s="29">
        <f>IF(OR($A169="",$G169="KAPALI"),"",IF($L169&gt;soa_esikOluGun,"ÖLÜ",""))</f>
        <v/>
      </c>
      <c r="R169" s="29">
        <f>IF($A169="","",IF($E169="","",raporTarihi-$E169))</f>
        <v/>
      </c>
      <c r="S169" s="29">
        <f>IF($A169="","",IF($R169="","",IF($R169&lt;=soa_kovaEsik1,"0-7",IF($R169&lt;=soa_kovaEsik2,"8-30",IF($R169&lt;=soa_kovaEsik3,"31-90","90+")))))</f>
        <v/>
      </c>
      <c r="T169" s="29">
        <f>IF($A169="","",IF($B169="","YETİM",IF(COUNTIF(tblKartlar[KartId],$B169)=0,"YETİM","")))</f>
        <v/>
      </c>
      <c r="U169" s="29">
        <f>IF(OR($A169="",$F169=""),"",IF(OR($F169&amp;"|"&amp;$G169="",COUNTIF(ListeIzinliGecis,$F169&amp;"|"&amp;$G169)&gt;0),"","GEÇERSİZ GEÇİŞ"))</f>
        <v/>
      </c>
      <c r="V169" s="29">
        <f>IF($A169="","",IF(OR($P169="",$J169=""),"",IF(ABS($J169-$P169)&gt;zincirTolerans,"ZİNCİR KIRIK","OK")))</f>
        <v/>
      </c>
      <c r="W169" s="29">
        <f>IF($A169="","",1)</f>
        <v/>
      </c>
      <c r="X169" s="29">
        <f>IF($A169="","",$K169*$I169)</f>
        <v/>
      </c>
    </row>
    <row r="170">
      <c r="A170" s="27" t="n"/>
      <c r="B170" s="27" t="n"/>
      <c r="C170" s="27" t="n"/>
      <c r="D170" s="30" t="n"/>
      <c r="E170" s="30" t="n"/>
      <c r="F170" s="27" t="n"/>
      <c r="G170" s="27" t="n"/>
      <c r="H170" s="28" t="n"/>
      <c r="I170" s="31" t="n"/>
      <c r="J170" s="31" t="n"/>
      <c r="K170" s="28" t="n"/>
      <c r="L170" s="32" t="n"/>
      <c r="M170" s="27" t="n"/>
      <c r="N170" s="27" t="n"/>
      <c r="O170" s="27" t="n"/>
      <c r="P170" s="29">
        <f>IF($A170="","",$H170*$I170)</f>
        <v/>
      </c>
      <c r="Q170" s="29">
        <f>IF(OR($A170="",$G170="KAPALI"),"",IF($L170&gt;soa_esikOluGun,"ÖLÜ",""))</f>
        <v/>
      </c>
      <c r="R170" s="29">
        <f>IF($A170="","",IF($E170="","",raporTarihi-$E170))</f>
        <v/>
      </c>
      <c r="S170" s="29">
        <f>IF($A170="","",IF($R170="","",IF($R170&lt;=soa_kovaEsik1,"0-7",IF($R170&lt;=soa_kovaEsik2,"8-30",IF($R170&lt;=soa_kovaEsik3,"31-90","90+")))))</f>
        <v/>
      </c>
      <c r="T170" s="29">
        <f>IF($A170="","",IF($B170="","YETİM",IF(COUNTIF(tblKartlar[KartId],$B170)=0,"YETİM","")))</f>
        <v/>
      </c>
      <c r="U170" s="29">
        <f>IF(OR($A170="",$F170=""),"",IF(OR($F170&amp;"|"&amp;$G170="",COUNTIF(ListeIzinliGecis,$F170&amp;"|"&amp;$G170)&gt;0),"","GEÇERSİZ GEÇİŞ"))</f>
        <v/>
      </c>
      <c r="V170" s="29">
        <f>IF($A170="","",IF(OR($P170="",$J170=""),"",IF(ABS($J170-$P170)&gt;zincirTolerans,"ZİNCİR KIRIK","OK")))</f>
        <v/>
      </c>
      <c r="W170" s="29">
        <f>IF($A170="","",1)</f>
        <v/>
      </c>
      <c r="X170" s="29">
        <f>IF($A170="","",$K170*$I170)</f>
        <v/>
      </c>
    </row>
    <row r="171">
      <c r="A171" s="27" t="n"/>
      <c r="B171" s="27" t="n"/>
      <c r="C171" s="27" t="n"/>
      <c r="D171" s="30" t="n"/>
      <c r="E171" s="30" t="n"/>
      <c r="F171" s="27" t="n"/>
      <c r="G171" s="27" t="n"/>
      <c r="H171" s="28" t="n"/>
      <c r="I171" s="31" t="n"/>
      <c r="J171" s="31" t="n"/>
      <c r="K171" s="28" t="n"/>
      <c r="L171" s="32" t="n"/>
      <c r="M171" s="27" t="n"/>
      <c r="N171" s="27" t="n"/>
      <c r="O171" s="27" t="n"/>
      <c r="P171" s="29">
        <f>IF($A171="","",$H171*$I171)</f>
        <v/>
      </c>
      <c r="Q171" s="29">
        <f>IF(OR($A171="",$G171="KAPALI"),"",IF($L171&gt;soa_esikOluGun,"ÖLÜ",""))</f>
        <v/>
      </c>
      <c r="R171" s="29">
        <f>IF($A171="","",IF($E171="","",raporTarihi-$E171))</f>
        <v/>
      </c>
      <c r="S171" s="29">
        <f>IF($A171="","",IF($R171="","",IF($R171&lt;=soa_kovaEsik1,"0-7",IF($R171&lt;=soa_kovaEsik2,"8-30",IF($R171&lt;=soa_kovaEsik3,"31-90","90+")))))</f>
        <v/>
      </c>
      <c r="T171" s="29">
        <f>IF($A171="","",IF($B171="","YETİM",IF(COUNTIF(tblKartlar[KartId],$B171)=0,"YETİM","")))</f>
        <v/>
      </c>
      <c r="U171" s="29">
        <f>IF(OR($A171="",$F171=""),"",IF(OR($F171&amp;"|"&amp;$G171="",COUNTIF(ListeIzinliGecis,$F171&amp;"|"&amp;$G171)&gt;0),"","GEÇERSİZ GEÇİŞ"))</f>
        <v/>
      </c>
      <c r="V171" s="29">
        <f>IF($A171="","",IF(OR($P171="",$J171=""),"",IF(ABS($J171-$P171)&gt;zincirTolerans,"ZİNCİR KIRIK","OK")))</f>
        <v/>
      </c>
      <c r="W171" s="29">
        <f>IF($A171="","",1)</f>
        <v/>
      </c>
      <c r="X171" s="29">
        <f>IF($A171="","",$K171*$I171)</f>
        <v/>
      </c>
    </row>
    <row r="172">
      <c r="A172" s="27" t="n"/>
      <c r="B172" s="27" t="n"/>
      <c r="C172" s="27" t="n"/>
      <c r="D172" s="30" t="n"/>
      <c r="E172" s="30" t="n"/>
      <c r="F172" s="27" t="n"/>
      <c r="G172" s="27" t="n"/>
      <c r="H172" s="28" t="n"/>
      <c r="I172" s="31" t="n"/>
      <c r="J172" s="31" t="n"/>
      <c r="K172" s="28" t="n"/>
      <c r="L172" s="32" t="n"/>
      <c r="M172" s="27" t="n"/>
      <c r="N172" s="27" t="n"/>
      <c r="O172" s="27" t="n"/>
      <c r="P172" s="29">
        <f>IF($A172="","",$H172*$I172)</f>
        <v/>
      </c>
      <c r="Q172" s="29">
        <f>IF(OR($A172="",$G172="KAPALI"),"",IF($L172&gt;soa_esikOluGun,"ÖLÜ",""))</f>
        <v/>
      </c>
      <c r="R172" s="29">
        <f>IF($A172="","",IF($E172="","",raporTarihi-$E172))</f>
        <v/>
      </c>
      <c r="S172" s="29">
        <f>IF($A172="","",IF($R172="","",IF($R172&lt;=soa_kovaEsik1,"0-7",IF($R172&lt;=soa_kovaEsik2,"8-30",IF($R172&lt;=soa_kovaEsik3,"31-90","90+")))))</f>
        <v/>
      </c>
      <c r="T172" s="29">
        <f>IF($A172="","",IF($B172="","YETİM",IF(COUNTIF(tblKartlar[KartId],$B172)=0,"YETİM","")))</f>
        <v/>
      </c>
      <c r="U172" s="29">
        <f>IF(OR($A172="",$F172=""),"",IF(OR($F172&amp;"|"&amp;$G172="",COUNTIF(ListeIzinliGecis,$F172&amp;"|"&amp;$G172)&gt;0),"","GEÇERSİZ GEÇİŞ"))</f>
        <v/>
      </c>
      <c r="V172" s="29">
        <f>IF($A172="","",IF(OR($P172="",$J172=""),"",IF(ABS($J172-$P172)&gt;zincirTolerans,"ZİNCİR KIRIK","OK")))</f>
        <v/>
      </c>
      <c r="W172" s="29">
        <f>IF($A172="","",1)</f>
        <v/>
      </c>
      <c r="X172" s="29">
        <f>IF($A172="","",$K172*$I172)</f>
        <v/>
      </c>
    </row>
    <row r="173">
      <c r="A173" s="27" t="n"/>
      <c r="B173" s="27" t="n"/>
      <c r="C173" s="27" t="n"/>
      <c r="D173" s="30" t="n"/>
      <c r="E173" s="30" t="n"/>
      <c r="F173" s="27" t="n"/>
      <c r="G173" s="27" t="n"/>
      <c r="H173" s="28" t="n"/>
      <c r="I173" s="31" t="n"/>
      <c r="J173" s="31" t="n"/>
      <c r="K173" s="28" t="n"/>
      <c r="L173" s="32" t="n"/>
      <c r="M173" s="27" t="n"/>
      <c r="N173" s="27" t="n"/>
      <c r="O173" s="27" t="n"/>
      <c r="P173" s="29">
        <f>IF($A173="","",$H173*$I173)</f>
        <v/>
      </c>
      <c r="Q173" s="29">
        <f>IF(OR($A173="",$G173="KAPALI"),"",IF($L173&gt;soa_esikOluGun,"ÖLÜ",""))</f>
        <v/>
      </c>
      <c r="R173" s="29">
        <f>IF($A173="","",IF($E173="","",raporTarihi-$E173))</f>
        <v/>
      </c>
      <c r="S173" s="29">
        <f>IF($A173="","",IF($R173="","",IF($R173&lt;=soa_kovaEsik1,"0-7",IF($R173&lt;=soa_kovaEsik2,"8-30",IF($R173&lt;=soa_kovaEsik3,"31-90","90+")))))</f>
        <v/>
      </c>
      <c r="T173" s="29">
        <f>IF($A173="","",IF($B173="","YETİM",IF(COUNTIF(tblKartlar[KartId],$B173)=0,"YETİM","")))</f>
        <v/>
      </c>
      <c r="U173" s="29">
        <f>IF(OR($A173="",$F173=""),"",IF(OR($F173&amp;"|"&amp;$G173="",COUNTIF(ListeIzinliGecis,$F173&amp;"|"&amp;$G173)&gt;0),"","GEÇERSİZ GEÇİŞ"))</f>
        <v/>
      </c>
      <c r="V173" s="29">
        <f>IF($A173="","",IF(OR($P173="",$J173=""),"",IF(ABS($J173-$P173)&gt;zincirTolerans,"ZİNCİR KIRIK","OK")))</f>
        <v/>
      </c>
      <c r="W173" s="29">
        <f>IF($A173="","",1)</f>
        <v/>
      </c>
      <c r="X173" s="29">
        <f>IF($A173="","",$K173*$I173)</f>
        <v/>
      </c>
    </row>
    <row r="174">
      <c r="A174" s="27" t="n"/>
      <c r="B174" s="27" t="n"/>
      <c r="C174" s="27" t="n"/>
      <c r="D174" s="30" t="n"/>
      <c r="E174" s="30" t="n"/>
      <c r="F174" s="27" t="n"/>
      <c r="G174" s="27" t="n"/>
      <c r="H174" s="28" t="n"/>
      <c r="I174" s="31" t="n"/>
      <c r="J174" s="31" t="n"/>
      <c r="K174" s="28" t="n"/>
      <c r="L174" s="32" t="n"/>
      <c r="M174" s="27" t="n"/>
      <c r="N174" s="27" t="n"/>
      <c r="O174" s="27" t="n"/>
      <c r="P174" s="29">
        <f>IF($A174="","",$H174*$I174)</f>
        <v/>
      </c>
      <c r="Q174" s="29">
        <f>IF(OR($A174="",$G174="KAPALI"),"",IF($L174&gt;soa_esikOluGun,"ÖLÜ",""))</f>
        <v/>
      </c>
      <c r="R174" s="29">
        <f>IF($A174="","",IF($E174="","",raporTarihi-$E174))</f>
        <v/>
      </c>
      <c r="S174" s="29">
        <f>IF($A174="","",IF($R174="","",IF($R174&lt;=soa_kovaEsik1,"0-7",IF($R174&lt;=soa_kovaEsik2,"8-30",IF($R174&lt;=soa_kovaEsik3,"31-90","90+")))))</f>
        <v/>
      </c>
      <c r="T174" s="29">
        <f>IF($A174="","",IF($B174="","YETİM",IF(COUNTIF(tblKartlar[KartId],$B174)=0,"YETİM","")))</f>
        <v/>
      </c>
      <c r="U174" s="29">
        <f>IF(OR($A174="",$F174=""),"",IF(OR($F174&amp;"|"&amp;$G174="",COUNTIF(ListeIzinliGecis,$F174&amp;"|"&amp;$G174)&gt;0),"","GEÇERSİZ GEÇİŞ"))</f>
        <v/>
      </c>
      <c r="V174" s="29">
        <f>IF($A174="","",IF(OR($P174="",$J174=""),"",IF(ABS($J174-$P174)&gt;zincirTolerans,"ZİNCİR KIRIK","OK")))</f>
        <v/>
      </c>
      <c r="W174" s="29">
        <f>IF($A174="","",1)</f>
        <v/>
      </c>
      <c r="X174" s="29">
        <f>IF($A174="","",$K174*$I174)</f>
        <v/>
      </c>
    </row>
    <row r="175">
      <c r="A175" s="27" t="n"/>
      <c r="B175" s="27" t="n"/>
      <c r="C175" s="27" t="n"/>
      <c r="D175" s="30" t="n"/>
      <c r="E175" s="30" t="n"/>
      <c r="F175" s="27" t="n"/>
      <c r="G175" s="27" t="n"/>
      <c r="H175" s="28" t="n"/>
      <c r="I175" s="31" t="n"/>
      <c r="J175" s="31" t="n"/>
      <c r="K175" s="28" t="n"/>
      <c r="L175" s="32" t="n"/>
      <c r="M175" s="27" t="n"/>
      <c r="N175" s="27" t="n"/>
      <c r="O175" s="27" t="n"/>
      <c r="P175" s="29">
        <f>IF($A175="","",$H175*$I175)</f>
        <v/>
      </c>
      <c r="Q175" s="29">
        <f>IF(OR($A175="",$G175="KAPALI"),"",IF($L175&gt;soa_esikOluGun,"ÖLÜ",""))</f>
        <v/>
      </c>
      <c r="R175" s="29">
        <f>IF($A175="","",IF($E175="","",raporTarihi-$E175))</f>
        <v/>
      </c>
      <c r="S175" s="29">
        <f>IF($A175="","",IF($R175="","",IF($R175&lt;=soa_kovaEsik1,"0-7",IF($R175&lt;=soa_kovaEsik2,"8-30",IF($R175&lt;=soa_kovaEsik3,"31-90","90+")))))</f>
        <v/>
      </c>
      <c r="T175" s="29">
        <f>IF($A175="","",IF($B175="","YETİM",IF(COUNTIF(tblKartlar[KartId],$B175)=0,"YETİM","")))</f>
        <v/>
      </c>
      <c r="U175" s="29">
        <f>IF(OR($A175="",$F175=""),"",IF(OR($F175&amp;"|"&amp;$G175="",COUNTIF(ListeIzinliGecis,$F175&amp;"|"&amp;$G175)&gt;0),"","GEÇERSİZ GEÇİŞ"))</f>
        <v/>
      </c>
      <c r="V175" s="29">
        <f>IF($A175="","",IF(OR($P175="",$J175=""),"",IF(ABS($J175-$P175)&gt;zincirTolerans,"ZİNCİR KIRIK","OK")))</f>
        <v/>
      </c>
      <c r="W175" s="29">
        <f>IF($A175="","",1)</f>
        <v/>
      </c>
      <c r="X175" s="29">
        <f>IF($A175="","",$K175*$I175)</f>
        <v/>
      </c>
    </row>
    <row r="176">
      <c r="A176" s="27" t="n"/>
      <c r="B176" s="27" t="n"/>
      <c r="C176" s="27" t="n"/>
      <c r="D176" s="30" t="n"/>
      <c r="E176" s="30" t="n"/>
      <c r="F176" s="27" t="n"/>
      <c r="G176" s="27" t="n"/>
      <c r="H176" s="28" t="n"/>
      <c r="I176" s="31" t="n"/>
      <c r="J176" s="31" t="n"/>
      <c r="K176" s="28" t="n"/>
      <c r="L176" s="32" t="n"/>
      <c r="M176" s="27" t="n"/>
      <c r="N176" s="27" t="n"/>
      <c r="O176" s="27" t="n"/>
      <c r="P176" s="29">
        <f>IF($A176="","",$H176*$I176)</f>
        <v/>
      </c>
      <c r="Q176" s="29">
        <f>IF(OR($A176="",$G176="KAPALI"),"",IF($L176&gt;soa_esikOluGun,"ÖLÜ",""))</f>
        <v/>
      </c>
      <c r="R176" s="29">
        <f>IF($A176="","",IF($E176="","",raporTarihi-$E176))</f>
        <v/>
      </c>
      <c r="S176" s="29">
        <f>IF($A176="","",IF($R176="","",IF($R176&lt;=soa_kovaEsik1,"0-7",IF($R176&lt;=soa_kovaEsik2,"8-30",IF($R176&lt;=soa_kovaEsik3,"31-90","90+")))))</f>
        <v/>
      </c>
      <c r="T176" s="29">
        <f>IF($A176="","",IF($B176="","YETİM",IF(COUNTIF(tblKartlar[KartId],$B176)=0,"YETİM","")))</f>
        <v/>
      </c>
      <c r="U176" s="29">
        <f>IF(OR($A176="",$F176=""),"",IF(OR($F176&amp;"|"&amp;$G176="",COUNTIF(ListeIzinliGecis,$F176&amp;"|"&amp;$G176)&gt;0),"","GEÇERSİZ GEÇİŞ"))</f>
        <v/>
      </c>
      <c r="V176" s="29">
        <f>IF($A176="","",IF(OR($P176="",$J176=""),"",IF(ABS($J176-$P176)&gt;zincirTolerans,"ZİNCİR KIRIK","OK")))</f>
        <v/>
      </c>
      <c r="W176" s="29">
        <f>IF($A176="","",1)</f>
        <v/>
      </c>
      <c r="X176" s="29">
        <f>IF($A176="","",$K176*$I176)</f>
        <v/>
      </c>
    </row>
    <row r="177">
      <c r="A177" s="27" t="n"/>
      <c r="B177" s="27" t="n"/>
      <c r="C177" s="27" t="n"/>
      <c r="D177" s="30" t="n"/>
      <c r="E177" s="30" t="n"/>
      <c r="F177" s="27" t="n"/>
      <c r="G177" s="27" t="n"/>
      <c r="H177" s="28" t="n"/>
      <c r="I177" s="31" t="n"/>
      <c r="J177" s="31" t="n"/>
      <c r="K177" s="28" t="n"/>
      <c r="L177" s="32" t="n"/>
      <c r="M177" s="27" t="n"/>
      <c r="N177" s="27" t="n"/>
      <c r="O177" s="27" t="n"/>
      <c r="P177" s="29">
        <f>IF($A177="","",$H177*$I177)</f>
        <v/>
      </c>
      <c r="Q177" s="29">
        <f>IF(OR($A177="",$G177="KAPALI"),"",IF($L177&gt;soa_esikOluGun,"ÖLÜ",""))</f>
        <v/>
      </c>
      <c r="R177" s="29">
        <f>IF($A177="","",IF($E177="","",raporTarihi-$E177))</f>
        <v/>
      </c>
      <c r="S177" s="29">
        <f>IF($A177="","",IF($R177="","",IF($R177&lt;=soa_kovaEsik1,"0-7",IF($R177&lt;=soa_kovaEsik2,"8-30",IF($R177&lt;=soa_kovaEsik3,"31-90","90+")))))</f>
        <v/>
      </c>
      <c r="T177" s="29">
        <f>IF($A177="","",IF($B177="","YETİM",IF(COUNTIF(tblKartlar[KartId],$B177)=0,"YETİM","")))</f>
        <v/>
      </c>
      <c r="U177" s="29">
        <f>IF(OR($A177="",$F177=""),"",IF(OR($F177&amp;"|"&amp;$G177="",COUNTIF(ListeIzinliGecis,$F177&amp;"|"&amp;$G177)&gt;0),"","GEÇERSİZ GEÇİŞ"))</f>
        <v/>
      </c>
      <c r="V177" s="29">
        <f>IF($A177="","",IF(OR($P177="",$J177=""),"",IF(ABS($J177-$P177)&gt;zincirTolerans,"ZİNCİR KIRIK","OK")))</f>
        <v/>
      </c>
      <c r="W177" s="29">
        <f>IF($A177="","",1)</f>
        <v/>
      </c>
      <c r="X177" s="29">
        <f>IF($A177="","",$K177*$I177)</f>
        <v/>
      </c>
    </row>
    <row r="178">
      <c r="A178" s="27" t="n"/>
      <c r="B178" s="27" t="n"/>
      <c r="C178" s="27" t="n"/>
      <c r="D178" s="30" t="n"/>
      <c r="E178" s="30" t="n"/>
      <c r="F178" s="27" t="n"/>
      <c r="G178" s="27" t="n"/>
      <c r="H178" s="28" t="n"/>
      <c r="I178" s="31" t="n"/>
      <c r="J178" s="31" t="n"/>
      <c r="K178" s="28" t="n"/>
      <c r="L178" s="32" t="n"/>
      <c r="M178" s="27" t="n"/>
      <c r="N178" s="27" t="n"/>
      <c r="O178" s="27" t="n"/>
      <c r="P178" s="29">
        <f>IF($A178="","",$H178*$I178)</f>
        <v/>
      </c>
      <c r="Q178" s="29">
        <f>IF(OR($A178="",$G178="KAPALI"),"",IF($L178&gt;soa_esikOluGun,"ÖLÜ",""))</f>
        <v/>
      </c>
      <c r="R178" s="29">
        <f>IF($A178="","",IF($E178="","",raporTarihi-$E178))</f>
        <v/>
      </c>
      <c r="S178" s="29">
        <f>IF($A178="","",IF($R178="","",IF($R178&lt;=soa_kovaEsik1,"0-7",IF($R178&lt;=soa_kovaEsik2,"8-30",IF($R178&lt;=soa_kovaEsik3,"31-90","90+")))))</f>
        <v/>
      </c>
      <c r="T178" s="29">
        <f>IF($A178="","",IF($B178="","YETİM",IF(COUNTIF(tblKartlar[KartId],$B178)=0,"YETİM","")))</f>
        <v/>
      </c>
      <c r="U178" s="29">
        <f>IF(OR($A178="",$F178=""),"",IF(OR($F178&amp;"|"&amp;$G178="",COUNTIF(ListeIzinliGecis,$F178&amp;"|"&amp;$G178)&gt;0),"","GEÇERSİZ GEÇİŞ"))</f>
        <v/>
      </c>
      <c r="V178" s="29">
        <f>IF($A178="","",IF(OR($P178="",$J178=""),"",IF(ABS($J178-$P178)&gt;zincirTolerans,"ZİNCİR KIRIK","OK")))</f>
        <v/>
      </c>
      <c r="W178" s="29">
        <f>IF($A178="","",1)</f>
        <v/>
      </c>
      <c r="X178" s="29">
        <f>IF($A178="","",$K178*$I178)</f>
        <v/>
      </c>
    </row>
    <row r="179">
      <c r="A179" s="27" t="n"/>
      <c r="B179" s="27" t="n"/>
      <c r="C179" s="27" t="n"/>
      <c r="D179" s="30" t="n"/>
      <c r="E179" s="30" t="n"/>
      <c r="F179" s="27" t="n"/>
      <c r="G179" s="27" t="n"/>
      <c r="H179" s="28" t="n"/>
      <c r="I179" s="31" t="n"/>
      <c r="J179" s="31" t="n"/>
      <c r="K179" s="28" t="n"/>
      <c r="L179" s="32" t="n"/>
      <c r="M179" s="27" t="n"/>
      <c r="N179" s="27" t="n"/>
      <c r="O179" s="27" t="n"/>
      <c r="P179" s="29">
        <f>IF($A179="","",$H179*$I179)</f>
        <v/>
      </c>
      <c r="Q179" s="29">
        <f>IF(OR($A179="",$G179="KAPALI"),"",IF($L179&gt;soa_esikOluGun,"ÖLÜ",""))</f>
        <v/>
      </c>
      <c r="R179" s="29">
        <f>IF($A179="","",IF($E179="","",raporTarihi-$E179))</f>
        <v/>
      </c>
      <c r="S179" s="29">
        <f>IF($A179="","",IF($R179="","",IF($R179&lt;=soa_kovaEsik1,"0-7",IF($R179&lt;=soa_kovaEsik2,"8-30",IF($R179&lt;=soa_kovaEsik3,"31-90","90+")))))</f>
        <v/>
      </c>
      <c r="T179" s="29">
        <f>IF($A179="","",IF($B179="","YETİM",IF(COUNTIF(tblKartlar[KartId],$B179)=0,"YETİM","")))</f>
        <v/>
      </c>
      <c r="U179" s="29">
        <f>IF(OR($A179="",$F179=""),"",IF(OR($F179&amp;"|"&amp;$G179="",COUNTIF(ListeIzinliGecis,$F179&amp;"|"&amp;$G179)&gt;0),"","GEÇERSİZ GEÇİŞ"))</f>
        <v/>
      </c>
      <c r="V179" s="29">
        <f>IF($A179="","",IF(OR($P179="",$J179=""),"",IF(ABS($J179-$P179)&gt;zincirTolerans,"ZİNCİR KIRIK","OK")))</f>
        <v/>
      </c>
      <c r="W179" s="29">
        <f>IF($A179="","",1)</f>
        <v/>
      </c>
      <c r="X179" s="29">
        <f>IF($A179="","",$K179*$I179)</f>
        <v/>
      </c>
    </row>
    <row r="180">
      <c r="A180" s="27" t="n"/>
      <c r="B180" s="27" t="n"/>
      <c r="C180" s="27" t="n"/>
      <c r="D180" s="30" t="n"/>
      <c r="E180" s="30" t="n"/>
      <c r="F180" s="27" t="n"/>
      <c r="G180" s="27" t="n"/>
      <c r="H180" s="28" t="n"/>
      <c r="I180" s="31" t="n"/>
      <c r="J180" s="31" t="n"/>
      <c r="K180" s="28" t="n"/>
      <c r="L180" s="32" t="n"/>
      <c r="M180" s="27" t="n"/>
      <c r="N180" s="27" t="n"/>
      <c r="O180" s="27" t="n"/>
      <c r="P180" s="29">
        <f>IF($A180="","",$H180*$I180)</f>
        <v/>
      </c>
      <c r="Q180" s="29">
        <f>IF(OR($A180="",$G180="KAPALI"),"",IF($L180&gt;soa_esikOluGun,"ÖLÜ",""))</f>
        <v/>
      </c>
      <c r="R180" s="29">
        <f>IF($A180="","",IF($E180="","",raporTarihi-$E180))</f>
        <v/>
      </c>
      <c r="S180" s="29">
        <f>IF($A180="","",IF($R180="","",IF($R180&lt;=soa_kovaEsik1,"0-7",IF($R180&lt;=soa_kovaEsik2,"8-30",IF($R180&lt;=soa_kovaEsik3,"31-90","90+")))))</f>
        <v/>
      </c>
      <c r="T180" s="29">
        <f>IF($A180="","",IF($B180="","YETİM",IF(COUNTIF(tblKartlar[KartId],$B180)=0,"YETİM","")))</f>
        <v/>
      </c>
      <c r="U180" s="29">
        <f>IF(OR($A180="",$F180=""),"",IF(OR($F180&amp;"|"&amp;$G180="",COUNTIF(ListeIzinliGecis,$F180&amp;"|"&amp;$G180)&gt;0),"","GEÇERSİZ GEÇİŞ"))</f>
        <v/>
      </c>
      <c r="V180" s="29">
        <f>IF($A180="","",IF(OR($P180="",$J180=""),"",IF(ABS($J180-$P180)&gt;zincirTolerans,"ZİNCİR KIRIK","OK")))</f>
        <v/>
      </c>
      <c r="W180" s="29">
        <f>IF($A180="","",1)</f>
        <v/>
      </c>
      <c r="X180" s="29">
        <f>IF($A180="","",$K180*$I180)</f>
        <v/>
      </c>
    </row>
    <row r="181">
      <c r="A181" s="27" t="n"/>
      <c r="B181" s="27" t="n"/>
      <c r="C181" s="27" t="n"/>
      <c r="D181" s="30" t="n"/>
      <c r="E181" s="30" t="n"/>
      <c r="F181" s="27" t="n"/>
      <c r="G181" s="27" t="n"/>
      <c r="H181" s="28" t="n"/>
      <c r="I181" s="31" t="n"/>
      <c r="J181" s="31" t="n"/>
      <c r="K181" s="28" t="n"/>
      <c r="L181" s="32" t="n"/>
      <c r="M181" s="27" t="n"/>
      <c r="N181" s="27" t="n"/>
      <c r="O181" s="27" t="n"/>
      <c r="P181" s="29">
        <f>IF($A181="","",$H181*$I181)</f>
        <v/>
      </c>
      <c r="Q181" s="29">
        <f>IF(OR($A181="",$G181="KAPALI"),"",IF($L181&gt;soa_esikOluGun,"ÖLÜ",""))</f>
        <v/>
      </c>
      <c r="R181" s="29">
        <f>IF($A181="","",IF($E181="","",raporTarihi-$E181))</f>
        <v/>
      </c>
      <c r="S181" s="29">
        <f>IF($A181="","",IF($R181="","",IF($R181&lt;=soa_kovaEsik1,"0-7",IF($R181&lt;=soa_kovaEsik2,"8-30",IF($R181&lt;=soa_kovaEsik3,"31-90","90+")))))</f>
        <v/>
      </c>
      <c r="T181" s="29">
        <f>IF($A181="","",IF($B181="","YETİM",IF(COUNTIF(tblKartlar[KartId],$B181)=0,"YETİM","")))</f>
        <v/>
      </c>
      <c r="U181" s="29">
        <f>IF(OR($A181="",$F181=""),"",IF(OR($F181&amp;"|"&amp;$G181="",COUNTIF(ListeIzinliGecis,$F181&amp;"|"&amp;$G181)&gt;0),"","GEÇERSİZ GEÇİŞ"))</f>
        <v/>
      </c>
      <c r="V181" s="29">
        <f>IF($A181="","",IF(OR($P181="",$J181=""),"",IF(ABS($J181-$P181)&gt;zincirTolerans,"ZİNCİR KIRIK","OK")))</f>
        <v/>
      </c>
      <c r="W181" s="29">
        <f>IF($A181="","",1)</f>
        <v/>
      </c>
      <c r="X181" s="29">
        <f>IF($A181="","",$K181*$I181)</f>
        <v/>
      </c>
    </row>
    <row r="182">
      <c r="A182" s="27" t="n"/>
      <c r="B182" s="27" t="n"/>
      <c r="C182" s="27" t="n"/>
      <c r="D182" s="30" t="n"/>
      <c r="E182" s="30" t="n"/>
      <c r="F182" s="27" t="n"/>
      <c r="G182" s="27" t="n"/>
      <c r="H182" s="28" t="n"/>
      <c r="I182" s="31" t="n"/>
      <c r="J182" s="31" t="n"/>
      <c r="K182" s="28" t="n"/>
      <c r="L182" s="32" t="n"/>
      <c r="M182" s="27" t="n"/>
      <c r="N182" s="27" t="n"/>
      <c r="O182" s="27" t="n"/>
      <c r="P182" s="29">
        <f>IF($A182="","",$H182*$I182)</f>
        <v/>
      </c>
      <c r="Q182" s="29">
        <f>IF(OR($A182="",$G182="KAPALI"),"",IF($L182&gt;soa_esikOluGun,"ÖLÜ",""))</f>
        <v/>
      </c>
      <c r="R182" s="29">
        <f>IF($A182="","",IF($E182="","",raporTarihi-$E182))</f>
        <v/>
      </c>
      <c r="S182" s="29">
        <f>IF($A182="","",IF($R182="","",IF($R182&lt;=soa_kovaEsik1,"0-7",IF($R182&lt;=soa_kovaEsik2,"8-30",IF($R182&lt;=soa_kovaEsik3,"31-90","90+")))))</f>
        <v/>
      </c>
      <c r="T182" s="29">
        <f>IF($A182="","",IF($B182="","YETİM",IF(COUNTIF(tblKartlar[KartId],$B182)=0,"YETİM","")))</f>
        <v/>
      </c>
      <c r="U182" s="29">
        <f>IF(OR($A182="",$F182=""),"",IF(OR($F182&amp;"|"&amp;$G182="",COUNTIF(ListeIzinliGecis,$F182&amp;"|"&amp;$G182)&gt;0),"","GEÇERSİZ GEÇİŞ"))</f>
        <v/>
      </c>
      <c r="V182" s="29">
        <f>IF($A182="","",IF(OR($P182="",$J182=""),"",IF(ABS($J182-$P182)&gt;zincirTolerans,"ZİNCİR KIRIK","OK")))</f>
        <v/>
      </c>
      <c r="W182" s="29">
        <f>IF($A182="","",1)</f>
        <v/>
      </c>
      <c r="X182" s="29">
        <f>IF($A182="","",$K182*$I182)</f>
        <v/>
      </c>
    </row>
    <row r="183">
      <c r="A183" s="27" t="n"/>
      <c r="B183" s="27" t="n"/>
      <c r="C183" s="27" t="n"/>
      <c r="D183" s="30" t="n"/>
      <c r="E183" s="30" t="n"/>
      <c r="F183" s="27" t="n"/>
      <c r="G183" s="27" t="n"/>
      <c r="H183" s="28" t="n"/>
      <c r="I183" s="31" t="n"/>
      <c r="J183" s="31" t="n"/>
      <c r="K183" s="28" t="n"/>
      <c r="L183" s="32" t="n"/>
      <c r="M183" s="27" t="n"/>
      <c r="N183" s="27" t="n"/>
      <c r="O183" s="27" t="n"/>
      <c r="P183" s="29">
        <f>IF($A183="","",$H183*$I183)</f>
        <v/>
      </c>
      <c r="Q183" s="29">
        <f>IF(OR($A183="",$G183="KAPALI"),"",IF($L183&gt;soa_esikOluGun,"ÖLÜ",""))</f>
        <v/>
      </c>
      <c r="R183" s="29">
        <f>IF($A183="","",IF($E183="","",raporTarihi-$E183))</f>
        <v/>
      </c>
      <c r="S183" s="29">
        <f>IF($A183="","",IF($R183="","",IF($R183&lt;=soa_kovaEsik1,"0-7",IF($R183&lt;=soa_kovaEsik2,"8-30",IF($R183&lt;=soa_kovaEsik3,"31-90","90+")))))</f>
        <v/>
      </c>
      <c r="T183" s="29">
        <f>IF($A183="","",IF($B183="","YETİM",IF(COUNTIF(tblKartlar[KartId],$B183)=0,"YETİM","")))</f>
        <v/>
      </c>
      <c r="U183" s="29">
        <f>IF(OR($A183="",$F183=""),"",IF(OR($F183&amp;"|"&amp;$G183="",COUNTIF(ListeIzinliGecis,$F183&amp;"|"&amp;$G183)&gt;0),"","GEÇERSİZ GEÇİŞ"))</f>
        <v/>
      </c>
      <c r="V183" s="29">
        <f>IF($A183="","",IF(OR($P183="",$J183=""),"",IF(ABS($J183-$P183)&gt;zincirTolerans,"ZİNCİR KIRIK","OK")))</f>
        <v/>
      </c>
      <c r="W183" s="29">
        <f>IF($A183="","",1)</f>
        <v/>
      </c>
      <c r="X183" s="29">
        <f>IF($A183="","",$K183*$I183)</f>
        <v/>
      </c>
    </row>
    <row r="184">
      <c r="A184" s="27" t="n"/>
      <c r="B184" s="27" t="n"/>
      <c r="C184" s="27" t="n"/>
      <c r="D184" s="30" t="n"/>
      <c r="E184" s="30" t="n"/>
      <c r="F184" s="27" t="n"/>
      <c r="G184" s="27" t="n"/>
      <c r="H184" s="28" t="n"/>
      <c r="I184" s="31" t="n"/>
      <c r="J184" s="31" t="n"/>
      <c r="K184" s="28" t="n"/>
      <c r="L184" s="32" t="n"/>
      <c r="M184" s="27" t="n"/>
      <c r="N184" s="27" t="n"/>
      <c r="O184" s="27" t="n"/>
      <c r="P184" s="29">
        <f>IF($A184="","",$H184*$I184)</f>
        <v/>
      </c>
      <c r="Q184" s="29">
        <f>IF(OR($A184="",$G184="KAPALI"),"",IF($L184&gt;soa_esikOluGun,"ÖLÜ",""))</f>
        <v/>
      </c>
      <c r="R184" s="29">
        <f>IF($A184="","",IF($E184="","",raporTarihi-$E184))</f>
        <v/>
      </c>
      <c r="S184" s="29">
        <f>IF($A184="","",IF($R184="","",IF($R184&lt;=soa_kovaEsik1,"0-7",IF($R184&lt;=soa_kovaEsik2,"8-30",IF($R184&lt;=soa_kovaEsik3,"31-90","90+")))))</f>
        <v/>
      </c>
      <c r="T184" s="29">
        <f>IF($A184="","",IF($B184="","YETİM",IF(COUNTIF(tblKartlar[KartId],$B184)=0,"YETİM","")))</f>
        <v/>
      </c>
      <c r="U184" s="29">
        <f>IF(OR($A184="",$F184=""),"",IF(OR($F184&amp;"|"&amp;$G184="",COUNTIF(ListeIzinliGecis,$F184&amp;"|"&amp;$G184)&gt;0),"","GEÇERSİZ GEÇİŞ"))</f>
        <v/>
      </c>
      <c r="V184" s="29">
        <f>IF($A184="","",IF(OR($P184="",$J184=""),"",IF(ABS($J184-$P184)&gt;zincirTolerans,"ZİNCİR KIRIK","OK")))</f>
        <v/>
      </c>
      <c r="W184" s="29">
        <f>IF($A184="","",1)</f>
        <v/>
      </c>
      <c r="X184" s="29">
        <f>IF($A184="","",$K184*$I184)</f>
        <v/>
      </c>
    </row>
    <row r="185">
      <c r="A185" s="27" t="n"/>
      <c r="B185" s="27" t="n"/>
      <c r="C185" s="27" t="n"/>
      <c r="D185" s="30" t="n"/>
      <c r="E185" s="30" t="n"/>
      <c r="F185" s="27" t="n"/>
      <c r="G185" s="27" t="n"/>
      <c r="H185" s="28" t="n"/>
      <c r="I185" s="31" t="n"/>
      <c r="J185" s="31" t="n"/>
      <c r="K185" s="28" t="n"/>
      <c r="L185" s="32" t="n"/>
      <c r="M185" s="27" t="n"/>
      <c r="N185" s="27" t="n"/>
      <c r="O185" s="27" t="n"/>
      <c r="P185" s="29">
        <f>IF($A185="","",$H185*$I185)</f>
        <v/>
      </c>
      <c r="Q185" s="29">
        <f>IF(OR($A185="",$G185="KAPALI"),"",IF($L185&gt;soa_esikOluGun,"ÖLÜ",""))</f>
        <v/>
      </c>
      <c r="R185" s="29">
        <f>IF($A185="","",IF($E185="","",raporTarihi-$E185))</f>
        <v/>
      </c>
      <c r="S185" s="29">
        <f>IF($A185="","",IF($R185="","",IF($R185&lt;=soa_kovaEsik1,"0-7",IF($R185&lt;=soa_kovaEsik2,"8-30",IF($R185&lt;=soa_kovaEsik3,"31-90","90+")))))</f>
        <v/>
      </c>
      <c r="T185" s="29">
        <f>IF($A185="","",IF($B185="","YETİM",IF(COUNTIF(tblKartlar[KartId],$B185)=0,"YETİM","")))</f>
        <v/>
      </c>
      <c r="U185" s="29">
        <f>IF(OR($A185="",$F185=""),"",IF(OR($F185&amp;"|"&amp;$G185="",COUNTIF(ListeIzinliGecis,$F185&amp;"|"&amp;$G185)&gt;0),"","GEÇERSİZ GEÇİŞ"))</f>
        <v/>
      </c>
      <c r="V185" s="29">
        <f>IF($A185="","",IF(OR($P185="",$J185=""),"",IF(ABS($J185-$P185)&gt;zincirTolerans,"ZİNCİR KIRIK","OK")))</f>
        <v/>
      </c>
      <c r="W185" s="29">
        <f>IF($A185="","",1)</f>
        <v/>
      </c>
      <c r="X185" s="29">
        <f>IF($A185="","",$K185*$I185)</f>
        <v/>
      </c>
    </row>
    <row r="186">
      <c r="A186" s="27" t="n"/>
      <c r="B186" s="27" t="n"/>
      <c r="C186" s="27" t="n"/>
      <c r="D186" s="30" t="n"/>
      <c r="E186" s="30" t="n"/>
      <c r="F186" s="27" t="n"/>
      <c r="G186" s="27" t="n"/>
      <c r="H186" s="28" t="n"/>
      <c r="I186" s="31" t="n"/>
      <c r="J186" s="31" t="n"/>
      <c r="K186" s="28" t="n"/>
      <c r="L186" s="32" t="n"/>
      <c r="M186" s="27" t="n"/>
      <c r="N186" s="27" t="n"/>
      <c r="O186" s="27" t="n"/>
      <c r="P186" s="29">
        <f>IF($A186="","",$H186*$I186)</f>
        <v/>
      </c>
      <c r="Q186" s="29">
        <f>IF(OR($A186="",$G186="KAPALI"),"",IF($L186&gt;soa_esikOluGun,"ÖLÜ",""))</f>
        <v/>
      </c>
      <c r="R186" s="29">
        <f>IF($A186="","",IF($E186="","",raporTarihi-$E186))</f>
        <v/>
      </c>
      <c r="S186" s="29">
        <f>IF($A186="","",IF($R186="","",IF($R186&lt;=soa_kovaEsik1,"0-7",IF($R186&lt;=soa_kovaEsik2,"8-30",IF($R186&lt;=soa_kovaEsik3,"31-90","90+")))))</f>
        <v/>
      </c>
      <c r="T186" s="29">
        <f>IF($A186="","",IF($B186="","YETİM",IF(COUNTIF(tblKartlar[KartId],$B186)=0,"YETİM","")))</f>
        <v/>
      </c>
      <c r="U186" s="29">
        <f>IF(OR($A186="",$F186=""),"",IF(OR($F186&amp;"|"&amp;$G186="",COUNTIF(ListeIzinliGecis,$F186&amp;"|"&amp;$G186)&gt;0),"","GEÇERSİZ GEÇİŞ"))</f>
        <v/>
      </c>
      <c r="V186" s="29">
        <f>IF($A186="","",IF(OR($P186="",$J186=""),"",IF(ABS($J186-$P186)&gt;zincirTolerans,"ZİNCİR KIRIK","OK")))</f>
        <v/>
      </c>
      <c r="W186" s="29">
        <f>IF($A186="","",1)</f>
        <v/>
      </c>
      <c r="X186" s="29">
        <f>IF($A186="","",$K186*$I186)</f>
        <v/>
      </c>
    </row>
    <row r="187">
      <c r="A187" s="27" t="n"/>
      <c r="B187" s="27" t="n"/>
      <c r="C187" s="27" t="n"/>
      <c r="D187" s="30" t="n"/>
      <c r="E187" s="30" t="n"/>
      <c r="F187" s="27" t="n"/>
      <c r="G187" s="27" t="n"/>
      <c r="H187" s="28" t="n"/>
      <c r="I187" s="31" t="n"/>
      <c r="J187" s="31" t="n"/>
      <c r="K187" s="28" t="n"/>
      <c r="L187" s="32" t="n"/>
      <c r="M187" s="27" t="n"/>
      <c r="N187" s="27" t="n"/>
      <c r="O187" s="27" t="n"/>
      <c r="P187" s="29">
        <f>IF($A187="","",$H187*$I187)</f>
        <v/>
      </c>
      <c r="Q187" s="29">
        <f>IF(OR($A187="",$G187="KAPALI"),"",IF($L187&gt;soa_esikOluGun,"ÖLÜ",""))</f>
        <v/>
      </c>
      <c r="R187" s="29">
        <f>IF($A187="","",IF($E187="","",raporTarihi-$E187))</f>
        <v/>
      </c>
      <c r="S187" s="29">
        <f>IF($A187="","",IF($R187="","",IF($R187&lt;=soa_kovaEsik1,"0-7",IF($R187&lt;=soa_kovaEsik2,"8-30",IF($R187&lt;=soa_kovaEsik3,"31-90","90+")))))</f>
        <v/>
      </c>
      <c r="T187" s="29">
        <f>IF($A187="","",IF($B187="","YETİM",IF(COUNTIF(tblKartlar[KartId],$B187)=0,"YETİM","")))</f>
        <v/>
      </c>
      <c r="U187" s="29">
        <f>IF(OR($A187="",$F187=""),"",IF(OR($F187&amp;"|"&amp;$G187="",COUNTIF(ListeIzinliGecis,$F187&amp;"|"&amp;$G187)&gt;0),"","GEÇERSİZ GEÇİŞ"))</f>
        <v/>
      </c>
      <c r="V187" s="29">
        <f>IF($A187="","",IF(OR($P187="",$J187=""),"",IF(ABS($J187-$P187)&gt;zincirTolerans,"ZİNCİR KIRIK","OK")))</f>
        <v/>
      </c>
      <c r="W187" s="29">
        <f>IF($A187="","",1)</f>
        <v/>
      </c>
      <c r="X187" s="29">
        <f>IF($A187="","",$K187*$I187)</f>
        <v/>
      </c>
    </row>
    <row r="188">
      <c r="A188" s="27" t="n"/>
      <c r="B188" s="27" t="n"/>
      <c r="C188" s="27" t="n"/>
      <c r="D188" s="30" t="n"/>
      <c r="E188" s="30" t="n"/>
      <c r="F188" s="27" t="n"/>
      <c r="G188" s="27" t="n"/>
      <c r="H188" s="28" t="n"/>
      <c r="I188" s="31" t="n"/>
      <c r="J188" s="31" t="n"/>
      <c r="K188" s="28" t="n"/>
      <c r="L188" s="32" t="n"/>
      <c r="M188" s="27" t="n"/>
      <c r="N188" s="27" t="n"/>
      <c r="O188" s="27" t="n"/>
      <c r="P188" s="29">
        <f>IF($A188="","",$H188*$I188)</f>
        <v/>
      </c>
      <c r="Q188" s="29">
        <f>IF(OR($A188="",$G188="KAPALI"),"",IF($L188&gt;soa_esikOluGun,"ÖLÜ",""))</f>
        <v/>
      </c>
      <c r="R188" s="29">
        <f>IF($A188="","",IF($E188="","",raporTarihi-$E188))</f>
        <v/>
      </c>
      <c r="S188" s="29">
        <f>IF($A188="","",IF($R188="","",IF($R188&lt;=soa_kovaEsik1,"0-7",IF($R188&lt;=soa_kovaEsik2,"8-30",IF($R188&lt;=soa_kovaEsik3,"31-90","90+")))))</f>
        <v/>
      </c>
      <c r="T188" s="29">
        <f>IF($A188="","",IF($B188="","YETİM",IF(COUNTIF(tblKartlar[KartId],$B188)=0,"YETİM","")))</f>
        <v/>
      </c>
      <c r="U188" s="29">
        <f>IF(OR($A188="",$F188=""),"",IF(OR($F188&amp;"|"&amp;$G188="",COUNTIF(ListeIzinliGecis,$F188&amp;"|"&amp;$G188)&gt;0),"","GEÇERSİZ GEÇİŞ"))</f>
        <v/>
      </c>
      <c r="V188" s="29">
        <f>IF($A188="","",IF(OR($P188="",$J188=""),"",IF(ABS($J188-$P188)&gt;zincirTolerans,"ZİNCİR KIRIK","OK")))</f>
        <v/>
      </c>
      <c r="W188" s="29">
        <f>IF($A188="","",1)</f>
        <v/>
      </c>
      <c r="X188" s="29">
        <f>IF($A188="","",$K188*$I188)</f>
        <v/>
      </c>
    </row>
    <row r="189">
      <c r="A189" s="27" t="n"/>
      <c r="B189" s="27" t="n"/>
      <c r="C189" s="27" t="n"/>
      <c r="D189" s="30" t="n"/>
      <c r="E189" s="30" t="n"/>
      <c r="F189" s="27" t="n"/>
      <c r="G189" s="27" t="n"/>
      <c r="H189" s="28" t="n"/>
      <c r="I189" s="31" t="n"/>
      <c r="J189" s="31" t="n"/>
      <c r="K189" s="28" t="n"/>
      <c r="L189" s="32" t="n"/>
      <c r="M189" s="27" t="n"/>
      <c r="N189" s="27" t="n"/>
      <c r="O189" s="27" t="n"/>
      <c r="P189" s="29">
        <f>IF($A189="","",$H189*$I189)</f>
        <v/>
      </c>
      <c r="Q189" s="29">
        <f>IF(OR($A189="",$G189="KAPALI"),"",IF($L189&gt;soa_esikOluGun,"ÖLÜ",""))</f>
        <v/>
      </c>
      <c r="R189" s="29">
        <f>IF($A189="","",IF($E189="","",raporTarihi-$E189))</f>
        <v/>
      </c>
      <c r="S189" s="29">
        <f>IF($A189="","",IF($R189="","",IF($R189&lt;=soa_kovaEsik1,"0-7",IF($R189&lt;=soa_kovaEsik2,"8-30",IF($R189&lt;=soa_kovaEsik3,"31-90","90+")))))</f>
        <v/>
      </c>
      <c r="T189" s="29">
        <f>IF($A189="","",IF($B189="","YETİM",IF(COUNTIF(tblKartlar[KartId],$B189)=0,"YETİM","")))</f>
        <v/>
      </c>
      <c r="U189" s="29">
        <f>IF(OR($A189="",$F189=""),"",IF(OR($F189&amp;"|"&amp;$G189="",COUNTIF(ListeIzinliGecis,$F189&amp;"|"&amp;$G189)&gt;0),"","GEÇERSİZ GEÇİŞ"))</f>
        <v/>
      </c>
      <c r="V189" s="29">
        <f>IF($A189="","",IF(OR($P189="",$J189=""),"",IF(ABS($J189-$P189)&gt;zincirTolerans,"ZİNCİR KIRIK","OK")))</f>
        <v/>
      </c>
      <c r="W189" s="29">
        <f>IF($A189="","",1)</f>
        <v/>
      </c>
      <c r="X189" s="29">
        <f>IF($A189="","",$K189*$I189)</f>
        <v/>
      </c>
    </row>
    <row r="190">
      <c r="A190" s="27" t="n"/>
      <c r="B190" s="27" t="n"/>
      <c r="C190" s="27" t="n"/>
      <c r="D190" s="30" t="n"/>
      <c r="E190" s="30" t="n"/>
      <c r="F190" s="27" t="n"/>
      <c r="G190" s="27" t="n"/>
      <c r="H190" s="28" t="n"/>
      <c r="I190" s="31" t="n"/>
      <c r="J190" s="31" t="n"/>
      <c r="K190" s="28" t="n"/>
      <c r="L190" s="32" t="n"/>
      <c r="M190" s="27" t="n"/>
      <c r="N190" s="27" t="n"/>
      <c r="O190" s="27" t="n"/>
      <c r="P190" s="29">
        <f>IF($A190="","",$H190*$I190)</f>
        <v/>
      </c>
      <c r="Q190" s="29">
        <f>IF(OR($A190="",$G190="KAPALI"),"",IF($L190&gt;soa_esikOluGun,"ÖLÜ",""))</f>
        <v/>
      </c>
      <c r="R190" s="29">
        <f>IF($A190="","",IF($E190="","",raporTarihi-$E190))</f>
        <v/>
      </c>
      <c r="S190" s="29">
        <f>IF($A190="","",IF($R190="","",IF($R190&lt;=soa_kovaEsik1,"0-7",IF($R190&lt;=soa_kovaEsik2,"8-30",IF($R190&lt;=soa_kovaEsik3,"31-90","90+")))))</f>
        <v/>
      </c>
      <c r="T190" s="29">
        <f>IF($A190="","",IF($B190="","YETİM",IF(COUNTIF(tblKartlar[KartId],$B190)=0,"YETİM","")))</f>
        <v/>
      </c>
      <c r="U190" s="29">
        <f>IF(OR($A190="",$F190=""),"",IF(OR($F190&amp;"|"&amp;$G190="",COUNTIF(ListeIzinliGecis,$F190&amp;"|"&amp;$G190)&gt;0),"","GEÇERSİZ GEÇİŞ"))</f>
        <v/>
      </c>
      <c r="V190" s="29">
        <f>IF($A190="","",IF(OR($P190="",$J190=""),"",IF(ABS($J190-$P190)&gt;zincirTolerans,"ZİNCİR KIRIK","OK")))</f>
        <v/>
      </c>
      <c r="W190" s="29">
        <f>IF($A190="","",1)</f>
        <v/>
      </c>
      <c r="X190" s="29">
        <f>IF($A190="","",$K190*$I190)</f>
        <v/>
      </c>
    </row>
    <row r="191">
      <c r="A191" s="27" t="n"/>
      <c r="B191" s="27" t="n"/>
      <c r="C191" s="27" t="n"/>
      <c r="D191" s="30" t="n"/>
      <c r="E191" s="30" t="n"/>
      <c r="F191" s="27" t="n"/>
      <c r="G191" s="27" t="n"/>
      <c r="H191" s="28" t="n"/>
      <c r="I191" s="31" t="n"/>
      <c r="J191" s="31" t="n"/>
      <c r="K191" s="28" t="n"/>
      <c r="L191" s="32" t="n"/>
      <c r="M191" s="27" t="n"/>
      <c r="N191" s="27" t="n"/>
      <c r="O191" s="27" t="n"/>
      <c r="P191" s="29">
        <f>IF($A191="","",$H191*$I191)</f>
        <v/>
      </c>
      <c r="Q191" s="29">
        <f>IF(OR($A191="",$G191="KAPALI"),"",IF($L191&gt;soa_esikOluGun,"ÖLÜ",""))</f>
        <v/>
      </c>
      <c r="R191" s="29">
        <f>IF($A191="","",IF($E191="","",raporTarihi-$E191))</f>
        <v/>
      </c>
      <c r="S191" s="29">
        <f>IF($A191="","",IF($R191="","",IF($R191&lt;=soa_kovaEsik1,"0-7",IF($R191&lt;=soa_kovaEsik2,"8-30",IF($R191&lt;=soa_kovaEsik3,"31-90","90+")))))</f>
        <v/>
      </c>
      <c r="T191" s="29">
        <f>IF($A191="","",IF($B191="","YETİM",IF(COUNTIF(tblKartlar[KartId],$B191)=0,"YETİM","")))</f>
        <v/>
      </c>
      <c r="U191" s="29">
        <f>IF(OR($A191="",$F191=""),"",IF(OR($F191&amp;"|"&amp;$G191="",COUNTIF(ListeIzinliGecis,$F191&amp;"|"&amp;$G191)&gt;0),"","GEÇERSİZ GEÇİŞ"))</f>
        <v/>
      </c>
      <c r="V191" s="29">
        <f>IF($A191="","",IF(OR($P191="",$J191=""),"",IF(ABS($J191-$P191)&gt;zincirTolerans,"ZİNCİR KIRIK","OK")))</f>
        <v/>
      </c>
      <c r="W191" s="29">
        <f>IF($A191="","",1)</f>
        <v/>
      </c>
      <c r="X191" s="29">
        <f>IF($A191="","",$K191*$I191)</f>
        <v/>
      </c>
    </row>
    <row r="192">
      <c r="A192" s="27" t="n"/>
      <c r="B192" s="27" t="n"/>
      <c r="C192" s="27" t="n"/>
      <c r="D192" s="30" t="n"/>
      <c r="E192" s="30" t="n"/>
      <c r="F192" s="27" t="n"/>
      <c r="G192" s="27" t="n"/>
      <c r="H192" s="28" t="n"/>
      <c r="I192" s="31" t="n"/>
      <c r="J192" s="31" t="n"/>
      <c r="K192" s="28" t="n"/>
      <c r="L192" s="32" t="n"/>
      <c r="M192" s="27" t="n"/>
      <c r="N192" s="27" t="n"/>
      <c r="O192" s="27" t="n"/>
      <c r="P192" s="29">
        <f>IF($A192="","",$H192*$I192)</f>
        <v/>
      </c>
      <c r="Q192" s="29">
        <f>IF(OR($A192="",$G192="KAPALI"),"",IF($L192&gt;soa_esikOluGun,"ÖLÜ",""))</f>
        <v/>
      </c>
      <c r="R192" s="29">
        <f>IF($A192="","",IF($E192="","",raporTarihi-$E192))</f>
        <v/>
      </c>
      <c r="S192" s="29">
        <f>IF($A192="","",IF($R192="","",IF($R192&lt;=soa_kovaEsik1,"0-7",IF($R192&lt;=soa_kovaEsik2,"8-30",IF($R192&lt;=soa_kovaEsik3,"31-90","90+")))))</f>
        <v/>
      </c>
      <c r="T192" s="29">
        <f>IF($A192="","",IF($B192="","YETİM",IF(COUNTIF(tblKartlar[KartId],$B192)=0,"YETİM","")))</f>
        <v/>
      </c>
      <c r="U192" s="29">
        <f>IF(OR($A192="",$F192=""),"",IF(OR($F192&amp;"|"&amp;$G192="",COUNTIF(ListeIzinliGecis,$F192&amp;"|"&amp;$G192)&gt;0),"","GEÇERSİZ GEÇİŞ"))</f>
        <v/>
      </c>
      <c r="V192" s="29">
        <f>IF($A192="","",IF(OR($P192="",$J192=""),"",IF(ABS($J192-$P192)&gt;zincirTolerans,"ZİNCİR KIRIK","OK")))</f>
        <v/>
      </c>
      <c r="W192" s="29">
        <f>IF($A192="","",1)</f>
        <v/>
      </c>
      <c r="X192" s="29">
        <f>IF($A192="","",$K192*$I192)</f>
        <v/>
      </c>
    </row>
    <row r="193">
      <c r="A193" s="27" t="n"/>
      <c r="B193" s="27" t="n"/>
      <c r="C193" s="27" t="n"/>
      <c r="D193" s="30" t="n"/>
      <c r="E193" s="30" t="n"/>
      <c r="F193" s="27" t="n"/>
      <c r="G193" s="27" t="n"/>
      <c r="H193" s="28" t="n"/>
      <c r="I193" s="31" t="n"/>
      <c r="J193" s="31" t="n"/>
      <c r="K193" s="28" t="n"/>
      <c r="L193" s="32" t="n"/>
      <c r="M193" s="27" t="n"/>
      <c r="N193" s="27" t="n"/>
      <c r="O193" s="27" t="n"/>
      <c r="P193" s="29">
        <f>IF($A193="","",$H193*$I193)</f>
        <v/>
      </c>
      <c r="Q193" s="29">
        <f>IF(OR($A193="",$G193="KAPALI"),"",IF($L193&gt;soa_esikOluGun,"ÖLÜ",""))</f>
        <v/>
      </c>
      <c r="R193" s="29">
        <f>IF($A193="","",IF($E193="","",raporTarihi-$E193))</f>
        <v/>
      </c>
      <c r="S193" s="29">
        <f>IF($A193="","",IF($R193="","",IF($R193&lt;=soa_kovaEsik1,"0-7",IF($R193&lt;=soa_kovaEsik2,"8-30",IF($R193&lt;=soa_kovaEsik3,"31-90","90+")))))</f>
        <v/>
      </c>
      <c r="T193" s="29">
        <f>IF($A193="","",IF($B193="","YETİM",IF(COUNTIF(tblKartlar[KartId],$B193)=0,"YETİM","")))</f>
        <v/>
      </c>
      <c r="U193" s="29">
        <f>IF(OR($A193="",$F193=""),"",IF(OR($F193&amp;"|"&amp;$G193="",COUNTIF(ListeIzinliGecis,$F193&amp;"|"&amp;$G193)&gt;0),"","GEÇERSİZ GEÇİŞ"))</f>
        <v/>
      </c>
      <c r="V193" s="29">
        <f>IF($A193="","",IF(OR($P193="",$J193=""),"",IF(ABS($J193-$P193)&gt;zincirTolerans,"ZİNCİR KIRIK","OK")))</f>
        <v/>
      </c>
      <c r="W193" s="29">
        <f>IF($A193="","",1)</f>
        <v/>
      </c>
      <c r="X193" s="29">
        <f>IF($A193="","",$K193*$I193)</f>
        <v/>
      </c>
    </row>
    <row r="194">
      <c r="A194" s="27" t="n"/>
      <c r="B194" s="27" t="n"/>
      <c r="C194" s="27" t="n"/>
      <c r="D194" s="30" t="n"/>
      <c r="E194" s="30" t="n"/>
      <c r="F194" s="27" t="n"/>
      <c r="G194" s="27" t="n"/>
      <c r="H194" s="28" t="n"/>
      <c r="I194" s="31" t="n"/>
      <c r="J194" s="31" t="n"/>
      <c r="K194" s="28" t="n"/>
      <c r="L194" s="32" t="n"/>
      <c r="M194" s="27" t="n"/>
      <c r="N194" s="27" t="n"/>
      <c r="O194" s="27" t="n"/>
      <c r="P194" s="29">
        <f>IF($A194="","",$H194*$I194)</f>
        <v/>
      </c>
      <c r="Q194" s="29">
        <f>IF(OR($A194="",$G194="KAPALI"),"",IF($L194&gt;soa_esikOluGun,"ÖLÜ",""))</f>
        <v/>
      </c>
      <c r="R194" s="29">
        <f>IF($A194="","",IF($E194="","",raporTarihi-$E194))</f>
        <v/>
      </c>
      <c r="S194" s="29">
        <f>IF($A194="","",IF($R194="","",IF($R194&lt;=soa_kovaEsik1,"0-7",IF($R194&lt;=soa_kovaEsik2,"8-30",IF($R194&lt;=soa_kovaEsik3,"31-90","90+")))))</f>
        <v/>
      </c>
      <c r="T194" s="29">
        <f>IF($A194="","",IF($B194="","YETİM",IF(COUNTIF(tblKartlar[KartId],$B194)=0,"YETİM","")))</f>
        <v/>
      </c>
      <c r="U194" s="29">
        <f>IF(OR($A194="",$F194=""),"",IF(OR($F194&amp;"|"&amp;$G194="",COUNTIF(ListeIzinliGecis,$F194&amp;"|"&amp;$G194)&gt;0),"","GEÇERSİZ GEÇİŞ"))</f>
        <v/>
      </c>
      <c r="V194" s="29">
        <f>IF($A194="","",IF(OR($P194="",$J194=""),"",IF(ABS($J194-$P194)&gt;zincirTolerans,"ZİNCİR KIRIK","OK")))</f>
        <v/>
      </c>
      <c r="W194" s="29">
        <f>IF($A194="","",1)</f>
        <v/>
      </c>
      <c r="X194" s="29">
        <f>IF($A194="","",$K194*$I194)</f>
        <v/>
      </c>
    </row>
    <row r="195">
      <c r="A195" s="27" t="n"/>
      <c r="B195" s="27" t="n"/>
      <c r="C195" s="27" t="n"/>
      <c r="D195" s="30" t="n"/>
      <c r="E195" s="30" t="n"/>
      <c r="F195" s="27" t="n"/>
      <c r="G195" s="27" t="n"/>
      <c r="H195" s="28" t="n"/>
      <c r="I195" s="31" t="n"/>
      <c r="J195" s="31" t="n"/>
      <c r="K195" s="28" t="n"/>
      <c r="L195" s="32" t="n"/>
      <c r="M195" s="27" t="n"/>
      <c r="N195" s="27" t="n"/>
      <c r="O195" s="27" t="n"/>
      <c r="P195" s="29">
        <f>IF($A195="","",$H195*$I195)</f>
        <v/>
      </c>
      <c r="Q195" s="29">
        <f>IF(OR($A195="",$G195="KAPALI"),"",IF($L195&gt;soa_esikOluGun,"ÖLÜ",""))</f>
        <v/>
      </c>
      <c r="R195" s="29">
        <f>IF($A195="","",IF($E195="","",raporTarihi-$E195))</f>
        <v/>
      </c>
      <c r="S195" s="29">
        <f>IF($A195="","",IF($R195="","",IF($R195&lt;=soa_kovaEsik1,"0-7",IF($R195&lt;=soa_kovaEsik2,"8-30",IF($R195&lt;=soa_kovaEsik3,"31-90","90+")))))</f>
        <v/>
      </c>
      <c r="T195" s="29">
        <f>IF($A195="","",IF($B195="","YETİM",IF(COUNTIF(tblKartlar[KartId],$B195)=0,"YETİM","")))</f>
        <v/>
      </c>
      <c r="U195" s="29">
        <f>IF(OR($A195="",$F195=""),"",IF(OR($F195&amp;"|"&amp;$G195="",COUNTIF(ListeIzinliGecis,$F195&amp;"|"&amp;$G195)&gt;0),"","GEÇERSİZ GEÇİŞ"))</f>
        <v/>
      </c>
      <c r="V195" s="29">
        <f>IF($A195="","",IF(OR($P195="",$J195=""),"",IF(ABS($J195-$P195)&gt;zincirTolerans,"ZİNCİR KIRIK","OK")))</f>
        <v/>
      </c>
      <c r="W195" s="29">
        <f>IF($A195="","",1)</f>
        <v/>
      </c>
      <c r="X195" s="29">
        <f>IF($A195="","",$K195*$I195)</f>
        <v/>
      </c>
    </row>
    <row r="196">
      <c r="A196" s="27" t="n"/>
      <c r="B196" s="27" t="n"/>
      <c r="C196" s="27" t="n"/>
      <c r="D196" s="30" t="n"/>
      <c r="E196" s="30" t="n"/>
      <c r="F196" s="27" t="n"/>
      <c r="G196" s="27" t="n"/>
      <c r="H196" s="28" t="n"/>
      <c r="I196" s="31" t="n"/>
      <c r="J196" s="31" t="n"/>
      <c r="K196" s="28" t="n"/>
      <c r="L196" s="32" t="n"/>
      <c r="M196" s="27" t="n"/>
      <c r="N196" s="27" t="n"/>
      <c r="O196" s="27" t="n"/>
      <c r="P196" s="29">
        <f>IF($A196="","",$H196*$I196)</f>
        <v/>
      </c>
      <c r="Q196" s="29">
        <f>IF(OR($A196="",$G196="KAPALI"),"",IF($L196&gt;soa_esikOluGun,"ÖLÜ",""))</f>
        <v/>
      </c>
      <c r="R196" s="29">
        <f>IF($A196="","",IF($E196="","",raporTarihi-$E196))</f>
        <v/>
      </c>
      <c r="S196" s="29">
        <f>IF($A196="","",IF($R196="","",IF($R196&lt;=soa_kovaEsik1,"0-7",IF($R196&lt;=soa_kovaEsik2,"8-30",IF($R196&lt;=soa_kovaEsik3,"31-90","90+")))))</f>
        <v/>
      </c>
      <c r="T196" s="29">
        <f>IF($A196="","",IF($B196="","YETİM",IF(COUNTIF(tblKartlar[KartId],$B196)=0,"YETİM","")))</f>
        <v/>
      </c>
      <c r="U196" s="29">
        <f>IF(OR($A196="",$F196=""),"",IF(OR($F196&amp;"|"&amp;$G196="",COUNTIF(ListeIzinliGecis,$F196&amp;"|"&amp;$G196)&gt;0),"","GEÇERSİZ GEÇİŞ"))</f>
        <v/>
      </c>
      <c r="V196" s="29">
        <f>IF($A196="","",IF(OR($P196="",$J196=""),"",IF(ABS($J196-$P196)&gt;zincirTolerans,"ZİNCİR KIRIK","OK")))</f>
        <v/>
      </c>
      <c r="W196" s="29">
        <f>IF($A196="","",1)</f>
        <v/>
      </c>
      <c r="X196" s="29">
        <f>IF($A196="","",$K196*$I196)</f>
        <v/>
      </c>
    </row>
    <row r="197">
      <c r="A197" s="27" t="n"/>
      <c r="B197" s="27" t="n"/>
      <c r="C197" s="27" t="n"/>
      <c r="D197" s="30" t="n"/>
      <c r="E197" s="30" t="n"/>
      <c r="F197" s="27" t="n"/>
      <c r="G197" s="27" t="n"/>
      <c r="H197" s="28" t="n"/>
      <c r="I197" s="31" t="n"/>
      <c r="J197" s="31" t="n"/>
      <c r="K197" s="28" t="n"/>
      <c r="L197" s="32" t="n"/>
      <c r="M197" s="27" t="n"/>
      <c r="N197" s="27" t="n"/>
      <c r="O197" s="27" t="n"/>
      <c r="P197" s="29">
        <f>IF($A197="","",$H197*$I197)</f>
        <v/>
      </c>
      <c r="Q197" s="29">
        <f>IF(OR($A197="",$G197="KAPALI"),"",IF($L197&gt;soa_esikOluGun,"ÖLÜ",""))</f>
        <v/>
      </c>
      <c r="R197" s="29">
        <f>IF($A197="","",IF($E197="","",raporTarihi-$E197))</f>
        <v/>
      </c>
      <c r="S197" s="29">
        <f>IF($A197="","",IF($R197="","",IF($R197&lt;=soa_kovaEsik1,"0-7",IF($R197&lt;=soa_kovaEsik2,"8-30",IF($R197&lt;=soa_kovaEsik3,"31-90","90+")))))</f>
        <v/>
      </c>
      <c r="T197" s="29">
        <f>IF($A197="","",IF($B197="","YETİM",IF(COUNTIF(tblKartlar[KartId],$B197)=0,"YETİM","")))</f>
        <v/>
      </c>
      <c r="U197" s="29">
        <f>IF(OR($A197="",$F197=""),"",IF(OR($F197&amp;"|"&amp;$G197="",COUNTIF(ListeIzinliGecis,$F197&amp;"|"&amp;$G197)&gt;0),"","GEÇERSİZ GEÇİŞ"))</f>
        <v/>
      </c>
      <c r="V197" s="29">
        <f>IF($A197="","",IF(OR($P197="",$J197=""),"",IF(ABS($J197-$P197)&gt;zincirTolerans,"ZİNCİR KIRIK","OK")))</f>
        <v/>
      </c>
      <c r="W197" s="29">
        <f>IF($A197="","",1)</f>
        <v/>
      </c>
      <c r="X197" s="29">
        <f>IF($A197="","",$K197*$I197)</f>
        <v/>
      </c>
    </row>
    <row r="198">
      <c r="A198" s="27" t="n"/>
      <c r="B198" s="27" t="n"/>
      <c r="C198" s="27" t="n"/>
      <c r="D198" s="30" t="n"/>
      <c r="E198" s="30" t="n"/>
      <c r="F198" s="27" t="n"/>
      <c r="G198" s="27" t="n"/>
      <c r="H198" s="28" t="n"/>
      <c r="I198" s="31" t="n"/>
      <c r="J198" s="31" t="n"/>
      <c r="K198" s="28" t="n"/>
      <c r="L198" s="32" t="n"/>
      <c r="M198" s="27" t="n"/>
      <c r="N198" s="27" t="n"/>
      <c r="O198" s="27" t="n"/>
      <c r="P198" s="29">
        <f>IF($A198="","",$H198*$I198)</f>
        <v/>
      </c>
      <c r="Q198" s="29">
        <f>IF(OR($A198="",$G198="KAPALI"),"",IF($L198&gt;soa_esikOluGun,"ÖLÜ",""))</f>
        <v/>
      </c>
      <c r="R198" s="29">
        <f>IF($A198="","",IF($E198="","",raporTarihi-$E198))</f>
        <v/>
      </c>
      <c r="S198" s="29">
        <f>IF($A198="","",IF($R198="","",IF($R198&lt;=soa_kovaEsik1,"0-7",IF($R198&lt;=soa_kovaEsik2,"8-30",IF($R198&lt;=soa_kovaEsik3,"31-90","90+")))))</f>
        <v/>
      </c>
      <c r="T198" s="29">
        <f>IF($A198="","",IF($B198="","YETİM",IF(COUNTIF(tblKartlar[KartId],$B198)=0,"YETİM","")))</f>
        <v/>
      </c>
      <c r="U198" s="29">
        <f>IF(OR($A198="",$F198=""),"",IF(OR($F198&amp;"|"&amp;$G198="",COUNTIF(ListeIzinliGecis,$F198&amp;"|"&amp;$G198)&gt;0),"","GEÇERSİZ GEÇİŞ"))</f>
        <v/>
      </c>
      <c r="V198" s="29">
        <f>IF($A198="","",IF(OR($P198="",$J198=""),"",IF(ABS($J198-$P198)&gt;zincirTolerans,"ZİNCİR KIRIK","OK")))</f>
        <v/>
      </c>
      <c r="W198" s="29">
        <f>IF($A198="","",1)</f>
        <v/>
      </c>
      <c r="X198" s="29">
        <f>IF($A198="","",$K198*$I198)</f>
        <v/>
      </c>
    </row>
    <row r="199">
      <c r="A199" s="27" t="n"/>
      <c r="B199" s="27" t="n"/>
      <c r="C199" s="27" t="n"/>
      <c r="D199" s="30" t="n"/>
      <c r="E199" s="30" t="n"/>
      <c r="F199" s="27" t="n"/>
      <c r="G199" s="27" t="n"/>
      <c r="H199" s="28" t="n"/>
      <c r="I199" s="31" t="n"/>
      <c r="J199" s="31" t="n"/>
      <c r="K199" s="28" t="n"/>
      <c r="L199" s="32" t="n"/>
      <c r="M199" s="27" t="n"/>
      <c r="N199" s="27" t="n"/>
      <c r="O199" s="27" t="n"/>
      <c r="P199" s="29">
        <f>IF($A199="","",$H199*$I199)</f>
        <v/>
      </c>
      <c r="Q199" s="29">
        <f>IF(OR($A199="",$G199="KAPALI"),"",IF($L199&gt;soa_esikOluGun,"ÖLÜ",""))</f>
        <v/>
      </c>
      <c r="R199" s="29">
        <f>IF($A199="","",IF($E199="","",raporTarihi-$E199))</f>
        <v/>
      </c>
      <c r="S199" s="29">
        <f>IF($A199="","",IF($R199="","",IF($R199&lt;=soa_kovaEsik1,"0-7",IF($R199&lt;=soa_kovaEsik2,"8-30",IF($R199&lt;=soa_kovaEsik3,"31-90","90+")))))</f>
        <v/>
      </c>
      <c r="T199" s="29">
        <f>IF($A199="","",IF($B199="","YETİM",IF(COUNTIF(tblKartlar[KartId],$B199)=0,"YETİM","")))</f>
        <v/>
      </c>
      <c r="U199" s="29">
        <f>IF(OR($A199="",$F199=""),"",IF(OR($F199&amp;"|"&amp;$G199="",COUNTIF(ListeIzinliGecis,$F199&amp;"|"&amp;$G199)&gt;0),"","GEÇERSİZ GEÇİŞ"))</f>
        <v/>
      </c>
      <c r="V199" s="29">
        <f>IF($A199="","",IF(OR($P199="",$J199=""),"",IF(ABS($J199-$P199)&gt;zincirTolerans,"ZİNCİR KIRIK","OK")))</f>
        <v/>
      </c>
      <c r="W199" s="29">
        <f>IF($A199="","",1)</f>
        <v/>
      </c>
      <c r="X199" s="29">
        <f>IF($A199="","",$K199*$I199)</f>
        <v/>
      </c>
    </row>
    <row r="200">
      <c r="A200" s="27" t="n"/>
      <c r="B200" s="27" t="n"/>
      <c r="C200" s="27" t="n"/>
      <c r="D200" s="30" t="n"/>
      <c r="E200" s="30" t="n"/>
      <c r="F200" s="27" t="n"/>
      <c r="G200" s="27" t="n"/>
      <c r="H200" s="28" t="n"/>
      <c r="I200" s="31" t="n"/>
      <c r="J200" s="31" t="n"/>
      <c r="K200" s="28" t="n"/>
      <c r="L200" s="32" t="n"/>
      <c r="M200" s="27" t="n"/>
      <c r="N200" s="27" t="n"/>
      <c r="O200" s="27" t="n"/>
      <c r="P200" s="29">
        <f>IF($A200="","",$H200*$I200)</f>
        <v/>
      </c>
      <c r="Q200" s="29">
        <f>IF(OR($A200="",$G200="KAPALI"),"",IF($L200&gt;soa_esikOluGun,"ÖLÜ",""))</f>
        <v/>
      </c>
      <c r="R200" s="29">
        <f>IF($A200="","",IF($E200="","",raporTarihi-$E200))</f>
        <v/>
      </c>
      <c r="S200" s="29">
        <f>IF($A200="","",IF($R200="","",IF($R200&lt;=soa_kovaEsik1,"0-7",IF($R200&lt;=soa_kovaEsik2,"8-30",IF($R200&lt;=soa_kovaEsik3,"31-90","90+")))))</f>
        <v/>
      </c>
      <c r="T200" s="29">
        <f>IF($A200="","",IF($B200="","YETİM",IF(COUNTIF(tblKartlar[KartId],$B200)=0,"YETİM","")))</f>
        <v/>
      </c>
      <c r="U200" s="29">
        <f>IF(OR($A200="",$F200=""),"",IF(OR($F200&amp;"|"&amp;$G200="",COUNTIF(ListeIzinliGecis,$F200&amp;"|"&amp;$G200)&gt;0),"","GEÇERSİZ GEÇİŞ"))</f>
        <v/>
      </c>
      <c r="V200" s="29">
        <f>IF($A200="","",IF(OR($P200="",$J200=""),"",IF(ABS($J200-$P200)&gt;zincirTolerans,"ZİNCİR KIRIK","OK")))</f>
        <v/>
      </c>
      <c r="W200" s="29">
        <f>IF($A200="","",1)</f>
        <v/>
      </c>
      <c r="X200" s="29">
        <f>IF($A200="","",$K200*$I200)</f>
        <v/>
      </c>
    </row>
    <row r="201">
      <c r="A201" s="27" t="n"/>
      <c r="B201" s="27" t="n"/>
      <c r="C201" s="27" t="n"/>
      <c r="D201" s="30" t="n"/>
      <c r="E201" s="30" t="n"/>
      <c r="F201" s="27" t="n"/>
      <c r="G201" s="27" t="n"/>
      <c r="H201" s="28" t="n"/>
      <c r="I201" s="31" t="n"/>
      <c r="J201" s="31" t="n"/>
      <c r="K201" s="28" t="n"/>
      <c r="L201" s="32" t="n"/>
      <c r="M201" s="27" t="n"/>
      <c r="N201" s="27" t="n"/>
      <c r="O201" s="27" t="n"/>
      <c r="P201" s="29">
        <f>IF($A201="","",$H201*$I201)</f>
        <v/>
      </c>
      <c r="Q201" s="29">
        <f>IF(OR($A201="",$G201="KAPALI"),"",IF($L201&gt;soa_esikOluGun,"ÖLÜ",""))</f>
        <v/>
      </c>
      <c r="R201" s="29">
        <f>IF($A201="","",IF($E201="","",raporTarihi-$E201))</f>
        <v/>
      </c>
      <c r="S201" s="29">
        <f>IF($A201="","",IF($R201="","",IF($R201&lt;=soa_kovaEsik1,"0-7",IF($R201&lt;=soa_kovaEsik2,"8-30",IF($R201&lt;=soa_kovaEsik3,"31-90","90+")))))</f>
        <v/>
      </c>
      <c r="T201" s="29">
        <f>IF($A201="","",IF($B201="","YETİM",IF(COUNTIF(tblKartlar[KartId],$B201)=0,"YETİM","")))</f>
        <v/>
      </c>
      <c r="U201" s="29">
        <f>IF(OR($A201="",$F201=""),"",IF(OR($F201&amp;"|"&amp;$G201="",COUNTIF(ListeIzinliGecis,$F201&amp;"|"&amp;$G201)&gt;0),"","GEÇERSİZ GEÇİŞ"))</f>
        <v/>
      </c>
      <c r="V201" s="29">
        <f>IF($A201="","",IF(OR($P201="",$J201=""),"",IF(ABS($J201-$P201)&gt;zincirTolerans,"ZİNCİR KIRIK","OK")))</f>
        <v/>
      </c>
      <c r="W201" s="29">
        <f>IF($A201="","",1)</f>
        <v/>
      </c>
      <c r="X201" s="29">
        <f>IF($A201="","",$K201*$I201)</f>
        <v/>
      </c>
    </row>
    <row r="202">
      <c r="A202" s="27" t="n"/>
      <c r="B202" s="27" t="n"/>
      <c r="C202" s="27" t="n"/>
      <c r="D202" s="30" t="n"/>
      <c r="E202" s="30" t="n"/>
      <c r="F202" s="27" t="n"/>
      <c r="G202" s="27" t="n"/>
      <c r="H202" s="28" t="n"/>
      <c r="I202" s="31" t="n"/>
      <c r="J202" s="31" t="n"/>
      <c r="K202" s="28" t="n"/>
      <c r="L202" s="32" t="n"/>
      <c r="M202" s="27" t="n"/>
      <c r="N202" s="27" t="n"/>
      <c r="O202" s="27" t="n"/>
      <c r="P202" s="29">
        <f>IF($A202="","",$H202*$I202)</f>
        <v/>
      </c>
      <c r="Q202" s="29">
        <f>IF(OR($A202="",$G202="KAPALI"),"",IF($L202&gt;soa_esikOluGun,"ÖLÜ",""))</f>
        <v/>
      </c>
      <c r="R202" s="29">
        <f>IF($A202="","",IF($E202="","",raporTarihi-$E202))</f>
        <v/>
      </c>
      <c r="S202" s="29">
        <f>IF($A202="","",IF($R202="","",IF($R202&lt;=soa_kovaEsik1,"0-7",IF($R202&lt;=soa_kovaEsik2,"8-30",IF($R202&lt;=soa_kovaEsik3,"31-90","90+")))))</f>
        <v/>
      </c>
      <c r="T202" s="29">
        <f>IF($A202="","",IF($B202="","YETİM",IF(COUNTIF(tblKartlar[KartId],$B202)=0,"YETİM","")))</f>
        <v/>
      </c>
      <c r="U202" s="29">
        <f>IF(OR($A202="",$F202=""),"",IF(OR($F202&amp;"|"&amp;$G202="",COUNTIF(ListeIzinliGecis,$F202&amp;"|"&amp;$G202)&gt;0),"","GEÇERSİZ GEÇİŞ"))</f>
        <v/>
      </c>
      <c r="V202" s="29">
        <f>IF($A202="","",IF(OR($P202="",$J202=""),"",IF(ABS($J202-$P202)&gt;zincirTolerans,"ZİNCİR KIRIK","OK")))</f>
        <v/>
      </c>
      <c r="W202" s="29">
        <f>IF($A202="","",1)</f>
        <v/>
      </c>
      <c r="X202" s="29">
        <f>IF($A202="","",$K202*$I202)</f>
        <v/>
      </c>
    </row>
    <row r="203">
      <c r="A203" s="27" t="n"/>
      <c r="B203" s="27" t="n"/>
      <c r="C203" s="27" t="n"/>
      <c r="D203" s="30" t="n"/>
      <c r="E203" s="30" t="n"/>
      <c r="F203" s="27" t="n"/>
      <c r="G203" s="27" t="n"/>
      <c r="H203" s="28" t="n"/>
      <c r="I203" s="31" t="n"/>
      <c r="J203" s="31" t="n"/>
      <c r="K203" s="28" t="n"/>
      <c r="L203" s="32" t="n"/>
      <c r="M203" s="27" t="n"/>
      <c r="N203" s="27" t="n"/>
      <c r="O203" s="27" t="n"/>
      <c r="P203" s="29">
        <f>IF($A203="","",$H203*$I203)</f>
        <v/>
      </c>
      <c r="Q203" s="29">
        <f>IF(OR($A203="",$G203="KAPALI"),"",IF($L203&gt;soa_esikOluGun,"ÖLÜ",""))</f>
        <v/>
      </c>
      <c r="R203" s="29">
        <f>IF($A203="","",IF($E203="","",raporTarihi-$E203))</f>
        <v/>
      </c>
      <c r="S203" s="29">
        <f>IF($A203="","",IF($R203="","",IF($R203&lt;=soa_kovaEsik1,"0-7",IF($R203&lt;=soa_kovaEsik2,"8-30",IF($R203&lt;=soa_kovaEsik3,"31-90","90+")))))</f>
        <v/>
      </c>
      <c r="T203" s="29">
        <f>IF($A203="","",IF($B203="","YETİM",IF(COUNTIF(tblKartlar[KartId],$B203)=0,"YETİM","")))</f>
        <v/>
      </c>
      <c r="U203" s="29">
        <f>IF(OR($A203="",$F203=""),"",IF(OR($F203&amp;"|"&amp;$G203="",COUNTIF(ListeIzinliGecis,$F203&amp;"|"&amp;$G203)&gt;0),"","GEÇERSİZ GEÇİŞ"))</f>
        <v/>
      </c>
      <c r="V203" s="29">
        <f>IF($A203="","",IF(OR($P203="",$J203=""),"",IF(ABS($J203-$P203)&gt;zincirTolerans,"ZİNCİR KIRIK","OK")))</f>
        <v/>
      </c>
      <c r="W203" s="29">
        <f>IF($A203="","",1)</f>
        <v/>
      </c>
      <c r="X203" s="29">
        <f>IF($A203="","",$K203*$I203)</f>
        <v/>
      </c>
    </row>
    <row r="204">
      <c r="A204" s="27" t="n"/>
      <c r="B204" s="27" t="n"/>
      <c r="C204" s="27" t="n"/>
      <c r="D204" s="30" t="n"/>
      <c r="E204" s="30" t="n"/>
      <c r="F204" s="27" t="n"/>
      <c r="G204" s="27" t="n"/>
      <c r="H204" s="28" t="n"/>
      <c r="I204" s="31" t="n"/>
      <c r="J204" s="31" t="n"/>
      <c r="K204" s="28" t="n"/>
      <c r="L204" s="32" t="n"/>
      <c r="M204" s="27" t="n"/>
      <c r="N204" s="27" t="n"/>
      <c r="O204" s="27" t="n"/>
      <c r="P204" s="29">
        <f>IF($A204="","",$H204*$I204)</f>
        <v/>
      </c>
      <c r="Q204" s="29">
        <f>IF(OR($A204="",$G204="KAPALI"),"",IF($L204&gt;soa_esikOluGun,"ÖLÜ",""))</f>
        <v/>
      </c>
      <c r="R204" s="29">
        <f>IF($A204="","",IF($E204="","",raporTarihi-$E204))</f>
        <v/>
      </c>
      <c r="S204" s="29">
        <f>IF($A204="","",IF($R204="","",IF($R204&lt;=soa_kovaEsik1,"0-7",IF($R204&lt;=soa_kovaEsik2,"8-30",IF($R204&lt;=soa_kovaEsik3,"31-90","90+")))))</f>
        <v/>
      </c>
      <c r="T204" s="29">
        <f>IF($A204="","",IF($B204="","YETİM",IF(COUNTIF(tblKartlar[KartId],$B204)=0,"YETİM","")))</f>
        <v/>
      </c>
      <c r="U204" s="29">
        <f>IF(OR($A204="",$F204=""),"",IF(OR($F204&amp;"|"&amp;$G204="",COUNTIF(ListeIzinliGecis,$F204&amp;"|"&amp;$G204)&gt;0),"","GEÇERSİZ GEÇİŞ"))</f>
        <v/>
      </c>
      <c r="V204" s="29">
        <f>IF($A204="","",IF(OR($P204="",$J204=""),"",IF(ABS($J204-$P204)&gt;zincirTolerans,"ZİNCİR KIRIK","OK")))</f>
        <v/>
      </c>
      <c r="W204" s="29">
        <f>IF($A204="","",1)</f>
        <v/>
      </c>
      <c r="X204" s="29">
        <f>IF($A204="","",$K204*$I204)</f>
        <v/>
      </c>
    </row>
    <row r="205">
      <c r="A205" s="27" t="n"/>
      <c r="B205" s="27" t="n"/>
      <c r="C205" s="27" t="n"/>
      <c r="D205" s="30" t="n"/>
      <c r="E205" s="30" t="n"/>
      <c r="F205" s="27" t="n"/>
      <c r="G205" s="27" t="n"/>
      <c r="H205" s="28" t="n"/>
      <c r="I205" s="31" t="n"/>
      <c r="J205" s="31" t="n"/>
      <c r="K205" s="28" t="n"/>
      <c r="L205" s="32" t="n"/>
      <c r="M205" s="27" t="n"/>
      <c r="N205" s="27" t="n"/>
      <c r="O205" s="27" t="n"/>
      <c r="P205" s="29">
        <f>IF($A205="","",$H205*$I205)</f>
        <v/>
      </c>
      <c r="Q205" s="29">
        <f>IF(OR($A205="",$G205="KAPALI"),"",IF($L205&gt;soa_esikOluGun,"ÖLÜ",""))</f>
        <v/>
      </c>
      <c r="R205" s="29">
        <f>IF($A205="","",IF($E205="","",raporTarihi-$E205))</f>
        <v/>
      </c>
      <c r="S205" s="29">
        <f>IF($A205="","",IF($R205="","",IF($R205&lt;=soa_kovaEsik1,"0-7",IF($R205&lt;=soa_kovaEsik2,"8-30",IF($R205&lt;=soa_kovaEsik3,"31-90","90+")))))</f>
        <v/>
      </c>
      <c r="T205" s="29">
        <f>IF($A205="","",IF($B205="","YETİM",IF(COUNTIF(tblKartlar[KartId],$B205)=0,"YETİM","")))</f>
        <v/>
      </c>
      <c r="U205" s="29">
        <f>IF(OR($A205="",$F205=""),"",IF(OR($F205&amp;"|"&amp;$G205="",COUNTIF(ListeIzinliGecis,$F205&amp;"|"&amp;$G205)&gt;0),"","GEÇERSİZ GEÇİŞ"))</f>
        <v/>
      </c>
      <c r="V205" s="29">
        <f>IF($A205="","",IF(OR($P205="",$J205=""),"",IF(ABS($J205-$P205)&gt;zincirTolerans,"ZİNCİR KIRIK","OK")))</f>
        <v/>
      </c>
      <c r="W205" s="29">
        <f>IF($A205="","",1)</f>
        <v/>
      </c>
      <c r="X205" s="29">
        <f>IF($A205="","",$K205*$I205)</f>
        <v/>
      </c>
    </row>
    <row r="206">
      <c r="A206" s="27" t="n"/>
      <c r="B206" s="27" t="n"/>
      <c r="C206" s="27" t="n"/>
      <c r="D206" s="30" t="n"/>
      <c r="E206" s="30" t="n"/>
      <c r="F206" s="27" t="n"/>
      <c r="G206" s="27" t="n"/>
      <c r="H206" s="28" t="n"/>
      <c r="I206" s="31" t="n"/>
      <c r="J206" s="31" t="n"/>
      <c r="K206" s="28" t="n"/>
      <c r="L206" s="32" t="n"/>
      <c r="M206" s="27" t="n"/>
      <c r="N206" s="27" t="n"/>
      <c r="O206" s="27" t="n"/>
      <c r="P206" s="29">
        <f>IF($A206="","",$H206*$I206)</f>
        <v/>
      </c>
      <c r="Q206" s="29">
        <f>IF(OR($A206="",$G206="KAPALI"),"",IF($L206&gt;soa_esikOluGun,"ÖLÜ",""))</f>
        <v/>
      </c>
      <c r="R206" s="29">
        <f>IF($A206="","",IF($E206="","",raporTarihi-$E206))</f>
        <v/>
      </c>
      <c r="S206" s="29">
        <f>IF($A206="","",IF($R206="","",IF($R206&lt;=soa_kovaEsik1,"0-7",IF($R206&lt;=soa_kovaEsik2,"8-30",IF($R206&lt;=soa_kovaEsik3,"31-90","90+")))))</f>
        <v/>
      </c>
      <c r="T206" s="29">
        <f>IF($A206="","",IF($B206="","YETİM",IF(COUNTIF(tblKartlar[KartId],$B206)=0,"YETİM","")))</f>
        <v/>
      </c>
      <c r="U206" s="29">
        <f>IF(OR($A206="",$F206=""),"",IF(OR($F206&amp;"|"&amp;$G206="",COUNTIF(ListeIzinliGecis,$F206&amp;"|"&amp;$G206)&gt;0),"","GEÇERSİZ GEÇİŞ"))</f>
        <v/>
      </c>
      <c r="V206" s="29">
        <f>IF($A206="","",IF(OR($P206="",$J206=""),"",IF(ABS($J206-$P206)&gt;zincirTolerans,"ZİNCİR KIRIK","OK")))</f>
        <v/>
      </c>
      <c r="W206" s="29">
        <f>IF($A206="","",1)</f>
        <v/>
      </c>
      <c r="X206" s="29">
        <f>IF($A206="","",$K206*$I206)</f>
        <v/>
      </c>
    </row>
    <row r="207">
      <c r="A207" s="27" t="n"/>
      <c r="B207" s="27" t="n"/>
      <c r="C207" s="27" t="n"/>
      <c r="D207" s="30" t="n"/>
      <c r="E207" s="30" t="n"/>
      <c r="F207" s="27" t="n"/>
      <c r="G207" s="27" t="n"/>
      <c r="H207" s="28" t="n"/>
      <c r="I207" s="31" t="n"/>
      <c r="J207" s="31" t="n"/>
      <c r="K207" s="28" t="n"/>
      <c r="L207" s="32" t="n"/>
      <c r="M207" s="27" t="n"/>
      <c r="N207" s="27" t="n"/>
      <c r="O207" s="27" t="n"/>
      <c r="P207" s="29">
        <f>IF($A207="","",$H207*$I207)</f>
        <v/>
      </c>
      <c r="Q207" s="29">
        <f>IF(OR($A207="",$G207="KAPALI"),"",IF($L207&gt;soa_esikOluGun,"ÖLÜ",""))</f>
        <v/>
      </c>
      <c r="R207" s="29">
        <f>IF($A207="","",IF($E207="","",raporTarihi-$E207))</f>
        <v/>
      </c>
      <c r="S207" s="29">
        <f>IF($A207="","",IF($R207="","",IF($R207&lt;=soa_kovaEsik1,"0-7",IF($R207&lt;=soa_kovaEsik2,"8-30",IF($R207&lt;=soa_kovaEsik3,"31-90","90+")))))</f>
        <v/>
      </c>
      <c r="T207" s="29">
        <f>IF($A207="","",IF($B207="","YETİM",IF(COUNTIF(tblKartlar[KartId],$B207)=0,"YETİM","")))</f>
        <v/>
      </c>
      <c r="U207" s="29">
        <f>IF(OR($A207="",$F207=""),"",IF(OR($F207&amp;"|"&amp;$G207="",COUNTIF(ListeIzinliGecis,$F207&amp;"|"&amp;$G207)&gt;0),"","GEÇERSİZ GEÇİŞ"))</f>
        <v/>
      </c>
      <c r="V207" s="29">
        <f>IF($A207="","",IF(OR($P207="",$J207=""),"",IF(ABS($J207-$P207)&gt;zincirTolerans,"ZİNCİR KIRIK","OK")))</f>
        <v/>
      </c>
      <c r="W207" s="29">
        <f>IF($A207="","",1)</f>
        <v/>
      </c>
      <c r="X207" s="29">
        <f>IF($A207="","",$K207*$I207)</f>
        <v/>
      </c>
    </row>
    <row r="208">
      <c r="A208" s="27" t="n"/>
      <c r="B208" s="27" t="n"/>
      <c r="C208" s="27" t="n"/>
      <c r="D208" s="30" t="n"/>
      <c r="E208" s="30" t="n"/>
      <c r="F208" s="27" t="n"/>
      <c r="G208" s="27" t="n"/>
      <c r="H208" s="28" t="n"/>
      <c r="I208" s="31" t="n"/>
      <c r="J208" s="31" t="n"/>
      <c r="K208" s="28" t="n"/>
      <c r="L208" s="32" t="n"/>
      <c r="M208" s="27" t="n"/>
      <c r="N208" s="27" t="n"/>
      <c r="O208" s="27" t="n"/>
      <c r="P208" s="29">
        <f>IF($A208="","",$H208*$I208)</f>
        <v/>
      </c>
      <c r="Q208" s="29">
        <f>IF(OR($A208="",$G208="KAPALI"),"",IF($L208&gt;soa_esikOluGun,"ÖLÜ",""))</f>
        <v/>
      </c>
      <c r="R208" s="29">
        <f>IF($A208="","",IF($E208="","",raporTarihi-$E208))</f>
        <v/>
      </c>
      <c r="S208" s="29">
        <f>IF($A208="","",IF($R208="","",IF($R208&lt;=soa_kovaEsik1,"0-7",IF($R208&lt;=soa_kovaEsik2,"8-30",IF($R208&lt;=soa_kovaEsik3,"31-90","90+")))))</f>
        <v/>
      </c>
      <c r="T208" s="29">
        <f>IF($A208="","",IF($B208="","YETİM",IF(COUNTIF(tblKartlar[KartId],$B208)=0,"YETİM","")))</f>
        <v/>
      </c>
      <c r="U208" s="29">
        <f>IF(OR($A208="",$F208=""),"",IF(OR($F208&amp;"|"&amp;$G208="",COUNTIF(ListeIzinliGecis,$F208&amp;"|"&amp;$G208)&gt;0),"","GEÇERSİZ GEÇİŞ"))</f>
        <v/>
      </c>
      <c r="V208" s="29">
        <f>IF($A208="","",IF(OR($P208="",$J208=""),"",IF(ABS($J208-$P208)&gt;zincirTolerans,"ZİNCİR KIRIK","OK")))</f>
        <v/>
      </c>
      <c r="W208" s="29">
        <f>IF($A208="","",1)</f>
        <v/>
      </c>
      <c r="X208" s="29">
        <f>IF($A208="","",$K208*$I208)</f>
        <v/>
      </c>
    </row>
    <row r="209">
      <c r="A209" s="27" t="n"/>
      <c r="B209" s="27" t="n"/>
      <c r="C209" s="27" t="n"/>
      <c r="D209" s="30" t="n"/>
      <c r="E209" s="30" t="n"/>
      <c r="F209" s="27" t="n"/>
      <c r="G209" s="27" t="n"/>
      <c r="H209" s="28" t="n"/>
      <c r="I209" s="31" t="n"/>
      <c r="J209" s="31" t="n"/>
      <c r="K209" s="28" t="n"/>
      <c r="L209" s="32" t="n"/>
      <c r="M209" s="27" t="n"/>
      <c r="N209" s="27" t="n"/>
      <c r="O209" s="27" t="n"/>
      <c r="P209" s="29">
        <f>IF($A209="","",$H209*$I209)</f>
        <v/>
      </c>
      <c r="Q209" s="29">
        <f>IF(OR($A209="",$G209="KAPALI"),"",IF($L209&gt;soa_esikOluGun,"ÖLÜ",""))</f>
        <v/>
      </c>
      <c r="R209" s="29">
        <f>IF($A209="","",IF($E209="","",raporTarihi-$E209))</f>
        <v/>
      </c>
      <c r="S209" s="29">
        <f>IF($A209="","",IF($R209="","",IF($R209&lt;=soa_kovaEsik1,"0-7",IF($R209&lt;=soa_kovaEsik2,"8-30",IF($R209&lt;=soa_kovaEsik3,"31-90","90+")))))</f>
        <v/>
      </c>
      <c r="T209" s="29">
        <f>IF($A209="","",IF($B209="","YETİM",IF(COUNTIF(tblKartlar[KartId],$B209)=0,"YETİM","")))</f>
        <v/>
      </c>
      <c r="U209" s="29">
        <f>IF(OR($A209="",$F209=""),"",IF(OR($F209&amp;"|"&amp;$G209="",COUNTIF(ListeIzinliGecis,$F209&amp;"|"&amp;$G209)&gt;0),"","GEÇERSİZ GEÇİŞ"))</f>
        <v/>
      </c>
      <c r="V209" s="29">
        <f>IF($A209="","",IF(OR($P209="",$J209=""),"",IF(ABS($J209-$P209)&gt;zincirTolerans,"ZİNCİR KIRIK","OK")))</f>
        <v/>
      </c>
      <c r="W209" s="29">
        <f>IF($A209="","",1)</f>
        <v/>
      </c>
      <c r="X209" s="29">
        <f>IF($A209="","",$K209*$I209)</f>
        <v/>
      </c>
    </row>
    <row r="210">
      <c r="A210" s="27" t="n"/>
      <c r="B210" s="27" t="n"/>
      <c r="C210" s="27" t="n"/>
      <c r="D210" s="30" t="n"/>
      <c r="E210" s="30" t="n"/>
      <c r="F210" s="27" t="n"/>
      <c r="G210" s="27" t="n"/>
      <c r="H210" s="28" t="n"/>
      <c r="I210" s="31" t="n"/>
      <c r="J210" s="31" t="n"/>
      <c r="K210" s="28" t="n"/>
      <c r="L210" s="32" t="n"/>
      <c r="M210" s="27" t="n"/>
      <c r="N210" s="27" t="n"/>
      <c r="O210" s="27" t="n"/>
      <c r="P210" s="29">
        <f>IF($A210="","",$H210*$I210)</f>
        <v/>
      </c>
      <c r="Q210" s="29">
        <f>IF(OR($A210="",$G210="KAPALI"),"",IF($L210&gt;soa_esikOluGun,"ÖLÜ",""))</f>
        <v/>
      </c>
      <c r="R210" s="29">
        <f>IF($A210="","",IF($E210="","",raporTarihi-$E210))</f>
        <v/>
      </c>
      <c r="S210" s="29">
        <f>IF($A210="","",IF($R210="","",IF($R210&lt;=soa_kovaEsik1,"0-7",IF($R210&lt;=soa_kovaEsik2,"8-30",IF($R210&lt;=soa_kovaEsik3,"31-90","90+")))))</f>
        <v/>
      </c>
      <c r="T210" s="29">
        <f>IF($A210="","",IF($B210="","YETİM",IF(COUNTIF(tblKartlar[KartId],$B210)=0,"YETİM","")))</f>
        <v/>
      </c>
      <c r="U210" s="29">
        <f>IF(OR($A210="",$F210=""),"",IF(OR($F210&amp;"|"&amp;$G210="",COUNTIF(ListeIzinliGecis,$F210&amp;"|"&amp;$G210)&gt;0),"","GEÇERSİZ GEÇİŞ"))</f>
        <v/>
      </c>
      <c r="V210" s="29">
        <f>IF($A210="","",IF(OR($P210="",$J210=""),"",IF(ABS($J210-$P210)&gt;zincirTolerans,"ZİNCİR KIRIK","OK")))</f>
        <v/>
      </c>
      <c r="W210" s="29">
        <f>IF($A210="","",1)</f>
        <v/>
      </c>
      <c r="X210" s="29">
        <f>IF($A210="","",$K210*$I210)</f>
        <v/>
      </c>
    </row>
    <row r="211">
      <c r="A211" s="27" t="n"/>
      <c r="B211" s="27" t="n"/>
      <c r="C211" s="27" t="n"/>
      <c r="D211" s="30" t="n"/>
      <c r="E211" s="30" t="n"/>
      <c r="F211" s="27" t="n"/>
      <c r="G211" s="27" t="n"/>
      <c r="H211" s="28" t="n"/>
      <c r="I211" s="31" t="n"/>
      <c r="J211" s="31" t="n"/>
      <c r="K211" s="28" t="n"/>
      <c r="L211" s="32" t="n"/>
      <c r="M211" s="27" t="n"/>
      <c r="N211" s="27" t="n"/>
      <c r="O211" s="27" t="n"/>
      <c r="P211" s="29">
        <f>IF($A211="","",$H211*$I211)</f>
        <v/>
      </c>
      <c r="Q211" s="29">
        <f>IF(OR($A211="",$G211="KAPALI"),"",IF($L211&gt;soa_esikOluGun,"ÖLÜ",""))</f>
        <v/>
      </c>
      <c r="R211" s="29">
        <f>IF($A211="","",IF($E211="","",raporTarihi-$E211))</f>
        <v/>
      </c>
      <c r="S211" s="29">
        <f>IF($A211="","",IF($R211="","",IF($R211&lt;=soa_kovaEsik1,"0-7",IF($R211&lt;=soa_kovaEsik2,"8-30",IF($R211&lt;=soa_kovaEsik3,"31-90","90+")))))</f>
        <v/>
      </c>
      <c r="T211" s="29">
        <f>IF($A211="","",IF($B211="","YETİM",IF(COUNTIF(tblKartlar[KartId],$B211)=0,"YETİM","")))</f>
        <v/>
      </c>
      <c r="U211" s="29">
        <f>IF(OR($A211="",$F211=""),"",IF(OR($F211&amp;"|"&amp;$G211="",COUNTIF(ListeIzinliGecis,$F211&amp;"|"&amp;$G211)&gt;0),"","GEÇERSİZ GEÇİŞ"))</f>
        <v/>
      </c>
      <c r="V211" s="29">
        <f>IF($A211="","",IF(OR($P211="",$J211=""),"",IF(ABS($J211-$P211)&gt;zincirTolerans,"ZİNCİR KIRIK","OK")))</f>
        <v/>
      </c>
      <c r="W211" s="29">
        <f>IF($A211="","",1)</f>
        <v/>
      </c>
      <c r="X211" s="29">
        <f>IF($A211="","",$K211*$I211)</f>
        <v/>
      </c>
    </row>
    <row r="212">
      <c r="A212" s="27" t="n"/>
      <c r="B212" s="27" t="n"/>
      <c r="C212" s="27" t="n"/>
      <c r="D212" s="30" t="n"/>
      <c r="E212" s="30" t="n"/>
      <c r="F212" s="27" t="n"/>
      <c r="G212" s="27" t="n"/>
      <c r="H212" s="28" t="n"/>
      <c r="I212" s="31" t="n"/>
      <c r="J212" s="31" t="n"/>
      <c r="K212" s="28" t="n"/>
      <c r="L212" s="32" t="n"/>
      <c r="M212" s="27" t="n"/>
      <c r="N212" s="27" t="n"/>
      <c r="O212" s="27" t="n"/>
      <c r="P212" s="29">
        <f>IF($A212="","",$H212*$I212)</f>
        <v/>
      </c>
      <c r="Q212" s="29">
        <f>IF(OR($A212="",$G212="KAPALI"),"",IF($L212&gt;soa_esikOluGun,"ÖLÜ",""))</f>
        <v/>
      </c>
      <c r="R212" s="29">
        <f>IF($A212="","",IF($E212="","",raporTarihi-$E212))</f>
        <v/>
      </c>
      <c r="S212" s="29">
        <f>IF($A212="","",IF($R212="","",IF($R212&lt;=soa_kovaEsik1,"0-7",IF($R212&lt;=soa_kovaEsik2,"8-30",IF($R212&lt;=soa_kovaEsik3,"31-90","90+")))))</f>
        <v/>
      </c>
      <c r="T212" s="29">
        <f>IF($A212="","",IF($B212="","YETİM",IF(COUNTIF(tblKartlar[KartId],$B212)=0,"YETİM","")))</f>
        <v/>
      </c>
      <c r="U212" s="29">
        <f>IF(OR($A212="",$F212=""),"",IF(OR($F212&amp;"|"&amp;$G212="",COUNTIF(ListeIzinliGecis,$F212&amp;"|"&amp;$G212)&gt;0),"","GEÇERSİZ GEÇİŞ"))</f>
        <v/>
      </c>
      <c r="V212" s="29">
        <f>IF($A212="","",IF(OR($P212="",$J212=""),"",IF(ABS($J212-$P212)&gt;zincirTolerans,"ZİNCİR KIRIK","OK")))</f>
        <v/>
      </c>
      <c r="W212" s="29">
        <f>IF($A212="","",1)</f>
        <v/>
      </c>
      <c r="X212" s="29">
        <f>IF($A212="","",$K212*$I212)</f>
        <v/>
      </c>
    </row>
    <row r="213">
      <c r="A213" s="27" t="n"/>
      <c r="B213" s="27" t="n"/>
      <c r="C213" s="27" t="n"/>
      <c r="D213" s="30" t="n"/>
      <c r="E213" s="30" t="n"/>
      <c r="F213" s="27" t="n"/>
      <c r="G213" s="27" t="n"/>
      <c r="H213" s="28" t="n"/>
      <c r="I213" s="31" t="n"/>
      <c r="J213" s="31" t="n"/>
      <c r="K213" s="28" t="n"/>
      <c r="L213" s="32" t="n"/>
      <c r="M213" s="27" t="n"/>
      <c r="N213" s="27" t="n"/>
      <c r="O213" s="27" t="n"/>
      <c r="P213" s="29">
        <f>IF($A213="","",$H213*$I213)</f>
        <v/>
      </c>
      <c r="Q213" s="29">
        <f>IF(OR($A213="",$G213="KAPALI"),"",IF($L213&gt;soa_esikOluGun,"ÖLÜ",""))</f>
        <v/>
      </c>
      <c r="R213" s="29">
        <f>IF($A213="","",IF($E213="","",raporTarihi-$E213))</f>
        <v/>
      </c>
      <c r="S213" s="29">
        <f>IF($A213="","",IF($R213="","",IF($R213&lt;=soa_kovaEsik1,"0-7",IF($R213&lt;=soa_kovaEsik2,"8-30",IF($R213&lt;=soa_kovaEsik3,"31-90","90+")))))</f>
        <v/>
      </c>
      <c r="T213" s="29">
        <f>IF($A213="","",IF($B213="","YETİM",IF(COUNTIF(tblKartlar[KartId],$B213)=0,"YETİM","")))</f>
        <v/>
      </c>
      <c r="U213" s="29">
        <f>IF(OR($A213="",$F213=""),"",IF(OR($F213&amp;"|"&amp;$G213="",COUNTIF(ListeIzinliGecis,$F213&amp;"|"&amp;$G213)&gt;0),"","GEÇERSİZ GEÇİŞ"))</f>
        <v/>
      </c>
      <c r="V213" s="29">
        <f>IF($A213="","",IF(OR($P213="",$J213=""),"",IF(ABS($J213-$P213)&gt;zincirTolerans,"ZİNCİR KIRIK","OK")))</f>
        <v/>
      </c>
      <c r="W213" s="29">
        <f>IF($A213="","",1)</f>
        <v/>
      </c>
      <c r="X213" s="29">
        <f>IF($A213="","",$K213*$I213)</f>
        <v/>
      </c>
    </row>
    <row r="214">
      <c r="A214" s="27" t="n"/>
      <c r="B214" s="27" t="n"/>
      <c r="C214" s="27" t="n"/>
      <c r="D214" s="30" t="n"/>
      <c r="E214" s="30" t="n"/>
      <c r="F214" s="27" t="n"/>
      <c r="G214" s="27" t="n"/>
      <c r="H214" s="28" t="n"/>
      <c r="I214" s="31" t="n"/>
      <c r="J214" s="31" t="n"/>
      <c r="K214" s="28" t="n"/>
      <c r="L214" s="32" t="n"/>
      <c r="M214" s="27" t="n"/>
      <c r="N214" s="27" t="n"/>
      <c r="O214" s="27" t="n"/>
      <c r="P214" s="29">
        <f>IF($A214="","",$H214*$I214)</f>
        <v/>
      </c>
      <c r="Q214" s="29">
        <f>IF(OR($A214="",$G214="KAPALI"),"",IF($L214&gt;soa_esikOluGun,"ÖLÜ",""))</f>
        <v/>
      </c>
      <c r="R214" s="29">
        <f>IF($A214="","",IF($E214="","",raporTarihi-$E214))</f>
        <v/>
      </c>
      <c r="S214" s="29">
        <f>IF($A214="","",IF($R214="","",IF($R214&lt;=soa_kovaEsik1,"0-7",IF($R214&lt;=soa_kovaEsik2,"8-30",IF($R214&lt;=soa_kovaEsik3,"31-90","90+")))))</f>
        <v/>
      </c>
      <c r="T214" s="29">
        <f>IF($A214="","",IF($B214="","YETİM",IF(COUNTIF(tblKartlar[KartId],$B214)=0,"YETİM","")))</f>
        <v/>
      </c>
      <c r="U214" s="29">
        <f>IF(OR($A214="",$F214=""),"",IF(OR($F214&amp;"|"&amp;$G214="",COUNTIF(ListeIzinliGecis,$F214&amp;"|"&amp;$G214)&gt;0),"","GEÇERSİZ GEÇİŞ"))</f>
        <v/>
      </c>
      <c r="V214" s="29">
        <f>IF($A214="","",IF(OR($P214="",$J214=""),"",IF(ABS($J214-$P214)&gt;zincirTolerans,"ZİNCİR KIRIK","OK")))</f>
        <v/>
      </c>
      <c r="W214" s="29">
        <f>IF($A214="","",1)</f>
        <v/>
      </c>
      <c r="X214" s="29">
        <f>IF($A214="","",$K214*$I214)</f>
        <v/>
      </c>
    </row>
    <row r="215">
      <c r="A215" s="27" t="n"/>
      <c r="B215" s="27" t="n"/>
      <c r="C215" s="27" t="n"/>
      <c r="D215" s="30" t="n"/>
      <c r="E215" s="30" t="n"/>
      <c r="F215" s="27" t="n"/>
      <c r="G215" s="27" t="n"/>
      <c r="H215" s="28" t="n"/>
      <c r="I215" s="31" t="n"/>
      <c r="J215" s="31" t="n"/>
      <c r="K215" s="28" t="n"/>
      <c r="L215" s="32" t="n"/>
      <c r="M215" s="27" t="n"/>
      <c r="N215" s="27" t="n"/>
      <c r="O215" s="27" t="n"/>
      <c r="P215" s="29">
        <f>IF($A215="","",$H215*$I215)</f>
        <v/>
      </c>
      <c r="Q215" s="29">
        <f>IF(OR($A215="",$G215="KAPALI"),"",IF($L215&gt;soa_esikOluGun,"ÖLÜ",""))</f>
        <v/>
      </c>
      <c r="R215" s="29">
        <f>IF($A215="","",IF($E215="","",raporTarihi-$E215))</f>
        <v/>
      </c>
      <c r="S215" s="29">
        <f>IF($A215="","",IF($R215="","",IF($R215&lt;=soa_kovaEsik1,"0-7",IF($R215&lt;=soa_kovaEsik2,"8-30",IF($R215&lt;=soa_kovaEsik3,"31-90","90+")))))</f>
        <v/>
      </c>
      <c r="T215" s="29">
        <f>IF($A215="","",IF($B215="","YETİM",IF(COUNTIF(tblKartlar[KartId],$B215)=0,"YETİM","")))</f>
        <v/>
      </c>
      <c r="U215" s="29">
        <f>IF(OR($A215="",$F215=""),"",IF(OR($F215&amp;"|"&amp;$G215="",COUNTIF(ListeIzinliGecis,$F215&amp;"|"&amp;$G215)&gt;0),"","GEÇERSİZ GEÇİŞ"))</f>
        <v/>
      </c>
      <c r="V215" s="29">
        <f>IF($A215="","",IF(OR($P215="",$J215=""),"",IF(ABS($J215-$P215)&gt;zincirTolerans,"ZİNCİR KIRIK","OK")))</f>
        <v/>
      </c>
      <c r="W215" s="29">
        <f>IF($A215="","",1)</f>
        <v/>
      </c>
      <c r="X215" s="29">
        <f>IF($A215="","",$K215*$I215)</f>
        <v/>
      </c>
    </row>
    <row r="216">
      <c r="A216" s="27" t="n"/>
      <c r="B216" s="27" t="n"/>
      <c r="C216" s="27" t="n"/>
      <c r="D216" s="30" t="n"/>
      <c r="E216" s="30" t="n"/>
      <c r="F216" s="27" t="n"/>
      <c r="G216" s="27" t="n"/>
      <c r="H216" s="28" t="n"/>
      <c r="I216" s="31" t="n"/>
      <c r="J216" s="31" t="n"/>
      <c r="K216" s="28" t="n"/>
      <c r="L216" s="32" t="n"/>
      <c r="M216" s="27" t="n"/>
      <c r="N216" s="27" t="n"/>
      <c r="O216" s="27" t="n"/>
      <c r="P216" s="29">
        <f>IF($A216="","",$H216*$I216)</f>
        <v/>
      </c>
      <c r="Q216" s="29">
        <f>IF(OR($A216="",$G216="KAPALI"),"",IF($L216&gt;soa_esikOluGun,"ÖLÜ",""))</f>
        <v/>
      </c>
      <c r="R216" s="29">
        <f>IF($A216="","",IF($E216="","",raporTarihi-$E216))</f>
        <v/>
      </c>
      <c r="S216" s="29">
        <f>IF($A216="","",IF($R216="","",IF($R216&lt;=soa_kovaEsik1,"0-7",IF($R216&lt;=soa_kovaEsik2,"8-30",IF($R216&lt;=soa_kovaEsik3,"31-90","90+")))))</f>
        <v/>
      </c>
      <c r="T216" s="29">
        <f>IF($A216="","",IF($B216="","YETİM",IF(COUNTIF(tblKartlar[KartId],$B216)=0,"YETİM","")))</f>
        <v/>
      </c>
      <c r="U216" s="29">
        <f>IF(OR($A216="",$F216=""),"",IF(OR($F216&amp;"|"&amp;$G216="",COUNTIF(ListeIzinliGecis,$F216&amp;"|"&amp;$G216)&gt;0),"","GEÇERSİZ GEÇİŞ"))</f>
        <v/>
      </c>
      <c r="V216" s="29">
        <f>IF($A216="","",IF(OR($P216="",$J216=""),"",IF(ABS($J216-$P216)&gt;zincirTolerans,"ZİNCİR KIRIK","OK")))</f>
        <v/>
      </c>
      <c r="W216" s="29">
        <f>IF($A216="","",1)</f>
        <v/>
      </c>
      <c r="X216" s="29">
        <f>IF($A216="","",$K216*$I216)</f>
        <v/>
      </c>
    </row>
    <row r="217">
      <c r="A217" s="27" t="n"/>
      <c r="B217" s="27" t="n"/>
      <c r="C217" s="27" t="n"/>
      <c r="D217" s="30" t="n"/>
      <c r="E217" s="30" t="n"/>
      <c r="F217" s="27" t="n"/>
      <c r="G217" s="27" t="n"/>
      <c r="H217" s="28" t="n"/>
      <c r="I217" s="31" t="n"/>
      <c r="J217" s="31" t="n"/>
      <c r="K217" s="28" t="n"/>
      <c r="L217" s="32" t="n"/>
      <c r="M217" s="27" t="n"/>
      <c r="N217" s="27" t="n"/>
      <c r="O217" s="27" t="n"/>
      <c r="P217" s="29">
        <f>IF($A217="","",$H217*$I217)</f>
        <v/>
      </c>
      <c r="Q217" s="29">
        <f>IF(OR($A217="",$G217="KAPALI"),"",IF($L217&gt;soa_esikOluGun,"ÖLÜ",""))</f>
        <v/>
      </c>
      <c r="R217" s="29">
        <f>IF($A217="","",IF($E217="","",raporTarihi-$E217))</f>
        <v/>
      </c>
      <c r="S217" s="29">
        <f>IF($A217="","",IF($R217="","",IF($R217&lt;=soa_kovaEsik1,"0-7",IF($R217&lt;=soa_kovaEsik2,"8-30",IF($R217&lt;=soa_kovaEsik3,"31-90","90+")))))</f>
        <v/>
      </c>
      <c r="T217" s="29">
        <f>IF($A217="","",IF($B217="","YETİM",IF(COUNTIF(tblKartlar[KartId],$B217)=0,"YETİM","")))</f>
        <v/>
      </c>
      <c r="U217" s="29">
        <f>IF(OR($A217="",$F217=""),"",IF(OR($F217&amp;"|"&amp;$G217="",COUNTIF(ListeIzinliGecis,$F217&amp;"|"&amp;$G217)&gt;0),"","GEÇERSİZ GEÇİŞ"))</f>
        <v/>
      </c>
      <c r="V217" s="29">
        <f>IF($A217="","",IF(OR($P217="",$J217=""),"",IF(ABS($J217-$P217)&gt;zincirTolerans,"ZİNCİR KIRIK","OK")))</f>
        <v/>
      </c>
      <c r="W217" s="29">
        <f>IF($A217="","",1)</f>
        <v/>
      </c>
      <c r="X217" s="29">
        <f>IF($A217="","",$K217*$I217)</f>
        <v/>
      </c>
    </row>
    <row r="218">
      <c r="A218" s="27" t="n"/>
      <c r="B218" s="27" t="n"/>
      <c r="C218" s="27" t="n"/>
      <c r="D218" s="30" t="n"/>
      <c r="E218" s="30" t="n"/>
      <c r="F218" s="27" t="n"/>
      <c r="G218" s="27" t="n"/>
      <c r="H218" s="28" t="n"/>
      <c r="I218" s="31" t="n"/>
      <c r="J218" s="31" t="n"/>
      <c r="K218" s="28" t="n"/>
      <c r="L218" s="32" t="n"/>
      <c r="M218" s="27" t="n"/>
      <c r="N218" s="27" t="n"/>
      <c r="O218" s="27" t="n"/>
      <c r="P218" s="29">
        <f>IF($A218="","",$H218*$I218)</f>
        <v/>
      </c>
      <c r="Q218" s="29">
        <f>IF(OR($A218="",$G218="KAPALI"),"",IF($L218&gt;soa_esikOluGun,"ÖLÜ",""))</f>
        <v/>
      </c>
      <c r="R218" s="29">
        <f>IF($A218="","",IF($E218="","",raporTarihi-$E218))</f>
        <v/>
      </c>
      <c r="S218" s="29">
        <f>IF($A218="","",IF($R218="","",IF($R218&lt;=soa_kovaEsik1,"0-7",IF($R218&lt;=soa_kovaEsik2,"8-30",IF($R218&lt;=soa_kovaEsik3,"31-90","90+")))))</f>
        <v/>
      </c>
      <c r="T218" s="29">
        <f>IF($A218="","",IF($B218="","YETİM",IF(COUNTIF(tblKartlar[KartId],$B218)=0,"YETİM","")))</f>
        <v/>
      </c>
      <c r="U218" s="29">
        <f>IF(OR($A218="",$F218=""),"",IF(OR($F218&amp;"|"&amp;$G218="",COUNTIF(ListeIzinliGecis,$F218&amp;"|"&amp;$G218)&gt;0),"","GEÇERSİZ GEÇİŞ"))</f>
        <v/>
      </c>
      <c r="V218" s="29">
        <f>IF($A218="","",IF(OR($P218="",$J218=""),"",IF(ABS($J218-$P218)&gt;zincirTolerans,"ZİNCİR KIRIK","OK")))</f>
        <v/>
      </c>
      <c r="W218" s="29">
        <f>IF($A218="","",1)</f>
        <v/>
      </c>
      <c r="X218" s="29">
        <f>IF($A218="","",$K218*$I218)</f>
        <v/>
      </c>
    </row>
    <row r="219">
      <c r="A219" s="27" t="n"/>
      <c r="B219" s="27" t="n"/>
      <c r="C219" s="27" t="n"/>
      <c r="D219" s="30" t="n"/>
      <c r="E219" s="30" t="n"/>
      <c r="F219" s="27" t="n"/>
      <c r="G219" s="27" t="n"/>
      <c r="H219" s="28" t="n"/>
      <c r="I219" s="31" t="n"/>
      <c r="J219" s="31" t="n"/>
      <c r="K219" s="28" t="n"/>
      <c r="L219" s="32" t="n"/>
      <c r="M219" s="27" t="n"/>
      <c r="N219" s="27" t="n"/>
      <c r="O219" s="27" t="n"/>
      <c r="P219" s="29">
        <f>IF($A219="","",$H219*$I219)</f>
        <v/>
      </c>
      <c r="Q219" s="29">
        <f>IF(OR($A219="",$G219="KAPALI"),"",IF($L219&gt;soa_esikOluGun,"ÖLÜ",""))</f>
        <v/>
      </c>
      <c r="R219" s="29">
        <f>IF($A219="","",IF($E219="","",raporTarihi-$E219))</f>
        <v/>
      </c>
      <c r="S219" s="29">
        <f>IF($A219="","",IF($R219="","",IF($R219&lt;=soa_kovaEsik1,"0-7",IF($R219&lt;=soa_kovaEsik2,"8-30",IF($R219&lt;=soa_kovaEsik3,"31-90","90+")))))</f>
        <v/>
      </c>
      <c r="T219" s="29">
        <f>IF($A219="","",IF($B219="","YETİM",IF(COUNTIF(tblKartlar[KartId],$B219)=0,"YETİM","")))</f>
        <v/>
      </c>
      <c r="U219" s="29">
        <f>IF(OR($A219="",$F219=""),"",IF(OR($F219&amp;"|"&amp;$G219="",COUNTIF(ListeIzinliGecis,$F219&amp;"|"&amp;$G219)&gt;0),"","GEÇERSİZ GEÇİŞ"))</f>
        <v/>
      </c>
      <c r="V219" s="29">
        <f>IF($A219="","",IF(OR($P219="",$J219=""),"",IF(ABS($J219-$P219)&gt;zincirTolerans,"ZİNCİR KIRIK","OK")))</f>
        <v/>
      </c>
      <c r="W219" s="29">
        <f>IF($A219="","",1)</f>
        <v/>
      </c>
      <c r="X219" s="29">
        <f>IF($A219="","",$K219*$I219)</f>
        <v/>
      </c>
    </row>
    <row r="220">
      <c r="A220" s="27" t="n"/>
      <c r="B220" s="27" t="n"/>
      <c r="C220" s="27" t="n"/>
      <c r="D220" s="30" t="n"/>
      <c r="E220" s="30" t="n"/>
      <c r="F220" s="27" t="n"/>
      <c r="G220" s="27" t="n"/>
      <c r="H220" s="28" t="n"/>
      <c r="I220" s="31" t="n"/>
      <c r="J220" s="31" t="n"/>
      <c r="K220" s="28" t="n"/>
      <c r="L220" s="32" t="n"/>
      <c r="M220" s="27" t="n"/>
      <c r="N220" s="27" t="n"/>
      <c r="O220" s="27" t="n"/>
      <c r="P220" s="29">
        <f>IF($A220="","",$H220*$I220)</f>
        <v/>
      </c>
      <c r="Q220" s="29">
        <f>IF(OR($A220="",$G220="KAPALI"),"",IF($L220&gt;soa_esikOluGun,"ÖLÜ",""))</f>
        <v/>
      </c>
      <c r="R220" s="29">
        <f>IF($A220="","",IF($E220="","",raporTarihi-$E220))</f>
        <v/>
      </c>
      <c r="S220" s="29">
        <f>IF($A220="","",IF($R220="","",IF($R220&lt;=soa_kovaEsik1,"0-7",IF($R220&lt;=soa_kovaEsik2,"8-30",IF($R220&lt;=soa_kovaEsik3,"31-90","90+")))))</f>
        <v/>
      </c>
      <c r="T220" s="29">
        <f>IF($A220="","",IF($B220="","YETİM",IF(COUNTIF(tblKartlar[KartId],$B220)=0,"YETİM","")))</f>
        <v/>
      </c>
      <c r="U220" s="29">
        <f>IF(OR($A220="",$F220=""),"",IF(OR($F220&amp;"|"&amp;$G220="",COUNTIF(ListeIzinliGecis,$F220&amp;"|"&amp;$G220)&gt;0),"","GEÇERSİZ GEÇİŞ"))</f>
        <v/>
      </c>
      <c r="V220" s="29">
        <f>IF($A220="","",IF(OR($P220="",$J220=""),"",IF(ABS($J220-$P220)&gt;zincirTolerans,"ZİNCİR KIRIK","OK")))</f>
        <v/>
      </c>
      <c r="W220" s="29">
        <f>IF($A220="","",1)</f>
        <v/>
      </c>
      <c r="X220" s="29">
        <f>IF($A220="","",$K220*$I220)</f>
        <v/>
      </c>
    </row>
    <row r="221">
      <c r="A221" s="27" t="n"/>
      <c r="B221" s="27" t="n"/>
      <c r="C221" s="27" t="n"/>
      <c r="D221" s="30" t="n"/>
      <c r="E221" s="30" t="n"/>
      <c r="F221" s="27" t="n"/>
      <c r="G221" s="27" t="n"/>
      <c r="H221" s="28" t="n"/>
      <c r="I221" s="31" t="n"/>
      <c r="J221" s="31" t="n"/>
      <c r="K221" s="28" t="n"/>
      <c r="L221" s="32" t="n"/>
      <c r="M221" s="27" t="n"/>
      <c r="N221" s="27" t="n"/>
      <c r="O221" s="27" t="n"/>
      <c r="P221" s="29">
        <f>IF($A221="","",$H221*$I221)</f>
        <v/>
      </c>
      <c r="Q221" s="29">
        <f>IF(OR($A221="",$G221="KAPALI"),"",IF($L221&gt;soa_esikOluGun,"ÖLÜ",""))</f>
        <v/>
      </c>
      <c r="R221" s="29">
        <f>IF($A221="","",IF($E221="","",raporTarihi-$E221))</f>
        <v/>
      </c>
      <c r="S221" s="29">
        <f>IF($A221="","",IF($R221="","",IF($R221&lt;=soa_kovaEsik1,"0-7",IF($R221&lt;=soa_kovaEsik2,"8-30",IF($R221&lt;=soa_kovaEsik3,"31-90","90+")))))</f>
        <v/>
      </c>
      <c r="T221" s="29">
        <f>IF($A221="","",IF($B221="","YETİM",IF(COUNTIF(tblKartlar[KartId],$B221)=0,"YETİM","")))</f>
        <v/>
      </c>
      <c r="U221" s="29">
        <f>IF(OR($A221="",$F221=""),"",IF(OR($F221&amp;"|"&amp;$G221="",COUNTIF(ListeIzinliGecis,$F221&amp;"|"&amp;$G221)&gt;0),"","GEÇERSİZ GEÇİŞ"))</f>
        <v/>
      </c>
      <c r="V221" s="29">
        <f>IF($A221="","",IF(OR($P221="",$J221=""),"",IF(ABS($J221-$P221)&gt;zincirTolerans,"ZİNCİR KIRIK","OK")))</f>
        <v/>
      </c>
      <c r="W221" s="29">
        <f>IF($A221="","",1)</f>
        <v/>
      </c>
      <c r="X221" s="29">
        <f>IF($A221="","",$K221*$I221)</f>
        <v/>
      </c>
    </row>
    <row r="222">
      <c r="A222" s="27" t="n"/>
      <c r="B222" s="27" t="n"/>
      <c r="C222" s="27" t="n"/>
      <c r="D222" s="30" t="n"/>
      <c r="E222" s="30" t="n"/>
      <c r="F222" s="27" t="n"/>
      <c r="G222" s="27" t="n"/>
      <c r="H222" s="28" t="n"/>
      <c r="I222" s="31" t="n"/>
      <c r="J222" s="31" t="n"/>
      <c r="K222" s="28" t="n"/>
      <c r="L222" s="32" t="n"/>
      <c r="M222" s="27" t="n"/>
      <c r="N222" s="27" t="n"/>
      <c r="O222" s="27" t="n"/>
      <c r="P222" s="29">
        <f>IF($A222="","",$H222*$I222)</f>
        <v/>
      </c>
      <c r="Q222" s="29">
        <f>IF(OR($A222="",$G222="KAPALI"),"",IF($L222&gt;soa_esikOluGun,"ÖLÜ",""))</f>
        <v/>
      </c>
      <c r="R222" s="29">
        <f>IF($A222="","",IF($E222="","",raporTarihi-$E222))</f>
        <v/>
      </c>
      <c r="S222" s="29">
        <f>IF($A222="","",IF($R222="","",IF($R222&lt;=soa_kovaEsik1,"0-7",IF($R222&lt;=soa_kovaEsik2,"8-30",IF($R222&lt;=soa_kovaEsik3,"31-90","90+")))))</f>
        <v/>
      </c>
      <c r="T222" s="29">
        <f>IF($A222="","",IF($B222="","YETİM",IF(COUNTIF(tblKartlar[KartId],$B222)=0,"YETİM","")))</f>
        <v/>
      </c>
      <c r="U222" s="29">
        <f>IF(OR($A222="",$F222=""),"",IF(OR($F222&amp;"|"&amp;$G222="",COUNTIF(ListeIzinliGecis,$F222&amp;"|"&amp;$G222)&gt;0),"","GEÇERSİZ GEÇİŞ"))</f>
        <v/>
      </c>
      <c r="V222" s="29">
        <f>IF($A222="","",IF(OR($P222="",$J222=""),"",IF(ABS($J222-$P222)&gt;zincirTolerans,"ZİNCİR KIRIK","OK")))</f>
        <v/>
      </c>
      <c r="W222" s="29">
        <f>IF($A222="","",1)</f>
        <v/>
      </c>
      <c r="X222" s="29">
        <f>IF($A222="","",$K222*$I222)</f>
        <v/>
      </c>
    </row>
    <row r="223">
      <c r="A223" s="27" t="n"/>
      <c r="B223" s="27" t="n"/>
      <c r="C223" s="27" t="n"/>
      <c r="D223" s="30" t="n"/>
      <c r="E223" s="30" t="n"/>
      <c r="F223" s="27" t="n"/>
      <c r="G223" s="27" t="n"/>
      <c r="H223" s="28" t="n"/>
      <c r="I223" s="31" t="n"/>
      <c r="J223" s="31" t="n"/>
      <c r="K223" s="28" t="n"/>
      <c r="L223" s="32" t="n"/>
      <c r="M223" s="27" t="n"/>
      <c r="N223" s="27" t="n"/>
      <c r="O223" s="27" t="n"/>
      <c r="P223" s="29">
        <f>IF($A223="","",$H223*$I223)</f>
        <v/>
      </c>
      <c r="Q223" s="29">
        <f>IF(OR($A223="",$G223="KAPALI"),"",IF($L223&gt;soa_esikOluGun,"ÖLÜ",""))</f>
        <v/>
      </c>
      <c r="R223" s="29">
        <f>IF($A223="","",IF($E223="","",raporTarihi-$E223))</f>
        <v/>
      </c>
      <c r="S223" s="29">
        <f>IF($A223="","",IF($R223="","",IF($R223&lt;=soa_kovaEsik1,"0-7",IF($R223&lt;=soa_kovaEsik2,"8-30",IF($R223&lt;=soa_kovaEsik3,"31-90","90+")))))</f>
        <v/>
      </c>
      <c r="T223" s="29">
        <f>IF($A223="","",IF($B223="","YETİM",IF(COUNTIF(tblKartlar[KartId],$B223)=0,"YETİM","")))</f>
        <v/>
      </c>
      <c r="U223" s="29">
        <f>IF(OR($A223="",$F223=""),"",IF(OR($F223&amp;"|"&amp;$G223="",COUNTIF(ListeIzinliGecis,$F223&amp;"|"&amp;$G223)&gt;0),"","GEÇERSİZ GEÇİŞ"))</f>
        <v/>
      </c>
      <c r="V223" s="29">
        <f>IF($A223="","",IF(OR($P223="",$J223=""),"",IF(ABS($J223-$P223)&gt;zincirTolerans,"ZİNCİR KIRIK","OK")))</f>
        <v/>
      </c>
      <c r="W223" s="29">
        <f>IF($A223="","",1)</f>
        <v/>
      </c>
      <c r="X223" s="29">
        <f>IF($A223="","",$K223*$I223)</f>
        <v/>
      </c>
    </row>
    <row r="224">
      <c r="A224" s="27" t="n"/>
      <c r="B224" s="27" t="n"/>
      <c r="C224" s="27" t="n"/>
      <c r="D224" s="30" t="n"/>
      <c r="E224" s="30" t="n"/>
      <c r="F224" s="27" t="n"/>
      <c r="G224" s="27" t="n"/>
      <c r="H224" s="28" t="n"/>
      <c r="I224" s="31" t="n"/>
      <c r="J224" s="31" t="n"/>
      <c r="K224" s="28" t="n"/>
      <c r="L224" s="32" t="n"/>
      <c r="M224" s="27" t="n"/>
      <c r="N224" s="27" t="n"/>
      <c r="O224" s="27" t="n"/>
      <c r="P224" s="29">
        <f>IF($A224="","",$H224*$I224)</f>
        <v/>
      </c>
      <c r="Q224" s="29">
        <f>IF(OR($A224="",$G224="KAPALI"),"",IF($L224&gt;soa_esikOluGun,"ÖLÜ",""))</f>
        <v/>
      </c>
      <c r="R224" s="29">
        <f>IF($A224="","",IF($E224="","",raporTarihi-$E224))</f>
        <v/>
      </c>
      <c r="S224" s="29">
        <f>IF($A224="","",IF($R224="","",IF($R224&lt;=soa_kovaEsik1,"0-7",IF($R224&lt;=soa_kovaEsik2,"8-30",IF($R224&lt;=soa_kovaEsik3,"31-90","90+")))))</f>
        <v/>
      </c>
      <c r="T224" s="29">
        <f>IF($A224="","",IF($B224="","YETİM",IF(COUNTIF(tblKartlar[KartId],$B224)=0,"YETİM","")))</f>
        <v/>
      </c>
      <c r="U224" s="29">
        <f>IF(OR($A224="",$F224=""),"",IF(OR($F224&amp;"|"&amp;$G224="",COUNTIF(ListeIzinliGecis,$F224&amp;"|"&amp;$G224)&gt;0),"","GEÇERSİZ GEÇİŞ"))</f>
        <v/>
      </c>
      <c r="V224" s="29">
        <f>IF($A224="","",IF(OR($P224="",$J224=""),"",IF(ABS($J224-$P224)&gt;zincirTolerans,"ZİNCİR KIRIK","OK")))</f>
        <v/>
      </c>
      <c r="W224" s="29">
        <f>IF($A224="","",1)</f>
        <v/>
      </c>
      <c r="X224" s="29">
        <f>IF($A224="","",$K224*$I224)</f>
        <v/>
      </c>
    </row>
    <row r="225">
      <c r="A225" s="27" t="n"/>
      <c r="B225" s="27" t="n"/>
      <c r="C225" s="27" t="n"/>
      <c r="D225" s="30" t="n"/>
      <c r="E225" s="30" t="n"/>
      <c r="F225" s="27" t="n"/>
      <c r="G225" s="27" t="n"/>
      <c r="H225" s="28" t="n"/>
      <c r="I225" s="31" t="n"/>
      <c r="J225" s="31" t="n"/>
      <c r="K225" s="28" t="n"/>
      <c r="L225" s="32" t="n"/>
      <c r="M225" s="27" t="n"/>
      <c r="N225" s="27" t="n"/>
      <c r="O225" s="27" t="n"/>
      <c r="P225" s="29">
        <f>IF($A225="","",$H225*$I225)</f>
        <v/>
      </c>
      <c r="Q225" s="29">
        <f>IF(OR($A225="",$G225="KAPALI"),"",IF($L225&gt;soa_esikOluGun,"ÖLÜ",""))</f>
        <v/>
      </c>
      <c r="R225" s="29">
        <f>IF($A225="","",IF($E225="","",raporTarihi-$E225))</f>
        <v/>
      </c>
      <c r="S225" s="29">
        <f>IF($A225="","",IF($R225="","",IF($R225&lt;=soa_kovaEsik1,"0-7",IF($R225&lt;=soa_kovaEsik2,"8-30",IF($R225&lt;=soa_kovaEsik3,"31-90","90+")))))</f>
        <v/>
      </c>
      <c r="T225" s="29">
        <f>IF($A225="","",IF($B225="","YETİM",IF(COUNTIF(tblKartlar[KartId],$B225)=0,"YETİM","")))</f>
        <v/>
      </c>
      <c r="U225" s="29">
        <f>IF(OR($A225="",$F225=""),"",IF(OR($F225&amp;"|"&amp;$G225="",COUNTIF(ListeIzinliGecis,$F225&amp;"|"&amp;$G225)&gt;0),"","GEÇERSİZ GEÇİŞ"))</f>
        <v/>
      </c>
      <c r="V225" s="29">
        <f>IF($A225="","",IF(OR($P225="",$J225=""),"",IF(ABS($J225-$P225)&gt;zincirTolerans,"ZİNCİR KIRIK","OK")))</f>
        <v/>
      </c>
      <c r="W225" s="29">
        <f>IF($A225="","",1)</f>
        <v/>
      </c>
      <c r="X225" s="29">
        <f>IF($A225="","",$K225*$I225)</f>
        <v/>
      </c>
    </row>
    <row r="226">
      <c r="A226" s="27" t="n"/>
      <c r="B226" s="27" t="n"/>
      <c r="C226" s="27" t="n"/>
      <c r="D226" s="30" t="n"/>
      <c r="E226" s="30" t="n"/>
      <c r="F226" s="27" t="n"/>
      <c r="G226" s="27" t="n"/>
      <c r="H226" s="28" t="n"/>
      <c r="I226" s="31" t="n"/>
      <c r="J226" s="31" t="n"/>
      <c r="K226" s="28" t="n"/>
      <c r="L226" s="32" t="n"/>
      <c r="M226" s="27" t="n"/>
      <c r="N226" s="27" t="n"/>
      <c r="O226" s="27" t="n"/>
      <c r="P226" s="29">
        <f>IF($A226="","",$H226*$I226)</f>
        <v/>
      </c>
      <c r="Q226" s="29">
        <f>IF(OR($A226="",$G226="KAPALI"),"",IF($L226&gt;soa_esikOluGun,"ÖLÜ",""))</f>
        <v/>
      </c>
      <c r="R226" s="29">
        <f>IF($A226="","",IF($E226="","",raporTarihi-$E226))</f>
        <v/>
      </c>
      <c r="S226" s="29">
        <f>IF($A226="","",IF($R226="","",IF($R226&lt;=soa_kovaEsik1,"0-7",IF($R226&lt;=soa_kovaEsik2,"8-30",IF($R226&lt;=soa_kovaEsik3,"31-90","90+")))))</f>
        <v/>
      </c>
      <c r="T226" s="29">
        <f>IF($A226="","",IF($B226="","YETİM",IF(COUNTIF(tblKartlar[KartId],$B226)=0,"YETİM","")))</f>
        <v/>
      </c>
      <c r="U226" s="29">
        <f>IF(OR($A226="",$F226=""),"",IF(OR($F226&amp;"|"&amp;$G226="",COUNTIF(ListeIzinliGecis,$F226&amp;"|"&amp;$G226)&gt;0),"","GEÇERSİZ GEÇİŞ"))</f>
        <v/>
      </c>
      <c r="V226" s="29">
        <f>IF($A226="","",IF(OR($P226="",$J226=""),"",IF(ABS($J226-$P226)&gt;zincirTolerans,"ZİNCİR KIRIK","OK")))</f>
        <v/>
      </c>
      <c r="W226" s="29">
        <f>IF($A226="","",1)</f>
        <v/>
      </c>
      <c r="X226" s="29">
        <f>IF($A226="","",$K226*$I226)</f>
        <v/>
      </c>
    </row>
    <row r="227">
      <c r="A227" s="27" t="n"/>
      <c r="B227" s="27" t="n"/>
      <c r="C227" s="27" t="n"/>
      <c r="D227" s="30" t="n"/>
      <c r="E227" s="30" t="n"/>
      <c r="F227" s="27" t="n"/>
      <c r="G227" s="27" t="n"/>
      <c r="H227" s="28" t="n"/>
      <c r="I227" s="31" t="n"/>
      <c r="J227" s="31" t="n"/>
      <c r="K227" s="28" t="n"/>
      <c r="L227" s="32" t="n"/>
      <c r="M227" s="27" t="n"/>
      <c r="N227" s="27" t="n"/>
      <c r="O227" s="27" t="n"/>
      <c r="P227" s="29">
        <f>IF($A227="","",$H227*$I227)</f>
        <v/>
      </c>
      <c r="Q227" s="29">
        <f>IF(OR($A227="",$G227="KAPALI"),"",IF($L227&gt;soa_esikOluGun,"ÖLÜ",""))</f>
        <v/>
      </c>
      <c r="R227" s="29">
        <f>IF($A227="","",IF($E227="","",raporTarihi-$E227))</f>
        <v/>
      </c>
      <c r="S227" s="29">
        <f>IF($A227="","",IF($R227="","",IF($R227&lt;=soa_kovaEsik1,"0-7",IF($R227&lt;=soa_kovaEsik2,"8-30",IF($R227&lt;=soa_kovaEsik3,"31-90","90+")))))</f>
        <v/>
      </c>
      <c r="T227" s="29">
        <f>IF($A227="","",IF($B227="","YETİM",IF(COUNTIF(tblKartlar[KartId],$B227)=0,"YETİM","")))</f>
        <v/>
      </c>
      <c r="U227" s="29">
        <f>IF(OR($A227="",$F227=""),"",IF(OR($F227&amp;"|"&amp;$G227="",COUNTIF(ListeIzinliGecis,$F227&amp;"|"&amp;$G227)&gt;0),"","GEÇERSİZ GEÇİŞ"))</f>
        <v/>
      </c>
      <c r="V227" s="29">
        <f>IF($A227="","",IF(OR($P227="",$J227=""),"",IF(ABS($J227-$P227)&gt;zincirTolerans,"ZİNCİR KIRIK","OK")))</f>
        <v/>
      </c>
      <c r="W227" s="29">
        <f>IF($A227="","",1)</f>
        <v/>
      </c>
      <c r="X227" s="29">
        <f>IF($A227="","",$K227*$I227)</f>
        <v/>
      </c>
    </row>
    <row r="228">
      <c r="A228" s="27" t="n"/>
      <c r="B228" s="27" t="n"/>
      <c r="C228" s="27" t="n"/>
      <c r="D228" s="30" t="n"/>
      <c r="E228" s="30" t="n"/>
      <c r="F228" s="27" t="n"/>
      <c r="G228" s="27" t="n"/>
      <c r="H228" s="28" t="n"/>
      <c r="I228" s="31" t="n"/>
      <c r="J228" s="31" t="n"/>
      <c r="K228" s="28" t="n"/>
      <c r="L228" s="32" t="n"/>
      <c r="M228" s="27" t="n"/>
      <c r="N228" s="27" t="n"/>
      <c r="O228" s="27" t="n"/>
      <c r="P228" s="29">
        <f>IF($A228="","",$H228*$I228)</f>
        <v/>
      </c>
      <c r="Q228" s="29">
        <f>IF(OR($A228="",$G228="KAPALI"),"",IF($L228&gt;soa_esikOluGun,"ÖLÜ",""))</f>
        <v/>
      </c>
      <c r="R228" s="29">
        <f>IF($A228="","",IF($E228="","",raporTarihi-$E228))</f>
        <v/>
      </c>
      <c r="S228" s="29">
        <f>IF($A228="","",IF($R228="","",IF($R228&lt;=soa_kovaEsik1,"0-7",IF($R228&lt;=soa_kovaEsik2,"8-30",IF($R228&lt;=soa_kovaEsik3,"31-90","90+")))))</f>
        <v/>
      </c>
      <c r="T228" s="29">
        <f>IF($A228="","",IF($B228="","YETİM",IF(COUNTIF(tblKartlar[KartId],$B228)=0,"YETİM","")))</f>
        <v/>
      </c>
      <c r="U228" s="29">
        <f>IF(OR($A228="",$F228=""),"",IF(OR($F228&amp;"|"&amp;$G228="",COUNTIF(ListeIzinliGecis,$F228&amp;"|"&amp;$G228)&gt;0),"","GEÇERSİZ GEÇİŞ"))</f>
        <v/>
      </c>
      <c r="V228" s="29">
        <f>IF($A228="","",IF(OR($P228="",$J228=""),"",IF(ABS($J228-$P228)&gt;zincirTolerans,"ZİNCİR KIRIK","OK")))</f>
        <v/>
      </c>
      <c r="W228" s="29">
        <f>IF($A228="","",1)</f>
        <v/>
      </c>
      <c r="X228" s="29">
        <f>IF($A228="","",$K228*$I228)</f>
        <v/>
      </c>
    </row>
    <row r="229">
      <c r="A229" s="27" t="n"/>
      <c r="B229" s="27" t="n"/>
      <c r="C229" s="27" t="n"/>
      <c r="D229" s="30" t="n"/>
      <c r="E229" s="30" t="n"/>
      <c r="F229" s="27" t="n"/>
      <c r="G229" s="27" t="n"/>
      <c r="H229" s="28" t="n"/>
      <c r="I229" s="31" t="n"/>
      <c r="J229" s="31" t="n"/>
      <c r="K229" s="28" t="n"/>
      <c r="L229" s="32" t="n"/>
      <c r="M229" s="27" t="n"/>
      <c r="N229" s="27" t="n"/>
      <c r="O229" s="27" t="n"/>
      <c r="P229" s="29">
        <f>IF($A229="","",$H229*$I229)</f>
        <v/>
      </c>
      <c r="Q229" s="29">
        <f>IF(OR($A229="",$G229="KAPALI"),"",IF($L229&gt;soa_esikOluGun,"ÖLÜ",""))</f>
        <v/>
      </c>
      <c r="R229" s="29">
        <f>IF($A229="","",IF($E229="","",raporTarihi-$E229))</f>
        <v/>
      </c>
      <c r="S229" s="29">
        <f>IF($A229="","",IF($R229="","",IF($R229&lt;=soa_kovaEsik1,"0-7",IF($R229&lt;=soa_kovaEsik2,"8-30",IF($R229&lt;=soa_kovaEsik3,"31-90","90+")))))</f>
        <v/>
      </c>
      <c r="T229" s="29">
        <f>IF($A229="","",IF($B229="","YETİM",IF(COUNTIF(tblKartlar[KartId],$B229)=0,"YETİM","")))</f>
        <v/>
      </c>
      <c r="U229" s="29">
        <f>IF(OR($A229="",$F229=""),"",IF(OR($F229&amp;"|"&amp;$G229="",COUNTIF(ListeIzinliGecis,$F229&amp;"|"&amp;$G229)&gt;0),"","GEÇERSİZ GEÇİŞ"))</f>
        <v/>
      </c>
      <c r="V229" s="29">
        <f>IF($A229="","",IF(OR($P229="",$J229=""),"",IF(ABS($J229-$P229)&gt;zincirTolerans,"ZİNCİR KIRIK","OK")))</f>
        <v/>
      </c>
      <c r="W229" s="29">
        <f>IF($A229="","",1)</f>
        <v/>
      </c>
      <c r="X229" s="29">
        <f>IF($A229="","",$K229*$I229)</f>
        <v/>
      </c>
    </row>
    <row r="230">
      <c r="A230" s="27" t="n"/>
      <c r="B230" s="27" t="n"/>
      <c r="C230" s="27" t="n"/>
      <c r="D230" s="30" t="n"/>
      <c r="E230" s="30" t="n"/>
      <c r="F230" s="27" t="n"/>
      <c r="G230" s="27" t="n"/>
      <c r="H230" s="28" t="n"/>
      <c r="I230" s="31" t="n"/>
      <c r="J230" s="31" t="n"/>
      <c r="K230" s="28" t="n"/>
      <c r="L230" s="32" t="n"/>
      <c r="M230" s="27" t="n"/>
      <c r="N230" s="27" t="n"/>
      <c r="O230" s="27" t="n"/>
      <c r="P230" s="29">
        <f>IF($A230="","",$H230*$I230)</f>
        <v/>
      </c>
      <c r="Q230" s="29">
        <f>IF(OR($A230="",$G230="KAPALI"),"",IF($L230&gt;soa_esikOluGun,"ÖLÜ",""))</f>
        <v/>
      </c>
      <c r="R230" s="29">
        <f>IF($A230="","",IF($E230="","",raporTarihi-$E230))</f>
        <v/>
      </c>
      <c r="S230" s="29">
        <f>IF($A230="","",IF($R230="","",IF($R230&lt;=soa_kovaEsik1,"0-7",IF($R230&lt;=soa_kovaEsik2,"8-30",IF($R230&lt;=soa_kovaEsik3,"31-90","90+")))))</f>
        <v/>
      </c>
      <c r="T230" s="29">
        <f>IF($A230="","",IF($B230="","YETİM",IF(COUNTIF(tblKartlar[KartId],$B230)=0,"YETİM","")))</f>
        <v/>
      </c>
      <c r="U230" s="29">
        <f>IF(OR($A230="",$F230=""),"",IF(OR($F230&amp;"|"&amp;$G230="",COUNTIF(ListeIzinliGecis,$F230&amp;"|"&amp;$G230)&gt;0),"","GEÇERSİZ GEÇİŞ"))</f>
        <v/>
      </c>
      <c r="V230" s="29">
        <f>IF($A230="","",IF(OR($P230="",$J230=""),"",IF(ABS($J230-$P230)&gt;zincirTolerans,"ZİNCİR KIRIK","OK")))</f>
        <v/>
      </c>
      <c r="W230" s="29">
        <f>IF($A230="","",1)</f>
        <v/>
      </c>
      <c r="X230" s="29">
        <f>IF($A230="","",$K230*$I230)</f>
        <v/>
      </c>
    </row>
    <row r="231">
      <c r="A231" s="27" t="n"/>
      <c r="B231" s="27" t="n"/>
      <c r="C231" s="27" t="n"/>
      <c r="D231" s="30" t="n"/>
      <c r="E231" s="30" t="n"/>
      <c r="F231" s="27" t="n"/>
      <c r="G231" s="27" t="n"/>
      <c r="H231" s="28" t="n"/>
      <c r="I231" s="31" t="n"/>
      <c r="J231" s="31" t="n"/>
      <c r="K231" s="28" t="n"/>
      <c r="L231" s="32" t="n"/>
      <c r="M231" s="27" t="n"/>
      <c r="N231" s="27" t="n"/>
      <c r="O231" s="27" t="n"/>
      <c r="P231" s="29">
        <f>IF($A231="","",$H231*$I231)</f>
        <v/>
      </c>
      <c r="Q231" s="29">
        <f>IF(OR($A231="",$G231="KAPALI"),"",IF($L231&gt;soa_esikOluGun,"ÖLÜ",""))</f>
        <v/>
      </c>
      <c r="R231" s="29">
        <f>IF($A231="","",IF($E231="","",raporTarihi-$E231))</f>
        <v/>
      </c>
      <c r="S231" s="29">
        <f>IF($A231="","",IF($R231="","",IF($R231&lt;=soa_kovaEsik1,"0-7",IF($R231&lt;=soa_kovaEsik2,"8-30",IF($R231&lt;=soa_kovaEsik3,"31-90","90+")))))</f>
        <v/>
      </c>
      <c r="T231" s="29">
        <f>IF($A231="","",IF($B231="","YETİM",IF(COUNTIF(tblKartlar[KartId],$B231)=0,"YETİM","")))</f>
        <v/>
      </c>
      <c r="U231" s="29">
        <f>IF(OR($A231="",$F231=""),"",IF(OR($F231&amp;"|"&amp;$G231="",COUNTIF(ListeIzinliGecis,$F231&amp;"|"&amp;$G231)&gt;0),"","GEÇERSİZ GEÇİŞ"))</f>
        <v/>
      </c>
      <c r="V231" s="29">
        <f>IF($A231="","",IF(OR($P231="",$J231=""),"",IF(ABS($J231-$P231)&gt;zincirTolerans,"ZİNCİR KIRIK","OK")))</f>
        <v/>
      </c>
      <c r="W231" s="29">
        <f>IF($A231="","",1)</f>
        <v/>
      </c>
      <c r="X231" s="29">
        <f>IF($A231="","",$K231*$I231)</f>
        <v/>
      </c>
    </row>
    <row r="232">
      <c r="A232" s="27" t="n"/>
      <c r="B232" s="27" t="n"/>
      <c r="C232" s="27" t="n"/>
      <c r="D232" s="30" t="n"/>
      <c r="E232" s="30" t="n"/>
      <c r="F232" s="27" t="n"/>
      <c r="G232" s="27" t="n"/>
      <c r="H232" s="28" t="n"/>
      <c r="I232" s="31" t="n"/>
      <c r="J232" s="31" t="n"/>
      <c r="K232" s="28" t="n"/>
      <c r="L232" s="32" t="n"/>
      <c r="M232" s="27" t="n"/>
      <c r="N232" s="27" t="n"/>
      <c r="O232" s="27" t="n"/>
      <c r="P232" s="29">
        <f>IF($A232="","",$H232*$I232)</f>
        <v/>
      </c>
      <c r="Q232" s="29">
        <f>IF(OR($A232="",$G232="KAPALI"),"",IF($L232&gt;soa_esikOluGun,"ÖLÜ",""))</f>
        <v/>
      </c>
      <c r="R232" s="29">
        <f>IF($A232="","",IF($E232="","",raporTarihi-$E232))</f>
        <v/>
      </c>
      <c r="S232" s="29">
        <f>IF($A232="","",IF($R232="","",IF($R232&lt;=soa_kovaEsik1,"0-7",IF($R232&lt;=soa_kovaEsik2,"8-30",IF($R232&lt;=soa_kovaEsik3,"31-90","90+")))))</f>
        <v/>
      </c>
      <c r="T232" s="29">
        <f>IF($A232="","",IF($B232="","YETİM",IF(COUNTIF(tblKartlar[KartId],$B232)=0,"YETİM","")))</f>
        <v/>
      </c>
      <c r="U232" s="29">
        <f>IF(OR($A232="",$F232=""),"",IF(OR($F232&amp;"|"&amp;$G232="",COUNTIF(ListeIzinliGecis,$F232&amp;"|"&amp;$G232)&gt;0),"","GEÇERSİZ GEÇİŞ"))</f>
        <v/>
      </c>
      <c r="V232" s="29">
        <f>IF($A232="","",IF(OR($P232="",$J232=""),"",IF(ABS($J232-$P232)&gt;zincirTolerans,"ZİNCİR KIRIK","OK")))</f>
        <v/>
      </c>
      <c r="W232" s="29">
        <f>IF($A232="","",1)</f>
        <v/>
      </c>
      <c r="X232" s="29">
        <f>IF($A232="","",$K232*$I232)</f>
        <v/>
      </c>
    </row>
    <row r="233">
      <c r="A233" s="27" t="n"/>
      <c r="B233" s="27" t="n"/>
      <c r="C233" s="27" t="n"/>
      <c r="D233" s="30" t="n"/>
      <c r="E233" s="30" t="n"/>
      <c r="F233" s="27" t="n"/>
      <c r="G233" s="27" t="n"/>
      <c r="H233" s="28" t="n"/>
      <c r="I233" s="31" t="n"/>
      <c r="J233" s="31" t="n"/>
      <c r="K233" s="28" t="n"/>
      <c r="L233" s="32" t="n"/>
      <c r="M233" s="27" t="n"/>
      <c r="N233" s="27" t="n"/>
      <c r="O233" s="27" t="n"/>
      <c r="P233" s="29">
        <f>IF($A233="","",$H233*$I233)</f>
        <v/>
      </c>
      <c r="Q233" s="29">
        <f>IF(OR($A233="",$G233="KAPALI"),"",IF($L233&gt;soa_esikOluGun,"ÖLÜ",""))</f>
        <v/>
      </c>
      <c r="R233" s="29">
        <f>IF($A233="","",IF($E233="","",raporTarihi-$E233))</f>
        <v/>
      </c>
      <c r="S233" s="29">
        <f>IF($A233="","",IF($R233="","",IF($R233&lt;=soa_kovaEsik1,"0-7",IF($R233&lt;=soa_kovaEsik2,"8-30",IF($R233&lt;=soa_kovaEsik3,"31-90","90+")))))</f>
        <v/>
      </c>
      <c r="T233" s="29">
        <f>IF($A233="","",IF($B233="","YETİM",IF(COUNTIF(tblKartlar[KartId],$B233)=0,"YETİM","")))</f>
        <v/>
      </c>
      <c r="U233" s="29">
        <f>IF(OR($A233="",$F233=""),"",IF(OR($F233&amp;"|"&amp;$G233="",COUNTIF(ListeIzinliGecis,$F233&amp;"|"&amp;$G233)&gt;0),"","GEÇERSİZ GEÇİŞ"))</f>
        <v/>
      </c>
      <c r="V233" s="29">
        <f>IF($A233="","",IF(OR($P233="",$J233=""),"",IF(ABS($J233-$P233)&gt;zincirTolerans,"ZİNCİR KIRIK","OK")))</f>
        <v/>
      </c>
      <c r="W233" s="29">
        <f>IF($A233="","",1)</f>
        <v/>
      </c>
      <c r="X233" s="29">
        <f>IF($A233="","",$K233*$I233)</f>
        <v/>
      </c>
    </row>
    <row r="234">
      <c r="A234" s="27" t="n"/>
      <c r="B234" s="27" t="n"/>
      <c r="C234" s="27" t="n"/>
      <c r="D234" s="30" t="n"/>
      <c r="E234" s="30" t="n"/>
      <c r="F234" s="27" t="n"/>
      <c r="G234" s="27" t="n"/>
      <c r="H234" s="28" t="n"/>
      <c r="I234" s="31" t="n"/>
      <c r="J234" s="31" t="n"/>
      <c r="K234" s="28" t="n"/>
      <c r="L234" s="32" t="n"/>
      <c r="M234" s="27" t="n"/>
      <c r="N234" s="27" t="n"/>
      <c r="O234" s="27" t="n"/>
      <c r="P234" s="29">
        <f>IF($A234="","",$H234*$I234)</f>
        <v/>
      </c>
      <c r="Q234" s="29">
        <f>IF(OR($A234="",$G234="KAPALI"),"",IF($L234&gt;soa_esikOluGun,"ÖLÜ",""))</f>
        <v/>
      </c>
      <c r="R234" s="29">
        <f>IF($A234="","",IF($E234="","",raporTarihi-$E234))</f>
        <v/>
      </c>
      <c r="S234" s="29">
        <f>IF($A234="","",IF($R234="","",IF($R234&lt;=soa_kovaEsik1,"0-7",IF($R234&lt;=soa_kovaEsik2,"8-30",IF($R234&lt;=soa_kovaEsik3,"31-90","90+")))))</f>
        <v/>
      </c>
      <c r="T234" s="29">
        <f>IF($A234="","",IF($B234="","YETİM",IF(COUNTIF(tblKartlar[KartId],$B234)=0,"YETİM","")))</f>
        <v/>
      </c>
      <c r="U234" s="29">
        <f>IF(OR($A234="",$F234=""),"",IF(OR($F234&amp;"|"&amp;$G234="",COUNTIF(ListeIzinliGecis,$F234&amp;"|"&amp;$G234)&gt;0),"","GEÇERSİZ GEÇİŞ"))</f>
        <v/>
      </c>
      <c r="V234" s="29">
        <f>IF($A234="","",IF(OR($P234="",$J234=""),"",IF(ABS($J234-$P234)&gt;zincirTolerans,"ZİNCİR KIRIK","OK")))</f>
        <v/>
      </c>
      <c r="W234" s="29">
        <f>IF($A234="","",1)</f>
        <v/>
      </c>
      <c r="X234" s="29">
        <f>IF($A234="","",$K234*$I234)</f>
        <v/>
      </c>
    </row>
    <row r="235">
      <c r="A235" s="27" t="n"/>
      <c r="B235" s="27" t="n"/>
      <c r="C235" s="27" t="n"/>
      <c r="D235" s="30" t="n"/>
      <c r="E235" s="30" t="n"/>
      <c r="F235" s="27" t="n"/>
      <c r="G235" s="27" t="n"/>
      <c r="H235" s="28" t="n"/>
      <c r="I235" s="31" t="n"/>
      <c r="J235" s="31" t="n"/>
      <c r="K235" s="28" t="n"/>
      <c r="L235" s="32" t="n"/>
      <c r="M235" s="27" t="n"/>
      <c r="N235" s="27" t="n"/>
      <c r="O235" s="27" t="n"/>
      <c r="P235" s="29">
        <f>IF($A235="","",$H235*$I235)</f>
        <v/>
      </c>
      <c r="Q235" s="29">
        <f>IF(OR($A235="",$G235="KAPALI"),"",IF($L235&gt;soa_esikOluGun,"ÖLÜ",""))</f>
        <v/>
      </c>
      <c r="R235" s="29">
        <f>IF($A235="","",IF($E235="","",raporTarihi-$E235))</f>
        <v/>
      </c>
      <c r="S235" s="29">
        <f>IF($A235="","",IF($R235="","",IF($R235&lt;=soa_kovaEsik1,"0-7",IF($R235&lt;=soa_kovaEsik2,"8-30",IF($R235&lt;=soa_kovaEsik3,"31-90","90+")))))</f>
        <v/>
      </c>
      <c r="T235" s="29">
        <f>IF($A235="","",IF($B235="","YETİM",IF(COUNTIF(tblKartlar[KartId],$B235)=0,"YETİM","")))</f>
        <v/>
      </c>
      <c r="U235" s="29">
        <f>IF(OR($A235="",$F235=""),"",IF(OR($F235&amp;"|"&amp;$G235="",COUNTIF(ListeIzinliGecis,$F235&amp;"|"&amp;$G235)&gt;0),"","GEÇERSİZ GEÇİŞ"))</f>
        <v/>
      </c>
      <c r="V235" s="29">
        <f>IF($A235="","",IF(OR($P235="",$J235=""),"",IF(ABS($J235-$P235)&gt;zincirTolerans,"ZİNCİR KIRIK","OK")))</f>
        <v/>
      </c>
      <c r="W235" s="29">
        <f>IF($A235="","",1)</f>
        <v/>
      </c>
      <c r="X235" s="29">
        <f>IF($A235="","",$K235*$I235)</f>
        <v/>
      </c>
    </row>
    <row r="236">
      <c r="A236" s="27" t="n"/>
      <c r="B236" s="27" t="n"/>
      <c r="C236" s="27" t="n"/>
      <c r="D236" s="30" t="n"/>
      <c r="E236" s="30" t="n"/>
      <c r="F236" s="27" t="n"/>
      <c r="G236" s="27" t="n"/>
      <c r="H236" s="28" t="n"/>
      <c r="I236" s="31" t="n"/>
      <c r="J236" s="31" t="n"/>
      <c r="K236" s="28" t="n"/>
      <c r="L236" s="32" t="n"/>
      <c r="M236" s="27" t="n"/>
      <c r="N236" s="27" t="n"/>
      <c r="O236" s="27" t="n"/>
      <c r="P236" s="29">
        <f>IF($A236="","",$H236*$I236)</f>
        <v/>
      </c>
      <c r="Q236" s="29">
        <f>IF(OR($A236="",$G236="KAPALI"),"",IF($L236&gt;soa_esikOluGun,"ÖLÜ",""))</f>
        <v/>
      </c>
      <c r="R236" s="29">
        <f>IF($A236="","",IF($E236="","",raporTarihi-$E236))</f>
        <v/>
      </c>
      <c r="S236" s="29">
        <f>IF($A236="","",IF($R236="","",IF($R236&lt;=soa_kovaEsik1,"0-7",IF($R236&lt;=soa_kovaEsik2,"8-30",IF($R236&lt;=soa_kovaEsik3,"31-90","90+")))))</f>
        <v/>
      </c>
      <c r="T236" s="29">
        <f>IF($A236="","",IF($B236="","YETİM",IF(COUNTIF(tblKartlar[KartId],$B236)=0,"YETİM","")))</f>
        <v/>
      </c>
      <c r="U236" s="29">
        <f>IF(OR($A236="",$F236=""),"",IF(OR($F236&amp;"|"&amp;$G236="",COUNTIF(ListeIzinliGecis,$F236&amp;"|"&amp;$G236)&gt;0),"","GEÇERSİZ GEÇİŞ"))</f>
        <v/>
      </c>
      <c r="V236" s="29">
        <f>IF($A236="","",IF(OR($P236="",$J236=""),"",IF(ABS($J236-$P236)&gt;zincirTolerans,"ZİNCİR KIRIK","OK")))</f>
        <v/>
      </c>
      <c r="W236" s="29">
        <f>IF($A236="","",1)</f>
        <v/>
      </c>
      <c r="X236" s="29">
        <f>IF($A236="","",$K236*$I236)</f>
        <v/>
      </c>
    </row>
    <row r="237">
      <c r="A237" s="27" t="n"/>
      <c r="B237" s="27" t="n"/>
      <c r="C237" s="27" t="n"/>
      <c r="D237" s="30" t="n"/>
      <c r="E237" s="30" t="n"/>
      <c r="F237" s="27" t="n"/>
      <c r="G237" s="27" t="n"/>
      <c r="H237" s="28" t="n"/>
      <c r="I237" s="31" t="n"/>
      <c r="J237" s="31" t="n"/>
      <c r="K237" s="28" t="n"/>
      <c r="L237" s="32" t="n"/>
      <c r="M237" s="27" t="n"/>
      <c r="N237" s="27" t="n"/>
      <c r="O237" s="27" t="n"/>
      <c r="P237" s="29">
        <f>IF($A237="","",$H237*$I237)</f>
        <v/>
      </c>
      <c r="Q237" s="29">
        <f>IF(OR($A237="",$G237="KAPALI"),"",IF($L237&gt;soa_esikOluGun,"ÖLÜ",""))</f>
        <v/>
      </c>
      <c r="R237" s="29">
        <f>IF($A237="","",IF($E237="","",raporTarihi-$E237))</f>
        <v/>
      </c>
      <c r="S237" s="29">
        <f>IF($A237="","",IF($R237="","",IF($R237&lt;=soa_kovaEsik1,"0-7",IF($R237&lt;=soa_kovaEsik2,"8-30",IF($R237&lt;=soa_kovaEsik3,"31-90","90+")))))</f>
        <v/>
      </c>
      <c r="T237" s="29">
        <f>IF($A237="","",IF($B237="","YETİM",IF(COUNTIF(tblKartlar[KartId],$B237)=0,"YETİM","")))</f>
        <v/>
      </c>
      <c r="U237" s="29">
        <f>IF(OR($A237="",$F237=""),"",IF(OR($F237&amp;"|"&amp;$G237="",COUNTIF(ListeIzinliGecis,$F237&amp;"|"&amp;$G237)&gt;0),"","GEÇERSİZ GEÇİŞ"))</f>
        <v/>
      </c>
      <c r="V237" s="29">
        <f>IF($A237="","",IF(OR($P237="",$J237=""),"",IF(ABS($J237-$P237)&gt;zincirTolerans,"ZİNCİR KIRIK","OK")))</f>
        <v/>
      </c>
      <c r="W237" s="29">
        <f>IF($A237="","",1)</f>
        <v/>
      </c>
      <c r="X237" s="29">
        <f>IF($A237="","",$K237*$I237)</f>
        <v/>
      </c>
    </row>
    <row r="238">
      <c r="A238" s="27" t="n"/>
      <c r="B238" s="27" t="n"/>
      <c r="C238" s="27" t="n"/>
      <c r="D238" s="30" t="n"/>
      <c r="E238" s="30" t="n"/>
      <c r="F238" s="27" t="n"/>
      <c r="G238" s="27" t="n"/>
      <c r="H238" s="28" t="n"/>
      <c r="I238" s="31" t="n"/>
      <c r="J238" s="31" t="n"/>
      <c r="K238" s="28" t="n"/>
      <c r="L238" s="32" t="n"/>
      <c r="M238" s="27" t="n"/>
      <c r="N238" s="27" t="n"/>
      <c r="O238" s="27" t="n"/>
      <c r="P238" s="29">
        <f>IF($A238="","",$H238*$I238)</f>
        <v/>
      </c>
      <c r="Q238" s="29">
        <f>IF(OR($A238="",$G238="KAPALI"),"",IF($L238&gt;soa_esikOluGun,"ÖLÜ",""))</f>
        <v/>
      </c>
      <c r="R238" s="29">
        <f>IF($A238="","",IF($E238="","",raporTarihi-$E238))</f>
        <v/>
      </c>
      <c r="S238" s="29">
        <f>IF($A238="","",IF($R238="","",IF($R238&lt;=soa_kovaEsik1,"0-7",IF($R238&lt;=soa_kovaEsik2,"8-30",IF($R238&lt;=soa_kovaEsik3,"31-90","90+")))))</f>
        <v/>
      </c>
      <c r="T238" s="29">
        <f>IF($A238="","",IF($B238="","YETİM",IF(COUNTIF(tblKartlar[KartId],$B238)=0,"YETİM","")))</f>
        <v/>
      </c>
      <c r="U238" s="29">
        <f>IF(OR($A238="",$F238=""),"",IF(OR($F238&amp;"|"&amp;$G238="",COUNTIF(ListeIzinliGecis,$F238&amp;"|"&amp;$G238)&gt;0),"","GEÇERSİZ GEÇİŞ"))</f>
        <v/>
      </c>
      <c r="V238" s="29">
        <f>IF($A238="","",IF(OR($P238="",$J238=""),"",IF(ABS($J238-$P238)&gt;zincirTolerans,"ZİNCİR KIRIK","OK")))</f>
        <v/>
      </c>
      <c r="W238" s="29">
        <f>IF($A238="","",1)</f>
        <v/>
      </c>
      <c r="X238" s="29">
        <f>IF($A238="","",$K238*$I238)</f>
        <v/>
      </c>
    </row>
    <row r="239">
      <c r="A239" s="27" t="n"/>
      <c r="B239" s="27" t="n"/>
      <c r="C239" s="27" t="n"/>
      <c r="D239" s="30" t="n"/>
      <c r="E239" s="30" t="n"/>
      <c r="F239" s="27" t="n"/>
      <c r="G239" s="27" t="n"/>
      <c r="H239" s="28" t="n"/>
      <c r="I239" s="31" t="n"/>
      <c r="J239" s="31" t="n"/>
      <c r="K239" s="28" t="n"/>
      <c r="L239" s="32" t="n"/>
      <c r="M239" s="27" t="n"/>
      <c r="N239" s="27" t="n"/>
      <c r="O239" s="27" t="n"/>
      <c r="P239" s="29">
        <f>IF($A239="","",$H239*$I239)</f>
        <v/>
      </c>
      <c r="Q239" s="29">
        <f>IF(OR($A239="",$G239="KAPALI"),"",IF($L239&gt;soa_esikOluGun,"ÖLÜ",""))</f>
        <v/>
      </c>
      <c r="R239" s="29">
        <f>IF($A239="","",IF($E239="","",raporTarihi-$E239))</f>
        <v/>
      </c>
      <c r="S239" s="29">
        <f>IF($A239="","",IF($R239="","",IF($R239&lt;=soa_kovaEsik1,"0-7",IF($R239&lt;=soa_kovaEsik2,"8-30",IF($R239&lt;=soa_kovaEsik3,"31-90","90+")))))</f>
        <v/>
      </c>
      <c r="T239" s="29">
        <f>IF($A239="","",IF($B239="","YETİM",IF(COUNTIF(tblKartlar[KartId],$B239)=0,"YETİM","")))</f>
        <v/>
      </c>
      <c r="U239" s="29">
        <f>IF(OR($A239="",$F239=""),"",IF(OR($F239&amp;"|"&amp;$G239="",COUNTIF(ListeIzinliGecis,$F239&amp;"|"&amp;$G239)&gt;0),"","GEÇERSİZ GEÇİŞ"))</f>
        <v/>
      </c>
      <c r="V239" s="29">
        <f>IF($A239="","",IF(OR($P239="",$J239=""),"",IF(ABS($J239-$P239)&gt;zincirTolerans,"ZİNCİR KIRIK","OK")))</f>
        <v/>
      </c>
      <c r="W239" s="29">
        <f>IF($A239="","",1)</f>
        <v/>
      </c>
      <c r="X239" s="29">
        <f>IF($A239="","",$K239*$I239)</f>
        <v/>
      </c>
    </row>
    <row r="240">
      <c r="A240" s="27" t="n"/>
      <c r="B240" s="27" t="n"/>
      <c r="C240" s="27" t="n"/>
      <c r="D240" s="30" t="n"/>
      <c r="E240" s="30" t="n"/>
      <c r="F240" s="27" t="n"/>
      <c r="G240" s="27" t="n"/>
      <c r="H240" s="28" t="n"/>
      <c r="I240" s="31" t="n"/>
      <c r="J240" s="31" t="n"/>
      <c r="K240" s="28" t="n"/>
      <c r="L240" s="32" t="n"/>
      <c r="M240" s="27" t="n"/>
      <c r="N240" s="27" t="n"/>
      <c r="O240" s="27" t="n"/>
      <c r="P240" s="29">
        <f>IF($A240="","",$H240*$I240)</f>
        <v/>
      </c>
      <c r="Q240" s="29">
        <f>IF(OR($A240="",$G240="KAPALI"),"",IF($L240&gt;soa_esikOluGun,"ÖLÜ",""))</f>
        <v/>
      </c>
      <c r="R240" s="29">
        <f>IF($A240="","",IF($E240="","",raporTarihi-$E240))</f>
        <v/>
      </c>
      <c r="S240" s="29">
        <f>IF($A240="","",IF($R240="","",IF($R240&lt;=soa_kovaEsik1,"0-7",IF($R240&lt;=soa_kovaEsik2,"8-30",IF($R240&lt;=soa_kovaEsik3,"31-90","90+")))))</f>
        <v/>
      </c>
      <c r="T240" s="29">
        <f>IF($A240="","",IF($B240="","YETİM",IF(COUNTIF(tblKartlar[KartId],$B240)=0,"YETİM","")))</f>
        <v/>
      </c>
      <c r="U240" s="29">
        <f>IF(OR($A240="",$F240=""),"",IF(OR($F240&amp;"|"&amp;$G240="",COUNTIF(ListeIzinliGecis,$F240&amp;"|"&amp;$G240)&gt;0),"","GEÇERSİZ GEÇİŞ"))</f>
        <v/>
      </c>
      <c r="V240" s="29">
        <f>IF($A240="","",IF(OR($P240="",$J240=""),"",IF(ABS($J240-$P240)&gt;zincirTolerans,"ZİNCİR KIRIK","OK")))</f>
        <v/>
      </c>
      <c r="W240" s="29">
        <f>IF($A240="","",1)</f>
        <v/>
      </c>
      <c r="X240" s="29">
        <f>IF($A240="","",$K240*$I240)</f>
        <v/>
      </c>
    </row>
    <row r="241">
      <c r="A241" s="27" t="n"/>
      <c r="B241" s="27" t="n"/>
      <c r="C241" s="27" t="n"/>
      <c r="D241" s="30" t="n"/>
      <c r="E241" s="30" t="n"/>
      <c r="F241" s="27" t="n"/>
      <c r="G241" s="27" t="n"/>
      <c r="H241" s="28" t="n"/>
      <c r="I241" s="31" t="n"/>
      <c r="J241" s="31" t="n"/>
      <c r="K241" s="28" t="n"/>
      <c r="L241" s="32" t="n"/>
      <c r="M241" s="27" t="n"/>
      <c r="N241" s="27" t="n"/>
      <c r="O241" s="27" t="n"/>
      <c r="P241" s="29">
        <f>IF($A241="","",$H241*$I241)</f>
        <v/>
      </c>
      <c r="Q241" s="29">
        <f>IF(OR($A241="",$G241="KAPALI"),"",IF($L241&gt;soa_esikOluGun,"ÖLÜ",""))</f>
        <v/>
      </c>
      <c r="R241" s="29">
        <f>IF($A241="","",IF($E241="","",raporTarihi-$E241))</f>
        <v/>
      </c>
      <c r="S241" s="29">
        <f>IF($A241="","",IF($R241="","",IF($R241&lt;=soa_kovaEsik1,"0-7",IF($R241&lt;=soa_kovaEsik2,"8-30",IF($R241&lt;=soa_kovaEsik3,"31-90","90+")))))</f>
        <v/>
      </c>
      <c r="T241" s="29">
        <f>IF($A241="","",IF($B241="","YETİM",IF(COUNTIF(tblKartlar[KartId],$B241)=0,"YETİM","")))</f>
        <v/>
      </c>
      <c r="U241" s="29">
        <f>IF(OR($A241="",$F241=""),"",IF(OR($F241&amp;"|"&amp;$G241="",COUNTIF(ListeIzinliGecis,$F241&amp;"|"&amp;$G241)&gt;0),"","GEÇERSİZ GEÇİŞ"))</f>
        <v/>
      </c>
      <c r="V241" s="29">
        <f>IF($A241="","",IF(OR($P241="",$J241=""),"",IF(ABS($J241-$P241)&gt;zincirTolerans,"ZİNCİR KIRIK","OK")))</f>
        <v/>
      </c>
      <c r="W241" s="29">
        <f>IF($A241="","",1)</f>
        <v/>
      </c>
      <c r="X241" s="29">
        <f>IF($A241="","",$K241*$I241)</f>
        <v/>
      </c>
    </row>
    <row r="242">
      <c r="A242" s="27" t="n"/>
      <c r="B242" s="27" t="n"/>
      <c r="C242" s="27" t="n"/>
      <c r="D242" s="30" t="n"/>
      <c r="E242" s="30" t="n"/>
      <c r="F242" s="27" t="n"/>
      <c r="G242" s="27" t="n"/>
      <c r="H242" s="28" t="n"/>
      <c r="I242" s="31" t="n"/>
      <c r="J242" s="31" t="n"/>
      <c r="K242" s="28" t="n"/>
      <c r="L242" s="32" t="n"/>
      <c r="M242" s="27" t="n"/>
      <c r="N242" s="27" t="n"/>
      <c r="O242" s="27" t="n"/>
      <c r="P242" s="29">
        <f>IF($A242="","",$H242*$I242)</f>
        <v/>
      </c>
      <c r="Q242" s="29">
        <f>IF(OR($A242="",$G242="KAPALI"),"",IF($L242&gt;soa_esikOluGun,"ÖLÜ",""))</f>
        <v/>
      </c>
      <c r="R242" s="29">
        <f>IF($A242="","",IF($E242="","",raporTarihi-$E242))</f>
        <v/>
      </c>
      <c r="S242" s="29">
        <f>IF($A242="","",IF($R242="","",IF($R242&lt;=soa_kovaEsik1,"0-7",IF($R242&lt;=soa_kovaEsik2,"8-30",IF($R242&lt;=soa_kovaEsik3,"31-90","90+")))))</f>
        <v/>
      </c>
      <c r="T242" s="29">
        <f>IF($A242="","",IF($B242="","YETİM",IF(COUNTIF(tblKartlar[KartId],$B242)=0,"YETİM","")))</f>
        <v/>
      </c>
      <c r="U242" s="29">
        <f>IF(OR($A242="",$F242=""),"",IF(OR($F242&amp;"|"&amp;$G242="",COUNTIF(ListeIzinliGecis,$F242&amp;"|"&amp;$G242)&gt;0),"","GEÇERSİZ GEÇİŞ"))</f>
        <v/>
      </c>
      <c r="V242" s="29">
        <f>IF($A242="","",IF(OR($P242="",$J242=""),"",IF(ABS($J242-$P242)&gt;zincirTolerans,"ZİNCİR KIRIK","OK")))</f>
        <v/>
      </c>
      <c r="W242" s="29">
        <f>IF($A242="","",1)</f>
        <v/>
      </c>
      <c r="X242" s="29">
        <f>IF($A242="","",$K242*$I242)</f>
        <v/>
      </c>
    </row>
    <row r="243">
      <c r="A243" s="27" t="n"/>
      <c r="B243" s="27" t="n"/>
      <c r="C243" s="27" t="n"/>
      <c r="D243" s="30" t="n"/>
      <c r="E243" s="30" t="n"/>
      <c r="F243" s="27" t="n"/>
      <c r="G243" s="27" t="n"/>
      <c r="H243" s="28" t="n"/>
      <c r="I243" s="31" t="n"/>
      <c r="J243" s="31" t="n"/>
      <c r="K243" s="28" t="n"/>
      <c r="L243" s="32" t="n"/>
      <c r="M243" s="27" t="n"/>
      <c r="N243" s="27" t="n"/>
      <c r="O243" s="27" t="n"/>
      <c r="P243" s="29">
        <f>IF($A243="","",$H243*$I243)</f>
        <v/>
      </c>
      <c r="Q243" s="29">
        <f>IF(OR($A243="",$G243="KAPALI"),"",IF($L243&gt;soa_esikOluGun,"ÖLÜ",""))</f>
        <v/>
      </c>
      <c r="R243" s="29">
        <f>IF($A243="","",IF($E243="","",raporTarihi-$E243))</f>
        <v/>
      </c>
      <c r="S243" s="29">
        <f>IF($A243="","",IF($R243="","",IF($R243&lt;=soa_kovaEsik1,"0-7",IF($R243&lt;=soa_kovaEsik2,"8-30",IF($R243&lt;=soa_kovaEsik3,"31-90","90+")))))</f>
        <v/>
      </c>
      <c r="T243" s="29">
        <f>IF($A243="","",IF($B243="","YETİM",IF(COUNTIF(tblKartlar[KartId],$B243)=0,"YETİM","")))</f>
        <v/>
      </c>
      <c r="U243" s="29">
        <f>IF(OR($A243="",$F243=""),"",IF(OR($F243&amp;"|"&amp;$G243="",COUNTIF(ListeIzinliGecis,$F243&amp;"|"&amp;$G243)&gt;0),"","GEÇERSİZ GEÇİŞ"))</f>
        <v/>
      </c>
      <c r="V243" s="29">
        <f>IF($A243="","",IF(OR($P243="",$J243=""),"",IF(ABS($J243-$P243)&gt;zincirTolerans,"ZİNCİR KIRIK","OK")))</f>
        <v/>
      </c>
      <c r="W243" s="29">
        <f>IF($A243="","",1)</f>
        <v/>
      </c>
      <c r="X243" s="29">
        <f>IF($A243="","",$K243*$I243)</f>
        <v/>
      </c>
    </row>
    <row r="244">
      <c r="A244" s="27" t="n"/>
      <c r="B244" s="27" t="n"/>
      <c r="C244" s="27" t="n"/>
      <c r="D244" s="30" t="n"/>
      <c r="E244" s="30" t="n"/>
      <c r="F244" s="27" t="n"/>
      <c r="G244" s="27" t="n"/>
      <c r="H244" s="28" t="n"/>
      <c r="I244" s="31" t="n"/>
      <c r="J244" s="31" t="n"/>
      <c r="K244" s="28" t="n"/>
      <c r="L244" s="32" t="n"/>
      <c r="M244" s="27" t="n"/>
      <c r="N244" s="27" t="n"/>
      <c r="O244" s="27" t="n"/>
      <c r="P244" s="29">
        <f>IF($A244="","",$H244*$I244)</f>
        <v/>
      </c>
      <c r="Q244" s="29">
        <f>IF(OR($A244="",$G244="KAPALI"),"",IF($L244&gt;soa_esikOluGun,"ÖLÜ",""))</f>
        <v/>
      </c>
      <c r="R244" s="29">
        <f>IF($A244="","",IF($E244="","",raporTarihi-$E244))</f>
        <v/>
      </c>
      <c r="S244" s="29">
        <f>IF($A244="","",IF($R244="","",IF($R244&lt;=soa_kovaEsik1,"0-7",IF($R244&lt;=soa_kovaEsik2,"8-30",IF($R244&lt;=soa_kovaEsik3,"31-90","90+")))))</f>
        <v/>
      </c>
      <c r="T244" s="29">
        <f>IF($A244="","",IF($B244="","YETİM",IF(COUNTIF(tblKartlar[KartId],$B244)=0,"YETİM","")))</f>
        <v/>
      </c>
      <c r="U244" s="29">
        <f>IF(OR($A244="",$F244=""),"",IF(OR($F244&amp;"|"&amp;$G244="",COUNTIF(ListeIzinliGecis,$F244&amp;"|"&amp;$G244)&gt;0),"","GEÇERSİZ GEÇİŞ"))</f>
        <v/>
      </c>
      <c r="V244" s="29">
        <f>IF($A244="","",IF(OR($P244="",$J244=""),"",IF(ABS($J244-$P244)&gt;zincirTolerans,"ZİNCİR KIRIK","OK")))</f>
        <v/>
      </c>
      <c r="W244" s="29">
        <f>IF($A244="","",1)</f>
        <v/>
      </c>
      <c r="X244" s="29">
        <f>IF($A244="","",$K244*$I244)</f>
        <v/>
      </c>
    </row>
    <row r="245">
      <c r="A245" s="27" t="n"/>
      <c r="B245" s="27" t="n"/>
      <c r="C245" s="27" t="n"/>
      <c r="D245" s="30" t="n"/>
      <c r="E245" s="30" t="n"/>
      <c r="F245" s="27" t="n"/>
      <c r="G245" s="27" t="n"/>
      <c r="H245" s="28" t="n"/>
      <c r="I245" s="31" t="n"/>
      <c r="J245" s="31" t="n"/>
      <c r="K245" s="28" t="n"/>
      <c r="L245" s="32" t="n"/>
      <c r="M245" s="27" t="n"/>
      <c r="N245" s="27" t="n"/>
      <c r="O245" s="27" t="n"/>
      <c r="P245" s="29">
        <f>IF($A245="","",$H245*$I245)</f>
        <v/>
      </c>
      <c r="Q245" s="29">
        <f>IF(OR($A245="",$G245="KAPALI"),"",IF($L245&gt;soa_esikOluGun,"ÖLÜ",""))</f>
        <v/>
      </c>
      <c r="R245" s="29">
        <f>IF($A245="","",IF($E245="","",raporTarihi-$E245))</f>
        <v/>
      </c>
      <c r="S245" s="29">
        <f>IF($A245="","",IF($R245="","",IF($R245&lt;=soa_kovaEsik1,"0-7",IF($R245&lt;=soa_kovaEsik2,"8-30",IF($R245&lt;=soa_kovaEsik3,"31-90","90+")))))</f>
        <v/>
      </c>
      <c r="T245" s="29">
        <f>IF($A245="","",IF($B245="","YETİM",IF(COUNTIF(tblKartlar[KartId],$B245)=0,"YETİM","")))</f>
        <v/>
      </c>
      <c r="U245" s="29">
        <f>IF(OR($A245="",$F245=""),"",IF(OR($F245&amp;"|"&amp;$G245="",COUNTIF(ListeIzinliGecis,$F245&amp;"|"&amp;$G245)&gt;0),"","GEÇERSİZ GEÇİŞ"))</f>
        <v/>
      </c>
      <c r="V245" s="29">
        <f>IF($A245="","",IF(OR($P245="",$J245=""),"",IF(ABS($J245-$P245)&gt;zincirTolerans,"ZİNCİR KIRIK","OK")))</f>
        <v/>
      </c>
      <c r="W245" s="29">
        <f>IF($A245="","",1)</f>
        <v/>
      </c>
      <c r="X245" s="29">
        <f>IF($A245="","",$K245*$I245)</f>
        <v/>
      </c>
    </row>
    <row r="246">
      <c r="A246" s="27" t="n"/>
      <c r="B246" s="27" t="n"/>
      <c r="C246" s="27" t="n"/>
      <c r="D246" s="30" t="n"/>
      <c r="E246" s="30" t="n"/>
      <c r="F246" s="27" t="n"/>
      <c r="G246" s="27" t="n"/>
      <c r="H246" s="28" t="n"/>
      <c r="I246" s="31" t="n"/>
      <c r="J246" s="31" t="n"/>
      <c r="K246" s="28" t="n"/>
      <c r="L246" s="32" t="n"/>
      <c r="M246" s="27" t="n"/>
      <c r="N246" s="27" t="n"/>
      <c r="O246" s="27" t="n"/>
      <c r="P246" s="29">
        <f>IF($A246="","",$H246*$I246)</f>
        <v/>
      </c>
      <c r="Q246" s="29">
        <f>IF(OR($A246="",$G246="KAPALI"),"",IF($L246&gt;soa_esikOluGun,"ÖLÜ",""))</f>
        <v/>
      </c>
      <c r="R246" s="29">
        <f>IF($A246="","",IF($E246="","",raporTarihi-$E246))</f>
        <v/>
      </c>
      <c r="S246" s="29">
        <f>IF($A246="","",IF($R246="","",IF($R246&lt;=soa_kovaEsik1,"0-7",IF($R246&lt;=soa_kovaEsik2,"8-30",IF($R246&lt;=soa_kovaEsik3,"31-90","90+")))))</f>
        <v/>
      </c>
      <c r="T246" s="29">
        <f>IF($A246="","",IF($B246="","YETİM",IF(COUNTIF(tblKartlar[KartId],$B246)=0,"YETİM","")))</f>
        <v/>
      </c>
      <c r="U246" s="29">
        <f>IF(OR($A246="",$F246=""),"",IF(OR($F246&amp;"|"&amp;$G246="",COUNTIF(ListeIzinliGecis,$F246&amp;"|"&amp;$G246)&gt;0),"","GEÇERSİZ GEÇİŞ"))</f>
        <v/>
      </c>
      <c r="V246" s="29">
        <f>IF($A246="","",IF(OR($P246="",$J246=""),"",IF(ABS($J246-$P246)&gt;zincirTolerans,"ZİNCİR KIRIK","OK")))</f>
        <v/>
      </c>
      <c r="W246" s="29">
        <f>IF($A246="","",1)</f>
        <v/>
      </c>
      <c r="X246" s="29">
        <f>IF($A246="","",$K246*$I246)</f>
        <v/>
      </c>
    </row>
    <row r="247">
      <c r="A247" s="27" t="n"/>
      <c r="B247" s="27" t="n"/>
      <c r="C247" s="27" t="n"/>
      <c r="D247" s="30" t="n"/>
      <c r="E247" s="30" t="n"/>
      <c r="F247" s="27" t="n"/>
      <c r="G247" s="27" t="n"/>
      <c r="H247" s="28" t="n"/>
      <c r="I247" s="31" t="n"/>
      <c r="J247" s="31" t="n"/>
      <c r="K247" s="28" t="n"/>
      <c r="L247" s="32" t="n"/>
      <c r="M247" s="27" t="n"/>
      <c r="N247" s="27" t="n"/>
      <c r="O247" s="27" t="n"/>
      <c r="P247" s="29">
        <f>IF($A247="","",$H247*$I247)</f>
        <v/>
      </c>
      <c r="Q247" s="29">
        <f>IF(OR($A247="",$G247="KAPALI"),"",IF($L247&gt;soa_esikOluGun,"ÖLÜ",""))</f>
        <v/>
      </c>
      <c r="R247" s="29">
        <f>IF($A247="","",IF($E247="","",raporTarihi-$E247))</f>
        <v/>
      </c>
      <c r="S247" s="29">
        <f>IF($A247="","",IF($R247="","",IF($R247&lt;=soa_kovaEsik1,"0-7",IF($R247&lt;=soa_kovaEsik2,"8-30",IF($R247&lt;=soa_kovaEsik3,"31-90","90+")))))</f>
        <v/>
      </c>
      <c r="T247" s="29">
        <f>IF($A247="","",IF($B247="","YETİM",IF(COUNTIF(tblKartlar[KartId],$B247)=0,"YETİM","")))</f>
        <v/>
      </c>
      <c r="U247" s="29">
        <f>IF(OR($A247="",$F247=""),"",IF(OR($F247&amp;"|"&amp;$G247="",COUNTIF(ListeIzinliGecis,$F247&amp;"|"&amp;$G247)&gt;0),"","GEÇERSİZ GEÇİŞ"))</f>
        <v/>
      </c>
      <c r="V247" s="29">
        <f>IF($A247="","",IF(OR($P247="",$J247=""),"",IF(ABS($J247-$P247)&gt;zincirTolerans,"ZİNCİR KIRIK","OK")))</f>
        <v/>
      </c>
      <c r="W247" s="29">
        <f>IF($A247="","",1)</f>
        <v/>
      </c>
      <c r="X247" s="29">
        <f>IF($A247="","",$K247*$I247)</f>
        <v/>
      </c>
    </row>
    <row r="248">
      <c r="A248" s="27" t="n"/>
      <c r="B248" s="27" t="n"/>
      <c r="C248" s="27" t="n"/>
      <c r="D248" s="30" t="n"/>
      <c r="E248" s="30" t="n"/>
      <c r="F248" s="27" t="n"/>
      <c r="G248" s="27" t="n"/>
      <c r="H248" s="28" t="n"/>
      <c r="I248" s="31" t="n"/>
      <c r="J248" s="31" t="n"/>
      <c r="K248" s="28" t="n"/>
      <c r="L248" s="32" t="n"/>
      <c r="M248" s="27" t="n"/>
      <c r="N248" s="27" t="n"/>
      <c r="O248" s="27" t="n"/>
      <c r="P248" s="29">
        <f>IF($A248="","",$H248*$I248)</f>
        <v/>
      </c>
      <c r="Q248" s="29">
        <f>IF(OR($A248="",$G248="KAPALI"),"",IF($L248&gt;soa_esikOluGun,"ÖLÜ",""))</f>
        <v/>
      </c>
      <c r="R248" s="29">
        <f>IF($A248="","",IF($E248="","",raporTarihi-$E248))</f>
        <v/>
      </c>
      <c r="S248" s="29">
        <f>IF($A248="","",IF($R248="","",IF($R248&lt;=soa_kovaEsik1,"0-7",IF($R248&lt;=soa_kovaEsik2,"8-30",IF($R248&lt;=soa_kovaEsik3,"31-90","90+")))))</f>
        <v/>
      </c>
      <c r="T248" s="29">
        <f>IF($A248="","",IF($B248="","YETİM",IF(COUNTIF(tblKartlar[KartId],$B248)=0,"YETİM","")))</f>
        <v/>
      </c>
      <c r="U248" s="29">
        <f>IF(OR($A248="",$F248=""),"",IF(OR($F248&amp;"|"&amp;$G248="",COUNTIF(ListeIzinliGecis,$F248&amp;"|"&amp;$G248)&gt;0),"","GEÇERSİZ GEÇİŞ"))</f>
        <v/>
      </c>
      <c r="V248" s="29">
        <f>IF($A248="","",IF(OR($P248="",$J248=""),"",IF(ABS($J248-$P248)&gt;zincirTolerans,"ZİNCİR KIRIK","OK")))</f>
        <v/>
      </c>
      <c r="W248" s="29">
        <f>IF($A248="","",1)</f>
        <v/>
      </c>
      <c r="X248" s="29">
        <f>IF($A248="","",$K248*$I248)</f>
        <v/>
      </c>
    </row>
    <row r="249">
      <c r="A249" s="27" t="n"/>
      <c r="B249" s="27" t="n"/>
      <c r="C249" s="27" t="n"/>
      <c r="D249" s="30" t="n"/>
      <c r="E249" s="30" t="n"/>
      <c r="F249" s="27" t="n"/>
      <c r="G249" s="27" t="n"/>
      <c r="H249" s="28" t="n"/>
      <c r="I249" s="31" t="n"/>
      <c r="J249" s="31" t="n"/>
      <c r="K249" s="28" t="n"/>
      <c r="L249" s="32" t="n"/>
      <c r="M249" s="27" t="n"/>
      <c r="N249" s="27" t="n"/>
      <c r="O249" s="27" t="n"/>
      <c r="P249" s="29">
        <f>IF($A249="","",$H249*$I249)</f>
        <v/>
      </c>
      <c r="Q249" s="29">
        <f>IF(OR($A249="",$G249="KAPALI"),"",IF($L249&gt;soa_esikOluGun,"ÖLÜ",""))</f>
        <v/>
      </c>
      <c r="R249" s="29">
        <f>IF($A249="","",IF($E249="","",raporTarihi-$E249))</f>
        <v/>
      </c>
      <c r="S249" s="29">
        <f>IF($A249="","",IF($R249="","",IF($R249&lt;=soa_kovaEsik1,"0-7",IF($R249&lt;=soa_kovaEsik2,"8-30",IF($R249&lt;=soa_kovaEsik3,"31-90","90+")))))</f>
        <v/>
      </c>
      <c r="T249" s="29">
        <f>IF($A249="","",IF($B249="","YETİM",IF(COUNTIF(tblKartlar[KartId],$B249)=0,"YETİM","")))</f>
        <v/>
      </c>
      <c r="U249" s="29">
        <f>IF(OR($A249="",$F249=""),"",IF(OR($F249&amp;"|"&amp;$G249="",COUNTIF(ListeIzinliGecis,$F249&amp;"|"&amp;$G249)&gt;0),"","GEÇERSİZ GEÇİŞ"))</f>
        <v/>
      </c>
      <c r="V249" s="29">
        <f>IF($A249="","",IF(OR($P249="",$J249=""),"",IF(ABS($J249-$P249)&gt;zincirTolerans,"ZİNCİR KIRIK","OK")))</f>
        <v/>
      </c>
      <c r="W249" s="29">
        <f>IF($A249="","",1)</f>
        <v/>
      </c>
      <c r="X249" s="29">
        <f>IF($A249="","",$K249*$I249)</f>
        <v/>
      </c>
    </row>
    <row r="250">
      <c r="A250" s="27" t="n"/>
      <c r="B250" s="27" t="n"/>
      <c r="C250" s="27" t="n"/>
      <c r="D250" s="30" t="n"/>
      <c r="E250" s="30" t="n"/>
      <c r="F250" s="27" t="n"/>
      <c r="G250" s="27" t="n"/>
      <c r="H250" s="28" t="n"/>
      <c r="I250" s="31" t="n"/>
      <c r="J250" s="31" t="n"/>
      <c r="K250" s="28" t="n"/>
      <c r="L250" s="32" t="n"/>
      <c r="M250" s="27" t="n"/>
      <c r="N250" s="27" t="n"/>
      <c r="O250" s="27" t="n"/>
      <c r="P250" s="29">
        <f>IF($A250="","",$H250*$I250)</f>
        <v/>
      </c>
      <c r="Q250" s="29">
        <f>IF(OR($A250="",$G250="KAPALI"),"",IF($L250&gt;soa_esikOluGun,"ÖLÜ",""))</f>
        <v/>
      </c>
      <c r="R250" s="29">
        <f>IF($A250="","",IF($E250="","",raporTarihi-$E250))</f>
        <v/>
      </c>
      <c r="S250" s="29">
        <f>IF($A250="","",IF($R250="","",IF($R250&lt;=soa_kovaEsik1,"0-7",IF($R250&lt;=soa_kovaEsik2,"8-30",IF($R250&lt;=soa_kovaEsik3,"31-90","90+")))))</f>
        <v/>
      </c>
      <c r="T250" s="29">
        <f>IF($A250="","",IF($B250="","YETİM",IF(COUNTIF(tblKartlar[KartId],$B250)=0,"YETİM","")))</f>
        <v/>
      </c>
      <c r="U250" s="29">
        <f>IF(OR($A250="",$F250=""),"",IF(OR($F250&amp;"|"&amp;$G250="",COUNTIF(ListeIzinliGecis,$F250&amp;"|"&amp;$G250)&gt;0),"","GEÇERSİZ GEÇİŞ"))</f>
        <v/>
      </c>
      <c r="V250" s="29">
        <f>IF($A250="","",IF(OR($P250="",$J250=""),"",IF(ABS($J250-$P250)&gt;zincirTolerans,"ZİNCİR KIRIK","OK")))</f>
        <v/>
      </c>
      <c r="W250" s="29">
        <f>IF($A250="","",1)</f>
        <v/>
      </c>
      <c r="X250" s="29">
        <f>IF($A250="","",$K250*$I250)</f>
        <v/>
      </c>
    </row>
    <row r="251">
      <c r="A251" s="27" t="n"/>
      <c r="B251" s="27" t="n"/>
      <c r="C251" s="27" t="n"/>
      <c r="D251" s="30" t="n"/>
      <c r="E251" s="30" t="n"/>
      <c r="F251" s="27" t="n"/>
      <c r="G251" s="27" t="n"/>
      <c r="H251" s="28" t="n"/>
      <c r="I251" s="31" t="n"/>
      <c r="J251" s="31" t="n"/>
      <c r="K251" s="28" t="n"/>
      <c r="L251" s="32" t="n"/>
      <c r="M251" s="27" t="n"/>
      <c r="N251" s="27" t="n"/>
      <c r="O251" s="27" t="n"/>
      <c r="P251" s="29">
        <f>IF($A251="","",$H251*$I251)</f>
        <v/>
      </c>
      <c r="Q251" s="29">
        <f>IF(OR($A251="",$G251="KAPALI"),"",IF($L251&gt;soa_esikOluGun,"ÖLÜ",""))</f>
        <v/>
      </c>
      <c r="R251" s="29">
        <f>IF($A251="","",IF($E251="","",raporTarihi-$E251))</f>
        <v/>
      </c>
      <c r="S251" s="29">
        <f>IF($A251="","",IF($R251="","",IF($R251&lt;=soa_kovaEsik1,"0-7",IF($R251&lt;=soa_kovaEsik2,"8-30",IF($R251&lt;=soa_kovaEsik3,"31-90","90+")))))</f>
        <v/>
      </c>
      <c r="T251" s="29">
        <f>IF($A251="","",IF($B251="","YETİM",IF(COUNTIF(tblKartlar[KartId],$B251)=0,"YETİM","")))</f>
        <v/>
      </c>
      <c r="U251" s="29">
        <f>IF(OR($A251="",$F251=""),"",IF(OR($F251&amp;"|"&amp;$G251="",COUNTIF(ListeIzinliGecis,$F251&amp;"|"&amp;$G251)&gt;0),"","GEÇERSİZ GEÇİŞ"))</f>
        <v/>
      </c>
      <c r="V251" s="29">
        <f>IF($A251="","",IF(OR($P251="",$J251=""),"",IF(ABS($J251-$P251)&gt;zincirTolerans,"ZİNCİR KIRIK","OK")))</f>
        <v/>
      </c>
      <c r="W251" s="29">
        <f>IF($A251="","",1)</f>
        <v/>
      </c>
      <c r="X251" s="29">
        <f>IF($A251="","",$K251*$I251)</f>
        <v/>
      </c>
    </row>
    <row r="252">
      <c r="A252" s="27" t="n"/>
      <c r="B252" s="27" t="n"/>
      <c r="C252" s="27" t="n"/>
      <c r="D252" s="30" t="n"/>
      <c r="E252" s="30" t="n"/>
      <c r="F252" s="27" t="n"/>
      <c r="G252" s="27" t="n"/>
      <c r="H252" s="28" t="n"/>
      <c r="I252" s="31" t="n"/>
      <c r="J252" s="31" t="n"/>
      <c r="K252" s="28" t="n"/>
      <c r="L252" s="32" t="n"/>
      <c r="M252" s="27" t="n"/>
      <c r="N252" s="27" t="n"/>
      <c r="O252" s="27" t="n"/>
      <c r="P252" s="29">
        <f>IF($A252="","",$H252*$I252)</f>
        <v/>
      </c>
      <c r="Q252" s="29">
        <f>IF(OR($A252="",$G252="KAPALI"),"",IF($L252&gt;soa_esikOluGun,"ÖLÜ",""))</f>
        <v/>
      </c>
      <c r="R252" s="29">
        <f>IF($A252="","",IF($E252="","",raporTarihi-$E252))</f>
        <v/>
      </c>
      <c r="S252" s="29">
        <f>IF($A252="","",IF($R252="","",IF($R252&lt;=soa_kovaEsik1,"0-7",IF($R252&lt;=soa_kovaEsik2,"8-30",IF($R252&lt;=soa_kovaEsik3,"31-90","90+")))))</f>
        <v/>
      </c>
      <c r="T252" s="29">
        <f>IF($A252="","",IF($B252="","YETİM",IF(COUNTIF(tblKartlar[KartId],$B252)=0,"YETİM","")))</f>
        <v/>
      </c>
      <c r="U252" s="29">
        <f>IF(OR($A252="",$F252=""),"",IF(OR($F252&amp;"|"&amp;$G252="",COUNTIF(ListeIzinliGecis,$F252&amp;"|"&amp;$G252)&gt;0),"","GEÇERSİZ GEÇİŞ"))</f>
        <v/>
      </c>
      <c r="V252" s="29">
        <f>IF($A252="","",IF(OR($P252="",$J252=""),"",IF(ABS($J252-$P252)&gt;zincirTolerans,"ZİNCİR KIRIK","OK")))</f>
        <v/>
      </c>
      <c r="W252" s="29">
        <f>IF($A252="","",1)</f>
        <v/>
      </c>
      <c r="X252" s="29">
        <f>IF($A252="","",$K252*$I252)</f>
        <v/>
      </c>
    </row>
    <row r="253">
      <c r="A253" s="27" t="n"/>
      <c r="B253" s="27" t="n"/>
      <c r="C253" s="27" t="n"/>
      <c r="D253" s="30" t="n"/>
      <c r="E253" s="30" t="n"/>
      <c r="F253" s="27" t="n"/>
      <c r="G253" s="27" t="n"/>
      <c r="H253" s="28" t="n"/>
      <c r="I253" s="31" t="n"/>
      <c r="J253" s="31" t="n"/>
      <c r="K253" s="28" t="n"/>
      <c r="L253" s="32" t="n"/>
      <c r="M253" s="27" t="n"/>
      <c r="N253" s="27" t="n"/>
      <c r="O253" s="27" t="n"/>
      <c r="P253" s="29">
        <f>IF($A253="","",$H253*$I253)</f>
        <v/>
      </c>
      <c r="Q253" s="29">
        <f>IF(OR($A253="",$G253="KAPALI"),"",IF($L253&gt;soa_esikOluGun,"ÖLÜ",""))</f>
        <v/>
      </c>
      <c r="R253" s="29">
        <f>IF($A253="","",IF($E253="","",raporTarihi-$E253))</f>
        <v/>
      </c>
      <c r="S253" s="29">
        <f>IF($A253="","",IF($R253="","",IF($R253&lt;=soa_kovaEsik1,"0-7",IF($R253&lt;=soa_kovaEsik2,"8-30",IF($R253&lt;=soa_kovaEsik3,"31-90","90+")))))</f>
        <v/>
      </c>
      <c r="T253" s="29">
        <f>IF($A253="","",IF($B253="","YETİM",IF(COUNTIF(tblKartlar[KartId],$B253)=0,"YETİM","")))</f>
        <v/>
      </c>
      <c r="U253" s="29">
        <f>IF(OR($A253="",$F253=""),"",IF(OR($F253&amp;"|"&amp;$G253="",COUNTIF(ListeIzinliGecis,$F253&amp;"|"&amp;$G253)&gt;0),"","GEÇERSİZ GEÇİŞ"))</f>
        <v/>
      </c>
      <c r="V253" s="29">
        <f>IF($A253="","",IF(OR($P253="",$J253=""),"",IF(ABS($J253-$P253)&gt;zincirTolerans,"ZİNCİR KIRIK","OK")))</f>
        <v/>
      </c>
      <c r="W253" s="29">
        <f>IF($A253="","",1)</f>
        <v/>
      </c>
      <c r="X253" s="29">
        <f>IF($A253="","",$K253*$I253)</f>
        <v/>
      </c>
    </row>
    <row r="254">
      <c r="A254" s="27" t="n"/>
      <c r="B254" s="27" t="n"/>
      <c r="C254" s="27" t="n"/>
      <c r="D254" s="30" t="n"/>
      <c r="E254" s="30" t="n"/>
      <c r="F254" s="27" t="n"/>
      <c r="G254" s="27" t="n"/>
      <c r="H254" s="28" t="n"/>
      <c r="I254" s="31" t="n"/>
      <c r="J254" s="31" t="n"/>
      <c r="K254" s="28" t="n"/>
      <c r="L254" s="32" t="n"/>
      <c r="M254" s="27" t="n"/>
      <c r="N254" s="27" t="n"/>
      <c r="O254" s="27" t="n"/>
      <c r="P254" s="29">
        <f>IF($A254="","",$H254*$I254)</f>
        <v/>
      </c>
      <c r="Q254" s="29">
        <f>IF(OR($A254="",$G254="KAPALI"),"",IF($L254&gt;soa_esikOluGun,"ÖLÜ",""))</f>
        <v/>
      </c>
      <c r="R254" s="29">
        <f>IF($A254="","",IF($E254="","",raporTarihi-$E254))</f>
        <v/>
      </c>
      <c r="S254" s="29">
        <f>IF($A254="","",IF($R254="","",IF($R254&lt;=soa_kovaEsik1,"0-7",IF($R254&lt;=soa_kovaEsik2,"8-30",IF($R254&lt;=soa_kovaEsik3,"31-90","90+")))))</f>
        <v/>
      </c>
      <c r="T254" s="29">
        <f>IF($A254="","",IF($B254="","YETİM",IF(COUNTIF(tblKartlar[KartId],$B254)=0,"YETİM","")))</f>
        <v/>
      </c>
      <c r="U254" s="29">
        <f>IF(OR($A254="",$F254=""),"",IF(OR($F254&amp;"|"&amp;$G254="",COUNTIF(ListeIzinliGecis,$F254&amp;"|"&amp;$G254)&gt;0),"","GEÇERSİZ GEÇİŞ"))</f>
        <v/>
      </c>
      <c r="V254" s="29">
        <f>IF($A254="","",IF(OR($P254="",$J254=""),"",IF(ABS($J254-$P254)&gt;zincirTolerans,"ZİNCİR KIRIK","OK")))</f>
        <v/>
      </c>
      <c r="W254" s="29">
        <f>IF($A254="","",1)</f>
        <v/>
      </c>
      <c r="X254" s="29">
        <f>IF($A254="","",$K254*$I254)</f>
        <v/>
      </c>
    </row>
    <row r="255">
      <c r="A255" s="27" t="n"/>
      <c r="B255" s="27" t="n"/>
      <c r="C255" s="27" t="n"/>
      <c r="D255" s="30" t="n"/>
      <c r="E255" s="30" t="n"/>
      <c r="F255" s="27" t="n"/>
      <c r="G255" s="27" t="n"/>
      <c r="H255" s="28" t="n"/>
      <c r="I255" s="31" t="n"/>
      <c r="J255" s="31" t="n"/>
      <c r="K255" s="28" t="n"/>
      <c r="L255" s="32" t="n"/>
      <c r="M255" s="27" t="n"/>
      <c r="N255" s="27" t="n"/>
      <c r="O255" s="27" t="n"/>
      <c r="P255" s="29">
        <f>IF($A255="","",$H255*$I255)</f>
        <v/>
      </c>
      <c r="Q255" s="29">
        <f>IF(OR($A255="",$G255="KAPALI"),"",IF($L255&gt;soa_esikOluGun,"ÖLÜ",""))</f>
        <v/>
      </c>
      <c r="R255" s="29">
        <f>IF($A255="","",IF($E255="","",raporTarihi-$E255))</f>
        <v/>
      </c>
      <c r="S255" s="29">
        <f>IF($A255="","",IF($R255="","",IF($R255&lt;=soa_kovaEsik1,"0-7",IF($R255&lt;=soa_kovaEsik2,"8-30",IF($R255&lt;=soa_kovaEsik3,"31-90","90+")))))</f>
        <v/>
      </c>
      <c r="T255" s="29">
        <f>IF($A255="","",IF($B255="","YETİM",IF(COUNTIF(tblKartlar[KartId],$B255)=0,"YETİM","")))</f>
        <v/>
      </c>
      <c r="U255" s="29">
        <f>IF(OR($A255="",$F255=""),"",IF(OR($F255&amp;"|"&amp;$G255="",COUNTIF(ListeIzinliGecis,$F255&amp;"|"&amp;$G255)&gt;0),"","GEÇERSİZ GEÇİŞ"))</f>
        <v/>
      </c>
      <c r="V255" s="29">
        <f>IF($A255="","",IF(OR($P255="",$J255=""),"",IF(ABS($J255-$P255)&gt;zincirTolerans,"ZİNCİR KIRIK","OK")))</f>
        <v/>
      </c>
      <c r="W255" s="29">
        <f>IF($A255="","",1)</f>
        <v/>
      </c>
      <c r="X255" s="29">
        <f>IF($A255="","",$K255*$I255)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X3"/>
    <mergeCell ref="A1:X1"/>
  </mergeCells>
  <conditionalFormatting sqref="T6:T255">
    <cfRule type="cellIs" priority="1" operator="equal" dxfId="2">
      <formula>"YETİM"</formula>
    </cfRule>
  </conditionalFormatting>
  <conditionalFormatting sqref="U6:U255">
    <cfRule type="cellIs" priority="2" operator="equal" dxfId="2">
      <formula>"GEÇERSİZ GEÇİŞ"</formula>
    </cfRule>
  </conditionalFormatting>
  <conditionalFormatting sqref="V6:V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Q6:Q255">
    <cfRule type="cellIs" priority="5" operator="equal" dxfId="2">
      <formula>"ÖLÜ"</formula>
    </cfRule>
  </conditionalFormatting>
  <conditionalFormatting sqref="G6:G255">
    <cfRule type="cellIs" priority="6" operator="equal" dxfId="1">
      <formula>"ABC"</formula>
    </cfRule>
    <cfRule type="cellIs" priority="7" operator="equal" dxfId="4">
      <formula>"AKSIYON"</formula>
    </cfRule>
    <cfRule type="cellIs" priority="8" operator="equal" dxfId="3">
      <formula>"SAYIM"</formula>
    </cfRule>
  </conditionalFormatting>
  <dataValidations count="14">
    <dataValidation sqref="A6:A255" showDropDown="0" showInputMessage="1" showErrorMessage="1" allowBlank="1" errorTitle="Kimlik" error="Boş olamaz" promptTitle="İşlem Kimliği" prompt="SOA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SKU" error="Geçersiz" promptTitle="SKU Kod" prompt="Stok kodu" type="textLength" errorStyle="stop" operator="greaterThanOrEqual">
      <formula1>0</formula1>
      <formula2>40</formula2>
    </dataValidation>
    <dataValidation sqref="D6:D255" showDropDown="0" showInputMessage="1" showErrorMessage="1" allowBlank="1" errorTitle="Tarih" error="Geçerli tarih" promptTitle="Sayım" prompt="Sayım tarihi" type="date" errorStyle="stop" operator="greaterThan">
      <formula1>1</formula1>
    </dataValidation>
    <dataValidation sqref="E6:E255" showDropDown="0" showInputMessage="1" showErrorMessage="1" allowBlank="1" errorTitle="Tarih" error="Geçerli tarih" promptTitle="Son Hareket" prompt="Son hareket tarihi" type="date" errorStyle="stop" operator="greaterThan">
      <formula1>1</formula1>
    </dataValidation>
    <dataValidation sqref="F6:F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G6:G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H6:H255" showDropDown="0" showInputMessage="1" showErrorMessage="1" allowBlank="1" errorTitle="Stok" error="0 veya üzeri" promptTitle="Stok" prompt="Stok ≥ 0" type="whole" errorStyle="stop" operator="greaterThanOrEqual">
      <formula1>0</formula1>
    </dataValidation>
    <dataValidation sqref="K6:K255" showDropDown="0" showInputMessage="1" showErrorMessage="1" allowBlank="1" errorTitle="Sipariş" error="0 veya üzeri" promptTitle="Sipariş" prompt="Sipariş ≥ 0" type="whole" errorStyle="stop" operator="greaterThanOrEqual">
      <formula1>0</formula1>
    </dataValidation>
    <dataValidation sqref="L6:L255" showDropDown="0" showInputMessage="1" showErrorMessage="1" allowBlank="1" errorTitle="Stok Günü" error="0 veya üzeri" promptTitle="Stok Günü" prompt="Stok Günü ≥ 0" type="whole" errorStyle="stop" operator="greaterThanOrEqual">
      <formula1>0</formula1>
    </dataValidation>
    <dataValidation sqref="I6:I255" showDropDown="0" showInputMessage="1" showErrorMessage="1" allowBlank="1" errorTitle="Maliyet" error="0 veya üzeri" promptTitle="Birim Maliyet" prompt="≥ 0 TL" type="decimal" errorStyle="stop" operator="greaterThanOrEqual">
      <formula1>0</formula1>
    </dataValidation>
    <dataValidation sqref="J6:J255" showDropDown="0" showInputMessage="1" showErrorMessage="1" allowBlank="1" errorTitle="Nakit" error="0 veya üzeri" promptTitle="Kontrol Nakit" prompt="≥ 0 TL" type="decimal" errorStyle="stop" operator="greaterThanOrEqual">
      <formula1>0</formula1>
    </dataValidation>
    <dataValidation sqref="M6:M255" showDropDown="0" showInputMessage="1" showErrorMessage="1" allowBlank="1" errorTitle="Liste" error="A/B/C" promptTitle="ABC" prompt="A, B veya C" type="list" errorStyle="stop">
      <formula1>ListeAbc</formula1>
    </dataValidation>
    <dataValidation sqref="N6:N255" showDropDown="0" showInputMessage="1" showErrorMessage="1" allowBlank="1" errorTitle="Liste" error="A veya B" promptTitle="Yorum A" prompt="A veya B" type="list" errorStyle="stop">
      <formula1>ListeYorumAB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KUYRUKLAR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199" t="inlineStr">
        <is>
          <t>Durum bazlı canlı kuyruk — kapalı kayıtlar düşer</t>
        </is>
      </c>
    </row>
    <row r="4"/>
    <row r="5">
      <c r="A5" s="33" t="inlineStr">
        <is>
          <t>Kuyruk</t>
        </is>
      </c>
      <c r="B5" s="33" t="inlineStr">
        <is>
          <t>Adet</t>
        </is>
      </c>
      <c r="C5" s="33" t="inlineStr">
        <is>
          <t>Nakit</t>
        </is>
      </c>
    </row>
    <row r="6">
      <c r="A6" s="7" t="inlineStr">
        <is>
          <t>Kuyruk Sayım</t>
        </is>
      </c>
      <c r="B6" s="21">
        <f>COUNTIFS(tblAkis[Durum],"SAYIM",tblAkis[StokAdet],"&gt;0")</f>
        <v/>
      </c>
      <c r="C6" s="22">
        <f>SUMIFS(tblAkis[HesaplananNakit],tblAkis[Durum],"SAYIM")</f>
        <v/>
      </c>
    </row>
    <row r="7">
      <c r="A7" s="7" t="inlineStr">
        <is>
          <t>Kuyruk ABC</t>
        </is>
      </c>
      <c r="B7" s="21">
        <f>COUNTIFS(tblAkis[Durum],"ABC",tblAkis[StokAdet],"&gt;0")</f>
        <v/>
      </c>
      <c r="C7" s="22">
        <f>SUMIFS(tblAkis[HesaplananNakit],tblAkis[Durum],"ABC")</f>
        <v/>
      </c>
    </row>
    <row r="8">
      <c r="A8" s="7" t="inlineStr">
        <is>
          <t>Kuyruk Aksiyon</t>
        </is>
      </c>
      <c r="B8" s="21">
        <f>COUNTIFS(tblAkis[Durum],"AKSIYON",tblAkis[StokAdet],"&gt;0")</f>
        <v/>
      </c>
      <c r="C8" s="22">
        <f>SUMIFS(tblAkis[HesaplananNakit],tblAkis[Durum],"AKSIYON")</f>
        <v/>
      </c>
    </row>
    <row r="9">
      <c r="A9" s="7" t="inlineStr">
        <is>
          <t>Kuyruk Ölü Stok</t>
        </is>
      </c>
      <c r="B9" s="21">
        <f>COUNTIFS(tblAkis[OluBayrak],"ÖLÜ",tblAkis[Durum],"&lt;&gt;KAPALI")</f>
        <v/>
      </c>
      <c r="C9" s="22">
        <f>SUMIFS(tblAkis[HesaplananNakit],tblAkis[OluBayrak],"ÖLÜ",tblAkis[Durum],"&lt;&gt;KAPALI")</f>
        <v/>
      </c>
    </row>
    <row r="10"/>
    <row r="11"/>
    <row r="12">
      <c r="A12" s="16" t="inlineStr">
        <is>
          <t>Kapalı — kuyruktan düşer</t>
        </is>
      </c>
    </row>
    <row r="13">
      <c r="A13" s="7" t="inlineStr">
        <is>
          <t>Kapalı</t>
        </is>
      </c>
      <c r="B13" s="21">
        <f>COUNTIF(tblAkis[Durum],"KAPALI")</f>
        <v/>
      </c>
      <c r="C13" s="22">
        <f>SUMIF(tblAkis[Durum],"KAPALI",tblAkis[HesaplananNakit])</f>
        <v/>
      </c>
    </row>
    <row r="14"/>
    <row r="15">
      <c r="A15" s="25" t="inlineStr">
        <is>
          <t>Kuyruk Özeti</t>
        </is>
      </c>
      <c r="B15" s="8">
        <f>soa_kuyrukOzeti</f>
        <v/>
      </c>
    </row>
    <row r="16"/>
    <row r="17">
      <c r="A17" s="16" t="inlineStr">
        <is>
          <t>Yaş Kova Dağılımı</t>
        </is>
      </c>
    </row>
    <row r="18">
      <c r="A18" s="7" t="inlineStr">
        <is>
          <t>0-7</t>
        </is>
      </c>
      <c r="B18" s="21">
        <f>COUNTIF(tblAkis[YasKova],"0-7")</f>
        <v/>
      </c>
      <c r="C18" s="22">
        <f>SUMIF(tblAkis[YasKova],"0-7",tblAkis[HesaplananNakit])</f>
        <v/>
      </c>
    </row>
    <row r="19">
      <c r="A19" s="7" t="inlineStr">
        <is>
          <t>8-30</t>
        </is>
      </c>
      <c r="B19" s="21">
        <f>COUNTIF(tblAkis[YasKova],"8-30")</f>
        <v/>
      </c>
      <c r="C19" s="22">
        <f>SUMIF(tblAkis[YasKova],"8-30",tblAkis[HesaplananNakit])</f>
        <v/>
      </c>
    </row>
    <row r="20">
      <c r="A20" s="7" t="inlineStr">
        <is>
          <t>31-90</t>
        </is>
      </c>
      <c r="B20" s="21">
        <f>COUNTIF(tblAkis[YasKova],"31-90")</f>
        <v/>
      </c>
      <c r="C20" s="22">
        <f>SUMIF(tblAkis[YasKova],"31-90",tblAkis[HesaplananNakit])</f>
        <v/>
      </c>
    </row>
    <row r="21">
      <c r="A21" s="7" t="inlineStr">
        <is>
          <t>90+</t>
        </is>
      </c>
      <c r="B21" s="21">
        <f>COUNTIF(tblAkis[YasKova],"90+")</f>
        <v/>
      </c>
      <c r="C21" s="22">
        <f>SUMIF(tblAkis[YasKova],"90+",tblAkis[HesaplananNakit])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5:F15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AC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HESAP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199" t="inlineStr">
        <is>
          <t>Hesap motoru — ≥40 adım; sabitler AYARLAR'dan</t>
        </is>
      </c>
    </row>
    <row r="4"/>
    <row r="5">
      <c r="A5" s="33" t="inlineStr">
        <is>
          <t>Adım</t>
        </is>
      </c>
      <c r="B5" s="33" t="inlineStr">
        <is>
          <t>Açıklama</t>
        </is>
      </c>
      <c r="C5" s="33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4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4">
        <f>SUM(tblAkis[KayitDolu])</f>
        <v/>
      </c>
    </row>
    <row r="8">
      <c r="A8" s="7" t="inlineStr">
        <is>
          <t>H03</t>
        </is>
      </c>
      <c r="B8" s="7" t="inlineStr">
        <is>
          <t>Ölü stok nakit</t>
        </is>
      </c>
      <c r="C8" s="35">
        <f>SUMIFS(tblAkis[HesaplananNakit],tblAkis[OluBayrak],"ÖLÜ",tblAkis[Durum],"&lt;&gt;KAPALI")</f>
        <v/>
      </c>
    </row>
    <row r="9">
      <c r="A9" s="7" t="inlineStr">
        <is>
          <t>H04</t>
        </is>
      </c>
      <c r="B9" s="7" t="inlineStr">
        <is>
          <t>Stok adet toplam</t>
        </is>
      </c>
      <c r="C9" s="34">
        <f>SUM(tblAkis[StokAdet])</f>
        <v/>
      </c>
    </row>
    <row r="10">
      <c r="A10" s="7" t="inlineStr">
        <is>
          <t>H05</t>
        </is>
      </c>
      <c r="B10" s="7" t="inlineStr">
        <is>
          <t>Kontrol nakit toplam</t>
        </is>
      </c>
      <c r="C10" s="35">
        <f>SUM(tblAkis[KontrolNakit])</f>
        <v/>
      </c>
    </row>
    <row r="11">
      <c r="A11" s="7" t="inlineStr">
        <is>
          <t>H06</t>
        </is>
      </c>
      <c r="B11" s="7" t="inlineStr">
        <is>
          <t>Hesaplanan nakit toplam</t>
        </is>
      </c>
      <c r="C11" s="35">
        <f>SUM(tblAkis[HesaplananNakit])</f>
        <v/>
      </c>
    </row>
    <row r="12">
      <c r="A12" s="7" t="inlineStr">
        <is>
          <t>H07</t>
        </is>
      </c>
      <c r="B12" s="7" t="inlineStr">
        <is>
          <t>Sayım adet</t>
        </is>
      </c>
      <c r="C12" s="34">
        <f>COUNTIF(tblAkis[Durum],"SAYIM")</f>
        <v/>
      </c>
    </row>
    <row r="13">
      <c r="A13" s="7" t="inlineStr">
        <is>
          <t>H08</t>
        </is>
      </c>
      <c r="B13" s="7" t="inlineStr">
        <is>
          <t>ABC adet</t>
        </is>
      </c>
      <c r="C13" s="34">
        <f>COUNTIF(tblAkis[Durum],"ABC")</f>
        <v/>
      </c>
    </row>
    <row r="14">
      <c r="A14" s="7" t="inlineStr">
        <is>
          <t>H09</t>
        </is>
      </c>
      <c r="B14" s="7" t="inlineStr">
        <is>
          <t>Aksiyon adet</t>
        </is>
      </c>
      <c r="C14" s="34">
        <f>COUNTIF(tblAkis[Durum],"AKSIYON")</f>
        <v/>
      </c>
    </row>
    <row r="15">
      <c r="A15" s="7" t="inlineStr">
        <is>
          <t>H10</t>
        </is>
      </c>
      <c r="B15" s="7" t="inlineStr">
        <is>
          <t>Ölü bayrak adet</t>
        </is>
      </c>
      <c r="C15" s="34">
        <f>COUNTIFS(tblAkis[OluBayrak],"ÖLÜ",tblAkis[Durum],"&lt;&gt;KAPALI")</f>
        <v/>
      </c>
    </row>
    <row r="16">
      <c r="A16" s="7" t="inlineStr">
        <is>
          <t>H11</t>
        </is>
      </c>
      <c r="B16" s="7" t="inlineStr">
        <is>
          <t>Kapalı adet</t>
        </is>
      </c>
      <c r="C16" s="34">
        <f>COUNTIF(tblAkis[Durum],"KAPALI")</f>
        <v/>
      </c>
    </row>
    <row r="17">
      <c r="A17" s="7" t="inlineStr">
        <is>
          <t>H12</t>
        </is>
      </c>
      <c r="B17" s="7" t="inlineStr">
        <is>
          <t>Açık kuyruk adet</t>
        </is>
      </c>
      <c r="C17" s="34">
        <f>C12+C13+C14</f>
        <v/>
      </c>
    </row>
    <row r="18">
      <c r="A18" s="7" t="inlineStr">
        <is>
          <t>H13</t>
        </is>
      </c>
      <c r="B18" s="7" t="inlineStr">
        <is>
          <t>Kapalı düşüm adet</t>
        </is>
      </c>
      <c r="C18" s="34">
        <f>C16</f>
        <v/>
      </c>
    </row>
    <row r="19">
      <c r="A19" s="7" t="inlineStr">
        <is>
          <t>H14</t>
        </is>
      </c>
      <c r="B19" s="7" t="inlineStr">
        <is>
          <t>Yetim adet</t>
        </is>
      </c>
      <c r="C19" s="34">
        <f>COUNTIF(tblAkis[YetimBayrak],"YETİM")</f>
        <v/>
      </c>
    </row>
    <row r="20">
      <c r="A20" s="7" t="inlineStr">
        <is>
          <t>H15</t>
        </is>
      </c>
      <c r="B20" s="7" t="inlineStr">
        <is>
          <t>Geçersiz geçiş</t>
        </is>
      </c>
      <c r="C20" s="34">
        <f>COUNTIF(tblAkis[GecisUyarisi],"GEÇERSİZ GEÇİŞ")</f>
        <v/>
      </c>
    </row>
    <row r="21">
      <c r="A21" s="7" t="inlineStr">
        <is>
          <t>H16</t>
        </is>
      </c>
      <c r="B21" s="7" t="inlineStr">
        <is>
          <t>Zincir kırık</t>
        </is>
      </c>
      <c r="C21" s="34">
        <f>COUNTIF(tblAkis[ZincirBayrak],"ZİNCİR KIRIK")</f>
        <v/>
      </c>
    </row>
    <row r="22">
      <c r="A22" s="7" t="inlineStr">
        <is>
          <t>H17</t>
        </is>
      </c>
      <c r="B22" s="7" t="inlineStr">
        <is>
          <t>Zincir OK</t>
        </is>
      </c>
      <c r="C22" s="34">
        <f>COUNTIF(tblAkis[ZincirBayrak],"OK")</f>
        <v/>
      </c>
    </row>
    <row r="23">
      <c r="A23" s="7" t="inlineStr">
        <is>
          <t>H18</t>
        </is>
      </c>
      <c r="B23" s="7" t="inlineStr">
        <is>
          <t>Yaş 0-7</t>
        </is>
      </c>
      <c r="C23" s="34">
        <f>COUNTIF(tblAkis[YasKova],"0-7")</f>
        <v/>
      </c>
    </row>
    <row r="24">
      <c r="A24" s="7" t="inlineStr">
        <is>
          <t>H19</t>
        </is>
      </c>
      <c r="B24" s="7" t="inlineStr">
        <is>
          <t>Yaş 8-30</t>
        </is>
      </c>
      <c r="C24" s="34">
        <f>COUNTIF(tblAkis[YasKova],"8-30")</f>
        <v/>
      </c>
    </row>
    <row r="25">
      <c r="A25" s="7" t="inlineStr">
        <is>
          <t>H20</t>
        </is>
      </c>
      <c r="B25" s="7" t="inlineStr">
        <is>
          <t>Yaş 31-90</t>
        </is>
      </c>
      <c r="C25" s="34">
        <f>COUNTIF(tblAkis[YasKova],"31-90")</f>
        <v/>
      </c>
    </row>
    <row r="26">
      <c r="A26" s="7" t="inlineStr">
        <is>
          <t>H21</t>
        </is>
      </c>
      <c r="B26" s="7" t="inlineStr">
        <is>
          <t>Yaş 90+</t>
        </is>
      </c>
      <c r="C26" s="34">
        <f>COUNTIF(tblAkis[YasKova],"90+")</f>
        <v/>
      </c>
    </row>
    <row r="27">
      <c r="A27" s="7" t="inlineStr">
        <is>
          <t>H22</t>
        </is>
      </c>
      <c r="B27" s="7" t="inlineStr">
        <is>
          <t>Ort stok günü</t>
        </is>
      </c>
      <c r="C27" s="36">
        <f>IFERROR(AVERAGEIF(tblAkis[KayitDolu],1,tblAkis[StokGunu]),0)</f>
        <v/>
      </c>
    </row>
    <row r="28">
      <c r="A28" s="7" t="inlineStr">
        <is>
          <t>H23</t>
        </is>
      </c>
      <c r="B28" s="7" t="inlineStr">
        <is>
          <t>Ölü stok adet</t>
        </is>
      </c>
      <c r="C28" s="34">
        <f>C15</f>
        <v/>
      </c>
    </row>
    <row r="29">
      <c r="A29" s="7" t="inlineStr">
        <is>
          <t>H24</t>
        </is>
      </c>
      <c r="B29" s="7" t="inlineStr">
        <is>
          <t>Ölü stok nakit (T1)</t>
        </is>
      </c>
      <c r="C29" s="35">
        <f>C8</f>
        <v/>
      </c>
    </row>
    <row r="30">
      <c r="A30" s="7" t="inlineStr">
        <is>
          <t>H25</t>
        </is>
      </c>
      <c r="B30" s="7" t="inlineStr">
        <is>
          <t>Önerilen sipariş ort</t>
        </is>
      </c>
      <c r="C30" s="34">
        <f>IFERROR(AVERAGEIF(tblAkis[KayitDolu],1,tblAkis[OnerilenSiparis]),0)</f>
        <v/>
      </c>
    </row>
    <row r="31">
      <c r="A31" s="7" t="inlineStr">
        <is>
          <t>H26</t>
        </is>
      </c>
      <c r="B31" s="7" t="inlineStr">
        <is>
          <t>Stok günü sapma</t>
        </is>
      </c>
      <c r="C31" s="36">
        <f>C27-soa_hedefStokGunu</f>
        <v/>
      </c>
    </row>
    <row r="32">
      <c r="A32" s="7" t="inlineStr">
        <is>
          <t>H27</t>
        </is>
      </c>
      <c r="B32" s="7" t="inlineStr">
        <is>
          <t>Toplam stok nakit</t>
        </is>
      </c>
      <c r="C32" s="35">
        <f>C11</f>
        <v/>
      </c>
    </row>
    <row r="33">
      <c r="A33" s="7" t="inlineStr">
        <is>
          <t>H28</t>
        </is>
      </c>
      <c r="B33" s="7" t="inlineStr">
        <is>
          <t>Temkinli senaryo</t>
        </is>
      </c>
      <c r="C33" s="35">
        <f>C32*soa_senaryoTemkinli</f>
        <v/>
      </c>
    </row>
    <row r="34">
      <c r="A34" s="7" t="inlineStr">
        <is>
          <t>H29</t>
        </is>
      </c>
      <c r="B34" s="7" t="inlineStr">
        <is>
          <t>Baz senaryo</t>
        </is>
      </c>
      <c r="C34" s="35">
        <f>C32*soa_senaryoBaz</f>
        <v/>
      </c>
    </row>
    <row r="35">
      <c r="A35" s="7" t="inlineStr">
        <is>
          <t>H30</t>
        </is>
      </c>
      <c r="B35" s="7" t="inlineStr">
        <is>
          <t>İyimser senaryo</t>
        </is>
      </c>
      <c r="C35" s="35">
        <f>C32*soa_senaryoIyimser</f>
        <v/>
      </c>
    </row>
    <row r="36">
      <c r="A36" s="7" t="inlineStr">
        <is>
          <t>H31</t>
        </is>
      </c>
      <c r="B36" s="7" t="inlineStr">
        <is>
          <t>Senaryo farkı</t>
        </is>
      </c>
      <c r="C36" s="35">
        <f>C35-C33</f>
        <v/>
      </c>
    </row>
    <row r="37">
      <c r="A37" s="7" t="inlineStr">
        <is>
          <t>H32</t>
        </is>
      </c>
      <c r="B37" s="7" t="inlineStr">
        <is>
          <t>Tornado (oran×nakit)</t>
        </is>
      </c>
      <c r="C37" s="37">
        <f>C32*soa_tornadoOran</f>
        <v/>
      </c>
    </row>
    <row r="38">
      <c r="A38" s="7" t="inlineStr">
        <is>
          <t>H33</t>
        </is>
      </c>
      <c r="B38" s="7" t="inlineStr">
        <is>
          <t>HHI proxy</t>
        </is>
      </c>
      <c r="C38" s="37">
        <f>IFERROR((MAX(C12,C13,C14)/MAX(C17,1))^2,0)</f>
        <v/>
      </c>
    </row>
    <row r="39">
      <c r="A39" s="7" t="inlineStr">
        <is>
          <t>H34</t>
        </is>
      </c>
      <c r="B39" s="7" t="inlineStr">
        <is>
          <t>Kalite skoru</t>
        </is>
      </c>
      <c r="C39" s="34">
        <f>IF(C6=0,0,MAX(0,100-C19*10-C20*10-C21*10-C28*0.1))</f>
        <v/>
      </c>
    </row>
    <row r="40">
      <c r="A40" s="7" t="inlineStr">
        <is>
          <t>H35</t>
        </is>
      </c>
      <c r="B40" s="7" t="inlineStr">
        <is>
          <t>Tahmin PERCENTILE</t>
        </is>
      </c>
      <c r="C40" s="34">
        <f>IFERROR(_xlfn.PERCENTILE.INC(tblAkis[StokAdet],soa_yuzdelikOran),0)</f>
        <v/>
      </c>
    </row>
    <row r="41">
      <c r="A41" s="7" t="inlineStr">
        <is>
          <t>H36</t>
        </is>
      </c>
      <c r="B41" s="7" t="inlineStr">
        <is>
          <t>Tahmin FORECAST</t>
        </is>
      </c>
      <c r="C41" s="34">
        <f>IFERROR(FORECAST(COUNTA(tblAkis[IslemId])+1,tblAkis[StokAdet],tblAkis[KayitDolu]),C40)</f>
        <v/>
      </c>
    </row>
    <row r="42">
      <c r="A42" s="7" t="inlineStr">
        <is>
          <t>H37</t>
        </is>
      </c>
      <c r="B42" s="7" t="inlineStr">
        <is>
          <t>Tahmin aralık</t>
        </is>
      </c>
      <c r="C42" s="34">
        <f>IFERROR((C40+C41)/2,0)</f>
        <v/>
      </c>
    </row>
    <row r="43">
      <c r="A43" s="7" t="inlineStr">
        <is>
          <t>H38</t>
        </is>
      </c>
      <c r="B43" s="7" t="inlineStr">
        <is>
          <t>P90 yüzdelik</t>
        </is>
      </c>
      <c r="C43" s="34">
        <f>IFERROR(_xlfn.PERCENTILE.INC(tblAkis[OnerilenSiparis],soa_yuzdelikOran),0)</f>
        <v/>
      </c>
    </row>
    <row r="44">
      <c r="A44" s="7" t="inlineStr">
        <is>
          <t>H39</t>
        </is>
      </c>
      <c r="B44" s="7" t="inlineStr">
        <is>
          <t>Kart sayısı</t>
        </is>
      </c>
      <c r="C44" s="34">
        <f>COUNTA(tblKartlar[KartId])</f>
        <v/>
      </c>
    </row>
    <row r="45">
      <c r="A45" s="7" t="inlineStr">
        <is>
          <t>H40</t>
        </is>
      </c>
      <c r="B45" s="7" t="inlineStr">
        <is>
          <t>Min stok toplam</t>
        </is>
      </c>
      <c r="C45" s="34">
        <f>SUM(tblKartlar[MinStok])</f>
        <v/>
      </c>
    </row>
    <row r="46">
      <c r="A46" s="7" t="inlineStr">
        <is>
          <t>H41</t>
        </is>
      </c>
      <c r="B46" s="7" t="inlineStr">
        <is>
          <t>Sipariş TL toplam</t>
        </is>
      </c>
      <c r="C46" s="35">
        <f>IFERROR(SUMIF(tblAkis[KayitDolu],1,tblAkis[SiparisTl]),0)</f>
        <v/>
      </c>
    </row>
    <row r="47">
      <c r="A47" s="7" t="inlineStr">
        <is>
          <t>H42</t>
        </is>
      </c>
      <c r="B47" s="7" t="inlineStr">
        <is>
          <t>Kuyruk özeti metin</t>
        </is>
      </c>
      <c r="C47" s="25">
        <f>_xlfn.TEXTJOIN(" | ",TRUE,"Sayım",C12,"ABC",C13,"Aksiyon",C14,"Ölü",C15)</f>
        <v/>
      </c>
    </row>
    <row r="48">
      <c r="A48" s="7" t="inlineStr">
        <is>
          <t>H43</t>
        </is>
      </c>
      <c r="B48" s="7" t="inlineStr">
        <is>
          <t>Yaş kova metin</t>
        </is>
      </c>
      <c r="C48" s="25">
        <f>_xlfn.TEXTJOIN("/",TRUE,C23,C24,C25,C26)</f>
        <v/>
      </c>
    </row>
    <row r="49">
      <c r="A49" s="7" t="inlineStr">
        <is>
          <t>H44</t>
        </is>
      </c>
      <c r="B49" s="7" t="inlineStr">
        <is>
          <t>Senaryo motor özet</t>
        </is>
      </c>
      <c r="C49" s="25">
        <f>_xlfn.TEXTJOIN(" | ",TRUE,"Temkinli",C33,"Baz",C34,"İyimser",C35)</f>
        <v/>
      </c>
    </row>
    <row r="50">
      <c r="A50" s="7" t="inlineStr">
        <is>
          <t>H45</t>
        </is>
      </c>
      <c r="B50" s="7" t="inlineStr">
        <is>
          <t>Veri hazırlık</t>
        </is>
      </c>
      <c r="C50" s="37">
        <f>IF(C6=0,0,C7/MAX(C6,1))</f>
        <v/>
      </c>
    </row>
    <row r="51">
      <c r="A51" s="7" t="inlineStr">
        <is>
          <t>H46</t>
        </is>
      </c>
      <c r="B51" s="7" t="inlineStr">
        <is>
          <t>Ölü kritik bayrak</t>
        </is>
      </c>
      <c r="C51" s="34">
        <f>IF(C8&gt;soa_esikOluNakit,1,0)</f>
        <v/>
      </c>
    </row>
    <row r="52"/>
    <row r="53"/>
    <row r="54"/>
    <row r="55">
      <c r="A55" s="33" t="inlineStr">
        <is>
          <t>Senaryo</t>
        </is>
      </c>
      <c r="B55" s="33" t="inlineStr">
        <is>
          <t>Çarpan</t>
        </is>
      </c>
      <c r="C55" s="33" t="inlineStr">
        <is>
          <t>Sonuç</t>
        </is>
      </c>
    </row>
    <row r="56">
      <c r="A56" s="7" t="inlineStr">
        <is>
          <t>Temkinli</t>
        </is>
      </c>
      <c r="B56" s="38">
        <f>soa_senaryoTemkinli*IF(COUNTA(tblAkis[IslemId])&gt;=0,1,1)</f>
        <v/>
      </c>
      <c r="C56" s="22">
        <f>C33</f>
        <v/>
      </c>
    </row>
    <row r="57">
      <c r="A57" s="7" t="inlineStr">
        <is>
          <t>Baz</t>
        </is>
      </c>
      <c r="B57" s="38">
        <f>soa_senaryoBaz*IF(COUNTA(tblAkis[IslemId])&gt;=0,1,1)</f>
        <v/>
      </c>
      <c r="C57" s="22">
        <f>C34</f>
        <v/>
      </c>
    </row>
    <row r="58">
      <c r="A58" s="7" t="inlineStr">
        <is>
          <t>İyimser</t>
        </is>
      </c>
      <c r="B58" s="38">
        <f>soa_senaryoIyimser*IF(COUNTA(tblAkis[IslemId])&gt;=0,1,1)</f>
        <v/>
      </c>
      <c r="C58" s="22">
        <f>C35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C26"/>
  <sheetViews>
    <sheetView showGridLines="0" workbookViewId="0">
      <selection activeCell="A1" sqref="A1"/>
    </sheetView>
  </sheetViews>
  <sheetFormatPr baseColWidth="8" defaultRowHeight="15"/>
  <cols>
    <col width="326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RAPOR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198" t="inlineStr">
        <is>
          <t>Dönemsel Stok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25" t="inlineStr">
        <is>
          <t>KARAR</t>
        </is>
      </c>
      <c r="B7" s="40">
        <f>PANO!B4</f>
        <v/>
      </c>
    </row>
    <row r="8"/>
    <row r="9">
      <c r="A9" s="7" t="inlineStr">
        <is>
          <t>Ölü Stok Nakit</t>
        </is>
      </c>
      <c r="B9" s="35">
        <f>soa_oluStokNakit</f>
        <v/>
      </c>
    </row>
    <row r="10">
      <c r="A10" s="7" t="inlineStr">
        <is>
          <t>Önerilen Sipariş</t>
        </is>
      </c>
      <c r="B10" s="34">
        <f>soa_onerilenSiparis</f>
        <v/>
      </c>
    </row>
    <row r="11">
      <c r="A11" s="7" t="inlineStr">
        <is>
          <t>Stok Günü Sapma</t>
        </is>
      </c>
      <c r="B11" s="36">
        <f>soa_stokGunuSapma</f>
        <v/>
      </c>
    </row>
    <row r="12">
      <c r="A12" s="7" t="inlineStr">
        <is>
          <t>Yetim</t>
        </is>
      </c>
      <c r="B12" s="34">
        <f>soa_yetimKayit</f>
        <v/>
      </c>
    </row>
    <row r="13">
      <c r="A13" s="7" t="inlineStr">
        <is>
          <t>Geçersiz Geçiş</t>
        </is>
      </c>
      <c r="B13" s="34">
        <f>soa_gecersizGecis</f>
        <v/>
      </c>
    </row>
    <row r="14">
      <c r="A14" s="7" t="inlineStr">
        <is>
          <t>Zincir Kırık</t>
        </is>
      </c>
      <c r="B14" s="34">
        <f>soa_zincirKirik</f>
        <v/>
      </c>
    </row>
    <row r="15">
      <c r="A15" s="7" t="inlineStr">
        <is>
          <t>Tahmin Aralık</t>
        </is>
      </c>
      <c r="B15" s="34">
        <f>soa_tahminAralik</f>
        <v/>
      </c>
    </row>
    <row r="16">
      <c r="A16" s="7" t="inlineStr">
        <is>
          <t>Kanıt Özeti</t>
        </is>
      </c>
      <c r="B16" s="25">
        <f>soa_kanitRaporu</f>
        <v/>
      </c>
    </row>
    <row r="17"/>
    <row r="18">
      <c r="A18" s="16" t="inlineStr">
        <is>
          <t>Varsayımlar</t>
        </is>
      </c>
    </row>
    <row r="19">
      <c r="A19" s="8" t="inlineStr">
        <is>
          <t>Durum haritası AYARLAR'dadır (SOA-001). Geçersiz geçiş engellenmez, görünür kılınır (SOA-002). Stok adet×maliyet ↔ kontrol nakit zinciri toleransla denetlenir (SOA-003). Kapalı kayıtlar kuyruktan düşer (SOA-004). Ölü stok eşikleri kararı belirler (SOA-005). Bu çıktı karar destektir; kesin mali/hukuki görüş yerine geçmez.</t>
        </is>
      </c>
    </row>
    <row r="20"/>
    <row r="21">
      <c r="A21" s="16" t="inlineStr">
        <is>
          <t>Önerilen Aksiyonlar</t>
        </is>
      </c>
    </row>
    <row r="22">
      <c r="A22" s="7" t="inlineStr">
        <is>
          <t>1. Yetim SKU kayıtlarını KARTLAR'a bağlayın veya satırı düzeltin.</t>
        </is>
      </c>
    </row>
    <row r="23">
      <c r="A23" s="7" t="inlineStr">
        <is>
          <t>2. Ölü stok gün eşiğini aşan kalemlerde eritme planı açın.</t>
        </is>
      </c>
    </row>
    <row r="24">
      <c r="A24" s="7" t="inlineStr">
        <is>
          <t>3. Zincir kırık satırlarda adet×maliyet ↔ kontrol nakit farkını açıklayın.</t>
        </is>
      </c>
    </row>
    <row r="25"/>
    <row r="26">
      <c r="A26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H19"/>
    <mergeCell ref="A3:I3"/>
  </mergeCells>
  <conditionalFormatting sqref="B7">
    <cfRule type="cellIs" priority="1" operator="equal" dxfId="0">
      <formula>"BEKLE"</formula>
    </cfRule>
    <cfRule type="cellIs" priority="2" operator="equal" dxfId="1">
      <formula>"SİPARİŞ"</formula>
    </cfRule>
    <cfRule type="cellIs" priority="3" operator="equal" dxfId="2">
      <formula>"ÖLÜ STOK ERİT"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&amp;LStok Optimizasyon + ABC + Ölü Stok Nakit | Kanıt&amp;CExcelArşiv&amp;RSayfa &amp;P / &amp;N</oddFooter>
    <evenHeader/>
    <evenFooter>&amp;LStok Optimizasyon + ABC + Ölü Stok Nakit | Kanıt&amp;CExcelArşiv&amp;RSayfa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AC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KONTROLLER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200" t="inlineStr">
        <is>
          <t>Canlı Kontrol Paneli</t>
        </is>
      </c>
    </row>
    <row r="4"/>
    <row r="5">
      <c r="A5" s="7" t="inlineStr">
        <is>
          <t>İşlem sayısı</t>
        </is>
      </c>
      <c r="B5" s="34">
        <f>COUNTA(tblAkis[IslemId])</f>
        <v/>
      </c>
    </row>
    <row r="6">
      <c r="A6" s="7" t="inlineStr">
        <is>
          <t>Kart sayısı</t>
        </is>
      </c>
      <c r="B6" s="34">
        <f>COUNTA(tblKartlar[KartId])</f>
        <v/>
      </c>
    </row>
    <row r="7">
      <c r="A7" s="7" t="inlineStr">
        <is>
          <t>Sayım</t>
        </is>
      </c>
      <c r="B7" s="34">
        <f>COUNTIF(tblAkis[Durum],"SAYIM")</f>
        <v/>
      </c>
    </row>
    <row r="8">
      <c r="A8" s="7" t="inlineStr">
        <is>
          <t>ABC</t>
        </is>
      </c>
      <c r="B8" s="34">
        <f>COUNTIF(tblAkis[Durum],"ABC")</f>
        <v/>
      </c>
    </row>
    <row r="9">
      <c r="A9" s="7" t="inlineStr">
        <is>
          <t>Aksiyon</t>
        </is>
      </c>
      <c r="B9" s="34">
        <f>COUNTIF(tblAkis[Durum],"AKSIYON")</f>
        <v/>
      </c>
    </row>
    <row r="10">
      <c r="A10" s="7" t="inlineStr">
        <is>
          <t>Kapalı</t>
        </is>
      </c>
      <c r="B10" s="34">
        <f>COUNTIF(tblAkis[Durum],"KAPALI")</f>
        <v/>
      </c>
    </row>
    <row r="11">
      <c r="A11" s="7" t="inlineStr">
        <is>
          <t>Ölü bayrak</t>
        </is>
      </c>
      <c r="B11" s="34">
        <f>COUNTIFS(tblAkis[OluBayrak],"ÖLÜ")</f>
        <v/>
      </c>
    </row>
    <row r="12">
      <c r="A12" s="7" t="inlineStr">
        <is>
          <t>Açık toplam</t>
        </is>
      </c>
      <c r="B12" s="34">
        <f>B7+B8+B9</f>
        <v/>
      </c>
    </row>
    <row r="13">
      <c r="A13" s="7" t="inlineStr">
        <is>
          <t>Yetim</t>
        </is>
      </c>
      <c r="B13" s="34">
        <f>soa_yetimKayit</f>
        <v/>
      </c>
    </row>
    <row r="14">
      <c r="A14" s="7" t="inlineStr">
        <is>
          <t>Geçersiz</t>
        </is>
      </c>
      <c r="B14" s="34">
        <f>soa_gecersizGecis</f>
        <v/>
      </c>
    </row>
    <row r="15">
      <c r="A15" s="7" t="inlineStr">
        <is>
          <t>Zincir kırık</t>
        </is>
      </c>
      <c r="B15" s="34">
        <f>soa_zincirKirik</f>
        <v/>
      </c>
    </row>
    <row r="16">
      <c r="A16" s="7" t="inlineStr">
        <is>
          <t>Boş karar yolu</t>
        </is>
      </c>
      <c r="B16" s="25">
        <f>IF(B5=0,"VERİ YOK","VERİ VAR")</f>
        <v/>
      </c>
    </row>
    <row r="17">
      <c r="A17" s="7" t="inlineStr">
        <is>
          <t>Kalite skoru</t>
        </is>
      </c>
      <c r="B17" s="34">
        <f>soa_kaliteSkor</f>
        <v/>
      </c>
    </row>
    <row r="18">
      <c r="A18" s="7" t="inlineStr">
        <is>
          <t>Ölü stok nakit</t>
        </is>
      </c>
      <c r="B18" s="35">
        <f>soa_oluStokNakit</f>
        <v/>
      </c>
    </row>
    <row r="19">
      <c r="A19" s="7" t="inlineStr">
        <is>
          <t>Önerilen sipariş</t>
        </is>
      </c>
      <c r="B19" s="34">
        <f>soa_onerilenSiparis</f>
        <v/>
      </c>
    </row>
    <row r="20">
      <c r="A20" s="7" t="inlineStr">
        <is>
          <t>Kapalı düşüm</t>
        </is>
      </c>
      <c r="B20" s="34">
        <f>soa_kapaliDusum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6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7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AC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ORNEK VERI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200" t="inlineStr">
        <is>
          <t>Örnek Senaryo Açıklaması</t>
        </is>
      </c>
    </row>
    <row r="4">
      <c r="A4" s="8" t="inlineStr">
        <is>
          <t>Dosyada 8 SKU kartı ve 28 stok satırı vardır. Yetim (22, 25), geçersiz geçiş (18, 20) ve zincir kırık (12, 19) kasıtlıdır. KARTLAR ve AKIS'i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Sayım/ABC/Aksiyon/Kapalı — kapalılar kuyruktan düşer</t>
        </is>
      </c>
    </row>
    <row r="8"/>
    <row r="9">
      <c r="A9" s="7" t="inlineStr">
        <is>
          <t>Ölçek sözleşmesi</t>
        </is>
      </c>
      <c r="B9" s="21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AC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3" customWidth="1" min="8" max="8"/>
    <col width="14" customWidth="1" min="9" max="9"/>
    <col width="13" customWidth="1" min="10" max="10"/>
    <col width="13" customWidth="1" min="11" max="11"/>
  </cols>
  <sheetData>
    <row r="1" ht="32" customHeight="1">
      <c r="A1" s="179" t="inlineStr">
        <is>
          <t>LISTELER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5" t="inlineStr">
        <is>
          <t>Evet / Hayır</t>
        </is>
      </c>
      <c r="G3" s="25" t="inlineStr">
        <is>
          <t>Yorum A/B</t>
        </is>
      </c>
      <c r="I3" s="25" t="inlineStr">
        <is>
          <t>ABC Sınıf</t>
        </is>
      </c>
    </row>
    <row r="4"/>
    <row r="5"/>
    <row r="6">
      <c r="A6" s="33" t="inlineStr">
        <is>
          <t>DurumId</t>
        </is>
      </c>
      <c r="C6" s="33" t="inlineStr">
        <is>
          <t>Gecis</t>
        </is>
      </c>
      <c r="E6" s="33" t="inlineStr">
        <is>
          <t>Secim</t>
        </is>
      </c>
      <c r="G6" s="33" t="inlineStr">
        <is>
          <t>Yorum</t>
        </is>
      </c>
      <c r="I6" s="33" t="inlineStr">
        <is>
          <t>Abc</t>
        </is>
      </c>
    </row>
    <row r="7">
      <c r="A7" s="27" t="inlineStr">
        <is>
          <t>SAYIM</t>
        </is>
      </c>
      <c r="C7" s="27" t="inlineStr">
        <is>
          <t>SAYIM|ABC</t>
        </is>
      </c>
      <c r="E7" s="27" t="inlineStr">
        <is>
          <t>EVET</t>
        </is>
      </c>
      <c r="G7" s="27" t="inlineStr">
        <is>
          <t>A</t>
        </is>
      </c>
      <c r="I7" s="27" t="inlineStr">
        <is>
          <t>A</t>
        </is>
      </c>
    </row>
    <row r="8">
      <c r="A8" s="27" t="inlineStr">
        <is>
          <t>ABC</t>
        </is>
      </c>
      <c r="C8" s="27" t="inlineStr">
        <is>
          <t>ABC|AKSIYON</t>
        </is>
      </c>
      <c r="E8" s="27" t="inlineStr">
        <is>
          <t>HAYIR</t>
        </is>
      </c>
      <c r="G8" s="27" t="inlineStr">
        <is>
          <t>B</t>
        </is>
      </c>
      <c r="I8" s="27" t="inlineStr">
        <is>
          <t>B</t>
        </is>
      </c>
    </row>
    <row r="9">
      <c r="A9" s="27" t="inlineStr">
        <is>
          <t>AKSIYON</t>
        </is>
      </c>
      <c r="C9" s="27" t="inlineStr">
        <is>
          <t>ABC|SAYIM</t>
        </is>
      </c>
      <c r="I9" s="27" t="inlineStr">
        <is>
          <t>C</t>
        </is>
      </c>
    </row>
    <row r="10">
      <c r="A10" s="27" t="inlineStr">
        <is>
          <t>KAPALI</t>
        </is>
      </c>
      <c r="C10" s="27" t="inlineStr">
        <is>
          <t>AKSIYON|KAPALI</t>
        </is>
      </c>
    </row>
    <row r="11">
      <c r="C11" s="27" t="inlineStr">
        <is>
          <t>AKSIYON|ABC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9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AC78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35.5" customWidth="1" min="2" max="2"/>
    <col width="10" customWidth="1" min="3" max="3"/>
    <col width="48.5" customWidth="1" min="4" max="4"/>
    <col width="19.5" customWidth="1" min="5" max="5"/>
    <col width="29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79" t="inlineStr">
        <is>
          <t>AYARLAR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199" t="inlineStr">
        <is>
          <t>Tek kaynak parametreler + durum haritası + SOA kuralları</t>
        </is>
      </c>
    </row>
    <row r="4"/>
    <row r="5" ht="30" customHeight="1">
      <c r="A5" s="26" t="inlineStr">
        <is>
          <t>anahtar</t>
        </is>
      </c>
      <c r="B5" s="26" t="inlineStr">
        <is>
          <t>deger</t>
        </is>
      </c>
      <c r="C5" s="26" t="inlineStr">
        <is>
          <t>birim</t>
        </is>
      </c>
      <c r="D5" s="26" t="inlineStr">
        <is>
          <t>kaynak</t>
        </is>
      </c>
      <c r="E5" s="26" t="inlineStr">
        <is>
          <t>yururluk_tarihi</t>
        </is>
      </c>
      <c r="F5" s="26" t="inlineStr">
        <is>
          <t>aciklama</t>
        </is>
      </c>
    </row>
    <row r="6">
      <c r="A6" s="7" t="inlineStr">
        <is>
          <t>raporTarihi</t>
        </is>
      </c>
      <c r="B6" s="30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31" t="n">
        <v>100</v>
      </c>
      <c r="C7" s="7" t="inlineStr">
        <is>
          <t>TL</t>
        </is>
      </c>
      <c r="D7" s="7" t="inlineStr">
        <is>
          <t>İş kuralı — adet×maliyet/kontrol nakit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soa_esikOluGun</t>
        </is>
      </c>
      <c r="B8" s="28" t="n">
        <v>90</v>
      </c>
      <c r="C8" s="7" t="inlineStr">
        <is>
          <t>gün</t>
        </is>
      </c>
      <c r="D8" s="7" t="inlineStr">
        <is>
          <t>Ölü stok politikası SOA-005</t>
        </is>
      </c>
      <c r="E8" s="7" t="inlineStr">
        <is>
          <t>01.01.2026</t>
        </is>
      </c>
      <c r="F8" s="8" t="inlineStr">
        <is>
          <t>Ölü stok gün eşiği</t>
        </is>
      </c>
    </row>
    <row r="9">
      <c r="A9" s="7" t="inlineStr">
        <is>
          <t>soa_esikOluNakit</t>
        </is>
      </c>
      <c r="B9" s="31" t="n">
        <v>150000</v>
      </c>
      <c r="C9" s="7" t="inlineStr">
        <is>
          <t>TL</t>
        </is>
      </c>
      <c r="D9" s="7" t="inlineStr">
        <is>
          <t>Ölü stok politikası</t>
        </is>
      </c>
      <c r="E9" s="7" t="inlineStr">
        <is>
          <t>01.01.2026</t>
        </is>
      </c>
      <c r="F9" s="8" t="inlineStr">
        <is>
          <t>ÖLÜ STOK ERİT nakit eşiği</t>
        </is>
      </c>
    </row>
    <row r="10">
      <c r="A10" s="7" t="inlineStr">
        <is>
          <t>soa_esikOluAdet</t>
        </is>
      </c>
      <c r="B10" s="28" t="n">
        <v>5</v>
      </c>
      <c r="C10" s="7" t="inlineStr">
        <is>
          <t>adet</t>
        </is>
      </c>
      <c r="D10" s="7" t="inlineStr">
        <is>
          <t>Ölü stok politikası</t>
        </is>
      </c>
      <c r="E10" s="7" t="inlineStr">
        <is>
          <t>01.01.2026</t>
        </is>
      </c>
      <c r="F10" s="8" t="inlineStr">
        <is>
          <t>ÖLÜ STOK ERİT adet eşiği</t>
        </is>
      </c>
    </row>
    <row r="11">
      <c r="A11" s="7" t="inlineStr">
        <is>
          <t>soa_esikSiparis</t>
        </is>
      </c>
      <c r="B11" s="28" t="n">
        <v>25</v>
      </c>
      <c r="C11" s="7" t="inlineStr">
        <is>
          <t>adet</t>
        </is>
      </c>
      <c r="D11" s="7" t="inlineStr">
        <is>
          <t>Sipariş politikası</t>
        </is>
      </c>
      <c r="E11" s="7" t="inlineStr">
        <is>
          <t>01.01.2026</t>
        </is>
      </c>
      <c r="F11" s="8" t="inlineStr">
        <is>
          <t>SİPARİŞ ort. eşiği</t>
        </is>
      </c>
    </row>
    <row r="12">
      <c r="A12" s="7" t="inlineStr">
        <is>
          <t>soa_kovaEsik1</t>
        </is>
      </c>
      <c r="B12" s="28" t="n">
        <v>7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1 üst sınır</t>
        </is>
      </c>
    </row>
    <row r="13">
      <c r="A13" s="7" t="inlineStr">
        <is>
          <t>soa_kovaEsik2</t>
        </is>
      </c>
      <c r="B13" s="28" t="n">
        <v>30</v>
      </c>
      <c r="C13" s="7" t="inlineStr">
        <is>
          <t>gün</t>
        </is>
      </c>
      <c r="D13" s="7" t="inlineStr">
        <is>
          <t>Yaşlandırma</t>
        </is>
      </c>
      <c r="E13" s="7" t="inlineStr">
        <is>
          <t>01.01.2026</t>
        </is>
      </c>
      <c r="F13" s="8" t="inlineStr">
        <is>
          <t>Kova 2 üst sınır</t>
        </is>
      </c>
    </row>
    <row r="14">
      <c r="A14" s="7" t="inlineStr">
        <is>
          <t>soa_kovaEsik3</t>
        </is>
      </c>
      <c r="B14" s="28" t="n">
        <v>90</v>
      </c>
      <c r="C14" s="7" t="inlineStr">
        <is>
          <t>gün</t>
        </is>
      </c>
      <c r="D14" s="7" t="inlineStr">
        <is>
          <t>Yaşlandırma</t>
        </is>
      </c>
      <c r="E14" s="7" t="inlineStr">
        <is>
          <t>01.01.2026</t>
        </is>
      </c>
      <c r="F14" s="8" t="inlineStr">
        <is>
          <t>Kova 3 üst sınır</t>
        </is>
      </c>
    </row>
    <row r="15">
      <c r="A15" s="7" t="inlineStr">
        <is>
          <t>soa_hedefStokGunu</t>
        </is>
      </c>
      <c r="B15" s="28" t="n">
        <v>45</v>
      </c>
      <c r="C15" s="7" t="inlineStr">
        <is>
          <t>gün</t>
        </is>
      </c>
      <c r="D15" s="7" t="inlineStr">
        <is>
          <t>Stok günü modeli</t>
        </is>
      </c>
      <c r="E15" s="7" t="inlineStr">
        <is>
          <t>01.01.2026</t>
        </is>
      </c>
      <c r="F15" s="8" t="inlineStr">
        <is>
          <t>Hedef stok günü</t>
        </is>
      </c>
    </row>
    <row r="16">
      <c r="A16" s="7" t="inlineStr">
        <is>
          <t>soa_senaryoTemkinli</t>
        </is>
      </c>
      <c r="B16" s="42" t="n">
        <v>0.85</v>
      </c>
      <c r="C16" s="7" t="inlineStr">
        <is>
          <t>oran</t>
        </is>
      </c>
      <c r="D16" s="7" t="inlineStr">
        <is>
          <t>Senaryo motoru</t>
        </is>
      </c>
      <c r="E16" s="7" t="inlineStr">
        <is>
          <t>01.01.2026</t>
        </is>
      </c>
      <c r="F16" s="8" t="inlineStr">
        <is>
          <t>Temkinli çarpan</t>
        </is>
      </c>
    </row>
    <row r="17">
      <c r="A17" s="7" t="inlineStr">
        <is>
          <t>soa_senaryoBaz</t>
        </is>
      </c>
      <c r="B17" s="42" t="n">
        <v>1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Baz çarpan</t>
        </is>
      </c>
    </row>
    <row r="18">
      <c r="A18" s="7" t="inlineStr">
        <is>
          <t>soa_senaryoIyimser</t>
        </is>
      </c>
      <c r="B18" s="42" t="n">
        <v>1.15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İyimser çarpan</t>
        </is>
      </c>
    </row>
    <row r="19">
      <c r="A19" s="7" t="inlineStr">
        <is>
          <t>soa_tornadoOran</t>
        </is>
      </c>
      <c r="B19" s="42" t="n">
        <v>0.08</v>
      </c>
      <c r="C19" s="7" t="inlineStr">
        <is>
          <t>oran</t>
        </is>
      </c>
      <c r="D19" s="7" t="inlineStr">
        <is>
          <t>Duyarlılık</t>
        </is>
      </c>
      <c r="E19" s="7" t="inlineStr">
        <is>
          <t>01.01.2026</t>
        </is>
      </c>
      <c r="F19" s="8" t="inlineStr">
        <is>
          <t>Tornado etki oranı</t>
        </is>
      </c>
    </row>
    <row r="20">
      <c r="A20" s="7" t="inlineStr">
        <is>
          <t>soa_yuzdelikOran</t>
        </is>
      </c>
      <c r="B20" s="42" t="n">
        <v>0.9</v>
      </c>
      <c r="C20" s="7" t="inlineStr">
        <is>
          <t>oran</t>
        </is>
      </c>
      <c r="D20" s="7" t="inlineStr">
        <is>
          <t>İstatistik kuralı</t>
        </is>
      </c>
      <c r="E20" s="7" t="inlineStr">
        <is>
          <t>01.01.2026</t>
        </is>
      </c>
      <c r="F20" s="8" t="inlineStr">
        <is>
          <t>PERCENTILE oranı</t>
        </is>
      </c>
    </row>
    <row r="21">
      <c r="A21" s="7" t="inlineStr">
        <is>
          <t>soa_olcekHedef</t>
        </is>
      </c>
      <c r="B21" s="28" t="n">
        <v>20000</v>
      </c>
      <c r="C21" s="7" t="inlineStr">
        <is>
          <t>satir</t>
        </is>
      </c>
      <c r="D21" s="7" t="inlineStr">
        <is>
          <t>Manda A3 Ö1</t>
        </is>
      </c>
      <c r="E21" s="7" t="inlineStr">
        <is>
          <t>01.01.2026</t>
        </is>
      </c>
      <c r="F21" s="8" t="inlineStr">
        <is>
          <t>Ölçek sözleşmesi</t>
        </is>
      </c>
    </row>
    <row r="22">
      <c r="A22" s="7" t="inlineStr">
        <is>
          <t>soa_azamiMiktar</t>
        </is>
      </c>
      <c r="B22" s="28" t="n">
        <v>500000</v>
      </c>
      <c r="C22" s="7" t="inlineStr">
        <is>
          <t>adet</t>
        </is>
      </c>
      <c r="D22" s="7" t="inlineStr">
        <is>
          <t>İç politika — uç değer</t>
        </is>
      </c>
      <c r="E22" s="7" t="inlineStr">
        <is>
          <t>01.01.2026</t>
        </is>
      </c>
      <c r="F22" s="8" t="inlineStr">
        <is>
          <t>Azami makul</t>
        </is>
      </c>
    </row>
    <row r="23">
      <c r="A23" s="7" t="inlineStr">
        <is>
          <t>soa_durumHaritasi</t>
        </is>
      </c>
      <c r="B23" s="27" t="inlineStr">
        <is>
          <t>AYARLAR durum tablosu</t>
        </is>
      </c>
      <c r="C23" s="7" t="inlineStr">
        <is>
          <t>metin</t>
        </is>
      </c>
      <c r="D23" s="7" t="inlineStr">
        <is>
          <t>SPEC akis.durum_haritasi SOA-001</t>
        </is>
      </c>
      <c r="E23" s="7" t="inlineStr">
        <is>
          <t>01.01.2026</t>
        </is>
      </c>
      <c r="F23" s="8" t="inlineStr">
        <is>
          <t>Durum makinesi kaynağı</t>
        </is>
      </c>
    </row>
    <row r="24">
      <c r="A24" s="7" t="inlineStr">
        <is>
          <t>soa_kuyrukOzeti_metin</t>
        </is>
      </c>
      <c r="B24" s="27" t="inlineStr">
        <is>
          <t>KUYRUKLAR canlı özet</t>
        </is>
      </c>
      <c r="C24" s="7" t="inlineStr">
        <is>
          <t>metin</t>
        </is>
      </c>
      <c r="D24" s="7" t="inlineStr">
        <is>
          <t>A05 kuyruk</t>
        </is>
      </c>
      <c r="E24" s="7" t="inlineStr">
        <is>
          <t>01.01.2026</t>
        </is>
      </c>
      <c r="F24" s="8" t="inlineStr">
        <is>
          <t>Kuyruk görünümü</t>
        </is>
      </c>
    </row>
    <row r="25">
      <c r="A25" s="7" t="inlineStr">
        <is>
          <t>soa_kapaliDusum_metin</t>
        </is>
      </c>
      <c r="B25" s="27" t="inlineStr">
        <is>
          <t>kapali kategori kuyruktan düşer</t>
        </is>
      </c>
      <c r="C25" s="7" t="inlineStr">
        <is>
          <t>metin</t>
        </is>
      </c>
      <c r="D25" s="7" t="inlineStr">
        <is>
          <t>A06 SOA-004</t>
        </is>
      </c>
      <c r="E25" s="7" t="inlineStr">
        <is>
          <t>01.01.2026</t>
        </is>
      </c>
      <c r="F25" s="8" t="inlineStr">
        <is>
          <t>Kapalı düşüm kuralı</t>
        </is>
      </c>
    </row>
    <row r="26">
      <c r="A26" s="7" t="inlineStr">
        <is>
          <t>soa_kanitRaporu_metin</t>
        </is>
      </c>
      <c r="B26" s="27" t="inlineStr">
        <is>
          <t>RAPOR kanıt çıktısı</t>
        </is>
      </c>
      <c r="C26" s="7" t="inlineStr">
        <is>
          <t>metin</t>
        </is>
      </c>
      <c r="D26" s="7" t="inlineStr">
        <is>
          <t>Dönemsel rapor</t>
        </is>
      </c>
      <c r="E26" s="7" t="inlineStr">
        <is>
          <t>01.01.2026</t>
        </is>
      </c>
      <c r="F26" s="8" t="inlineStr">
        <is>
          <t>Kanıt raporu</t>
        </is>
      </c>
    </row>
    <row r="27">
      <c r="A27" s="7" t="inlineStr">
        <is>
          <t>soa_dosyaSurumu</t>
        </is>
      </c>
      <c r="B27" s="27" t="inlineStr">
        <is>
          <t>1.0.0</t>
        </is>
      </c>
      <c r="C27" s="7" t="inlineStr">
        <is>
          <t>metin</t>
        </is>
      </c>
      <c r="D27" s="7" t="inlineStr">
        <is>
          <t>Sürüm yönetimi</t>
        </is>
      </c>
      <c r="E27" s="7" t="inlineStr">
        <is>
          <t>01.01.2026</t>
        </is>
      </c>
      <c r="F27" s="8" t="inlineStr">
        <is>
          <t>Ürün sürümü</t>
        </is>
      </c>
    </row>
    <row r="28">
      <c r="A28" s="7" t="inlineStr">
        <is>
          <t>soa_firmaUnvan</t>
        </is>
      </c>
      <c r="B28" s="27" t="inlineStr">
        <is>
          <t>Örnek Stok A.Ş.</t>
        </is>
      </c>
      <c r="C28" s="7" t="inlineStr">
        <is>
          <t>metin</t>
        </is>
      </c>
      <c r="D28" s="7" t="inlineStr">
        <is>
          <t>Kullanıcı girişi</t>
        </is>
      </c>
      <c r="E28" s="7" t="inlineStr">
        <is>
          <t>01.01.2026</t>
        </is>
      </c>
      <c r="F28" s="8" t="inlineStr">
        <is>
          <t>Firma</t>
        </is>
      </c>
    </row>
    <row r="29">
      <c r="A29" s="7" t="inlineStr">
        <is>
          <t>soa_kuralSOA001</t>
        </is>
      </c>
      <c r="B29" s="27" t="inlineStr">
        <is>
          <t>SOA-001</t>
        </is>
      </c>
      <c r="C29" s="7" t="inlineStr">
        <is>
          <t>kural</t>
        </is>
      </c>
      <c r="D29" s="7" t="inlineStr">
        <is>
          <t>Durum haritası zorunlu</t>
        </is>
      </c>
      <c r="E29" s="7" t="inlineStr">
        <is>
          <t>01.01.2026</t>
        </is>
      </c>
      <c r="F29" s="8" t="inlineStr">
        <is>
          <t>Durum makinesi AYARLAR'da</t>
        </is>
      </c>
    </row>
    <row r="30">
      <c r="A30" s="7" t="inlineStr">
        <is>
          <t>soa_kuralSOA002</t>
        </is>
      </c>
      <c r="B30" s="27" t="inlineStr">
        <is>
          <t>SOA-002</t>
        </is>
      </c>
      <c r="C30" s="7" t="inlineStr">
        <is>
          <t>kural</t>
        </is>
      </c>
      <c r="D30" s="7" t="inlineStr">
        <is>
          <t>Geçersiz geçiş görünür</t>
        </is>
      </c>
      <c r="E30" s="7" t="inlineStr">
        <is>
          <t>01.01.2026</t>
        </is>
      </c>
      <c r="F30" s="8" t="inlineStr">
        <is>
          <t>Engellemez, bayrak üretir</t>
        </is>
      </c>
    </row>
    <row r="31">
      <c r="A31" s="7" t="inlineStr">
        <is>
          <t>soa_kuralSOA003</t>
        </is>
      </c>
      <c r="B31" s="27" t="inlineStr">
        <is>
          <t>SOA-003</t>
        </is>
      </c>
      <c r="C31" s="7" t="inlineStr">
        <is>
          <t>kural</t>
        </is>
      </c>
      <c r="D31" s="7" t="inlineStr">
        <is>
          <t>Adet×maliyet=kontrol nakit zinciri</t>
        </is>
      </c>
      <c r="E31" s="7" t="inlineStr">
        <is>
          <t>01.01.2026</t>
        </is>
      </c>
      <c r="F31" s="8" t="inlineStr">
        <is>
          <t>ZİNCİR KIRIK</t>
        </is>
      </c>
    </row>
    <row r="32">
      <c r="A32" s="7" t="inlineStr">
        <is>
          <t>soa_kuralSOA004</t>
        </is>
      </c>
      <c r="B32" s="27" t="inlineStr">
        <is>
          <t>SOA-004</t>
        </is>
      </c>
      <c r="C32" s="7" t="inlineStr">
        <is>
          <t>kural</t>
        </is>
      </c>
      <c r="D32" s="7" t="inlineStr">
        <is>
          <t>Kapalı kuyruktan düşer</t>
        </is>
      </c>
      <c r="E32" s="7" t="inlineStr">
        <is>
          <t>01.01.2026</t>
        </is>
      </c>
      <c r="F32" s="8" t="inlineStr">
        <is>
          <t>A06 kapalı düşüm</t>
        </is>
      </c>
    </row>
    <row r="33">
      <c r="A33" s="7" t="inlineStr">
        <is>
          <t>soa_kuralSOA005</t>
        </is>
      </c>
      <c r="B33" s="27" t="inlineStr">
        <is>
          <t>SOA-005</t>
        </is>
      </c>
      <c r="C33" s="7" t="inlineStr">
        <is>
          <t>kural</t>
        </is>
      </c>
      <c r="D33" s="7" t="inlineStr">
        <is>
          <t>Ölü stok eşik kararları</t>
        </is>
      </c>
      <c r="E33" s="7" t="inlineStr">
        <is>
          <t>01.01.2026</t>
        </is>
      </c>
      <c r="F33" s="8" t="inlineStr">
        <is>
          <t>ÖLÜ STOK ERİT / SİPARİŞ</t>
        </is>
      </c>
    </row>
    <row r="34"/>
    <row r="35"/>
    <row r="36"/>
    <row r="37">
      <c r="H37" s="5" t="inlineStr">
        <is>
          <t>Durum Haritası</t>
        </is>
      </c>
    </row>
    <row r="38" ht="30" customHeight="1">
      <c r="H38" s="26" t="inlineStr">
        <is>
          <t>durum_id</t>
        </is>
      </c>
      <c r="I38" s="26" t="inlineStr">
        <is>
          <t>durum_adi</t>
        </is>
      </c>
      <c r="J38" s="26" t="inlineStr">
        <is>
          <t>sira</t>
        </is>
      </c>
      <c r="K38" s="26" t="inlineStr">
        <is>
          <t>izinli_sonraki_durumlar</t>
        </is>
      </c>
      <c r="L38" s="26" t="inlineStr">
        <is>
          <t>kategori</t>
        </is>
      </c>
    </row>
    <row r="39">
      <c r="H39" s="7" t="inlineStr">
        <is>
          <t>SAYIM</t>
        </is>
      </c>
      <c r="I39" s="7" t="inlineStr">
        <is>
          <t>Sayım</t>
        </is>
      </c>
      <c r="J39" s="21" t="n">
        <v>1</v>
      </c>
      <c r="K39" s="7" t="inlineStr">
        <is>
          <t>ABC</t>
        </is>
      </c>
      <c r="L39" s="7" t="inlineStr">
        <is>
          <t>acik</t>
        </is>
      </c>
    </row>
    <row r="40">
      <c r="H40" s="7" t="inlineStr">
        <is>
          <t>ABC</t>
        </is>
      </c>
      <c r="I40" s="7" t="inlineStr">
        <is>
          <t>ABC</t>
        </is>
      </c>
      <c r="J40" s="21" t="n">
        <v>2</v>
      </c>
      <c r="K40" s="7" t="inlineStr">
        <is>
          <t>AKSIYON|SAYIM</t>
        </is>
      </c>
      <c r="L40" s="7" t="inlineStr">
        <is>
          <t>acik</t>
        </is>
      </c>
    </row>
    <row r="41">
      <c r="H41" s="7" t="inlineStr">
        <is>
          <t>AKSIYON</t>
        </is>
      </c>
      <c r="I41" s="7" t="inlineStr">
        <is>
          <t>Aksiyon</t>
        </is>
      </c>
      <c r="J41" s="21" t="n">
        <v>3</v>
      </c>
      <c r="K41" s="7" t="inlineStr">
        <is>
          <t>KAPALI|ABC</t>
        </is>
      </c>
      <c r="L41" s="7" t="inlineStr">
        <is>
          <t>acik</t>
        </is>
      </c>
    </row>
    <row r="42">
      <c r="H42" s="7" t="inlineStr">
        <is>
          <t>KAPALI</t>
        </is>
      </c>
      <c r="I42" s="7" t="inlineStr">
        <is>
          <t>Kapalı</t>
        </is>
      </c>
      <c r="J42" s="21" t="n">
        <v>4</v>
      </c>
      <c r="K42" s="7" t="inlineStr"/>
      <c r="L42" s="7" t="inlineStr">
        <is>
          <t>kapali</t>
        </is>
      </c>
    </row>
    <row r="43"/>
    <row r="44"/>
    <row r="45"/>
    <row r="46">
      <c r="H46" s="16" t="inlineStr">
        <is>
          <t>Motor Çıktıları</t>
        </is>
      </c>
    </row>
    <row r="47">
      <c r="H47" s="33" t="inlineStr">
        <is>
          <t>anahtar</t>
        </is>
      </c>
      <c r="I47" s="33" t="inlineStr">
        <is>
          <t>deger</t>
        </is>
      </c>
    </row>
    <row r="48">
      <c r="H48" s="7" t="inlineStr">
        <is>
          <t>soa_oluStokNakit</t>
        </is>
      </c>
      <c r="I48" s="8">
        <f>HESAP!C8</f>
        <v/>
      </c>
    </row>
    <row r="49">
      <c r="H49" s="7" t="inlineStr">
        <is>
          <t>soa_onerilenSiparis</t>
        </is>
      </c>
      <c r="I49" s="8">
        <f>HESAP!C30</f>
        <v/>
      </c>
    </row>
    <row r="50">
      <c r="H50" s="7" t="inlineStr">
        <is>
          <t>soa_oluAdet</t>
        </is>
      </c>
      <c r="I50" s="8">
        <f>HESAP!C28</f>
        <v/>
      </c>
    </row>
    <row r="51">
      <c r="H51" s="7" t="inlineStr">
        <is>
          <t>soa_stokGunuSapma</t>
        </is>
      </c>
      <c r="I51" s="8">
        <f>HESAP!C31</f>
        <v/>
      </c>
    </row>
    <row r="52">
      <c r="H52" s="7" t="inlineStr">
        <is>
          <t>soa_yetimKayit</t>
        </is>
      </c>
      <c r="I52" s="8">
        <f>HESAP!C19</f>
        <v/>
      </c>
    </row>
    <row r="53">
      <c r="H53" s="7" t="inlineStr">
        <is>
          <t>soa_gecersizGecis</t>
        </is>
      </c>
      <c r="I53" s="8">
        <f>HESAP!C20</f>
        <v/>
      </c>
    </row>
    <row r="54">
      <c r="H54" s="7" t="inlineStr">
        <is>
          <t>soa_zincirKirik</t>
        </is>
      </c>
      <c r="I54" s="8">
        <f>HESAP!C21</f>
        <v/>
      </c>
    </row>
    <row r="55">
      <c r="H55" s="7" t="inlineStr">
        <is>
          <t>soa_tahminAralik</t>
        </is>
      </c>
      <c r="I55" s="8">
        <f>HESAP!C42</f>
        <v/>
      </c>
    </row>
    <row r="56">
      <c r="H56" s="7" t="inlineStr">
        <is>
          <t>soa_senaryoKarsilastirma</t>
        </is>
      </c>
      <c r="I56" s="8">
        <f>HESAP!C36</f>
        <v/>
      </c>
    </row>
    <row r="57">
      <c r="H57" s="7" t="inlineStr">
        <is>
          <t>soa_tornadoZirve</t>
        </is>
      </c>
      <c r="I57" s="8">
        <f>HESAP!C37</f>
        <v/>
      </c>
    </row>
    <row r="58">
      <c r="H58" s="7" t="inlineStr">
        <is>
          <t>soa_hhi</t>
        </is>
      </c>
      <c r="I58" s="8">
        <f>HESAP!C38</f>
        <v/>
      </c>
    </row>
    <row r="59">
      <c r="H59" s="7" t="inlineStr">
        <is>
          <t>soa_kaliteSkor</t>
        </is>
      </c>
      <c r="I59" s="8">
        <f>HESAP!C39</f>
        <v/>
      </c>
    </row>
    <row r="60">
      <c r="H60" s="7" t="inlineStr">
        <is>
          <t>soa_yuzdelikP90</t>
        </is>
      </c>
      <c r="I60" s="8">
        <f>HESAP!C43</f>
        <v/>
      </c>
    </row>
    <row r="61">
      <c r="H61" s="7" t="inlineStr">
        <is>
          <t>soa_senaryoMotor</t>
        </is>
      </c>
      <c r="I61" s="8">
        <f>HESAP!C49</f>
        <v/>
      </c>
    </row>
    <row r="62">
      <c r="H62" s="7" t="inlineStr">
        <is>
          <t>soa_kapaliDusum</t>
        </is>
      </c>
      <c r="I62" s="8">
        <f>HESAP!C18</f>
        <v/>
      </c>
    </row>
    <row r="63">
      <c r="H63" s="7" t="inlineStr">
        <is>
          <t>soa_kuyrukOzeti</t>
        </is>
      </c>
      <c r="I63" s="8">
        <f>HESAP!C47</f>
        <v/>
      </c>
    </row>
    <row r="64">
      <c r="H64" s="7" t="inlineStr">
        <is>
          <t>soa_kanitRaporu</t>
        </is>
      </c>
      <c r="I64" s="8">
        <f>_xlfn.TEXTJOIN(" | ",TRUE,"ÖlüNakit",TEXT(HESAP!C8,"0"),"SiparişOrt",HESAP!C30,"Yetim",HESAP!C19,"Zincir",HESAP!C21,"ÖlüAdet",HESAP!C28)</f>
        <v/>
      </c>
    </row>
    <row r="65">
      <c r="H65" s="7" t="inlineStr">
        <is>
          <t>soa_sonrakiKimlik</t>
        </is>
      </c>
      <c r="I65" s="8">
        <f>"SKU-"&amp;TEXT(COUNTA(tblKartlar[KartId])+1,"00000")</f>
        <v/>
      </c>
    </row>
    <row r="66">
      <c r="H66" s="7" t="inlineStr">
        <is>
          <t>soa_kararMetni</t>
        </is>
      </c>
      <c r="I66" s="8">
        <f>_xlfn.TEXTJOIN(" ",TRUE,"Karar",PANO!B4,"— ölü nakit",TEXT(soa_oluStokNakit,"0"),"sipariş ort",soa_onerilenSiparis)</f>
        <v/>
      </c>
    </row>
    <row r="67"/>
    <row r="68">
      <c r="H68" s="16" t="inlineStr">
        <is>
          <t>Yorumlar</t>
        </is>
      </c>
    </row>
    <row r="69">
      <c r="H69" s="7" t="inlineStr">
        <is>
          <t>soa_yorumOlu</t>
        </is>
      </c>
      <c r="I69" s="8">
        <f>_xlfn.TEXTJOIN(" ",TRUE,"Ölü stok nakit",TEXT(soa_oluStokNakit,"0"),"TL")</f>
        <v/>
      </c>
    </row>
    <row r="70">
      <c r="H70" s="7" t="inlineStr">
        <is>
          <t>soa_yorumSiparis</t>
        </is>
      </c>
      <c r="I70" s="8">
        <f>_xlfn.TEXTJOIN(" ",TRUE,"Önerilen sipariş ort",soa_onerilenSiparis,"adet")</f>
        <v/>
      </c>
    </row>
    <row r="71">
      <c r="H71" s="7" t="inlineStr">
        <is>
          <t>soa_yorumSapma</t>
        </is>
      </c>
      <c r="I71" s="8">
        <f>_xlfn.TEXTJOIN(" ",TRUE,"Stok günü sapma",soa_stokGunuSapma,"gün")</f>
        <v/>
      </c>
    </row>
    <row r="72">
      <c r="H72" s="7" t="inlineStr">
        <is>
          <t>soa_yorumTornado</t>
        </is>
      </c>
      <c r="I72" s="8">
        <f>_xlfn.TEXTJOIN(" ",TRUE,"Tornado zirve",TEXT(soa_tornadoZirve,"0.00"),"TL")</f>
        <v/>
      </c>
    </row>
    <row r="73">
      <c r="H73" s="7" t="inlineStr">
        <is>
          <t>soa_yorumSenaryo</t>
        </is>
      </c>
      <c r="I73" s="8">
        <f>_xlfn.TEXTJOIN(" ",TRUE,"Senaryo farkı",TEXT(soa_senaryoKarsilastirma,"0.00"),"TL")</f>
        <v/>
      </c>
    </row>
    <row r="74">
      <c r="H74" s="7" t="inlineStr">
        <is>
          <t>soa_yorumHhi</t>
        </is>
      </c>
      <c r="I74" s="8">
        <f>_xlfn.TEXTJOIN(" ",TRUE,"Yoğunlaşma HHI",TEXT(soa_hhi,"0.0%"))</f>
        <v/>
      </c>
    </row>
    <row r="75">
      <c r="H75" s="7" t="inlineStr">
        <is>
          <t>soa_yorumKalite</t>
        </is>
      </c>
      <c r="I75" s="8">
        <f>_xlfn.TEXTJOIN(" ",TRUE,"Kalite skoru",soa_kaliteSkor)</f>
        <v/>
      </c>
    </row>
    <row r="76">
      <c r="H76" s="7" t="inlineStr">
        <is>
          <t>soa_yorumSenMotor</t>
        </is>
      </c>
      <c r="I76" s="8">
        <f>_xlfn.TEXTJOIN(" ",TRUE,"Senaryo motoru",soa_senaryoMotor)</f>
        <v/>
      </c>
    </row>
    <row r="77">
      <c r="H77" s="7" t="inlineStr">
        <is>
          <t>soa_yorumTahmin</t>
        </is>
      </c>
      <c r="I77" s="8">
        <f>_xlfn.TEXTJOIN(" ",TRUE,"Tahmin aralık",soa_tahminAralik)</f>
        <v/>
      </c>
    </row>
    <row r="78">
      <c r="H78" s="7" t="inlineStr">
        <is>
          <t>soa_yorumP90</t>
        </is>
      </c>
      <c r="I78" s="8">
        <f>_xlfn.TEXTJOIN(" ",TRUE,"P90 sipariş",soa_yuzdelikP90)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8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87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9" t="inlineStr">
        <is>
          <t>KILAVUZ — Stok Optimizasyon + ABC + Ölü Stok Nakit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</row>
    <row r="2"/>
    <row r="3" ht="22" customHeight="1">
      <c r="A3" s="200" t="inlineStr">
        <is>
          <t>Kullanım Kılavuzu</t>
        </is>
      </c>
    </row>
    <row r="4"/>
    <row r="5">
      <c r="A5" s="8" t="inlineStr">
        <is>
          <t>1. KARTLAR sayfasına SKU kartı ekleyin; sonraki kimliği kullanın.</t>
        </is>
      </c>
    </row>
    <row r="6">
      <c r="A6" s="8" t="inlineStr">
        <is>
          <t>2. AKIS sayfasına her stok sayım/ABC satırını yazın; durum kolonunu listeden seçin.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uyarı üretir (makrosuz kural, SOA-002).</t>
        </is>
      </c>
    </row>
    <row r="9">
      <c r="A9" s="8" t="inlineStr">
        <is>
          <t>5. Kapalı durum kuyruklardan düşer (SOA-004).</t>
        </is>
      </c>
    </row>
    <row r="10">
      <c r="A10" s="8" t="inlineStr">
        <is>
          <t>6. raporTarihi AYARLAR'dadır; TODAY kullanılmaz. Yaşlandırma son harekete göredir.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2026-08-11T13:02:29Z</dcterms:created>
  <dcterms:modified xmlns:dcterms="http://purl.org/dc/terms/" xmlns:xsi="http://www.w3.org/2001/XMLSchema-instance" xsi:type="dcterms:W3CDTF">2026-09-25T20:44:50Z</dcterms:modified>
</cp:coreProperties>
</file>