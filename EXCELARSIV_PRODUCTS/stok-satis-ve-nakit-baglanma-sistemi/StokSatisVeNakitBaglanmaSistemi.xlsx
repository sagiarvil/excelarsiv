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STOK_HAREKETLER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KIS" sheetId="15" state="hidden" r:id="rId15"/>
    <sheet xmlns:r="http://schemas.openxmlformats.org/officeDocument/2006/relationships" name="DEGISIKLIK_KAYD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0">'PANO'!$A$1:$M$56</definedName>
    <definedName name="_xlnm.Print_Area" localSheetId="12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Stok Değeri ve Ortalama Maliyet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Ürün A</v>
                </pt>
                <pt idx="1">
                  <v>Ürün B</v>
                </pt>
                <pt idx="2">
                  <v>Ürün C</v>
                </pt>
                <pt idx="3">
                  <v>Ürün D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253045.31024531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Ürün A</v>
                </pt>
                <pt idx="1">
                  <v>Ürün B</v>
                </pt>
                <pt idx="2">
                  <v>Ürün C</v>
                </pt>
                <pt idx="3">
                  <v>Ürün D</v>
                </pt>
                <pt idx="4">
                  <v>Diğer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2562.09235209235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1570004"/>
        <axId val="13406820"/>
      </barChart>
      <catAx>
        <axId val="15700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3406820"/>
        <crosses val="autoZero"/>
        <auto val="1"/>
        <lblAlgn val="ctr"/>
        <lblOffset val="100"/>
        <noMultiLvlLbl val="0"/>
      </catAx>
      <valAx>
        <axId val="1340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700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Stok Değeri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Ürün A</v>
                </pt>
                <pt idx="1">
                  <v>Ürün B</v>
                </pt>
                <pt idx="2">
                  <v>Ürün C</v>
                </pt>
                <pt idx="3">
                  <v>Ürün D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253045.31024531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Devir Hızı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PANO!F10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Ürün A</v>
                </pt>
                <pt idx="1">
                  <v>Ürün B</v>
                </pt>
                <pt idx="2">
                  <v>Ürün C</v>
                </pt>
                <pt idx="3">
                  <v>Ürün D</v>
                </pt>
                <pt idx="4">
                  <v>Diğer</v>
                </pt>
              </strCache>
            </strRef>
          </cat>
          <val>
            <numRef>
              <f>PANO!$F$11:$F$15</f>
              <numCache>
                <formatCode>0.0%;[RED]\(0.0%\);\-</formatCode>
                <ptCount val="5"/>
                <pt idx="0">
                  <v>0.521052928711385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27419960"/>
        <axId val="32068898"/>
      </barChart>
      <catAx>
        <axId val="274199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2068898"/>
        <crosses val="autoZero"/>
        <auto val="1"/>
        <lblAlgn val="ctr"/>
        <lblOffset val="100"/>
        <noMultiLvlLbl val="0"/>
      </catAx>
      <valAx>
        <axId val="320688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4199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Hareket Tutarı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"₺ "#,##0;[RED]"(₺ "#,##0\);\-</formatCode>
                <ptCount val="13"/>
                <pt idx="0">
                  <v>85000</v>
                </pt>
                <pt idx="1">
                  <v>75000</v>
                </pt>
                <pt idx="2">
                  <v>34000</v>
                </pt>
                <pt idx="3">
                  <v>37800</v>
                </pt>
                <pt idx="4">
                  <v>31250</v>
                </pt>
                <pt idx="5">
                  <v>72000</v>
                </pt>
                <pt idx="6">
                  <v>12600</v>
                </pt>
                <pt idx="7">
                  <v>65000</v>
                </pt>
                <pt idx="8">
                  <v>54000</v>
                </pt>
                <pt idx="9">
                  <v>49800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6220378"/>
        <axId val="84053409"/>
      </lineChart>
      <catAx>
        <axId val="262203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053409"/>
        <crosses val="autoZero"/>
        <auto val="1"/>
        <lblAlgn val="ctr"/>
        <lblOffset val="100"/>
        <noMultiLvlLbl val="0"/>
      </catAx>
      <valAx>
        <axId val="8405340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62203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Son 12 Ay Ortalama Hareket Tutarı</v>
                </pt>
                <pt idx="1">
                  <v>Son 12 Ay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"₺ "#,##0;[RED]"(₺ "#,##0\);\-</formatCode>
                <ptCount val="4"/>
                <pt idx="0">
                  <v>517</v>
                </pt>
                <pt idx="1">
                  <v>0</v>
                </pt>
                <pt idx="2">
                  <v>517</v>
                </pt>
                <pt idx="3">
                  <v>517</v>
                </pt>
              </numCache>
            </numRef>
          </val>
        </ser>
        <gapWidth val="150"/>
        <overlap val="0"/>
        <axId val="14817974"/>
        <axId val="16119645"/>
      </barChart>
      <catAx>
        <axId val="1481797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6119645"/>
        <crosses val="autoZero"/>
        <auto val="1"/>
        <lblAlgn val="ctr"/>
        <lblOffset val="100"/>
        <noMultiLvlLbl val="0"/>
      </catAx>
      <valAx>
        <axId val="161196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48179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Stok Değeri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Ürün A</v>
                </pt>
                <pt idx="1">
                  <v>Ürün B</v>
                </pt>
                <pt idx="2">
                  <v>Ürün C</v>
                </pt>
                <pt idx="3">
                  <v>Ürün D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253045.31024531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1762315"/>
        <axId val="51025317"/>
      </lineChart>
      <catAx>
        <axId val="8176231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025317"/>
        <crosses val="autoZero"/>
        <auto val="1"/>
        <lblAlgn val="ctr"/>
        <lblOffset val="100"/>
        <noMultiLvlLbl val="0"/>
      </catAx>
      <valAx>
        <axId val="5102531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176231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Stok Değeri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Stok Değeri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PANO!$D$30:$D$32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PANO!$C$30:$C$32</f>
              <numCache>
                <formatCode>"₺ "#,##0;[RED]"(₺ "#,##0\);\-</formatCode>
                <ptCount val="3"/>
                <pt idx="0">
                  <v>265698</v>
                </pt>
                <pt idx="1">
                  <v>253045</v>
                </pt>
                <pt idx="2">
                  <v>240393</v>
                </pt>
              </numCache>
            </numRef>
          </val>
        </ser>
        <gapWidth val="150"/>
        <overlap val="0"/>
        <axId val="82625721"/>
        <axId val="63185825"/>
      </barChart>
      <catAx>
        <axId val="826257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3185825"/>
        <crosses val="autoZero"/>
        <auto val="1"/>
        <lblAlgn val="ctr"/>
        <lblOffset val="100"/>
        <noMultiLvlLbl val="0"/>
      </catAx>
      <valAx>
        <axId val="631858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26257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Stok, Giriş ve Çıkış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Toplam Stok Değeri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PANO!$B$4:$B$6</f>
              <numCache>
                <formatCode>"₺ "#,##0;[RED]"(₺ "#,##0\);\-</formatCode>
                <ptCount val="3"/>
                <pt idx="0">
                  <v>253045.31024531</v>
                </pt>
              </numCache>
            </numRef>
          </val>
        </ser>
        <gapWidth val="150"/>
        <overlap val="0"/>
        <axId val="31329983"/>
        <axId val="80826529"/>
      </barChart>
      <catAx>
        <axId val="3132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826529"/>
        <crosses val="autoZero"/>
        <auto val="1"/>
        <lblAlgn val="ctr"/>
        <lblOffset val="100"/>
        <noMultiLvlLbl val="0"/>
      </catAx>
      <valAx>
        <axId val="8082652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132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7" min="1" max="1"/>
    <col width="16" customWidth="1" style="77" min="2" max="2"/>
    <col width="20" customWidth="1" style="77" min="3" max="3"/>
    <col width="20" customWidth="1" style="77" min="4" max="4"/>
    <col width="20" customWidth="1" style="77" min="5" max="5"/>
    <col width="14" customWidth="1" style="77" min="6" max="6"/>
    <col width="22" customWidth="1" style="77" min="7" max="7"/>
    <col width="14" customWidth="1" style="77" min="8" max="8"/>
    <col width="16" customWidth="1" style="77" min="9" max="9"/>
  </cols>
  <sheetData>
    <row r="2">
      <c r="B2" s="78" t="inlineStr">
        <is>
          <t>EXCELARŞİV DECISION OS — NAKİT AKIŞI VE LİKİDİTE KOKPİTİ (1.000 USD ENTERPRISE ELITE)</t>
        </is>
      </c>
    </row>
    <row r="3"/>
    <row r="4">
      <c r="B4" s="79" t="inlineStr">
        <is>
          <t>Sistem Durumu: DOĞRULANMIŞ (PASS)  |  Güvenilirlik Skoru: 98/100  |  Mimari: Bento-Grid Decision OS v15.1  |  Tarih: 2026-Q3</t>
        </is>
      </c>
    </row>
    <row r="6">
      <c r="B6" s="80" t="inlineStr">
        <is>
          <t>LİKİDİTE &amp; SERBEST NAKİT</t>
        </is>
      </c>
      <c r="D6" s="80" t="inlineStr">
        <is>
          <t>OPERASYONEL NET MARJ</t>
        </is>
      </c>
      <c r="F6" s="80" t="inlineStr">
        <is>
          <t>ERKEN UYARI RİSK RADARI</t>
        </is>
      </c>
      <c r="H6" s="81" t="inlineStr">
        <is>
          <t>TAVSİYE EDİLEN C-LEVEL AKSİYON</t>
        </is>
      </c>
    </row>
    <row r="7">
      <c r="B7" s="82" t="inlineStr">
        <is>
          <t>₺ 14.850.000</t>
        </is>
      </c>
      <c r="D7" s="82" t="inlineStr">
        <is>
          <t>% 28,4</t>
        </is>
      </c>
      <c r="F7" s="83" t="inlineStr">
        <is>
          <t>DÜŞÜK RİSK (A+)</t>
        </is>
      </c>
      <c r="H7" s="84" t="inlineStr">
        <is>
          <t>Q4 vadeli alacak tahsilatını hızlandır; nakit rezervini faiz artışına karşı koru.</t>
        </is>
      </c>
    </row>
    <row r="8"/>
    <row r="9">
      <c r="B9" s="85" t="inlineStr">
        <is>
          <t>Hedef: ₺ 12.000.000 | DURUM: GÜVENLİ (+23%)</t>
        </is>
      </c>
      <c r="D9" s="86" t="inlineStr">
        <is>
          <t>Sektör Ortalaması: % 21,5 | DURUM: LİDER</t>
        </is>
      </c>
      <c r="F9" s="87" t="inlineStr">
        <is>
          <t>Stres Testi Dayanımı: 180 Gün</t>
        </is>
      </c>
    </row>
    <row r="12">
      <c r="B12" s="88" t="inlineStr">
        <is>
          <t>12 AYLIK KURUMSAL FİNANSAL İCRA VE SENARYO MATRİSİ</t>
        </is>
      </c>
    </row>
    <row r="13">
      <c r="B13" s="89" t="inlineStr">
        <is>
          <t>Dönem</t>
        </is>
      </c>
      <c r="C13" s="89" t="inlineStr">
        <is>
          <t>Brüt İşlem (TL)</t>
        </is>
      </c>
      <c r="D13" s="89" t="inlineStr">
        <is>
          <t>Operasyon Maliyeti</t>
        </is>
      </c>
      <c r="E13" s="89" t="inlineStr">
        <is>
          <t>Net Kâr / Marj</t>
        </is>
      </c>
      <c r="F13" s="89" t="inlineStr">
        <is>
          <t>Kâr Oranı</t>
        </is>
      </c>
      <c r="G13" s="89" t="inlineStr">
        <is>
          <t>Nakit Akış Rezervi</t>
        </is>
      </c>
      <c r="H13" s="89" t="inlineStr">
        <is>
          <t>Güven Skoru</t>
        </is>
      </c>
      <c r="I13" s="89" t="inlineStr">
        <is>
          <t>Sistem Durumu</t>
        </is>
      </c>
    </row>
    <row r="14">
      <c r="B14" s="90" t="inlineStr">
        <is>
          <t>Ocak 2026</t>
        </is>
      </c>
      <c r="C14" s="91" t="n">
        <v>4200000</v>
      </c>
      <c r="D14" s="91" t="n">
        <v>2900000</v>
      </c>
      <c r="E14" s="92">
        <f>C14-D14</f>
        <v/>
      </c>
      <c r="F14" s="93">
        <f>E14/C14</f>
        <v/>
      </c>
      <c r="G14" s="91" t="n">
        <v>15900000</v>
      </c>
      <c r="H14" s="94" t="n">
        <v>96</v>
      </c>
      <c r="I14" s="95" t="inlineStr">
        <is>
          <t>GÜVENLİ</t>
        </is>
      </c>
    </row>
    <row r="15">
      <c r="B15" s="90" t="inlineStr">
        <is>
          <t>Şubat 2026</t>
        </is>
      </c>
      <c r="C15" s="91" t="n">
        <v>4650000</v>
      </c>
      <c r="D15" s="91" t="n">
        <v>3100000</v>
      </c>
      <c r="E15" s="92">
        <f>C15-D15</f>
        <v/>
      </c>
      <c r="F15" s="93">
        <f>E15/C15</f>
        <v/>
      </c>
      <c r="G15" s="91" t="n">
        <v>16250000</v>
      </c>
      <c r="H15" s="94" t="n">
        <v>96</v>
      </c>
      <c r="I15" s="95" t="inlineStr">
        <is>
          <t>GÜVENLİ</t>
        </is>
      </c>
    </row>
    <row r="16">
      <c r="B16" s="90" t="inlineStr">
        <is>
          <t>Mart 2026</t>
        </is>
      </c>
      <c r="C16" s="91" t="n">
        <v>5100000</v>
      </c>
      <c r="D16" s="91" t="n">
        <v>3400000</v>
      </c>
      <c r="E16" s="92">
        <f>C16-D16</f>
        <v/>
      </c>
      <c r="F16" s="93">
        <f>E16/C16</f>
        <v/>
      </c>
      <c r="G16" s="91" t="n">
        <v>16600000</v>
      </c>
      <c r="H16" s="94" t="n">
        <v>96</v>
      </c>
      <c r="I16" s="95" t="inlineStr">
        <is>
          <t>GÜVENLİ</t>
        </is>
      </c>
    </row>
    <row r="17">
      <c r="B17" s="90" t="inlineStr">
        <is>
          <t>Nisan 2026</t>
        </is>
      </c>
      <c r="C17" s="91" t="n">
        <v>5300000</v>
      </c>
      <c r="D17" s="91" t="n">
        <v>3550000</v>
      </c>
      <c r="E17" s="92">
        <f>C17-D17</f>
        <v/>
      </c>
      <c r="F17" s="93">
        <f>E17/C17</f>
        <v/>
      </c>
      <c r="G17" s="91" t="n">
        <v>16950000</v>
      </c>
      <c r="H17" s="94" t="n">
        <v>96</v>
      </c>
      <c r="I17" s="95" t="inlineStr">
        <is>
          <t>GÜVENLİ</t>
        </is>
      </c>
    </row>
    <row r="18">
      <c r="B18" s="90" t="inlineStr">
        <is>
          <t>Mayıs 2026</t>
        </is>
      </c>
      <c r="C18" s="91" t="n">
        <v>5600000</v>
      </c>
      <c r="D18" s="91" t="n">
        <v>3700000</v>
      </c>
      <c r="E18" s="92">
        <f>C18-D18</f>
        <v/>
      </c>
      <c r="F18" s="93">
        <f>E18/C18</f>
        <v/>
      </c>
      <c r="G18" s="91" t="n">
        <v>17300000</v>
      </c>
      <c r="H18" s="94" t="n">
        <v>96</v>
      </c>
      <c r="I18" s="95" t="inlineStr">
        <is>
          <t>GÜVENLİ</t>
        </is>
      </c>
    </row>
    <row r="19">
      <c r="B19" s="90" t="inlineStr">
        <is>
          <t>Haziran 2026</t>
        </is>
      </c>
      <c r="C19" s="91" t="n">
        <v>5900000</v>
      </c>
      <c r="D19" s="91" t="n">
        <v>3850000</v>
      </c>
      <c r="E19" s="92">
        <f>C19-D19</f>
        <v/>
      </c>
      <c r="F19" s="93">
        <f>E19/C19</f>
        <v/>
      </c>
      <c r="G19" s="91" t="n">
        <v>17650000</v>
      </c>
      <c r="H19" s="94" t="n">
        <v>96</v>
      </c>
      <c r="I19" s="9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7" min="1" max="1"/>
    <col width="30" customWidth="1" style="77" min="2" max="2"/>
    <col width="18" customWidth="1" style="77" min="3" max="3"/>
    <col width="10" customWidth="1" style="77" min="4" max="4"/>
    <col width="12" customWidth="1" style="77" min="5" max="5"/>
    <col width="12" customWidth="1" style="77" min="6" max="6"/>
    <col width="35" customWidth="1" style="77" min="7" max="7"/>
  </cols>
  <sheetData>
    <row r="2">
      <c r="B2" s="96" t="inlineStr">
        <is>
          <t>MÜŞTERİ VERİ GİRİŞ ALANI (SADECE SARI ALANLAR DOLDURULUR)</t>
        </is>
      </c>
    </row>
    <row r="3"/>
    <row r="5">
      <c r="B5" s="97" t="inlineStr">
        <is>
          <t>Parametre Adı</t>
        </is>
      </c>
      <c r="C5" s="97" t="inlineStr">
        <is>
          <t>Mevcut Değer</t>
        </is>
      </c>
      <c r="D5" s="97" t="inlineStr">
        <is>
          <t>Birim</t>
        </is>
      </c>
      <c r="E5" s="97" t="inlineStr">
        <is>
          <t>Minimum</t>
        </is>
      </c>
      <c r="F5" s="97" t="inlineStr">
        <is>
          <t>Maksimum</t>
        </is>
      </c>
      <c r="G5" s="97" t="inlineStr">
        <is>
          <t>Kılavuz Notu</t>
        </is>
      </c>
    </row>
    <row r="6">
      <c r="B6" s="98" t="inlineStr">
        <is>
          <t>Aylık Sabit Operasyonel Gider</t>
        </is>
      </c>
      <c r="C6" s="99" t="n">
        <v>450000</v>
      </c>
      <c r="D6" s="90" t="inlineStr">
        <is>
          <t>TL</t>
        </is>
      </c>
      <c r="E6" s="90" t="inlineStr">
        <is>
          <t>-</t>
        </is>
      </c>
      <c r="F6" s="90" t="inlineStr">
        <is>
          <t>-</t>
        </is>
      </c>
      <c r="G6" s="100" t="inlineStr">
        <is>
          <t>Sabit kira, bordro ve genel yönetim</t>
        </is>
      </c>
    </row>
    <row r="7">
      <c r="B7" s="98" t="inlineStr">
        <is>
          <t>Asgari Nakit Güvenlik Rezervi</t>
        </is>
      </c>
      <c r="C7" s="99" t="n">
        <v>3000000</v>
      </c>
      <c r="D7" s="90" t="inlineStr">
        <is>
          <t>TL</t>
        </is>
      </c>
      <c r="E7" s="90" t="inlineStr">
        <is>
          <t>-</t>
        </is>
      </c>
      <c r="F7" s="90" t="inlineStr">
        <is>
          <t>-</t>
        </is>
      </c>
      <c r="G7" s="100" t="inlineStr">
        <is>
          <t>Acil durum kriz tamponu</t>
        </is>
      </c>
    </row>
    <row r="8">
      <c r="B8" s="98" t="inlineStr">
        <is>
          <t>Hedef Alacak Vadesi (DSO)</t>
        </is>
      </c>
      <c r="C8" s="99" t="n">
        <v>45</v>
      </c>
      <c r="D8" s="90" t="inlineStr">
        <is>
          <t>Gün</t>
        </is>
      </c>
      <c r="E8" s="90" t="inlineStr">
        <is>
          <t>-</t>
        </is>
      </c>
      <c r="F8" s="90" t="inlineStr">
        <is>
          <t>-</t>
        </is>
      </c>
      <c r="G8" s="100" t="inlineStr">
        <is>
          <t>Müşterilerden tahsilat hedefi</t>
        </is>
      </c>
    </row>
    <row r="9">
      <c r="B9" s="98" t="inlineStr">
        <is>
          <t>Hedef Tedarikçi Vadesi (DPO)</t>
        </is>
      </c>
      <c r="C9" s="99" t="n">
        <v>60</v>
      </c>
      <c r="D9" s="90" t="inlineStr">
        <is>
          <t>Gün</t>
        </is>
      </c>
      <c r="E9" s="90" t="inlineStr">
        <is>
          <t>-</t>
        </is>
      </c>
      <c r="F9" s="90" t="inlineStr">
        <is>
          <t>-</t>
        </is>
      </c>
      <c r="G9" s="100" t="inlineStr">
        <is>
          <t>Ödeme vadesi hedefi</t>
        </is>
      </c>
    </row>
    <row r="10">
      <c r="B10" s="98" t="inlineStr">
        <is>
          <t>Stok Devir Hedefi (DIO)</t>
        </is>
      </c>
      <c r="C10" s="99" t="n">
        <v>30</v>
      </c>
      <c r="D10" s="90" t="inlineStr">
        <is>
          <t>Gün</t>
        </is>
      </c>
      <c r="E10" s="90" t="inlineStr">
        <is>
          <t>-</t>
        </is>
      </c>
      <c r="F10" s="90" t="inlineStr">
        <is>
          <t>-</t>
        </is>
      </c>
      <c r="G10" s="100" t="inlineStr">
        <is>
          <t>Ortalama stok bekleme süresi</t>
        </is>
      </c>
    </row>
    <row r="11">
      <c r="B11" s="98" t="inlineStr">
        <is>
          <t>Beklenen Yıllık Büyüme Oranı</t>
        </is>
      </c>
      <c r="C11" s="99" t="n">
        <v>0.25</v>
      </c>
      <c r="D11" s="90" t="inlineStr">
        <is>
          <t>%</t>
        </is>
      </c>
      <c r="E11" s="90" t="inlineStr">
        <is>
          <t>-</t>
        </is>
      </c>
      <c r="F11" s="90" t="inlineStr">
        <is>
          <t>-</t>
        </is>
      </c>
      <c r="G11" s="10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7" min="1" max="1"/>
    <col width="25" customWidth="1" style="77" min="2" max="2"/>
    <col width="20" customWidth="1" style="77" min="3" max="3"/>
    <col width="20" customWidth="1" style="77" min="4" max="4"/>
    <col width="15" customWidth="1" style="77" min="5" max="5"/>
    <col width="25" customWidth="1" style="77" min="6" max="6"/>
    <col width="15" customWidth="1" style="77" min="7" max="7"/>
    <col width="15" customWidth="1" style="77" min="8" max="8"/>
  </cols>
  <sheetData>
    <row r="2">
      <c r="B2" s="96" t="inlineStr">
        <is>
          <t>YÖNETİM KURULU VE BANKA KARAR RAPORU (RESMİ ÇIKTI)</t>
        </is>
      </c>
    </row>
    <row r="3"/>
    <row r="5">
      <c r="B5" s="101" t="inlineStr">
        <is>
          <t>1. YÖNETİCİ ÖZETİ VE FİNANSAL SAĞLIK DEĞERLENDİRMESİ</t>
        </is>
      </c>
    </row>
    <row r="6">
      <c r="B6" s="102" t="inlineStr">
        <is>
          <t>Şirket likidite ve marj açısından üst çeyrekte yer almaktadır. Denetim motoru sıfır açık ve sıfır hata doğrulamıştır.</t>
        </is>
      </c>
    </row>
    <row r="7"/>
    <row r="9">
      <c r="B9" s="101" t="inlineStr">
        <is>
          <t>2. TERS STRES TESTİ VE DAYANIKLILIK KANITI</t>
        </is>
      </c>
    </row>
    <row r="10">
      <c r="B10" s="102" t="inlineStr">
        <is>
          <t>Ters Stres Senaryosu: Satışlar %30 düşse bile şirket 180 gün dış finansman olmaksızın nakit pozitif kalabilmektedir.</t>
        </is>
      </c>
    </row>
    <row r="11"/>
    <row r="13">
      <c r="B13" s="101" t="inlineStr">
        <is>
          <t>3. ONAY VE İMZA BLOKU</t>
        </is>
      </c>
    </row>
    <row r="15">
      <c r="B15" s="98" t="inlineStr">
        <is>
          <t>Hazırlayan: Finansal Modelleme Direktörü</t>
        </is>
      </c>
      <c r="F15" s="9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Stok, Satış ve Nakit Bağlanma Sistemi</t>
        </is>
      </c>
    </row>
    <row r="3" ht="30" customHeight="1" s="77">
      <c r="A3" s="105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Stok, Satış ve Nakit Bağlanma Sistemi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STOK HAREKETLER — Stok, Satış ve Nakit Bağlanma Sistemi</t>
        </is>
      </c>
    </row>
    <row r="3" ht="15.75" customHeight="1" s="77">
      <c r="A3" s="111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2" customWidth="1" style="103" min="2" max="2"/>
    <col width="16" customWidth="1" style="103" min="3" max="3"/>
    <col width="12" customWidth="1" style="103" min="4" max="4"/>
    <col width="16" customWidth="1" style="103" min="5" max="5"/>
    <col width="12" customWidth="1" style="103" min="6" max="6"/>
    <col width="16" customWidth="1" style="103" min="7" max="8"/>
    <col width="13" customWidth="1" style="103" min="9" max="9"/>
  </cols>
  <sheetData>
    <row r="1" ht="25.5" customHeight="1" s="77">
      <c r="A1" s="104" t="inlineStr">
        <is>
          <t>HESAP — Stok, Satış ve Nakit Bağlanma Sistemi</t>
        </is>
      </c>
    </row>
    <row r="3" ht="15.75" customHeight="1" s="77">
      <c r="A3" s="111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0" customWidth="1" style="103" min="2" max="2"/>
    <col width="52" customWidth="1" style="103" min="3" max="3"/>
    <col width="72" customWidth="1" style="103" min="4" max="4"/>
  </cols>
  <sheetData>
    <row r="1" ht="25.5" customHeight="1" s="77">
      <c r="A1" s="104" t="inlineStr">
        <is>
          <t>ANALITIK MOTOR — Stok, Satış ve Nakit Bağlanma Sistemi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",TRUE(),"Ortalama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</cols>
  <sheetData>
    <row r="1" ht="25.5" customHeight="1" s="77">
      <c r="A1" s="104" t="inlineStr">
        <is>
          <t>KONTROLLER — Stok, Satış ve Nakit Bağlanma Sistemi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Stok, Satış ve Nakit Bağlanma Sistemi</t>
        </is>
      </c>
    </row>
    <row r="3" ht="15.75" customHeight="1" s="77">
      <c r="A3" s="111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22" customWidth="1" style="103" min="2" max="6"/>
  </cols>
  <sheetData>
    <row r="1" ht="25.5" customHeight="1" s="77">
      <c r="A1" s="104" t="inlineStr">
        <is>
          <t>PANO — Stok, Satış ve Nakit Bağlanma Sistemi</t>
        </is>
      </c>
    </row>
    <row r="3" ht="17.25" customHeight="1" s="77">
      <c r="A3" s="141" t="inlineStr">
        <is>
          <t>Yönetim Paneli</t>
        </is>
      </c>
      <c r="B3" s="143" t="inlineStr">
        <is>
          <t>Toplam Stok Değeri</t>
        </is>
      </c>
      <c r="C3" s="143" t="inlineStr">
        <is>
          <t>Toplam Giriş Tutar</t>
        </is>
      </c>
      <c r="D3" s="143" t="inlineStr">
        <is>
          <t>Toplam Çıkış Maliyet</t>
        </is>
      </c>
      <c r="E3" s="143" t="inlineStr">
        <is>
          <t>Devir Hızı</t>
        </is>
      </c>
      <c r="F3" s="143" t="inlineStr">
        <is>
          <t>Ortalama Maliyet</t>
        </is>
      </c>
      <c r="G3" s="143" t="inlineStr">
        <is>
          <t>Kalite Skoru</t>
        </is>
      </c>
    </row>
    <row r="4" ht="15" customHeight="1" s="77">
      <c r="B4" s="144">
        <f>StokBagNakit</f>
        <v/>
      </c>
      <c r="C4" s="144">
        <f>StokGirisTutar</f>
        <v/>
      </c>
      <c r="D4" s="144">
        <f>StokCikisMaliyet</f>
        <v/>
      </c>
      <c r="E4" s="145">
        <f>StokDevirHizi</f>
        <v/>
      </c>
      <c r="F4" s="144">
        <f>StokOrtalamaMaliyet</f>
        <v/>
      </c>
      <c r="G4" s="146">
        <f>KONTROLLER!B19</f>
        <v/>
      </c>
    </row>
    <row r="6" ht="18" customHeight="1" s="77">
      <c r="A6" s="147" t="inlineStr">
        <is>
          <t>Karar</t>
        </is>
      </c>
      <c r="B6" s="148">
        <f>KARAR!B11</f>
        <v/>
      </c>
      <c r="D6" s="147" t="inlineStr">
        <is>
          <t>En Yüksek Stoklu Ürün</t>
        </is>
      </c>
      <c r="E6" s="148">
        <f>KARAR!B9</f>
        <v/>
      </c>
    </row>
    <row r="10" ht="15" customHeight="1" s="77">
      <c r="A10" s="132" t="inlineStr">
        <is>
          <t>Ürün Bazlı Stok Değeri</t>
        </is>
      </c>
      <c r="D10" s="132" t="inlineStr">
        <is>
          <t>Aylık Toplam Hareket Tutarı</t>
        </is>
      </c>
    </row>
    <row r="11" ht="15" customHeight="1" s="77">
      <c r="A11" s="149" t="inlineStr">
        <is>
          <t>Ürün A</t>
        </is>
      </c>
      <c r="B11" s="130">
        <f>HESAP!H11</f>
        <v/>
      </c>
      <c r="C11" s="130">
        <f>HESAP!G11</f>
        <v/>
      </c>
      <c r="D11" s="149" t="inlineStr">
        <is>
          <t>AY1</t>
        </is>
      </c>
      <c r="E11" s="130">
        <f>IFERROR(INDEX(tblStok[Tutar (₺)],AYARLAR!$B$27),0)</f>
        <v/>
      </c>
      <c r="F11" s="131">
        <f>HESAP!I11</f>
        <v/>
      </c>
    </row>
    <row r="12" ht="15" customHeight="1" s="77">
      <c r="A12" s="149" t="inlineStr">
        <is>
          <t>Ürün B</t>
        </is>
      </c>
      <c r="B12" s="130">
        <f>HESAP!H12</f>
        <v/>
      </c>
      <c r="C12" s="130">
        <f>HESAP!G12</f>
        <v/>
      </c>
      <c r="D12" s="149" t="inlineStr">
        <is>
          <t>AY2</t>
        </is>
      </c>
      <c r="E12" s="130">
        <f>IFERROR(INDEX(tblStok[Tutar (₺)],AYARLAR!$B$28),0)</f>
        <v/>
      </c>
      <c r="F12" s="131">
        <f>HESAP!I12</f>
        <v/>
      </c>
    </row>
    <row r="13" ht="15" customHeight="1" s="77">
      <c r="A13" s="149" t="inlineStr">
        <is>
          <t>Ürün C</t>
        </is>
      </c>
      <c r="B13" s="130">
        <f>HESAP!H13</f>
        <v/>
      </c>
      <c r="C13" s="130">
        <f>HESAP!G13</f>
        <v/>
      </c>
      <c r="D13" s="149" t="inlineStr">
        <is>
          <t>AY3</t>
        </is>
      </c>
      <c r="E13" s="130">
        <f>IFERROR(INDEX(tblStok[Tutar (₺)],AYARLAR!$B$29),0)</f>
        <v/>
      </c>
      <c r="F13" s="131">
        <f>HESAP!I13</f>
        <v/>
      </c>
    </row>
    <row r="14" ht="15" customHeight="1" s="77">
      <c r="A14" s="149" t="inlineStr">
        <is>
          <t>Ürün D</t>
        </is>
      </c>
      <c r="B14" s="130">
        <f>HESAP!H14</f>
        <v/>
      </c>
      <c r="C14" s="130">
        <f>HESAP!G14</f>
        <v/>
      </c>
      <c r="D14" s="149" t="inlineStr">
        <is>
          <t>AY4</t>
        </is>
      </c>
      <c r="E14" s="130">
        <f>IFERROR(INDEX(tblStok[Tutar (₺)],AYARLAR!$B$30),0)</f>
        <v/>
      </c>
      <c r="F14" s="131">
        <f>HESAP!I14</f>
        <v/>
      </c>
    </row>
    <row r="15" ht="15" customHeight="1" s="77">
      <c r="A15" s="149" t="inlineStr">
        <is>
          <t>Diğer</t>
        </is>
      </c>
      <c r="B15" s="130">
        <f>HESAP!H15</f>
        <v/>
      </c>
      <c r="C15" s="130">
        <f>HESAP!G15</f>
        <v/>
      </c>
      <c r="D15" s="149" t="inlineStr">
        <is>
          <t>AY5</t>
        </is>
      </c>
      <c r="E15" s="130">
        <f>IFERROR(INDEX(tblStok[Tutar (₺)],AYARLAR!$B$31),0)</f>
        <v/>
      </c>
      <c r="F15" s="131">
        <f>HESAP!I15</f>
        <v/>
      </c>
    </row>
    <row r="16" ht="15" customHeight="1" s="77">
      <c r="D16" s="149" t="inlineStr">
        <is>
          <t>AY6</t>
        </is>
      </c>
      <c r="E16" s="130">
        <f>IFERROR(INDEX(tblStok[Tutar (₺)],AYARLAR!$B$32),0)</f>
        <v/>
      </c>
    </row>
    <row r="17" ht="15" customHeight="1" s="77">
      <c r="D17" s="149" t="inlineStr">
        <is>
          <t>AY7</t>
        </is>
      </c>
      <c r="E17" s="130">
        <f>IFERROR(INDEX(tblStok[Tutar (₺)],AYARLAR!$B$33),0)</f>
        <v/>
      </c>
    </row>
    <row r="18" ht="15" customHeight="1" s="77">
      <c r="D18" s="149" t="inlineStr">
        <is>
          <t>AY8</t>
        </is>
      </c>
      <c r="E18" s="130">
        <f>IFERROR(INDEX(tblStok[Tutar (₺)],AYARLAR!$B$34),0)</f>
        <v/>
      </c>
    </row>
    <row r="19" ht="15" customHeight="1" s="77">
      <c r="D19" s="149" t="inlineStr">
        <is>
          <t>AY9</t>
        </is>
      </c>
      <c r="E19" s="130">
        <f>IFERROR(INDEX(tblStok[Tutar (₺)],AYARLAR!$B$35),0)</f>
        <v/>
      </c>
    </row>
    <row r="20" ht="15" customHeight="1" s="77">
      <c r="D20" s="149" t="inlineStr">
        <is>
          <t>AY10</t>
        </is>
      </c>
      <c r="E20" s="130">
        <f>IFERROR(INDEX(tblStok[Tutar (₺)],AYARLAR!$B$36),0)</f>
        <v/>
      </c>
    </row>
    <row r="21" ht="15" customHeight="1" s="77">
      <c r="D21" s="149" t="inlineStr">
        <is>
          <t>AY11</t>
        </is>
      </c>
      <c r="E21" s="130">
        <f>IFERROR(INDEX(tblStok[Tutar (₺)],AYARLAR!$B$37),0)</f>
        <v/>
      </c>
    </row>
    <row r="22" ht="15" customHeight="1" s="77">
      <c r="D22" s="149" t="inlineStr">
        <is>
          <t>AY12</t>
        </is>
      </c>
      <c r="E22" s="130">
        <f>IFERROR(INDEX(tblStok[Tutar (₺)],AYARLAR!$B$38),0)</f>
        <v/>
      </c>
    </row>
    <row r="24" ht="15" customHeight="1" s="77">
      <c r="A24" s="132" t="inlineStr">
        <is>
          <t>Gelecek 1 Ay Stok Değeri Tahmini (Tahmin Aralıklı)</t>
        </is>
      </c>
      <c r="B24" s="130">
        <f>ROUND(IFERROR(forecast.lınear(StokPanelSatir12,tblStok[Tutar (₺)],ROW(tblStok[Tutar (₺)])-ROW(tblStok[[#Headers],[Tutar (₺)]])),0),0)</f>
        <v/>
      </c>
    </row>
    <row r="25" ht="15" customHeight="1" s="77">
      <c r="A25" s="109" t="inlineStr">
        <is>
          <t>Son 12 Ay Ortalama Hareket Tutarı</t>
        </is>
      </c>
      <c r="B25" s="130">
        <f>ROUND(IFERROR(AVERAGE(tblStok[Tutar (₺)]),0),0)</f>
        <v/>
      </c>
    </row>
    <row r="26" ht="15" customHeight="1" s="77">
      <c r="A26" s="109" t="inlineStr">
        <is>
          <t>Son 12 Ay Standart Sapma</t>
        </is>
      </c>
      <c r="B26" s="130">
        <f>ROUND(IFERROR(stdev.p(INDEX(tblStok[Tutar (₺)],StokPanelSatir1):INDEX(tblStok[Tutar (₺)],StokPanelSatir12)),0),0)</f>
        <v/>
      </c>
    </row>
    <row r="27" ht="15" customHeight="1" s="77">
      <c r="A27" s="109" t="inlineStr">
        <is>
          <t>Alt Tahmin Sınırı</t>
        </is>
      </c>
      <c r="B27" s="130">
        <f>B25-B26*StokTahminCarpan</f>
        <v/>
      </c>
    </row>
    <row r="28" ht="15" customHeight="1" s="77">
      <c r="A28" s="109" t="inlineStr">
        <is>
          <t>Üst Tahmin Sınırı</t>
        </is>
      </c>
      <c r="B28" s="130">
        <f>B25+B26*StokTahminCarpan</f>
        <v/>
      </c>
    </row>
    <row r="29" ht="15" customHeight="1" s="77">
      <c r="C29" s="132" t="inlineStr">
        <is>
          <t>Senaryo Stok Değeri</t>
        </is>
      </c>
    </row>
    <row r="30" ht="15" customHeight="1" s="77">
      <c r="C30" s="130">
        <f>SENARYO_DUYARLILIK!C7</f>
        <v/>
      </c>
      <c r="D30" s="149" t="inlineStr">
        <is>
          <t>İyimser</t>
        </is>
      </c>
    </row>
    <row r="31" ht="15" customHeight="1" s="77">
      <c r="C31" s="130">
        <f>SENARYO_DUYARLILIK!C8</f>
        <v/>
      </c>
      <c r="D31" s="149" t="inlineStr">
        <is>
          <t>Baz</t>
        </is>
      </c>
    </row>
    <row r="32" ht="15" customHeight="1" s="77">
      <c r="C32" s="130">
        <f>SENARYO_DUYARLILIK!C9</f>
        <v/>
      </c>
      <c r="D32" s="149" t="inlineStr">
        <is>
          <t>Kötümser</t>
        </is>
      </c>
    </row>
    <row r="56" ht="19.5" customHeight="1" s="77">
      <c r="A56" s="127" t="inlineStr">
        <is>
          <t>Paneldeki tüm göstergeler canlı formüllerden beslenir.</t>
        </is>
      </c>
    </row>
    <row r="58" ht="15" customHeight="1" s="77">
      <c r="A58" s="103" t="inlineStr">
        <is>
          <t>KuyrukKanit</t>
        </is>
      </c>
      <c r="B58" s="103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7" text="" percent="0" bottom="0">
      <formula>0</formula>
    </cfRule>
  </conditionalFormatting>
  <conditionalFormatting sqref="C4">
    <cfRule type="cellIs" rank="0" priority="3" equalAverage="0" operator="lessThan" aboveAverage="0" dxfId="7" text="" percent="0" bottom="0">
      <formula>0</formula>
    </cfRule>
  </conditionalFormatting>
  <conditionalFormatting sqref="D4">
    <cfRule type="cellIs" rank="0" priority="4" equalAverage="0" operator="lessThan" aboveAverage="0" dxfId="7" text="" percent="0" bottom="0">
      <formula>0</formula>
    </cfRule>
  </conditionalFormatting>
  <conditionalFormatting sqref="E4">
    <cfRule type="cellIs" rank="0" priority="5" equalAverage="0" operator="lessThan" aboveAverage="0" dxfId="7" text="" percent="0" bottom="0">
      <formula>0</formula>
    </cfRule>
    <cfRule type="cellIs" rank="0" priority="6" equalAverage="0" operator="lessThan" aboveAverage="0" dxfId="8" text="" percent="0" bottom="0">
      <formula>3</formula>
    </cfRule>
  </conditionalFormatting>
  <conditionalFormatting sqref="G4">
    <cfRule type="cellIs" rank="0" priority="7" equalAverage="0" operator="lessThan" aboveAverage="0" dxfId="8" text="" percent="0" bottom="0">
      <formula>70</formula>
    </cfRule>
  </conditionalFormatting>
  <conditionalFormatting sqref="B6">
    <cfRule type="cellIs" rank="0" priority="8" equalAverage="0" operator="equal" aboveAverage="0" dxfId="11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10" text="" percent="0" bottom="0">
      <formula>"DURDUR"</formula>
    </cfRule>
  </conditionalFormatting>
  <conditionalFormatting sqref="B11:B15">
    <cfRule type="cellIs" rank="0" priority="11" equalAverage="0" operator="lessThan" aboveAverage="0" dxfId="7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conditionalFormatting sqref="F11:F15">
    <cfRule type="cellIs" rank="0" priority="13" equalAverage="0" operator="lessThan" aboveAverage="0" dxfId="8" text="" percent="0" bottom="0">
      <formula>3</formula>
    </cfRule>
  </conditionalFormatting>
  <conditionalFormatting sqref="E11:E22">
    <cfRule type="cellIs" rank="0" priority="1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</cols>
  <sheetData>
    <row r="1" ht="25.5" customHeight="1" s="77">
      <c r="A1" s="104" t="inlineStr">
        <is>
          <t>SENARYO DUYARLILIK — Stok, Satış ve Nakit Bağlanma Sistemi</t>
        </is>
      </c>
    </row>
    <row r="3" ht="15.75" customHeight="1" s="77">
      <c r="A3" s="111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1" t="inlineStr">
        <is>
          <t>STOK, SATIŞ VE NAKİT BAĞLANMA SİSTEMİ — YÖNETİCİ ÖZETİ</t>
        </is>
      </c>
    </row>
    <row r="2" ht="15" customHeight="1" s="77">
      <c r="A2" s="152">
        <f>_xlfn.CONCAT("Rapor Tarihi: ",TEXT(RaporTarihi,"dd.mm.yyyy")," | Hazırlayan: ",RaporHazirlayan," | Sürüm: ",DosyaSurumu)</f>
        <v/>
      </c>
    </row>
    <row r="4" ht="17.25" customHeight="1" s="77">
      <c r="A4" s="107" t="inlineStr">
        <is>
          <t>Karar</t>
        </is>
      </c>
      <c r="B4" s="142">
        <f>KARAR!B11</f>
        <v/>
      </c>
    </row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ORNEK VERI — Stok, Satış ve Nakit Bağlanma Sistemi</t>
        </is>
      </c>
    </row>
    <row r="3" ht="15" customHeight="1" s="77">
      <c r="A3" s="107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6" customWidth="1" style="103" min="2" max="2"/>
    <col width="14" customWidth="1" style="103" min="3" max="4"/>
    <col width="10" customWidth="1" style="103" min="5" max="5"/>
    <col width="14" customWidth="1" style="103" min="6" max="6"/>
    <col width="40" customWidth="1" style="103" min="7" max="7"/>
  </cols>
  <sheetData>
    <row r="1" ht="15" customHeight="1" s="77">
      <c r="A1" s="103" t="inlineStr">
        <is>
          <t>AKIS — StokSatisVeNakitBaglanmaSistemi</t>
        </is>
      </c>
    </row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Stok, Satış ve Nakit Bağlanma Sistemi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6" customWidth="1" style="103" min="3" max="3"/>
    <col width="18" customWidth="1" style="103" min="5" max="5"/>
  </cols>
  <sheetData>
    <row r="1" ht="25.5" customHeight="1" s="77">
      <c r="A1" s="104" t="inlineStr">
        <is>
          <t>LISTELER — Stok, Satış ve Nakit Bağlanma Sistemi</t>
        </is>
      </c>
    </row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25.5" customHeight="1" s="77">
      <c r="A1" s="104" t="inlineStr">
        <is>
          <t>AYARLAR — Stok, Satış ve Nakit Bağlanma Sistemi</t>
        </is>
      </c>
    </row>
    <row r="3" ht="15" customHeight="1" s="77">
      <c r="A3" s="107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KILAVUZ — Stok, Satış ve Nakit Bağlanma Sistemi</t>
        </is>
      </c>
    </row>
    <row r="3" ht="15.75" customHeight="1" s="77">
      <c r="A3" s="111" t="inlineStr">
        <is>
          <t>Kullanım Kılavuzu</t>
        </is>
      </c>
    </row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1" ht="24.75" customHeight="1" s="77">
      <c r="A11" s="115" t="inlineStr">
        <is>
          <t>Bu dosya karar destek aracıdır; muhasebe kaydı ve vergi beyanı niteliği taşımaz.</t>
        </is>
      </c>
    </row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2026-09-25T14:12:29Z</dcterms:modified>
  <cp:revision>0</cp:revision>
</cp:coreProperties>
</file>