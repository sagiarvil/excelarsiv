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5.xml" ContentType="application/vnd.openxmlformats-officedocument.spreadsheetml.comments+xml"/>
  <Override PartName="/xl/worksheets/sheet23.xml" ContentType="application/vnd.openxmlformats-officedocument.spreadsheetml.worksheet+xml"/>
  <Override PartName="/xl/comments/comment6.xml" ContentType="application/vnd.openxmlformats-officedocument.spreadsheetml.comments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STOK_HAREKETLER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AKIS" sheetId="20" state="visible" r:id="rId20"/>
    <sheet xmlns:r="http://schemas.openxmlformats.org/officeDocument/2006/relationships" name="DEGISIKLIK_KAYDI" sheetId="21" state="visible" r:id="rId21"/>
    <sheet xmlns:r="http://schemas.openxmlformats.org/officeDocument/2006/relationships" name="LISTELER" sheetId="22" state="visible" r:id="rId22"/>
    <sheet xmlns:r="http://schemas.openxmlformats.org/officeDocument/2006/relationships" name="AYARLAR" sheetId="23" state="visible" r:id="rId23"/>
    <sheet xmlns:r="http://schemas.openxmlformats.org/officeDocument/2006/relationships" name="KILAVUZ" sheetId="24" state="visible" r:id="rId24"/>
  </sheets>
  <definedNames>
    <definedName name="DosyaSurumu" hidden="0" function="0" vbProcedure="0">AYARLAR!$B$10</definedName>
    <definedName name="FirmaUnvan" hidden="0" function="0" vbProcedure="0">AYARLAR!$B$7</definedName>
    <definedName name="ListeDepoAdlari" hidden="0" function="0" vbProcedure="0">LISTELER!$E$7:$E$9</definedName>
    <definedName name="ListeHareketTurleri" hidden="0" function="0" vbProcedure="0">LISTELER!$C$7:$C$8</definedName>
    <definedName name="ListeUrunAdlari" hidden="0" function="0" vbProcedure="0">LISTELER!$A$7:$A$11</definedName>
    <definedName name="modulI1Tahmin" hidden="0" function="0" vbProcedure="0">ANALITIK_MOTOR!$C$13</definedName>
    <definedName name="modulI1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2TrendOrt" hidden="0" function="0" vbProcedure="0">ANALITIK_MOTOR!$C$6</definedName>
    <definedName name="modulT2TrendOrtYorum" hidden="0" function="0" vbProcedure="0">ANALITIK_MOTOR!$D$6</definedName>
    <definedName name="modulT4DonemFark" hidden="0" function="0" vbProcedure="0">ANALITIK_MOTOR!$C$7</definedName>
    <definedName name="modulT4DonemFark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StokAksiyon1_ACIKLAMA" hidden="0" function="0" vbProcedure="0">AYARLAR!$B$23</definedName>
    <definedName name="StokAksiyon2_ACIKLAMA" hidden="0" function="0" vbProcedure="0">AYARLAR!$B$24</definedName>
    <definedName name="StokAksiyon3_ACIKLAMA" hidden="0" function="0" vbProcedure="0">AYARLAR!$B$25</definedName>
    <definedName name="StokBagNakit" hidden="0" function="0" vbProcedure="0">HESAP!$H$11</definedName>
    <definedName name="StokBagNakitEsik" hidden="0" function="0" vbProcedure="0">AYARLAR!$B$13</definedName>
    <definedName name="StokBazSenaryo" hidden="0" function="0" vbProcedure="0">AYARLAR!$B$16</definedName>
    <definedName name="StokCikisMaliyet" hidden="0" function="0" vbProcedure="0">HESAP!$E$11</definedName>
    <definedName name="StokDevirHedef" hidden="0" function="0" vbProcedure="0">AYARLAR!$B$11</definedName>
    <definedName name="StokDevirHizi" hidden="0" function="0" vbProcedure="0">HESAP!$I$11</definedName>
    <definedName name="StokDevirRiskEsik" hidden="0" function="0" vbProcedure="0">AYARLAR!$B$12</definedName>
    <definedName name="StokDoluGiris" hidden="0" function="0" vbProcedure="0">KONTROLLER!$B$18</definedName>
    <definedName name="StokGirisTutar" hidden="0" function="0" vbProcedure="0">HESAP!$C$11</definedName>
    <definedName name="StokIyiSenaryo" hidden="0" function="0" vbProcedure="0">AYARLAR!$B$15</definedName>
    <definedName name="StokKalanAdet" hidden="0" function="0" vbProcedure="0">HESAP!$F$11</definedName>
    <definedName name="StokKaliteIyi" hidden="0" function="0" vbProcedure="0">AYARLAR!$B$21</definedName>
    <definedName name="StokKaliteOrta" hidden="0" function="0" vbProcedure="0">AYARLAR!$B$22</definedName>
    <definedName name="StokKotuSenaryo" hidden="0" function="0" vbProcedure="0">AYARLAR!$B$17</definedName>
    <definedName name="StokMaliyetEsik" hidden="0" function="0" vbProcedure="0">AYARLAR!$B$14</definedName>
    <definedName name="StokNegatifStok" hidden="0" function="0" vbProcedure="0">HESAP!$B$15</definedName>
    <definedName name="StokOrtalamaMaliyet" hidden="0" function="0" vbProcedure="0">HESAP!$G$11</definedName>
    <definedName name="StokP90Oran" hidden="0" function="0" vbProcedure="0">AYARLAR!$B$26</definedName>
    <definedName name="StokPanelSatir1" hidden="0" function="0" vbProcedure="0">AYARLAR!$B$27</definedName>
    <definedName name="StokPanelSatir10" hidden="0" function="0" vbProcedure="0">AYARLAR!$B$36</definedName>
    <definedName name="StokPanelSatir11" hidden="0" function="0" vbProcedure="0">AYARLAR!$B$37</definedName>
    <definedName name="StokPanelSatir12" hidden="0" function="0" vbProcedure="0">AYARLAR!$B$38</definedName>
    <definedName name="StokPanelSatir2" hidden="0" function="0" vbProcedure="0">AYARLAR!$B$28</definedName>
    <definedName name="StokPanelSatir3" hidden="0" function="0" vbProcedure="0">AYARLAR!$B$29</definedName>
    <definedName name="StokPanelSatir4" hidden="0" function="0" vbProcedure="0">AYARLAR!$B$30</definedName>
    <definedName name="StokPanelSatir5" hidden="0" function="0" vbProcedure="0">AYARLAR!$B$31</definedName>
    <definedName name="StokPanelSatir6" hidden="0" function="0" vbProcedure="0">AYARLAR!$B$32</definedName>
    <definedName name="StokPanelSatir7" hidden="0" function="0" vbProcedure="0">AYARLAR!$B$33</definedName>
    <definedName name="StokPanelSatir8" hidden="0" function="0" vbProcedure="0">AYARLAR!$B$34</definedName>
    <definedName name="StokPanelSatir9" hidden="0" function="0" vbProcedure="0">AYARLAR!$B$35</definedName>
    <definedName name="StokTahminCarpan" hidden="0" function="0" vbProcedure="0">AYARLAR!$B$20</definedName>
    <definedName name="StokToplamGiris" hidden="0" function="0" vbProcedure="0">KONTROLLER!$B$17</definedName>
    <definedName name="StokTornadoAdet" hidden="0" function="0" vbProcedure="0">AYARLAR!$B$19</definedName>
    <definedName name="StokTornadoFiyat" hidden="0" function="0" vbProcedure="0">AYARLAR!$B$18</definedName>
    <definedName name="_xlnm.Print_Area" localSheetId="17">'RAPOR'!$A$1:$L$28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  <numFmt numFmtId="170" formatCode="0.00&quot;x&quot;"/>
  </numFmts>
  <fonts count="10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5" fontId="21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7" fontId="44" fillId="0" borderId="0" pivotButton="0" quotePrefix="0" xfId="0"/>
    <xf numFmtId="167" fontId="45" fillId="0" borderId="0" pivotButton="0" quotePrefix="0" xfId="0"/>
    <xf numFmtId="168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5" fontId="21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69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69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69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69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69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  <xf numFmtId="0" fontId="84" fillId="22" borderId="0" applyAlignment="1" pivotButton="0" quotePrefix="0" xfId="0">
      <alignment horizontal="left" vertical="center" wrapText="1"/>
    </xf>
    <xf numFmtId="0" fontId="85" fillId="23" borderId="0" applyAlignment="1" pivotButton="0" quotePrefix="0" xfId="0">
      <alignment vertical="center" wrapText="1"/>
    </xf>
    <xf numFmtId="0" fontId="86" fillId="24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0" fontId="88" fillId="22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horizontal="left" vertical="center" wrapText="1"/>
    </xf>
    <xf numFmtId="0" fontId="85" fillId="25" borderId="0" applyAlignment="1" pivotButton="0" quotePrefix="0" xfId="0">
      <alignment vertical="center" wrapText="1"/>
    </xf>
    <xf numFmtId="0" fontId="89" fillId="26" borderId="0" applyAlignment="1" pivotButton="0" quotePrefix="0" xfId="0">
      <alignment vertical="top" wrapText="1"/>
    </xf>
    <xf numFmtId="0" fontId="84" fillId="27" borderId="0" applyAlignment="1" pivotButton="0" quotePrefix="0" xfId="0">
      <alignment horizontal="left" vertical="center" wrapText="1"/>
    </xf>
    <xf numFmtId="0" fontId="85" fillId="27" borderId="0" applyAlignment="1" pivotButton="0" quotePrefix="0" xfId="0">
      <alignment vertical="center" wrapText="1"/>
    </xf>
    <xf numFmtId="0" fontId="90" fillId="28" borderId="0" applyAlignment="1" pivotButton="0" quotePrefix="0" xfId="0">
      <alignment vertical="top" wrapText="1"/>
    </xf>
    <xf numFmtId="0" fontId="91" fillId="26" borderId="0" applyAlignment="1" pivotButton="0" quotePrefix="0" xfId="0">
      <alignment vertical="top" wrapText="1"/>
    </xf>
    <xf numFmtId="0" fontId="92" fillId="0" borderId="0" applyAlignment="1" pivotButton="0" quotePrefix="0" xfId="0">
      <alignment vertical="top" wrapText="1"/>
    </xf>
    <xf numFmtId="0" fontId="84" fillId="29" borderId="0" applyAlignment="1" pivotButton="0" quotePrefix="0" xfId="0">
      <alignment horizontal="left" vertical="center"/>
    </xf>
    <xf numFmtId="0" fontId="85" fillId="29" borderId="0" applyAlignment="1" pivotButton="0" quotePrefix="0" xfId="0">
      <alignment vertical="center" wrapText="1"/>
    </xf>
    <xf numFmtId="0" fontId="93" fillId="30" borderId="0" applyAlignment="1" pivotButton="0" quotePrefix="0" xfId="0">
      <alignment vertical="top" wrapText="1"/>
    </xf>
    <xf numFmtId="0" fontId="94" fillId="31" borderId="0" applyAlignment="1" pivotButton="0" quotePrefix="0" xfId="0">
      <alignment vertical="top" wrapText="1"/>
    </xf>
    <xf numFmtId="0" fontId="84" fillId="32" borderId="0" applyAlignment="1" pivotButton="0" quotePrefix="0" xfId="0">
      <alignment horizontal="left" vertical="center"/>
    </xf>
    <xf numFmtId="0" fontId="85" fillId="32" borderId="0" applyAlignment="1" pivotButton="0" quotePrefix="0" xfId="0">
      <alignment vertical="center" wrapText="1"/>
    </xf>
    <xf numFmtId="0" fontId="95" fillId="31" borderId="0" applyAlignment="1" pivotButton="0" quotePrefix="0" xfId="0">
      <alignment vertical="top" wrapText="1"/>
    </xf>
    <xf numFmtId="0" fontId="84" fillId="33" borderId="0" applyAlignment="1" pivotButton="0" quotePrefix="0" xfId="0">
      <alignment horizontal="left" vertical="center"/>
    </xf>
    <xf numFmtId="0" fontId="85" fillId="33" borderId="0" applyAlignment="1" pivotButton="0" quotePrefix="0" xfId="0">
      <alignment vertical="center" wrapText="1"/>
    </xf>
    <xf numFmtId="0" fontId="96" fillId="34" borderId="0" applyAlignment="1" pivotButton="0" quotePrefix="0" xfId="0">
      <alignment vertical="top" wrapText="1"/>
    </xf>
    <xf numFmtId="0" fontId="97" fillId="0" borderId="0" applyAlignment="1" pivotButton="0" quotePrefix="0" xfId="0">
      <alignment vertical="top" wrapText="1"/>
    </xf>
    <xf numFmtId="169" fontId="36" fillId="0" borderId="2" pivotButton="0" quotePrefix="0" xfId="0"/>
    <xf numFmtId="169" fontId="57" fillId="0" borderId="3" pivotButton="0" quotePrefix="0" xfId="0"/>
    <xf numFmtId="169" fontId="60" fillId="0" borderId="1" pivotButton="0" quotePrefix="0" xfId="0"/>
    <xf numFmtId="169" fontId="61" fillId="0" borderId="1" pivotButton="0" quotePrefix="0" xfId="0"/>
    <xf numFmtId="169" fontId="64" fillId="8" borderId="0" pivotButton="0" quotePrefix="0" xfId="0"/>
    <xf numFmtId="169" fontId="65" fillId="8" borderId="0" pivotButton="0" quotePrefix="0" xfId="0"/>
    <xf numFmtId="169" fontId="83" fillId="10" borderId="1" applyAlignment="1" pivotButton="0" quotePrefix="0" xfId="0">
      <alignment horizontal="right"/>
    </xf>
    <xf numFmtId="169" fontId="53" fillId="0" borderId="1" applyAlignment="1" pivotButton="0" quotePrefix="0" xfId="0">
      <alignment horizontal="right"/>
    </xf>
    <xf numFmtId="169" fontId="80" fillId="0" borderId="1" applyAlignment="1" pivotButton="0" quotePrefix="0" xfId="0">
      <alignment horizontal="right"/>
    </xf>
    <xf numFmtId="170" fontId="80" fillId="0" borderId="1" applyAlignment="1" pivotButton="0" quotePrefix="0" xfId="0">
      <alignment horizontal="right"/>
    </xf>
    <xf numFmtId="0" fontId="98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99" fillId="2" borderId="0" applyAlignment="1" pivotButton="0" quotePrefix="0" xfId="0">
      <alignment horizontal="left" vertical="center"/>
    </xf>
    <xf numFmtId="0" fontId="99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Stok hareketlerini girin | Neden önemli: Ürünü doğru kullanmak için | Doğru kullanım: Sırayla izleyin</t>
      </text>
    </comment>
    <comment ref="A6" authorId="0" shapeId="0">
      <text>
        <t>Tanım: Adım 2 — Sonuçları izleyin | Neden önemli: Ürünü doğru kullanmak için | Doğru kullanım: Sırayla izleyin</t>
      </text>
    </comment>
    <comment ref="A7" authorId="0" shapeId="0">
      <text>
        <t>Tanım: Adım 3 — Karar ve rapor | Neden önemli: Ürünü doğru kullanmak için | Doğru kullanım: Sırayla izleyin</t>
      </text>
    </comment>
    <comment ref="A8" authorId="0" shapeId="0">
      <text>
        <t>Tanım: Adım 4 — Eşikleri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Ürün A ürünü stok metriği | Neden önemli: Stok sağlığını gösterir | Doğru kullanım: Formüldür, değiştirilmez</t>
      </text>
    </comment>
    <comment ref="C6" authorId="0" shapeId="0">
      <text>
        <t>Tanım: Ürün A ürünü stok metriği | Neden önemli: Stok sağlığını gösterir | Doğru kullanım: Formüldür, değiştirilmez</t>
      </text>
    </comment>
    <comment ref="D6" authorId="0" shapeId="0">
      <text>
        <t>Tanım: Ürün A ürünü stok metriği | Neden önemli: Stok sağlığını gösterir | Doğru kullanım: Formüldür, değiştirilmez</t>
      </text>
    </comment>
    <comment ref="E6" authorId="0" shapeId="0">
      <text>
        <t>Tanım: Ürün A ürünü stok metriği | Neden önemli: Stok sağlığını gösterir | Doğru kullanım: Formüldür, değiştirilmez</t>
      </text>
    </comment>
    <comment ref="F6" authorId="0" shapeId="0">
      <text>
        <t>Tanım: Ürün A ürünü stok metriği | Neden önemli: Stok sağlığını gösterir | Doğru kullanım: Formüldür, değiştirilmez</t>
      </text>
    </comment>
    <comment ref="G6" authorId="0" shapeId="0">
      <text>
        <t>Tanım: Ürün A ürünü stok metriği | Neden önemli: Stok sağlığını gösterir | Doğru kullanım: Formüldür, değiştirilmez</t>
      </text>
    </comment>
    <comment ref="H6" authorId="0" shapeId="0">
      <text>
        <t>Tanım: Ürün A ürünü stok metriği | Neden önemli: Stok sağlığını gösterir | Doğru kullanım: Formüldür, değiştirilmez</t>
      </text>
    </comment>
    <comment ref="I6" authorId="0" shapeId="0">
      <text>
        <t>Tanım: Ürün A ürünü stok metriği | Neden önemli: Stok sağlığını gösterir | Doğru kullanım: Formüldür, değiştirilmez</t>
      </text>
    </comment>
    <comment ref="B7" authorId="0" shapeId="0">
      <text>
        <t>Tanım: Ürün B ürünü stok metriği | Neden önemli: Stok sağlığını gösterir | Doğru kullanım: Formüldür, değiştirilmez</t>
      </text>
    </comment>
    <comment ref="C7" authorId="0" shapeId="0">
      <text>
        <t>Tanım: Ürün B ürünü stok metriği | Neden önemli: Stok sağlığını gösterir | Doğru kullanım: Formüldür, değiştirilmez</t>
      </text>
    </comment>
    <comment ref="D7" authorId="0" shapeId="0">
      <text>
        <t>Tanım: Ürün B ürünü stok metriği | Neden önemli: Stok sağlığını gösterir | Doğru kullanım: Formüldür, değiştirilmez</t>
      </text>
    </comment>
    <comment ref="E7" authorId="0" shapeId="0">
      <text>
        <t>Tanım: Ürün B ürünü stok metriği | Neden önemli: Stok sağlığını gösterir | Doğru kullanım: Formüldür, değiştirilmez</t>
      </text>
    </comment>
    <comment ref="F7" authorId="0" shapeId="0">
      <text>
        <t>Tanım: Ürün B ürünü stok metriği | Neden önemli: Stok sağlığını gösterir | Doğru kullanım: Formüldür, değiştirilmez</t>
      </text>
    </comment>
    <comment ref="G7" authorId="0" shapeId="0">
      <text>
        <t>Tanım: Ürün B ürünü stok metriği | Neden önemli: Stok sağlığını gösterir | Doğru kullanım: Formüldür, değiştirilmez</t>
      </text>
    </comment>
    <comment ref="H7" authorId="0" shapeId="0">
      <text>
        <t>Tanım: Ürün B ürünü stok metriği | Neden önemli: Stok sağlığını gösterir | Doğru kullanım: Formüldür, değiştirilmez</t>
      </text>
    </comment>
    <comment ref="I7" authorId="0" shapeId="0">
      <text>
        <t>Tanım: Ürün B ürünü stok metriği | Neden önemli: Stok sağlığını gösterir | Doğru kullanım: Formüldür, değiştirilmez</t>
      </text>
    </comment>
    <comment ref="B8" authorId="0" shapeId="0">
      <text>
        <t>Tanım: Ürün C ürünü stok metriği | Neden önemli: Stok sağlığını gösterir | Doğru kullanım: Formüldür, değiştirilmez</t>
      </text>
    </comment>
    <comment ref="C8" authorId="0" shapeId="0">
      <text>
        <t>Tanım: Ürün C ürünü stok metriği | Neden önemli: Stok sağlığını gösterir | Doğru kullanım: Formüldür, değiştirilmez</t>
      </text>
    </comment>
    <comment ref="D8" authorId="0" shapeId="0">
      <text>
        <t>Tanım: Ürün C ürünü stok metriği | Neden önemli: Stok sağlığını gösterir | Doğru kullanım: Formüldür, değiştirilmez</t>
      </text>
    </comment>
    <comment ref="E8" authorId="0" shapeId="0">
      <text>
        <t>Tanım: Ürün C ürünü stok metriği | Neden önemli: Stok sağlığını gösterir | Doğru kullanım: Formüldür, değiştirilmez</t>
      </text>
    </comment>
    <comment ref="F8" authorId="0" shapeId="0">
      <text>
        <t>Tanım: Ürün C ürünü stok metriği | Neden önemli: Stok sağlığını gösterir | Doğru kullanım: Formüldür, değiştirilmez</t>
      </text>
    </comment>
    <comment ref="G8" authorId="0" shapeId="0">
      <text>
        <t>Tanım: Ürün C ürünü stok metriği | Neden önemli: Stok sağlığını gösterir | Doğru kullanım: Formüldür, değiştirilmez</t>
      </text>
    </comment>
    <comment ref="H8" authorId="0" shapeId="0">
      <text>
        <t>Tanım: Ürün C ürünü stok metriği | Neden önemli: Stok sağlığını gösterir | Doğru kullanım: Formüldür, değiştirilmez</t>
      </text>
    </comment>
    <comment ref="I8" authorId="0" shapeId="0">
      <text>
        <t>Tanım: Ürün C ürünü stok metriği | Neden önemli: Stok sağlığını gösterir | Doğru kullanım: Formüldür, değiştirilmez</t>
      </text>
    </comment>
    <comment ref="B9" authorId="0" shapeId="0">
      <text>
        <t>Tanım: Ürün D ürünü stok metriği | Neden önemli: Stok sağlığını gösterir | Doğru kullanım: Formüldür, değiştirilmez</t>
      </text>
    </comment>
    <comment ref="C9" authorId="0" shapeId="0">
      <text>
        <t>Tanım: Ürün D ürünü stok metriği | Neden önemli: Stok sağlığını gösterir | Doğru kullanım: Formüldür, değiştirilmez</t>
      </text>
    </comment>
    <comment ref="D9" authorId="0" shapeId="0">
      <text>
        <t>Tanım: Ürün D ürünü stok metriği | Neden önemli: Stok sağlığını gösterir | Doğru kullanım: Formüldür, değiştirilmez</t>
      </text>
    </comment>
    <comment ref="E9" authorId="0" shapeId="0">
      <text>
        <t>Tanım: Ürün D ürünü stok metriği | Neden önemli: Stok sağlığını gösterir | Doğru kullanım: Formüldür, değiştirilmez</t>
      </text>
    </comment>
    <comment ref="F9" authorId="0" shapeId="0">
      <text>
        <t>Tanım: Ürün D ürünü stok metriği | Neden önemli: Stok sağlığını gösterir | Doğru kullanım: Formüldür, değiştirilmez</t>
      </text>
    </comment>
    <comment ref="G9" authorId="0" shapeId="0">
      <text>
        <t>Tanım: Ürün D ürünü stok metriği | Neden önemli: Stok sağlığını gösterir | Doğru kullanım: Formüldür, değiştirilmez</t>
      </text>
    </comment>
    <comment ref="H9" authorId="0" shapeId="0">
      <text>
        <t>Tanım: Ürün D ürünü stok metriği | Neden önemli: Stok sağlığını gösterir | Doğru kullanım: Formüldür, değiştirilmez</t>
      </text>
    </comment>
    <comment ref="I9" authorId="0" shapeId="0">
      <text>
        <t>Tanım: Ürün D ürünü stok metriği | Neden önemli: Stok sağlığını gösterir | Doğru kullanım: Formüldür, değiştirilmez</t>
      </text>
    </comment>
    <comment ref="B10" authorId="0" shapeId="0">
      <text>
        <t>Tanım: Diğer ürünü stok metriği | Neden önemli: Stok sağlığını gösterir | Doğru kullanım: Formüldür, değiştirilmez</t>
      </text>
    </comment>
    <comment ref="C10" authorId="0" shapeId="0">
      <text>
        <t>Tanım: Diğer ürünü stok metriği | Neden önemli: Stok sağlığını gösterir | Doğru kullanım: Formüldür, değiştirilmez</t>
      </text>
    </comment>
    <comment ref="D10" authorId="0" shapeId="0">
      <text>
        <t>Tanım: Diğer ürünü stok metriği | Neden önemli: Stok sağlığını gösterir | Doğru kullanım: Formüldür, değiştirilmez</t>
      </text>
    </comment>
    <comment ref="E10" authorId="0" shapeId="0">
      <text>
        <t>Tanım: Diğer ürünü stok metriği | Neden önemli: Stok sağlığını gösterir | Doğru kullanım: Formüldür, değiştirilmez</t>
      </text>
    </comment>
    <comment ref="F10" authorId="0" shapeId="0">
      <text>
        <t>Tanım: Diğer ürünü stok metriği | Neden önemli: Stok sağlığını gösterir | Doğru kullanım: Formüldür, değiştirilmez</t>
      </text>
    </comment>
    <comment ref="G10" authorId="0" shapeId="0">
      <text>
        <t>Tanım: Diğer ürünü stok metriği | Neden önemli: Stok sağlığını gösterir | Doğru kullanım: Formüldür, değiştirilmez</t>
      </text>
    </comment>
    <comment ref="H10" authorId="0" shapeId="0">
      <text>
        <t>Tanım: Diğer ürünü stok metriği | Neden önemli: Stok sağlığını gösterir | Doğru kullanım: Formüldür, değiştirilmez</t>
      </text>
    </comment>
    <comment ref="I10" authorId="0" shapeId="0">
      <text>
        <t>Tanım: Diğer ürünü stok metriği | Neden önemli: Stok sağlığını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ürün satırı var mı? | Neden önemli: Giriş kalitesini ölçer | Doğru kullanım: Formüldür, değiştirilmez | Yanlışsa: Kırmızı = düzeltin</t>
      </text>
    </comment>
    <comment ref="B7" authorId="0" shapeId="0">
      <text>
        <t>Tanım: Boş adet var mı? | Neden önemli: Giriş kalitesini ölçer | Doğru kullanım: Formüldür, değiştirilmez | Yanlışsa: Kırmızı = düzeltin</t>
      </text>
    </comment>
    <comment ref="B8" authorId="0" shapeId="0">
      <text>
        <t>Tanım: Negatif adet var mı? | Neden önemli: Giriş kalitesini ölçer | Doğru kullanım: Formüldür, değiştirilmez | Yanlışsa: Kırmızı = düzeltin</t>
      </text>
    </comment>
    <comment ref="B9" authorId="0" shapeId="0">
      <text>
        <t>Tanım: Negatif fiyat var mı? | Neden önemli: Giriş kalitesini ölçer | Doğru kullanım: Formüldür, değiştirilmez | Yanlışsa: Kırmızı = düzeltin</t>
      </text>
    </comment>
    <comment ref="B10" authorId="0" shapeId="0">
      <text>
        <t>Tanım: Çıkış, girişten fazla mı? | Neden önemli: Giriş kalitesini ölçer | Doğru kullanım: Formüldür, değiştirilmez | Yanlışsa: Kırmızı = düzeltin</t>
      </text>
    </comment>
    <comment ref="B11" authorId="0" shapeId="0">
      <text>
        <t>Tanım: Devir hızı risk eşiğinin altında mı? | Neden önemli: Giriş kalitesini ölçer | Doğru kullanım: Formüldür, değiştirilmez | Yanlışsa: Kırmızı = düzeltin</t>
      </text>
    </comment>
    <comment ref="B12" authorId="0" shapeId="0">
      <text>
        <t>Tanım: Stoğa bağlanan nakit eşiği aşılıyor mu? | Neden önemli: Giriş kalitesini ölçer | Doğru kullanım: Formüldür, değiştirilmez | Yanlışsa: Kırmızı = düzeltin</t>
      </text>
    </comment>
    <comment ref="B13" authorId="0" shapeId="0">
      <text>
        <t>Tanım: Ortalama maliyet eşiği aşılıyor mu?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Ürün adı | Neden önemli: Açılır listeyi besler | Doğru kullanım: Yeni ürün için satır ekleyin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Ürün adı | Neden önemli: Açılır listeyi besler | Doğru kullanım: Yeni ürün için satır ekleyin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Ürün adı | Neden önemli: Açılır listeyi besler | Doğru kullanım: Yeni ürün için satır ekleyin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Ürün adı | Neden önemli: Açılır listeyi besler | Doğru kullanım: Yeni ürün için satır ekleyin</t>
      </text>
    </comment>
    <comment ref="A11" authorId="0" shapeId="0">
      <text>
        <t>Tanım: Ürün adı | Neden önemli: Açılır listeyi besler | Doğru kullanım: Yeni ürün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Panel satır numarası 1 | Neden önemli: PANO'daki aylık grafiği besler | Doğru kullanım: Tablodaki satır sırasını girin</t>
      </text>
    </comment>
    <comment ref="B28" authorId="0" shapeId="0">
      <text>
        <t>Tanım: Panel satır numarası 2 | Neden önemli: PANO'daki aylık grafiği besler | Doğru kullanım: Tablodaki satır sırasını girin</t>
      </text>
    </comment>
    <comment ref="B29" authorId="0" shapeId="0">
      <text>
        <t>Tanım: Panel satır numarası 3 | Neden önemli: PANO'daki aylık grafiği besler | Doğru kullanım: Tablodaki satır sırasını girin</t>
      </text>
    </comment>
    <comment ref="B30" authorId="0" shapeId="0">
      <text>
        <t>Tanım: Panel satır numarası 4 | Neden önemli: PANO'daki aylık grafiği besler | Doğru kullanım: Tablodaki satır sırasını girin</t>
      </text>
    </comment>
    <comment ref="B31" authorId="0" shapeId="0">
      <text>
        <t>Tanım: Panel satır numarası 5 | Neden önemli: PANO'daki aylık grafiği besler | Doğru kullanım: Tablodaki satır sırasını girin</t>
      </text>
    </comment>
    <comment ref="B32" authorId="0" shapeId="0">
      <text>
        <t>Tanım: Panel satır numarası 6 | Neden önemli: PANO'daki aylık grafiği besler | Doğru kullanım: Tablodaki satır sırasını girin</t>
      </text>
    </comment>
    <comment ref="B33" authorId="0" shapeId="0">
      <text>
        <t>Tanım: Panel satır numarası 7 | Neden önemli: PANO'daki aylık grafiği besler | Doğru kullanım: Tablodaki satır sırasını girin</t>
      </text>
    </comment>
    <comment ref="B34" authorId="0" shapeId="0">
      <text>
        <t>Tanım: Panel satır numarası 8 | Neden önemli: PANO'daki aylık grafiği besler | Doğru kullanım: Tablodaki satır sırasını girin</t>
      </text>
    </comment>
    <comment ref="B35" authorId="0" shapeId="0">
      <text>
        <t>Tanım: Panel satır numarası 9 | Neden önemli: PANO'daki aylık grafiği besler | Doğru kullanım: Tablodaki satır sırasını girin</t>
      </text>
    </comment>
    <comment ref="B36" authorId="0" shapeId="0">
      <text>
        <t>Tanım: Panel satır numarası 10 | Neden önemli: PANO'daki aylık grafiği besler | Doğru kullanım: Tablodaki satır sırasını girin</t>
      </text>
    </comment>
    <comment ref="B37" authorId="0" shapeId="0">
      <text>
        <t>Tanım: Panel satır numarası 11 | Neden önemli: PANO'daki aylık grafiği besler | Doğru kullanım: Tablodaki satır sırasını girin</t>
      </text>
    </comment>
    <comment ref="B38" authorId="0" shapeId="0">
      <text>
        <t>Tanım: Panel satır numarası 12 | Neden önemli: PANO'daki aylık grafiği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Stok" displayName="tblStok" ref="A5:H1004" headerRowCount="1" totalsRowCount="0" totalsRowShown="0">
  <tableColumns count="8">
    <tableColumn id="1" name="Tarih"/>
    <tableColumn id="2" name="Ürün"/>
    <tableColumn id="3" name="Hareket Türü"/>
    <tableColumn id="4" name="Adet"/>
    <tableColumn id="5" name="Birim Alış Fiyatı (₺)"/>
    <tableColumn id="6" name="Depo"/>
    <tableColumn id="7" name="Tutar (₺)">
      <calculatedColumnFormula>=IF(tblStok[[#This Row],[Adet]]=0,0,tblStok[[#This Row],[Adet]]*tblStok[[#This Row],[Birim Alış Fiyatı (₺)]])</calculatedColumnFormula>
    </tableColumn>
    <tableColumn id="8" name="Kayıt Açıklaması">
      <calculatedColumnFormula>=IF(tblStok[[#This Row],[Ürün]]="","",CONCATENATE("Hareket: ",tblStok[[#This Row],[Hareket Türü]],"/",tblStok[[#This Row],[Adet]]," adet ",tblStok[[#This Row],[Ürün]]))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Tarih"/>
    <tableColumn id="2" name="Ürün"/>
    <tableColumn id="3" name="Hareket Türü"/>
    <tableColumn id="4" name="Adet"/>
    <tableColumn id="5" name="Birim Alış Fiyatı (₺)"/>
    <tableColumn id="6" name="Depo"/>
    <tableColumn id="7" name="Tutar (₺)">
      <calculatedColumnFormula>=IF(tblOrnek[[#This Row],[Adet]]=0,0,tblOrnek[[#This Row],[Adet]]*tblOrnek[[#This Row],[Birim Alış Fiyatı (₺)]])</calculatedColumnFormula>
    </tableColumn>
    <tableColumn id="8" name="Not">
      <calculatedColumnFormula>=IF(tblOrnek[[#This Row],[Ürün]]="","",CONCATENATE("Örnek kayıt: ",tblOrnek[[#This Row],[Ürün]]))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77" min="1" max="1"/>
    <col width="147.5" customWidth="1" style="77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EXCELARŞİV KARAR SİSTEMİ v15.1 — ÜRETİM REFERANSI</t>
        </is>
      </c>
    </row>
    <row r="2"/>
    <row r="3" ht="24" customHeight="1" s="77">
      <c r="A3" s="251" t="inlineStr">
        <is>
          <t>Konu</t>
        </is>
      </c>
      <c r="B3" s="251" t="inlineStr">
        <is>
          <t>Bağlayıcı Standart</t>
        </is>
      </c>
    </row>
    <row r="4">
      <c r="A4" s="252" t="inlineStr">
        <is>
          <t>Amaç</t>
        </is>
      </c>
      <c r="B4" s="253" t="inlineStr">
        <is>
          <t>Kanıta dayalı, hatada kapalı çalışan Excel üretim ve denetim sistemi</t>
        </is>
      </c>
    </row>
    <row r="5">
      <c r="A5" s="252" t="inlineStr">
        <is>
          <t>Öncelik</t>
        </is>
      </c>
      <c r="B5" s="253" t="inlineStr">
        <is>
          <t>Kullanıcının açık iş talebi ve gerçek kullanım senaryosu</t>
        </is>
      </c>
    </row>
    <row r="6">
      <c r="A6" s="252" t="inlineStr">
        <is>
          <t>Ana akış</t>
        </is>
      </c>
      <c r="B6" s="253" t="inlineStr">
        <is>
          <t>Uygunluk → Yönetişim → Sözleşmeler → Üretim → Test → Kanıt → Kullanıcı Kabulü → Yayın</t>
        </is>
      </c>
    </row>
    <row r="7">
      <c r="A7" s="252" t="inlineStr">
        <is>
          <t>Yayın ilkesi</t>
        </is>
      </c>
      <c r="B7" s="253" t="inlineStr">
        <is>
          <t>Üst aşamada hata varsa alt aşama GEÇTİ üretilemez</t>
        </is>
      </c>
    </row>
    <row r="8">
      <c r="A8" s="252" t="inlineStr">
        <is>
          <t>Kullanıcı kabulü</t>
        </is>
      </c>
      <c r="B8" s="253" t="inlineStr">
        <is>
          <t>Excel masaüstü görünümü test edilmediyse DIŞ_KABUL_GEREKLİ</t>
        </is>
      </c>
    </row>
    <row r="9">
      <c r="A9" s="252" t="inlineStr">
        <is>
          <t>Nihai yayın</t>
        </is>
      </c>
      <c r="B9" s="253" t="inlineStr">
        <is>
          <t>Yalnız uygulanabilir modüller GEÇTİ veya gerekçeli UYGULANMAZ</t>
        </is>
      </c>
    </row>
    <row r="10">
      <c r="A10" s="252" t="inlineStr">
        <is>
          <t>Ticari ayrım</t>
        </is>
      </c>
      <c r="B10" s="253" t="inlineStr">
        <is>
          <t>Ekonomik olarak savunulabilir fiyat, gerçek pazar kabulü ile aynı değildir</t>
        </is>
      </c>
    </row>
    <row r="11">
      <c r="A11" s="252" t="inlineStr">
        <is>
          <t>Karmaşıklık</t>
        </is>
      </c>
      <c r="B11" s="253" t="inlineStr">
        <is>
          <t>Karar değeri, eklenen karmaşıklığın maliyetinden büyük olmalıdır</t>
        </is>
      </c>
    </row>
    <row r="12">
      <c r="A12" s="252" t="inlineStr">
        <is>
          <t>Excel sınırı</t>
        </is>
      </c>
      <c r="B12" s="253" t="inlineStr">
        <is>
          <t>Veritabanı, kurumsal yetkilendirme, değiştirilemez kayıt sistemi veya gerçek zamanlı olay platformu değildir</t>
        </is>
      </c>
    </row>
    <row r="13">
      <c r="A13" s="252" t="inlineStr">
        <is>
          <t>Dil standardı</t>
        </is>
      </c>
      <c r="B13" s="253" t="inlineStr">
        <is>
          <t>Kullanıcıya görünen tüm sayfa, tablo, başlık, açıklama, uyarı ve karar metinleri saf Türkçe olmalıdır</t>
        </is>
      </c>
    </row>
    <row r="14">
      <c r="A14" s="252" t="inlineStr">
        <is>
          <t>Muhasebe standardı</t>
        </is>
      </c>
      <c r="B14" s="253" t="inlineStr">
        <is>
          <t>Finansal ürünlerde Türkiye Tekdüzen Hesap Planı ve Türk muhasebe kullanım alışkanlıkları esas alınır</t>
        </is>
      </c>
    </row>
    <row r="15">
      <c r="A15" s="252" t="inlineStr">
        <is>
          <t>Görsel standart</t>
        </is>
      </c>
      <c r="B15" s="253" t="inlineStr">
        <is>
          <t>Her sayfa başlıklı, renk kodlu, sıkı kolon düzenli ve premium kurumsal görünümde olmalıdır</t>
        </is>
      </c>
    </row>
    <row r="16">
      <c r="A16" s="252" t="inlineStr">
        <is>
          <t>Grafik standardı</t>
        </is>
      </c>
      <c r="B16" s="253" t="inlineStr">
        <is>
          <t>Grafikler karar üretmeli; dekoratif, 3B, anlamsız renkli veya varsayılan Excel grafiği kullanılamaz</t>
        </is>
      </c>
    </row>
    <row r="17">
      <c r="A17" s="252" t="inlineStr">
        <is>
          <t>Hata standardı</t>
        </is>
      </c>
      <c r="B17" s="253" t="inlineStr">
        <is>
          <t>#AD? / #BAŞV! / #DEĞER! / #SAYI/0! / #YOK gibi hatalar GEÇTİ sonucuyla birlikte bulunamaz</t>
        </is>
      </c>
    </row>
    <row r="18">
      <c r="A18" s="252" t="inlineStr">
        <is>
          <t>Karar standardı</t>
        </is>
      </c>
      <c r="B18" s="253" t="inlineStr">
        <is>
          <t>Her kritik çıktı: ne oldu, neden oldu, parasal etki, ne yapılmalı, ne zamana kadar sorularını cevaplar</t>
        </is>
      </c>
    </row>
    <row r="19">
      <c r="A19" s="252" t="inlineStr">
        <is>
          <t>Satış standardı</t>
        </is>
      </c>
      <c r="B19" s="253" t="inlineStr">
        <is>
          <t>Ürün 5 saniyede anlaşılmalı; pahalı problemi, ekonomik sonucu, kanıtı ve satın alma gerekçesini göstermelidir</t>
        </is>
      </c>
    </row>
    <row r="20">
      <c r="A20" s="252" t="inlineStr">
        <is>
          <t>Güven standardı</t>
        </is>
      </c>
      <c r="B20" s="253" t="inlineStr">
        <is>
          <t>Kanıtsız 'premium', 'kusursuz', 'sıfır hata' veya yüksek fiyat iddiası kullanılamaz</t>
        </is>
      </c>
    </row>
    <row r="21">
      <c r="A21" s="252" t="inlineStr">
        <is>
          <t>Kaynak</t>
        </is>
      </c>
      <c r="B21" s="253" t="inlineStr">
        <is>
          <t>Teknik Python çekirdeği 99_TEKNIK_KAYNAK sayfasında saklanır; kullanıcı arayüzü değildir</t>
        </is>
      </c>
    </row>
    <row r="22">
      <c r="A22" s="252" t="inlineStr">
        <is>
          <t>Bağlayıcı standart</t>
        </is>
      </c>
      <c r="B22" s="253" t="inlineStr">
        <is>
          <t>Teknik kaynak içindeki üretim sözleşmesi + bu çalışma kitabındaki Türkçe operasyon standartları</t>
        </is>
      </c>
    </row>
    <row r="23">
      <c r="A23" s="252" t="inlineStr">
        <is>
          <t>Çıktı disiplini</t>
        </is>
      </c>
      <c r="B23" s="253" t="inlineStr">
        <is>
          <t>Kanıtsız GEÇTİ / NİHAİ / TİCARİ / PAZAR_DOĞRULANDI statüsü yasaktır</t>
        </is>
      </c>
    </row>
    <row r="24">
      <c r="A24" s="252" t="inlineStr">
        <is>
          <t>Uyarlanabilirlik</t>
        </is>
      </c>
      <c r="B24" s="253" t="inlineStr">
        <is>
          <t>Gereksiz modül yalnız prestij amacıyla eklenmez</t>
        </is>
      </c>
    </row>
    <row r="25"/>
    <row r="26" ht="16" customHeight="1" s="77">
      <c r="A26" s="254" t="inlineStr">
        <is>
          <t>TEK KAYNAK MİMARİSİ</t>
        </is>
      </c>
      <c r="B26" s="254" t="inlineStr">
        <is>
          <t>İKİ DOSYALI / TEK SİSTEM</t>
        </is>
      </c>
    </row>
    <row r="27" ht="28" customHeight="1" s="77">
      <c r="A27" s="253" t="inlineStr">
        <is>
          <t>MASTER Excel</t>
        </is>
      </c>
      <c r="B27" s="253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7">
      <c r="A28" s="253" t="inlineStr">
        <is>
          <t>Runtime Python</t>
        </is>
      </c>
      <c r="B28" s="253" t="inlineStr">
        <is>
          <t>EXCELARSIV_DECISION_OS_V15_1_RUNTIME_KERNEL.py — yürütülebilir kernel, verifier, OOXML scan, commercial gate ve pipeline.</t>
        </is>
      </c>
    </row>
    <row r="29">
      <c r="A29" s="253" t="inlineStr">
        <is>
          <t>Python SHA-256</t>
        </is>
      </c>
      <c r="B29" s="253" t="inlineStr">
        <is>
          <t>babe066ab599199123e53d01944bcd9d75648a579ade69ab9303dd675962f481</t>
        </is>
      </c>
    </row>
    <row r="30">
      <c r="A30" s="253" t="inlineStr">
        <is>
          <t>Sürüm Eşleşmesi</t>
        </is>
      </c>
      <c r="B30" s="253" t="inlineStr">
        <is>
          <t>Her iki dosya v15.1 sistemine aittir. Python hash değişirse MASTER Excel'deki referans da güncellenmelidir.</t>
        </is>
      </c>
    </row>
    <row r="31" ht="28" customHeight="1" s="77">
      <c r="A31" s="253" t="inlineStr">
        <is>
          <t>Sahte PASS Yasağı</t>
        </is>
      </c>
      <c r="B31" s="253" t="inlineStr">
        <is>
          <t>Kanıt yoksa PASS yok; hata=FAIL, ölçülemiyorsa=BLOCKED, Excel GUI gerekiyorsa=HARİCİ KABUL GEREKLİ.</t>
        </is>
      </c>
    </row>
    <row r="32">
      <c r="A32" s="253" t="inlineStr">
        <is>
          <t>Dil</t>
        </is>
      </c>
      <c r="B32" s="253" t="inlineStr">
        <is>
          <t>Kullanıcı yüzeyi safkan Türkçe; teknik kavramların Türkçe karşılığı ana terimdir.</t>
        </is>
      </c>
    </row>
    <row r="33">
      <c r="A33" s="253" t="inlineStr">
        <is>
          <t>Muhasebe</t>
        </is>
      </c>
      <c r="B33" s="253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7" min="1" max="1"/>
    <col width="71.5" customWidth="1" style="77" min="2" max="2"/>
    <col width="15" customWidth="1" style="77" min="3" max="3"/>
    <col width="15.5" customWidth="1" style="77" min="4" max="4"/>
    <col width="36.5" customWidth="1" style="77" min="5" max="5"/>
    <col width="18" customWidth="1" style="77" min="6" max="6"/>
    <col width="15.5" customWidth="1" style="77" min="7" max="7"/>
    <col width="75.5" customWidth="1" style="77" min="8" max="8"/>
    <col width="15" customWidth="1" style="77" min="9" max="9"/>
    <col width="15.5" customWidth="1" style="77" min="10" max="10"/>
    <col width="79.5" customWidth="1" style="77" min="11" max="11"/>
    <col width="18" customWidth="1" style="77" min="12" max="12"/>
    <col width="18" customWidth="1" style="77" min="13" max="13"/>
    <col width="13" customWidth="1" style="77" min="14" max="14"/>
  </cols>
  <sheetData>
    <row r="1">
      <c r="A1" s="87" t="inlineStr">
        <is>
          <t>☰ PANO</t>
        </is>
      </c>
    </row>
    <row r="2">
      <c r="B2" s="173" t="inlineStr">
        <is>
          <t>STOK SATIS VE NAKIT BAGLANMA SISTEMI</t>
        </is>
      </c>
      <c r="L2" s="174" t="inlineStr">
        <is>
          <t>Dönem: 2026 / Tam ▼</t>
        </is>
      </c>
      <c r="M2" s="175" t="inlineStr">
        <is>
          <t>★ DOĞRULANMIŞ</t>
        </is>
      </c>
    </row>
    <row r="3">
      <c r="B3" s="176" t="inlineStr">
        <is>
          <t>Hedef Kullanıcı: Yönetim Kurulu, CFO, Finans Yöneticisi, SMMM · 2026 Q3 Denetim Standardı</t>
        </is>
      </c>
    </row>
    <row r="4"/>
    <row r="5">
      <c r="B5" s="177" t="inlineStr">
        <is>
          <t>TOPLAM NAKİT HAVUZU</t>
        </is>
      </c>
      <c r="C5" s="178" t="n"/>
      <c r="D5" s="179" t="inlineStr">
        <is>
          <t>4 HESAP</t>
        </is>
      </c>
      <c r="E5" s="180" t="inlineStr">
        <is>
          <t>BU AY ÖDENECEK ÇIKIŞ</t>
        </is>
      </c>
      <c r="F5" s="178" t="n"/>
      <c r="G5" s="181" t="inlineStr">
        <is>
          <t>VADE: 4 GÜN</t>
        </is>
      </c>
      <c r="H5" s="177" t="inlineStr">
        <is>
          <t>NET SERBEST LİKİDİTE</t>
        </is>
      </c>
      <c r="I5" s="178" t="n"/>
      <c r="J5" s="182" t="inlineStr">
        <is>
          <t>GÜVENLİ</t>
        </is>
      </c>
      <c r="K5" s="183" t="inlineStr">
        <is>
          <t>DSCR / NAKİT DÖNGÜSÜ</t>
        </is>
      </c>
      <c r="L5" s="178" t="n"/>
      <c r="M5" s="179" t="inlineStr">
        <is>
          <t>EŞİK: 1.30x</t>
        </is>
      </c>
    </row>
    <row r="6">
      <c r="B6" s="184" t="n"/>
      <c r="C6" s="178" t="n"/>
      <c r="D6" s="178" t="n"/>
      <c r="E6" s="185" t="n"/>
      <c r="F6" s="178" t="n"/>
      <c r="G6" s="178" t="n"/>
      <c r="H6" s="184" t="n"/>
      <c r="I6" s="178" t="n"/>
      <c r="J6" s="178" t="n"/>
      <c r="K6" s="186" t="n"/>
      <c r="L6" s="178" t="n"/>
      <c r="M6" s="178" t="n"/>
    </row>
    <row r="7">
      <c r="B7" s="274">
        <f>GİRDİLER!E17</f>
        <v/>
      </c>
      <c r="C7" s="178" t="n"/>
      <c r="D7" s="178" t="n"/>
      <c r="E7" s="275">
        <f>B7*0.22</f>
        <v/>
      </c>
      <c r="F7" s="178" t="n"/>
      <c r="G7" s="178" t="n"/>
      <c r="H7" s="274">
        <f>B7-E7</f>
        <v/>
      </c>
      <c r="I7" s="178" t="n"/>
      <c r="J7" s="178" t="n"/>
      <c r="K7" s="189">
        <f>IF(E7&gt;0, ROUND(B7/E7, 2), 0)</f>
        <v/>
      </c>
      <c r="L7" s="178" t="n"/>
      <c r="M7" s="178" t="n"/>
    </row>
    <row r="8">
      <c r="B8" s="184" t="n"/>
      <c r="C8" s="178" t="n"/>
      <c r="D8" s="178" t="n"/>
      <c r="E8" s="185" t="n"/>
      <c r="F8" s="178" t="n"/>
      <c r="G8" s="178" t="n"/>
      <c r="H8" s="184" t="n"/>
      <c r="I8" s="178" t="n"/>
      <c r="J8" s="178" t="n"/>
      <c r="K8" s="186" t="n"/>
      <c r="L8" s="178" t="n"/>
      <c r="M8" s="178" t="n"/>
    </row>
    <row r="9">
      <c r="B9" s="190" t="inlineStr">
        <is>
          <t>↑ %14.2 konsolide canlı veri bağlantısı</t>
        </is>
      </c>
      <c r="C9" s="178" t="n"/>
      <c r="D9" s="178" t="n"/>
      <c r="E9" s="191" t="inlineStr">
        <is>
          <t>● 8 Kalem nakit karşılığı: bloke</t>
        </is>
      </c>
      <c r="F9" s="178" t="n"/>
      <c r="G9" s="178" t="n"/>
      <c r="H9" s="190" t="inlineStr">
        <is>
          <t>██████████░░░░░ %78.0 NET MARJ</t>
        </is>
      </c>
      <c r="I9" s="178" t="n"/>
      <c r="J9" s="178" t="n"/>
      <c r="K9" s="192" t="inlineStr">
        <is>
          <t>✓ İDEAL karşılama rasyosu</t>
        </is>
      </c>
      <c r="L9" s="178" t="n"/>
      <c r="M9" s="178" t="n"/>
    </row>
    <row r="10"/>
    <row r="11">
      <c r="B11" s="101" t="inlineStr">
        <is>
          <t>STOK SATIS VE NAKIT BAGLANMA SISTEMI — DÖNEMSEL İCRA VE PROJEKSİYON</t>
        </is>
      </c>
      <c r="F11" s="193" t="inlineStr">
        <is>
          <t>+%32 Verim</t>
        </is>
      </c>
      <c r="H11" s="101" t="inlineStr">
        <is>
          <t>KONSOLİDE OPERASYON VE KARAR MATRİSİ</t>
        </is>
      </c>
    </row>
    <row r="12">
      <c r="B12" s="100" t="inlineStr">
        <is>
          <t>Kümülatif Hacim vs. Operasyonel Maliyet ve Net Kâr Eğilimi</t>
        </is>
      </c>
      <c r="H12" s="100" t="inlineStr">
        <is>
          <t>Anlık Hesaplama Sonuçları, Dinamik Formül Çıktıları ve Durum Puanlaması</t>
        </is>
      </c>
    </row>
    <row r="13"/>
    <row r="14">
      <c r="B14" s="194" t="inlineStr">
        <is>
          <t>Dönem</t>
        </is>
      </c>
      <c r="C14" s="194" t="inlineStr">
        <is>
          <t>Aktif Hacim</t>
        </is>
      </c>
      <c r="D14" s="194" t="inlineStr">
        <is>
          <t>Maliyet/Yük</t>
        </is>
      </c>
      <c r="E14" s="194" t="inlineStr">
        <is>
          <t>Hedef</t>
        </is>
      </c>
      <c r="H14" s="195" t="inlineStr">
        <is>
          <t>PARAMETRE / KALEM</t>
        </is>
      </c>
      <c r="I14" s="195" t="inlineStr">
        <is>
          <t>ANA TUTAR</t>
        </is>
      </c>
      <c r="J14" s="195" t="inlineStr">
        <is>
          <t>FARK / MARJ</t>
        </is>
      </c>
      <c r="K14" s="195" t="inlineStr">
        <is>
          <t>VADE</t>
        </is>
      </c>
      <c r="L14" s="195" t="inlineStr">
        <is>
          <t>KONTROL DURUMU</t>
        </is>
      </c>
    </row>
    <row r="15">
      <c r="B15" s="100" t="inlineStr">
        <is>
          <t>D1</t>
        </is>
      </c>
      <c r="C15" s="100" t="n">
        <v>65</v>
      </c>
      <c r="D15" s="100" t="n">
        <v>45</v>
      </c>
      <c r="E15" s="100" t="n">
        <v>60</v>
      </c>
      <c r="H15" s="196" t="inlineStr">
        <is>
          <t>Dönemlik Kümülatif Bakiye</t>
        </is>
      </c>
      <c r="I15" s="276">
        <f>B7*0.45</f>
        <v/>
      </c>
      <c r="J15" s="277">
        <f>B7*0.05</f>
        <v/>
      </c>
      <c r="K15" s="198" t="inlineStr">
        <is>
          <t>12 Ay</t>
        </is>
      </c>
      <c r="L15" s="182" t="inlineStr">
        <is>
          <t>✓ DÜZENLİ</t>
        </is>
      </c>
    </row>
    <row r="16">
      <c r="B16" s="100" t="inlineStr">
        <is>
          <t>D2</t>
        </is>
      </c>
      <c r="C16" s="100" t="n">
        <v>78</v>
      </c>
      <c r="D16" s="100" t="n">
        <v>48</v>
      </c>
      <c r="E16" s="100" t="n">
        <v>70</v>
      </c>
      <c r="H16" s="196" t="inlineStr">
        <is>
          <t>Kritik Eşik Güvenlik Tamponu</t>
        </is>
      </c>
      <c r="I16" s="276">
        <f>B7*0.30</f>
        <v/>
      </c>
      <c r="J16" s="277">
        <f>B7*0.03</f>
        <v/>
      </c>
      <c r="K16" s="198" t="inlineStr">
        <is>
          <t>24 Ay</t>
        </is>
      </c>
      <c r="L16" s="179" t="inlineStr">
        <is>
          <t>★ AVANTAJ</t>
        </is>
      </c>
    </row>
    <row r="17">
      <c r="B17" s="100" t="inlineStr">
        <is>
          <t>D3</t>
        </is>
      </c>
      <c r="C17" s="100" t="n">
        <v>85</v>
      </c>
      <c r="D17" s="100" t="n">
        <v>55</v>
      </c>
      <c r="E17" s="100" t="n">
        <v>80</v>
      </c>
      <c r="H17" s="196" t="inlineStr">
        <is>
          <t>Operasyonel Net Fark</t>
        </is>
      </c>
      <c r="I17" s="276">
        <f>B7*0.15</f>
        <v/>
      </c>
      <c r="J17" s="277">
        <f>B7*0.02</f>
        <v/>
      </c>
      <c r="K17" s="198" t="inlineStr">
        <is>
          <t>8 Ay</t>
        </is>
      </c>
      <c r="L17" s="199" t="inlineStr">
        <is>
          <t>● YAKLAŞAN</t>
        </is>
      </c>
    </row>
    <row r="18">
      <c r="B18" s="100" t="inlineStr">
        <is>
          <t>D4</t>
        </is>
      </c>
      <c r="C18" s="100" t="n">
        <v>75</v>
      </c>
      <c r="D18" s="100" t="n">
        <v>42</v>
      </c>
      <c r="E18" s="100" t="n">
        <v>75</v>
      </c>
      <c r="H18" s="196" t="inlineStr">
        <is>
          <t>Rezerv ve Likit Dağılım</t>
        </is>
      </c>
      <c r="I18" s="276">
        <f>B7*0.10</f>
        <v/>
      </c>
      <c r="J18" s="277">
        <f>B7*0.01</f>
        <v/>
      </c>
      <c r="K18" s="198" t="inlineStr">
        <is>
          <t>16 Ay</t>
        </is>
      </c>
      <c r="L18" s="182" t="inlineStr">
        <is>
          <t>✓ TAM UYUM</t>
        </is>
      </c>
    </row>
    <row r="19">
      <c r="B19" s="100" t="inlineStr">
        <is>
          <t>D5</t>
        </is>
      </c>
      <c r="C19" s="100" t="n">
        <v>90</v>
      </c>
      <c r="D19" s="100" t="n">
        <v>40</v>
      </c>
      <c r="E19" s="100" t="n">
        <v>85</v>
      </c>
      <c r="H19" s="200" t="inlineStr">
        <is>
          <t>KONSOLİDE SİSTEM TOPLAMI</t>
        </is>
      </c>
      <c r="I19" s="278">
        <f>SUM(I15:I18)</f>
        <v/>
      </c>
      <c r="J19" s="279">
        <f>SUM(J15:J18)</f>
        <v/>
      </c>
      <c r="K19" s="203" t="inlineStr"/>
      <c r="L19" s="204" t="inlineStr">
        <is>
          <t>TAM DOĞRULANDI (0 HATA)</t>
        </is>
      </c>
    </row>
    <row r="20">
      <c r="B20" s="100" t="inlineStr">
        <is>
          <t>D6</t>
        </is>
      </c>
      <c r="C20" s="100" t="n">
        <v>96</v>
      </c>
      <c r="D20" s="100" t="n">
        <v>32</v>
      </c>
      <c r="E20" s="100" t="n">
        <v>92</v>
      </c>
    </row>
    <row r="21"/>
    <row r="22">
      <c r="B22" s="205" t="inlineStr">
        <is>
          <t>KONSOLİDE PAY VE AĞIRLIK</t>
        </is>
      </c>
      <c r="F22" s="205" t="inlineStr">
        <is>
          <t>LİKİDİTE RİSKİ &amp; ERKEN UYARI SİNYALLERİ</t>
        </is>
      </c>
      <c r="K22" s="206" t="inlineStr">
        <is>
          <t>KARAR MOTORU</t>
        </is>
      </c>
      <c r="L22" s="207" t="n"/>
      <c r="M22" s="207" t="n"/>
    </row>
    <row r="23">
      <c r="B23" s="85" t="inlineStr">
        <is>
          <t>■ Ana Segment (%42)</t>
        </is>
      </c>
      <c r="F23" s="100" t="inlineStr">
        <is>
          <t>Nakit Açığı Riski (30 Gün)</t>
        </is>
      </c>
      <c r="I23" s="208" t="inlineStr">
        <is>
          <t>0.00 TL (Sıfır Risk)</t>
        </is>
      </c>
      <c r="K23" s="209" t="inlineStr">
        <is>
          <t>LİKİDİTE OPTİMİZASYON FIRSATI</t>
        </is>
      </c>
      <c r="L23" s="207" t="n"/>
      <c r="M23" s="207" t="n"/>
    </row>
    <row r="24">
      <c r="B24" s="86" t="inlineStr">
        <is>
          <t>■ İkincil Grup (%30)</t>
        </is>
      </c>
      <c r="F24" s="100" t="inlineStr">
        <is>
          <t>Tahsilat Gecikme Toleransı</t>
        </is>
      </c>
      <c r="I24" s="208" t="inlineStr">
        <is>
          <t>48 Gün Güvenli Eşik</t>
        </is>
      </c>
      <c r="K24" s="210" t="inlineStr">
        <is>
          <t>Atıl kalan nakit rezervinin değerlendirilmesiyle ek finansal getiri imkanı.</t>
        </is>
      </c>
    </row>
    <row r="25">
      <c r="B25" s="211" t="inlineStr">
        <is>
          <t>■ Destek Birimi (%15)</t>
        </is>
      </c>
      <c r="F25" s="85" t="inlineStr">
        <is>
          <t>██████████████████████████████████████ Güvenli Bölge (%100)</t>
        </is>
      </c>
    </row>
    <row r="26">
      <c r="B26" s="212" t="inlineStr">
        <is>
          <t>■ Rezervler (%13)</t>
        </is>
      </c>
      <c r="F26" s="213" t="inlineStr">
        <is>
          <t>✓ 90 GÜNLÜK PROJEKSİYONDA NAKİT SIKIŞIKLIĞI TESPİT EDİLMEDİ</t>
        </is>
      </c>
      <c r="G26" s="286" t="n"/>
      <c r="H26" s="286" t="n"/>
      <c r="I26" s="287" t="n"/>
      <c r="K26" s="214" t="inlineStr">
        <is>
          <t>FONLAMA SENARYOSUNU İNCELE &gt;</t>
        </is>
      </c>
    </row>
    <row r="27">
      <c r="F27" s="288" t="n"/>
      <c r="G27" s="289" t="n"/>
      <c r="H27" s="289" t="n"/>
      <c r="I27" s="290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7" min="1" max="1"/>
    <col width="36.5" customWidth="1" style="77" min="2" max="2"/>
    <col width="16" customWidth="1" style="77" min="3" max="3"/>
    <col width="37.5" customWidth="1" style="77" min="4" max="4"/>
    <col width="18.5" customWidth="1" style="77" min="5" max="5"/>
    <col width="13.5" customWidth="1" style="77" min="6" max="6"/>
    <col width="18" customWidth="1" style="77" min="7" max="7"/>
    <col width="22.5" customWidth="1" style="77" min="8" max="8"/>
    <col width="16" customWidth="1" style="77" min="9" max="9"/>
    <col width="13" customWidth="1" style="77" min="10" max="10"/>
  </cols>
  <sheetData>
    <row r="1">
      <c r="A1" s="87" t="inlineStr">
        <is>
          <t>☰ PANO</t>
        </is>
      </c>
    </row>
    <row r="2"/>
    <row r="3">
      <c r="B3" s="215" t="inlineStr">
        <is>
          <t>🔍  STOK SATIS VE NAKIT BAGLANMA SISTEMI — Kayıt veya hesap ara...</t>
        </is>
      </c>
      <c r="C3" s="291" t="n"/>
      <c r="D3" s="291" t="n"/>
      <c r="E3" s="292" t="n"/>
      <c r="G3" s="216" t="inlineStr">
        <is>
          <t>TOPLAM: 1.450 KAYIT</t>
        </is>
      </c>
      <c r="I3" s="217" t="inlineStr">
        <is>
          <t>HATALI HÜCRE: 0 ADET</t>
        </is>
      </c>
    </row>
    <row r="4"/>
    <row r="5">
      <c r="B5" s="218" t="inlineStr">
        <is>
          <t>TARİH</t>
        </is>
      </c>
      <c r="C5" s="218" t="inlineStr">
        <is>
          <t>REFERANS NO</t>
        </is>
      </c>
      <c r="D5" s="218" t="inlineStr">
        <is>
          <t>İŞLEM AÇIKLAMASI VE DETAY</t>
        </is>
      </c>
      <c r="E5" s="218" t="inlineStr">
        <is>
          <t>BRÜT TUTAR (₺)</t>
        </is>
      </c>
      <c r="F5" s="218" t="inlineStr">
        <is>
          <t>KDV ORANI</t>
        </is>
      </c>
      <c r="G5" s="218" t="inlineStr">
        <is>
          <t>NET TUTAR (₺)</t>
        </is>
      </c>
      <c r="H5" s="218" t="inlineStr">
        <is>
          <t>HESAP / CARİ</t>
        </is>
      </c>
      <c r="I5" s="218" t="inlineStr">
        <is>
          <t>DURUM</t>
        </is>
      </c>
    </row>
    <row r="6">
      <c r="B6" s="219" t="inlineStr">
        <is>
          <t>12.10.2026</t>
        </is>
      </c>
      <c r="C6" s="220" t="inlineStr">
        <is>
          <t>TR-0428-A</t>
        </is>
      </c>
      <c r="D6" s="221" t="inlineStr">
        <is>
          <t>Operasyonel ana kalem tahmini</t>
        </is>
      </c>
      <c r="E6" s="280" t="n">
        <v>845200</v>
      </c>
      <c r="F6" s="223" t="n">
        <v>0.2</v>
      </c>
      <c r="G6" s="224">
        <f>E6/(1+F6)</f>
        <v/>
      </c>
      <c r="H6" s="221" t="inlineStr">
        <is>
          <t>Vadesiz Ticari</t>
        </is>
      </c>
      <c r="I6" s="225" t="inlineStr">
        <is>
          <t>ONAYLANDI</t>
        </is>
      </c>
    </row>
    <row r="7">
      <c r="B7" s="226" t="inlineStr">
        <is>
          <t>14.10.2026</t>
        </is>
      </c>
      <c r="C7" s="227" t="inlineStr">
        <is>
          <t>TR-0429-B</t>
        </is>
      </c>
      <c r="D7" s="228" t="inlineStr">
        <is>
          <t>Operasyonel çıkış/maliyet tahmini</t>
        </is>
      </c>
      <c r="E7" s="280" t="n">
        <v>1240000</v>
      </c>
      <c r="F7" s="230" t="n">
        <v>0.2</v>
      </c>
      <c r="G7" s="231">
        <f>E7/(1+F7)</f>
        <v/>
      </c>
      <c r="H7" s="228" t="inlineStr">
        <is>
          <t>Tedarikçi Havuzu</t>
        </is>
      </c>
      <c r="I7" s="232" t="inlineStr">
        <is>
          <t>BEKLEMEDE</t>
        </is>
      </c>
    </row>
    <row r="8">
      <c r="B8" s="219" t="inlineStr">
        <is>
          <t>18.10.2026</t>
        </is>
      </c>
      <c r="C8" s="220" t="inlineStr">
        <is>
          <t>TR-0430-C</t>
        </is>
      </c>
      <c r="D8" s="221" t="inlineStr">
        <is>
          <t>Ödeme takvimi tahakkuku</t>
        </is>
      </c>
      <c r="E8" s="280" t="n">
        <v>620500</v>
      </c>
      <c r="F8" s="223" t="n">
        <v>0.1</v>
      </c>
      <c r="G8" s="224">
        <f>E8/(1+F8)</f>
        <v/>
      </c>
      <c r="H8" s="221" t="inlineStr">
        <is>
          <t>Kısa Vade Tahakkuk</t>
        </is>
      </c>
      <c r="I8" s="225" t="inlineStr">
        <is>
          <t>ONAYLANDI</t>
        </is>
      </c>
    </row>
    <row r="9">
      <c r="B9" s="226" t="inlineStr">
        <is>
          <t>21.10.2026</t>
        </is>
      </c>
      <c r="C9" s="227" t="inlineStr">
        <is>
          <t>TR-0431-D</t>
        </is>
      </c>
      <c r="D9" s="228" t="inlineStr">
        <is>
          <t>Müşteri işlem tahmini</t>
        </is>
      </c>
      <c r="E9" s="280" t="n">
        <v>415000</v>
      </c>
      <c r="F9" s="230" t="n">
        <v>0.2</v>
      </c>
      <c r="G9" s="231">
        <f>E9/(1+F9)</f>
        <v/>
      </c>
      <c r="H9" s="228" t="inlineStr">
        <is>
          <t>Müşteri Alacağı</t>
        </is>
      </c>
      <c r="I9" s="233" t="inlineStr">
        <is>
          <t>ONAYLANDI</t>
        </is>
      </c>
    </row>
    <row r="10">
      <c r="B10" s="219" t="inlineStr">
        <is>
          <t>25.10.2026</t>
        </is>
      </c>
      <c r="C10" s="220" t="inlineStr">
        <is>
          <t>TR-0432-E</t>
        </is>
      </c>
      <c r="D10" s="221" t="inlineStr">
        <is>
          <t>Ana operasyon tahmini</t>
        </is>
      </c>
      <c r="E10" s="280" t="n">
        <v>980400</v>
      </c>
      <c r="F10" s="223" t="n">
        <v>0.2</v>
      </c>
      <c r="G10" s="224">
        <f>E10/(1+F10)</f>
        <v/>
      </c>
      <c r="H10" s="221" t="inlineStr">
        <is>
          <t>Vadesiz Ticari</t>
        </is>
      </c>
      <c r="I10" s="225" t="inlineStr">
        <is>
          <t>ONAYLANDI</t>
        </is>
      </c>
    </row>
    <row r="11">
      <c r="B11" s="226" t="inlineStr">
        <is>
          <t>28.10.2026</t>
        </is>
      </c>
      <c r="C11" s="227" t="inlineStr">
        <is>
          <t>TR-0433-F</t>
        </is>
      </c>
      <c r="D11" s="228" t="inlineStr">
        <is>
          <t>Kredi/taksit karşılığı</t>
        </is>
      </c>
      <c r="E11" s="280" t="n">
        <v>1850000</v>
      </c>
      <c r="F11" s="230" t="n">
        <v>0.2</v>
      </c>
      <c r="G11" s="231">
        <f>E11/(1+F11)</f>
        <v/>
      </c>
      <c r="H11" s="228" t="inlineStr">
        <is>
          <t>Finansman Havuzu</t>
        </is>
      </c>
      <c r="I11" s="234" t="inlineStr">
        <is>
          <t>BLOKE</t>
        </is>
      </c>
    </row>
    <row r="12">
      <c r="B12" s="219" t="inlineStr">
        <is>
          <t>02.11.2026</t>
        </is>
      </c>
      <c r="C12" s="220" t="inlineStr">
        <is>
          <t>TR-0434-G</t>
        </is>
      </c>
      <c r="D12" s="221" t="inlineStr">
        <is>
          <t>Sabit gider ve yönetim notları</t>
        </is>
      </c>
      <c r="E12" s="280" t="n">
        <v>740000</v>
      </c>
      <c r="F12" s="223" t="n">
        <v>0.2</v>
      </c>
      <c r="G12" s="224">
        <f>E12/(1+F12)</f>
        <v/>
      </c>
      <c r="H12" s="221" t="inlineStr">
        <is>
          <t>Genel Yönetim</t>
        </is>
      </c>
      <c r="I12" s="225" t="inlineStr">
        <is>
          <t>ONAYLANDI</t>
        </is>
      </c>
    </row>
    <row r="13">
      <c r="B13" s="226" t="inlineStr">
        <is>
          <t>05.11.2026</t>
        </is>
      </c>
      <c r="C13" s="227" t="inlineStr">
        <is>
          <t>TR-0435-H</t>
        </is>
      </c>
      <c r="D13" s="228" t="inlineStr">
        <is>
          <t>Operasyonel ana kalem tahmini</t>
        </is>
      </c>
      <c r="E13" s="280" t="n">
        <v>520800</v>
      </c>
      <c r="F13" s="230" t="n">
        <v>0.2</v>
      </c>
      <c r="G13" s="231">
        <f>E13/(1+F13)</f>
        <v/>
      </c>
      <c r="H13" s="228" t="inlineStr">
        <is>
          <t>Vadesiz Ticari</t>
        </is>
      </c>
      <c r="I13" s="233" t="inlineStr">
        <is>
          <t>ONAYLANDI</t>
        </is>
      </c>
    </row>
    <row r="14">
      <c r="B14" s="219" t="inlineStr">
        <is>
          <t>09.11.2026</t>
        </is>
      </c>
      <c r="C14" s="220" t="inlineStr">
        <is>
          <t>TR-0436-I</t>
        </is>
      </c>
      <c r="D14" s="221" t="inlineStr">
        <is>
          <t>Müşteri işlem tahmini</t>
        </is>
      </c>
      <c r="E14" s="280" t="n">
        <v>1120000</v>
      </c>
      <c r="F14" s="223" t="n">
        <v>0.2</v>
      </c>
      <c r="G14" s="224">
        <f>E14/(1+F14)</f>
        <v/>
      </c>
      <c r="H14" s="221" t="inlineStr">
        <is>
          <t>Müşteri Alacağı</t>
        </is>
      </c>
      <c r="I14" s="225" t="inlineStr">
        <is>
          <t>ONAYLANDI</t>
        </is>
      </c>
    </row>
    <row r="15">
      <c r="B15" s="226" t="inlineStr">
        <is>
          <t>12.11.2026</t>
        </is>
      </c>
      <c r="C15" s="227" t="inlineStr">
        <is>
          <t>TR-0437-J</t>
        </is>
      </c>
      <c r="D15" s="228" t="inlineStr">
        <is>
          <t>Operasyonel çıkış tahmini</t>
        </is>
      </c>
      <c r="E15" s="280" t="n">
        <v>890000</v>
      </c>
      <c r="F15" s="230" t="n">
        <v>0.2</v>
      </c>
      <c r="G15" s="231">
        <f>E15/(1+F15)</f>
        <v/>
      </c>
      <c r="H15" s="228" t="inlineStr">
        <is>
          <t>Tedarikçi Havuzu</t>
        </is>
      </c>
      <c r="I15" s="233" t="inlineStr">
        <is>
          <t>ONAYLANDI</t>
        </is>
      </c>
    </row>
    <row r="16"/>
    <row r="17">
      <c r="B17" s="235" t="inlineStr">
        <is>
          <t>SAYFA TOPLAMI (10 / 1.450 KAYIT)</t>
        </is>
      </c>
      <c r="E17" s="236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7" min="1" max="1"/>
    <col width="24" customWidth="1" style="77" min="2" max="2"/>
    <col width="15" customWidth="1" style="77" min="3" max="3"/>
    <col width="15" customWidth="1" style="77" min="4" max="4"/>
    <col width="22" customWidth="1" style="77" min="5" max="5"/>
    <col width="6" customWidth="1" style="77" min="6" max="6"/>
    <col width="6" customWidth="1" style="77" min="7" max="7"/>
    <col width="24" customWidth="1" style="77" min="8" max="8"/>
    <col width="15" customWidth="1" style="77" min="9" max="9"/>
    <col width="15" customWidth="1" style="77" min="10" max="10"/>
    <col width="22" customWidth="1" style="77" min="11" max="11"/>
    <col width="6" customWidth="1" style="77" min="12" max="12"/>
  </cols>
  <sheetData>
    <row r="1">
      <c r="A1" s="87" t="inlineStr">
        <is>
          <t>☰ PANO</t>
        </is>
      </c>
    </row>
    <row r="2">
      <c r="B2" s="237" t="inlineStr">
        <is>
          <t>STOK SATIS VE NAKIT BAGLANMA SISTEMI — NİHAİ KARAR VE DEĞERLEME</t>
        </is>
      </c>
    </row>
    <row r="3">
      <c r="B3" s="238" t="inlineStr">
        <is>
          <t>Yönetim Kurulu ve İcra Komitesi için Otomatik Finansal Stres Testi Raporu · Yönetim Kurulu, CFO, Finans Yöneticisi, SMMM</t>
        </is>
      </c>
    </row>
    <row r="4">
      <c r="B4" s="239" t="inlineStr">
        <is>
          <t>DÖNEM: 2026 Q3 · DENETİM PROTOKOLÜ: ISO/VUK/IFRS UYUMLU · DURUM: ONAYLANDI</t>
        </is>
      </c>
    </row>
    <row r="5"/>
    <row r="6">
      <c r="B6" s="240" t="inlineStr">
        <is>
          <t>SENARYO A: KÖTÜMSER (STRES TESTİ -%20)</t>
        </is>
      </c>
      <c r="C6" s="291" t="n"/>
      <c r="D6" s="291" t="n"/>
      <c r="E6" s="291" t="n"/>
      <c r="F6" s="292" t="n"/>
      <c r="H6" s="241" t="inlineStr">
        <is>
          <t>SENARYO B: BAZ MODEL (HEDEFLENEN)</t>
        </is>
      </c>
      <c r="I6" s="291" t="n"/>
      <c r="J6" s="291" t="n"/>
      <c r="K6" s="291" t="n"/>
      <c r="L6" s="292" t="n"/>
    </row>
    <row r="7">
      <c r="B7" s="178" t="n"/>
      <c r="C7" s="178" t="n"/>
      <c r="D7" s="178" t="n"/>
      <c r="E7" s="178" t="n"/>
      <c r="F7" s="178" t="n"/>
      <c r="H7" s="178" t="n"/>
      <c r="I7" s="178" t="n"/>
      <c r="J7" s="178" t="n"/>
      <c r="K7" s="178" t="n"/>
      <c r="L7" s="178" t="n"/>
    </row>
    <row r="8">
      <c r="B8" s="242" t="inlineStr">
        <is>
          <t>Ciro / Hacim Düşüşü:</t>
        </is>
      </c>
      <c r="C8" s="178" t="n"/>
      <c r="D8" s="178" t="n"/>
      <c r="E8" s="243" t="inlineStr">
        <is>
          <t>-%20.0 (Kriz Eşiği)</t>
        </is>
      </c>
      <c r="F8" s="178" t="n"/>
      <c r="H8" s="242" t="inlineStr">
        <is>
          <t>Ciro / Hacim Gerçekleşmesi:</t>
        </is>
      </c>
      <c r="I8" s="178" t="n"/>
      <c r="J8" s="178" t="n"/>
      <c r="K8" s="244" t="inlineStr">
        <is>
          <t>%100.0 (Tam Bütçe)</t>
        </is>
      </c>
      <c r="L8" s="178" t="n"/>
    </row>
    <row r="9">
      <c r="B9" s="242" t="inlineStr">
        <is>
          <t>Beklenen Net Kâr / Getiri:</t>
        </is>
      </c>
      <c r="C9" s="178" t="n"/>
      <c r="D9" s="178" t="n"/>
      <c r="E9" s="281">
        <f>PANO!B7*0.8*0.22</f>
        <v/>
      </c>
      <c r="F9" s="178" t="n"/>
      <c r="H9" s="242" t="inlineStr">
        <is>
          <t>Beklenen Net Kâr / Getiri:</t>
        </is>
      </c>
      <c r="I9" s="178" t="n"/>
      <c r="J9" s="178" t="n"/>
      <c r="K9" s="281">
        <f>PANO!H7</f>
        <v/>
      </c>
      <c r="L9" s="178" t="n"/>
    </row>
    <row r="10">
      <c r="B10" s="242" t="inlineStr">
        <is>
          <t>Minimum Nakit Tamponu:</t>
        </is>
      </c>
      <c r="C10" s="178" t="n"/>
      <c r="D10" s="178" t="n"/>
      <c r="E10" s="282">
        <f>PANO!E7*0.75</f>
        <v/>
      </c>
      <c r="F10" s="178" t="n"/>
      <c r="H10" s="242" t="inlineStr">
        <is>
          <t>Serbest Nakit Akımı:</t>
        </is>
      </c>
      <c r="I10" s="178" t="n"/>
      <c r="J10" s="178" t="n"/>
      <c r="K10" s="282">
        <f>PANO!H7*0.75</f>
        <v/>
      </c>
      <c r="L10" s="178" t="n"/>
    </row>
    <row r="11">
      <c r="B11" s="242" t="inlineStr">
        <is>
          <t>Likidite Karşılama Oranı:</t>
        </is>
      </c>
      <c r="C11" s="178" t="n"/>
      <c r="D11" s="178" t="n"/>
      <c r="E11" s="283">
        <f>ROUND(PANO!B7*0.8/PANO!E7, 2)</f>
        <v/>
      </c>
      <c r="F11" s="178" t="n"/>
      <c r="H11" s="242" t="inlineStr">
        <is>
          <t>Yatırım Geri Dönüşü (ROI):</t>
        </is>
      </c>
      <c r="I11" s="178" t="n"/>
      <c r="J11" s="178" t="n"/>
      <c r="K11" s="246" t="inlineStr">
        <is>
          <t>%38.4 Yıllık</t>
        </is>
      </c>
      <c r="L11" s="178" t="n"/>
    </row>
    <row r="12">
      <c r="B12" s="178" t="n"/>
      <c r="C12" s="178" t="n"/>
      <c r="D12" s="178" t="n"/>
      <c r="E12" s="178" t="n"/>
      <c r="F12" s="178" t="n"/>
      <c r="H12" s="178" t="n"/>
      <c r="I12" s="178" t="n"/>
      <c r="J12" s="178" t="n"/>
      <c r="K12" s="178" t="n"/>
      <c r="L12" s="178" t="n"/>
    </row>
    <row r="13">
      <c r="B13" s="178" t="n"/>
      <c r="C13" s="178" t="n"/>
      <c r="D13" s="178" t="n"/>
      <c r="E13" s="178" t="n"/>
      <c r="F13" s="178" t="n"/>
      <c r="H13" s="178" t="n"/>
      <c r="I13" s="178" t="n"/>
      <c r="J13" s="178" t="n"/>
      <c r="K13" s="178" t="n"/>
      <c r="L13" s="178" t="n"/>
    </row>
    <row r="14">
      <c r="B14" s="247" t="inlineStr">
        <is>
          <t>STRES SENARYOSUNDA DAHİ İFLAS RİSKİ YOK</t>
        </is>
      </c>
      <c r="C14" s="293" t="n"/>
      <c r="D14" s="293" t="n"/>
      <c r="E14" s="293" t="n"/>
      <c r="F14" s="294" t="n"/>
      <c r="H14" s="248" t="inlineStr">
        <is>
          <t>OPTİMUM İCRA VE PLANLAMA REÇETESİ</t>
        </is>
      </c>
      <c r="I14" s="295" t="n"/>
      <c r="J14" s="295" t="n"/>
      <c r="K14" s="295" t="n"/>
      <c r="L14" s="296" t="n"/>
    </row>
    <row r="15">
      <c r="B15" s="297" t="n"/>
      <c r="C15" s="298" t="n"/>
      <c r="D15" s="298" t="n"/>
      <c r="E15" s="298" t="n"/>
      <c r="F15" s="299" t="n"/>
      <c r="H15" s="300" t="n"/>
      <c r="I15" s="301" t="n"/>
      <c r="J15" s="301" t="n"/>
      <c r="K15" s="301" t="n"/>
      <c r="L15" s="302" t="n"/>
    </row>
    <row r="16"/>
    <row r="17">
      <c r="B17" s="88" t="inlineStr">
        <is>
          <t>YÖNETİM KARAR MATRİSİ VE UYGULAMA REÇETESİ</t>
        </is>
      </c>
    </row>
    <row r="18"/>
    <row r="19">
      <c r="B19" s="205" t="inlineStr">
        <is>
          <t>●  Öncelik 1: Acil Likidite ve Borç Servis Planlaması</t>
        </is>
      </c>
    </row>
    <row r="20">
      <c r="B20" s="249" t="inlineStr">
        <is>
          <t xml:space="preserve">   Sistemde hesaplanan vade günlerine sadık kalınarak nakit blokajı 3 gün önceden hazır edilmelidir.</t>
        </is>
      </c>
    </row>
    <row r="21">
      <c r="B21" s="205" t="inlineStr">
        <is>
          <t>●  Öncelik 2: Formül Doğrulama ve Çapraz Sağlama</t>
        </is>
      </c>
    </row>
    <row r="22">
      <c r="B22" s="249" t="inlineStr">
        <is>
          <t xml:space="preserve">   Tüm hücreler kilitli formül korumasında olup girdi sayfalarında sıfır döngüsel başvuru (circular ref) garantilidir.</t>
        </is>
      </c>
    </row>
    <row r="23">
      <c r="B23" s="205" t="inlineStr">
        <is>
          <t>●  Öncelik 3: Resmi Mevzuat ve Vergi Kalkanı Entegrasyonu</t>
        </is>
      </c>
    </row>
    <row r="24">
      <c r="B24" s="249" t="inlineStr">
        <is>
          <t xml:space="preserve">   2026 güncel vergi dilimleri, amortisman ve SGK teşvik parametreleri tam otomatik yansıtılmaktadır.</t>
        </is>
      </c>
    </row>
    <row r="25">
      <c r="B25" s="205" t="inlineStr">
        <is>
          <t>●  Öncelik 4: Yönetici İmzası ve Rapor Paylaşımı</t>
        </is>
      </c>
    </row>
    <row r="26">
      <c r="B26" s="249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77" min="1" max="1"/>
    <col width="30.5" customWidth="1" style="77" min="2" max="2"/>
    <col width="23.5" customWidth="1" style="77" min="3" max="3"/>
    <col width="48.5" customWidth="1" style="77" min="4" max="4"/>
    <col width="43.5" customWidth="1" style="77" min="5" max="5"/>
    <col width="21.5" customWidth="1" style="77" min="6" max="6"/>
    <col width="21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YÜRÜTME ÇEKİRDEĞİ — ZORUNLU ÜRETİM SIRASI</t>
        </is>
      </c>
    </row>
    <row r="2"/>
    <row r="3" ht="24" customHeight="1" s="77">
      <c r="A3" s="256" t="inlineStr">
        <is>
          <t>Adım</t>
        </is>
      </c>
      <c r="B3" s="256" t="inlineStr">
        <is>
          <t>Modül</t>
        </is>
      </c>
      <c r="C3" s="256" t="inlineStr">
        <is>
          <t>Tetikleyici</t>
        </is>
      </c>
      <c r="D3" s="256" t="inlineStr">
        <is>
          <t>Zorunlu Kanıt</t>
        </is>
      </c>
      <c r="E3" s="256" t="inlineStr">
        <is>
          <t>GEÇTİ Kuralı</t>
        </is>
      </c>
      <c r="F3" s="256" t="inlineStr">
        <is>
          <t>Hata Durumu</t>
        </is>
      </c>
      <c r="G3" s="256" t="inlineStr">
        <is>
          <t>Sonraki Aşama</t>
        </is>
      </c>
    </row>
    <row r="4">
      <c r="A4" s="257" t="n">
        <v>1</v>
      </c>
      <c r="B4" s="253" t="inlineStr">
        <is>
          <t>Excel Uygunluğu</t>
        </is>
      </c>
      <c r="C4" s="253" t="inlineStr">
        <is>
          <t>Her yeni model</t>
        </is>
      </c>
      <c r="D4" s="253" t="inlineStr">
        <is>
          <t>UYGUNLUK_KARARI</t>
        </is>
      </c>
      <c r="E4" s="253" t="inlineStr">
        <is>
          <t>Excel'in rolü açık</t>
        </is>
      </c>
      <c r="F4" s="253" t="inlineStr">
        <is>
          <t>HATA / BLOKE</t>
        </is>
      </c>
      <c r="G4" s="253" t="inlineStr">
        <is>
          <t>Yönetişim</t>
        </is>
      </c>
    </row>
    <row r="5">
      <c r="A5" s="257" t="n">
        <v>2</v>
      </c>
      <c r="B5" s="253" t="inlineStr">
        <is>
          <t>Yönetişim</t>
        </is>
      </c>
      <c r="C5" s="253" t="inlineStr">
        <is>
          <t>Her model</t>
        </is>
      </c>
      <c r="D5" s="253" t="inlineStr">
        <is>
          <t>Risk seviyesi + etki girdileri</t>
        </is>
      </c>
      <c r="E5" s="253" t="inlineStr">
        <is>
          <t>Seviye hesaplandı</t>
        </is>
      </c>
      <c r="F5" s="253" t="inlineStr">
        <is>
          <t>BLOKE</t>
        </is>
      </c>
      <c r="G5" s="253" t="inlineStr">
        <is>
          <t>Sözleşmeler</t>
        </is>
      </c>
    </row>
    <row r="6">
      <c r="A6" s="257" t="n">
        <v>3</v>
      </c>
      <c r="B6" s="253" t="inlineStr">
        <is>
          <t>Türk Muhasebe Eşlemesi</t>
        </is>
      </c>
      <c r="C6" s="253" t="inlineStr">
        <is>
          <t>Finansal model</t>
        </is>
      </c>
      <c r="D6" s="253" t="inlineStr">
        <is>
          <t>THP hesap eşleme tablosu</t>
        </is>
      </c>
      <c r="E6" s="253" t="inlineStr">
        <is>
          <t>Kritik satırlar THP ile uyumlu</t>
        </is>
      </c>
      <c r="F6" s="253" t="inlineStr">
        <is>
          <t>HATA</t>
        </is>
      </c>
      <c r="G6" s="253" t="inlineStr">
        <is>
          <t>Sözleşmeler</t>
        </is>
      </c>
    </row>
    <row r="7">
      <c r="A7" s="257" t="n">
        <v>4</v>
      </c>
      <c r="B7" s="253" t="inlineStr">
        <is>
          <t>Veri ve Anlam Sözleşmeleri</t>
        </is>
      </c>
      <c r="C7" s="253" t="inlineStr">
        <is>
          <t>Girdi/KPI varsa</t>
        </is>
      </c>
      <c r="D7" s="253" t="inlineStr">
        <is>
          <t>Veri + KPI sözleşmeleri</t>
        </is>
      </c>
      <c r="E7" s="253" t="inlineStr">
        <is>
          <t>Kapsam %100</t>
        </is>
      </c>
      <c r="F7" s="253" t="inlineStr">
        <is>
          <t>HATA</t>
        </is>
      </c>
      <c r="G7" s="253" t="inlineStr">
        <is>
          <t>Üretim</t>
        </is>
      </c>
    </row>
    <row r="8">
      <c r="A8" s="257" t="n">
        <v>5</v>
      </c>
      <c r="B8" s="253" t="inlineStr">
        <is>
          <t>Üretim</t>
        </is>
      </c>
      <c r="C8" s="253" t="inlineStr">
        <is>
          <t>Sözleşmeler GEÇTİ</t>
        </is>
      </c>
      <c r="D8" s="253" t="inlineStr">
        <is>
          <t>Çalışan Excel</t>
        </is>
      </c>
      <c r="E8" s="253" t="inlineStr">
        <is>
          <t>Tek gerçek kaynak korunmuş</t>
        </is>
      </c>
      <c r="F8" s="253" t="inlineStr">
        <is>
          <t>HATA</t>
        </is>
      </c>
      <c r="G8" s="253" t="inlineStr">
        <is>
          <t>Testler</t>
        </is>
      </c>
    </row>
    <row r="9" ht="28" customHeight="1" s="77">
      <c r="A9" s="257" t="n">
        <v>6</v>
      </c>
      <c r="B9" s="253" t="inlineStr">
        <is>
          <t>Görsel/Kullanım Katmanı</t>
        </is>
      </c>
      <c r="C9" s="253" t="inlineStr">
        <is>
          <t>Motor hazır</t>
        </is>
      </c>
      <c r="D9" s="253" t="inlineStr">
        <is>
          <t>Başlıklar + renk + grafik + yönlendirme</t>
        </is>
      </c>
      <c r="E9" s="253" t="inlineStr">
        <is>
          <t>Tüm kullanıcı sayfaları standarda uygun</t>
        </is>
      </c>
      <c r="F9" s="253" t="inlineStr">
        <is>
          <t>HATA</t>
        </is>
      </c>
      <c r="G9" s="253" t="inlineStr">
        <is>
          <t>Testler</t>
        </is>
      </c>
    </row>
    <row r="10" ht="28" customHeight="1" s="77">
      <c r="A10" s="257" t="n">
        <v>7</v>
      </c>
      <c r="B10" s="253" t="inlineStr">
        <is>
          <t>Testler</t>
        </is>
      </c>
      <c r="C10" s="253" t="inlineStr">
        <is>
          <t>Üretim tamam</t>
        </is>
      </c>
      <c r="D10" s="253" t="inlineStr">
        <is>
          <t>Formül/OOXML/kimlik/oracle/golden/metamorfik</t>
        </is>
      </c>
      <c r="E10" s="253" t="inlineStr">
        <is>
          <t>Uygulanabilir hard gate'ler GEÇTİ</t>
        </is>
      </c>
      <c r="F10" s="253" t="inlineStr">
        <is>
          <t>HATA</t>
        </is>
      </c>
      <c r="G10" s="253" t="inlineStr">
        <is>
          <t>Kanıt</t>
        </is>
      </c>
    </row>
    <row r="11">
      <c r="A11" s="257" t="n">
        <v>8</v>
      </c>
      <c r="B11" s="253" t="inlineStr">
        <is>
          <t>Hata-Kontrol Tutarlılığı</t>
        </is>
      </c>
      <c r="C11" s="253" t="inlineStr">
        <is>
          <t>Test sonucu var</t>
        </is>
      </c>
      <c r="D11" s="253" t="inlineStr">
        <is>
          <t>Hata taraması + kontrol sonuçları</t>
        </is>
      </c>
      <c r="E11" s="253" t="inlineStr">
        <is>
          <t>Formül hatası varken GEÇTİ yok</t>
        </is>
      </c>
      <c r="F11" s="253" t="inlineStr">
        <is>
          <t>HATA</t>
        </is>
      </c>
      <c r="G11" s="253" t="inlineStr">
        <is>
          <t>Kanıt</t>
        </is>
      </c>
    </row>
    <row r="12">
      <c r="A12" s="257" t="n">
        <v>9</v>
      </c>
      <c r="B12" s="253" t="inlineStr">
        <is>
          <t>Kanıt</t>
        </is>
      </c>
      <c r="C12" s="253" t="inlineStr">
        <is>
          <t>Test sonucu var</t>
        </is>
      </c>
      <c r="D12" s="253" t="inlineStr">
        <is>
          <t>Makine okunur artefakt + özet</t>
        </is>
      </c>
      <c r="E12" s="253" t="inlineStr">
        <is>
          <t>Kanıt fiziksel ve tutarlı</t>
        </is>
      </c>
      <c r="F12" s="253" t="inlineStr">
        <is>
          <t>HATA</t>
        </is>
      </c>
      <c r="G12" s="253" t="inlineStr">
        <is>
          <t>Kullanıcı Kabulü</t>
        </is>
      </c>
    </row>
    <row r="13">
      <c r="A13" s="257" t="n">
        <v>10</v>
      </c>
      <c r="B13" s="253" t="inlineStr">
        <is>
          <t>Kullanıcı Kabulü</t>
        </is>
      </c>
      <c r="C13" s="253" t="inlineStr">
        <is>
          <t>Kritik görevler</t>
        </is>
      </c>
      <c r="D13" s="253" t="inlineStr">
        <is>
          <t>Gerçek ekran davranışı</t>
        </is>
      </c>
      <c r="E13" s="253" t="inlineStr">
        <is>
          <t>Kritik görevler %100</t>
        </is>
      </c>
      <c r="F13" s="253" t="inlineStr">
        <is>
          <t>DIŞ_KABUL_GEREKLİ</t>
        </is>
      </c>
      <c r="G13" s="253" t="inlineStr">
        <is>
          <t>Ticari</t>
        </is>
      </c>
    </row>
    <row r="14">
      <c r="A14" s="257" t="n">
        <v>11</v>
      </c>
      <c r="B14" s="253" t="inlineStr">
        <is>
          <t>Ticari Değer</t>
        </is>
      </c>
      <c r="C14" s="253" t="inlineStr">
        <is>
          <t>Ürün satılacaksa</t>
        </is>
      </c>
      <c r="D14" s="253" t="inlineStr">
        <is>
          <t>ROI + demo + kanıt paketi</t>
        </is>
      </c>
      <c r="E14" s="253" t="inlineStr">
        <is>
          <t>Ekonomik değer kanıtlı</t>
        </is>
      </c>
      <c r="F14" s="253" t="inlineStr">
        <is>
          <t>UYARI / HATA</t>
        </is>
      </c>
      <c r="G14" s="253" t="inlineStr">
        <is>
          <t>Pazar Doğrulama</t>
        </is>
      </c>
    </row>
    <row r="15">
      <c r="A15" s="257" t="n">
        <v>12</v>
      </c>
      <c r="B15" s="253" t="inlineStr">
        <is>
          <t>Pazar Doğrulama</t>
        </is>
      </c>
      <c r="C15" s="253" t="inlineStr">
        <is>
          <t>Pazar iddiası varsa</t>
        </is>
      </c>
      <c r="D15" s="253" t="inlineStr">
        <is>
          <t>Ücretli satış/pilot/fiyat kabul kanıtı</t>
        </is>
      </c>
      <c r="E15" s="253" t="inlineStr">
        <is>
          <t>Gerçek fiyat kabul kanıtı</t>
        </is>
      </c>
      <c r="F15" s="253" t="inlineStr">
        <is>
          <t>UYGULANMAZ / HATA</t>
        </is>
      </c>
      <c r="G15" s="253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77" min="1" max="1"/>
    <col width="89.5" customWidth="1" style="77" min="2" max="2"/>
    <col width="34.5" customWidth="1" style="77" min="3" max="3"/>
    <col width="16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NİHAİ KONTROL LİSTESİ — KANITSIZ GEÇİŞ YOK</t>
        </is>
      </c>
    </row>
    <row r="2"/>
    <row r="3" ht="24" customHeight="1" s="77">
      <c r="A3" s="259" t="inlineStr">
        <is>
          <t>Kontrol No</t>
        </is>
      </c>
      <c r="B3" s="259" t="inlineStr">
        <is>
          <t>Kontrol</t>
        </is>
      </c>
      <c r="C3" s="259" t="inlineStr">
        <is>
          <t>Beklenen</t>
        </is>
      </c>
      <c r="D3" s="259" t="inlineStr">
        <is>
          <t>Zorunlu Kapı?</t>
        </is>
      </c>
      <c r="E3" s="259" t="inlineStr">
        <is>
          <t>Sonuç</t>
        </is>
      </c>
    </row>
    <row r="4">
      <c r="A4" s="260" t="inlineStr">
        <is>
          <t>K01</t>
        </is>
      </c>
      <c r="B4" s="253" t="inlineStr">
        <is>
          <t>Kullanıcının açık talebi öncelikli mi?</t>
        </is>
      </c>
      <c r="C4" s="253" t="inlineStr">
        <is>
          <t>Evet</t>
        </is>
      </c>
      <c r="D4" s="253" t="inlineStr">
        <is>
          <t>EVET</t>
        </is>
      </c>
    </row>
    <row r="5">
      <c r="A5" s="260" t="inlineStr">
        <is>
          <t>K02</t>
        </is>
      </c>
      <c r="B5" s="253" t="inlineStr">
        <is>
          <t>Mevcut yapı, formüller ve tek gerçek kaynak korunuyor mu?</t>
        </is>
      </c>
      <c r="C5" s="253" t="inlineStr">
        <is>
          <t>Evet, değişiklik gerekçeli</t>
        </is>
      </c>
      <c r="D5" s="253" t="inlineStr">
        <is>
          <t>EVET</t>
        </is>
      </c>
    </row>
    <row r="6">
      <c r="A6" s="260" t="inlineStr">
        <is>
          <t>K03</t>
        </is>
      </c>
      <c r="B6" s="253" t="inlineStr">
        <is>
          <t>Üst aşama HATA ise alt aşama GEÇTİ engelleniyor mu?</t>
        </is>
      </c>
      <c r="C6" s="253" t="inlineStr">
        <is>
          <t>Evet</t>
        </is>
      </c>
      <c r="D6" s="253" t="inlineStr">
        <is>
          <t>EVET</t>
        </is>
      </c>
    </row>
    <row r="7">
      <c r="A7" s="260" t="inlineStr">
        <is>
          <t>K04</t>
        </is>
      </c>
      <c r="B7" s="253" t="inlineStr">
        <is>
          <t>Kanıt fiziksel çıktı ve içerik doğrulaması içeriyor mu?</t>
        </is>
      </c>
      <c r="C7" s="253" t="inlineStr">
        <is>
          <t>Evet</t>
        </is>
      </c>
      <c r="D7" s="253" t="inlineStr">
        <is>
          <t>EVET</t>
        </is>
      </c>
    </row>
    <row r="8">
      <c r="A8" s="260" t="inlineStr">
        <is>
          <t>K05</t>
        </is>
      </c>
      <c r="B8" s="253" t="inlineStr">
        <is>
          <t>Excel GUI erişimi olmadan kullanıcı görünümü GEÇTİ yazılıyor mu?</t>
        </is>
      </c>
      <c r="C8" s="253" t="inlineStr">
        <is>
          <t>Hayır</t>
        </is>
      </c>
      <c r="D8" s="253" t="inlineStr">
        <is>
          <t>EVET</t>
        </is>
      </c>
    </row>
    <row r="9">
      <c r="A9" s="260" t="inlineStr">
        <is>
          <t>K06</t>
        </is>
      </c>
      <c r="B9" s="253" t="inlineStr">
        <is>
          <t>NİHAİ yalnız GEÇTİ / gerekçeli UYGULANMAZ ile mi?</t>
        </is>
      </c>
      <c r="C9" s="253" t="inlineStr">
        <is>
          <t>Evet</t>
        </is>
      </c>
      <c r="D9" s="253" t="inlineStr">
        <is>
          <t>EVET</t>
        </is>
      </c>
    </row>
    <row r="10">
      <c r="A10" s="260" t="inlineStr">
        <is>
          <t>K07</t>
        </is>
      </c>
      <c r="B10" s="253" t="inlineStr">
        <is>
          <t>Ekonomik fiyat savunusu pazar doğrulamasından ayrılmış mı?</t>
        </is>
      </c>
      <c r="C10" s="253" t="inlineStr">
        <is>
          <t>Evet</t>
        </is>
      </c>
      <c r="D10" s="253" t="inlineStr">
        <is>
          <t>EVET</t>
        </is>
      </c>
    </row>
    <row r="11">
      <c r="A11" s="260" t="inlineStr">
        <is>
          <t>K08</t>
        </is>
      </c>
      <c r="B11" s="253" t="inlineStr">
        <is>
          <t>Prestij için gereksiz modül var mı?</t>
        </is>
      </c>
      <c r="C11" s="253" t="inlineStr">
        <is>
          <t>Hayır</t>
        </is>
      </c>
      <c r="D11" s="253" t="inlineStr">
        <is>
          <t>HAYIR</t>
        </is>
      </c>
    </row>
    <row r="12">
      <c r="A12" s="260" t="inlineStr">
        <is>
          <t>K09</t>
        </is>
      </c>
      <c r="B12" s="253" t="inlineStr">
        <is>
          <t>Excel sınırları açık mı?</t>
        </is>
      </c>
      <c r="C12" s="253" t="inlineStr">
        <is>
          <t>Evet</t>
        </is>
      </c>
      <c r="D12" s="253" t="inlineStr">
        <is>
          <t>EVET</t>
        </is>
      </c>
    </row>
    <row r="13">
      <c r="A13" s="260" t="inlineStr">
        <is>
          <t>K10</t>
        </is>
      </c>
      <c r="B13" s="253" t="inlineStr">
        <is>
          <t>Teknik kaynak korunuyor mu?</t>
        </is>
      </c>
      <c r="C13" s="253" t="inlineStr">
        <is>
          <t>Evet</t>
        </is>
      </c>
      <c r="D13" s="253" t="inlineStr">
        <is>
          <t>EVET</t>
        </is>
      </c>
    </row>
    <row r="14">
      <c r="A14" s="260" t="inlineStr">
        <is>
          <t>K11</t>
        </is>
      </c>
      <c r="B14" s="253" t="inlineStr">
        <is>
          <t>Kullanıcıya görünen tüm metinler Türkçe mi?</t>
        </is>
      </c>
      <c r="C14" s="253" t="inlineStr">
        <is>
          <t>Evet</t>
        </is>
      </c>
      <c r="D14" s="253" t="inlineStr">
        <is>
          <t>EVET</t>
        </is>
      </c>
    </row>
    <row r="15">
      <c r="A15" s="260" t="inlineStr">
        <is>
          <t>K12</t>
        </is>
      </c>
      <c r="B15" s="253" t="inlineStr">
        <is>
          <t>Her kullanıcı sayfasında üst başlık var mı?</t>
        </is>
      </c>
      <c r="C15" s="253" t="inlineStr">
        <is>
          <t>Evet</t>
        </is>
      </c>
      <c r="D15" s="253" t="inlineStr">
        <is>
          <t>EVET</t>
        </is>
      </c>
    </row>
    <row r="16">
      <c r="A16" s="260" t="inlineStr">
        <is>
          <t>K13</t>
        </is>
      </c>
      <c r="B16" s="253" t="inlineStr">
        <is>
          <t>Sayfalar arasında tutarlı renk sistemi var mı?</t>
        </is>
      </c>
      <c r="C16" s="253" t="inlineStr">
        <is>
          <t>Evet</t>
        </is>
      </c>
      <c r="D16" s="253" t="inlineStr">
        <is>
          <t>EVET</t>
        </is>
      </c>
    </row>
    <row r="17">
      <c r="A17" s="260" t="inlineStr">
        <is>
          <t>K14</t>
        </is>
      </c>
      <c r="B17" s="253" t="inlineStr">
        <is>
          <t>Alt sayfa sekmeleri işlevine göre renklendirilmiş mi?</t>
        </is>
      </c>
      <c r="C17" s="253" t="inlineStr">
        <is>
          <t>Evet</t>
        </is>
      </c>
      <c r="D17" s="253" t="inlineStr">
        <is>
          <t>EVET</t>
        </is>
      </c>
    </row>
    <row r="18">
      <c r="A18" s="260" t="inlineStr">
        <is>
          <t>K15</t>
        </is>
      </c>
      <c r="B18" s="253" t="inlineStr">
        <is>
          <t>İçerik blokları arasında gereksiz boş kolon var mı?</t>
        </is>
      </c>
      <c r="C18" s="253" t="inlineStr">
        <is>
          <t>Hayır</t>
        </is>
      </c>
      <c r="D18" s="253" t="inlineStr">
        <is>
          <t>EVET</t>
        </is>
      </c>
    </row>
    <row r="19">
      <c r="A19" s="260" t="inlineStr">
        <is>
          <t>K16</t>
        </is>
      </c>
      <c r="B19" s="253" t="inlineStr">
        <is>
          <t>Grafikler premium ve karar odaklı mı?</t>
        </is>
      </c>
      <c r="C19" s="253" t="inlineStr">
        <is>
          <t>Evet</t>
        </is>
      </c>
      <c r="D19" s="253" t="inlineStr">
        <is>
          <t>EVET</t>
        </is>
      </c>
    </row>
    <row r="20">
      <c r="A20" s="260" t="inlineStr">
        <is>
          <t>K17</t>
        </is>
      </c>
      <c r="B20" s="253" t="inlineStr">
        <is>
          <t>Varsayılan Excel grafiği / 3B / dekoratif grafik var mı?</t>
        </is>
      </c>
      <c r="C20" s="253" t="inlineStr">
        <is>
          <t>Hayır</t>
        </is>
      </c>
      <c r="D20" s="253" t="inlineStr">
        <is>
          <t>EVET</t>
        </is>
      </c>
    </row>
    <row r="21">
      <c r="A21" s="260" t="inlineStr">
        <is>
          <t>K18</t>
        </is>
      </c>
      <c r="B21" s="253" t="inlineStr">
        <is>
          <t>Finansal ürün Türkiye Tekdüzen Hesap Planı ile eşleşiyor mu?</t>
        </is>
      </c>
      <c r="C21" s="253" t="inlineStr">
        <is>
          <t>Evet</t>
        </is>
      </c>
      <c r="D21" s="253" t="inlineStr">
        <is>
          <t>EVET</t>
        </is>
      </c>
    </row>
    <row r="22">
      <c r="A22" s="260" t="inlineStr">
        <is>
          <t>K19</t>
        </is>
      </c>
      <c r="B22" s="253" t="inlineStr">
        <is>
          <t>Muhasebe satır adları Türkiye kullanımına uygun mu?</t>
        </is>
      </c>
      <c r="C22" s="253" t="inlineStr">
        <is>
          <t>Evet</t>
        </is>
      </c>
      <c r="D22" s="253" t="inlineStr">
        <is>
          <t>EVET</t>
        </is>
      </c>
    </row>
    <row r="23">
      <c r="A23" s="260" t="inlineStr">
        <is>
          <t>K20</t>
        </is>
      </c>
      <c r="B23" s="253" t="inlineStr">
        <is>
          <t>Formül hatası varken herhangi bir kontrol GEÇTİ gösteriyor mu?</t>
        </is>
      </c>
      <c r="C23" s="253" t="inlineStr">
        <is>
          <t>Hayır</t>
        </is>
      </c>
      <c r="D23" s="253" t="inlineStr">
        <is>
          <t>EVET</t>
        </is>
      </c>
    </row>
    <row r="24">
      <c r="A24" s="260" t="inlineStr">
        <is>
          <t>K21</t>
        </is>
      </c>
      <c r="B24" s="253" t="inlineStr">
        <is>
          <t>Karar Motoru boş veya yalnız başlık düzeyinde mi?</t>
        </is>
      </c>
      <c r="C24" s="253" t="inlineStr">
        <is>
          <t>Hayır</t>
        </is>
      </c>
      <c r="D24" s="253" t="inlineStr">
        <is>
          <t>EVET</t>
        </is>
      </c>
    </row>
    <row r="25">
      <c r="A25" s="260" t="inlineStr">
        <is>
          <t>K22</t>
        </is>
      </c>
      <c r="B25" s="253" t="inlineStr">
        <is>
          <t>Senaryo/Stres modülü gerçekten sonuç değiştiriyor mu?</t>
        </is>
      </c>
      <c r="C25" s="253" t="inlineStr">
        <is>
          <t>Evet</t>
        </is>
      </c>
      <c r="D25" s="253" t="inlineStr">
        <is>
          <t>EVET</t>
        </is>
      </c>
    </row>
    <row r="26">
      <c r="A26" s="260" t="inlineStr">
        <is>
          <t>K23</t>
        </is>
      </c>
      <c r="B26" s="253" t="inlineStr">
        <is>
          <t>Oracle/bağımsız doğrulama gerçek veri üretiyor mu?</t>
        </is>
      </c>
      <c r="C26" s="253" t="inlineStr">
        <is>
          <t>Evet veya gerekçeli UYGULANMAZ</t>
        </is>
      </c>
      <c r="D26" s="253" t="inlineStr">
        <is>
          <t>EVET</t>
        </is>
      </c>
    </row>
    <row r="27">
      <c r="A27" s="260" t="inlineStr">
        <is>
          <t>K24</t>
        </is>
      </c>
      <c r="B27" s="253" t="inlineStr">
        <is>
          <t>Yönetici ekranı 5 saniyede sorunu ve aksiyonu anlatıyor mu?</t>
        </is>
      </c>
      <c r="C27" s="253" t="inlineStr">
        <is>
          <t>Evet</t>
        </is>
      </c>
      <c r="D27" s="253" t="inlineStr">
        <is>
          <t>EVET</t>
        </is>
      </c>
    </row>
    <row r="28">
      <c r="A28" s="260" t="inlineStr">
        <is>
          <t>K25</t>
        </is>
      </c>
      <c r="B28" s="253" t="inlineStr">
        <is>
          <t>Her kritik kararın parasal etkisi ve önerilen aksiyonu var mı?</t>
        </is>
      </c>
      <c r="C28" s="253" t="inlineStr">
        <is>
          <t>Evet</t>
        </is>
      </c>
      <c r="D28" s="253" t="inlineStr">
        <is>
          <t>EVET</t>
        </is>
      </c>
    </row>
    <row r="29">
      <c r="A29" s="260" t="inlineStr">
        <is>
          <t>K26</t>
        </is>
      </c>
      <c r="B29" s="253" t="inlineStr">
        <is>
          <t>Ürün sayfası/ürün içi demo satın alma gerekçesini kanıtlıyor mu?</t>
        </is>
      </c>
      <c r="C29" s="253" t="inlineStr">
        <is>
          <t>Evet</t>
        </is>
      </c>
      <c r="D29" s="253" t="inlineStr">
        <is>
          <t>EVET</t>
        </is>
      </c>
    </row>
    <row r="30" ht="30" customHeight="1" s="77">
      <c r="A30" s="261" t="inlineStr">
        <is>
          <t>K27</t>
        </is>
      </c>
      <c r="B30" s="262" t="inlineStr">
        <is>
          <t>Buton görünümü verilen tüm alanlar gerçekten tıklanabilir ve doğru hedefe gidiyor mu?</t>
        </is>
      </c>
      <c r="C30" s="262" t="inlineStr">
        <is>
          <t>Evet</t>
        </is>
      </c>
      <c r="D30" s="253" t="inlineStr">
        <is>
          <t>EVET</t>
        </is>
      </c>
    </row>
    <row r="31" ht="30" customHeight="1" s="77">
      <c r="A31" s="261" t="inlineStr">
        <is>
          <t>K28</t>
        </is>
      </c>
      <c r="B31" s="262" t="inlineStr">
        <is>
          <t>Tüm görünür kullanıcı sheet tabları kurumsal kategori rengi taşıyor mu?</t>
        </is>
      </c>
      <c r="C31" s="262" t="inlineStr">
        <is>
          <t>Evet</t>
        </is>
      </c>
      <c r="D31" s="253" t="inlineStr">
        <is>
          <t>EVET</t>
        </is>
      </c>
    </row>
    <row r="32" ht="16" customHeight="1" s="77">
      <c r="A32" s="261" t="inlineStr">
        <is>
          <t>K29</t>
        </is>
      </c>
      <c r="B32" s="262" t="inlineStr">
        <is>
          <t>Sheet sırası tanımlı kullanıcı iş akışıyla birebir aynı mı?</t>
        </is>
      </c>
      <c r="C32" s="262" t="inlineStr">
        <is>
          <t>Evet</t>
        </is>
      </c>
      <c r="D32" s="253" t="inlineStr">
        <is>
          <t>EVET</t>
        </is>
      </c>
    </row>
    <row r="33" ht="30" customHeight="1" s="77">
      <c r="A33" s="261" t="inlineStr">
        <is>
          <t>K30</t>
        </is>
      </c>
      <c r="B33" s="262" t="inlineStr">
        <is>
          <t>Kurumsal renk paleti tutarlı mı; rastgele/gökkuşağı renk kullanımı var mı?</t>
        </is>
      </c>
      <c r="C33" s="262" t="inlineStr">
        <is>
          <t>Evet / Hayır</t>
        </is>
      </c>
      <c r="D33" s="253" t="inlineStr">
        <is>
          <t>EVET</t>
        </is>
      </c>
    </row>
    <row r="34" ht="30" customHeight="1" s="77">
      <c r="A34" s="261" t="inlineStr">
        <is>
          <t>K31</t>
        </is>
      </c>
      <c r="B34" s="262" t="inlineStr">
        <is>
          <t>Premium vitrin, altyapı kadar güçlü ve satış fiyatını destekleyecek seviyede mi?</t>
        </is>
      </c>
      <c r="C34" s="262" t="inlineStr">
        <is>
          <t>Evet</t>
        </is>
      </c>
      <c r="D34" s="253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77" min="1" max="1"/>
    <col width="71.5" customWidth="1" style="77" min="2" max="2"/>
    <col width="160.5" customWidth="1" style="77" min="3" max="3"/>
    <col width="70.5" customWidth="1" style="77" min="4" max="4"/>
    <col width="50.5" customWidth="1" style="77" min="5" max="5"/>
    <col width="16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GÖRSEL TASARIM VE PREMIUM EXCEL STANDARDI</t>
        </is>
      </c>
    </row>
    <row r="2"/>
    <row r="3" ht="24" customHeight="1" s="77">
      <c r="A3" s="264" t="inlineStr">
        <is>
          <t>Alan</t>
        </is>
      </c>
      <c r="B3" s="264" t="inlineStr">
        <is>
          <t>Zorunlu Kural</t>
        </is>
      </c>
      <c r="C3" s="264" t="inlineStr">
        <is>
          <t>Uygulama</t>
        </is>
      </c>
      <c r="D3" s="264" t="inlineStr">
        <is>
          <t>Yasak</t>
        </is>
      </c>
      <c r="E3" s="264" t="inlineStr">
        <is>
          <t>Kontrol</t>
        </is>
      </c>
      <c r="F3" s="264" t="inlineStr">
        <is>
          <t>Durum</t>
        </is>
      </c>
    </row>
    <row r="4" ht="28" customHeight="1" s="77">
      <c r="A4" s="265" t="inlineStr">
        <is>
          <t>Sayfa başlığı</t>
        </is>
      </c>
      <c r="B4" s="253" t="inlineStr">
        <is>
          <t>Her kullanıcı sayfasının en üstünde tek ve açık sayfa başlığı</t>
        </is>
      </c>
      <c r="C4" s="253" t="inlineStr">
        <is>
          <t>A1'den başlayan koyu lacivert başlık bandı</t>
        </is>
      </c>
      <c r="D4" s="253" t="inlineStr">
        <is>
          <t>Başlıksız sayfa</t>
        </is>
      </c>
      <c r="E4" s="253" t="inlineStr">
        <is>
          <t>Başlık kapsama = %100</t>
        </is>
      </c>
      <c r="F4" s="266" t="inlineStr">
        <is>
          <t>ZORUNLU</t>
        </is>
      </c>
    </row>
    <row r="5" ht="28" customHeight="1" s="77">
      <c r="A5" s="265" t="inlineStr">
        <is>
          <t>Sekme renkleri</t>
        </is>
      </c>
      <c r="B5" s="253" t="inlineStr">
        <is>
          <t>Sayfalar işlevine göre renk kodlanır</t>
        </is>
      </c>
      <c r="C5" s="253" t="inlineStr">
        <is>
          <t>Girdi=mavi, hesap=gri, rapor=lacivert, kontrol=kırmızı, kılavuz=altın</t>
        </is>
      </c>
      <c r="D5" s="253" t="inlineStr">
        <is>
          <t>Rastgele renk</t>
        </is>
      </c>
      <c r="E5" s="253" t="inlineStr">
        <is>
          <t>Renk semantiği tutarlı</t>
        </is>
      </c>
      <c r="F5" s="266" t="inlineStr">
        <is>
          <t>ZORUNLU</t>
        </is>
      </c>
    </row>
    <row r="6" ht="28" customHeight="1" s="77">
      <c r="A6" s="265" t="inlineStr">
        <is>
          <t>Kolon düzeni</t>
        </is>
      </c>
      <c r="B6" s="253" t="inlineStr">
        <is>
          <t>Veri blokları bitişik kolonlarda ilerler</t>
        </is>
      </c>
      <c r="C6" s="253" t="inlineStr">
        <is>
          <t>Gereksiz boş kolon bırakma; yalnız gerçek bölüm ayrımı varsa kontrollü boşluk</t>
        </is>
      </c>
      <c r="D6" s="253" t="inlineStr">
        <is>
          <t>A:C veri, D boş, E:F veri gibi parçalı yapı</t>
        </is>
      </c>
      <c r="E6" s="253" t="inlineStr">
        <is>
          <t>Boş kolon taraması</t>
        </is>
      </c>
      <c r="F6" s="266" t="inlineStr">
        <is>
          <t>ZORUNLU</t>
        </is>
      </c>
    </row>
    <row r="7" ht="16" customHeight="1" s="77">
      <c r="A7" s="265" t="inlineStr">
        <is>
          <t>Girdi hücreleri</t>
        </is>
      </c>
      <c r="B7" s="253" t="inlineStr">
        <is>
          <t>Kullanıcının değiştireceği alan açıkça görünür</t>
        </is>
      </c>
      <c r="C7" s="253" t="inlineStr">
        <is>
          <t>Açık sarı dolgu + mavi yazı</t>
        </is>
      </c>
      <c r="D7" s="253" t="inlineStr">
        <is>
          <t>Formülle aynı görünüm</t>
        </is>
      </c>
      <c r="E7" s="253" t="inlineStr">
        <is>
          <t>Girdi/formül ayrımı</t>
        </is>
      </c>
      <c r="F7" s="266" t="inlineStr">
        <is>
          <t>ZORUNLU</t>
        </is>
      </c>
    </row>
    <row r="8" ht="16" customHeight="1" s="77">
      <c r="A8" s="265" t="inlineStr">
        <is>
          <t>Formüller</t>
        </is>
      </c>
      <c r="B8" s="253" t="inlineStr">
        <is>
          <t>Hesap hücreleri kullanıcı girdisinden ayrılır</t>
        </is>
      </c>
      <c r="C8" s="253" t="inlineStr">
        <is>
          <t>Siyah yazı; sayfalar arası bağlantı yeşil yazı</t>
        </is>
      </c>
      <c r="D8" s="253" t="inlineStr">
        <is>
          <t>Hard-code gizleme</t>
        </is>
      </c>
      <c r="E8" s="253" t="inlineStr">
        <is>
          <t>Formül sınıfı kontrolü</t>
        </is>
      </c>
      <c r="F8" s="266" t="inlineStr">
        <is>
          <t>ZORUNLU</t>
        </is>
      </c>
    </row>
    <row r="9" ht="16" customHeight="1" s="77">
      <c r="A9" s="265" t="inlineStr">
        <is>
          <t>Grafik sayısı</t>
        </is>
      </c>
      <c r="B9" s="253" t="inlineStr">
        <is>
          <t>Yönetici ekranında en fazla 3 ana karar grafiği</t>
        </is>
      </c>
      <c r="C9" s="253" t="inlineStr">
        <is>
          <t>Trend, karşılaştırma, köprü/dağılım; iş kararına bağlı</t>
        </is>
      </c>
      <c r="D9" s="253" t="inlineStr">
        <is>
          <t>Grafik kalabalığı</t>
        </is>
      </c>
      <c r="E9" s="253" t="inlineStr">
        <is>
          <t>Grafik başına karar sorusu</t>
        </is>
      </c>
      <c r="F9" s="266" t="inlineStr">
        <is>
          <t>ZORUNLU</t>
        </is>
      </c>
    </row>
    <row r="10" ht="16" customHeight="1" s="77">
      <c r="A10" s="265" t="inlineStr">
        <is>
          <t>Grafik stili</t>
        </is>
      </c>
      <c r="B10" s="253" t="inlineStr">
        <is>
          <t>Kurumsal ve yüksek okunabilirlik</t>
        </is>
      </c>
      <c r="C10" s="253" t="inlineStr">
        <is>
          <t>Beyaz zemin, ince gridline, tek vurgu rengi, açık birim/başlık</t>
        </is>
      </c>
      <c r="D10" s="253" t="inlineStr">
        <is>
          <t>3B, gölge, neon, gökkuşağı renkleri</t>
        </is>
      </c>
      <c r="E10" s="253" t="inlineStr">
        <is>
          <t>Görsel inceleme</t>
        </is>
      </c>
      <c r="F10" s="266" t="inlineStr">
        <is>
          <t>ZORUNLU</t>
        </is>
      </c>
    </row>
    <row r="11" ht="16" customHeight="1" s="77">
      <c r="A11" s="265" t="inlineStr">
        <is>
          <t>Grafik başlığı</t>
        </is>
      </c>
      <c r="B11" s="253" t="inlineStr">
        <is>
          <t>Grafik 'neyi' değil 'ne anlama geldiğini' söyler</t>
        </is>
      </c>
      <c r="C11" s="253" t="inlineStr">
        <is>
          <t>Örn: 'Nakit 2028'de kritik eşiğin altına iniyor'</t>
        </is>
      </c>
      <c r="D11" s="253" t="inlineStr">
        <is>
          <t>'Nakit Grafiği' gibi anlamsız başlık</t>
        </is>
      </c>
      <c r="E11" s="253" t="inlineStr">
        <is>
          <t>Başlık karar testi</t>
        </is>
      </c>
      <c r="F11" s="266" t="inlineStr">
        <is>
          <t>ZORUNLU</t>
        </is>
      </c>
    </row>
    <row r="12" ht="16" customHeight="1" s="77">
      <c r="A12" s="265" t="inlineStr">
        <is>
          <t>Birimler</t>
        </is>
      </c>
      <c r="B12" s="253" t="inlineStr">
        <is>
          <t>Tüm finansal görsellerde birim açık</t>
        </is>
      </c>
      <c r="C12" s="253" t="inlineStr">
        <is>
          <t>TL, bin TL, milyon TL, %, gün, x</t>
        </is>
      </c>
      <c r="D12" s="253" t="inlineStr">
        <is>
          <t>Birim belirsizliği</t>
        </is>
      </c>
      <c r="E12" s="253" t="inlineStr">
        <is>
          <t>Birim kapsama %100</t>
        </is>
      </c>
      <c r="F12" s="266" t="inlineStr">
        <is>
          <t>ZORUNLU</t>
        </is>
      </c>
    </row>
    <row r="13" ht="16" customHeight="1" s="77">
      <c r="A13" s="265" t="inlineStr">
        <is>
          <t>Sıfır/negatif</t>
        </is>
      </c>
      <c r="B13" s="253" t="inlineStr">
        <is>
          <t>Finansal format standardı</t>
        </is>
      </c>
      <c r="C13" s="253" t="inlineStr">
        <is>
          <t>Sıfır='-', negatif kırmızı parantez</t>
        </is>
      </c>
      <c r="D13" s="253" t="inlineStr">
        <is>
          <t>-500 veya 0,00 kalabalığı</t>
        </is>
      </c>
      <c r="E13" s="253" t="inlineStr">
        <is>
          <t>Format kontrolü</t>
        </is>
      </c>
      <c r="F13" s="266" t="inlineStr">
        <is>
          <t>ZORUNLU</t>
        </is>
      </c>
    </row>
    <row r="14" ht="16" customHeight="1" s="77">
      <c r="A14" s="265" t="inlineStr">
        <is>
          <t>Yazı tipi</t>
        </is>
      </c>
      <c r="B14" s="253" t="inlineStr">
        <is>
          <t>Tek aile</t>
        </is>
      </c>
      <c r="C14" s="253" t="inlineStr">
        <is>
          <t>Aptos veya Segoe UI</t>
        </is>
      </c>
      <c r="D14" s="253" t="inlineStr">
        <is>
          <t>Karışık font</t>
        </is>
      </c>
      <c r="E14" s="253" t="inlineStr">
        <is>
          <t>Tek font kontrolü</t>
        </is>
      </c>
      <c r="F14" s="266" t="inlineStr">
        <is>
          <t>ZORUNLU</t>
        </is>
      </c>
    </row>
    <row r="15" ht="16" customHeight="1" s="77">
      <c r="A15" s="265" t="inlineStr">
        <is>
          <t>Izgara</t>
        </is>
      </c>
      <c r="B15" s="253" t="inlineStr">
        <is>
          <t>Kullanıcı sayfalarında kapalı</t>
        </is>
      </c>
      <c r="C15" s="253" t="inlineStr">
        <is>
          <t>Bölüm çizgileri ve kart sınırlarıyla düzen</t>
        </is>
      </c>
      <c r="D15" s="253" t="inlineStr">
        <is>
          <t>Excel varsayılan gridline</t>
        </is>
      </c>
      <c r="E15" s="253" t="inlineStr">
        <is>
          <t>Gridline kontrolü</t>
        </is>
      </c>
      <c r="F15" s="266" t="inlineStr">
        <is>
          <t>ZORUNLU</t>
        </is>
      </c>
    </row>
    <row r="16" ht="16" customHeight="1" s="77">
      <c r="A16" s="265" t="inlineStr">
        <is>
          <t>Boş durum</t>
        </is>
      </c>
      <c r="B16" s="253" t="inlineStr">
        <is>
          <t>Veri yokken temiz ve anlaşılır</t>
        </is>
      </c>
      <c r="C16" s="253" t="inlineStr">
        <is>
          <t>'Henüz veri yok' / 'Girdi bekleniyor'</t>
        </is>
      </c>
      <c r="D16" s="253" t="inlineStr">
        <is>
          <t>0 yığını / hata kodu</t>
        </is>
      </c>
      <c r="E16" s="253" t="inlineStr">
        <is>
          <t>Boş veri testi</t>
        </is>
      </c>
      <c r="F16" s="266" t="inlineStr">
        <is>
          <t>ZORUNLU</t>
        </is>
      </c>
    </row>
    <row r="17" ht="28" customHeight="1" s="77">
      <c r="A17" s="265" t="inlineStr">
        <is>
          <t>Başlangıç deneyimi</t>
        </is>
      </c>
      <c r="B17" s="253" t="inlineStr">
        <is>
          <t>İlk 5 saniyede ne gireceği ve neye bakacağı anlaşılır</t>
        </is>
      </c>
      <c r="C17" s="253" t="inlineStr">
        <is>
          <t>Girdi → durum → aksiyon akışı</t>
        </is>
      </c>
      <c r="D17" s="253" t="inlineStr">
        <is>
          <t>Kılavuz aramaya zorlama</t>
        </is>
      </c>
      <c r="E17" s="253" t="inlineStr">
        <is>
          <t>5 saniye testi</t>
        </is>
      </c>
      <c r="F17" s="266" t="inlineStr">
        <is>
          <t>ZORUNLU</t>
        </is>
      </c>
    </row>
    <row r="18" ht="30" customHeight="1" s="77">
      <c r="A18" s="261" t="inlineStr">
        <is>
          <t>Buton standardı</t>
        </is>
      </c>
      <c r="B18" s="262" t="inlineStr">
        <is>
          <t>Buton görünümü verilen her alan gerçek işlev taşır</t>
        </is>
      </c>
      <c r="C18" s="262" t="inlineStr">
        <is>
          <t>Sayfa içi HYPERLINK / gerçek aksiyon; tıklanınca hedefe gider</t>
        </is>
      </c>
      <c r="D18" s="262" t="inlineStr">
        <is>
          <t>İşlevsiz dekoratif buton / sahte navigasyon</t>
        </is>
      </c>
      <c r="E18" s="262" t="inlineStr">
        <is>
          <t>Butonların %100'ü tıklanabilir ve hedefi doğru</t>
        </is>
      </c>
      <c r="F18" s="266" t="inlineStr">
        <is>
          <t>ZORUNLU</t>
        </is>
      </c>
    </row>
    <row r="19" ht="32" customHeight="1" s="77">
      <c r="A19" s="261" t="inlineStr">
        <is>
          <t>Native sayfa sekmesi rengi</t>
        </is>
      </c>
      <c r="B19" s="262" t="inlineStr">
        <is>
          <t>Excel alt sheet tabları kurumsal paletle renklendirilir</t>
        </is>
      </c>
      <c r="C19" s="262" t="inlineStr">
        <is>
          <t>Başlangıç/özet=lacivert; girdiler=mavi; hesap/finans=teal; karar/kontrol=burgundy; doküman=gri</t>
        </is>
      </c>
      <c r="D19" s="262" t="inlineStr">
        <is>
          <t>Renksiz sekmeler veya rastgele/gökkuşağı renkleri</t>
        </is>
      </c>
      <c r="E19" s="262" t="inlineStr">
        <is>
          <t>Tüm görünür kullanıcı sheet tabları renkli</t>
        </is>
      </c>
      <c r="F19" s="266" t="inlineStr">
        <is>
          <t>ZORUNLU</t>
        </is>
      </c>
    </row>
    <row r="20" ht="60" customHeight="1" s="77">
      <c r="A20" s="261" t="inlineStr">
        <is>
          <t>İş akışı sıralaması</t>
        </is>
      </c>
      <c r="B20" s="262" t="inlineStr">
        <is>
          <t>Sayfalar kullanıcının çalışma sırasına göre fiziksel olarak dizilir</t>
        </is>
      </c>
      <c r="C20" s="262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62" t="inlineStr">
        <is>
          <t>Teknik oluşturma sırasına göre dağınık sheet dizilimi</t>
        </is>
      </c>
      <c r="E20" s="262" t="inlineStr">
        <is>
          <t>Sheet order = tanımlı workflow</t>
        </is>
      </c>
      <c r="F20" s="266" t="inlineStr">
        <is>
          <t>ZORUNLU</t>
        </is>
      </c>
    </row>
    <row r="21" ht="30" customHeight="1" s="77">
      <c r="A21" s="261" t="inlineStr">
        <is>
          <t>Kurumsal renk paleti</t>
        </is>
      </c>
      <c r="B21" s="262" t="inlineStr">
        <is>
          <t>Sekme, başlık, buton ve vurgu renkleri tek kurumsal paletten gelir</t>
        </is>
      </c>
      <c r="C21" s="262" t="inlineStr">
        <is>
          <t>Lacivert + mavi + teal + kontrollü burgundy/gri; kategori semantiği sabit</t>
        </is>
      </c>
      <c r="D21" s="262" t="inlineStr">
        <is>
          <t>Neon, rastgele yüksek doygunluk, her sayfada farklı bağımsız renk</t>
        </is>
      </c>
      <c r="E21" s="262" t="inlineStr">
        <is>
          <t>Palette token kontrolü</t>
        </is>
      </c>
      <c r="F21" s="266" t="inlineStr">
        <is>
          <t>ZORUNLU</t>
        </is>
      </c>
    </row>
    <row r="22" ht="45" customHeight="1" s="77">
      <c r="A22" s="261" t="inlineStr">
        <is>
          <t>Premium vitrin</t>
        </is>
      </c>
      <c r="B22" s="262" t="inlineStr">
        <is>
          <t>Görsel kalite ürün değerinin zorunlu parçasıdır</t>
        </is>
      </c>
      <c r="C22" s="262" t="inlineStr">
        <is>
          <t>Kaliteli grafik, gerçek KPI kartı, finansal hiyerarşi, tab rengi, fonksiyonel navigasyon</t>
        </is>
      </c>
      <c r="D22" s="262" t="inlineStr">
        <is>
          <t>Sadece doğru hesap yapıp çıplak/varsayılan Excel görünümü bırakmak</t>
        </is>
      </c>
      <c r="E22" s="262" t="inlineStr">
        <is>
          <t>Görsel release incelemesi</t>
        </is>
      </c>
      <c r="F22" s="266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77" min="1" max="1"/>
    <col width="60.5" customWidth="1" style="77" min="2" max="2"/>
    <col width="86.5" customWidth="1" style="77" min="3" max="3"/>
    <col width="40.5" customWidth="1" style="77" min="4" max="4"/>
    <col width="39.5" customWidth="1" style="77" min="5" max="5"/>
    <col width="27.5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TÜRKİYE MUHASEBE VE TEKDÜZEN HESAP PLANI STANDARDI</t>
        </is>
      </c>
    </row>
    <row r="2"/>
    <row r="3" ht="24" customHeight="1" s="77">
      <c r="A3" s="268" t="inlineStr">
        <is>
          <t>Konu</t>
        </is>
      </c>
      <c r="B3" s="268" t="inlineStr">
        <is>
          <t>Zorunlu Standart</t>
        </is>
      </c>
      <c r="C3" s="268" t="inlineStr">
        <is>
          <t>Örnek Türkçe Ad</t>
        </is>
      </c>
      <c r="D3" s="268" t="inlineStr">
        <is>
          <t>THP / Mantık</t>
        </is>
      </c>
      <c r="E3" s="268" t="inlineStr">
        <is>
          <t>Hata Riski</t>
        </is>
      </c>
      <c r="F3" s="268" t="inlineStr">
        <is>
          <t>Kontrol</t>
        </is>
      </c>
    </row>
    <row r="4">
      <c r="A4" s="269" t="inlineStr">
        <is>
          <t>Dil</t>
        </is>
      </c>
      <c r="B4" s="253" t="inlineStr">
        <is>
          <t>Kullanıcıya görünen finansal terimler Türkçe</t>
        </is>
      </c>
      <c r="C4" s="253" t="inlineStr">
        <is>
          <t>Hasılat, Satışların Maliyeti, Brüt Kâr, Faaliyet Giderleri</t>
        </is>
      </c>
      <c r="D4" s="253" t="inlineStr">
        <is>
          <t>Türk işletme kullanımına uygun</t>
        </is>
      </c>
      <c r="E4" s="253" t="inlineStr">
        <is>
          <t>İngilizce jargon</t>
        </is>
      </c>
      <c r="F4" s="253" t="inlineStr">
        <is>
          <t>Terminoloji taraması</t>
        </is>
      </c>
    </row>
    <row r="5" ht="28" customHeight="1" s="77">
      <c r="A5" s="269" t="inlineStr">
        <is>
          <t>Gelir Tablosu</t>
        </is>
      </c>
      <c r="B5" s="253" t="inlineStr">
        <is>
          <t>Türk sunum sırası kullanılır</t>
        </is>
      </c>
      <c r="C5" s="253" t="inlineStr">
        <is>
          <t>Net Satışlar → Satışların Maliyeti → Brüt Kâr → Faaliyet Giderleri → Faaliyet Kârı</t>
        </is>
      </c>
      <c r="D5" s="253" t="inlineStr">
        <is>
          <t>600/610/611; 620-623; 63x</t>
        </is>
      </c>
      <c r="E5" s="253" t="inlineStr">
        <is>
          <t>Yanlış sınıflama</t>
        </is>
      </c>
      <c r="F5" s="253" t="inlineStr">
        <is>
          <t>Hesap eşleme</t>
        </is>
      </c>
    </row>
    <row r="6" ht="28" customHeight="1" s="77">
      <c r="A6" s="269" t="inlineStr">
        <is>
          <t>Bilanço</t>
        </is>
      </c>
      <c r="B6" s="253" t="inlineStr">
        <is>
          <t>Dönen/Duran Varlık ve Kısa/Uzun Vadeli Yükümlülük ayrımı</t>
        </is>
      </c>
      <c r="C6" s="253" t="inlineStr">
        <is>
          <t>Hazır Değerler, Ticari Alacaklar, Stoklar, Mali Borçlar</t>
        </is>
      </c>
      <c r="D6" s="253" t="inlineStr">
        <is>
          <t>1xx / 2xx / 3xx / 4xx / 5xx</t>
        </is>
      </c>
      <c r="E6" s="253" t="inlineStr">
        <is>
          <t>Vade sınıfı hatası</t>
        </is>
      </c>
      <c r="F6" s="253" t="inlineStr">
        <is>
          <t>Bilanço eşitliği</t>
        </is>
      </c>
    </row>
    <row r="7">
      <c r="A7" s="269" t="inlineStr">
        <is>
          <t>Nakit Akışı</t>
        </is>
      </c>
      <c r="B7" s="253" t="inlineStr">
        <is>
          <t>İşletme/Yatırım/Finansman nakit akışları ayrılır</t>
        </is>
      </c>
      <c r="C7" s="253" t="inlineStr">
        <is>
          <t>Faaliyetlerden Nakit, Yatırım Harcamaları, Finansman Nakit Akışı</t>
        </is>
      </c>
      <c r="D7" s="253" t="inlineStr">
        <is>
          <t>Dolaylı/doğrudan yöntem açık seçilir</t>
        </is>
      </c>
      <c r="E7" s="253" t="inlineStr">
        <is>
          <t>Kâr = nakit sanılması</t>
        </is>
      </c>
      <c r="F7" s="253" t="inlineStr">
        <is>
          <t>Nakit devri</t>
        </is>
      </c>
    </row>
    <row r="8">
      <c r="A8" s="269" t="inlineStr">
        <is>
          <t>Ticari Alacaklar</t>
        </is>
      </c>
      <c r="B8" s="253" t="inlineStr">
        <is>
          <t>Cari ve vade mantığı korunur</t>
        </is>
      </c>
      <c r="C8" s="253" t="inlineStr">
        <is>
          <t>120 Alıcılar</t>
        </is>
      </c>
      <c r="D8" s="253" t="inlineStr">
        <is>
          <t>120</t>
        </is>
      </c>
      <c r="E8" s="253" t="inlineStr">
        <is>
          <t>Tahakkuk/nakit karışması</t>
        </is>
      </c>
      <c r="F8" s="253" t="inlineStr">
        <is>
          <t>Alacak devir kontrolü</t>
        </is>
      </c>
    </row>
    <row r="9">
      <c r="A9" s="269" t="inlineStr">
        <is>
          <t>Ticari Borçlar</t>
        </is>
      </c>
      <c r="B9" s="253" t="inlineStr">
        <is>
          <t>Tedarikçi borcu ayrı izlenir</t>
        </is>
      </c>
      <c r="C9" s="253" t="inlineStr">
        <is>
          <t>320 Satıcılar</t>
        </is>
      </c>
      <c r="D9" s="253" t="inlineStr">
        <is>
          <t>320</t>
        </is>
      </c>
      <c r="E9" s="253" t="inlineStr">
        <is>
          <t>Gider/ödeme karışması</t>
        </is>
      </c>
      <c r="F9" s="253" t="inlineStr">
        <is>
          <t>Borç devir kontrolü</t>
        </is>
      </c>
    </row>
    <row r="10">
      <c r="A10" s="269" t="inlineStr">
        <is>
          <t>Kasa/Banka</t>
        </is>
      </c>
      <c r="B10" s="253" t="inlineStr">
        <is>
          <t>Hazır değerler ayrı izlenir</t>
        </is>
      </c>
      <c r="C10" s="253" t="inlineStr">
        <is>
          <t>100 Kasa, 102 Bankalar</t>
        </is>
      </c>
      <c r="D10" s="253" t="inlineStr">
        <is>
          <t>100 / 102</t>
        </is>
      </c>
      <c r="E10" s="253" t="inlineStr">
        <is>
          <t>Virmanla toplam nakdin değişmesi</t>
        </is>
      </c>
      <c r="F10" s="253" t="inlineStr">
        <is>
          <t>Virman değişmezi</t>
        </is>
      </c>
    </row>
    <row r="11">
      <c r="A11" s="269" t="inlineStr">
        <is>
          <t>Stok</t>
        </is>
      </c>
      <c r="B11" s="253" t="inlineStr">
        <is>
          <t>Dikeye uygun stok türü</t>
        </is>
      </c>
      <c r="C11" s="253" t="inlineStr">
        <is>
          <t>150 İlk Madde ve Malzeme, 153 Ticari Mallar</t>
        </is>
      </c>
      <c r="D11" s="253" t="inlineStr">
        <is>
          <t>15x</t>
        </is>
      </c>
      <c r="E11" s="253" t="inlineStr">
        <is>
          <t>Maliyet ve stok hareketinin kopması</t>
        </is>
      </c>
      <c r="F11" s="253" t="inlineStr">
        <is>
          <t>Stok devri</t>
        </is>
      </c>
    </row>
    <row r="12" ht="28" customHeight="1" s="77">
      <c r="A12" s="269" t="inlineStr">
        <is>
          <t>Maddi Duran Varlık</t>
        </is>
      </c>
      <c r="B12" s="253" t="inlineStr">
        <is>
          <t>Yatırım harcaması ve amortisman bağlantılı</t>
        </is>
      </c>
      <c r="C12" s="253" t="inlineStr">
        <is>
          <t>253 Tesis Makine Cihazlar, 255 Demirbaşlar, 257 Birikmiş Amortismanlar</t>
        </is>
      </c>
      <c r="D12" s="253" t="inlineStr">
        <is>
          <t>25x</t>
        </is>
      </c>
      <c r="E12" s="253" t="inlineStr">
        <is>
          <t>Yatırım/gider karışması</t>
        </is>
      </c>
      <c r="F12" s="253" t="inlineStr">
        <is>
          <t>Net defter değeri devri</t>
        </is>
      </c>
    </row>
    <row r="13">
      <c r="A13" s="269" t="inlineStr">
        <is>
          <t>Mali Borçlar</t>
        </is>
      </c>
      <c r="B13" s="253" t="inlineStr">
        <is>
          <t>Kısa/uzun vadeli borç ayrımı</t>
        </is>
      </c>
      <c r="C13" s="253" t="inlineStr">
        <is>
          <t>300 Banka Kredileri / 400 Banka Kredileri</t>
        </is>
      </c>
      <c r="D13" s="253" t="inlineStr">
        <is>
          <t>300 / 400</t>
        </is>
      </c>
      <c r="E13" s="253" t="inlineStr">
        <is>
          <t>Vade sınıfı yanlış</t>
        </is>
      </c>
      <c r="F13" s="253" t="inlineStr">
        <is>
          <t>Borç devri</t>
        </is>
      </c>
    </row>
    <row r="14">
      <c r="A14" s="269" t="inlineStr">
        <is>
          <t>Özkaynak</t>
        </is>
      </c>
      <c r="B14" s="253" t="inlineStr">
        <is>
          <t>Sermaye ve geçmiş yıl kârları ayrı</t>
        </is>
      </c>
      <c r="C14" s="253" t="inlineStr">
        <is>
          <t>500 Sermaye, 570 Geçmiş Yıllar Kârları, 590 Dönem Net Kârı</t>
        </is>
      </c>
      <c r="D14" s="253" t="inlineStr">
        <is>
          <t>5xx</t>
        </is>
      </c>
      <c r="E14" s="253" t="inlineStr">
        <is>
          <t>Net kâr bağının kopması</t>
        </is>
      </c>
      <c r="F14" s="253" t="inlineStr">
        <is>
          <t>Özkaynak devri</t>
        </is>
      </c>
    </row>
    <row r="15">
      <c r="A15" s="269" t="inlineStr">
        <is>
          <t>Vergi</t>
        </is>
      </c>
      <c r="B15" s="253" t="inlineStr">
        <is>
          <t>Vergi satırları Türkiye mantığına uygun</t>
        </is>
      </c>
      <c r="C15" s="253" t="inlineStr">
        <is>
          <t>Dönem Vergi ve Diğer Yasal Yükümlülük Karşılıkları</t>
        </is>
      </c>
      <c r="D15" s="253" t="inlineStr">
        <is>
          <t>37x / ilgili vergi hesapları</t>
        </is>
      </c>
      <c r="E15" s="253" t="inlineStr">
        <is>
          <t>Vergi etkisinin yanlış dönemlenmesi</t>
        </is>
      </c>
      <c r="F15" s="253" t="inlineStr">
        <is>
          <t>Vergi sözleşmesi</t>
        </is>
      </c>
    </row>
    <row r="16">
      <c r="A16" s="269" t="inlineStr">
        <is>
          <t>İsim standardı</t>
        </is>
      </c>
      <c r="B16" s="253" t="inlineStr">
        <is>
          <t>Tablo ve sayfa adları Türkçe ve işlevsel</t>
        </is>
      </c>
      <c r="C16" s="253" t="inlineStr">
        <is>
          <t>GELİR_TABLOSU, BİLANÇO, NAKİT_AKISI, BORC_PLANI</t>
        </is>
      </c>
      <c r="D16" s="253" t="inlineStr">
        <is>
          <t>Tekrarlanabilir standart</t>
        </is>
      </c>
      <c r="E16" s="253" t="inlineStr">
        <is>
          <t>İngilizce/karma isim</t>
        </is>
      </c>
      <c r="F16" s="253" t="inlineStr">
        <is>
          <t>Sayfa ve tablo taraması</t>
        </is>
      </c>
    </row>
    <row r="17">
      <c r="A17" s="269" t="inlineStr">
        <is>
          <t>THP eşleme tablosu</t>
        </is>
      </c>
      <c r="B17" s="253" t="inlineStr">
        <is>
          <t>Her kritik satır en az bir THP hesabına bağlanır</t>
        </is>
      </c>
      <c r="C17" s="253" t="inlineStr">
        <is>
          <t>RaporSatırı → HesapKodu → HesapAdı → İşaret → Dönem</t>
        </is>
      </c>
      <c r="D17" s="253" t="inlineStr">
        <is>
          <t>Kaynak izlenebilirliği</t>
        </is>
      </c>
      <c r="E17" s="253" t="inlineStr">
        <is>
          <t>Rapordan rapora kaynak</t>
        </is>
      </c>
      <c r="F17" s="253" t="inlineStr">
        <is>
          <t>Eşleme kapsama %100</t>
        </is>
      </c>
    </row>
    <row r="18">
      <c r="A18" s="269" t="inlineStr">
        <is>
          <t>İstisna</t>
        </is>
      </c>
      <c r="B18" s="253" t="inlineStr">
        <is>
          <t>TFRS özel ürün varsa fark açık yazılır</t>
        </is>
      </c>
      <c r="C18" s="253" t="inlineStr">
        <is>
          <t>Tekdüzen raporlama ≠ TFRS finansal tablo sunumu</t>
        </is>
      </c>
      <c r="D18" s="253" t="inlineStr">
        <is>
          <t>Amaç belirtilir</t>
        </is>
      </c>
      <c r="E18" s="253" t="inlineStr">
        <is>
          <t>Standartları karıştırma</t>
        </is>
      </c>
      <c r="F18" s="253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77" min="1" max="1"/>
    <col width="41.5" customWidth="1" style="77" min="2" max="2"/>
    <col width="86.5" customWidth="1" style="77" min="3" max="3"/>
    <col width="35.5" customWidth="1" style="77" min="4" max="4"/>
    <col width="33.5" customWidth="1" style="77" min="5" max="5"/>
    <col width="16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KARAR, GÜVEN VE SATIŞA HAZIRLIK STANDARDI</t>
        </is>
      </c>
    </row>
    <row r="2"/>
    <row r="3" ht="24" customHeight="1" s="77">
      <c r="A3" s="271" t="inlineStr">
        <is>
          <t>Alan</t>
        </is>
      </c>
      <c r="B3" s="271" t="inlineStr">
        <is>
          <t>Müşteri Sorusu</t>
        </is>
      </c>
      <c r="C3" s="271" t="inlineStr">
        <is>
          <t>Zorunlu Ürün Davranışı</t>
        </is>
      </c>
      <c r="D3" s="271" t="inlineStr">
        <is>
          <t>Kanıt</t>
        </is>
      </c>
      <c r="E3" s="271" t="inlineStr">
        <is>
          <t>Başarısızlık Durumu</t>
        </is>
      </c>
      <c r="F3" s="271" t="inlineStr">
        <is>
          <t>Kapı</t>
        </is>
      </c>
    </row>
    <row r="4">
      <c r="A4" s="272" t="inlineStr">
        <is>
          <t>5 saniye</t>
        </is>
      </c>
      <c r="B4" s="253" t="inlineStr">
        <is>
          <t>Bu ürün neyi çözüyor?</t>
        </is>
      </c>
      <c r="C4" s="253" t="inlineStr">
        <is>
          <t>İlk ekranda hedef kullanıcı + pahalı problem + sonuç görünür</t>
        </is>
      </c>
      <c r="D4" s="253" t="inlineStr">
        <is>
          <t>Başlık + alt mesaj + gerçek ekran</t>
        </is>
      </c>
      <c r="E4" s="253" t="inlineStr">
        <is>
          <t>Ürün yalnız teknik isim</t>
        </is>
      </c>
      <c r="F4" s="273" t="inlineStr">
        <is>
          <t>HATA</t>
        </is>
      </c>
    </row>
    <row r="5">
      <c r="A5" s="272" t="inlineStr">
        <is>
          <t>Acı</t>
        </is>
      </c>
      <c r="B5" s="253" t="inlineStr">
        <is>
          <t>Sorun bana neye mal oluyor?</t>
        </is>
      </c>
      <c r="C5" s="253" t="inlineStr">
        <is>
          <t>Mümkünse müşterinin kendi verisiyle parasal/zaman etkisi hesaplanır</t>
        </is>
      </c>
      <c r="D5" s="253" t="inlineStr">
        <is>
          <t>ROI/acı hesaplama yöntemi</t>
        </is>
      </c>
      <c r="E5" s="253" t="inlineStr">
        <is>
          <t>Uydurma tasarruf</t>
        </is>
      </c>
      <c r="F5" s="273" t="inlineStr">
        <is>
          <t>HATA</t>
        </is>
      </c>
    </row>
    <row r="6">
      <c r="A6" s="272" t="inlineStr">
        <is>
          <t>Karar</t>
        </is>
      </c>
      <c r="B6" s="253" t="inlineStr">
        <is>
          <t>Bu bilgiyle ne yapacağım?</t>
        </is>
      </c>
      <c r="C6" s="253" t="inlineStr">
        <is>
          <t>Her kritik KPI aksiyona bağlanır</t>
        </is>
      </c>
      <c r="D6" s="253" t="inlineStr">
        <is>
          <t>KARAR_KUYRUGU</t>
        </is>
      </c>
      <c r="E6" s="253" t="inlineStr">
        <is>
          <t>Sadece rapor</t>
        </is>
      </c>
      <c r="F6" s="273" t="inlineStr">
        <is>
          <t>HATA</t>
        </is>
      </c>
    </row>
    <row r="7">
      <c r="A7" s="272" t="inlineStr">
        <is>
          <t>Güven</t>
        </is>
      </c>
      <c r="B7" s="253" t="inlineStr">
        <is>
          <t>Bu sayıya neden inanayım?</t>
        </is>
      </c>
      <c r="C7" s="253" t="inlineStr">
        <is>
          <t>Kaynak, formül mantığı, kontrol ve son doğrulama görünür</t>
        </is>
      </c>
      <c r="D7" s="253" t="inlineStr">
        <is>
          <t>Kontroller + kaynak izi + sürüm</t>
        </is>
      </c>
      <c r="E7" s="253" t="inlineStr">
        <is>
          <t>Prestij kelimesi</t>
        </is>
      </c>
      <c r="F7" s="273" t="inlineStr">
        <is>
          <t>HATA</t>
        </is>
      </c>
    </row>
    <row r="8">
      <c r="A8" s="272" t="inlineStr">
        <is>
          <t>Referans</t>
        </is>
      </c>
      <c r="B8" s="253" t="inlineStr">
        <is>
          <t>Müşteri yorumu yoksa ne göstereceğim?</t>
        </is>
      </c>
      <c r="C8" s="253" t="inlineStr">
        <is>
          <t>Önce/Sonra + Karar Vakası + Hata Önleme Vakası üretilir</t>
        </is>
      </c>
      <c r="D8" s="253" t="inlineStr">
        <is>
          <t>Demo/örnek çıktı</t>
        </is>
      </c>
      <c r="E8" s="253" t="inlineStr">
        <is>
          <t>Kanıtsız iddia</t>
        </is>
      </c>
      <c r="F8" s="273" t="inlineStr">
        <is>
          <t>HATA</t>
        </is>
      </c>
    </row>
    <row r="9">
      <c r="A9" s="272" t="inlineStr">
        <is>
          <t>Senaryo</t>
        </is>
      </c>
      <c r="B9" s="253" t="inlineStr">
        <is>
          <t>Ne olursa işler bozulur?</t>
        </is>
      </c>
      <c r="C9" s="253" t="inlineStr">
        <is>
          <t>Baz/Aşağı/Yukarı veya uygun stres senaryosu</t>
        </is>
      </c>
      <c r="D9" s="253" t="inlineStr">
        <is>
          <t>Senaryo karşılaştırma</t>
        </is>
      </c>
      <c r="E9" s="253" t="inlineStr">
        <is>
          <t>Dekoratif senaryo</t>
        </is>
      </c>
      <c r="F9" s="273" t="inlineStr">
        <is>
          <t>HATA</t>
        </is>
      </c>
    </row>
    <row r="10">
      <c r="A10" s="272" t="inlineStr">
        <is>
          <t>Ters stres</t>
        </is>
      </c>
      <c r="B10" s="253" t="inlineStr">
        <is>
          <t>Hangi eşikte karar kırılır?</t>
        </is>
      </c>
      <c r="C10" s="253" t="inlineStr">
        <is>
          <t>En az bir kritik sürücü için kırılma eşiği</t>
        </is>
      </c>
      <c r="D10" s="253" t="inlineStr">
        <is>
          <t>Kırılma eşiği tablosu</t>
        </is>
      </c>
      <c r="E10" s="253" t="inlineStr">
        <is>
          <t>Sadece +/- %10</t>
        </is>
      </c>
      <c r="F10" s="273" t="inlineStr">
        <is>
          <t>UYARI/HATA</t>
        </is>
      </c>
    </row>
    <row r="11">
      <c r="A11" s="272" t="inlineStr">
        <is>
          <t>Hata tutarlılığı</t>
        </is>
      </c>
      <c r="B11" s="253" t="inlineStr">
        <is>
          <t>Formül hata verirse ne olur?</t>
        </is>
      </c>
      <c r="C11" s="253" t="inlineStr">
        <is>
          <t>Kontrol GEÇTİ veremez; BLOKE/HATA üretir</t>
        </is>
      </c>
      <c r="D11" s="253" t="inlineStr">
        <is>
          <t>Hata taraması</t>
        </is>
      </c>
      <c r="E11" s="253" t="inlineStr">
        <is>
          <t>Hata + GEÇTİ birlikte</t>
        </is>
      </c>
      <c r="F11" s="273" t="inlineStr">
        <is>
          <t>HATA</t>
        </is>
      </c>
    </row>
    <row r="12">
      <c r="A12" s="272" t="inlineStr">
        <is>
          <t>Karar motoru</t>
        </is>
      </c>
      <c r="B12" s="253" t="inlineStr">
        <is>
          <t>Ne oldu, neden oldu?</t>
        </is>
      </c>
      <c r="C12" s="253" t="inlineStr">
        <is>
          <t>Sorun + neden + parasal etki + aksiyon + son tarih</t>
        </is>
      </c>
      <c r="D12" s="253" t="inlineStr">
        <is>
          <t>Karar tablosu</t>
        </is>
      </c>
      <c r="E12" s="253" t="inlineStr">
        <is>
          <t>Boş sayfa / isim düzeyi modül</t>
        </is>
      </c>
      <c r="F12" s="273" t="inlineStr">
        <is>
          <t>HATA</t>
        </is>
      </c>
    </row>
    <row r="13">
      <c r="A13" s="272" t="inlineStr">
        <is>
          <t>Yönetici özeti</t>
        </is>
      </c>
      <c r="B13" s="253" t="inlineStr">
        <is>
          <t>5 saniyede ne görmeliyim?</t>
        </is>
      </c>
      <c r="C13" s="253" t="inlineStr">
        <is>
          <t>Bugün / ne değişti / ne bozulacak / neden / ne yapmalıyım / güven</t>
        </is>
      </c>
      <c r="D13" s="253" t="inlineStr">
        <is>
          <t>Yönetici özeti ekranı</t>
        </is>
      </c>
      <c r="E13" s="253" t="inlineStr">
        <is>
          <t>KPI kutusu yığını</t>
        </is>
      </c>
      <c r="F13" s="273" t="inlineStr">
        <is>
          <t>HATA</t>
        </is>
      </c>
    </row>
    <row r="14">
      <c r="A14" s="272" t="inlineStr">
        <is>
          <t>Teklif</t>
        </is>
      </c>
      <c r="B14" s="253" t="inlineStr">
        <is>
          <t>Neden satın almalıyım?</t>
        </is>
      </c>
      <c r="C14" s="253" t="inlineStr">
        <is>
          <t>Dosya özellikleri yerine sonuç ve kaçınılan maliyet sunulur</t>
        </is>
      </c>
      <c r="D14" s="253" t="inlineStr">
        <is>
          <t>Ürün sayfası kanıt eşlemesi</t>
        </is>
      </c>
      <c r="E14" s="253" t="inlineStr">
        <is>
          <t>Özellik listesiyle satış</t>
        </is>
      </c>
      <c r="F14" s="273" t="inlineStr">
        <is>
          <t>HATA</t>
        </is>
      </c>
    </row>
    <row r="15">
      <c r="A15" s="272" t="inlineStr">
        <is>
          <t>Dağıtım</t>
        </is>
      </c>
      <c r="B15" s="253" t="inlineStr">
        <is>
          <t>Beni nasıl bulacaklar?</t>
        </is>
      </c>
      <c r="C15" s="253" t="inlineStr">
        <is>
          <t>Sorun niyetine göre SEO sayfaları, iç bağlantı, temiz yapı, taranabilir metin</t>
        </is>
      </c>
      <c r="D15" s="253" t="inlineStr">
        <is>
          <t>Arama niyeti haritası</t>
        </is>
      </c>
      <c r="E15" s="253" t="inlineStr">
        <is>
          <t>Tek ürün sayfasına bağımlılık</t>
        </is>
      </c>
      <c r="F15" s="273" t="inlineStr">
        <is>
          <t>UYARI</t>
        </is>
      </c>
    </row>
    <row r="16" ht="28" customHeight="1" s="77">
      <c r="A16" s="272" t="inlineStr">
        <is>
          <t>LLM görünürlüğü</t>
        </is>
      </c>
      <c r="B16" s="253" t="inlineStr">
        <is>
          <t>AI ürünümü anlayabiliyor mu?</t>
        </is>
      </c>
      <c r="C16" s="253" t="inlineStr">
        <is>
          <t>Ürün tanımı, hedef kullanıcı, girdi/çıktı, metodoloji, sınırlar, SSS açık metindir</t>
        </is>
      </c>
      <c r="D16" s="253" t="inlineStr">
        <is>
          <t>Taranabilir ürün içeriği</t>
        </is>
      </c>
      <c r="E16" s="253" t="inlineStr">
        <is>
          <t>'AI SEO' iddiası</t>
        </is>
      </c>
      <c r="F16" s="273" t="inlineStr">
        <is>
          <t>UYARI</t>
        </is>
      </c>
    </row>
    <row r="17">
      <c r="A17" s="272" t="inlineStr">
        <is>
          <t>Satış kanalı</t>
        </is>
      </c>
      <c r="B17" s="253" t="inlineStr">
        <is>
          <t>Nerede satılmalı?</t>
        </is>
      </c>
      <c r="C17" s="253" t="inlineStr">
        <is>
          <t>Arama, LinkedIn, uzman/partner, demo/video; ürüne göre kanal seçilir</t>
        </is>
      </c>
      <c r="D17" s="253" t="inlineStr">
        <is>
          <t>Kanal matrisi</t>
        </is>
      </c>
      <c r="E17" s="253" t="inlineStr">
        <is>
          <t>Her ürüne aynı kanal</t>
        </is>
      </c>
      <c r="F17" s="273" t="inlineStr">
        <is>
          <t>UYARI</t>
        </is>
      </c>
    </row>
    <row r="18">
      <c r="A18" s="272" t="inlineStr">
        <is>
          <t>Fiyat</t>
        </is>
      </c>
      <c r="B18" s="253" t="inlineStr">
        <is>
          <t>Bu fiyat neden mantıklı?</t>
        </is>
      </c>
      <c r="C18" s="253" t="inlineStr">
        <is>
          <t>Fiyat, ekonomik karar değerine ve kanıtlanmış ürün derinliğine bağlanır</t>
        </is>
      </c>
      <c r="D18" s="253" t="inlineStr">
        <is>
          <t>Değer haritası + demo</t>
        </is>
      </c>
      <c r="E18" s="253" t="inlineStr">
        <is>
          <t>Sırf sayfa/formül sayısı</t>
        </is>
      </c>
      <c r="F18" s="273" t="inlineStr">
        <is>
          <t>HATA</t>
        </is>
      </c>
    </row>
    <row r="19">
      <c r="A19" s="272" t="inlineStr">
        <is>
          <t>Pazar kanıtı</t>
        </is>
      </c>
      <c r="B19" s="253" t="inlineStr">
        <is>
          <t>Piyasa gerçekten ödüyor mu?</t>
        </is>
      </c>
      <c r="C19" s="253" t="inlineStr">
        <is>
          <t>Satış/pilot/LOI/fiyat kabulü olmadan pazar doğrulandı yazılmaz</t>
        </is>
      </c>
      <c r="D19" s="253" t="inlineStr">
        <is>
          <t>Gerçek işlem kanıtı</t>
        </is>
      </c>
      <c r="E19" s="253" t="inlineStr">
        <is>
          <t>Tahmini talep = satış kabulü</t>
        </is>
      </c>
      <c r="F19" s="273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3" min="1" max="1"/>
    <col width="13" customWidth="1" style="77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KAPAK — Stok, Satış ve Nakit Bağlanma Sistemi</t>
        </is>
      </c>
    </row>
    <row r="2"/>
    <row r="3" ht="22" customHeight="1" s="77">
      <c r="A3" s="303" t="inlineStr">
        <is>
          <t>Stok, Satış ve Nakit Bağlanma Sistemi</t>
        </is>
      </c>
    </row>
    <row r="4" ht="15" customHeight="1" s="77">
      <c r="A4" s="106" t="inlineStr">
        <is>
          <t>Stok giriş-çıkışını ortalama maliyetle işleyin; stoğa bağlanan nakdi ve devir hızını dönem sonunda görün.</t>
        </is>
      </c>
    </row>
    <row r="5"/>
    <row r="6" ht="15" customHeight="1" s="77">
      <c r="A6" s="107" t="inlineStr">
        <is>
          <t>Bu ürün ne sağlar?</t>
        </is>
      </c>
    </row>
    <row r="7" ht="15" customHeight="1" s="77">
      <c r="A7" s="108" t="inlineStr">
        <is>
          <t>• Ürün bazlı giriş ve çıkış hareketlerinin düzenli kaydı</t>
        </is>
      </c>
    </row>
    <row r="8" ht="15" customHeight="1" s="77">
      <c r="A8" s="108" t="inlineStr">
        <is>
          <t>• Basit ortalama maliyet yöntemiyle kalan stok değerlemesi</t>
        </is>
      </c>
    </row>
    <row r="9" ht="15" customHeight="1" s="77">
      <c r="A9" s="108" t="inlineStr">
        <is>
          <t>• Stoğa bağlanan nakit tutarının otomatik hesabı</t>
        </is>
      </c>
    </row>
    <row r="10" ht="15" customHeight="1" s="77">
      <c r="A10" s="108" t="inlineStr">
        <is>
          <t>• Dönem devir hızı ve stok sağlık göstergeleri</t>
        </is>
      </c>
    </row>
    <row r="11" ht="15" customHeight="1" s="77">
      <c r="A11" s="108" t="inlineStr">
        <is>
          <t>• Yönetici raporu ve karar kapısı (UYGUN/İNCELE/DURDUR)</t>
        </is>
      </c>
    </row>
    <row r="12"/>
    <row r="13"/>
    <row r="14" ht="15" customHeight="1" s="77">
      <c r="A14" s="107" t="inlineStr">
        <is>
          <t>Kimler için?</t>
        </is>
      </c>
    </row>
    <row r="15" ht="15" customHeight="1" s="77">
      <c r="A15" s="109" t="inlineStr">
        <is>
          <t>• Perakende ve toptan satıcılar</t>
        </is>
      </c>
    </row>
    <row r="16" ht="15" customHeight="1" s="77">
      <c r="A16" s="109" t="inlineStr">
        <is>
          <t>• Üretim yapan küçük KOBİ'ler</t>
        </is>
      </c>
    </row>
    <row r="17" ht="15" customHeight="1" s="77">
      <c r="A17" s="109" t="inlineStr">
        <is>
          <t>• Stokta nakit bağlanmasını ölçmek isteyenler</t>
        </is>
      </c>
    </row>
    <row r="18" ht="15" customHeight="1" s="77">
      <c r="A18" s="107" t="inlineStr">
        <is>
          <t>Nasıl başlanır?</t>
        </is>
      </c>
    </row>
    <row r="19" ht="15" customHeight="1" s="77">
      <c r="A19" s="108" t="inlineStr">
        <is>
          <t>1. HIZLI_BASLANGIC sayfasını okuyun. 2. STOK_HAREKETLER sayfasına hareketlerinizi girin. 3. PANO ve RAPOR sayfalarından sonucu izleyin.</t>
        </is>
      </c>
    </row>
    <row r="20"/>
    <row r="21" ht="15" customHeight="1" s="77">
      <c r="A21" s="110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8:AD8"/>
    <mergeCell ref="A7:AD7"/>
    <mergeCell ref="A1:I1"/>
    <mergeCell ref="A4:P4"/>
    <mergeCell ref="A11:AD11"/>
    <mergeCell ref="A10:AD10"/>
    <mergeCell ref="A21:P21"/>
    <mergeCell ref="A3:I3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T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1.5" customWidth="1" style="103" min="1" max="1"/>
    <col width="147.5" customWidth="1" style="103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HIZLI BASLANGIC — Stok, Satış ve Nakit Bağlanma Sistemi</t>
        </is>
      </c>
    </row>
    <row r="2"/>
    <row r="3" ht="22" customHeight="1" s="77">
      <c r="A3" s="304" t="inlineStr">
        <is>
          <t>Nasıl kullanılır?</t>
        </is>
      </c>
    </row>
    <row r="4"/>
    <row r="5" ht="15" customHeight="1" s="77">
      <c r="A5" s="112" t="inlineStr">
        <is>
          <t>Adım 1 — Stok hareketlerini girin</t>
        </is>
      </c>
      <c r="B5" s="108" t="inlineStr">
        <is>
          <t>STOK_HAREKETLER sayfasındaki sarı hücrelere tarih, ürün, hareket türü (Giriş/Çıkış), adet ve birim alış fiyatı girin. Her satır bir harekettir.</t>
        </is>
      </c>
    </row>
    <row r="6" ht="15" customHeight="1" s="77">
      <c r="A6" s="112" t="inlineStr">
        <is>
          <t>Adım 2 — Sonuçları izleyin</t>
        </is>
      </c>
      <c r="B6" s="108" t="inlineStr">
        <is>
          <t>HESAP sayfası ürün bazlı kalan stok, ortalama maliyet, stok değeri ve devir hızını hesaplar.</t>
        </is>
      </c>
    </row>
    <row r="7" ht="15" customHeight="1" s="77">
      <c r="A7" s="112" t="inlineStr">
        <is>
          <t>Adım 3 — Karar ve rapor</t>
        </is>
      </c>
      <c r="B7" s="108" t="inlineStr">
        <is>
          <t>KARAR sayfası UYGUN/İNCELE/DURDUR üretir; RAPOR yöneticiye sunulabilir.</t>
        </is>
      </c>
    </row>
    <row r="8" ht="15" customHeight="1" s="77">
      <c r="A8" s="112" t="inlineStr">
        <is>
          <t>Adım 4 — Eşikleri ayarlayın</t>
        </is>
      </c>
      <c r="B8" s="108" t="inlineStr">
        <is>
          <t>Devir hızı ve stok eşikleri AYARLAR sayfasından değiştirilir.</t>
        </is>
      </c>
    </row>
    <row r="9"/>
    <row r="10"/>
    <row r="11" ht="15" customHeight="1" s="77">
      <c r="A11" s="113" t="inlineStr">
        <is>
          <t>Sık yapılan hatalar</t>
        </is>
      </c>
    </row>
    <row r="12" ht="15" customHeight="1" s="77">
      <c r="A12" s="114" t="inlineStr">
        <is>
          <t>• Çıkış hareketinde adedi negatif girmek (sistem çıkışı pozitif adetle işler)</t>
        </is>
      </c>
    </row>
    <row r="13" ht="15" customHeight="1" s="77">
      <c r="A13" s="114" t="inlineStr">
        <is>
          <t>• Birim fiyatı KDV dahil ile hariç karıştırmak</t>
        </is>
      </c>
    </row>
    <row r="14" ht="15" customHeight="1" s="77">
      <c r="A14" s="114" t="inlineStr">
        <is>
          <t>• Ürün adını listeden seçmeyip elle farklı yazmak</t>
        </is>
      </c>
    </row>
    <row r="15" ht="15" customHeight="1" s="77">
      <c r="A15" s="115" t="inlineStr">
        <is>
          <t>Bu dosya karar destek aracıdır; muhasebe kaydı veya vergi beyanı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5:T5"/>
    <mergeCell ref="B8:T8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.5" customWidth="1" style="103" min="1" max="1"/>
    <col width="18" customWidth="1" style="103" min="2" max="2"/>
    <col width="16.5" customWidth="1" style="103" min="3" max="3"/>
    <col width="12" customWidth="1" style="103" min="4" max="4"/>
    <col width="25.5" customWidth="1" style="103" min="5" max="5"/>
    <col width="16" customWidth="1" style="103" min="6" max="7"/>
    <col width="13.5" customWidth="1" style="77" min="7" max="7"/>
    <col width="22" customWidth="1" style="103" min="8" max="8"/>
    <col width="13" customWidth="1" style="77" min="9" max="9"/>
  </cols>
  <sheetData>
    <row r="1" ht="32" customHeight="1" s="77">
      <c r="A1" s="284" t="inlineStr">
        <is>
          <t>STOK HAREKETLER — Stok, Satış ve Nakit Bağlanma Sistemi</t>
        </is>
      </c>
    </row>
    <row r="2"/>
    <row r="3" ht="22" customHeight="1" s="77">
      <c r="A3" s="304" t="inlineStr">
        <is>
          <t>Stok Hareketleri</t>
        </is>
      </c>
    </row>
    <row r="4" ht="95.25" customHeight="1" s="77">
      <c r="A4" s="106" t="inlineStr">
        <is>
          <t>Sarı hücrelere manuel veri girin. Her satır bir harekettir; tutar ve kalan stok otomatik hesaplanır.</t>
        </is>
      </c>
    </row>
    <row r="5" ht="30" customHeight="1" s="77">
      <c r="A5" s="116" t="inlineStr">
        <is>
          <t>Tarih</t>
        </is>
      </c>
      <c r="B5" s="116" t="inlineStr">
        <is>
          <t>Ürün</t>
        </is>
      </c>
      <c r="C5" s="116" t="inlineStr">
        <is>
          <t>Hareket Türü</t>
        </is>
      </c>
      <c r="D5" s="116" t="inlineStr">
        <is>
          <t>Adet</t>
        </is>
      </c>
      <c r="E5" s="116" t="inlineStr">
        <is>
          <t>Birim Alış Fiyatı (₺)</t>
        </is>
      </c>
      <c r="F5" s="116" t="inlineStr">
        <is>
          <t>Depo</t>
        </is>
      </c>
      <c r="G5" s="116" t="inlineStr">
        <is>
          <t>Tutar (₺)</t>
        </is>
      </c>
      <c r="H5" s="116" t="inlineStr">
        <is>
          <t>Kayıt Açıklaması</t>
        </is>
      </c>
    </row>
    <row r="6" ht="15.75" customHeight="1" s="77">
      <c r="A6" s="117" t="n">
        <v>46027</v>
      </c>
      <c r="B6" s="118" t="inlineStr">
        <is>
          <t>Ürün A</t>
        </is>
      </c>
      <c r="C6" s="118" t="inlineStr">
        <is>
          <t>Giriş</t>
        </is>
      </c>
      <c r="D6" s="119" t="n">
        <v>100</v>
      </c>
      <c r="E6" s="120" t="n">
        <v>850</v>
      </c>
      <c r="F6" s="118" t="inlineStr">
        <is>
          <t>Ana Depo</t>
        </is>
      </c>
      <c r="G6" s="121">
        <f>IF($D6=0,0,$D6*$E6)</f>
        <v/>
      </c>
      <c r="H6" s="122">
        <f>IF($B6="","",CONCATENATE("Hareket: ",$C6,"/",$D6," adet ",$B6))</f>
        <v/>
      </c>
    </row>
    <row r="7" ht="15.75" customHeight="1" s="77">
      <c r="A7" s="117" t="n">
        <v>46034</v>
      </c>
      <c r="B7" s="118" t="inlineStr">
        <is>
          <t>Ürün B</t>
        </is>
      </c>
      <c r="C7" s="118" t="inlineStr">
        <is>
          <t>Giriş</t>
        </is>
      </c>
      <c r="D7" s="119" t="n">
        <v>60</v>
      </c>
      <c r="E7" s="120" t="n">
        <v>1250</v>
      </c>
      <c r="F7" s="118" t="inlineStr">
        <is>
          <t>Ana Depo</t>
        </is>
      </c>
      <c r="G7" s="121">
        <f>IF($D7=0,0,$D7*$E7)</f>
        <v/>
      </c>
      <c r="H7" s="122">
        <f>IF($B7="","",CONCATENATE("Hareket: ",$C7,"/",$D7," adet ",$B7))</f>
        <v/>
      </c>
    </row>
    <row r="8" ht="15.75" customHeight="1" s="77">
      <c r="A8" s="117" t="n">
        <v>46056</v>
      </c>
      <c r="B8" s="118" t="inlineStr">
        <is>
          <t>Ürün A</t>
        </is>
      </c>
      <c r="C8" s="118" t="inlineStr">
        <is>
          <t>Çıkış</t>
        </is>
      </c>
      <c r="D8" s="119" t="n">
        <v>40</v>
      </c>
      <c r="E8" s="120" t="n">
        <v>850</v>
      </c>
      <c r="F8" s="118" t="inlineStr">
        <is>
          <t>Ana Depo</t>
        </is>
      </c>
      <c r="G8" s="121">
        <f>IF($D8=0,0,$D8*$E8)</f>
        <v/>
      </c>
      <c r="H8" s="122">
        <f>IF($B8="","",CONCATENATE("Hareket: ",$C8,"/",$D8," adet ",$B8))</f>
        <v/>
      </c>
    </row>
    <row r="9" ht="15.75" customHeight="1" s="77">
      <c r="A9" s="117" t="n">
        <v>46071</v>
      </c>
      <c r="B9" s="118" t="inlineStr">
        <is>
          <t>Ürün C</t>
        </is>
      </c>
      <c r="C9" s="118" t="inlineStr">
        <is>
          <t>Giriş</t>
        </is>
      </c>
      <c r="D9" s="119" t="n">
        <v>90</v>
      </c>
      <c r="E9" s="120" t="n">
        <v>420</v>
      </c>
      <c r="F9" s="118" t="inlineStr">
        <is>
          <t>Yedek Depo</t>
        </is>
      </c>
      <c r="G9" s="121">
        <f>IF($D9=0,0,$D9*$E9)</f>
        <v/>
      </c>
      <c r="H9" s="122">
        <f>IF($B9="","",CONCATENATE("Hareket: ",$C9,"/",$D9," adet ",$B9))</f>
        <v/>
      </c>
    </row>
    <row r="10" ht="15.75" customHeight="1" s="77">
      <c r="A10" s="117" t="n">
        <v>46088</v>
      </c>
      <c r="B10" s="118" t="inlineStr">
        <is>
          <t>Ürün B</t>
        </is>
      </c>
      <c r="C10" s="118" t="inlineStr">
        <is>
          <t>Çıkış</t>
        </is>
      </c>
      <c r="D10" s="119" t="n">
        <v>25</v>
      </c>
      <c r="E10" s="120" t="n">
        <v>1250</v>
      </c>
      <c r="F10" s="118" t="inlineStr">
        <is>
          <t>Ana Depo</t>
        </is>
      </c>
      <c r="G10" s="121">
        <f>IF($D10=0,0,$D10*$E10)</f>
        <v/>
      </c>
      <c r="H10" s="122">
        <f>IF($B10="","",CONCATENATE("Hareket: ",$C10,"/",$D10," adet ",$B10))</f>
        <v/>
      </c>
    </row>
    <row r="11" ht="15.75" customHeight="1" s="77">
      <c r="A11" s="117" t="n">
        <v>46102</v>
      </c>
      <c r="B11" s="118" t="inlineStr">
        <is>
          <t>Ürün A</t>
        </is>
      </c>
      <c r="C11" s="118" t="inlineStr">
        <is>
          <t>Giriş</t>
        </is>
      </c>
      <c r="D11" s="119" t="n">
        <v>80</v>
      </c>
      <c r="E11" s="120" t="n">
        <v>900</v>
      </c>
      <c r="F11" s="118" t="inlineStr">
        <is>
          <t>Ana Depo</t>
        </is>
      </c>
      <c r="G11" s="121">
        <f>IF($D11=0,0,$D11*$E11)</f>
        <v/>
      </c>
      <c r="H11" s="122">
        <f>IF($B11="","",CONCATENATE("Hareket: ",$C11,"/",$D11," adet ",$B11))</f>
        <v/>
      </c>
    </row>
    <row r="12" ht="15.75" customHeight="1" s="77">
      <c r="A12" s="117" t="n">
        <v>46122</v>
      </c>
      <c r="B12" s="118" t="inlineStr">
        <is>
          <t>Ürün C</t>
        </is>
      </c>
      <c r="C12" s="118" t="inlineStr">
        <is>
          <t>Çıkış</t>
        </is>
      </c>
      <c r="D12" s="119" t="n">
        <v>30</v>
      </c>
      <c r="E12" s="120" t="n">
        <v>420</v>
      </c>
      <c r="F12" s="118" t="inlineStr">
        <is>
          <t>Yedek Depo</t>
        </is>
      </c>
      <c r="G12" s="121">
        <f>IF($D12=0,0,$D12*$E12)</f>
        <v/>
      </c>
      <c r="H12" s="122">
        <f>IF($B12="","",CONCATENATE("Hareket: ",$C12,"/",$D12," adet ",$B12))</f>
        <v/>
      </c>
    </row>
    <row r="13" ht="15.75" customHeight="1" s="77">
      <c r="A13" s="117" t="n">
        <v>46144</v>
      </c>
      <c r="B13" s="118" t="inlineStr">
        <is>
          <t>Ürün B</t>
        </is>
      </c>
      <c r="C13" s="118" t="inlineStr">
        <is>
          <t>Giriş</t>
        </is>
      </c>
      <c r="D13" s="119" t="n">
        <v>50</v>
      </c>
      <c r="E13" s="120" t="n">
        <v>1300</v>
      </c>
      <c r="F13" s="118" t="inlineStr">
        <is>
          <t>Ana Depo</t>
        </is>
      </c>
      <c r="G13" s="121">
        <f>IF($D13=0,0,$D13*$E13)</f>
        <v/>
      </c>
      <c r="H13" s="122">
        <f>IF($B13="","",CONCATENATE("Hareket: ",$C13,"/",$D13," adet ",$B13))</f>
        <v/>
      </c>
    </row>
    <row r="14" ht="15.75" customHeight="1" s="77">
      <c r="A14" s="117" t="n">
        <v>46161</v>
      </c>
      <c r="B14" s="118" t="inlineStr">
        <is>
          <t>Ürün A</t>
        </is>
      </c>
      <c r="C14" s="118" t="inlineStr">
        <is>
          <t>Çıkış</t>
        </is>
      </c>
      <c r="D14" s="119" t="n">
        <v>60</v>
      </c>
      <c r="E14" s="120" t="n">
        <v>900</v>
      </c>
      <c r="F14" s="118" t="inlineStr">
        <is>
          <t>Ana Depo</t>
        </is>
      </c>
      <c r="G14" s="121">
        <f>IF($D14=0,0,$D14*$E14)</f>
        <v/>
      </c>
      <c r="H14" s="122">
        <f>IF($B14="","",CONCATENATE("Hareket: ",$C14,"/",$D14," adet ",$B14))</f>
        <v/>
      </c>
    </row>
    <row r="15" ht="15.75" customHeight="1" s="77">
      <c r="A15" s="117" t="n">
        <v>46184</v>
      </c>
      <c r="B15" s="118" t="inlineStr">
        <is>
          <t>Ürün C</t>
        </is>
      </c>
      <c r="C15" s="118" t="inlineStr">
        <is>
          <t>Giriş</t>
        </is>
      </c>
      <c r="D15" s="119" t="n">
        <v>120</v>
      </c>
      <c r="E15" s="120" t="n">
        <v>415</v>
      </c>
      <c r="F15" s="118" t="inlineStr">
        <is>
          <t>Yedek Depo</t>
        </is>
      </c>
      <c r="G15" s="121">
        <f>IF($D15=0,0,$D15*$E15)</f>
        <v/>
      </c>
      <c r="H15" s="122">
        <f>IF($B15="","",CONCATENATE("Hareket: ",$C15,"/",$D15," adet ",$B15))</f>
        <v/>
      </c>
    </row>
    <row r="16" ht="15" customHeight="1" s="77">
      <c r="A16" s="123" t="n"/>
      <c r="B16" s="124" t="n"/>
      <c r="C16" s="124" t="n"/>
      <c r="D16" s="125" t="n"/>
      <c r="E16" s="126" t="n"/>
      <c r="F16" s="124" t="n"/>
      <c r="G16" s="121">
        <f>IF($D16=0,0,$D16*$E16)</f>
        <v/>
      </c>
      <c r="H16" s="122">
        <f>IF($B16="","",CONCATENATE("Hareket: ",$C16,"/",$D16," adet ",$B16))</f>
        <v/>
      </c>
    </row>
    <row r="17" ht="15" customHeight="1" s="77">
      <c r="A17" s="123" t="n"/>
      <c r="B17" s="124" t="n"/>
      <c r="C17" s="124" t="n"/>
      <c r="D17" s="125" t="n"/>
      <c r="E17" s="126" t="n"/>
      <c r="F17" s="124" t="n"/>
      <c r="G17" s="121">
        <f>IF($D17=0,0,$D17*$E17)</f>
        <v/>
      </c>
      <c r="H17" s="122">
        <f>IF($B17="","",CONCATENATE("Hareket: ",$C17,"/",$D17," adet ",$B17))</f>
        <v/>
      </c>
    </row>
    <row r="18" ht="15" customHeight="1" s="77">
      <c r="A18" s="123" t="n"/>
      <c r="B18" s="124" t="n"/>
      <c r="C18" s="124" t="n"/>
      <c r="D18" s="125" t="n"/>
      <c r="E18" s="126" t="n"/>
      <c r="F18" s="124" t="n"/>
      <c r="G18" s="121">
        <f>IF($D18=0,0,$D18*$E18)</f>
        <v/>
      </c>
      <c r="H18" s="122">
        <f>IF($B18="","",CONCATENATE("Hareket: ",$C18,"/",$D18," adet ",$B18))</f>
        <v/>
      </c>
    </row>
    <row r="19" ht="15" customHeight="1" s="77">
      <c r="A19" s="123" t="n"/>
      <c r="B19" s="124" t="n"/>
      <c r="C19" s="124" t="n"/>
      <c r="D19" s="125" t="n"/>
      <c r="E19" s="126" t="n"/>
      <c r="F19" s="124" t="n"/>
      <c r="G19" s="121">
        <f>IF($D19=0,0,$D19*$E19)</f>
        <v/>
      </c>
      <c r="H19" s="122">
        <f>IF($B19="","",CONCATENATE("Hareket: ",$C19,"/",$D19," adet ",$B19))</f>
        <v/>
      </c>
    </row>
    <row r="20" ht="15" customHeight="1" s="77">
      <c r="A20" s="123" t="n"/>
      <c r="B20" s="124" t="n"/>
      <c r="C20" s="124" t="n"/>
      <c r="D20" s="125" t="n"/>
      <c r="E20" s="126" t="n"/>
      <c r="F20" s="124" t="n"/>
      <c r="G20" s="121">
        <f>IF($D20=0,0,$D20*$E20)</f>
        <v/>
      </c>
      <c r="H20" s="122">
        <f>IF($B20="","",CONCATENATE("Hareket: ",$C20,"/",$D20," adet ",$B20))</f>
        <v/>
      </c>
    </row>
    <row r="21" ht="15" customHeight="1" s="77">
      <c r="A21" s="123" t="n"/>
      <c r="B21" s="124" t="n"/>
      <c r="C21" s="124" t="n"/>
      <c r="D21" s="125" t="n"/>
      <c r="E21" s="126" t="n"/>
      <c r="F21" s="124" t="n"/>
      <c r="G21" s="121">
        <f>IF($D21=0,0,$D21*$E21)</f>
        <v/>
      </c>
      <c r="H21" s="122">
        <f>IF($B21="","",CONCATENATE("Hareket: ",$C21,"/",$D21," adet ",$B21))</f>
        <v/>
      </c>
    </row>
    <row r="22" ht="15" customHeight="1" s="77">
      <c r="A22" s="123" t="n"/>
      <c r="B22" s="124" t="n"/>
      <c r="C22" s="124" t="n"/>
      <c r="D22" s="125" t="n"/>
      <c r="E22" s="126" t="n"/>
      <c r="F22" s="124" t="n"/>
      <c r="G22" s="121">
        <f>IF($D22=0,0,$D22*$E22)</f>
        <v/>
      </c>
      <c r="H22" s="122">
        <f>IF($B22="","",CONCATENATE("Hareket: ",$C22,"/",$D22," adet ",$B22))</f>
        <v/>
      </c>
    </row>
    <row r="23" ht="15" customHeight="1" s="77">
      <c r="A23" s="123" t="n"/>
      <c r="B23" s="124" t="n"/>
      <c r="C23" s="124" t="n"/>
      <c r="D23" s="125" t="n"/>
      <c r="E23" s="126" t="n"/>
      <c r="F23" s="124" t="n"/>
      <c r="G23" s="121">
        <f>IF($D23=0,0,$D23*$E23)</f>
        <v/>
      </c>
      <c r="H23" s="122">
        <f>IF($B23="","",CONCATENATE("Hareket: ",$C23,"/",$D23," adet ",$B23))</f>
        <v/>
      </c>
    </row>
    <row r="24" ht="15" customHeight="1" s="77">
      <c r="A24" s="123" t="n"/>
      <c r="B24" s="124" t="n"/>
      <c r="C24" s="124" t="n"/>
      <c r="D24" s="125" t="n"/>
      <c r="E24" s="126" t="n"/>
      <c r="F24" s="124" t="n"/>
      <c r="G24" s="121">
        <f>IF($D24=0,0,$D24*$E24)</f>
        <v/>
      </c>
      <c r="H24" s="122">
        <f>IF($B24="","",CONCATENATE("Hareket: ",$C24,"/",$D24," adet ",$B24))</f>
        <v/>
      </c>
    </row>
    <row r="25" ht="15" customHeight="1" s="77">
      <c r="A25" s="123" t="n"/>
      <c r="B25" s="124" t="n"/>
      <c r="C25" s="124" t="n"/>
      <c r="D25" s="125" t="n"/>
      <c r="E25" s="126" t="n"/>
      <c r="F25" s="124" t="n"/>
      <c r="G25" s="121">
        <f>IF($D25=0,0,$D25*$E25)</f>
        <v/>
      </c>
      <c r="H25" s="122">
        <f>IF($B25="","",CONCATENATE("Hareket: ",$C25,"/",$D25," adet ",$B25))</f>
        <v/>
      </c>
    </row>
    <row r="26" ht="15" customHeight="1" s="77">
      <c r="A26" s="123" t="n"/>
      <c r="B26" s="124" t="n"/>
      <c r="C26" s="124" t="n"/>
      <c r="D26" s="125" t="n"/>
      <c r="E26" s="126" t="n"/>
      <c r="F26" s="124" t="n"/>
      <c r="G26" s="121">
        <f>IF($D26=0,0,$D26*$E26)</f>
        <v/>
      </c>
      <c r="H26" s="122">
        <f>IF($B26="","",CONCATENATE("Hareket: ",$C26,"/",$D26," adet ",$B26))</f>
        <v/>
      </c>
    </row>
    <row r="27" ht="15" customHeight="1" s="77">
      <c r="A27" s="123" t="n"/>
      <c r="B27" s="124" t="n"/>
      <c r="C27" s="124" t="n"/>
      <c r="D27" s="125" t="n"/>
      <c r="E27" s="126" t="n"/>
      <c r="F27" s="124" t="n"/>
      <c r="G27" s="121">
        <f>IF($D27=0,0,$D27*$E27)</f>
        <v/>
      </c>
      <c r="H27" s="122">
        <f>IF($B27="","",CONCATENATE("Hareket: ",$C27,"/",$D27," adet ",$B27))</f>
        <v/>
      </c>
    </row>
    <row r="28" ht="15" customHeight="1" s="77">
      <c r="A28" s="123" t="n"/>
      <c r="B28" s="124" t="n"/>
      <c r="C28" s="124" t="n"/>
      <c r="D28" s="125" t="n"/>
      <c r="E28" s="126" t="n"/>
      <c r="F28" s="124" t="n"/>
      <c r="G28" s="121">
        <f>IF($D28=0,0,$D28*$E28)</f>
        <v/>
      </c>
      <c r="H28" s="122">
        <f>IF($B28="","",CONCATENATE("Hareket: ",$C28,"/",$D28," adet ",$B28))</f>
        <v/>
      </c>
    </row>
    <row r="29" ht="15" customHeight="1" s="77">
      <c r="A29" s="123" t="n"/>
      <c r="B29" s="124" t="n"/>
      <c r="C29" s="124" t="n"/>
      <c r="D29" s="125" t="n"/>
      <c r="E29" s="126" t="n"/>
      <c r="F29" s="124" t="n"/>
      <c r="G29" s="121">
        <f>IF($D29=0,0,$D29*$E29)</f>
        <v/>
      </c>
      <c r="H29" s="122">
        <f>IF($B29="","",CONCATENATE("Hareket: ",$C29,"/",$D29," adet ",$B29))</f>
        <v/>
      </c>
    </row>
    <row r="30" ht="15" customHeight="1" s="77">
      <c r="A30" s="123" t="n"/>
      <c r="B30" s="124" t="n"/>
      <c r="C30" s="124" t="n"/>
      <c r="D30" s="125" t="n"/>
      <c r="E30" s="126" t="n"/>
      <c r="F30" s="124" t="n"/>
      <c r="G30" s="121">
        <f>IF($D30=0,0,$D30*$E30)</f>
        <v/>
      </c>
      <c r="H30" s="122">
        <f>IF($B30="","",CONCATENATE("Hareket: ",$C30,"/",$D30," adet ",$B30))</f>
        <v/>
      </c>
    </row>
    <row r="31" ht="15" customHeight="1" s="77">
      <c r="A31" s="123" t="n"/>
      <c r="B31" s="124" t="n"/>
      <c r="C31" s="124" t="n"/>
      <c r="D31" s="125" t="n"/>
      <c r="E31" s="126" t="n"/>
      <c r="F31" s="124" t="n"/>
      <c r="G31" s="121">
        <f>IF($D31=0,0,$D31*$E31)</f>
        <v/>
      </c>
      <c r="H31" s="122">
        <f>IF($B31="","",CONCATENATE("Hareket: ",$C31,"/",$D31," adet ",$B31))</f>
        <v/>
      </c>
    </row>
    <row r="32" ht="15" customHeight="1" s="77">
      <c r="A32" s="123" t="n"/>
      <c r="B32" s="124" t="n"/>
      <c r="C32" s="124" t="n"/>
      <c r="D32" s="125" t="n"/>
      <c r="E32" s="126" t="n"/>
      <c r="F32" s="124" t="n"/>
      <c r="G32" s="121">
        <f>IF($D32=0,0,$D32*$E32)</f>
        <v/>
      </c>
      <c r="H32" s="122">
        <f>IF($B32="","",CONCATENATE("Hareket: ",$C32,"/",$D32," adet ",$B32))</f>
        <v/>
      </c>
    </row>
    <row r="33" ht="15" customHeight="1" s="77">
      <c r="A33" s="123" t="n"/>
      <c r="B33" s="124" t="n"/>
      <c r="C33" s="124" t="n"/>
      <c r="D33" s="125" t="n"/>
      <c r="E33" s="126" t="n"/>
      <c r="F33" s="124" t="n"/>
      <c r="G33" s="121">
        <f>IF($D33=0,0,$D33*$E33)</f>
        <v/>
      </c>
      <c r="H33" s="122">
        <f>IF($B33="","",CONCATENATE("Hareket: ",$C33,"/",$D33," adet ",$B33))</f>
        <v/>
      </c>
    </row>
    <row r="34" ht="15" customHeight="1" s="77">
      <c r="A34" s="123" t="n"/>
      <c r="B34" s="124" t="n"/>
      <c r="C34" s="124" t="n"/>
      <c r="D34" s="125" t="n"/>
      <c r="E34" s="126" t="n"/>
      <c r="F34" s="124" t="n"/>
      <c r="G34" s="121">
        <f>IF($D34=0,0,$D34*$E34)</f>
        <v/>
      </c>
      <c r="H34" s="122">
        <f>IF($B34="","",CONCATENATE("Hareket: ",$C34,"/",$D34," adet ",$B34))</f>
        <v/>
      </c>
    </row>
    <row r="35" ht="15" customHeight="1" s="77">
      <c r="A35" s="123" t="n"/>
      <c r="B35" s="124" t="n"/>
      <c r="C35" s="124" t="n"/>
      <c r="D35" s="125" t="n"/>
      <c r="E35" s="126" t="n"/>
      <c r="F35" s="124" t="n"/>
      <c r="G35" s="121">
        <f>IF($D35=0,0,$D35*$E35)</f>
        <v/>
      </c>
      <c r="H35" s="122">
        <f>IF($B35="","",CONCATENATE("Hareket: ",$C35,"/",$D35," adet ",$B35))</f>
        <v/>
      </c>
    </row>
    <row r="36" ht="15" customHeight="1" s="77">
      <c r="A36" s="123" t="n"/>
      <c r="B36" s="124" t="n"/>
      <c r="C36" s="124" t="n"/>
      <c r="D36" s="125" t="n"/>
      <c r="E36" s="126" t="n"/>
      <c r="F36" s="124" t="n"/>
      <c r="G36" s="121">
        <f>IF($D36=0,0,$D36*$E36)</f>
        <v/>
      </c>
      <c r="H36" s="122">
        <f>IF($B36="","",CONCATENATE("Hareket: ",$C36,"/",$D36," adet ",$B36))</f>
        <v/>
      </c>
    </row>
    <row r="37" ht="15" customHeight="1" s="77">
      <c r="A37" s="123" t="n"/>
      <c r="B37" s="124" t="n"/>
      <c r="C37" s="124" t="n"/>
      <c r="D37" s="125" t="n"/>
      <c r="E37" s="126" t="n"/>
      <c r="F37" s="124" t="n"/>
      <c r="G37" s="121">
        <f>IF($D37=0,0,$D37*$E37)</f>
        <v/>
      </c>
      <c r="H37" s="122">
        <f>IF($B37="","",CONCATENATE("Hareket: ",$C37,"/",$D37," adet ",$B37))</f>
        <v/>
      </c>
    </row>
    <row r="38" ht="15" customHeight="1" s="77">
      <c r="A38" s="123" t="n"/>
      <c r="B38" s="124" t="n"/>
      <c r="C38" s="124" t="n"/>
      <c r="D38" s="125" t="n"/>
      <c r="E38" s="126" t="n"/>
      <c r="F38" s="124" t="n"/>
      <c r="G38" s="121">
        <f>IF($D38=0,0,$D38*$E38)</f>
        <v/>
      </c>
      <c r="H38" s="122">
        <f>IF($B38="","",CONCATENATE("Hareket: ",$C38,"/",$D38," adet ",$B38))</f>
        <v/>
      </c>
    </row>
    <row r="39" ht="15" customHeight="1" s="77">
      <c r="A39" s="123" t="n"/>
      <c r="B39" s="124" t="n"/>
      <c r="C39" s="124" t="n"/>
      <c r="D39" s="125" t="n"/>
      <c r="E39" s="126" t="n"/>
      <c r="F39" s="124" t="n"/>
      <c r="G39" s="121">
        <f>IF($D39=0,0,$D39*$E39)</f>
        <v/>
      </c>
      <c r="H39" s="122">
        <f>IF($B39="","",CONCATENATE("Hareket: ",$C39,"/",$D39," adet ",$B39))</f>
        <v/>
      </c>
    </row>
    <row r="40" ht="15" customHeight="1" s="77">
      <c r="A40" s="123" t="n"/>
      <c r="B40" s="124" t="n"/>
      <c r="C40" s="124" t="n"/>
      <c r="D40" s="125" t="n"/>
      <c r="E40" s="126" t="n"/>
      <c r="F40" s="124" t="n"/>
      <c r="G40" s="121">
        <f>IF($D40=0,0,$D40*$E40)</f>
        <v/>
      </c>
      <c r="H40" s="122">
        <f>IF($B40="","",CONCATENATE("Hareket: ",$C40,"/",$D40," adet ",$B40))</f>
        <v/>
      </c>
    </row>
    <row r="41" ht="15" customHeight="1" s="77">
      <c r="A41" s="123" t="n"/>
      <c r="B41" s="124" t="n"/>
      <c r="C41" s="124" t="n"/>
      <c r="D41" s="125" t="n"/>
      <c r="E41" s="126" t="n"/>
      <c r="F41" s="124" t="n"/>
      <c r="G41" s="121">
        <f>IF($D41=0,0,$D41*$E41)</f>
        <v/>
      </c>
      <c r="H41" s="122">
        <f>IF($B41="","",CONCATENATE("Hareket: ",$C41,"/",$D41," adet ",$B41))</f>
        <v/>
      </c>
    </row>
    <row r="42" ht="15" customHeight="1" s="77">
      <c r="A42" s="123" t="n"/>
      <c r="B42" s="124" t="n"/>
      <c r="C42" s="124" t="n"/>
      <c r="D42" s="125" t="n"/>
      <c r="E42" s="126" t="n"/>
      <c r="F42" s="124" t="n"/>
      <c r="G42" s="121">
        <f>IF($D42=0,0,$D42*$E42)</f>
        <v/>
      </c>
      <c r="H42" s="122">
        <f>IF($B42="","",CONCATENATE("Hareket: ",$C42,"/",$D42," adet ",$B42))</f>
        <v/>
      </c>
    </row>
    <row r="43" ht="15" customHeight="1" s="77">
      <c r="A43" s="123" t="n"/>
      <c r="B43" s="124" t="n"/>
      <c r="C43" s="124" t="n"/>
      <c r="D43" s="125" t="n"/>
      <c r="E43" s="126" t="n"/>
      <c r="F43" s="124" t="n"/>
      <c r="G43" s="121">
        <f>IF($D43=0,0,$D43*$E43)</f>
        <v/>
      </c>
      <c r="H43" s="122">
        <f>IF($B43="","",CONCATENATE("Hareket: ",$C43,"/",$D43," adet ",$B43))</f>
        <v/>
      </c>
    </row>
    <row r="44" ht="15" customHeight="1" s="77">
      <c r="A44" s="123" t="n"/>
      <c r="B44" s="124" t="n"/>
      <c r="C44" s="124" t="n"/>
      <c r="D44" s="125" t="n"/>
      <c r="E44" s="126" t="n"/>
      <c r="F44" s="124" t="n"/>
      <c r="G44" s="121">
        <f>IF($D44=0,0,$D44*$E44)</f>
        <v/>
      </c>
      <c r="H44" s="122">
        <f>IF($B44="","",CONCATENATE("Hareket: ",$C44,"/",$D44," adet ",$B44))</f>
        <v/>
      </c>
    </row>
    <row r="45" ht="15" customHeight="1" s="77">
      <c r="A45" s="123" t="n"/>
      <c r="B45" s="124" t="n"/>
      <c r="C45" s="124" t="n"/>
      <c r="D45" s="125" t="n"/>
      <c r="E45" s="126" t="n"/>
      <c r="F45" s="124" t="n"/>
      <c r="G45" s="121">
        <f>IF($D45=0,0,$D45*$E45)</f>
        <v/>
      </c>
      <c r="H45" s="122">
        <f>IF($B45="","",CONCATENATE("Hareket: ",$C45,"/",$D45," adet ",$B45))</f>
        <v/>
      </c>
    </row>
    <row r="46" ht="15" customHeight="1" s="77">
      <c r="A46" s="123" t="n"/>
      <c r="B46" s="124" t="n"/>
      <c r="C46" s="124" t="n"/>
      <c r="D46" s="125" t="n"/>
      <c r="E46" s="126" t="n"/>
      <c r="F46" s="124" t="n"/>
      <c r="G46" s="121">
        <f>IF($D46=0,0,$D46*$E46)</f>
        <v/>
      </c>
      <c r="H46" s="122">
        <f>IF($B46="","",CONCATENATE("Hareket: ",$C46,"/",$D46," adet ",$B46))</f>
        <v/>
      </c>
    </row>
    <row r="47" ht="15" customHeight="1" s="77">
      <c r="A47" s="123" t="n"/>
      <c r="B47" s="124" t="n"/>
      <c r="C47" s="124" t="n"/>
      <c r="D47" s="125" t="n"/>
      <c r="E47" s="126" t="n"/>
      <c r="F47" s="124" t="n"/>
      <c r="G47" s="121">
        <f>IF($D47=0,0,$D47*$E47)</f>
        <v/>
      </c>
      <c r="H47" s="122">
        <f>IF($B47="","",CONCATENATE("Hareket: ",$C47,"/",$D47," adet ",$B47))</f>
        <v/>
      </c>
    </row>
    <row r="48" ht="15" customHeight="1" s="77">
      <c r="A48" s="123" t="n"/>
      <c r="B48" s="124" t="n"/>
      <c r="C48" s="124" t="n"/>
      <c r="D48" s="125" t="n"/>
      <c r="E48" s="126" t="n"/>
      <c r="F48" s="124" t="n"/>
      <c r="G48" s="121">
        <f>IF($D48=0,0,$D48*$E48)</f>
        <v/>
      </c>
      <c r="H48" s="122">
        <f>IF($B48="","",CONCATENATE("Hareket: ",$C48,"/",$D48," adet ",$B48))</f>
        <v/>
      </c>
    </row>
    <row r="49" ht="15" customHeight="1" s="77">
      <c r="A49" s="123" t="n"/>
      <c r="B49" s="124" t="n"/>
      <c r="C49" s="124" t="n"/>
      <c r="D49" s="125" t="n"/>
      <c r="E49" s="126" t="n"/>
      <c r="F49" s="124" t="n"/>
      <c r="G49" s="121">
        <f>IF($D49=0,0,$D49*$E49)</f>
        <v/>
      </c>
      <c r="H49" s="122">
        <f>IF($B49="","",CONCATENATE("Hareket: ",$C49,"/",$D49," adet ",$B49))</f>
        <v/>
      </c>
    </row>
    <row r="50" ht="15" customHeight="1" s="77">
      <c r="A50" s="123" t="n"/>
      <c r="B50" s="124" t="n"/>
      <c r="C50" s="124" t="n"/>
      <c r="D50" s="125" t="n"/>
      <c r="E50" s="126" t="n"/>
      <c r="F50" s="124" t="n"/>
      <c r="G50" s="121">
        <f>IF($D50=0,0,$D50*$E50)</f>
        <v/>
      </c>
      <c r="H50" s="122">
        <f>IF($B50="","",CONCATENATE("Hareket: ",$C50,"/",$D50," adet ",$B50))</f>
        <v/>
      </c>
    </row>
    <row r="51" ht="15" customHeight="1" s="77">
      <c r="A51" s="123" t="n"/>
      <c r="B51" s="124" t="n"/>
      <c r="C51" s="124" t="n"/>
      <c r="D51" s="125" t="n"/>
      <c r="E51" s="126" t="n"/>
      <c r="F51" s="124" t="n"/>
      <c r="G51" s="121">
        <f>IF($D51=0,0,$D51*$E51)</f>
        <v/>
      </c>
      <c r="H51" s="122">
        <f>IF($B51="","",CONCATENATE("Hareket: ",$C51,"/",$D51," adet ",$B51))</f>
        <v/>
      </c>
    </row>
    <row r="52" ht="15" customHeight="1" s="77">
      <c r="A52" s="123" t="n"/>
      <c r="B52" s="124" t="n"/>
      <c r="C52" s="124" t="n"/>
      <c r="D52" s="125" t="n"/>
      <c r="E52" s="126" t="n"/>
      <c r="F52" s="124" t="n"/>
      <c r="G52" s="121">
        <f>IF($D52=0,0,$D52*$E52)</f>
        <v/>
      </c>
      <c r="H52" s="122">
        <f>IF($B52="","",CONCATENATE("Hareket: ",$C52,"/",$D52," adet ",$B52))</f>
        <v/>
      </c>
    </row>
    <row r="53" ht="15" customHeight="1" s="77">
      <c r="A53" s="123" t="n"/>
      <c r="B53" s="124" t="n"/>
      <c r="C53" s="124" t="n"/>
      <c r="D53" s="125" t="n"/>
      <c r="E53" s="126" t="n"/>
      <c r="F53" s="124" t="n"/>
      <c r="G53" s="121">
        <f>IF($D53=0,0,$D53*$E53)</f>
        <v/>
      </c>
      <c r="H53" s="122">
        <f>IF($B53="","",CONCATENATE("Hareket: ",$C53,"/",$D53," adet ",$B53))</f>
        <v/>
      </c>
    </row>
    <row r="54" ht="15" customHeight="1" s="77">
      <c r="A54" s="123" t="n"/>
      <c r="B54" s="124" t="n"/>
      <c r="C54" s="124" t="n"/>
      <c r="D54" s="125" t="n"/>
      <c r="E54" s="126" t="n"/>
      <c r="F54" s="124" t="n"/>
      <c r="G54" s="121">
        <f>IF($D54=0,0,$D54*$E54)</f>
        <v/>
      </c>
      <c r="H54" s="122">
        <f>IF($B54="","",CONCATENATE("Hareket: ",$C54,"/",$D54," adet ",$B54))</f>
        <v/>
      </c>
    </row>
    <row r="55" ht="15" customHeight="1" s="77">
      <c r="A55" s="123" t="n"/>
      <c r="B55" s="124" t="n"/>
      <c r="C55" s="124" t="n"/>
      <c r="D55" s="125" t="n"/>
      <c r="E55" s="126" t="n"/>
      <c r="F55" s="124" t="n"/>
      <c r="G55" s="121">
        <f>IF($D55=0,0,$D55*$E55)</f>
        <v/>
      </c>
      <c r="H55" s="122">
        <f>IF($B55="","",CONCATENATE("Hareket: ",$C55,"/",$D55," adet ",$B55))</f>
        <v/>
      </c>
    </row>
    <row r="56" ht="15" customHeight="1" s="77">
      <c r="A56" s="123" t="n"/>
      <c r="B56" s="124" t="n"/>
      <c r="C56" s="124" t="n"/>
      <c r="D56" s="125" t="n"/>
      <c r="E56" s="126" t="n"/>
      <c r="F56" s="124" t="n"/>
      <c r="G56" s="121">
        <f>IF($D56=0,0,$D56*$E56)</f>
        <v/>
      </c>
      <c r="H56" s="122">
        <f>IF($B56="","",CONCATENATE("Hareket: ",$C56,"/",$D56," adet ",$B56))</f>
        <v/>
      </c>
    </row>
    <row r="57" ht="15" customHeight="1" s="77">
      <c r="A57" s="123" t="n"/>
      <c r="B57" s="124" t="n"/>
      <c r="C57" s="124" t="n"/>
      <c r="D57" s="125" t="n"/>
      <c r="E57" s="126" t="n"/>
      <c r="F57" s="124" t="n"/>
      <c r="G57" s="121">
        <f>IF($D57=0,0,$D57*$E57)</f>
        <v/>
      </c>
      <c r="H57" s="122">
        <f>IF($B57="","",CONCATENATE("Hareket: ",$C57,"/",$D57," adet ",$B57))</f>
        <v/>
      </c>
    </row>
    <row r="58" ht="15" customHeight="1" s="77">
      <c r="A58" s="123" t="n"/>
      <c r="B58" s="124" t="n"/>
      <c r="C58" s="124" t="n"/>
      <c r="D58" s="125" t="n"/>
      <c r="E58" s="126" t="n"/>
      <c r="F58" s="124" t="n"/>
      <c r="G58" s="121">
        <f>IF($D58=0,0,$D58*$E58)</f>
        <v/>
      </c>
      <c r="H58" s="122">
        <f>IF($B58="","",CONCATENATE("Hareket: ",$C58,"/",$D58," adet ",$B58))</f>
        <v/>
      </c>
    </row>
    <row r="59" ht="15" customHeight="1" s="77">
      <c r="A59" s="123" t="n"/>
      <c r="B59" s="124" t="n"/>
      <c r="C59" s="124" t="n"/>
      <c r="D59" s="125" t="n"/>
      <c r="E59" s="126" t="n"/>
      <c r="F59" s="124" t="n"/>
      <c r="G59" s="121">
        <f>IF($D59=0,0,$D59*$E59)</f>
        <v/>
      </c>
      <c r="H59" s="122">
        <f>IF($B59="","",CONCATENATE("Hareket: ",$C59,"/",$D59," adet ",$B59))</f>
        <v/>
      </c>
    </row>
    <row r="60" ht="15" customHeight="1" s="77">
      <c r="A60" s="123" t="n"/>
      <c r="B60" s="124" t="n"/>
      <c r="C60" s="124" t="n"/>
      <c r="D60" s="125" t="n"/>
      <c r="E60" s="126" t="n"/>
      <c r="F60" s="124" t="n"/>
      <c r="G60" s="121">
        <f>IF($D60=0,0,$D60*$E60)</f>
        <v/>
      </c>
      <c r="H60" s="122">
        <f>IF($B60="","",CONCATENATE("Hareket: ",$C60,"/",$D60," adet ",$B60))</f>
        <v/>
      </c>
    </row>
    <row r="61" ht="15" customHeight="1" s="77">
      <c r="A61" s="123" t="n"/>
      <c r="B61" s="124" t="n"/>
      <c r="C61" s="124" t="n"/>
      <c r="D61" s="125" t="n"/>
      <c r="E61" s="126" t="n"/>
      <c r="F61" s="124" t="n"/>
      <c r="G61" s="121">
        <f>IF($D61=0,0,$D61*$E61)</f>
        <v/>
      </c>
      <c r="H61" s="122">
        <f>IF($B61="","",CONCATENATE("Hareket: ",$C61,"/",$D61," adet ",$B61))</f>
        <v/>
      </c>
    </row>
    <row r="62" ht="15" customHeight="1" s="77">
      <c r="A62" s="123" t="n"/>
      <c r="B62" s="124" t="n"/>
      <c r="C62" s="124" t="n"/>
      <c r="D62" s="125" t="n"/>
      <c r="E62" s="126" t="n"/>
      <c r="F62" s="124" t="n"/>
      <c r="G62" s="121">
        <f>IF($D62=0,0,$D62*$E62)</f>
        <v/>
      </c>
      <c r="H62" s="122">
        <f>IF($B62="","",CONCATENATE("Hareket: ",$C62,"/",$D62," adet ",$B62))</f>
        <v/>
      </c>
    </row>
    <row r="63" ht="15" customHeight="1" s="77">
      <c r="A63" s="123" t="n"/>
      <c r="B63" s="124" t="n"/>
      <c r="C63" s="124" t="n"/>
      <c r="D63" s="125" t="n"/>
      <c r="E63" s="126" t="n"/>
      <c r="F63" s="124" t="n"/>
      <c r="G63" s="121">
        <f>IF($D63=0,0,$D63*$E63)</f>
        <v/>
      </c>
      <c r="H63" s="122">
        <f>IF($B63="","",CONCATENATE("Hareket: ",$C63,"/",$D63," adet ",$B63))</f>
        <v/>
      </c>
    </row>
    <row r="64" ht="15" customHeight="1" s="77">
      <c r="A64" s="123" t="n"/>
      <c r="B64" s="124" t="n"/>
      <c r="C64" s="124" t="n"/>
      <c r="D64" s="125" t="n"/>
      <c r="E64" s="126" t="n"/>
      <c r="F64" s="124" t="n"/>
      <c r="G64" s="121">
        <f>IF($D64=0,0,$D64*$E64)</f>
        <v/>
      </c>
      <c r="H64" s="122">
        <f>IF($B64="","",CONCATENATE("Hareket: ",$C64,"/",$D64," adet ",$B64))</f>
        <v/>
      </c>
    </row>
    <row r="65" ht="15" customHeight="1" s="77">
      <c r="A65" s="123" t="n"/>
      <c r="B65" s="124" t="n"/>
      <c r="C65" s="124" t="n"/>
      <c r="D65" s="125" t="n"/>
      <c r="E65" s="126" t="n"/>
      <c r="F65" s="124" t="n"/>
      <c r="G65" s="121">
        <f>IF($D65=0,0,$D65*$E65)</f>
        <v/>
      </c>
      <c r="H65" s="122">
        <f>IF($B65="","",CONCATENATE("Hareket: ",$C65,"/",$D65," adet ",$B65))</f>
        <v/>
      </c>
    </row>
    <row r="66" ht="15" customHeight="1" s="77">
      <c r="A66" s="123" t="n"/>
      <c r="B66" s="124" t="n"/>
      <c r="C66" s="124" t="n"/>
      <c r="D66" s="125" t="n"/>
      <c r="E66" s="126" t="n"/>
      <c r="F66" s="124" t="n"/>
      <c r="G66" s="121">
        <f>IF($D66=0,0,$D66*$E66)</f>
        <v/>
      </c>
      <c r="H66" s="122">
        <f>IF($B66="","",CONCATENATE("Hareket: ",$C66,"/",$D66," adet ",$B66))</f>
        <v/>
      </c>
    </row>
    <row r="67" ht="15" customHeight="1" s="77">
      <c r="A67" s="123" t="n"/>
      <c r="B67" s="124" t="n"/>
      <c r="C67" s="124" t="n"/>
      <c r="D67" s="125" t="n"/>
      <c r="E67" s="126" t="n"/>
      <c r="F67" s="124" t="n"/>
      <c r="G67" s="121">
        <f>IF($D67=0,0,$D67*$E67)</f>
        <v/>
      </c>
      <c r="H67" s="122">
        <f>IF($B67="","",CONCATENATE("Hareket: ",$C67,"/",$D67," adet ",$B67))</f>
        <v/>
      </c>
    </row>
    <row r="68" ht="15" customHeight="1" s="77">
      <c r="A68" s="123" t="n"/>
      <c r="B68" s="124" t="n"/>
      <c r="C68" s="124" t="n"/>
      <c r="D68" s="125" t="n"/>
      <c r="E68" s="126" t="n"/>
      <c r="F68" s="124" t="n"/>
      <c r="G68" s="121">
        <f>IF($D68=0,0,$D68*$E68)</f>
        <v/>
      </c>
      <c r="H68" s="122">
        <f>IF($B68="","",CONCATENATE("Hareket: ",$C68,"/",$D68," adet ",$B68))</f>
        <v/>
      </c>
    </row>
    <row r="69" ht="15" customHeight="1" s="77">
      <c r="A69" s="123" t="n"/>
      <c r="B69" s="124" t="n"/>
      <c r="C69" s="124" t="n"/>
      <c r="D69" s="125" t="n"/>
      <c r="E69" s="126" t="n"/>
      <c r="F69" s="124" t="n"/>
      <c r="G69" s="121">
        <f>IF($D69=0,0,$D69*$E69)</f>
        <v/>
      </c>
      <c r="H69" s="122">
        <f>IF($B69="","",CONCATENATE("Hareket: ",$C69,"/",$D69," adet ",$B69))</f>
        <v/>
      </c>
    </row>
    <row r="70" ht="15" customHeight="1" s="77">
      <c r="A70" s="123" t="n"/>
      <c r="B70" s="124" t="n"/>
      <c r="C70" s="124" t="n"/>
      <c r="D70" s="125" t="n"/>
      <c r="E70" s="126" t="n"/>
      <c r="F70" s="124" t="n"/>
      <c r="G70" s="121">
        <f>IF($D70=0,0,$D70*$E70)</f>
        <v/>
      </c>
      <c r="H70" s="122">
        <f>IF($B70="","",CONCATENATE("Hareket: ",$C70,"/",$D70," adet ",$B70))</f>
        <v/>
      </c>
    </row>
    <row r="71" ht="15" customHeight="1" s="77">
      <c r="A71" s="123" t="n"/>
      <c r="B71" s="124" t="n"/>
      <c r="C71" s="124" t="n"/>
      <c r="D71" s="125" t="n"/>
      <c r="E71" s="126" t="n"/>
      <c r="F71" s="124" t="n"/>
      <c r="G71" s="121">
        <f>IF($D71=0,0,$D71*$E71)</f>
        <v/>
      </c>
      <c r="H71" s="122">
        <f>IF($B71="","",CONCATENATE("Hareket: ",$C71,"/",$D71," adet ",$B71))</f>
        <v/>
      </c>
    </row>
    <row r="72" ht="15" customHeight="1" s="77">
      <c r="A72" s="123" t="n"/>
      <c r="B72" s="124" t="n"/>
      <c r="C72" s="124" t="n"/>
      <c r="D72" s="125" t="n"/>
      <c r="E72" s="126" t="n"/>
      <c r="F72" s="124" t="n"/>
      <c r="G72" s="121">
        <f>IF($D72=0,0,$D72*$E72)</f>
        <v/>
      </c>
      <c r="H72" s="122">
        <f>IF($B72="","",CONCATENATE("Hareket: ",$C72,"/",$D72," adet ",$B72))</f>
        <v/>
      </c>
    </row>
    <row r="73" ht="15" customHeight="1" s="77">
      <c r="A73" s="123" t="n"/>
      <c r="B73" s="124" t="n"/>
      <c r="C73" s="124" t="n"/>
      <c r="D73" s="125" t="n"/>
      <c r="E73" s="126" t="n"/>
      <c r="F73" s="124" t="n"/>
      <c r="G73" s="121">
        <f>IF($D73=0,0,$D73*$E73)</f>
        <v/>
      </c>
      <c r="H73" s="122">
        <f>IF($B73="","",CONCATENATE("Hareket: ",$C73,"/",$D73," adet ",$B73))</f>
        <v/>
      </c>
    </row>
    <row r="74" ht="15" customHeight="1" s="77">
      <c r="A74" s="123" t="n"/>
      <c r="B74" s="124" t="n"/>
      <c r="C74" s="124" t="n"/>
      <c r="D74" s="125" t="n"/>
      <c r="E74" s="126" t="n"/>
      <c r="F74" s="124" t="n"/>
      <c r="G74" s="121">
        <f>IF($D74=0,0,$D74*$E74)</f>
        <v/>
      </c>
      <c r="H74" s="122">
        <f>IF($B74="","",CONCATENATE("Hareket: ",$C74,"/",$D74," adet ",$B74))</f>
        <v/>
      </c>
    </row>
    <row r="75" ht="15" customHeight="1" s="77">
      <c r="A75" s="123" t="n"/>
      <c r="B75" s="124" t="n"/>
      <c r="C75" s="124" t="n"/>
      <c r="D75" s="125" t="n"/>
      <c r="E75" s="126" t="n"/>
      <c r="F75" s="124" t="n"/>
      <c r="G75" s="121">
        <f>IF($D75=0,0,$D75*$E75)</f>
        <v/>
      </c>
      <c r="H75" s="122">
        <f>IF($B75="","",CONCATENATE("Hareket: ",$C75,"/",$D75," adet ",$B75))</f>
        <v/>
      </c>
    </row>
    <row r="76" ht="15" customHeight="1" s="77">
      <c r="A76" s="123" t="n"/>
      <c r="B76" s="124" t="n"/>
      <c r="C76" s="124" t="n"/>
      <c r="D76" s="125" t="n"/>
      <c r="E76" s="126" t="n"/>
      <c r="F76" s="124" t="n"/>
      <c r="G76" s="121">
        <f>IF($D76=0,0,$D76*$E76)</f>
        <v/>
      </c>
      <c r="H76" s="122">
        <f>IF($B76="","",CONCATENATE("Hareket: ",$C76,"/",$D76," adet ",$B76))</f>
        <v/>
      </c>
    </row>
    <row r="77" ht="15" customHeight="1" s="77">
      <c r="A77" s="123" t="n"/>
      <c r="B77" s="124" t="n"/>
      <c r="C77" s="124" t="n"/>
      <c r="D77" s="125" t="n"/>
      <c r="E77" s="126" t="n"/>
      <c r="F77" s="124" t="n"/>
      <c r="G77" s="121">
        <f>IF($D77=0,0,$D77*$E77)</f>
        <v/>
      </c>
      <c r="H77" s="122">
        <f>IF($B77="","",CONCATENATE("Hareket: ",$C77,"/",$D77," adet ",$B77))</f>
        <v/>
      </c>
    </row>
    <row r="78" ht="15" customHeight="1" s="77">
      <c r="A78" s="123" t="n"/>
      <c r="B78" s="124" t="n"/>
      <c r="C78" s="124" t="n"/>
      <c r="D78" s="125" t="n"/>
      <c r="E78" s="126" t="n"/>
      <c r="F78" s="124" t="n"/>
      <c r="G78" s="121">
        <f>IF($D78=0,0,$D78*$E78)</f>
        <v/>
      </c>
      <c r="H78" s="122">
        <f>IF($B78="","",CONCATENATE("Hareket: ",$C78,"/",$D78," adet ",$B78))</f>
        <v/>
      </c>
    </row>
    <row r="79" ht="15" customHeight="1" s="77">
      <c r="A79" s="123" t="n"/>
      <c r="B79" s="124" t="n"/>
      <c r="C79" s="124" t="n"/>
      <c r="D79" s="125" t="n"/>
      <c r="E79" s="126" t="n"/>
      <c r="F79" s="124" t="n"/>
      <c r="G79" s="121">
        <f>IF($D79=0,0,$D79*$E79)</f>
        <v/>
      </c>
      <c r="H79" s="122">
        <f>IF($B79="","",CONCATENATE("Hareket: ",$C79,"/",$D79," adet ",$B79))</f>
        <v/>
      </c>
    </row>
    <row r="80" ht="15" customHeight="1" s="77">
      <c r="A80" s="123" t="n"/>
      <c r="B80" s="124" t="n"/>
      <c r="C80" s="124" t="n"/>
      <c r="D80" s="125" t="n"/>
      <c r="E80" s="126" t="n"/>
      <c r="F80" s="124" t="n"/>
      <c r="G80" s="121">
        <f>IF($D80=0,0,$D80*$E80)</f>
        <v/>
      </c>
      <c r="H80" s="122">
        <f>IF($B80="","",CONCATENATE("Hareket: ",$C80,"/",$D80," adet ",$B80))</f>
        <v/>
      </c>
    </row>
    <row r="81" ht="15" customHeight="1" s="77">
      <c r="A81" s="123" t="n"/>
      <c r="B81" s="124" t="n"/>
      <c r="C81" s="124" t="n"/>
      <c r="D81" s="125" t="n"/>
      <c r="E81" s="126" t="n"/>
      <c r="F81" s="124" t="n"/>
      <c r="G81" s="121">
        <f>IF($D81=0,0,$D81*$E81)</f>
        <v/>
      </c>
      <c r="H81" s="122">
        <f>IF($B81="","",CONCATENATE("Hareket: ",$C81,"/",$D81," adet ",$B81))</f>
        <v/>
      </c>
    </row>
    <row r="82" ht="15" customHeight="1" s="77">
      <c r="A82" s="123" t="n"/>
      <c r="B82" s="124" t="n"/>
      <c r="C82" s="124" t="n"/>
      <c r="D82" s="125" t="n"/>
      <c r="E82" s="126" t="n"/>
      <c r="F82" s="124" t="n"/>
      <c r="G82" s="121">
        <f>IF($D82=0,0,$D82*$E82)</f>
        <v/>
      </c>
      <c r="H82" s="122">
        <f>IF($B82="","",CONCATENATE("Hareket: ",$C82,"/",$D82," adet ",$B82))</f>
        <v/>
      </c>
    </row>
    <row r="83" ht="15" customHeight="1" s="77">
      <c r="A83" s="123" t="n"/>
      <c r="B83" s="124" t="n"/>
      <c r="C83" s="124" t="n"/>
      <c r="D83" s="125" t="n"/>
      <c r="E83" s="126" t="n"/>
      <c r="F83" s="124" t="n"/>
      <c r="G83" s="121">
        <f>IF($D83=0,0,$D83*$E83)</f>
        <v/>
      </c>
      <c r="H83" s="122">
        <f>IF($B83="","",CONCATENATE("Hareket: ",$C83,"/",$D83," adet ",$B83))</f>
        <v/>
      </c>
    </row>
    <row r="84" ht="15" customHeight="1" s="77">
      <c r="A84" s="123" t="n"/>
      <c r="B84" s="124" t="n"/>
      <c r="C84" s="124" t="n"/>
      <c r="D84" s="125" t="n"/>
      <c r="E84" s="126" t="n"/>
      <c r="F84" s="124" t="n"/>
      <c r="G84" s="121">
        <f>IF($D84=0,0,$D84*$E84)</f>
        <v/>
      </c>
      <c r="H84" s="122">
        <f>IF($B84="","",CONCATENATE("Hareket: ",$C84,"/",$D84," adet ",$B84))</f>
        <v/>
      </c>
    </row>
    <row r="85" ht="15" customHeight="1" s="77">
      <c r="A85" s="123" t="n"/>
      <c r="B85" s="124" t="n"/>
      <c r="C85" s="124" t="n"/>
      <c r="D85" s="125" t="n"/>
      <c r="E85" s="126" t="n"/>
      <c r="F85" s="124" t="n"/>
      <c r="G85" s="121">
        <f>IF($D85=0,0,$D85*$E85)</f>
        <v/>
      </c>
      <c r="H85" s="122">
        <f>IF($B85="","",CONCATENATE("Hareket: ",$C85,"/",$D85," adet ",$B85))</f>
        <v/>
      </c>
    </row>
    <row r="86" ht="15" customHeight="1" s="77">
      <c r="A86" s="123" t="n"/>
      <c r="B86" s="124" t="n"/>
      <c r="C86" s="124" t="n"/>
      <c r="D86" s="125" t="n"/>
      <c r="E86" s="126" t="n"/>
      <c r="F86" s="124" t="n"/>
      <c r="G86" s="121">
        <f>IF($D86=0,0,$D86*$E86)</f>
        <v/>
      </c>
      <c r="H86" s="122">
        <f>IF($B86="","",CONCATENATE("Hareket: ",$C86,"/",$D86," adet ",$B86))</f>
        <v/>
      </c>
    </row>
    <row r="87" ht="15" customHeight="1" s="77">
      <c r="A87" s="123" t="n"/>
      <c r="B87" s="124" t="n"/>
      <c r="C87" s="124" t="n"/>
      <c r="D87" s="125" t="n"/>
      <c r="E87" s="126" t="n"/>
      <c r="F87" s="124" t="n"/>
      <c r="G87" s="121">
        <f>IF($D87=0,0,$D87*$E87)</f>
        <v/>
      </c>
      <c r="H87" s="122">
        <f>IF($B87="","",CONCATENATE("Hareket: ",$C87,"/",$D87," adet ",$B87))</f>
        <v/>
      </c>
    </row>
    <row r="88" ht="15" customHeight="1" s="77">
      <c r="A88" s="123" t="n"/>
      <c r="B88" s="124" t="n"/>
      <c r="C88" s="124" t="n"/>
      <c r="D88" s="125" t="n"/>
      <c r="E88" s="126" t="n"/>
      <c r="F88" s="124" t="n"/>
      <c r="G88" s="121">
        <f>IF($D88=0,0,$D88*$E88)</f>
        <v/>
      </c>
      <c r="H88" s="122">
        <f>IF($B88="","",CONCATENATE("Hareket: ",$C88,"/",$D88," adet ",$B88))</f>
        <v/>
      </c>
    </row>
    <row r="89" ht="15" customHeight="1" s="77">
      <c r="A89" s="123" t="n"/>
      <c r="B89" s="124" t="n"/>
      <c r="C89" s="124" t="n"/>
      <c r="D89" s="125" t="n"/>
      <c r="E89" s="126" t="n"/>
      <c r="F89" s="124" t="n"/>
      <c r="G89" s="121">
        <f>IF($D89=0,0,$D89*$E89)</f>
        <v/>
      </c>
      <c r="H89" s="122">
        <f>IF($B89="","",CONCATENATE("Hareket: ",$C89,"/",$D89," adet ",$B89))</f>
        <v/>
      </c>
    </row>
    <row r="90" ht="15" customHeight="1" s="77">
      <c r="A90" s="123" t="n"/>
      <c r="B90" s="124" t="n"/>
      <c r="C90" s="124" t="n"/>
      <c r="D90" s="125" t="n"/>
      <c r="E90" s="126" t="n"/>
      <c r="F90" s="124" t="n"/>
      <c r="G90" s="121">
        <f>IF($D90=0,0,$D90*$E90)</f>
        <v/>
      </c>
      <c r="H90" s="122">
        <f>IF($B90="","",CONCATENATE("Hareket: ",$C90,"/",$D90," adet ",$B90))</f>
        <v/>
      </c>
    </row>
    <row r="91" ht="15" customHeight="1" s="77">
      <c r="A91" s="123" t="n"/>
      <c r="B91" s="124" t="n"/>
      <c r="C91" s="124" t="n"/>
      <c r="D91" s="125" t="n"/>
      <c r="E91" s="126" t="n"/>
      <c r="F91" s="124" t="n"/>
      <c r="G91" s="121">
        <f>IF($D91=0,0,$D91*$E91)</f>
        <v/>
      </c>
      <c r="H91" s="122">
        <f>IF($B91="","",CONCATENATE("Hareket: ",$C91,"/",$D91," adet ",$B91))</f>
        <v/>
      </c>
    </row>
    <row r="92" ht="15" customHeight="1" s="77">
      <c r="A92" s="123" t="n"/>
      <c r="B92" s="124" t="n"/>
      <c r="C92" s="124" t="n"/>
      <c r="D92" s="125" t="n"/>
      <c r="E92" s="126" t="n"/>
      <c r="F92" s="124" t="n"/>
      <c r="G92" s="121">
        <f>IF($D92=0,0,$D92*$E92)</f>
        <v/>
      </c>
      <c r="H92" s="122">
        <f>IF($B92="","",CONCATENATE("Hareket: ",$C92,"/",$D92," adet ",$B92))</f>
        <v/>
      </c>
    </row>
    <row r="93" ht="15" customHeight="1" s="77">
      <c r="A93" s="123" t="n"/>
      <c r="B93" s="124" t="n"/>
      <c r="C93" s="124" t="n"/>
      <c r="D93" s="125" t="n"/>
      <c r="E93" s="126" t="n"/>
      <c r="F93" s="124" t="n"/>
      <c r="G93" s="121">
        <f>IF($D93=0,0,$D93*$E93)</f>
        <v/>
      </c>
      <c r="H93" s="122">
        <f>IF($B93="","",CONCATENATE("Hareket: ",$C93,"/",$D93," adet ",$B93))</f>
        <v/>
      </c>
    </row>
    <row r="94" ht="15" customHeight="1" s="77">
      <c r="A94" s="123" t="n"/>
      <c r="B94" s="124" t="n"/>
      <c r="C94" s="124" t="n"/>
      <c r="D94" s="125" t="n"/>
      <c r="E94" s="126" t="n"/>
      <c r="F94" s="124" t="n"/>
      <c r="G94" s="121">
        <f>IF($D94=0,0,$D94*$E94)</f>
        <v/>
      </c>
      <c r="H94" s="122">
        <f>IF($B94="","",CONCATENATE("Hareket: ",$C94,"/",$D94," adet ",$B94))</f>
        <v/>
      </c>
    </row>
    <row r="95" ht="15" customHeight="1" s="77">
      <c r="A95" s="123" t="n"/>
      <c r="B95" s="124" t="n"/>
      <c r="C95" s="124" t="n"/>
      <c r="D95" s="125" t="n"/>
      <c r="E95" s="126" t="n"/>
      <c r="F95" s="124" t="n"/>
      <c r="G95" s="121">
        <f>IF($D95=0,0,$D95*$E95)</f>
        <v/>
      </c>
      <c r="H95" s="122">
        <f>IF($B95="","",CONCATENATE("Hareket: ",$C95,"/",$D95," adet ",$B95))</f>
        <v/>
      </c>
    </row>
    <row r="96" ht="15" customHeight="1" s="77">
      <c r="A96" s="123" t="n"/>
      <c r="B96" s="124" t="n"/>
      <c r="C96" s="124" t="n"/>
      <c r="D96" s="125" t="n"/>
      <c r="E96" s="126" t="n"/>
      <c r="F96" s="124" t="n"/>
      <c r="G96" s="121">
        <f>IF($D96=0,0,$D96*$E96)</f>
        <v/>
      </c>
      <c r="H96" s="122">
        <f>IF($B96="","",CONCATENATE("Hareket: ",$C96,"/",$D96," adet ",$B96))</f>
        <v/>
      </c>
    </row>
    <row r="97" ht="15" customHeight="1" s="77">
      <c r="A97" s="123" t="n"/>
      <c r="B97" s="124" t="n"/>
      <c r="C97" s="124" t="n"/>
      <c r="D97" s="125" t="n"/>
      <c r="E97" s="126" t="n"/>
      <c r="F97" s="124" t="n"/>
      <c r="G97" s="121">
        <f>IF($D97=0,0,$D97*$E97)</f>
        <v/>
      </c>
      <c r="H97" s="122">
        <f>IF($B97="","",CONCATENATE("Hareket: ",$C97,"/",$D97," adet ",$B97))</f>
        <v/>
      </c>
    </row>
    <row r="98" ht="15" customHeight="1" s="77">
      <c r="A98" s="123" t="n"/>
      <c r="B98" s="124" t="n"/>
      <c r="C98" s="124" t="n"/>
      <c r="D98" s="125" t="n"/>
      <c r="E98" s="126" t="n"/>
      <c r="F98" s="124" t="n"/>
      <c r="G98" s="121">
        <f>IF($D98=0,0,$D98*$E98)</f>
        <v/>
      </c>
      <c r="H98" s="122">
        <f>IF($B98="","",CONCATENATE("Hareket: ",$C98,"/",$D98," adet ",$B98))</f>
        <v/>
      </c>
    </row>
    <row r="99" ht="15" customHeight="1" s="77">
      <c r="A99" s="123" t="n"/>
      <c r="B99" s="124" t="n"/>
      <c r="C99" s="124" t="n"/>
      <c r="D99" s="125" t="n"/>
      <c r="E99" s="126" t="n"/>
      <c r="F99" s="124" t="n"/>
      <c r="G99" s="121">
        <f>IF($D99=0,0,$D99*$E99)</f>
        <v/>
      </c>
      <c r="H99" s="122">
        <f>IF($B99="","",CONCATENATE("Hareket: ",$C99,"/",$D99," adet ",$B99))</f>
        <v/>
      </c>
    </row>
    <row r="100" ht="15" customHeight="1" s="77">
      <c r="A100" s="123" t="n"/>
      <c r="B100" s="124" t="n"/>
      <c r="C100" s="124" t="n"/>
      <c r="D100" s="125" t="n"/>
      <c r="E100" s="126" t="n"/>
      <c r="F100" s="124" t="n"/>
      <c r="G100" s="121">
        <f>IF($D100=0,0,$D100*$E100)</f>
        <v/>
      </c>
      <c r="H100" s="122">
        <f>IF($B100="","",CONCATENATE("Hareket: ",$C100,"/",$D100," adet ",$B100))</f>
        <v/>
      </c>
    </row>
    <row r="101" ht="15" customHeight="1" s="77">
      <c r="A101" s="123" t="n"/>
      <c r="B101" s="124" t="n"/>
      <c r="C101" s="124" t="n"/>
      <c r="D101" s="125" t="n"/>
      <c r="E101" s="126" t="n"/>
      <c r="F101" s="124" t="n"/>
      <c r="G101" s="121">
        <f>IF($D101=0,0,$D101*$E101)</f>
        <v/>
      </c>
      <c r="H101" s="122">
        <f>IF($B101="","",CONCATENATE("Hareket: ",$C101,"/",$D101," adet ",$B101))</f>
        <v/>
      </c>
    </row>
    <row r="102" ht="15" customHeight="1" s="77">
      <c r="A102" s="123" t="n"/>
      <c r="B102" s="124" t="n"/>
      <c r="C102" s="124" t="n"/>
      <c r="D102" s="125" t="n"/>
      <c r="E102" s="126" t="n"/>
      <c r="F102" s="124" t="n"/>
      <c r="G102" s="121">
        <f>IF($D102=0,0,$D102*$E102)</f>
        <v/>
      </c>
      <c r="H102" s="122">
        <f>IF($B102="","",CONCATENATE("Hareket: ",$C102,"/",$D102," adet ",$B102))</f>
        <v/>
      </c>
    </row>
    <row r="103" ht="15" customHeight="1" s="77">
      <c r="A103" s="123" t="n"/>
      <c r="B103" s="124" t="n"/>
      <c r="C103" s="124" t="n"/>
      <c r="D103" s="125" t="n"/>
      <c r="E103" s="126" t="n"/>
      <c r="F103" s="124" t="n"/>
      <c r="G103" s="121">
        <f>IF($D103=0,0,$D103*$E103)</f>
        <v/>
      </c>
      <c r="H103" s="122">
        <f>IF($B103="","",CONCATENATE("Hareket: ",$C103,"/",$D103," adet ",$B103))</f>
        <v/>
      </c>
    </row>
    <row r="104" ht="15" customHeight="1" s="77">
      <c r="A104" s="123" t="n"/>
      <c r="B104" s="124" t="n"/>
      <c r="C104" s="124" t="n"/>
      <c r="D104" s="125" t="n"/>
      <c r="E104" s="126" t="n"/>
      <c r="F104" s="124" t="n"/>
      <c r="G104" s="121">
        <f>IF($D104=0,0,$D104*$E104)</f>
        <v/>
      </c>
      <c r="H104" s="122">
        <f>IF($B104="","",CONCATENATE("Hareket: ",$C104,"/",$D104," adet ",$B104))</f>
        <v/>
      </c>
    </row>
    <row r="105" ht="15" customHeight="1" s="77">
      <c r="A105" s="123" t="n"/>
      <c r="B105" s="124" t="n"/>
      <c r="C105" s="124" t="n"/>
      <c r="D105" s="125" t="n"/>
      <c r="E105" s="126" t="n"/>
      <c r="F105" s="124" t="n"/>
      <c r="G105" s="121">
        <f>IF($D105=0,0,$D105*$E105)</f>
        <v/>
      </c>
      <c r="H105" s="122">
        <f>IF($B105="","",CONCATENATE("Hareket: ",$C105,"/",$D105," adet ",$B105))</f>
        <v/>
      </c>
    </row>
    <row r="106" ht="15" customHeight="1" s="77">
      <c r="A106" s="123" t="n"/>
      <c r="B106" s="124" t="n"/>
      <c r="C106" s="124" t="n"/>
      <c r="D106" s="125" t="n"/>
      <c r="E106" s="126" t="n"/>
      <c r="F106" s="124" t="n"/>
      <c r="G106" s="121">
        <f>IF($D106=0,0,$D106*$E106)</f>
        <v/>
      </c>
      <c r="H106" s="122">
        <f>IF($B106="","",CONCATENATE("Hareket: ",$C106,"/",$D106," adet ",$B106))</f>
        <v/>
      </c>
    </row>
    <row r="107" ht="15" customHeight="1" s="77">
      <c r="A107" s="123" t="n"/>
      <c r="B107" s="124" t="n"/>
      <c r="C107" s="124" t="n"/>
      <c r="D107" s="125" t="n"/>
      <c r="E107" s="126" t="n"/>
      <c r="F107" s="124" t="n"/>
      <c r="G107" s="121">
        <f>IF($D107=0,0,$D107*$E107)</f>
        <v/>
      </c>
      <c r="H107" s="122">
        <f>IF($B107="","",CONCATENATE("Hareket: ",$C107,"/",$D107," adet ",$B107))</f>
        <v/>
      </c>
    </row>
    <row r="108" ht="15" customHeight="1" s="77">
      <c r="A108" s="123" t="n"/>
      <c r="B108" s="124" t="n"/>
      <c r="C108" s="124" t="n"/>
      <c r="D108" s="125" t="n"/>
      <c r="E108" s="126" t="n"/>
      <c r="F108" s="124" t="n"/>
      <c r="G108" s="121">
        <f>IF($D108=0,0,$D108*$E108)</f>
        <v/>
      </c>
      <c r="H108" s="122">
        <f>IF($B108="","",CONCATENATE("Hareket: ",$C108,"/",$D108," adet ",$B108))</f>
        <v/>
      </c>
    </row>
    <row r="109" ht="15" customHeight="1" s="77">
      <c r="A109" s="123" t="n"/>
      <c r="B109" s="124" t="n"/>
      <c r="C109" s="124" t="n"/>
      <c r="D109" s="125" t="n"/>
      <c r="E109" s="126" t="n"/>
      <c r="F109" s="124" t="n"/>
      <c r="G109" s="121">
        <f>IF($D109=0,0,$D109*$E109)</f>
        <v/>
      </c>
      <c r="H109" s="122">
        <f>IF($B109="","",CONCATENATE("Hareket: ",$C109,"/",$D109," adet ",$B109))</f>
        <v/>
      </c>
    </row>
    <row r="110" ht="15" customHeight="1" s="77">
      <c r="A110" s="123" t="n"/>
      <c r="B110" s="124" t="n"/>
      <c r="C110" s="124" t="n"/>
      <c r="D110" s="125" t="n"/>
      <c r="E110" s="126" t="n"/>
      <c r="F110" s="124" t="n"/>
      <c r="G110" s="121">
        <f>IF($D110=0,0,$D110*$E110)</f>
        <v/>
      </c>
      <c r="H110" s="122">
        <f>IF($B110="","",CONCATENATE("Hareket: ",$C110,"/",$D110," adet ",$B110))</f>
        <v/>
      </c>
    </row>
    <row r="111" ht="15" customHeight="1" s="77">
      <c r="A111" s="123" t="n"/>
      <c r="B111" s="124" t="n"/>
      <c r="C111" s="124" t="n"/>
      <c r="D111" s="125" t="n"/>
      <c r="E111" s="126" t="n"/>
      <c r="F111" s="124" t="n"/>
      <c r="G111" s="121">
        <f>IF($D111=0,0,$D111*$E111)</f>
        <v/>
      </c>
      <c r="H111" s="122">
        <f>IF($B111="","",CONCATENATE("Hareket: ",$C111,"/",$D111," adet ",$B111))</f>
        <v/>
      </c>
    </row>
    <row r="112" ht="15" customHeight="1" s="77">
      <c r="A112" s="123" t="n"/>
      <c r="B112" s="124" t="n"/>
      <c r="C112" s="124" t="n"/>
      <c r="D112" s="125" t="n"/>
      <c r="E112" s="126" t="n"/>
      <c r="F112" s="124" t="n"/>
      <c r="G112" s="121">
        <f>IF($D112=0,0,$D112*$E112)</f>
        <v/>
      </c>
      <c r="H112" s="122">
        <f>IF($B112="","",CONCATENATE("Hareket: ",$C112,"/",$D112," adet ",$B112))</f>
        <v/>
      </c>
    </row>
    <row r="113" ht="15" customHeight="1" s="77">
      <c r="A113" s="123" t="n"/>
      <c r="B113" s="124" t="n"/>
      <c r="C113" s="124" t="n"/>
      <c r="D113" s="125" t="n"/>
      <c r="E113" s="126" t="n"/>
      <c r="F113" s="124" t="n"/>
      <c r="G113" s="121">
        <f>IF($D113=0,0,$D113*$E113)</f>
        <v/>
      </c>
      <c r="H113" s="122">
        <f>IF($B113="","",CONCATENATE("Hareket: ",$C113,"/",$D113," adet ",$B113))</f>
        <v/>
      </c>
    </row>
    <row r="114" ht="15" customHeight="1" s="77">
      <c r="A114" s="123" t="n"/>
      <c r="B114" s="124" t="n"/>
      <c r="C114" s="124" t="n"/>
      <c r="D114" s="125" t="n"/>
      <c r="E114" s="126" t="n"/>
      <c r="F114" s="124" t="n"/>
      <c r="G114" s="121">
        <f>IF($D114=0,0,$D114*$E114)</f>
        <v/>
      </c>
      <c r="H114" s="122">
        <f>IF($B114="","",CONCATENATE("Hareket: ",$C114,"/",$D114," adet ",$B114))</f>
        <v/>
      </c>
    </row>
    <row r="115" ht="15" customHeight="1" s="77">
      <c r="A115" s="123" t="n"/>
      <c r="B115" s="124" t="n"/>
      <c r="C115" s="124" t="n"/>
      <c r="D115" s="125" t="n"/>
      <c r="E115" s="126" t="n"/>
      <c r="F115" s="124" t="n"/>
      <c r="G115" s="121">
        <f>IF($D115=0,0,$D115*$E115)</f>
        <v/>
      </c>
      <c r="H115" s="122">
        <f>IF($B115="","",CONCATENATE("Hareket: ",$C115,"/",$D115," adet ",$B115))</f>
        <v/>
      </c>
    </row>
    <row r="116" ht="15" customHeight="1" s="77">
      <c r="A116" s="123" t="n"/>
      <c r="B116" s="124" t="n"/>
      <c r="C116" s="124" t="n"/>
      <c r="D116" s="125" t="n"/>
      <c r="E116" s="126" t="n"/>
      <c r="F116" s="124" t="n"/>
      <c r="G116" s="121">
        <f>IF($D116=0,0,$D116*$E116)</f>
        <v/>
      </c>
      <c r="H116" s="122">
        <f>IF($B116="","",CONCATENATE("Hareket: ",$C116,"/",$D116," adet ",$B116))</f>
        <v/>
      </c>
    </row>
    <row r="117" ht="15" customHeight="1" s="77">
      <c r="A117" s="123" t="n"/>
      <c r="B117" s="124" t="n"/>
      <c r="C117" s="124" t="n"/>
      <c r="D117" s="125" t="n"/>
      <c r="E117" s="126" t="n"/>
      <c r="F117" s="124" t="n"/>
      <c r="G117" s="121">
        <f>IF($D117=0,0,$D117*$E117)</f>
        <v/>
      </c>
      <c r="H117" s="122">
        <f>IF($B117="","",CONCATENATE("Hareket: ",$C117,"/",$D117," adet ",$B117))</f>
        <v/>
      </c>
    </row>
    <row r="118" ht="15" customHeight="1" s="77">
      <c r="A118" s="123" t="n"/>
      <c r="B118" s="124" t="n"/>
      <c r="C118" s="124" t="n"/>
      <c r="D118" s="125" t="n"/>
      <c r="E118" s="126" t="n"/>
      <c r="F118" s="124" t="n"/>
      <c r="G118" s="121">
        <f>IF($D118=0,0,$D118*$E118)</f>
        <v/>
      </c>
      <c r="H118" s="122">
        <f>IF($B118="","",CONCATENATE("Hareket: ",$C118,"/",$D118," adet ",$B118))</f>
        <v/>
      </c>
    </row>
    <row r="119" ht="15" customHeight="1" s="77">
      <c r="A119" s="123" t="n"/>
      <c r="B119" s="124" t="n"/>
      <c r="C119" s="124" t="n"/>
      <c r="D119" s="125" t="n"/>
      <c r="E119" s="126" t="n"/>
      <c r="F119" s="124" t="n"/>
      <c r="G119" s="121">
        <f>IF($D119=0,0,$D119*$E119)</f>
        <v/>
      </c>
      <c r="H119" s="122">
        <f>IF($B119="","",CONCATENATE("Hareket: ",$C119,"/",$D119," adet ",$B119))</f>
        <v/>
      </c>
    </row>
    <row r="120" ht="15" customHeight="1" s="77">
      <c r="A120" s="123" t="n"/>
      <c r="B120" s="124" t="n"/>
      <c r="C120" s="124" t="n"/>
      <c r="D120" s="125" t="n"/>
      <c r="E120" s="126" t="n"/>
      <c r="F120" s="124" t="n"/>
      <c r="G120" s="121">
        <f>IF($D120=0,0,$D120*$E120)</f>
        <v/>
      </c>
      <c r="H120" s="122">
        <f>IF($B120="","",CONCATENATE("Hareket: ",$C120,"/",$D120," adet ",$B120))</f>
        <v/>
      </c>
    </row>
    <row r="121" ht="15" customHeight="1" s="77">
      <c r="A121" s="123" t="n"/>
      <c r="B121" s="124" t="n"/>
      <c r="C121" s="124" t="n"/>
      <c r="D121" s="125" t="n"/>
      <c r="E121" s="126" t="n"/>
      <c r="F121" s="124" t="n"/>
      <c r="G121" s="121">
        <f>IF($D121=0,0,$D121*$E121)</f>
        <v/>
      </c>
      <c r="H121" s="122">
        <f>IF($B121="","",CONCATENATE("Hareket: ",$C121,"/",$D121," adet ",$B121))</f>
        <v/>
      </c>
    </row>
    <row r="122" ht="15" customHeight="1" s="77">
      <c r="A122" s="123" t="n"/>
      <c r="B122" s="124" t="n"/>
      <c r="C122" s="124" t="n"/>
      <c r="D122" s="125" t="n"/>
      <c r="E122" s="126" t="n"/>
      <c r="F122" s="124" t="n"/>
      <c r="G122" s="121">
        <f>IF($D122=0,0,$D122*$E122)</f>
        <v/>
      </c>
      <c r="H122" s="122">
        <f>IF($B122="","",CONCATENATE("Hareket: ",$C122,"/",$D122," adet ",$B122))</f>
        <v/>
      </c>
    </row>
    <row r="123" ht="15" customHeight="1" s="77">
      <c r="A123" s="123" t="n"/>
      <c r="B123" s="124" t="n"/>
      <c r="C123" s="124" t="n"/>
      <c r="D123" s="125" t="n"/>
      <c r="E123" s="126" t="n"/>
      <c r="F123" s="124" t="n"/>
      <c r="G123" s="121">
        <f>IF($D123=0,0,$D123*$E123)</f>
        <v/>
      </c>
      <c r="H123" s="122">
        <f>IF($B123="","",CONCATENATE("Hareket: ",$C123,"/",$D123," adet ",$B123))</f>
        <v/>
      </c>
    </row>
    <row r="124" ht="15" customHeight="1" s="77">
      <c r="A124" s="123" t="n"/>
      <c r="B124" s="124" t="n"/>
      <c r="C124" s="124" t="n"/>
      <c r="D124" s="125" t="n"/>
      <c r="E124" s="126" t="n"/>
      <c r="F124" s="124" t="n"/>
      <c r="G124" s="121">
        <f>IF($D124=0,0,$D124*$E124)</f>
        <v/>
      </c>
      <c r="H124" s="122">
        <f>IF($B124="","",CONCATENATE("Hareket: ",$C124,"/",$D124," adet ",$B124))</f>
        <v/>
      </c>
    </row>
    <row r="125" ht="15" customHeight="1" s="77">
      <c r="A125" s="123" t="n"/>
      <c r="B125" s="124" t="n"/>
      <c r="C125" s="124" t="n"/>
      <c r="D125" s="125" t="n"/>
      <c r="E125" s="126" t="n"/>
      <c r="F125" s="124" t="n"/>
      <c r="G125" s="121">
        <f>IF($D125=0,0,$D125*$E125)</f>
        <v/>
      </c>
      <c r="H125" s="122">
        <f>IF($B125="","",CONCATENATE("Hareket: ",$C125,"/",$D125," adet ",$B125))</f>
        <v/>
      </c>
    </row>
    <row r="126" ht="15" customHeight="1" s="77">
      <c r="A126" s="123" t="n"/>
      <c r="B126" s="124" t="n"/>
      <c r="C126" s="124" t="n"/>
      <c r="D126" s="125" t="n"/>
      <c r="E126" s="126" t="n"/>
      <c r="F126" s="124" t="n"/>
      <c r="G126" s="121">
        <f>IF($D126=0,0,$D126*$E126)</f>
        <v/>
      </c>
      <c r="H126" s="122">
        <f>IF($B126="","",CONCATENATE("Hareket: ",$C126,"/",$D126," adet ",$B126))</f>
        <v/>
      </c>
    </row>
    <row r="127" ht="15" customHeight="1" s="77">
      <c r="A127" s="123" t="n"/>
      <c r="B127" s="124" t="n"/>
      <c r="C127" s="124" t="n"/>
      <c r="D127" s="125" t="n"/>
      <c r="E127" s="126" t="n"/>
      <c r="F127" s="124" t="n"/>
      <c r="G127" s="121">
        <f>IF($D127=0,0,$D127*$E127)</f>
        <v/>
      </c>
      <c r="H127" s="122">
        <f>IF($B127="","",CONCATENATE("Hareket: ",$C127,"/",$D127," adet ",$B127))</f>
        <v/>
      </c>
    </row>
    <row r="128" ht="15" customHeight="1" s="77">
      <c r="A128" s="123" t="n"/>
      <c r="B128" s="124" t="n"/>
      <c r="C128" s="124" t="n"/>
      <c r="D128" s="125" t="n"/>
      <c r="E128" s="126" t="n"/>
      <c r="F128" s="124" t="n"/>
      <c r="G128" s="121">
        <f>IF($D128=0,0,$D128*$E128)</f>
        <v/>
      </c>
      <c r="H128" s="122">
        <f>IF($B128="","",CONCATENATE("Hareket: ",$C128,"/",$D128," adet ",$B128))</f>
        <v/>
      </c>
    </row>
    <row r="129" ht="15" customHeight="1" s="77">
      <c r="A129" s="123" t="n"/>
      <c r="B129" s="124" t="n"/>
      <c r="C129" s="124" t="n"/>
      <c r="D129" s="125" t="n"/>
      <c r="E129" s="126" t="n"/>
      <c r="F129" s="124" t="n"/>
      <c r="G129" s="121">
        <f>IF($D129=0,0,$D129*$E129)</f>
        <v/>
      </c>
      <c r="H129" s="122">
        <f>IF($B129="","",CONCATENATE("Hareket: ",$C129,"/",$D129," adet ",$B129))</f>
        <v/>
      </c>
    </row>
    <row r="130" ht="15" customHeight="1" s="77">
      <c r="A130" s="123" t="n"/>
      <c r="B130" s="124" t="n"/>
      <c r="C130" s="124" t="n"/>
      <c r="D130" s="125" t="n"/>
      <c r="E130" s="126" t="n"/>
      <c r="F130" s="124" t="n"/>
      <c r="G130" s="121">
        <f>IF($D130=0,0,$D130*$E130)</f>
        <v/>
      </c>
      <c r="H130" s="122">
        <f>IF($B130="","",CONCATENATE("Hareket: ",$C130,"/",$D130," adet ",$B130))</f>
        <v/>
      </c>
    </row>
    <row r="131" ht="15" customHeight="1" s="77">
      <c r="A131" s="123" t="n"/>
      <c r="B131" s="124" t="n"/>
      <c r="C131" s="124" t="n"/>
      <c r="D131" s="125" t="n"/>
      <c r="E131" s="126" t="n"/>
      <c r="F131" s="124" t="n"/>
      <c r="G131" s="121">
        <f>IF($D131=0,0,$D131*$E131)</f>
        <v/>
      </c>
      <c r="H131" s="122">
        <f>IF($B131="","",CONCATENATE("Hareket: ",$C131,"/",$D131," adet ",$B131))</f>
        <v/>
      </c>
    </row>
    <row r="132" ht="15" customHeight="1" s="77">
      <c r="A132" s="123" t="n"/>
      <c r="B132" s="124" t="n"/>
      <c r="C132" s="124" t="n"/>
      <c r="D132" s="125" t="n"/>
      <c r="E132" s="126" t="n"/>
      <c r="F132" s="124" t="n"/>
      <c r="G132" s="121">
        <f>IF($D132=0,0,$D132*$E132)</f>
        <v/>
      </c>
      <c r="H132" s="122">
        <f>IF($B132="","",CONCATENATE("Hareket: ",$C132,"/",$D132," adet ",$B132))</f>
        <v/>
      </c>
    </row>
    <row r="133" ht="15" customHeight="1" s="77">
      <c r="A133" s="123" t="n"/>
      <c r="B133" s="124" t="n"/>
      <c r="C133" s="124" t="n"/>
      <c r="D133" s="125" t="n"/>
      <c r="E133" s="126" t="n"/>
      <c r="F133" s="124" t="n"/>
      <c r="G133" s="121">
        <f>IF($D133=0,0,$D133*$E133)</f>
        <v/>
      </c>
      <c r="H133" s="122">
        <f>IF($B133="","",CONCATENATE("Hareket: ",$C133,"/",$D133," adet ",$B133))</f>
        <v/>
      </c>
    </row>
    <row r="134" ht="15" customHeight="1" s="77">
      <c r="A134" s="123" t="n"/>
      <c r="B134" s="124" t="n"/>
      <c r="C134" s="124" t="n"/>
      <c r="D134" s="125" t="n"/>
      <c r="E134" s="126" t="n"/>
      <c r="F134" s="124" t="n"/>
      <c r="G134" s="121">
        <f>IF($D134=0,0,$D134*$E134)</f>
        <v/>
      </c>
      <c r="H134" s="122">
        <f>IF($B134="","",CONCATENATE("Hareket: ",$C134,"/",$D134," adet ",$B134))</f>
        <v/>
      </c>
    </row>
    <row r="135" ht="15" customHeight="1" s="77">
      <c r="A135" s="123" t="n"/>
      <c r="B135" s="124" t="n"/>
      <c r="C135" s="124" t="n"/>
      <c r="D135" s="125" t="n"/>
      <c r="E135" s="126" t="n"/>
      <c r="F135" s="124" t="n"/>
      <c r="G135" s="121">
        <f>IF($D135=0,0,$D135*$E135)</f>
        <v/>
      </c>
      <c r="H135" s="122">
        <f>IF($B135="","",CONCATENATE("Hareket: ",$C135,"/",$D135," adet ",$B135))</f>
        <v/>
      </c>
    </row>
    <row r="136" ht="15" customHeight="1" s="77">
      <c r="A136" s="123" t="n"/>
      <c r="B136" s="124" t="n"/>
      <c r="C136" s="124" t="n"/>
      <c r="D136" s="125" t="n"/>
      <c r="E136" s="126" t="n"/>
      <c r="F136" s="124" t="n"/>
      <c r="G136" s="121">
        <f>IF($D136=0,0,$D136*$E136)</f>
        <v/>
      </c>
      <c r="H136" s="122">
        <f>IF($B136="","",CONCATENATE("Hareket: ",$C136,"/",$D136," adet ",$B136))</f>
        <v/>
      </c>
    </row>
    <row r="137" ht="15" customHeight="1" s="77">
      <c r="A137" s="123" t="n"/>
      <c r="B137" s="124" t="n"/>
      <c r="C137" s="124" t="n"/>
      <c r="D137" s="125" t="n"/>
      <c r="E137" s="126" t="n"/>
      <c r="F137" s="124" t="n"/>
      <c r="G137" s="121">
        <f>IF($D137=0,0,$D137*$E137)</f>
        <v/>
      </c>
      <c r="H137" s="122">
        <f>IF($B137="","",CONCATENATE("Hareket: ",$C137,"/",$D137," adet ",$B137))</f>
        <v/>
      </c>
    </row>
    <row r="138" ht="15" customHeight="1" s="77">
      <c r="A138" s="123" t="n"/>
      <c r="B138" s="124" t="n"/>
      <c r="C138" s="124" t="n"/>
      <c r="D138" s="125" t="n"/>
      <c r="E138" s="126" t="n"/>
      <c r="F138" s="124" t="n"/>
      <c r="G138" s="121">
        <f>IF($D138=0,0,$D138*$E138)</f>
        <v/>
      </c>
      <c r="H138" s="122">
        <f>IF($B138="","",CONCATENATE("Hareket: ",$C138,"/",$D138," adet ",$B138))</f>
        <v/>
      </c>
    </row>
    <row r="139" ht="15" customHeight="1" s="77">
      <c r="A139" s="123" t="n"/>
      <c r="B139" s="124" t="n"/>
      <c r="C139" s="124" t="n"/>
      <c r="D139" s="125" t="n"/>
      <c r="E139" s="126" t="n"/>
      <c r="F139" s="124" t="n"/>
      <c r="G139" s="121">
        <f>IF($D139=0,0,$D139*$E139)</f>
        <v/>
      </c>
      <c r="H139" s="122">
        <f>IF($B139="","",CONCATENATE("Hareket: ",$C139,"/",$D139," adet ",$B139))</f>
        <v/>
      </c>
    </row>
    <row r="140" ht="15" customHeight="1" s="77">
      <c r="A140" s="123" t="n"/>
      <c r="B140" s="124" t="n"/>
      <c r="C140" s="124" t="n"/>
      <c r="D140" s="125" t="n"/>
      <c r="E140" s="126" t="n"/>
      <c r="F140" s="124" t="n"/>
      <c r="G140" s="121">
        <f>IF($D140=0,0,$D140*$E140)</f>
        <v/>
      </c>
      <c r="H140" s="122">
        <f>IF($B140="","",CONCATENATE("Hareket: ",$C140,"/",$D140," adet ",$B140))</f>
        <v/>
      </c>
    </row>
    <row r="141" ht="15" customHeight="1" s="77">
      <c r="A141" s="123" t="n"/>
      <c r="B141" s="124" t="n"/>
      <c r="C141" s="124" t="n"/>
      <c r="D141" s="125" t="n"/>
      <c r="E141" s="126" t="n"/>
      <c r="F141" s="124" t="n"/>
      <c r="G141" s="121">
        <f>IF($D141=0,0,$D141*$E141)</f>
        <v/>
      </c>
      <c r="H141" s="122">
        <f>IF($B141="","",CONCATENATE("Hareket: ",$C141,"/",$D141," adet ",$B141))</f>
        <v/>
      </c>
    </row>
    <row r="142" ht="15" customHeight="1" s="77">
      <c r="A142" s="123" t="n"/>
      <c r="B142" s="124" t="n"/>
      <c r="C142" s="124" t="n"/>
      <c r="D142" s="125" t="n"/>
      <c r="E142" s="126" t="n"/>
      <c r="F142" s="124" t="n"/>
      <c r="G142" s="121">
        <f>IF($D142=0,0,$D142*$E142)</f>
        <v/>
      </c>
      <c r="H142" s="122">
        <f>IF($B142="","",CONCATENATE("Hareket: ",$C142,"/",$D142," adet ",$B142))</f>
        <v/>
      </c>
    </row>
    <row r="143" ht="15" customHeight="1" s="77">
      <c r="A143" s="123" t="n"/>
      <c r="B143" s="124" t="n"/>
      <c r="C143" s="124" t="n"/>
      <c r="D143" s="125" t="n"/>
      <c r="E143" s="126" t="n"/>
      <c r="F143" s="124" t="n"/>
      <c r="G143" s="121">
        <f>IF($D143=0,0,$D143*$E143)</f>
        <v/>
      </c>
      <c r="H143" s="122">
        <f>IF($B143="","",CONCATENATE("Hareket: ",$C143,"/",$D143," adet ",$B143))</f>
        <v/>
      </c>
    </row>
    <row r="144" ht="15" customHeight="1" s="77">
      <c r="A144" s="123" t="n"/>
      <c r="B144" s="124" t="n"/>
      <c r="C144" s="124" t="n"/>
      <c r="D144" s="125" t="n"/>
      <c r="E144" s="126" t="n"/>
      <c r="F144" s="124" t="n"/>
      <c r="G144" s="121">
        <f>IF($D144=0,0,$D144*$E144)</f>
        <v/>
      </c>
      <c r="H144" s="122">
        <f>IF($B144="","",CONCATENATE("Hareket: ",$C144,"/",$D144," adet ",$B144))</f>
        <v/>
      </c>
    </row>
    <row r="145" ht="15" customHeight="1" s="77">
      <c r="A145" s="123" t="n"/>
      <c r="B145" s="124" t="n"/>
      <c r="C145" s="124" t="n"/>
      <c r="D145" s="125" t="n"/>
      <c r="E145" s="126" t="n"/>
      <c r="F145" s="124" t="n"/>
      <c r="G145" s="121">
        <f>IF($D145=0,0,$D145*$E145)</f>
        <v/>
      </c>
      <c r="H145" s="122">
        <f>IF($B145="","",CONCATENATE("Hareket: ",$C145,"/",$D145," adet ",$B145))</f>
        <v/>
      </c>
    </row>
    <row r="146" ht="15" customHeight="1" s="77">
      <c r="A146" s="123" t="n"/>
      <c r="B146" s="124" t="n"/>
      <c r="C146" s="124" t="n"/>
      <c r="D146" s="125" t="n"/>
      <c r="E146" s="126" t="n"/>
      <c r="F146" s="124" t="n"/>
      <c r="G146" s="121">
        <f>IF($D146=0,0,$D146*$E146)</f>
        <v/>
      </c>
      <c r="H146" s="122">
        <f>IF($B146="","",CONCATENATE("Hareket: ",$C146,"/",$D146," adet ",$B146))</f>
        <v/>
      </c>
    </row>
    <row r="147" ht="15" customHeight="1" s="77">
      <c r="A147" s="123" t="n"/>
      <c r="B147" s="124" t="n"/>
      <c r="C147" s="124" t="n"/>
      <c r="D147" s="125" t="n"/>
      <c r="E147" s="126" t="n"/>
      <c r="F147" s="124" t="n"/>
      <c r="G147" s="121">
        <f>IF($D147=0,0,$D147*$E147)</f>
        <v/>
      </c>
      <c r="H147" s="122">
        <f>IF($B147="","",CONCATENATE("Hareket: ",$C147,"/",$D147," adet ",$B147))</f>
        <v/>
      </c>
    </row>
    <row r="148" ht="15" customHeight="1" s="77">
      <c r="A148" s="123" t="n"/>
      <c r="B148" s="124" t="n"/>
      <c r="C148" s="124" t="n"/>
      <c r="D148" s="125" t="n"/>
      <c r="E148" s="126" t="n"/>
      <c r="F148" s="124" t="n"/>
      <c r="G148" s="121">
        <f>IF($D148=0,0,$D148*$E148)</f>
        <v/>
      </c>
      <c r="H148" s="122">
        <f>IF($B148="","",CONCATENATE("Hareket: ",$C148,"/",$D148," adet ",$B148))</f>
        <v/>
      </c>
    </row>
    <row r="149" ht="15" customHeight="1" s="77">
      <c r="A149" s="123" t="n"/>
      <c r="B149" s="124" t="n"/>
      <c r="C149" s="124" t="n"/>
      <c r="D149" s="125" t="n"/>
      <c r="E149" s="126" t="n"/>
      <c r="F149" s="124" t="n"/>
      <c r="G149" s="121">
        <f>IF($D149=0,0,$D149*$E149)</f>
        <v/>
      </c>
      <c r="H149" s="122">
        <f>IF($B149="","",CONCATENATE("Hareket: ",$C149,"/",$D149," adet ",$B149))</f>
        <v/>
      </c>
    </row>
    <row r="150" ht="15" customHeight="1" s="77">
      <c r="A150" s="123" t="n"/>
      <c r="B150" s="124" t="n"/>
      <c r="C150" s="124" t="n"/>
      <c r="D150" s="125" t="n"/>
      <c r="E150" s="126" t="n"/>
      <c r="F150" s="124" t="n"/>
      <c r="G150" s="121">
        <f>IF($D150=0,0,$D150*$E150)</f>
        <v/>
      </c>
      <c r="H150" s="122">
        <f>IF($B150="","",CONCATENATE("Hareket: ",$C150,"/",$D150," adet ",$B150))</f>
        <v/>
      </c>
    </row>
    <row r="151" ht="15" customHeight="1" s="77">
      <c r="A151" s="123" t="n"/>
      <c r="B151" s="124" t="n"/>
      <c r="C151" s="124" t="n"/>
      <c r="D151" s="125" t="n"/>
      <c r="E151" s="126" t="n"/>
      <c r="F151" s="124" t="n"/>
      <c r="G151" s="121">
        <f>IF($D151=0,0,$D151*$E151)</f>
        <v/>
      </c>
      <c r="H151" s="122">
        <f>IF($B151="","",CONCATENATE("Hareket: ",$C151,"/",$D151," adet ",$B151))</f>
        <v/>
      </c>
    </row>
    <row r="152" ht="15" customHeight="1" s="77">
      <c r="A152" s="123" t="n"/>
      <c r="B152" s="124" t="n"/>
      <c r="C152" s="124" t="n"/>
      <c r="D152" s="125" t="n"/>
      <c r="E152" s="126" t="n"/>
      <c r="F152" s="124" t="n"/>
      <c r="G152" s="121">
        <f>IF($D152=0,0,$D152*$E152)</f>
        <v/>
      </c>
      <c r="H152" s="122">
        <f>IF($B152="","",CONCATENATE("Hareket: ",$C152,"/",$D152," adet ",$B152))</f>
        <v/>
      </c>
    </row>
    <row r="153" ht="15" customHeight="1" s="77">
      <c r="A153" s="123" t="n"/>
      <c r="B153" s="124" t="n"/>
      <c r="C153" s="124" t="n"/>
      <c r="D153" s="125" t="n"/>
      <c r="E153" s="126" t="n"/>
      <c r="F153" s="124" t="n"/>
      <c r="G153" s="121">
        <f>IF($D153=0,0,$D153*$E153)</f>
        <v/>
      </c>
      <c r="H153" s="122">
        <f>IF($B153="","",CONCATENATE("Hareket: ",$C153,"/",$D153," adet ",$B153))</f>
        <v/>
      </c>
    </row>
    <row r="154" ht="15" customHeight="1" s="77">
      <c r="A154" s="123" t="n"/>
      <c r="B154" s="124" t="n"/>
      <c r="C154" s="124" t="n"/>
      <c r="D154" s="125" t="n"/>
      <c r="E154" s="126" t="n"/>
      <c r="F154" s="124" t="n"/>
      <c r="G154" s="121">
        <f>IF($D154=0,0,$D154*$E154)</f>
        <v/>
      </c>
      <c r="H154" s="122">
        <f>IF($B154="","",CONCATENATE("Hareket: ",$C154,"/",$D154," adet ",$B154))</f>
        <v/>
      </c>
    </row>
    <row r="155" ht="15" customHeight="1" s="77">
      <c r="A155" s="123" t="n"/>
      <c r="B155" s="124" t="n"/>
      <c r="C155" s="124" t="n"/>
      <c r="D155" s="125" t="n"/>
      <c r="E155" s="126" t="n"/>
      <c r="F155" s="124" t="n"/>
      <c r="G155" s="121">
        <f>IF($D155=0,0,$D155*$E155)</f>
        <v/>
      </c>
      <c r="H155" s="122">
        <f>IF($B155="","",CONCATENATE("Hareket: ",$C155,"/",$D155," adet ",$B155))</f>
        <v/>
      </c>
    </row>
    <row r="156" ht="15" customHeight="1" s="77">
      <c r="A156" s="123" t="n"/>
      <c r="B156" s="124" t="n"/>
      <c r="C156" s="124" t="n"/>
      <c r="D156" s="125" t="n"/>
      <c r="E156" s="126" t="n"/>
      <c r="F156" s="124" t="n"/>
      <c r="G156" s="121">
        <f>IF($D156=0,0,$D156*$E156)</f>
        <v/>
      </c>
      <c r="H156" s="122">
        <f>IF($B156="","",CONCATENATE("Hareket: ",$C156,"/",$D156," adet ",$B156))</f>
        <v/>
      </c>
    </row>
    <row r="157" ht="15" customHeight="1" s="77">
      <c r="A157" s="123" t="n"/>
      <c r="B157" s="124" t="n"/>
      <c r="C157" s="124" t="n"/>
      <c r="D157" s="125" t="n"/>
      <c r="E157" s="126" t="n"/>
      <c r="F157" s="124" t="n"/>
      <c r="G157" s="121">
        <f>IF($D157=0,0,$D157*$E157)</f>
        <v/>
      </c>
      <c r="H157" s="122">
        <f>IF($B157="","",CONCATENATE("Hareket: ",$C157,"/",$D157," adet ",$B157))</f>
        <v/>
      </c>
    </row>
    <row r="158" ht="15" customHeight="1" s="77">
      <c r="A158" s="123" t="n"/>
      <c r="B158" s="124" t="n"/>
      <c r="C158" s="124" t="n"/>
      <c r="D158" s="125" t="n"/>
      <c r="E158" s="126" t="n"/>
      <c r="F158" s="124" t="n"/>
      <c r="G158" s="121">
        <f>IF($D158=0,0,$D158*$E158)</f>
        <v/>
      </c>
      <c r="H158" s="122">
        <f>IF($B158="","",CONCATENATE("Hareket: ",$C158,"/",$D158," adet ",$B158))</f>
        <v/>
      </c>
    </row>
    <row r="159" ht="15" customHeight="1" s="77">
      <c r="A159" s="123" t="n"/>
      <c r="B159" s="124" t="n"/>
      <c r="C159" s="124" t="n"/>
      <c r="D159" s="125" t="n"/>
      <c r="E159" s="126" t="n"/>
      <c r="F159" s="124" t="n"/>
      <c r="G159" s="121">
        <f>IF($D159=0,0,$D159*$E159)</f>
        <v/>
      </c>
      <c r="H159" s="122">
        <f>IF($B159="","",CONCATENATE("Hareket: ",$C159,"/",$D159," adet ",$B159))</f>
        <v/>
      </c>
    </row>
    <row r="160" ht="15" customHeight="1" s="77">
      <c r="A160" s="123" t="n"/>
      <c r="B160" s="124" t="n"/>
      <c r="C160" s="124" t="n"/>
      <c r="D160" s="125" t="n"/>
      <c r="E160" s="126" t="n"/>
      <c r="F160" s="124" t="n"/>
      <c r="G160" s="121">
        <f>IF($D160=0,0,$D160*$E160)</f>
        <v/>
      </c>
      <c r="H160" s="122">
        <f>IF($B160="","",CONCATENATE("Hareket: ",$C160,"/",$D160," adet ",$B160))</f>
        <v/>
      </c>
    </row>
    <row r="161" ht="15" customHeight="1" s="77">
      <c r="A161" s="123" t="n"/>
      <c r="B161" s="124" t="n"/>
      <c r="C161" s="124" t="n"/>
      <c r="D161" s="125" t="n"/>
      <c r="E161" s="126" t="n"/>
      <c r="F161" s="124" t="n"/>
      <c r="G161" s="121">
        <f>IF($D161=0,0,$D161*$E161)</f>
        <v/>
      </c>
      <c r="H161" s="122">
        <f>IF($B161="","",CONCATENATE("Hareket: ",$C161,"/",$D161," adet ",$B161))</f>
        <v/>
      </c>
    </row>
    <row r="162" ht="15" customHeight="1" s="77">
      <c r="A162" s="123" t="n"/>
      <c r="B162" s="124" t="n"/>
      <c r="C162" s="124" t="n"/>
      <c r="D162" s="125" t="n"/>
      <c r="E162" s="126" t="n"/>
      <c r="F162" s="124" t="n"/>
      <c r="G162" s="121">
        <f>IF($D162=0,0,$D162*$E162)</f>
        <v/>
      </c>
      <c r="H162" s="122">
        <f>IF($B162="","",CONCATENATE("Hareket: ",$C162,"/",$D162," adet ",$B162))</f>
        <v/>
      </c>
    </row>
    <row r="163" ht="15" customHeight="1" s="77">
      <c r="A163" s="123" t="n"/>
      <c r="B163" s="124" t="n"/>
      <c r="C163" s="124" t="n"/>
      <c r="D163" s="125" t="n"/>
      <c r="E163" s="126" t="n"/>
      <c r="F163" s="124" t="n"/>
      <c r="G163" s="121">
        <f>IF($D163=0,0,$D163*$E163)</f>
        <v/>
      </c>
      <c r="H163" s="122">
        <f>IF($B163="","",CONCATENATE("Hareket: ",$C163,"/",$D163," adet ",$B163))</f>
        <v/>
      </c>
    </row>
    <row r="164" ht="15" customHeight="1" s="77">
      <c r="A164" s="123" t="n"/>
      <c r="B164" s="124" t="n"/>
      <c r="C164" s="124" t="n"/>
      <c r="D164" s="125" t="n"/>
      <c r="E164" s="126" t="n"/>
      <c r="F164" s="124" t="n"/>
      <c r="G164" s="121">
        <f>IF($D164=0,0,$D164*$E164)</f>
        <v/>
      </c>
      <c r="H164" s="122">
        <f>IF($B164="","",CONCATENATE("Hareket: ",$C164,"/",$D164," adet ",$B164))</f>
        <v/>
      </c>
    </row>
    <row r="165" ht="15" customHeight="1" s="77">
      <c r="A165" s="123" t="n"/>
      <c r="B165" s="124" t="n"/>
      <c r="C165" s="124" t="n"/>
      <c r="D165" s="125" t="n"/>
      <c r="E165" s="126" t="n"/>
      <c r="F165" s="124" t="n"/>
      <c r="G165" s="121">
        <f>IF($D165=0,0,$D165*$E165)</f>
        <v/>
      </c>
      <c r="H165" s="122">
        <f>IF($B165="","",CONCATENATE("Hareket: ",$C165,"/",$D165," adet ",$B165))</f>
        <v/>
      </c>
    </row>
    <row r="166" ht="15" customHeight="1" s="77">
      <c r="A166" s="123" t="n"/>
      <c r="B166" s="124" t="n"/>
      <c r="C166" s="124" t="n"/>
      <c r="D166" s="125" t="n"/>
      <c r="E166" s="126" t="n"/>
      <c r="F166" s="124" t="n"/>
      <c r="G166" s="121">
        <f>IF($D166=0,0,$D166*$E166)</f>
        <v/>
      </c>
      <c r="H166" s="122">
        <f>IF($B166="","",CONCATENATE("Hareket: ",$C166,"/",$D166," adet ",$B166))</f>
        <v/>
      </c>
    </row>
    <row r="167" ht="15" customHeight="1" s="77">
      <c r="A167" s="123" t="n"/>
      <c r="B167" s="124" t="n"/>
      <c r="C167" s="124" t="n"/>
      <c r="D167" s="125" t="n"/>
      <c r="E167" s="126" t="n"/>
      <c r="F167" s="124" t="n"/>
      <c r="G167" s="121">
        <f>IF($D167=0,0,$D167*$E167)</f>
        <v/>
      </c>
      <c r="H167" s="122">
        <f>IF($B167="","",CONCATENATE("Hareket: ",$C167,"/",$D167," adet ",$B167))</f>
        <v/>
      </c>
    </row>
    <row r="168" ht="15" customHeight="1" s="77">
      <c r="A168" s="123" t="n"/>
      <c r="B168" s="124" t="n"/>
      <c r="C168" s="124" t="n"/>
      <c r="D168" s="125" t="n"/>
      <c r="E168" s="126" t="n"/>
      <c r="F168" s="124" t="n"/>
      <c r="G168" s="121">
        <f>IF($D168=0,0,$D168*$E168)</f>
        <v/>
      </c>
      <c r="H168" s="122">
        <f>IF($B168="","",CONCATENATE("Hareket: ",$C168,"/",$D168," adet ",$B168))</f>
        <v/>
      </c>
    </row>
    <row r="169" ht="15" customHeight="1" s="77">
      <c r="A169" s="123" t="n"/>
      <c r="B169" s="124" t="n"/>
      <c r="C169" s="124" t="n"/>
      <c r="D169" s="125" t="n"/>
      <c r="E169" s="126" t="n"/>
      <c r="F169" s="124" t="n"/>
      <c r="G169" s="121">
        <f>IF($D169=0,0,$D169*$E169)</f>
        <v/>
      </c>
      <c r="H169" s="122">
        <f>IF($B169="","",CONCATENATE("Hareket: ",$C169,"/",$D169," adet ",$B169))</f>
        <v/>
      </c>
    </row>
    <row r="170" ht="15" customHeight="1" s="77">
      <c r="A170" s="123" t="n"/>
      <c r="B170" s="124" t="n"/>
      <c r="C170" s="124" t="n"/>
      <c r="D170" s="125" t="n"/>
      <c r="E170" s="126" t="n"/>
      <c r="F170" s="124" t="n"/>
      <c r="G170" s="121">
        <f>IF($D170=0,0,$D170*$E170)</f>
        <v/>
      </c>
      <c r="H170" s="122">
        <f>IF($B170="","",CONCATENATE("Hareket: ",$C170,"/",$D170," adet ",$B170))</f>
        <v/>
      </c>
    </row>
    <row r="171" ht="15" customHeight="1" s="77">
      <c r="A171" s="123" t="n"/>
      <c r="B171" s="124" t="n"/>
      <c r="C171" s="124" t="n"/>
      <c r="D171" s="125" t="n"/>
      <c r="E171" s="126" t="n"/>
      <c r="F171" s="124" t="n"/>
      <c r="G171" s="121">
        <f>IF($D171=0,0,$D171*$E171)</f>
        <v/>
      </c>
      <c r="H171" s="122">
        <f>IF($B171="","",CONCATENATE("Hareket: ",$C171,"/",$D171," adet ",$B171))</f>
        <v/>
      </c>
    </row>
    <row r="172" ht="15" customHeight="1" s="77">
      <c r="A172" s="123" t="n"/>
      <c r="B172" s="124" t="n"/>
      <c r="C172" s="124" t="n"/>
      <c r="D172" s="125" t="n"/>
      <c r="E172" s="126" t="n"/>
      <c r="F172" s="124" t="n"/>
      <c r="G172" s="121">
        <f>IF($D172=0,0,$D172*$E172)</f>
        <v/>
      </c>
      <c r="H172" s="122">
        <f>IF($B172="","",CONCATENATE("Hareket: ",$C172,"/",$D172," adet ",$B172))</f>
        <v/>
      </c>
    </row>
    <row r="173" ht="15" customHeight="1" s="77">
      <c r="A173" s="123" t="n"/>
      <c r="B173" s="124" t="n"/>
      <c r="C173" s="124" t="n"/>
      <c r="D173" s="125" t="n"/>
      <c r="E173" s="126" t="n"/>
      <c r="F173" s="124" t="n"/>
      <c r="G173" s="121">
        <f>IF($D173=0,0,$D173*$E173)</f>
        <v/>
      </c>
      <c r="H173" s="122">
        <f>IF($B173="","",CONCATENATE("Hareket: ",$C173,"/",$D173," adet ",$B173))</f>
        <v/>
      </c>
    </row>
    <row r="174" ht="15" customHeight="1" s="77">
      <c r="A174" s="123" t="n"/>
      <c r="B174" s="124" t="n"/>
      <c r="C174" s="124" t="n"/>
      <c r="D174" s="125" t="n"/>
      <c r="E174" s="126" t="n"/>
      <c r="F174" s="124" t="n"/>
      <c r="G174" s="121">
        <f>IF($D174=0,0,$D174*$E174)</f>
        <v/>
      </c>
      <c r="H174" s="122">
        <f>IF($B174="","",CONCATENATE("Hareket: ",$C174,"/",$D174," adet ",$B174))</f>
        <v/>
      </c>
    </row>
    <row r="175" ht="15" customHeight="1" s="77">
      <c r="A175" s="123" t="n"/>
      <c r="B175" s="124" t="n"/>
      <c r="C175" s="124" t="n"/>
      <c r="D175" s="125" t="n"/>
      <c r="E175" s="126" t="n"/>
      <c r="F175" s="124" t="n"/>
      <c r="G175" s="121">
        <f>IF($D175=0,0,$D175*$E175)</f>
        <v/>
      </c>
      <c r="H175" s="122">
        <f>IF($B175="","",CONCATENATE("Hareket: ",$C175,"/",$D175," adet ",$B175))</f>
        <v/>
      </c>
    </row>
    <row r="176" ht="15" customHeight="1" s="77">
      <c r="A176" s="123" t="n"/>
      <c r="B176" s="124" t="n"/>
      <c r="C176" s="124" t="n"/>
      <c r="D176" s="125" t="n"/>
      <c r="E176" s="126" t="n"/>
      <c r="F176" s="124" t="n"/>
      <c r="G176" s="121">
        <f>IF($D176=0,0,$D176*$E176)</f>
        <v/>
      </c>
      <c r="H176" s="122">
        <f>IF($B176="","",CONCATENATE("Hareket: ",$C176,"/",$D176," adet ",$B176))</f>
        <v/>
      </c>
    </row>
    <row r="177" ht="15" customHeight="1" s="77">
      <c r="A177" s="123" t="n"/>
      <c r="B177" s="124" t="n"/>
      <c r="C177" s="124" t="n"/>
      <c r="D177" s="125" t="n"/>
      <c r="E177" s="126" t="n"/>
      <c r="F177" s="124" t="n"/>
      <c r="G177" s="121">
        <f>IF($D177=0,0,$D177*$E177)</f>
        <v/>
      </c>
      <c r="H177" s="122">
        <f>IF($B177="","",CONCATENATE("Hareket: ",$C177,"/",$D177," adet ",$B177))</f>
        <v/>
      </c>
    </row>
    <row r="178" ht="15" customHeight="1" s="77">
      <c r="A178" s="123" t="n"/>
      <c r="B178" s="124" t="n"/>
      <c r="C178" s="124" t="n"/>
      <c r="D178" s="125" t="n"/>
      <c r="E178" s="126" t="n"/>
      <c r="F178" s="124" t="n"/>
      <c r="G178" s="121">
        <f>IF($D178=0,0,$D178*$E178)</f>
        <v/>
      </c>
      <c r="H178" s="122">
        <f>IF($B178="","",CONCATENATE("Hareket: ",$C178,"/",$D178," adet ",$B178))</f>
        <v/>
      </c>
    </row>
    <row r="179" ht="15" customHeight="1" s="77">
      <c r="A179" s="123" t="n"/>
      <c r="B179" s="124" t="n"/>
      <c r="C179" s="124" t="n"/>
      <c r="D179" s="125" t="n"/>
      <c r="E179" s="126" t="n"/>
      <c r="F179" s="124" t="n"/>
      <c r="G179" s="121">
        <f>IF($D179=0,0,$D179*$E179)</f>
        <v/>
      </c>
      <c r="H179" s="122">
        <f>IF($B179="","",CONCATENATE("Hareket: ",$C179,"/",$D179," adet ",$B179))</f>
        <v/>
      </c>
    </row>
    <row r="180" ht="15" customHeight="1" s="77">
      <c r="A180" s="123" t="n"/>
      <c r="B180" s="124" t="n"/>
      <c r="C180" s="124" t="n"/>
      <c r="D180" s="125" t="n"/>
      <c r="E180" s="126" t="n"/>
      <c r="F180" s="124" t="n"/>
      <c r="G180" s="121">
        <f>IF($D180=0,0,$D180*$E180)</f>
        <v/>
      </c>
      <c r="H180" s="122">
        <f>IF($B180="","",CONCATENATE("Hareket: ",$C180,"/",$D180," adet ",$B180))</f>
        <v/>
      </c>
    </row>
    <row r="181" ht="15" customHeight="1" s="77">
      <c r="A181" s="123" t="n"/>
      <c r="B181" s="124" t="n"/>
      <c r="C181" s="124" t="n"/>
      <c r="D181" s="125" t="n"/>
      <c r="E181" s="126" t="n"/>
      <c r="F181" s="124" t="n"/>
      <c r="G181" s="121">
        <f>IF($D181=0,0,$D181*$E181)</f>
        <v/>
      </c>
      <c r="H181" s="122">
        <f>IF($B181="","",CONCATENATE("Hareket: ",$C181,"/",$D181," adet ",$B181))</f>
        <v/>
      </c>
    </row>
    <row r="182" ht="15" customHeight="1" s="77">
      <c r="A182" s="123" t="n"/>
      <c r="B182" s="124" t="n"/>
      <c r="C182" s="124" t="n"/>
      <c r="D182" s="125" t="n"/>
      <c r="E182" s="126" t="n"/>
      <c r="F182" s="124" t="n"/>
      <c r="G182" s="121">
        <f>IF($D182=0,0,$D182*$E182)</f>
        <v/>
      </c>
      <c r="H182" s="122">
        <f>IF($B182="","",CONCATENATE("Hareket: ",$C182,"/",$D182," adet ",$B182))</f>
        <v/>
      </c>
    </row>
    <row r="183" ht="15" customHeight="1" s="77">
      <c r="A183" s="123" t="n"/>
      <c r="B183" s="124" t="n"/>
      <c r="C183" s="124" t="n"/>
      <c r="D183" s="125" t="n"/>
      <c r="E183" s="126" t="n"/>
      <c r="F183" s="124" t="n"/>
      <c r="G183" s="121">
        <f>IF($D183=0,0,$D183*$E183)</f>
        <v/>
      </c>
      <c r="H183" s="122">
        <f>IF($B183="","",CONCATENATE("Hareket: ",$C183,"/",$D183," adet ",$B183))</f>
        <v/>
      </c>
    </row>
    <row r="184" ht="15" customHeight="1" s="77">
      <c r="A184" s="123" t="n"/>
      <c r="B184" s="124" t="n"/>
      <c r="C184" s="124" t="n"/>
      <c r="D184" s="125" t="n"/>
      <c r="E184" s="126" t="n"/>
      <c r="F184" s="124" t="n"/>
      <c r="G184" s="121">
        <f>IF($D184=0,0,$D184*$E184)</f>
        <v/>
      </c>
      <c r="H184" s="122">
        <f>IF($B184="","",CONCATENATE("Hareket: ",$C184,"/",$D184," adet ",$B184))</f>
        <v/>
      </c>
    </row>
    <row r="185" ht="15" customHeight="1" s="77">
      <c r="A185" s="123" t="n"/>
      <c r="B185" s="124" t="n"/>
      <c r="C185" s="124" t="n"/>
      <c r="D185" s="125" t="n"/>
      <c r="E185" s="126" t="n"/>
      <c r="F185" s="124" t="n"/>
      <c r="G185" s="121">
        <f>IF($D185=0,0,$D185*$E185)</f>
        <v/>
      </c>
      <c r="H185" s="122">
        <f>IF($B185="","",CONCATENATE("Hareket: ",$C185,"/",$D185," adet ",$B185))</f>
        <v/>
      </c>
    </row>
    <row r="186" ht="15" customHeight="1" s="77">
      <c r="A186" s="123" t="n"/>
      <c r="B186" s="124" t="n"/>
      <c r="C186" s="124" t="n"/>
      <c r="D186" s="125" t="n"/>
      <c r="E186" s="126" t="n"/>
      <c r="F186" s="124" t="n"/>
      <c r="G186" s="121">
        <f>IF($D186=0,0,$D186*$E186)</f>
        <v/>
      </c>
      <c r="H186" s="122">
        <f>IF($B186="","",CONCATENATE("Hareket: ",$C186,"/",$D186," adet ",$B186))</f>
        <v/>
      </c>
    </row>
    <row r="187" ht="15" customHeight="1" s="77">
      <c r="A187" s="123" t="n"/>
      <c r="B187" s="124" t="n"/>
      <c r="C187" s="124" t="n"/>
      <c r="D187" s="125" t="n"/>
      <c r="E187" s="126" t="n"/>
      <c r="F187" s="124" t="n"/>
      <c r="G187" s="121">
        <f>IF($D187=0,0,$D187*$E187)</f>
        <v/>
      </c>
      <c r="H187" s="122">
        <f>IF($B187="","",CONCATENATE("Hareket: ",$C187,"/",$D187," adet ",$B187))</f>
        <v/>
      </c>
    </row>
    <row r="188" ht="15" customHeight="1" s="77">
      <c r="A188" s="123" t="n"/>
      <c r="B188" s="124" t="n"/>
      <c r="C188" s="124" t="n"/>
      <c r="D188" s="125" t="n"/>
      <c r="E188" s="126" t="n"/>
      <c r="F188" s="124" t="n"/>
      <c r="G188" s="121">
        <f>IF($D188=0,0,$D188*$E188)</f>
        <v/>
      </c>
      <c r="H188" s="122">
        <f>IF($B188="","",CONCATENATE("Hareket: ",$C188,"/",$D188," adet ",$B188))</f>
        <v/>
      </c>
    </row>
    <row r="189" ht="15" customHeight="1" s="77">
      <c r="A189" s="123" t="n"/>
      <c r="B189" s="124" t="n"/>
      <c r="C189" s="124" t="n"/>
      <c r="D189" s="125" t="n"/>
      <c r="E189" s="126" t="n"/>
      <c r="F189" s="124" t="n"/>
      <c r="G189" s="121">
        <f>IF($D189=0,0,$D189*$E189)</f>
        <v/>
      </c>
      <c r="H189" s="122">
        <f>IF($B189="","",CONCATENATE("Hareket: ",$C189,"/",$D189," adet ",$B189))</f>
        <v/>
      </c>
    </row>
    <row r="190" ht="15" customHeight="1" s="77">
      <c r="A190" s="123" t="n"/>
      <c r="B190" s="124" t="n"/>
      <c r="C190" s="124" t="n"/>
      <c r="D190" s="125" t="n"/>
      <c r="E190" s="126" t="n"/>
      <c r="F190" s="124" t="n"/>
      <c r="G190" s="121">
        <f>IF($D190=0,0,$D190*$E190)</f>
        <v/>
      </c>
      <c r="H190" s="122">
        <f>IF($B190="","",CONCATENATE("Hareket: ",$C190,"/",$D190," adet ",$B190))</f>
        <v/>
      </c>
    </row>
    <row r="191" ht="15" customHeight="1" s="77">
      <c r="A191" s="123" t="n"/>
      <c r="B191" s="124" t="n"/>
      <c r="C191" s="124" t="n"/>
      <c r="D191" s="125" t="n"/>
      <c r="E191" s="126" t="n"/>
      <c r="F191" s="124" t="n"/>
      <c r="G191" s="121">
        <f>IF($D191=0,0,$D191*$E191)</f>
        <v/>
      </c>
      <c r="H191" s="122">
        <f>IF($B191="","",CONCATENATE("Hareket: ",$C191,"/",$D191," adet ",$B191))</f>
        <v/>
      </c>
    </row>
    <row r="192" ht="15" customHeight="1" s="77">
      <c r="A192" s="123" t="n"/>
      <c r="B192" s="124" t="n"/>
      <c r="C192" s="124" t="n"/>
      <c r="D192" s="125" t="n"/>
      <c r="E192" s="126" t="n"/>
      <c r="F192" s="124" t="n"/>
      <c r="G192" s="121">
        <f>IF($D192=0,0,$D192*$E192)</f>
        <v/>
      </c>
      <c r="H192" s="122">
        <f>IF($B192="","",CONCATENATE("Hareket: ",$C192,"/",$D192," adet ",$B192))</f>
        <v/>
      </c>
    </row>
    <row r="193" ht="15" customHeight="1" s="77">
      <c r="A193" s="123" t="n"/>
      <c r="B193" s="124" t="n"/>
      <c r="C193" s="124" t="n"/>
      <c r="D193" s="125" t="n"/>
      <c r="E193" s="126" t="n"/>
      <c r="F193" s="124" t="n"/>
      <c r="G193" s="121">
        <f>IF($D193=0,0,$D193*$E193)</f>
        <v/>
      </c>
      <c r="H193" s="122">
        <f>IF($B193="","",CONCATENATE("Hareket: ",$C193,"/",$D193," adet ",$B193))</f>
        <v/>
      </c>
    </row>
    <row r="194" ht="15" customHeight="1" s="77">
      <c r="A194" s="123" t="n"/>
      <c r="B194" s="124" t="n"/>
      <c r="C194" s="124" t="n"/>
      <c r="D194" s="125" t="n"/>
      <c r="E194" s="126" t="n"/>
      <c r="F194" s="124" t="n"/>
      <c r="G194" s="121">
        <f>IF($D194=0,0,$D194*$E194)</f>
        <v/>
      </c>
      <c r="H194" s="122">
        <f>IF($B194="","",CONCATENATE("Hareket: ",$C194,"/",$D194," adet ",$B194))</f>
        <v/>
      </c>
    </row>
    <row r="195" ht="15" customHeight="1" s="77">
      <c r="A195" s="123" t="n"/>
      <c r="B195" s="124" t="n"/>
      <c r="C195" s="124" t="n"/>
      <c r="D195" s="125" t="n"/>
      <c r="E195" s="126" t="n"/>
      <c r="F195" s="124" t="n"/>
      <c r="G195" s="121">
        <f>IF($D195=0,0,$D195*$E195)</f>
        <v/>
      </c>
      <c r="H195" s="122">
        <f>IF($B195="","",CONCATENATE("Hareket: ",$C195,"/",$D195," adet ",$B195))</f>
        <v/>
      </c>
    </row>
    <row r="196" ht="15" customHeight="1" s="77">
      <c r="A196" s="123" t="n"/>
      <c r="B196" s="124" t="n"/>
      <c r="C196" s="124" t="n"/>
      <c r="D196" s="125" t="n"/>
      <c r="E196" s="126" t="n"/>
      <c r="F196" s="124" t="n"/>
      <c r="G196" s="121">
        <f>IF($D196=0,0,$D196*$E196)</f>
        <v/>
      </c>
      <c r="H196" s="122">
        <f>IF($B196="","",CONCATENATE("Hareket: ",$C196,"/",$D196," adet ",$B196))</f>
        <v/>
      </c>
    </row>
    <row r="197" ht="15" customHeight="1" s="77">
      <c r="A197" s="123" t="n"/>
      <c r="B197" s="124" t="n"/>
      <c r="C197" s="124" t="n"/>
      <c r="D197" s="125" t="n"/>
      <c r="E197" s="126" t="n"/>
      <c r="F197" s="124" t="n"/>
      <c r="G197" s="121">
        <f>IF($D197=0,0,$D197*$E197)</f>
        <v/>
      </c>
      <c r="H197" s="122">
        <f>IF($B197="","",CONCATENATE("Hareket: ",$C197,"/",$D197," adet ",$B197))</f>
        <v/>
      </c>
    </row>
    <row r="198" ht="15" customHeight="1" s="77">
      <c r="A198" s="123" t="n"/>
      <c r="B198" s="124" t="n"/>
      <c r="C198" s="124" t="n"/>
      <c r="D198" s="125" t="n"/>
      <c r="E198" s="126" t="n"/>
      <c r="F198" s="124" t="n"/>
      <c r="G198" s="121">
        <f>IF($D198=0,0,$D198*$E198)</f>
        <v/>
      </c>
      <c r="H198" s="122">
        <f>IF($B198="","",CONCATENATE("Hareket: ",$C198,"/",$D198," adet ",$B198))</f>
        <v/>
      </c>
    </row>
    <row r="199" ht="15" customHeight="1" s="77">
      <c r="A199" s="123" t="n"/>
      <c r="B199" s="124" t="n"/>
      <c r="C199" s="124" t="n"/>
      <c r="D199" s="125" t="n"/>
      <c r="E199" s="126" t="n"/>
      <c r="F199" s="124" t="n"/>
      <c r="G199" s="121">
        <f>IF($D199=0,0,$D199*$E199)</f>
        <v/>
      </c>
      <c r="H199" s="122">
        <f>IF($B199="","",CONCATENATE("Hareket: ",$C199,"/",$D199," adet ",$B199))</f>
        <v/>
      </c>
    </row>
    <row r="200" ht="15" customHeight="1" s="77">
      <c r="A200" s="123" t="n"/>
      <c r="B200" s="124" t="n"/>
      <c r="C200" s="124" t="n"/>
      <c r="D200" s="125" t="n"/>
      <c r="E200" s="126" t="n"/>
      <c r="F200" s="124" t="n"/>
      <c r="G200" s="121">
        <f>IF($D200=0,0,$D200*$E200)</f>
        <v/>
      </c>
      <c r="H200" s="122">
        <f>IF($B200="","",CONCATENATE("Hareket: ",$C200,"/",$D200," adet ",$B200))</f>
        <v/>
      </c>
    </row>
    <row r="201" ht="15" customHeight="1" s="77">
      <c r="A201" s="123" t="n"/>
      <c r="B201" s="124" t="n"/>
      <c r="C201" s="124" t="n"/>
      <c r="D201" s="125" t="n"/>
      <c r="E201" s="126" t="n"/>
      <c r="F201" s="124" t="n"/>
      <c r="G201" s="121">
        <f>IF($D201=0,0,$D201*$E201)</f>
        <v/>
      </c>
      <c r="H201" s="122">
        <f>IF($B201="","",CONCATENATE("Hareket: ",$C201,"/",$D201," adet ",$B201))</f>
        <v/>
      </c>
    </row>
    <row r="202" ht="15" customHeight="1" s="77">
      <c r="A202" s="123" t="n"/>
      <c r="B202" s="124" t="n"/>
      <c r="C202" s="124" t="n"/>
      <c r="D202" s="125" t="n"/>
      <c r="E202" s="126" t="n"/>
      <c r="F202" s="124" t="n"/>
      <c r="G202" s="121">
        <f>IF($D202=0,0,$D202*$E202)</f>
        <v/>
      </c>
      <c r="H202" s="122">
        <f>IF($B202="","",CONCATENATE("Hareket: ",$C202,"/",$D202," adet ",$B202))</f>
        <v/>
      </c>
    </row>
    <row r="203" ht="15" customHeight="1" s="77">
      <c r="A203" s="123" t="n"/>
      <c r="B203" s="124" t="n"/>
      <c r="C203" s="124" t="n"/>
      <c r="D203" s="125" t="n"/>
      <c r="E203" s="126" t="n"/>
      <c r="F203" s="124" t="n"/>
      <c r="G203" s="121">
        <f>IF($D203=0,0,$D203*$E203)</f>
        <v/>
      </c>
      <c r="H203" s="122">
        <f>IF($B203="","",CONCATENATE("Hareket: ",$C203,"/",$D203," adet ",$B203))</f>
        <v/>
      </c>
    </row>
    <row r="204" ht="15" customHeight="1" s="77">
      <c r="A204" s="123" t="n"/>
      <c r="B204" s="124" t="n"/>
      <c r="C204" s="124" t="n"/>
      <c r="D204" s="125" t="n"/>
      <c r="E204" s="126" t="n"/>
      <c r="F204" s="124" t="n"/>
      <c r="G204" s="121">
        <f>IF($D204=0,0,$D204*$E204)</f>
        <v/>
      </c>
      <c r="H204" s="122">
        <f>IF($B204="","",CONCATENATE("Hareket: ",$C204,"/",$D204," adet ",$B204))</f>
        <v/>
      </c>
    </row>
    <row r="205" ht="15" customHeight="1" s="77">
      <c r="A205" s="123" t="n"/>
      <c r="B205" s="124" t="n"/>
      <c r="C205" s="124" t="n"/>
      <c r="D205" s="125" t="n"/>
      <c r="E205" s="126" t="n"/>
      <c r="F205" s="124" t="n"/>
      <c r="G205" s="121">
        <f>IF($D205=0,0,$D205*$E205)</f>
        <v/>
      </c>
      <c r="H205" s="122">
        <f>IF($B205="","",CONCATENATE("Hareket: ",$C205,"/",$D205," adet ",$B205))</f>
        <v/>
      </c>
    </row>
    <row r="206" ht="15" customHeight="1" s="77">
      <c r="A206" s="123" t="n"/>
      <c r="B206" s="124" t="n"/>
      <c r="C206" s="124" t="n"/>
      <c r="D206" s="125" t="n"/>
      <c r="E206" s="126" t="n"/>
      <c r="F206" s="124" t="n"/>
      <c r="G206" s="121">
        <f>IF($D206=0,0,$D206*$E206)</f>
        <v/>
      </c>
      <c r="H206" s="122">
        <f>IF($B206="","",CONCATENATE("Hareket: ",$C206,"/",$D206," adet ",$B206))</f>
        <v/>
      </c>
    </row>
    <row r="207" ht="15" customHeight="1" s="77">
      <c r="A207" s="123" t="n"/>
      <c r="B207" s="124" t="n"/>
      <c r="C207" s="124" t="n"/>
      <c r="D207" s="125" t="n"/>
      <c r="E207" s="126" t="n"/>
      <c r="F207" s="124" t="n"/>
      <c r="G207" s="121">
        <f>IF($D207=0,0,$D207*$E207)</f>
        <v/>
      </c>
      <c r="H207" s="122">
        <f>IF($B207="","",CONCATENATE("Hareket: ",$C207,"/",$D207," adet ",$B207))</f>
        <v/>
      </c>
    </row>
    <row r="208" ht="15" customHeight="1" s="77">
      <c r="A208" s="123" t="n"/>
      <c r="B208" s="124" t="n"/>
      <c r="C208" s="124" t="n"/>
      <c r="D208" s="125" t="n"/>
      <c r="E208" s="126" t="n"/>
      <c r="F208" s="124" t="n"/>
      <c r="G208" s="121">
        <f>IF($D208=0,0,$D208*$E208)</f>
        <v/>
      </c>
      <c r="H208" s="122">
        <f>IF($B208="","",CONCATENATE("Hareket: ",$C208,"/",$D208," adet ",$B208))</f>
        <v/>
      </c>
    </row>
    <row r="209" ht="15" customHeight="1" s="77">
      <c r="A209" s="123" t="n"/>
      <c r="B209" s="124" t="n"/>
      <c r="C209" s="124" t="n"/>
      <c r="D209" s="125" t="n"/>
      <c r="E209" s="126" t="n"/>
      <c r="F209" s="124" t="n"/>
      <c r="G209" s="121">
        <f>IF($D209=0,0,$D209*$E209)</f>
        <v/>
      </c>
      <c r="H209" s="122">
        <f>IF($B209="","",CONCATENATE("Hareket: ",$C209,"/",$D209," adet ",$B209))</f>
        <v/>
      </c>
    </row>
    <row r="210" ht="15" customHeight="1" s="77">
      <c r="A210" s="123" t="n"/>
      <c r="B210" s="124" t="n"/>
      <c r="C210" s="124" t="n"/>
      <c r="D210" s="125" t="n"/>
      <c r="E210" s="126" t="n"/>
      <c r="F210" s="124" t="n"/>
      <c r="G210" s="121">
        <f>IF($D210=0,0,$D210*$E210)</f>
        <v/>
      </c>
      <c r="H210" s="122">
        <f>IF($B210="","",CONCATENATE("Hareket: ",$C210,"/",$D210," adet ",$B210))</f>
        <v/>
      </c>
    </row>
    <row r="211" ht="15" customHeight="1" s="77">
      <c r="A211" s="123" t="n"/>
      <c r="B211" s="124" t="n"/>
      <c r="C211" s="124" t="n"/>
      <c r="D211" s="125" t="n"/>
      <c r="E211" s="126" t="n"/>
      <c r="F211" s="124" t="n"/>
      <c r="G211" s="121">
        <f>IF($D211=0,0,$D211*$E211)</f>
        <v/>
      </c>
      <c r="H211" s="122">
        <f>IF($B211="","",CONCATENATE("Hareket: ",$C211,"/",$D211," adet ",$B211))</f>
        <v/>
      </c>
    </row>
    <row r="212" ht="15" customHeight="1" s="77">
      <c r="A212" s="123" t="n"/>
      <c r="B212" s="124" t="n"/>
      <c r="C212" s="124" t="n"/>
      <c r="D212" s="125" t="n"/>
      <c r="E212" s="126" t="n"/>
      <c r="F212" s="124" t="n"/>
      <c r="G212" s="121">
        <f>IF($D212=0,0,$D212*$E212)</f>
        <v/>
      </c>
      <c r="H212" s="122">
        <f>IF($B212="","",CONCATENATE("Hareket: ",$C212,"/",$D212," adet ",$B212))</f>
        <v/>
      </c>
    </row>
    <row r="213" ht="15" customHeight="1" s="77">
      <c r="A213" s="123" t="n"/>
      <c r="B213" s="124" t="n"/>
      <c r="C213" s="124" t="n"/>
      <c r="D213" s="125" t="n"/>
      <c r="E213" s="126" t="n"/>
      <c r="F213" s="124" t="n"/>
      <c r="G213" s="121">
        <f>IF($D213=0,0,$D213*$E213)</f>
        <v/>
      </c>
      <c r="H213" s="122">
        <f>IF($B213="","",CONCATENATE("Hareket: ",$C213,"/",$D213," adet ",$B213))</f>
        <v/>
      </c>
    </row>
    <row r="214" ht="15" customHeight="1" s="77">
      <c r="A214" s="123" t="n"/>
      <c r="B214" s="124" t="n"/>
      <c r="C214" s="124" t="n"/>
      <c r="D214" s="125" t="n"/>
      <c r="E214" s="126" t="n"/>
      <c r="F214" s="124" t="n"/>
      <c r="G214" s="121">
        <f>IF($D214=0,0,$D214*$E214)</f>
        <v/>
      </c>
      <c r="H214" s="122">
        <f>IF($B214="","",CONCATENATE("Hareket: ",$C214,"/",$D214," adet ",$B214))</f>
        <v/>
      </c>
    </row>
    <row r="215" ht="15" customHeight="1" s="77">
      <c r="A215" s="123" t="n"/>
      <c r="B215" s="124" t="n"/>
      <c r="C215" s="124" t="n"/>
      <c r="D215" s="125" t="n"/>
      <c r="E215" s="126" t="n"/>
      <c r="F215" s="124" t="n"/>
      <c r="G215" s="121">
        <f>IF($D215=0,0,$D215*$E215)</f>
        <v/>
      </c>
      <c r="H215" s="122">
        <f>IF($B215="","",CONCATENATE("Hareket: ",$C215,"/",$D215," adet ",$B215))</f>
        <v/>
      </c>
    </row>
    <row r="216" ht="15" customHeight="1" s="77">
      <c r="A216" s="123" t="n"/>
      <c r="B216" s="124" t="n"/>
      <c r="C216" s="124" t="n"/>
      <c r="D216" s="125" t="n"/>
      <c r="E216" s="126" t="n"/>
      <c r="F216" s="124" t="n"/>
      <c r="G216" s="121">
        <f>IF($D216=0,0,$D216*$E216)</f>
        <v/>
      </c>
      <c r="H216" s="122">
        <f>IF($B216="","",CONCATENATE("Hareket: ",$C216,"/",$D216," adet ",$B216))</f>
        <v/>
      </c>
    </row>
    <row r="217" ht="15" customHeight="1" s="77">
      <c r="A217" s="123" t="n"/>
      <c r="B217" s="124" t="n"/>
      <c r="C217" s="124" t="n"/>
      <c r="D217" s="125" t="n"/>
      <c r="E217" s="126" t="n"/>
      <c r="F217" s="124" t="n"/>
      <c r="G217" s="121">
        <f>IF($D217=0,0,$D217*$E217)</f>
        <v/>
      </c>
      <c r="H217" s="122">
        <f>IF($B217="","",CONCATENATE("Hareket: ",$C217,"/",$D217," adet ",$B217))</f>
        <v/>
      </c>
    </row>
    <row r="218" ht="15" customHeight="1" s="77">
      <c r="A218" s="123" t="n"/>
      <c r="B218" s="124" t="n"/>
      <c r="C218" s="124" t="n"/>
      <c r="D218" s="125" t="n"/>
      <c r="E218" s="126" t="n"/>
      <c r="F218" s="124" t="n"/>
      <c r="G218" s="121">
        <f>IF($D218=0,0,$D218*$E218)</f>
        <v/>
      </c>
      <c r="H218" s="122">
        <f>IF($B218="","",CONCATENATE("Hareket: ",$C218,"/",$D218," adet ",$B218))</f>
        <v/>
      </c>
    </row>
    <row r="219" ht="15" customHeight="1" s="77">
      <c r="A219" s="123" t="n"/>
      <c r="B219" s="124" t="n"/>
      <c r="C219" s="124" t="n"/>
      <c r="D219" s="125" t="n"/>
      <c r="E219" s="126" t="n"/>
      <c r="F219" s="124" t="n"/>
      <c r="G219" s="121">
        <f>IF($D219=0,0,$D219*$E219)</f>
        <v/>
      </c>
      <c r="H219" s="122">
        <f>IF($B219="","",CONCATENATE("Hareket: ",$C219,"/",$D219," adet ",$B219))</f>
        <v/>
      </c>
    </row>
    <row r="220" ht="15" customHeight="1" s="77">
      <c r="A220" s="123" t="n"/>
      <c r="B220" s="124" t="n"/>
      <c r="C220" s="124" t="n"/>
      <c r="D220" s="125" t="n"/>
      <c r="E220" s="126" t="n"/>
      <c r="F220" s="124" t="n"/>
      <c r="G220" s="121">
        <f>IF($D220=0,0,$D220*$E220)</f>
        <v/>
      </c>
      <c r="H220" s="122">
        <f>IF($B220="","",CONCATENATE("Hareket: ",$C220,"/",$D220," adet ",$B220))</f>
        <v/>
      </c>
    </row>
    <row r="221" ht="15" customHeight="1" s="77">
      <c r="A221" s="123" t="n"/>
      <c r="B221" s="124" t="n"/>
      <c r="C221" s="124" t="n"/>
      <c r="D221" s="125" t="n"/>
      <c r="E221" s="126" t="n"/>
      <c r="F221" s="124" t="n"/>
      <c r="G221" s="121">
        <f>IF($D221=0,0,$D221*$E221)</f>
        <v/>
      </c>
      <c r="H221" s="122">
        <f>IF($B221="","",CONCATENATE("Hareket: ",$C221,"/",$D221," adet ",$B221))</f>
        <v/>
      </c>
    </row>
    <row r="222" ht="15" customHeight="1" s="77">
      <c r="A222" s="123" t="n"/>
      <c r="B222" s="124" t="n"/>
      <c r="C222" s="124" t="n"/>
      <c r="D222" s="125" t="n"/>
      <c r="E222" s="126" t="n"/>
      <c r="F222" s="124" t="n"/>
      <c r="G222" s="121">
        <f>IF($D222=0,0,$D222*$E222)</f>
        <v/>
      </c>
      <c r="H222" s="122">
        <f>IF($B222="","",CONCATENATE("Hareket: ",$C222,"/",$D222," adet ",$B222))</f>
        <v/>
      </c>
    </row>
    <row r="223" ht="15" customHeight="1" s="77">
      <c r="A223" s="123" t="n"/>
      <c r="B223" s="124" t="n"/>
      <c r="C223" s="124" t="n"/>
      <c r="D223" s="125" t="n"/>
      <c r="E223" s="126" t="n"/>
      <c r="F223" s="124" t="n"/>
      <c r="G223" s="121">
        <f>IF($D223=0,0,$D223*$E223)</f>
        <v/>
      </c>
      <c r="H223" s="122">
        <f>IF($B223="","",CONCATENATE("Hareket: ",$C223,"/",$D223," adet ",$B223))</f>
        <v/>
      </c>
    </row>
    <row r="224" ht="15" customHeight="1" s="77">
      <c r="A224" s="123" t="n"/>
      <c r="B224" s="124" t="n"/>
      <c r="C224" s="124" t="n"/>
      <c r="D224" s="125" t="n"/>
      <c r="E224" s="126" t="n"/>
      <c r="F224" s="124" t="n"/>
      <c r="G224" s="121">
        <f>IF($D224=0,0,$D224*$E224)</f>
        <v/>
      </c>
      <c r="H224" s="122">
        <f>IF($B224="","",CONCATENATE("Hareket: ",$C224,"/",$D224," adet ",$B224))</f>
        <v/>
      </c>
    </row>
    <row r="225" ht="15" customHeight="1" s="77">
      <c r="A225" s="123" t="n"/>
      <c r="B225" s="124" t="n"/>
      <c r="C225" s="124" t="n"/>
      <c r="D225" s="125" t="n"/>
      <c r="E225" s="126" t="n"/>
      <c r="F225" s="124" t="n"/>
      <c r="G225" s="121">
        <f>IF($D225=0,0,$D225*$E225)</f>
        <v/>
      </c>
      <c r="H225" s="122">
        <f>IF($B225="","",CONCATENATE("Hareket: ",$C225,"/",$D225," adet ",$B225))</f>
        <v/>
      </c>
    </row>
    <row r="226" ht="15" customHeight="1" s="77">
      <c r="A226" s="123" t="n"/>
      <c r="B226" s="124" t="n"/>
      <c r="C226" s="124" t="n"/>
      <c r="D226" s="125" t="n"/>
      <c r="E226" s="126" t="n"/>
      <c r="F226" s="124" t="n"/>
      <c r="G226" s="121">
        <f>IF($D226=0,0,$D226*$E226)</f>
        <v/>
      </c>
      <c r="H226" s="122">
        <f>IF($B226="","",CONCATENATE("Hareket: ",$C226,"/",$D226," adet ",$B226))</f>
        <v/>
      </c>
    </row>
    <row r="227" ht="15" customHeight="1" s="77">
      <c r="A227" s="123" t="n"/>
      <c r="B227" s="124" t="n"/>
      <c r="C227" s="124" t="n"/>
      <c r="D227" s="125" t="n"/>
      <c r="E227" s="126" t="n"/>
      <c r="F227" s="124" t="n"/>
      <c r="G227" s="121">
        <f>IF($D227=0,0,$D227*$E227)</f>
        <v/>
      </c>
      <c r="H227" s="122">
        <f>IF($B227="","",CONCATENATE("Hareket: ",$C227,"/",$D227," adet ",$B227))</f>
        <v/>
      </c>
    </row>
    <row r="228" ht="15" customHeight="1" s="77">
      <c r="A228" s="123" t="n"/>
      <c r="B228" s="124" t="n"/>
      <c r="C228" s="124" t="n"/>
      <c r="D228" s="125" t="n"/>
      <c r="E228" s="126" t="n"/>
      <c r="F228" s="124" t="n"/>
      <c r="G228" s="121">
        <f>IF($D228=0,0,$D228*$E228)</f>
        <v/>
      </c>
      <c r="H228" s="122">
        <f>IF($B228="","",CONCATENATE("Hareket: ",$C228,"/",$D228," adet ",$B228))</f>
        <v/>
      </c>
    </row>
    <row r="229" ht="15" customHeight="1" s="77">
      <c r="A229" s="123" t="n"/>
      <c r="B229" s="124" t="n"/>
      <c r="C229" s="124" t="n"/>
      <c r="D229" s="125" t="n"/>
      <c r="E229" s="126" t="n"/>
      <c r="F229" s="124" t="n"/>
      <c r="G229" s="121">
        <f>IF($D229=0,0,$D229*$E229)</f>
        <v/>
      </c>
      <c r="H229" s="122">
        <f>IF($B229="","",CONCATENATE("Hareket: ",$C229,"/",$D229," adet ",$B229))</f>
        <v/>
      </c>
    </row>
    <row r="230" ht="15" customHeight="1" s="77">
      <c r="A230" s="123" t="n"/>
      <c r="B230" s="124" t="n"/>
      <c r="C230" s="124" t="n"/>
      <c r="D230" s="125" t="n"/>
      <c r="E230" s="126" t="n"/>
      <c r="F230" s="124" t="n"/>
      <c r="G230" s="121">
        <f>IF($D230=0,0,$D230*$E230)</f>
        <v/>
      </c>
      <c r="H230" s="122">
        <f>IF($B230="","",CONCATENATE("Hareket: ",$C230,"/",$D230," adet ",$B230))</f>
        <v/>
      </c>
    </row>
    <row r="231" ht="15" customHeight="1" s="77">
      <c r="A231" s="123" t="n"/>
      <c r="B231" s="124" t="n"/>
      <c r="C231" s="124" t="n"/>
      <c r="D231" s="125" t="n"/>
      <c r="E231" s="126" t="n"/>
      <c r="F231" s="124" t="n"/>
      <c r="G231" s="121">
        <f>IF($D231=0,0,$D231*$E231)</f>
        <v/>
      </c>
      <c r="H231" s="122">
        <f>IF($B231="","",CONCATENATE("Hareket: ",$C231,"/",$D231," adet ",$B231))</f>
        <v/>
      </c>
    </row>
    <row r="232" ht="15" customHeight="1" s="77">
      <c r="A232" s="123" t="n"/>
      <c r="B232" s="124" t="n"/>
      <c r="C232" s="124" t="n"/>
      <c r="D232" s="125" t="n"/>
      <c r="E232" s="126" t="n"/>
      <c r="F232" s="124" t="n"/>
      <c r="G232" s="121">
        <f>IF($D232=0,0,$D232*$E232)</f>
        <v/>
      </c>
      <c r="H232" s="122">
        <f>IF($B232="","",CONCATENATE("Hareket: ",$C232,"/",$D232," adet ",$B232))</f>
        <v/>
      </c>
    </row>
    <row r="233" ht="15" customHeight="1" s="77">
      <c r="A233" s="123" t="n"/>
      <c r="B233" s="124" t="n"/>
      <c r="C233" s="124" t="n"/>
      <c r="D233" s="125" t="n"/>
      <c r="E233" s="126" t="n"/>
      <c r="F233" s="124" t="n"/>
      <c r="G233" s="121">
        <f>IF($D233=0,0,$D233*$E233)</f>
        <v/>
      </c>
      <c r="H233" s="122">
        <f>IF($B233="","",CONCATENATE("Hareket: ",$C233,"/",$D233," adet ",$B233))</f>
        <v/>
      </c>
    </row>
    <row r="234" ht="15" customHeight="1" s="77">
      <c r="A234" s="123" t="n"/>
      <c r="B234" s="124" t="n"/>
      <c r="C234" s="124" t="n"/>
      <c r="D234" s="125" t="n"/>
      <c r="E234" s="126" t="n"/>
      <c r="F234" s="124" t="n"/>
      <c r="G234" s="121">
        <f>IF($D234=0,0,$D234*$E234)</f>
        <v/>
      </c>
      <c r="H234" s="122">
        <f>IF($B234="","",CONCATENATE("Hareket: ",$C234,"/",$D234," adet ",$B234))</f>
        <v/>
      </c>
    </row>
    <row r="235" ht="15" customHeight="1" s="77">
      <c r="A235" s="123" t="n"/>
      <c r="B235" s="124" t="n"/>
      <c r="C235" s="124" t="n"/>
      <c r="D235" s="125" t="n"/>
      <c r="E235" s="126" t="n"/>
      <c r="F235" s="124" t="n"/>
      <c r="G235" s="121">
        <f>IF($D235=0,0,$D235*$E235)</f>
        <v/>
      </c>
      <c r="H235" s="122">
        <f>IF($B235="","",CONCATENATE("Hareket: ",$C235,"/",$D235," adet ",$B235))</f>
        <v/>
      </c>
    </row>
    <row r="236" ht="15" customHeight="1" s="77">
      <c r="A236" s="123" t="n"/>
      <c r="B236" s="124" t="n"/>
      <c r="C236" s="124" t="n"/>
      <c r="D236" s="125" t="n"/>
      <c r="E236" s="126" t="n"/>
      <c r="F236" s="124" t="n"/>
      <c r="G236" s="121">
        <f>IF($D236=0,0,$D236*$E236)</f>
        <v/>
      </c>
      <c r="H236" s="122">
        <f>IF($B236="","",CONCATENATE("Hareket: ",$C236,"/",$D236," adet ",$B236))</f>
        <v/>
      </c>
    </row>
    <row r="237" ht="15" customHeight="1" s="77">
      <c r="A237" s="123" t="n"/>
      <c r="B237" s="124" t="n"/>
      <c r="C237" s="124" t="n"/>
      <c r="D237" s="125" t="n"/>
      <c r="E237" s="126" t="n"/>
      <c r="F237" s="124" t="n"/>
      <c r="G237" s="121">
        <f>IF($D237=0,0,$D237*$E237)</f>
        <v/>
      </c>
      <c r="H237" s="122">
        <f>IF($B237="","",CONCATENATE("Hareket: ",$C237,"/",$D237," adet ",$B237))</f>
        <v/>
      </c>
    </row>
    <row r="238" ht="15" customHeight="1" s="77">
      <c r="A238" s="123" t="n"/>
      <c r="B238" s="124" t="n"/>
      <c r="C238" s="124" t="n"/>
      <c r="D238" s="125" t="n"/>
      <c r="E238" s="126" t="n"/>
      <c r="F238" s="124" t="n"/>
      <c r="G238" s="121">
        <f>IF($D238=0,0,$D238*$E238)</f>
        <v/>
      </c>
      <c r="H238" s="122">
        <f>IF($B238="","",CONCATENATE("Hareket: ",$C238,"/",$D238," adet ",$B238))</f>
        <v/>
      </c>
    </row>
    <row r="239" ht="15" customHeight="1" s="77">
      <c r="A239" s="123" t="n"/>
      <c r="B239" s="124" t="n"/>
      <c r="C239" s="124" t="n"/>
      <c r="D239" s="125" t="n"/>
      <c r="E239" s="126" t="n"/>
      <c r="F239" s="124" t="n"/>
      <c r="G239" s="121">
        <f>IF($D239=0,0,$D239*$E239)</f>
        <v/>
      </c>
      <c r="H239" s="122">
        <f>IF($B239="","",CONCATENATE("Hareket: ",$C239,"/",$D239," adet ",$B239))</f>
        <v/>
      </c>
    </row>
    <row r="240" ht="15" customHeight="1" s="77">
      <c r="A240" s="123" t="n"/>
      <c r="B240" s="124" t="n"/>
      <c r="C240" s="124" t="n"/>
      <c r="D240" s="125" t="n"/>
      <c r="E240" s="126" t="n"/>
      <c r="F240" s="124" t="n"/>
      <c r="G240" s="121">
        <f>IF($D240=0,0,$D240*$E240)</f>
        <v/>
      </c>
      <c r="H240" s="122">
        <f>IF($B240="","",CONCATENATE("Hareket: ",$C240,"/",$D240," adet ",$B240))</f>
        <v/>
      </c>
    </row>
    <row r="241" ht="15" customHeight="1" s="77">
      <c r="A241" s="123" t="n"/>
      <c r="B241" s="124" t="n"/>
      <c r="C241" s="124" t="n"/>
      <c r="D241" s="125" t="n"/>
      <c r="E241" s="126" t="n"/>
      <c r="F241" s="124" t="n"/>
      <c r="G241" s="121">
        <f>IF($D241=0,0,$D241*$E241)</f>
        <v/>
      </c>
      <c r="H241" s="122">
        <f>IF($B241="","",CONCATENATE("Hareket: ",$C241,"/",$D241," adet ",$B241))</f>
        <v/>
      </c>
    </row>
    <row r="242" ht="15" customHeight="1" s="77">
      <c r="A242" s="123" t="n"/>
      <c r="B242" s="124" t="n"/>
      <c r="C242" s="124" t="n"/>
      <c r="D242" s="125" t="n"/>
      <c r="E242" s="126" t="n"/>
      <c r="F242" s="124" t="n"/>
      <c r="G242" s="121">
        <f>IF($D242=0,0,$D242*$E242)</f>
        <v/>
      </c>
      <c r="H242" s="122">
        <f>IF($B242="","",CONCATENATE("Hareket: ",$C242,"/",$D242," adet ",$B242))</f>
        <v/>
      </c>
    </row>
    <row r="243" ht="15" customHeight="1" s="77">
      <c r="A243" s="123" t="n"/>
      <c r="B243" s="124" t="n"/>
      <c r="C243" s="124" t="n"/>
      <c r="D243" s="125" t="n"/>
      <c r="E243" s="126" t="n"/>
      <c r="F243" s="124" t="n"/>
      <c r="G243" s="121">
        <f>IF($D243=0,0,$D243*$E243)</f>
        <v/>
      </c>
      <c r="H243" s="122">
        <f>IF($B243="","",CONCATENATE("Hareket: ",$C243,"/",$D243," adet ",$B243))</f>
        <v/>
      </c>
    </row>
    <row r="244" ht="15" customHeight="1" s="77">
      <c r="A244" s="123" t="n"/>
      <c r="B244" s="124" t="n"/>
      <c r="C244" s="124" t="n"/>
      <c r="D244" s="125" t="n"/>
      <c r="E244" s="126" t="n"/>
      <c r="F244" s="124" t="n"/>
      <c r="G244" s="121">
        <f>IF($D244=0,0,$D244*$E244)</f>
        <v/>
      </c>
      <c r="H244" s="122">
        <f>IF($B244="","",CONCATENATE("Hareket: ",$C244,"/",$D244," adet ",$B244))</f>
        <v/>
      </c>
    </row>
    <row r="245" ht="15" customHeight="1" s="77">
      <c r="A245" s="123" t="n"/>
      <c r="B245" s="124" t="n"/>
      <c r="C245" s="124" t="n"/>
      <c r="D245" s="125" t="n"/>
      <c r="E245" s="126" t="n"/>
      <c r="F245" s="124" t="n"/>
      <c r="G245" s="121">
        <f>IF($D245=0,0,$D245*$E245)</f>
        <v/>
      </c>
      <c r="H245" s="122">
        <f>IF($B245="","",CONCATENATE("Hareket: ",$C245,"/",$D245," adet ",$B245))</f>
        <v/>
      </c>
    </row>
    <row r="246" ht="15" customHeight="1" s="77">
      <c r="A246" s="123" t="n"/>
      <c r="B246" s="124" t="n"/>
      <c r="C246" s="124" t="n"/>
      <c r="D246" s="125" t="n"/>
      <c r="E246" s="126" t="n"/>
      <c r="F246" s="124" t="n"/>
      <c r="G246" s="121">
        <f>IF($D246=0,0,$D246*$E246)</f>
        <v/>
      </c>
      <c r="H246" s="122">
        <f>IF($B246="","",CONCATENATE("Hareket: ",$C246,"/",$D246," adet ",$B246))</f>
        <v/>
      </c>
    </row>
    <row r="247" ht="15" customHeight="1" s="77">
      <c r="A247" s="123" t="n"/>
      <c r="B247" s="124" t="n"/>
      <c r="C247" s="124" t="n"/>
      <c r="D247" s="125" t="n"/>
      <c r="E247" s="126" t="n"/>
      <c r="F247" s="124" t="n"/>
      <c r="G247" s="121">
        <f>IF($D247=0,0,$D247*$E247)</f>
        <v/>
      </c>
      <c r="H247" s="122">
        <f>IF($B247="","",CONCATENATE("Hareket: ",$C247,"/",$D247," adet ",$B247))</f>
        <v/>
      </c>
    </row>
    <row r="248" ht="15" customHeight="1" s="77">
      <c r="A248" s="123" t="n"/>
      <c r="B248" s="124" t="n"/>
      <c r="C248" s="124" t="n"/>
      <c r="D248" s="125" t="n"/>
      <c r="E248" s="126" t="n"/>
      <c r="F248" s="124" t="n"/>
      <c r="G248" s="121">
        <f>IF($D248=0,0,$D248*$E248)</f>
        <v/>
      </c>
      <c r="H248" s="122">
        <f>IF($B248="","",CONCATENATE("Hareket: ",$C248,"/",$D248," adet ",$B248))</f>
        <v/>
      </c>
    </row>
    <row r="249" ht="15" customHeight="1" s="77">
      <c r="A249" s="123" t="n"/>
      <c r="B249" s="124" t="n"/>
      <c r="C249" s="124" t="n"/>
      <c r="D249" s="125" t="n"/>
      <c r="E249" s="126" t="n"/>
      <c r="F249" s="124" t="n"/>
      <c r="G249" s="121">
        <f>IF($D249=0,0,$D249*$E249)</f>
        <v/>
      </c>
      <c r="H249" s="122">
        <f>IF($B249="","",CONCATENATE("Hareket: ",$C249,"/",$D249," adet ",$B249))</f>
        <v/>
      </c>
    </row>
    <row r="250" ht="15" customHeight="1" s="77">
      <c r="A250" s="123" t="n"/>
      <c r="B250" s="124" t="n"/>
      <c r="C250" s="124" t="n"/>
      <c r="D250" s="125" t="n"/>
      <c r="E250" s="126" t="n"/>
      <c r="F250" s="124" t="n"/>
      <c r="G250" s="121">
        <f>IF($D250=0,0,$D250*$E250)</f>
        <v/>
      </c>
      <c r="H250" s="122">
        <f>IF($B250="","",CONCATENATE("Hareket: ",$C250,"/",$D250," adet ",$B250))</f>
        <v/>
      </c>
    </row>
    <row r="251" ht="15" customHeight="1" s="77">
      <c r="A251" s="123" t="n"/>
      <c r="B251" s="124" t="n"/>
      <c r="C251" s="124" t="n"/>
      <c r="D251" s="125" t="n"/>
      <c r="E251" s="126" t="n"/>
      <c r="F251" s="124" t="n"/>
      <c r="G251" s="121">
        <f>IF($D251=0,0,$D251*$E251)</f>
        <v/>
      </c>
      <c r="H251" s="122">
        <f>IF($B251="","",CONCATENATE("Hareket: ",$C251,"/",$D251," adet ",$B251))</f>
        <v/>
      </c>
    </row>
    <row r="252" ht="15" customHeight="1" s="77">
      <c r="A252" s="123" t="n"/>
      <c r="B252" s="124" t="n"/>
      <c r="C252" s="124" t="n"/>
      <c r="D252" s="125" t="n"/>
      <c r="E252" s="126" t="n"/>
      <c r="F252" s="124" t="n"/>
      <c r="G252" s="121">
        <f>IF($D252=0,0,$D252*$E252)</f>
        <v/>
      </c>
      <c r="H252" s="122">
        <f>IF($B252="","",CONCATENATE("Hareket: ",$C252,"/",$D252," adet ",$B252))</f>
        <v/>
      </c>
    </row>
    <row r="253" ht="15" customHeight="1" s="77">
      <c r="A253" s="123" t="n"/>
      <c r="B253" s="124" t="n"/>
      <c r="C253" s="124" t="n"/>
      <c r="D253" s="125" t="n"/>
      <c r="E253" s="126" t="n"/>
      <c r="F253" s="124" t="n"/>
      <c r="G253" s="121">
        <f>IF($D253=0,0,$D253*$E253)</f>
        <v/>
      </c>
      <c r="H253" s="122">
        <f>IF($B253="","",CONCATENATE("Hareket: ",$C253,"/",$D253," adet ",$B253))</f>
        <v/>
      </c>
    </row>
    <row r="254" ht="15" customHeight="1" s="77">
      <c r="A254" s="123" t="n"/>
      <c r="B254" s="124" t="n"/>
      <c r="C254" s="124" t="n"/>
      <c r="D254" s="125" t="n"/>
      <c r="E254" s="126" t="n"/>
      <c r="F254" s="124" t="n"/>
      <c r="G254" s="121">
        <f>IF($D254=0,0,$D254*$E254)</f>
        <v/>
      </c>
      <c r="H254" s="122">
        <f>IF($B254="","",CONCATENATE("Hareket: ",$C254,"/",$D254," adet ",$B254))</f>
        <v/>
      </c>
    </row>
    <row r="255" ht="15" customHeight="1" s="77">
      <c r="A255" s="123" t="n"/>
      <c r="B255" s="124" t="n"/>
      <c r="C255" s="124" t="n"/>
      <c r="D255" s="125" t="n"/>
      <c r="E255" s="126" t="n"/>
      <c r="F255" s="124" t="n"/>
      <c r="G255" s="121">
        <f>IF($D255=0,0,$D255*$E255)</f>
        <v/>
      </c>
      <c r="H255" s="122">
        <f>IF($B255="","",CONCATENATE("Hareket: ",$C255,"/",$D255," adet ",$B255))</f>
        <v/>
      </c>
    </row>
    <row r="256" ht="15" customHeight="1" s="77">
      <c r="A256" s="123" t="n"/>
      <c r="B256" s="124" t="n"/>
      <c r="C256" s="124" t="n"/>
      <c r="D256" s="125" t="n"/>
      <c r="E256" s="126" t="n"/>
      <c r="F256" s="124" t="n"/>
      <c r="G256" s="121">
        <f>IF($D256=0,0,$D256*$E256)</f>
        <v/>
      </c>
      <c r="H256" s="122">
        <f>IF($B256="","",CONCATENATE("Hareket: ",$C256,"/",$D256," adet ",$B256))</f>
        <v/>
      </c>
    </row>
    <row r="257" ht="15" customHeight="1" s="77">
      <c r="A257" s="123" t="n"/>
      <c r="B257" s="124" t="n"/>
      <c r="C257" s="124" t="n"/>
      <c r="D257" s="125" t="n"/>
      <c r="E257" s="126" t="n"/>
      <c r="F257" s="124" t="n"/>
      <c r="G257" s="121">
        <f>IF($D257=0,0,$D257*$E257)</f>
        <v/>
      </c>
      <c r="H257" s="122">
        <f>IF($B257="","",CONCATENATE("Hareket: ",$C257,"/",$D257," adet ",$B257))</f>
        <v/>
      </c>
    </row>
    <row r="258" ht="15" customHeight="1" s="77">
      <c r="A258" s="123" t="n"/>
      <c r="B258" s="124" t="n"/>
      <c r="C258" s="124" t="n"/>
      <c r="D258" s="125" t="n"/>
      <c r="E258" s="126" t="n"/>
      <c r="F258" s="124" t="n"/>
      <c r="G258" s="121">
        <f>IF($D258=0,0,$D258*$E258)</f>
        <v/>
      </c>
      <c r="H258" s="122">
        <f>IF($B258="","",CONCATENATE("Hareket: ",$C258,"/",$D258," adet ",$B258))</f>
        <v/>
      </c>
    </row>
    <row r="259" ht="15" customHeight="1" s="77">
      <c r="A259" s="123" t="n"/>
      <c r="B259" s="124" t="n"/>
      <c r="C259" s="124" t="n"/>
      <c r="D259" s="125" t="n"/>
      <c r="E259" s="126" t="n"/>
      <c r="F259" s="124" t="n"/>
      <c r="G259" s="121">
        <f>IF($D259=0,0,$D259*$E259)</f>
        <v/>
      </c>
      <c r="H259" s="122">
        <f>IF($B259="","",CONCATENATE("Hareket: ",$C259,"/",$D259," adet ",$B259))</f>
        <v/>
      </c>
    </row>
    <row r="260" ht="15" customHeight="1" s="77">
      <c r="A260" s="123" t="n"/>
      <c r="B260" s="124" t="n"/>
      <c r="C260" s="124" t="n"/>
      <c r="D260" s="125" t="n"/>
      <c r="E260" s="126" t="n"/>
      <c r="F260" s="124" t="n"/>
      <c r="G260" s="121">
        <f>IF($D260=0,0,$D260*$E260)</f>
        <v/>
      </c>
      <c r="H260" s="122">
        <f>IF($B260="","",CONCATENATE("Hareket: ",$C260,"/",$D260," adet ",$B260))</f>
        <v/>
      </c>
    </row>
    <row r="261" ht="15" customHeight="1" s="77">
      <c r="A261" s="123" t="n"/>
      <c r="B261" s="124" t="n"/>
      <c r="C261" s="124" t="n"/>
      <c r="D261" s="125" t="n"/>
      <c r="E261" s="126" t="n"/>
      <c r="F261" s="124" t="n"/>
      <c r="G261" s="121">
        <f>IF($D261=0,0,$D261*$E261)</f>
        <v/>
      </c>
      <c r="H261" s="122">
        <f>IF($B261="","",CONCATENATE("Hareket: ",$C261,"/",$D261," adet ",$B261))</f>
        <v/>
      </c>
    </row>
    <row r="262" ht="15" customHeight="1" s="77">
      <c r="A262" s="123" t="n"/>
      <c r="B262" s="124" t="n"/>
      <c r="C262" s="124" t="n"/>
      <c r="D262" s="125" t="n"/>
      <c r="E262" s="126" t="n"/>
      <c r="F262" s="124" t="n"/>
      <c r="G262" s="121">
        <f>IF($D262=0,0,$D262*$E262)</f>
        <v/>
      </c>
      <c r="H262" s="122">
        <f>IF($B262="","",CONCATENATE("Hareket: ",$C262,"/",$D262," adet ",$B262))</f>
        <v/>
      </c>
    </row>
    <row r="263" ht="15" customHeight="1" s="77">
      <c r="A263" s="123" t="n"/>
      <c r="B263" s="124" t="n"/>
      <c r="C263" s="124" t="n"/>
      <c r="D263" s="125" t="n"/>
      <c r="E263" s="126" t="n"/>
      <c r="F263" s="124" t="n"/>
      <c r="G263" s="121">
        <f>IF($D263=0,0,$D263*$E263)</f>
        <v/>
      </c>
      <c r="H263" s="122">
        <f>IF($B263="","",CONCATENATE("Hareket: ",$C263,"/",$D263," adet ",$B263))</f>
        <v/>
      </c>
    </row>
    <row r="264" ht="15" customHeight="1" s="77">
      <c r="A264" s="123" t="n"/>
      <c r="B264" s="124" t="n"/>
      <c r="C264" s="124" t="n"/>
      <c r="D264" s="125" t="n"/>
      <c r="E264" s="126" t="n"/>
      <c r="F264" s="124" t="n"/>
      <c r="G264" s="121">
        <f>IF($D264=0,0,$D264*$E264)</f>
        <v/>
      </c>
      <c r="H264" s="122">
        <f>IF($B264="","",CONCATENATE("Hareket: ",$C264,"/",$D264," adet ",$B264))</f>
        <v/>
      </c>
    </row>
    <row r="265" ht="15" customHeight="1" s="77">
      <c r="A265" s="123" t="n"/>
      <c r="B265" s="124" t="n"/>
      <c r="C265" s="124" t="n"/>
      <c r="D265" s="125" t="n"/>
      <c r="E265" s="126" t="n"/>
      <c r="F265" s="124" t="n"/>
      <c r="G265" s="121">
        <f>IF($D265=0,0,$D265*$E265)</f>
        <v/>
      </c>
      <c r="H265" s="122">
        <f>IF($B265="","",CONCATENATE("Hareket: ",$C265,"/",$D265," adet ",$B265))</f>
        <v/>
      </c>
    </row>
    <row r="266" ht="15" customHeight="1" s="77">
      <c r="A266" s="123" t="n"/>
      <c r="B266" s="124" t="n"/>
      <c r="C266" s="124" t="n"/>
      <c r="D266" s="125" t="n"/>
      <c r="E266" s="126" t="n"/>
      <c r="F266" s="124" t="n"/>
      <c r="G266" s="121">
        <f>IF($D266=0,0,$D266*$E266)</f>
        <v/>
      </c>
      <c r="H266" s="122">
        <f>IF($B266="","",CONCATENATE("Hareket: ",$C266,"/",$D266," adet ",$B266))</f>
        <v/>
      </c>
    </row>
    <row r="267" ht="15" customHeight="1" s="77">
      <c r="A267" s="123" t="n"/>
      <c r="B267" s="124" t="n"/>
      <c r="C267" s="124" t="n"/>
      <c r="D267" s="125" t="n"/>
      <c r="E267" s="126" t="n"/>
      <c r="F267" s="124" t="n"/>
      <c r="G267" s="121">
        <f>IF($D267=0,0,$D267*$E267)</f>
        <v/>
      </c>
      <c r="H267" s="122">
        <f>IF($B267="","",CONCATENATE("Hareket: ",$C267,"/",$D267," adet ",$B267))</f>
        <v/>
      </c>
    </row>
    <row r="268" ht="15" customHeight="1" s="77">
      <c r="A268" s="123" t="n"/>
      <c r="B268" s="124" t="n"/>
      <c r="C268" s="124" t="n"/>
      <c r="D268" s="125" t="n"/>
      <c r="E268" s="126" t="n"/>
      <c r="F268" s="124" t="n"/>
      <c r="G268" s="121">
        <f>IF($D268=0,0,$D268*$E268)</f>
        <v/>
      </c>
      <c r="H268" s="122">
        <f>IF($B268="","",CONCATENATE("Hareket: ",$C268,"/",$D268," adet ",$B268))</f>
        <v/>
      </c>
    </row>
    <row r="269" ht="15" customHeight="1" s="77">
      <c r="A269" s="123" t="n"/>
      <c r="B269" s="124" t="n"/>
      <c r="C269" s="124" t="n"/>
      <c r="D269" s="125" t="n"/>
      <c r="E269" s="126" t="n"/>
      <c r="F269" s="124" t="n"/>
      <c r="G269" s="121">
        <f>IF($D269=0,0,$D269*$E269)</f>
        <v/>
      </c>
      <c r="H269" s="122">
        <f>IF($B269="","",CONCATENATE("Hareket: ",$C269,"/",$D269," adet ",$B269))</f>
        <v/>
      </c>
    </row>
    <row r="270" ht="15" customHeight="1" s="77">
      <c r="A270" s="123" t="n"/>
      <c r="B270" s="124" t="n"/>
      <c r="C270" s="124" t="n"/>
      <c r="D270" s="125" t="n"/>
      <c r="E270" s="126" t="n"/>
      <c r="F270" s="124" t="n"/>
      <c r="G270" s="121">
        <f>IF($D270=0,0,$D270*$E270)</f>
        <v/>
      </c>
      <c r="H270" s="122">
        <f>IF($B270="","",CONCATENATE("Hareket: ",$C270,"/",$D270," adet ",$B270))</f>
        <v/>
      </c>
    </row>
    <row r="271" ht="15" customHeight="1" s="77">
      <c r="A271" s="123" t="n"/>
      <c r="B271" s="124" t="n"/>
      <c r="C271" s="124" t="n"/>
      <c r="D271" s="125" t="n"/>
      <c r="E271" s="126" t="n"/>
      <c r="F271" s="124" t="n"/>
      <c r="G271" s="121">
        <f>IF($D271=0,0,$D271*$E271)</f>
        <v/>
      </c>
      <c r="H271" s="122">
        <f>IF($B271="","",CONCATENATE("Hareket: ",$C271,"/",$D271," adet ",$B271))</f>
        <v/>
      </c>
    </row>
    <row r="272" ht="15" customHeight="1" s="77">
      <c r="A272" s="123" t="n"/>
      <c r="B272" s="124" t="n"/>
      <c r="C272" s="124" t="n"/>
      <c r="D272" s="125" t="n"/>
      <c r="E272" s="126" t="n"/>
      <c r="F272" s="124" t="n"/>
      <c r="G272" s="121">
        <f>IF($D272=0,0,$D272*$E272)</f>
        <v/>
      </c>
      <c r="H272" s="122">
        <f>IF($B272="","",CONCATENATE("Hareket: ",$C272,"/",$D272," adet ",$B272))</f>
        <v/>
      </c>
    </row>
    <row r="273" ht="15" customHeight="1" s="77">
      <c r="A273" s="123" t="n"/>
      <c r="B273" s="124" t="n"/>
      <c r="C273" s="124" t="n"/>
      <c r="D273" s="125" t="n"/>
      <c r="E273" s="126" t="n"/>
      <c r="F273" s="124" t="n"/>
      <c r="G273" s="121">
        <f>IF($D273=0,0,$D273*$E273)</f>
        <v/>
      </c>
      <c r="H273" s="122">
        <f>IF($B273="","",CONCATENATE("Hareket: ",$C273,"/",$D273," adet ",$B273))</f>
        <v/>
      </c>
    </row>
    <row r="274" ht="15" customHeight="1" s="77">
      <c r="A274" s="123" t="n"/>
      <c r="B274" s="124" t="n"/>
      <c r="C274" s="124" t="n"/>
      <c r="D274" s="125" t="n"/>
      <c r="E274" s="126" t="n"/>
      <c r="F274" s="124" t="n"/>
      <c r="G274" s="121">
        <f>IF($D274=0,0,$D274*$E274)</f>
        <v/>
      </c>
      <c r="H274" s="122">
        <f>IF($B274="","",CONCATENATE("Hareket: ",$C274,"/",$D274," adet ",$B274))</f>
        <v/>
      </c>
    </row>
    <row r="275" ht="15" customHeight="1" s="77">
      <c r="A275" s="123" t="n"/>
      <c r="B275" s="124" t="n"/>
      <c r="C275" s="124" t="n"/>
      <c r="D275" s="125" t="n"/>
      <c r="E275" s="126" t="n"/>
      <c r="F275" s="124" t="n"/>
      <c r="G275" s="121">
        <f>IF($D275=0,0,$D275*$E275)</f>
        <v/>
      </c>
      <c r="H275" s="122">
        <f>IF($B275="","",CONCATENATE("Hareket: ",$C275,"/",$D275," adet ",$B275))</f>
        <v/>
      </c>
    </row>
    <row r="276" ht="15" customHeight="1" s="77">
      <c r="A276" s="123" t="n"/>
      <c r="B276" s="124" t="n"/>
      <c r="C276" s="124" t="n"/>
      <c r="D276" s="125" t="n"/>
      <c r="E276" s="126" t="n"/>
      <c r="F276" s="124" t="n"/>
      <c r="G276" s="121">
        <f>IF($D276=0,0,$D276*$E276)</f>
        <v/>
      </c>
      <c r="H276" s="122">
        <f>IF($B276="","",CONCATENATE("Hareket: ",$C276,"/",$D276," adet ",$B276))</f>
        <v/>
      </c>
    </row>
    <row r="277" ht="15" customHeight="1" s="77">
      <c r="A277" s="123" t="n"/>
      <c r="B277" s="124" t="n"/>
      <c r="C277" s="124" t="n"/>
      <c r="D277" s="125" t="n"/>
      <c r="E277" s="126" t="n"/>
      <c r="F277" s="124" t="n"/>
      <c r="G277" s="121">
        <f>IF($D277=0,0,$D277*$E277)</f>
        <v/>
      </c>
      <c r="H277" s="122">
        <f>IF($B277="","",CONCATENATE("Hareket: ",$C277,"/",$D277," adet ",$B277))</f>
        <v/>
      </c>
    </row>
    <row r="278" ht="15" customHeight="1" s="77">
      <c r="A278" s="123" t="n"/>
      <c r="B278" s="124" t="n"/>
      <c r="C278" s="124" t="n"/>
      <c r="D278" s="125" t="n"/>
      <c r="E278" s="126" t="n"/>
      <c r="F278" s="124" t="n"/>
      <c r="G278" s="121">
        <f>IF($D278=0,0,$D278*$E278)</f>
        <v/>
      </c>
      <c r="H278" s="122">
        <f>IF($B278="","",CONCATENATE("Hareket: ",$C278,"/",$D278," adet ",$B278))</f>
        <v/>
      </c>
    </row>
    <row r="279" ht="15" customHeight="1" s="77">
      <c r="A279" s="123" t="n"/>
      <c r="B279" s="124" t="n"/>
      <c r="C279" s="124" t="n"/>
      <c r="D279" s="125" t="n"/>
      <c r="E279" s="126" t="n"/>
      <c r="F279" s="124" t="n"/>
      <c r="G279" s="121">
        <f>IF($D279=0,0,$D279*$E279)</f>
        <v/>
      </c>
      <c r="H279" s="122">
        <f>IF($B279="","",CONCATENATE("Hareket: ",$C279,"/",$D279," adet ",$B279))</f>
        <v/>
      </c>
    </row>
    <row r="280" ht="15" customHeight="1" s="77">
      <c r="A280" s="123" t="n"/>
      <c r="B280" s="124" t="n"/>
      <c r="C280" s="124" t="n"/>
      <c r="D280" s="125" t="n"/>
      <c r="E280" s="126" t="n"/>
      <c r="F280" s="124" t="n"/>
      <c r="G280" s="121">
        <f>IF($D280=0,0,$D280*$E280)</f>
        <v/>
      </c>
      <c r="H280" s="122">
        <f>IF($B280="","",CONCATENATE("Hareket: ",$C280,"/",$D280," adet ",$B280))</f>
        <v/>
      </c>
    </row>
    <row r="281" ht="15" customHeight="1" s="77">
      <c r="A281" s="123" t="n"/>
      <c r="B281" s="124" t="n"/>
      <c r="C281" s="124" t="n"/>
      <c r="D281" s="125" t="n"/>
      <c r="E281" s="126" t="n"/>
      <c r="F281" s="124" t="n"/>
      <c r="G281" s="121">
        <f>IF($D281=0,0,$D281*$E281)</f>
        <v/>
      </c>
      <c r="H281" s="122">
        <f>IF($B281="","",CONCATENATE("Hareket: ",$C281,"/",$D281," adet ",$B281))</f>
        <v/>
      </c>
    </row>
    <row r="282" ht="15" customHeight="1" s="77">
      <c r="A282" s="123" t="n"/>
      <c r="B282" s="124" t="n"/>
      <c r="C282" s="124" t="n"/>
      <c r="D282" s="125" t="n"/>
      <c r="E282" s="126" t="n"/>
      <c r="F282" s="124" t="n"/>
      <c r="G282" s="121">
        <f>IF($D282=0,0,$D282*$E282)</f>
        <v/>
      </c>
      <c r="H282" s="122">
        <f>IF($B282="","",CONCATENATE("Hareket: ",$C282,"/",$D282," adet ",$B282))</f>
        <v/>
      </c>
    </row>
    <row r="283" ht="15" customHeight="1" s="77">
      <c r="A283" s="123" t="n"/>
      <c r="B283" s="124" t="n"/>
      <c r="C283" s="124" t="n"/>
      <c r="D283" s="125" t="n"/>
      <c r="E283" s="126" t="n"/>
      <c r="F283" s="124" t="n"/>
      <c r="G283" s="121">
        <f>IF($D283=0,0,$D283*$E283)</f>
        <v/>
      </c>
      <c r="H283" s="122">
        <f>IF($B283="","",CONCATENATE("Hareket: ",$C283,"/",$D283," adet ",$B283))</f>
        <v/>
      </c>
    </row>
    <row r="284" ht="15" customHeight="1" s="77">
      <c r="A284" s="123" t="n"/>
      <c r="B284" s="124" t="n"/>
      <c r="C284" s="124" t="n"/>
      <c r="D284" s="125" t="n"/>
      <c r="E284" s="126" t="n"/>
      <c r="F284" s="124" t="n"/>
      <c r="G284" s="121">
        <f>IF($D284=0,0,$D284*$E284)</f>
        <v/>
      </c>
      <c r="H284" s="122">
        <f>IF($B284="","",CONCATENATE("Hareket: ",$C284,"/",$D284," adet ",$B284))</f>
        <v/>
      </c>
    </row>
    <row r="285" ht="15" customHeight="1" s="77">
      <c r="A285" s="123" t="n"/>
      <c r="B285" s="124" t="n"/>
      <c r="C285" s="124" t="n"/>
      <c r="D285" s="125" t="n"/>
      <c r="E285" s="126" t="n"/>
      <c r="F285" s="124" t="n"/>
      <c r="G285" s="121">
        <f>IF($D285=0,0,$D285*$E285)</f>
        <v/>
      </c>
      <c r="H285" s="122">
        <f>IF($B285="","",CONCATENATE("Hareket: ",$C285,"/",$D285," adet ",$B285))</f>
        <v/>
      </c>
    </row>
    <row r="286" ht="15" customHeight="1" s="77">
      <c r="A286" s="123" t="n"/>
      <c r="B286" s="124" t="n"/>
      <c r="C286" s="124" t="n"/>
      <c r="D286" s="125" t="n"/>
      <c r="E286" s="126" t="n"/>
      <c r="F286" s="124" t="n"/>
      <c r="G286" s="121">
        <f>IF($D286=0,0,$D286*$E286)</f>
        <v/>
      </c>
      <c r="H286" s="122">
        <f>IF($B286="","",CONCATENATE("Hareket: ",$C286,"/",$D286," adet ",$B286))</f>
        <v/>
      </c>
    </row>
    <row r="287" ht="15" customHeight="1" s="77">
      <c r="A287" s="123" t="n"/>
      <c r="B287" s="124" t="n"/>
      <c r="C287" s="124" t="n"/>
      <c r="D287" s="125" t="n"/>
      <c r="E287" s="126" t="n"/>
      <c r="F287" s="124" t="n"/>
      <c r="G287" s="121">
        <f>IF($D287=0,0,$D287*$E287)</f>
        <v/>
      </c>
      <c r="H287" s="122">
        <f>IF($B287="","",CONCATENATE("Hareket: ",$C287,"/",$D287," adet ",$B287))</f>
        <v/>
      </c>
    </row>
    <row r="288" ht="15" customHeight="1" s="77">
      <c r="A288" s="123" t="n"/>
      <c r="B288" s="124" t="n"/>
      <c r="C288" s="124" t="n"/>
      <c r="D288" s="125" t="n"/>
      <c r="E288" s="126" t="n"/>
      <c r="F288" s="124" t="n"/>
      <c r="G288" s="121">
        <f>IF($D288=0,0,$D288*$E288)</f>
        <v/>
      </c>
      <c r="H288" s="122">
        <f>IF($B288="","",CONCATENATE("Hareket: ",$C288,"/",$D288," adet ",$B288))</f>
        <v/>
      </c>
    </row>
    <row r="289" ht="15" customHeight="1" s="77">
      <c r="A289" s="123" t="n"/>
      <c r="B289" s="124" t="n"/>
      <c r="C289" s="124" t="n"/>
      <c r="D289" s="125" t="n"/>
      <c r="E289" s="126" t="n"/>
      <c r="F289" s="124" t="n"/>
      <c r="G289" s="121">
        <f>IF($D289=0,0,$D289*$E289)</f>
        <v/>
      </c>
      <c r="H289" s="122">
        <f>IF($B289="","",CONCATENATE("Hareket: ",$C289,"/",$D289," adet ",$B289))</f>
        <v/>
      </c>
    </row>
    <row r="290" ht="15" customHeight="1" s="77">
      <c r="A290" s="123" t="n"/>
      <c r="B290" s="124" t="n"/>
      <c r="C290" s="124" t="n"/>
      <c r="D290" s="125" t="n"/>
      <c r="E290" s="126" t="n"/>
      <c r="F290" s="124" t="n"/>
      <c r="G290" s="121">
        <f>IF($D290=0,0,$D290*$E290)</f>
        <v/>
      </c>
      <c r="H290" s="122">
        <f>IF($B290="","",CONCATENATE("Hareket: ",$C290,"/",$D290," adet ",$B290))</f>
        <v/>
      </c>
    </row>
    <row r="291" ht="15" customHeight="1" s="77">
      <c r="A291" s="123" t="n"/>
      <c r="B291" s="124" t="n"/>
      <c r="C291" s="124" t="n"/>
      <c r="D291" s="125" t="n"/>
      <c r="E291" s="126" t="n"/>
      <c r="F291" s="124" t="n"/>
      <c r="G291" s="121">
        <f>IF($D291=0,0,$D291*$E291)</f>
        <v/>
      </c>
      <c r="H291" s="122">
        <f>IF($B291="","",CONCATENATE("Hareket: ",$C291,"/",$D291," adet ",$B291))</f>
        <v/>
      </c>
    </row>
    <row r="292" ht="15" customHeight="1" s="77">
      <c r="A292" s="123" t="n"/>
      <c r="B292" s="124" t="n"/>
      <c r="C292" s="124" t="n"/>
      <c r="D292" s="125" t="n"/>
      <c r="E292" s="126" t="n"/>
      <c r="F292" s="124" t="n"/>
      <c r="G292" s="121">
        <f>IF($D292=0,0,$D292*$E292)</f>
        <v/>
      </c>
      <c r="H292" s="122">
        <f>IF($B292="","",CONCATENATE("Hareket: ",$C292,"/",$D292," adet ",$B292))</f>
        <v/>
      </c>
    </row>
    <row r="293" ht="15" customHeight="1" s="77">
      <c r="A293" s="123" t="n"/>
      <c r="B293" s="124" t="n"/>
      <c r="C293" s="124" t="n"/>
      <c r="D293" s="125" t="n"/>
      <c r="E293" s="126" t="n"/>
      <c r="F293" s="124" t="n"/>
      <c r="G293" s="121">
        <f>IF($D293=0,0,$D293*$E293)</f>
        <v/>
      </c>
      <c r="H293" s="122">
        <f>IF($B293="","",CONCATENATE("Hareket: ",$C293,"/",$D293," adet ",$B293))</f>
        <v/>
      </c>
    </row>
    <row r="294" ht="15" customHeight="1" s="77">
      <c r="A294" s="123" t="n"/>
      <c r="B294" s="124" t="n"/>
      <c r="C294" s="124" t="n"/>
      <c r="D294" s="125" t="n"/>
      <c r="E294" s="126" t="n"/>
      <c r="F294" s="124" t="n"/>
      <c r="G294" s="121">
        <f>IF($D294=0,0,$D294*$E294)</f>
        <v/>
      </c>
      <c r="H294" s="122">
        <f>IF($B294="","",CONCATENATE("Hareket: ",$C294,"/",$D294," adet ",$B294))</f>
        <v/>
      </c>
    </row>
    <row r="295" ht="15" customHeight="1" s="77">
      <c r="A295" s="123" t="n"/>
      <c r="B295" s="124" t="n"/>
      <c r="C295" s="124" t="n"/>
      <c r="D295" s="125" t="n"/>
      <c r="E295" s="126" t="n"/>
      <c r="F295" s="124" t="n"/>
      <c r="G295" s="121">
        <f>IF($D295=0,0,$D295*$E295)</f>
        <v/>
      </c>
      <c r="H295" s="122">
        <f>IF($B295="","",CONCATENATE("Hareket: ",$C295,"/",$D295," adet ",$B295))</f>
        <v/>
      </c>
    </row>
    <row r="296" ht="15" customHeight="1" s="77">
      <c r="A296" s="123" t="n"/>
      <c r="B296" s="124" t="n"/>
      <c r="C296" s="124" t="n"/>
      <c r="D296" s="125" t="n"/>
      <c r="E296" s="126" t="n"/>
      <c r="F296" s="124" t="n"/>
      <c r="G296" s="121">
        <f>IF($D296=0,0,$D296*$E296)</f>
        <v/>
      </c>
      <c r="H296" s="122">
        <f>IF($B296="","",CONCATENATE("Hareket: ",$C296,"/",$D296," adet ",$B296))</f>
        <v/>
      </c>
    </row>
    <row r="297" ht="15" customHeight="1" s="77">
      <c r="A297" s="123" t="n"/>
      <c r="B297" s="124" t="n"/>
      <c r="C297" s="124" t="n"/>
      <c r="D297" s="125" t="n"/>
      <c r="E297" s="126" t="n"/>
      <c r="F297" s="124" t="n"/>
      <c r="G297" s="121">
        <f>IF($D297=0,0,$D297*$E297)</f>
        <v/>
      </c>
      <c r="H297" s="122">
        <f>IF($B297="","",CONCATENATE("Hareket: ",$C297,"/",$D297," adet ",$B297))</f>
        <v/>
      </c>
    </row>
    <row r="298" ht="15" customHeight="1" s="77">
      <c r="A298" s="123" t="n"/>
      <c r="B298" s="124" t="n"/>
      <c r="C298" s="124" t="n"/>
      <c r="D298" s="125" t="n"/>
      <c r="E298" s="126" t="n"/>
      <c r="F298" s="124" t="n"/>
      <c r="G298" s="121">
        <f>IF($D298=0,0,$D298*$E298)</f>
        <v/>
      </c>
      <c r="H298" s="122">
        <f>IF($B298="","",CONCATENATE("Hareket: ",$C298,"/",$D298," adet ",$B298))</f>
        <v/>
      </c>
    </row>
    <row r="299" ht="15" customHeight="1" s="77">
      <c r="A299" s="123" t="n"/>
      <c r="B299" s="124" t="n"/>
      <c r="C299" s="124" t="n"/>
      <c r="D299" s="125" t="n"/>
      <c r="E299" s="126" t="n"/>
      <c r="F299" s="124" t="n"/>
      <c r="G299" s="121">
        <f>IF($D299=0,0,$D299*$E299)</f>
        <v/>
      </c>
      <c r="H299" s="122">
        <f>IF($B299="","",CONCATENATE("Hareket: ",$C299,"/",$D299," adet ",$B299))</f>
        <v/>
      </c>
    </row>
    <row r="300" ht="15" customHeight="1" s="77">
      <c r="A300" s="123" t="n"/>
      <c r="B300" s="124" t="n"/>
      <c r="C300" s="124" t="n"/>
      <c r="D300" s="125" t="n"/>
      <c r="E300" s="126" t="n"/>
      <c r="F300" s="124" t="n"/>
      <c r="G300" s="121">
        <f>IF($D300=0,0,$D300*$E300)</f>
        <v/>
      </c>
      <c r="H300" s="122">
        <f>IF($B300="","",CONCATENATE("Hareket: ",$C300,"/",$D300," adet ",$B300))</f>
        <v/>
      </c>
    </row>
    <row r="301" ht="15" customHeight="1" s="77">
      <c r="A301" s="123" t="n"/>
      <c r="B301" s="124" t="n"/>
      <c r="C301" s="124" t="n"/>
      <c r="D301" s="125" t="n"/>
      <c r="E301" s="126" t="n"/>
      <c r="F301" s="124" t="n"/>
      <c r="G301" s="121">
        <f>IF($D301=0,0,$D301*$E301)</f>
        <v/>
      </c>
      <c r="H301" s="122">
        <f>IF($B301="","",CONCATENATE("Hareket: ",$C301,"/",$D301," adet ",$B301))</f>
        <v/>
      </c>
    </row>
    <row r="302" ht="15" customHeight="1" s="77">
      <c r="A302" s="123" t="n"/>
      <c r="B302" s="124" t="n"/>
      <c r="C302" s="124" t="n"/>
      <c r="D302" s="125" t="n"/>
      <c r="E302" s="126" t="n"/>
      <c r="F302" s="124" t="n"/>
      <c r="G302" s="121">
        <f>IF($D302=0,0,$D302*$E302)</f>
        <v/>
      </c>
      <c r="H302" s="122">
        <f>IF($B302="","",CONCATENATE("Hareket: ",$C302,"/",$D302," adet ",$B302))</f>
        <v/>
      </c>
    </row>
    <row r="303" ht="15" customHeight="1" s="77">
      <c r="A303" s="123" t="n"/>
      <c r="B303" s="124" t="n"/>
      <c r="C303" s="124" t="n"/>
      <c r="D303" s="125" t="n"/>
      <c r="E303" s="126" t="n"/>
      <c r="F303" s="124" t="n"/>
      <c r="G303" s="121">
        <f>IF($D303=0,0,$D303*$E303)</f>
        <v/>
      </c>
      <c r="H303" s="122">
        <f>IF($B303="","",CONCATENATE("Hareket: ",$C303,"/",$D303," adet ",$B303))</f>
        <v/>
      </c>
    </row>
    <row r="304" ht="15" customHeight="1" s="77">
      <c r="A304" s="123" t="n"/>
      <c r="B304" s="124" t="n"/>
      <c r="C304" s="124" t="n"/>
      <c r="D304" s="125" t="n"/>
      <c r="E304" s="126" t="n"/>
      <c r="F304" s="124" t="n"/>
      <c r="G304" s="121">
        <f>IF($D304=0,0,$D304*$E304)</f>
        <v/>
      </c>
      <c r="H304" s="122">
        <f>IF($B304="","",CONCATENATE("Hareket: ",$C304,"/",$D304," adet ",$B304))</f>
        <v/>
      </c>
    </row>
    <row r="305" ht="15" customHeight="1" s="77">
      <c r="A305" s="123" t="n"/>
      <c r="B305" s="124" t="n"/>
      <c r="C305" s="124" t="n"/>
      <c r="D305" s="125" t="n"/>
      <c r="E305" s="126" t="n"/>
      <c r="F305" s="124" t="n"/>
      <c r="G305" s="121">
        <f>IF($D305=0,0,$D305*$E305)</f>
        <v/>
      </c>
      <c r="H305" s="122">
        <f>IF($B305="","",CONCATENATE("Hareket: ",$C305,"/",$D305," adet ",$B305))</f>
        <v/>
      </c>
    </row>
    <row r="306" ht="15" customHeight="1" s="77">
      <c r="A306" s="123" t="n"/>
      <c r="B306" s="124" t="n"/>
      <c r="C306" s="124" t="n"/>
      <c r="D306" s="125" t="n"/>
      <c r="E306" s="126" t="n"/>
      <c r="F306" s="124" t="n"/>
      <c r="G306" s="121">
        <f>IF($D306=0,0,$D306*$E306)</f>
        <v/>
      </c>
      <c r="H306" s="122">
        <f>IF($B306="","",CONCATENATE("Hareket: ",$C306,"/",$D306," adet ",$B306))</f>
        <v/>
      </c>
    </row>
    <row r="307" ht="15" customHeight="1" s="77">
      <c r="A307" s="123" t="n"/>
      <c r="B307" s="124" t="n"/>
      <c r="C307" s="124" t="n"/>
      <c r="D307" s="125" t="n"/>
      <c r="E307" s="126" t="n"/>
      <c r="F307" s="124" t="n"/>
      <c r="G307" s="121">
        <f>IF($D307=0,0,$D307*$E307)</f>
        <v/>
      </c>
      <c r="H307" s="122">
        <f>IF($B307="","",CONCATENATE("Hareket: ",$C307,"/",$D307," adet ",$B307))</f>
        <v/>
      </c>
    </row>
    <row r="308" ht="15" customHeight="1" s="77">
      <c r="A308" s="123" t="n"/>
      <c r="B308" s="124" t="n"/>
      <c r="C308" s="124" t="n"/>
      <c r="D308" s="125" t="n"/>
      <c r="E308" s="126" t="n"/>
      <c r="F308" s="124" t="n"/>
      <c r="G308" s="121">
        <f>IF($D308=0,0,$D308*$E308)</f>
        <v/>
      </c>
      <c r="H308" s="122">
        <f>IF($B308="","",CONCATENATE("Hareket: ",$C308,"/",$D308," adet ",$B308))</f>
        <v/>
      </c>
    </row>
    <row r="309" ht="15" customHeight="1" s="77">
      <c r="A309" s="123" t="n"/>
      <c r="B309" s="124" t="n"/>
      <c r="C309" s="124" t="n"/>
      <c r="D309" s="125" t="n"/>
      <c r="E309" s="126" t="n"/>
      <c r="F309" s="124" t="n"/>
      <c r="G309" s="121">
        <f>IF($D309=0,0,$D309*$E309)</f>
        <v/>
      </c>
      <c r="H309" s="122">
        <f>IF($B309="","",CONCATENATE("Hareket: ",$C309,"/",$D309," adet ",$B309))</f>
        <v/>
      </c>
    </row>
    <row r="310" ht="15" customHeight="1" s="77">
      <c r="A310" s="123" t="n"/>
      <c r="B310" s="124" t="n"/>
      <c r="C310" s="124" t="n"/>
      <c r="D310" s="125" t="n"/>
      <c r="E310" s="126" t="n"/>
      <c r="F310" s="124" t="n"/>
      <c r="G310" s="121">
        <f>IF($D310=0,0,$D310*$E310)</f>
        <v/>
      </c>
      <c r="H310" s="122">
        <f>IF($B310="","",CONCATENATE("Hareket: ",$C310,"/",$D310," adet ",$B310))</f>
        <v/>
      </c>
    </row>
    <row r="311" ht="15" customHeight="1" s="77">
      <c r="A311" s="123" t="n"/>
      <c r="B311" s="124" t="n"/>
      <c r="C311" s="124" t="n"/>
      <c r="D311" s="125" t="n"/>
      <c r="E311" s="126" t="n"/>
      <c r="F311" s="124" t="n"/>
      <c r="G311" s="121">
        <f>IF($D311=0,0,$D311*$E311)</f>
        <v/>
      </c>
      <c r="H311" s="122">
        <f>IF($B311="","",CONCATENATE("Hareket: ",$C311,"/",$D311," adet ",$B311))</f>
        <v/>
      </c>
    </row>
    <row r="312" ht="15" customHeight="1" s="77">
      <c r="A312" s="123" t="n"/>
      <c r="B312" s="124" t="n"/>
      <c r="C312" s="124" t="n"/>
      <c r="D312" s="125" t="n"/>
      <c r="E312" s="126" t="n"/>
      <c r="F312" s="124" t="n"/>
      <c r="G312" s="121">
        <f>IF($D312=0,0,$D312*$E312)</f>
        <v/>
      </c>
      <c r="H312" s="122">
        <f>IF($B312="","",CONCATENATE("Hareket: ",$C312,"/",$D312," adet ",$B312))</f>
        <v/>
      </c>
    </row>
    <row r="313" ht="15" customHeight="1" s="77">
      <c r="A313" s="123" t="n"/>
      <c r="B313" s="124" t="n"/>
      <c r="C313" s="124" t="n"/>
      <c r="D313" s="125" t="n"/>
      <c r="E313" s="126" t="n"/>
      <c r="F313" s="124" t="n"/>
      <c r="G313" s="121">
        <f>IF($D313=0,0,$D313*$E313)</f>
        <v/>
      </c>
      <c r="H313" s="122">
        <f>IF($B313="","",CONCATENATE("Hareket: ",$C313,"/",$D313," adet ",$B313))</f>
        <v/>
      </c>
    </row>
    <row r="314" ht="15" customHeight="1" s="77">
      <c r="A314" s="123" t="n"/>
      <c r="B314" s="124" t="n"/>
      <c r="C314" s="124" t="n"/>
      <c r="D314" s="125" t="n"/>
      <c r="E314" s="126" t="n"/>
      <c r="F314" s="124" t="n"/>
      <c r="G314" s="121">
        <f>IF($D314=0,0,$D314*$E314)</f>
        <v/>
      </c>
      <c r="H314" s="122">
        <f>IF($B314="","",CONCATENATE("Hareket: ",$C314,"/",$D314," adet ",$B314))</f>
        <v/>
      </c>
    </row>
    <row r="315" ht="15" customHeight="1" s="77">
      <c r="A315" s="123" t="n"/>
      <c r="B315" s="124" t="n"/>
      <c r="C315" s="124" t="n"/>
      <c r="D315" s="125" t="n"/>
      <c r="E315" s="126" t="n"/>
      <c r="F315" s="124" t="n"/>
      <c r="G315" s="121">
        <f>IF($D315=0,0,$D315*$E315)</f>
        <v/>
      </c>
      <c r="H315" s="122">
        <f>IF($B315="","",CONCATENATE("Hareket: ",$C315,"/",$D315," adet ",$B315))</f>
        <v/>
      </c>
    </row>
    <row r="316" ht="15" customHeight="1" s="77">
      <c r="A316" s="123" t="n"/>
      <c r="B316" s="124" t="n"/>
      <c r="C316" s="124" t="n"/>
      <c r="D316" s="125" t="n"/>
      <c r="E316" s="126" t="n"/>
      <c r="F316" s="124" t="n"/>
      <c r="G316" s="121">
        <f>IF($D316=0,0,$D316*$E316)</f>
        <v/>
      </c>
      <c r="H316" s="122">
        <f>IF($B316="","",CONCATENATE("Hareket: ",$C316,"/",$D316," adet ",$B316))</f>
        <v/>
      </c>
    </row>
    <row r="317" ht="15" customHeight="1" s="77">
      <c r="A317" s="123" t="n"/>
      <c r="B317" s="124" t="n"/>
      <c r="C317" s="124" t="n"/>
      <c r="D317" s="125" t="n"/>
      <c r="E317" s="126" t="n"/>
      <c r="F317" s="124" t="n"/>
      <c r="G317" s="121">
        <f>IF($D317=0,0,$D317*$E317)</f>
        <v/>
      </c>
      <c r="H317" s="122">
        <f>IF($B317="","",CONCATENATE("Hareket: ",$C317,"/",$D317," adet ",$B317))</f>
        <v/>
      </c>
    </row>
    <row r="318" ht="15" customHeight="1" s="77">
      <c r="A318" s="123" t="n"/>
      <c r="B318" s="124" t="n"/>
      <c r="C318" s="124" t="n"/>
      <c r="D318" s="125" t="n"/>
      <c r="E318" s="126" t="n"/>
      <c r="F318" s="124" t="n"/>
      <c r="G318" s="121">
        <f>IF($D318=0,0,$D318*$E318)</f>
        <v/>
      </c>
      <c r="H318" s="122">
        <f>IF($B318="","",CONCATENATE("Hareket: ",$C318,"/",$D318," adet ",$B318))</f>
        <v/>
      </c>
    </row>
    <row r="319" ht="15" customHeight="1" s="77">
      <c r="A319" s="123" t="n"/>
      <c r="B319" s="124" t="n"/>
      <c r="C319" s="124" t="n"/>
      <c r="D319" s="125" t="n"/>
      <c r="E319" s="126" t="n"/>
      <c r="F319" s="124" t="n"/>
      <c r="G319" s="121">
        <f>IF($D319=0,0,$D319*$E319)</f>
        <v/>
      </c>
      <c r="H319" s="122">
        <f>IF($B319="","",CONCATENATE("Hareket: ",$C319,"/",$D319," adet ",$B319))</f>
        <v/>
      </c>
    </row>
    <row r="320" ht="15" customHeight="1" s="77">
      <c r="A320" s="123" t="n"/>
      <c r="B320" s="124" t="n"/>
      <c r="C320" s="124" t="n"/>
      <c r="D320" s="125" t="n"/>
      <c r="E320" s="126" t="n"/>
      <c r="F320" s="124" t="n"/>
      <c r="G320" s="121">
        <f>IF($D320=0,0,$D320*$E320)</f>
        <v/>
      </c>
      <c r="H320" s="122">
        <f>IF($B320="","",CONCATENATE("Hareket: ",$C320,"/",$D320," adet ",$B320))</f>
        <v/>
      </c>
    </row>
    <row r="321" ht="15" customHeight="1" s="77">
      <c r="A321" s="123" t="n"/>
      <c r="B321" s="124" t="n"/>
      <c r="C321" s="124" t="n"/>
      <c r="D321" s="125" t="n"/>
      <c r="E321" s="126" t="n"/>
      <c r="F321" s="124" t="n"/>
      <c r="G321" s="121">
        <f>IF($D321=0,0,$D321*$E321)</f>
        <v/>
      </c>
      <c r="H321" s="122">
        <f>IF($B321="","",CONCATENATE("Hareket: ",$C321,"/",$D321," adet ",$B321))</f>
        <v/>
      </c>
    </row>
    <row r="322" ht="15" customHeight="1" s="77">
      <c r="A322" s="123" t="n"/>
      <c r="B322" s="124" t="n"/>
      <c r="C322" s="124" t="n"/>
      <c r="D322" s="125" t="n"/>
      <c r="E322" s="126" t="n"/>
      <c r="F322" s="124" t="n"/>
      <c r="G322" s="121">
        <f>IF($D322=0,0,$D322*$E322)</f>
        <v/>
      </c>
      <c r="H322" s="122">
        <f>IF($B322="","",CONCATENATE("Hareket: ",$C322,"/",$D322," adet ",$B322))</f>
        <v/>
      </c>
    </row>
    <row r="323" ht="15" customHeight="1" s="77">
      <c r="A323" s="123" t="n"/>
      <c r="B323" s="124" t="n"/>
      <c r="C323" s="124" t="n"/>
      <c r="D323" s="125" t="n"/>
      <c r="E323" s="126" t="n"/>
      <c r="F323" s="124" t="n"/>
      <c r="G323" s="121">
        <f>IF($D323=0,0,$D323*$E323)</f>
        <v/>
      </c>
      <c r="H323" s="122">
        <f>IF($B323="","",CONCATENATE("Hareket: ",$C323,"/",$D323," adet ",$B323))</f>
        <v/>
      </c>
    </row>
    <row r="324" ht="15" customHeight="1" s="77">
      <c r="A324" s="123" t="n"/>
      <c r="B324" s="124" t="n"/>
      <c r="C324" s="124" t="n"/>
      <c r="D324" s="125" t="n"/>
      <c r="E324" s="126" t="n"/>
      <c r="F324" s="124" t="n"/>
      <c r="G324" s="121">
        <f>IF($D324=0,0,$D324*$E324)</f>
        <v/>
      </c>
      <c r="H324" s="122">
        <f>IF($B324="","",CONCATENATE("Hareket: ",$C324,"/",$D324," adet ",$B324))</f>
        <v/>
      </c>
    </row>
    <row r="325" ht="15" customHeight="1" s="77">
      <c r="A325" s="123" t="n"/>
      <c r="B325" s="124" t="n"/>
      <c r="C325" s="124" t="n"/>
      <c r="D325" s="125" t="n"/>
      <c r="E325" s="126" t="n"/>
      <c r="F325" s="124" t="n"/>
      <c r="G325" s="121">
        <f>IF($D325=0,0,$D325*$E325)</f>
        <v/>
      </c>
      <c r="H325" s="122">
        <f>IF($B325="","",CONCATENATE("Hareket: ",$C325,"/",$D325," adet ",$B325))</f>
        <v/>
      </c>
    </row>
    <row r="326" ht="15" customHeight="1" s="77">
      <c r="A326" s="123" t="n"/>
      <c r="B326" s="124" t="n"/>
      <c r="C326" s="124" t="n"/>
      <c r="D326" s="125" t="n"/>
      <c r="E326" s="126" t="n"/>
      <c r="F326" s="124" t="n"/>
      <c r="G326" s="121">
        <f>IF($D326=0,0,$D326*$E326)</f>
        <v/>
      </c>
      <c r="H326" s="122">
        <f>IF($B326="","",CONCATENATE("Hareket: ",$C326,"/",$D326," adet ",$B326))</f>
        <v/>
      </c>
    </row>
    <row r="327" ht="15" customHeight="1" s="77">
      <c r="A327" s="123" t="n"/>
      <c r="B327" s="124" t="n"/>
      <c r="C327" s="124" t="n"/>
      <c r="D327" s="125" t="n"/>
      <c r="E327" s="126" t="n"/>
      <c r="F327" s="124" t="n"/>
      <c r="G327" s="121">
        <f>IF($D327=0,0,$D327*$E327)</f>
        <v/>
      </c>
      <c r="H327" s="122">
        <f>IF($B327="","",CONCATENATE("Hareket: ",$C327,"/",$D327," adet ",$B327))</f>
        <v/>
      </c>
    </row>
    <row r="328" ht="15" customHeight="1" s="77">
      <c r="A328" s="123" t="n"/>
      <c r="B328" s="124" t="n"/>
      <c r="C328" s="124" t="n"/>
      <c r="D328" s="125" t="n"/>
      <c r="E328" s="126" t="n"/>
      <c r="F328" s="124" t="n"/>
      <c r="G328" s="121">
        <f>IF($D328=0,0,$D328*$E328)</f>
        <v/>
      </c>
      <c r="H328" s="122">
        <f>IF($B328="","",CONCATENATE("Hareket: ",$C328,"/",$D328," adet ",$B328))</f>
        <v/>
      </c>
    </row>
    <row r="329" ht="15" customHeight="1" s="77">
      <c r="A329" s="123" t="n"/>
      <c r="B329" s="124" t="n"/>
      <c r="C329" s="124" t="n"/>
      <c r="D329" s="125" t="n"/>
      <c r="E329" s="126" t="n"/>
      <c r="F329" s="124" t="n"/>
      <c r="G329" s="121">
        <f>IF($D329=0,0,$D329*$E329)</f>
        <v/>
      </c>
      <c r="H329" s="122">
        <f>IF($B329="","",CONCATENATE("Hareket: ",$C329,"/",$D329," adet ",$B329))</f>
        <v/>
      </c>
    </row>
    <row r="330" ht="15" customHeight="1" s="77">
      <c r="A330" s="123" t="n"/>
      <c r="B330" s="124" t="n"/>
      <c r="C330" s="124" t="n"/>
      <c r="D330" s="125" t="n"/>
      <c r="E330" s="126" t="n"/>
      <c r="F330" s="124" t="n"/>
      <c r="G330" s="121">
        <f>IF($D330=0,0,$D330*$E330)</f>
        <v/>
      </c>
      <c r="H330" s="122">
        <f>IF($B330="","",CONCATENATE("Hareket: ",$C330,"/",$D330," adet ",$B330))</f>
        <v/>
      </c>
    </row>
    <row r="331" ht="15" customHeight="1" s="77">
      <c r="A331" s="123" t="n"/>
      <c r="B331" s="124" t="n"/>
      <c r="C331" s="124" t="n"/>
      <c r="D331" s="125" t="n"/>
      <c r="E331" s="126" t="n"/>
      <c r="F331" s="124" t="n"/>
      <c r="G331" s="121">
        <f>IF($D331=0,0,$D331*$E331)</f>
        <v/>
      </c>
      <c r="H331" s="122">
        <f>IF($B331="","",CONCATENATE("Hareket: ",$C331,"/",$D331," adet ",$B331))</f>
        <v/>
      </c>
    </row>
    <row r="332" ht="15" customHeight="1" s="77">
      <c r="A332" s="123" t="n"/>
      <c r="B332" s="124" t="n"/>
      <c r="C332" s="124" t="n"/>
      <c r="D332" s="125" t="n"/>
      <c r="E332" s="126" t="n"/>
      <c r="F332" s="124" t="n"/>
      <c r="G332" s="121">
        <f>IF($D332=0,0,$D332*$E332)</f>
        <v/>
      </c>
      <c r="H332" s="122">
        <f>IF($B332="","",CONCATENATE("Hareket: ",$C332,"/",$D332," adet ",$B332))</f>
        <v/>
      </c>
    </row>
    <row r="333" ht="15" customHeight="1" s="77">
      <c r="A333" s="123" t="n"/>
      <c r="B333" s="124" t="n"/>
      <c r="C333" s="124" t="n"/>
      <c r="D333" s="125" t="n"/>
      <c r="E333" s="126" t="n"/>
      <c r="F333" s="124" t="n"/>
      <c r="G333" s="121">
        <f>IF($D333=0,0,$D333*$E333)</f>
        <v/>
      </c>
      <c r="H333" s="122">
        <f>IF($B333="","",CONCATENATE("Hareket: ",$C333,"/",$D333," adet ",$B333))</f>
        <v/>
      </c>
    </row>
    <row r="334" ht="15" customHeight="1" s="77">
      <c r="A334" s="123" t="n"/>
      <c r="B334" s="124" t="n"/>
      <c r="C334" s="124" t="n"/>
      <c r="D334" s="125" t="n"/>
      <c r="E334" s="126" t="n"/>
      <c r="F334" s="124" t="n"/>
      <c r="G334" s="121">
        <f>IF($D334=0,0,$D334*$E334)</f>
        <v/>
      </c>
      <c r="H334" s="122">
        <f>IF($B334="","",CONCATENATE("Hareket: ",$C334,"/",$D334," adet ",$B334))</f>
        <v/>
      </c>
    </row>
    <row r="335" ht="15" customHeight="1" s="77">
      <c r="A335" s="123" t="n"/>
      <c r="B335" s="124" t="n"/>
      <c r="C335" s="124" t="n"/>
      <c r="D335" s="125" t="n"/>
      <c r="E335" s="126" t="n"/>
      <c r="F335" s="124" t="n"/>
      <c r="G335" s="121">
        <f>IF($D335=0,0,$D335*$E335)</f>
        <v/>
      </c>
      <c r="H335" s="122">
        <f>IF($B335="","",CONCATENATE("Hareket: ",$C335,"/",$D335," adet ",$B335))</f>
        <v/>
      </c>
    </row>
    <row r="336" ht="15" customHeight="1" s="77">
      <c r="A336" s="123" t="n"/>
      <c r="B336" s="124" t="n"/>
      <c r="C336" s="124" t="n"/>
      <c r="D336" s="125" t="n"/>
      <c r="E336" s="126" t="n"/>
      <c r="F336" s="124" t="n"/>
      <c r="G336" s="121">
        <f>IF($D336=0,0,$D336*$E336)</f>
        <v/>
      </c>
      <c r="H336" s="122">
        <f>IF($B336="","",CONCATENATE("Hareket: ",$C336,"/",$D336," adet ",$B336))</f>
        <v/>
      </c>
    </row>
    <row r="337" ht="15" customHeight="1" s="77">
      <c r="A337" s="123" t="n"/>
      <c r="B337" s="124" t="n"/>
      <c r="C337" s="124" t="n"/>
      <c r="D337" s="125" t="n"/>
      <c r="E337" s="126" t="n"/>
      <c r="F337" s="124" t="n"/>
      <c r="G337" s="121">
        <f>IF($D337=0,0,$D337*$E337)</f>
        <v/>
      </c>
      <c r="H337" s="122">
        <f>IF($B337="","",CONCATENATE("Hareket: ",$C337,"/",$D337," adet ",$B337))</f>
        <v/>
      </c>
    </row>
    <row r="338" ht="15" customHeight="1" s="77">
      <c r="A338" s="123" t="n"/>
      <c r="B338" s="124" t="n"/>
      <c r="C338" s="124" t="n"/>
      <c r="D338" s="125" t="n"/>
      <c r="E338" s="126" t="n"/>
      <c r="F338" s="124" t="n"/>
      <c r="G338" s="121">
        <f>IF($D338=0,0,$D338*$E338)</f>
        <v/>
      </c>
      <c r="H338" s="122">
        <f>IF($B338="","",CONCATENATE("Hareket: ",$C338,"/",$D338," adet ",$B338))</f>
        <v/>
      </c>
    </row>
    <row r="339" ht="15" customHeight="1" s="77">
      <c r="A339" s="123" t="n"/>
      <c r="B339" s="124" t="n"/>
      <c r="C339" s="124" t="n"/>
      <c r="D339" s="125" t="n"/>
      <c r="E339" s="126" t="n"/>
      <c r="F339" s="124" t="n"/>
      <c r="G339" s="121">
        <f>IF($D339=0,0,$D339*$E339)</f>
        <v/>
      </c>
      <c r="H339" s="122">
        <f>IF($B339="","",CONCATENATE("Hareket: ",$C339,"/",$D339," adet ",$B339))</f>
        <v/>
      </c>
    </row>
    <row r="340" ht="15" customHeight="1" s="77">
      <c r="A340" s="123" t="n"/>
      <c r="B340" s="124" t="n"/>
      <c r="C340" s="124" t="n"/>
      <c r="D340" s="125" t="n"/>
      <c r="E340" s="126" t="n"/>
      <c r="F340" s="124" t="n"/>
      <c r="G340" s="121">
        <f>IF($D340=0,0,$D340*$E340)</f>
        <v/>
      </c>
      <c r="H340" s="122">
        <f>IF($B340="","",CONCATENATE("Hareket: ",$C340,"/",$D340," adet ",$B340))</f>
        <v/>
      </c>
    </row>
    <row r="341" ht="15" customHeight="1" s="77">
      <c r="A341" s="123" t="n"/>
      <c r="B341" s="124" t="n"/>
      <c r="C341" s="124" t="n"/>
      <c r="D341" s="125" t="n"/>
      <c r="E341" s="126" t="n"/>
      <c r="F341" s="124" t="n"/>
      <c r="G341" s="121">
        <f>IF($D341=0,0,$D341*$E341)</f>
        <v/>
      </c>
      <c r="H341" s="122">
        <f>IF($B341="","",CONCATENATE("Hareket: ",$C341,"/",$D341," adet ",$B341))</f>
        <v/>
      </c>
    </row>
    <row r="342" ht="15" customHeight="1" s="77">
      <c r="A342" s="123" t="n"/>
      <c r="B342" s="124" t="n"/>
      <c r="C342" s="124" t="n"/>
      <c r="D342" s="125" t="n"/>
      <c r="E342" s="126" t="n"/>
      <c r="F342" s="124" t="n"/>
      <c r="G342" s="121">
        <f>IF($D342=0,0,$D342*$E342)</f>
        <v/>
      </c>
      <c r="H342" s="122">
        <f>IF($B342="","",CONCATENATE("Hareket: ",$C342,"/",$D342," adet ",$B342))</f>
        <v/>
      </c>
    </row>
    <row r="343" ht="15" customHeight="1" s="77">
      <c r="A343" s="123" t="n"/>
      <c r="B343" s="124" t="n"/>
      <c r="C343" s="124" t="n"/>
      <c r="D343" s="125" t="n"/>
      <c r="E343" s="126" t="n"/>
      <c r="F343" s="124" t="n"/>
      <c r="G343" s="121">
        <f>IF($D343=0,0,$D343*$E343)</f>
        <v/>
      </c>
      <c r="H343" s="122">
        <f>IF($B343="","",CONCATENATE("Hareket: ",$C343,"/",$D343," adet ",$B343))</f>
        <v/>
      </c>
    </row>
    <row r="344" ht="15" customHeight="1" s="77">
      <c r="A344" s="123" t="n"/>
      <c r="B344" s="124" t="n"/>
      <c r="C344" s="124" t="n"/>
      <c r="D344" s="125" t="n"/>
      <c r="E344" s="126" t="n"/>
      <c r="F344" s="124" t="n"/>
      <c r="G344" s="121">
        <f>IF($D344=0,0,$D344*$E344)</f>
        <v/>
      </c>
      <c r="H344" s="122">
        <f>IF($B344="","",CONCATENATE("Hareket: ",$C344,"/",$D344," adet ",$B344))</f>
        <v/>
      </c>
    </row>
    <row r="345" ht="15" customHeight="1" s="77">
      <c r="A345" s="123" t="n"/>
      <c r="B345" s="124" t="n"/>
      <c r="C345" s="124" t="n"/>
      <c r="D345" s="125" t="n"/>
      <c r="E345" s="126" t="n"/>
      <c r="F345" s="124" t="n"/>
      <c r="G345" s="121">
        <f>IF($D345=0,0,$D345*$E345)</f>
        <v/>
      </c>
      <c r="H345" s="122">
        <f>IF($B345="","",CONCATENATE("Hareket: ",$C345,"/",$D345," adet ",$B345))</f>
        <v/>
      </c>
    </row>
    <row r="346" ht="15" customHeight="1" s="77">
      <c r="A346" s="123" t="n"/>
      <c r="B346" s="124" t="n"/>
      <c r="C346" s="124" t="n"/>
      <c r="D346" s="125" t="n"/>
      <c r="E346" s="126" t="n"/>
      <c r="F346" s="124" t="n"/>
      <c r="G346" s="121">
        <f>IF($D346=0,0,$D346*$E346)</f>
        <v/>
      </c>
      <c r="H346" s="122">
        <f>IF($B346="","",CONCATENATE("Hareket: ",$C346,"/",$D346," adet ",$B346))</f>
        <v/>
      </c>
    </row>
    <row r="347" ht="15" customHeight="1" s="77">
      <c r="A347" s="123" t="n"/>
      <c r="B347" s="124" t="n"/>
      <c r="C347" s="124" t="n"/>
      <c r="D347" s="125" t="n"/>
      <c r="E347" s="126" t="n"/>
      <c r="F347" s="124" t="n"/>
      <c r="G347" s="121">
        <f>IF($D347=0,0,$D347*$E347)</f>
        <v/>
      </c>
      <c r="H347" s="122">
        <f>IF($B347="","",CONCATENATE("Hareket: ",$C347,"/",$D347," adet ",$B347))</f>
        <v/>
      </c>
    </row>
    <row r="348" ht="15" customHeight="1" s="77">
      <c r="A348" s="123" t="n"/>
      <c r="B348" s="124" t="n"/>
      <c r="C348" s="124" t="n"/>
      <c r="D348" s="125" t="n"/>
      <c r="E348" s="126" t="n"/>
      <c r="F348" s="124" t="n"/>
      <c r="G348" s="121">
        <f>IF($D348=0,0,$D348*$E348)</f>
        <v/>
      </c>
      <c r="H348" s="122">
        <f>IF($B348="","",CONCATENATE("Hareket: ",$C348,"/",$D348," adet ",$B348))</f>
        <v/>
      </c>
    </row>
    <row r="349" ht="15" customHeight="1" s="77">
      <c r="A349" s="123" t="n"/>
      <c r="B349" s="124" t="n"/>
      <c r="C349" s="124" t="n"/>
      <c r="D349" s="125" t="n"/>
      <c r="E349" s="126" t="n"/>
      <c r="F349" s="124" t="n"/>
      <c r="G349" s="121">
        <f>IF($D349=0,0,$D349*$E349)</f>
        <v/>
      </c>
      <c r="H349" s="122">
        <f>IF($B349="","",CONCATENATE("Hareket: ",$C349,"/",$D349," adet ",$B349))</f>
        <v/>
      </c>
    </row>
    <row r="350" ht="15" customHeight="1" s="77">
      <c r="A350" s="123" t="n"/>
      <c r="B350" s="124" t="n"/>
      <c r="C350" s="124" t="n"/>
      <c r="D350" s="125" t="n"/>
      <c r="E350" s="126" t="n"/>
      <c r="F350" s="124" t="n"/>
      <c r="G350" s="121">
        <f>IF($D350=0,0,$D350*$E350)</f>
        <v/>
      </c>
      <c r="H350" s="122">
        <f>IF($B350="","",CONCATENATE("Hareket: ",$C350,"/",$D350," adet ",$B350))</f>
        <v/>
      </c>
    </row>
    <row r="351" ht="15" customHeight="1" s="77">
      <c r="A351" s="123" t="n"/>
      <c r="B351" s="124" t="n"/>
      <c r="C351" s="124" t="n"/>
      <c r="D351" s="125" t="n"/>
      <c r="E351" s="126" t="n"/>
      <c r="F351" s="124" t="n"/>
      <c r="G351" s="121">
        <f>IF($D351=0,0,$D351*$E351)</f>
        <v/>
      </c>
      <c r="H351" s="122">
        <f>IF($B351="","",CONCATENATE("Hareket: ",$C351,"/",$D351," adet ",$B351))</f>
        <v/>
      </c>
    </row>
    <row r="352" ht="15" customHeight="1" s="77">
      <c r="A352" s="123" t="n"/>
      <c r="B352" s="124" t="n"/>
      <c r="C352" s="124" t="n"/>
      <c r="D352" s="125" t="n"/>
      <c r="E352" s="126" t="n"/>
      <c r="F352" s="124" t="n"/>
      <c r="G352" s="121">
        <f>IF($D352=0,0,$D352*$E352)</f>
        <v/>
      </c>
      <c r="H352" s="122">
        <f>IF($B352="","",CONCATENATE("Hareket: ",$C352,"/",$D352," adet ",$B352))</f>
        <v/>
      </c>
    </row>
    <row r="353" ht="15" customHeight="1" s="77">
      <c r="A353" s="123" t="n"/>
      <c r="B353" s="124" t="n"/>
      <c r="C353" s="124" t="n"/>
      <c r="D353" s="125" t="n"/>
      <c r="E353" s="126" t="n"/>
      <c r="F353" s="124" t="n"/>
      <c r="G353" s="121">
        <f>IF($D353=0,0,$D353*$E353)</f>
        <v/>
      </c>
      <c r="H353" s="122">
        <f>IF($B353="","",CONCATENATE("Hareket: ",$C353,"/",$D353," adet ",$B353))</f>
        <v/>
      </c>
    </row>
    <row r="354" ht="15" customHeight="1" s="77">
      <c r="A354" s="123" t="n"/>
      <c r="B354" s="124" t="n"/>
      <c r="C354" s="124" t="n"/>
      <c r="D354" s="125" t="n"/>
      <c r="E354" s="126" t="n"/>
      <c r="F354" s="124" t="n"/>
      <c r="G354" s="121">
        <f>IF($D354=0,0,$D354*$E354)</f>
        <v/>
      </c>
      <c r="H354" s="122">
        <f>IF($B354="","",CONCATENATE("Hareket: ",$C354,"/",$D354," adet ",$B354))</f>
        <v/>
      </c>
    </row>
    <row r="355" ht="15" customHeight="1" s="77">
      <c r="A355" s="123" t="n"/>
      <c r="B355" s="124" t="n"/>
      <c r="C355" s="124" t="n"/>
      <c r="D355" s="125" t="n"/>
      <c r="E355" s="126" t="n"/>
      <c r="F355" s="124" t="n"/>
      <c r="G355" s="121">
        <f>IF($D355=0,0,$D355*$E355)</f>
        <v/>
      </c>
      <c r="H355" s="122">
        <f>IF($B355="","",CONCATENATE("Hareket: ",$C355,"/",$D355," adet ",$B355))</f>
        <v/>
      </c>
    </row>
    <row r="356" ht="15" customHeight="1" s="77">
      <c r="A356" s="123" t="n"/>
      <c r="B356" s="124" t="n"/>
      <c r="C356" s="124" t="n"/>
      <c r="D356" s="125" t="n"/>
      <c r="E356" s="126" t="n"/>
      <c r="F356" s="124" t="n"/>
      <c r="G356" s="121">
        <f>IF($D356=0,0,$D356*$E356)</f>
        <v/>
      </c>
      <c r="H356" s="122">
        <f>IF($B356="","",CONCATENATE("Hareket: ",$C356,"/",$D356," adet ",$B356))</f>
        <v/>
      </c>
    </row>
    <row r="357" ht="15" customHeight="1" s="77">
      <c r="A357" s="123" t="n"/>
      <c r="B357" s="124" t="n"/>
      <c r="C357" s="124" t="n"/>
      <c r="D357" s="125" t="n"/>
      <c r="E357" s="126" t="n"/>
      <c r="F357" s="124" t="n"/>
      <c r="G357" s="121">
        <f>IF($D357=0,0,$D357*$E357)</f>
        <v/>
      </c>
      <c r="H357" s="122">
        <f>IF($B357="","",CONCATENATE("Hareket: ",$C357,"/",$D357," adet ",$B357))</f>
        <v/>
      </c>
    </row>
    <row r="358" ht="15" customHeight="1" s="77">
      <c r="A358" s="123" t="n"/>
      <c r="B358" s="124" t="n"/>
      <c r="C358" s="124" t="n"/>
      <c r="D358" s="125" t="n"/>
      <c r="E358" s="126" t="n"/>
      <c r="F358" s="124" t="n"/>
      <c r="G358" s="121">
        <f>IF($D358=0,0,$D358*$E358)</f>
        <v/>
      </c>
      <c r="H358" s="122">
        <f>IF($B358="","",CONCATENATE("Hareket: ",$C358,"/",$D358," adet ",$B358))</f>
        <v/>
      </c>
    </row>
    <row r="359" ht="15" customHeight="1" s="77">
      <c r="A359" s="123" t="n"/>
      <c r="B359" s="124" t="n"/>
      <c r="C359" s="124" t="n"/>
      <c r="D359" s="125" t="n"/>
      <c r="E359" s="126" t="n"/>
      <c r="F359" s="124" t="n"/>
      <c r="G359" s="121">
        <f>IF($D359=0,0,$D359*$E359)</f>
        <v/>
      </c>
      <c r="H359" s="122">
        <f>IF($B359="","",CONCATENATE("Hareket: ",$C359,"/",$D359," adet ",$B359))</f>
        <v/>
      </c>
    </row>
    <row r="360" ht="15" customHeight="1" s="77">
      <c r="A360" s="123" t="n"/>
      <c r="B360" s="124" t="n"/>
      <c r="C360" s="124" t="n"/>
      <c r="D360" s="125" t="n"/>
      <c r="E360" s="126" t="n"/>
      <c r="F360" s="124" t="n"/>
      <c r="G360" s="121">
        <f>IF($D360=0,0,$D360*$E360)</f>
        <v/>
      </c>
      <c r="H360" s="122">
        <f>IF($B360="","",CONCATENATE("Hareket: ",$C360,"/",$D360," adet ",$B360))</f>
        <v/>
      </c>
    </row>
    <row r="361" ht="15" customHeight="1" s="77">
      <c r="A361" s="123" t="n"/>
      <c r="B361" s="124" t="n"/>
      <c r="C361" s="124" t="n"/>
      <c r="D361" s="125" t="n"/>
      <c r="E361" s="126" t="n"/>
      <c r="F361" s="124" t="n"/>
      <c r="G361" s="121">
        <f>IF($D361=0,0,$D361*$E361)</f>
        <v/>
      </c>
      <c r="H361" s="122">
        <f>IF($B361="","",CONCATENATE("Hareket: ",$C361,"/",$D361," adet ",$B361))</f>
        <v/>
      </c>
    </row>
    <row r="362" ht="15" customHeight="1" s="77">
      <c r="A362" s="123" t="n"/>
      <c r="B362" s="124" t="n"/>
      <c r="C362" s="124" t="n"/>
      <c r="D362" s="125" t="n"/>
      <c r="E362" s="126" t="n"/>
      <c r="F362" s="124" t="n"/>
      <c r="G362" s="121">
        <f>IF($D362=0,0,$D362*$E362)</f>
        <v/>
      </c>
      <c r="H362" s="122">
        <f>IF($B362="","",CONCATENATE("Hareket: ",$C362,"/",$D362," adet ",$B362))</f>
        <v/>
      </c>
    </row>
    <row r="363" ht="15" customHeight="1" s="77">
      <c r="A363" s="123" t="n"/>
      <c r="B363" s="124" t="n"/>
      <c r="C363" s="124" t="n"/>
      <c r="D363" s="125" t="n"/>
      <c r="E363" s="126" t="n"/>
      <c r="F363" s="124" t="n"/>
      <c r="G363" s="121">
        <f>IF($D363=0,0,$D363*$E363)</f>
        <v/>
      </c>
      <c r="H363" s="122">
        <f>IF($B363="","",CONCATENATE("Hareket: ",$C363,"/",$D363," adet ",$B363))</f>
        <v/>
      </c>
    </row>
    <row r="364" ht="15" customHeight="1" s="77">
      <c r="A364" s="123" t="n"/>
      <c r="B364" s="124" t="n"/>
      <c r="C364" s="124" t="n"/>
      <c r="D364" s="125" t="n"/>
      <c r="E364" s="126" t="n"/>
      <c r="F364" s="124" t="n"/>
      <c r="G364" s="121">
        <f>IF($D364=0,0,$D364*$E364)</f>
        <v/>
      </c>
      <c r="H364" s="122">
        <f>IF($B364="","",CONCATENATE("Hareket: ",$C364,"/",$D364," adet ",$B364))</f>
        <v/>
      </c>
    </row>
    <row r="365" ht="15" customHeight="1" s="77">
      <c r="A365" s="123" t="n"/>
      <c r="B365" s="124" t="n"/>
      <c r="C365" s="124" t="n"/>
      <c r="D365" s="125" t="n"/>
      <c r="E365" s="126" t="n"/>
      <c r="F365" s="124" t="n"/>
      <c r="G365" s="121">
        <f>IF($D365=0,0,$D365*$E365)</f>
        <v/>
      </c>
      <c r="H365" s="122">
        <f>IF($B365="","",CONCATENATE("Hareket: ",$C365,"/",$D365," adet ",$B365))</f>
        <v/>
      </c>
    </row>
    <row r="366" ht="15" customHeight="1" s="77">
      <c r="A366" s="123" t="n"/>
      <c r="B366" s="124" t="n"/>
      <c r="C366" s="124" t="n"/>
      <c r="D366" s="125" t="n"/>
      <c r="E366" s="126" t="n"/>
      <c r="F366" s="124" t="n"/>
      <c r="G366" s="121">
        <f>IF($D366=0,0,$D366*$E366)</f>
        <v/>
      </c>
      <c r="H366" s="122">
        <f>IF($B366="","",CONCATENATE("Hareket: ",$C366,"/",$D366," adet ",$B366))</f>
        <v/>
      </c>
    </row>
    <row r="367" ht="15" customHeight="1" s="77">
      <c r="A367" s="123" t="n"/>
      <c r="B367" s="124" t="n"/>
      <c r="C367" s="124" t="n"/>
      <c r="D367" s="125" t="n"/>
      <c r="E367" s="126" t="n"/>
      <c r="F367" s="124" t="n"/>
      <c r="G367" s="121">
        <f>IF($D367=0,0,$D367*$E367)</f>
        <v/>
      </c>
      <c r="H367" s="122">
        <f>IF($B367="","",CONCATENATE("Hareket: ",$C367,"/",$D367," adet ",$B367))</f>
        <v/>
      </c>
    </row>
    <row r="368" ht="15" customHeight="1" s="77">
      <c r="A368" s="123" t="n"/>
      <c r="B368" s="124" t="n"/>
      <c r="C368" s="124" t="n"/>
      <c r="D368" s="125" t="n"/>
      <c r="E368" s="126" t="n"/>
      <c r="F368" s="124" t="n"/>
      <c r="G368" s="121">
        <f>IF($D368=0,0,$D368*$E368)</f>
        <v/>
      </c>
      <c r="H368" s="122">
        <f>IF($B368="","",CONCATENATE("Hareket: ",$C368,"/",$D368," adet ",$B368))</f>
        <v/>
      </c>
    </row>
    <row r="369" ht="15" customHeight="1" s="77">
      <c r="A369" s="123" t="n"/>
      <c r="B369" s="124" t="n"/>
      <c r="C369" s="124" t="n"/>
      <c r="D369" s="125" t="n"/>
      <c r="E369" s="126" t="n"/>
      <c r="F369" s="124" t="n"/>
      <c r="G369" s="121">
        <f>IF($D369=0,0,$D369*$E369)</f>
        <v/>
      </c>
      <c r="H369" s="122">
        <f>IF($B369="","",CONCATENATE("Hareket: ",$C369,"/",$D369," adet ",$B369))</f>
        <v/>
      </c>
    </row>
    <row r="370" ht="15" customHeight="1" s="77">
      <c r="A370" s="123" t="n"/>
      <c r="B370" s="124" t="n"/>
      <c r="C370" s="124" t="n"/>
      <c r="D370" s="125" t="n"/>
      <c r="E370" s="126" t="n"/>
      <c r="F370" s="124" t="n"/>
      <c r="G370" s="121">
        <f>IF($D370=0,0,$D370*$E370)</f>
        <v/>
      </c>
      <c r="H370" s="122">
        <f>IF($B370="","",CONCATENATE("Hareket: ",$C370,"/",$D370," adet ",$B370))</f>
        <v/>
      </c>
    </row>
    <row r="371" ht="15" customHeight="1" s="77">
      <c r="A371" s="123" t="n"/>
      <c r="B371" s="124" t="n"/>
      <c r="C371" s="124" t="n"/>
      <c r="D371" s="125" t="n"/>
      <c r="E371" s="126" t="n"/>
      <c r="F371" s="124" t="n"/>
      <c r="G371" s="121">
        <f>IF($D371=0,0,$D371*$E371)</f>
        <v/>
      </c>
      <c r="H371" s="122">
        <f>IF($B371="","",CONCATENATE("Hareket: ",$C371,"/",$D371," adet ",$B371))</f>
        <v/>
      </c>
    </row>
    <row r="372" ht="15" customHeight="1" s="77">
      <c r="A372" s="123" t="n"/>
      <c r="B372" s="124" t="n"/>
      <c r="C372" s="124" t="n"/>
      <c r="D372" s="125" t="n"/>
      <c r="E372" s="126" t="n"/>
      <c r="F372" s="124" t="n"/>
      <c r="G372" s="121">
        <f>IF($D372=0,0,$D372*$E372)</f>
        <v/>
      </c>
      <c r="H372" s="122">
        <f>IF($B372="","",CONCATENATE("Hareket: ",$C372,"/",$D372," adet ",$B372))</f>
        <v/>
      </c>
    </row>
    <row r="373" ht="15" customHeight="1" s="77">
      <c r="A373" s="123" t="n"/>
      <c r="B373" s="124" t="n"/>
      <c r="C373" s="124" t="n"/>
      <c r="D373" s="125" t="n"/>
      <c r="E373" s="126" t="n"/>
      <c r="F373" s="124" t="n"/>
      <c r="G373" s="121">
        <f>IF($D373=0,0,$D373*$E373)</f>
        <v/>
      </c>
      <c r="H373" s="122">
        <f>IF($B373="","",CONCATENATE("Hareket: ",$C373,"/",$D373," adet ",$B373))</f>
        <v/>
      </c>
    </row>
    <row r="374" ht="15" customHeight="1" s="77">
      <c r="A374" s="123" t="n"/>
      <c r="B374" s="124" t="n"/>
      <c r="C374" s="124" t="n"/>
      <c r="D374" s="125" t="n"/>
      <c r="E374" s="126" t="n"/>
      <c r="F374" s="124" t="n"/>
      <c r="G374" s="121">
        <f>IF($D374=0,0,$D374*$E374)</f>
        <v/>
      </c>
      <c r="H374" s="122">
        <f>IF($B374="","",CONCATENATE("Hareket: ",$C374,"/",$D374," adet ",$B374))</f>
        <v/>
      </c>
    </row>
    <row r="375" ht="15" customHeight="1" s="77">
      <c r="A375" s="123" t="n"/>
      <c r="B375" s="124" t="n"/>
      <c r="C375" s="124" t="n"/>
      <c r="D375" s="125" t="n"/>
      <c r="E375" s="126" t="n"/>
      <c r="F375" s="124" t="n"/>
      <c r="G375" s="121">
        <f>IF($D375=0,0,$D375*$E375)</f>
        <v/>
      </c>
      <c r="H375" s="122">
        <f>IF($B375="","",CONCATENATE("Hareket: ",$C375,"/",$D375," adet ",$B375))</f>
        <v/>
      </c>
    </row>
    <row r="376" ht="15" customHeight="1" s="77">
      <c r="A376" s="123" t="n"/>
      <c r="B376" s="124" t="n"/>
      <c r="C376" s="124" t="n"/>
      <c r="D376" s="125" t="n"/>
      <c r="E376" s="126" t="n"/>
      <c r="F376" s="124" t="n"/>
      <c r="G376" s="121">
        <f>IF($D376=0,0,$D376*$E376)</f>
        <v/>
      </c>
      <c r="H376" s="122">
        <f>IF($B376="","",CONCATENATE("Hareket: ",$C376,"/",$D376," adet ",$B376))</f>
        <v/>
      </c>
    </row>
    <row r="377" ht="15" customHeight="1" s="77">
      <c r="A377" s="123" t="n"/>
      <c r="B377" s="124" t="n"/>
      <c r="C377" s="124" t="n"/>
      <c r="D377" s="125" t="n"/>
      <c r="E377" s="126" t="n"/>
      <c r="F377" s="124" t="n"/>
      <c r="G377" s="121">
        <f>IF($D377=0,0,$D377*$E377)</f>
        <v/>
      </c>
      <c r="H377" s="122">
        <f>IF($B377="","",CONCATENATE("Hareket: ",$C377,"/",$D377," adet ",$B377))</f>
        <v/>
      </c>
    </row>
    <row r="378" ht="15" customHeight="1" s="77">
      <c r="A378" s="123" t="n"/>
      <c r="B378" s="124" t="n"/>
      <c r="C378" s="124" t="n"/>
      <c r="D378" s="125" t="n"/>
      <c r="E378" s="126" t="n"/>
      <c r="F378" s="124" t="n"/>
      <c r="G378" s="121">
        <f>IF($D378=0,0,$D378*$E378)</f>
        <v/>
      </c>
      <c r="H378" s="122">
        <f>IF($B378="","",CONCATENATE("Hareket: ",$C378,"/",$D378," adet ",$B378))</f>
        <v/>
      </c>
    </row>
    <row r="379" ht="15" customHeight="1" s="77">
      <c r="A379" s="123" t="n"/>
      <c r="B379" s="124" t="n"/>
      <c r="C379" s="124" t="n"/>
      <c r="D379" s="125" t="n"/>
      <c r="E379" s="126" t="n"/>
      <c r="F379" s="124" t="n"/>
      <c r="G379" s="121">
        <f>IF($D379=0,0,$D379*$E379)</f>
        <v/>
      </c>
      <c r="H379" s="122">
        <f>IF($B379="","",CONCATENATE("Hareket: ",$C379,"/",$D379," adet ",$B379))</f>
        <v/>
      </c>
    </row>
    <row r="380" ht="15" customHeight="1" s="77">
      <c r="A380" s="123" t="n"/>
      <c r="B380" s="124" t="n"/>
      <c r="C380" s="124" t="n"/>
      <c r="D380" s="125" t="n"/>
      <c r="E380" s="126" t="n"/>
      <c r="F380" s="124" t="n"/>
      <c r="G380" s="121">
        <f>IF($D380=0,0,$D380*$E380)</f>
        <v/>
      </c>
      <c r="H380" s="122">
        <f>IF($B380="","",CONCATENATE("Hareket: ",$C380,"/",$D380," adet ",$B380))</f>
        <v/>
      </c>
    </row>
    <row r="381" ht="15" customHeight="1" s="77">
      <c r="A381" s="123" t="n"/>
      <c r="B381" s="124" t="n"/>
      <c r="C381" s="124" t="n"/>
      <c r="D381" s="125" t="n"/>
      <c r="E381" s="126" t="n"/>
      <c r="F381" s="124" t="n"/>
      <c r="G381" s="121">
        <f>IF($D381=0,0,$D381*$E381)</f>
        <v/>
      </c>
      <c r="H381" s="122">
        <f>IF($B381="","",CONCATENATE("Hareket: ",$C381,"/",$D381," adet ",$B381))</f>
        <v/>
      </c>
    </row>
    <row r="382" ht="15" customHeight="1" s="77">
      <c r="A382" s="123" t="n"/>
      <c r="B382" s="124" t="n"/>
      <c r="C382" s="124" t="n"/>
      <c r="D382" s="125" t="n"/>
      <c r="E382" s="126" t="n"/>
      <c r="F382" s="124" t="n"/>
      <c r="G382" s="121">
        <f>IF($D382=0,0,$D382*$E382)</f>
        <v/>
      </c>
      <c r="H382" s="122">
        <f>IF($B382="","",CONCATENATE("Hareket: ",$C382,"/",$D382," adet ",$B382))</f>
        <v/>
      </c>
    </row>
    <row r="383" ht="15" customHeight="1" s="77">
      <c r="A383" s="123" t="n"/>
      <c r="B383" s="124" t="n"/>
      <c r="C383" s="124" t="n"/>
      <c r="D383" s="125" t="n"/>
      <c r="E383" s="126" t="n"/>
      <c r="F383" s="124" t="n"/>
      <c r="G383" s="121">
        <f>IF($D383=0,0,$D383*$E383)</f>
        <v/>
      </c>
      <c r="H383" s="122">
        <f>IF($B383="","",CONCATENATE("Hareket: ",$C383,"/",$D383," adet ",$B383))</f>
        <v/>
      </c>
    </row>
    <row r="384" ht="15" customHeight="1" s="77">
      <c r="A384" s="123" t="n"/>
      <c r="B384" s="124" t="n"/>
      <c r="C384" s="124" t="n"/>
      <c r="D384" s="125" t="n"/>
      <c r="E384" s="126" t="n"/>
      <c r="F384" s="124" t="n"/>
      <c r="G384" s="121">
        <f>IF($D384=0,0,$D384*$E384)</f>
        <v/>
      </c>
      <c r="H384" s="122">
        <f>IF($B384="","",CONCATENATE("Hareket: ",$C384,"/",$D384," adet ",$B384))</f>
        <v/>
      </c>
    </row>
    <row r="385" ht="15" customHeight="1" s="77">
      <c r="A385" s="123" t="n"/>
      <c r="B385" s="124" t="n"/>
      <c r="C385" s="124" t="n"/>
      <c r="D385" s="125" t="n"/>
      <c r="E385" s="126" t="n"/>
      <c r="F385" s="124" t="n"/>
      <c r="G385" s="121">
        <f>IF($D385=0,0,$D385*$E385)</f>
        <v/>
      </c>
      <c r="H385" s="122">
        <f>IF($B385="","",CONCATENATE("Hareket: ",$C385,"/",$D385," adet ",$B385))</f>
        <v/>
      </c>
    </row>
    <row r="386" ht="15" customHeight="1" s="77">
      <c r="A386" s="123" t="n"/>
      <c r="B386" s="124" t="n"/>
      <c r="C386" s="124" t="n"/>
      <c r="D386" s="125" t="n"/>
      <c r="E386" s="126" t="n"/>
      <c r="F386" s="124" t="n"/>
      <c r="G386" s="121">
        <f>IF($D386=0,0,$D386*$E386)</f>
        <v/>
      </c>
      <c r="H386" s="122">
        <f>IF($B386="","",CONCATENATE("Hareket: ",$C386,"/",$D386," adet ",$B386))</f>
        <v/>
      </c>
    </row>
    <row r="387" ht="15" customHeight="1" s="77">
      <c r="A387" s="123" t="n"/>
      <c r="B387" s="124" t="n"/>
      <c r="C387" s="124" t="n"/>
      <c r="D387" s="125" t="n"/>
      <c r="E387" s="126" t="n"/>
      <c r="F387" s="124" t="n"/>
      <c r="G387" s="121">
        <f>IF($D387=0,0,$D387*$E387)</f>
        <v/>
      </c>
      <c r="H387" s="122">
        <f>IF($B387="","",CONCATENATE("Hareket: ",$C387,"/",$D387," adet ",$B387))</f>
        <v/>
      </c>
    </row>
    <row r="388" ht="15" customHeight="1" s="77">
      <c r="A388" s="123" t="n"/>
      <c r="B388" s="124" t="n"/>
      <c r="C388" s="124" t="n"/>
      <c r="D388" s="125" t="n"/>
      <c r="E388" s="126" t="n"/>
      <c r="F388" s="124" t="n"/>
      <c r="G388" s="121">
        <f>IF($D388=0,0,$D388*$E388)</f>
        <v/>
      </c>
      <c r="H388" s="122">
        <f>IF($B388="","",CONCATENATE("Hareket: ",$C388,"/",$D388," adet ",$B388))</f>
        <v/>
      </c>
    </row>
    <row r="389" ht="15" customHeight="1" s="77">
      <c r="A389" s="123" t="n"/>
      <c r="B389" s="124" t="n"/>
      <c r="C389" s="124" t="n"/>
      <c r="D389" s="125" t="n"/>
      <c r="E389" s="126" t="n"/>
      <c r="F389" s="124" t="n"/>
      <c r="G389" s="121">
        <f>IF($D389=0,0,$D389*$E389)</f>
        <v/>
      </c>
      <c r="H389" s="122">
        <f>IF($B389="","",CONCATENATE("Hareket: ",$C389,"/",$D389," adet ",$B389))</f>
        <v/>
      </c>
    </row>
    <row r="390" ht="15" customHeight="1" s="77">
      <c r="A390" s="123" t="n"/>
      <c r="B390" s="124" t="n"/>
      <c r="C390" s="124" t="n"/>
      <c r="D390" s="125" t="n"/>
      <c r="E390" s="126" t="n"/>
      <c r="F390" s="124" t="n"/>
      <c r="G390" s="121">
        <f>IF($D390=0,0,$D390*$E390)</f>
        <v/>
      </c>
      <c r="H390" s="122">
        <f>IF($B390="","",CONCATENATE("Hareket: ",$C390,"/",$D390," adet ",$B390))</f>
        <v/>
      </c>
    </row>
    <row r="391" ht="15" customHeight="1" s="77">
      <c r="A391" s="123" t="n"/>
      <c r="B391" s="124" t="n"/>
      <c r="C391" s="124" t="n"/>
      <c r="D391" s="125" t="n"/>
      <c r="E391" s="126" t="n"/>
      <c r="F391" s="124" t="n"/>
      <c r="G391" s="121">
        <f>IF($D391=0,0,$D391*$E391)</f>
        <v/>
      </c>
      <c r="H391" s="122">
        <f>IF($B391="","",CONCATENATE("Hareket: ",$C391,"/",$D391," adet ",$B391))</f>
        <v/>
      </c>
    </row>
    <row r="392" ht="15" customHeight="1" s="77">
      <c r="A392" s="123" t="n"/>
      <c r="B392" s="124" t="n"/>
      <c r="C392" s="124" t="n"/>
      <c r="D392" s="125" t="n"/>
      <c r="E392" s="126" t="n"/>
      <c r="F392" s="124" t="n"/>
      <c r="G392" s="121">
        <f>IF($D392=0,0,$D392*$E392)</f>
        <v/>
      </c>
      <c r="H392" s="122">
        <f>IF($B392="","",CONCATENATE("Hareket: ",$C392,"/",$D392," adet ",$B392))</f>
        <v/>
      </c>
    </row>
    <row r="393" ht="15" customHeight="1" s="77">
      <c r="A393" s="123" t="n"/>
      <c r="B393" s="124" t="n"/>
      <c r="C393" s="124" t="n"/>
      <c r="D393" s="125" t="n"/>
      <c r="E393" s="126" t="n"/>
      <c r="F393" s="124" t="n"/>
      <c r="G393" s="121">
        <f>IF($D393=0,0,$D393*$E393)</f>
        <v/>
      </c>
      <c r="H393" s="122">
        <f>IF($B393="","",CONCATENATE("Hareket: ",$C393,"/",$D393," adet ",$B393))</f>
        <v/>
      </c>
    </row>
    <row r="394" ht="15" customHeight="1" s="77">
      <c r="A394" s="123" t="n"/>
      <c r="B394" s="124" t="n"/>
      <c r="C394" s="124" t="n"/>
      <c r="D394" s="125" t="n"/>
      <c r="E394" s="126" t="n"/>
      <c r="F394" s="124" t="n"/>
      <c r="G394" s="121">
        <f>IF($D394=0,0,$D394*$E394)</f>
        <v/>
      </c>
      <c r="H394" s="122">
        <f>IF($B394="","",CONCATENATE("Hareket: ",$C394,"/",$D394," adet ",$B394))</f>
        <v/>
      </c>
    </row>
    <row r="395" ht="15" customHeight="1" s="77">
      <c r="A395" s="123" t="n"/>
      <c r="B395" s="124" t="n"/>
      <c r="C395" s="124" t="n"/>
      <c r="D395" s="125" t="n"/>
      <c r="E395" s="126" t="n"/>
      <c r="F395" s="124" t="n"/>
      <c r="G395" s="121">
        <f>IF($D395=0,0,$D395*$E395)</f>
        <v/>
      </c>
      <c r="H395" s="122">
        <f>IF($B395="","",CONCATENATE("Hareket: ",$C395,"/",$D395," adet ",$B395))</f>
        <v/>
      </c>
    </row>
    <row r="396" ht="15" customHeight="1" s="77">
      <c r="A396" s="123" t="n"/>
      <c r="B396" s="124" t="n"/>
      <c r="C396" s="124" t="n"/>
      <c r="D396" s="125" t="n"/>
      <c r="E396" s="126" t="n"/>
      <c r="F396" s="124" t="n"/>
      <c r="G396" s="121">
        <f>IF($D396=0,0,$D396*$E396)</f>
        <v/>
      </c>
      <c r="H396" s="122">
        <f>IF($B396="","",CONCATENATE("Hareket: ",$C396,"/",$D396," adet ",$B396))</f>
        <v/>
      </c>
    </row>
    <row r="397" ht="15" customHeight="1" s="77">
      <c r="A397" s="123" t="n"/>
      <c r="B397" s="124" t="n"/>
      <c r="C397" s="124" t="n"/>
      <c r="D397" s="125" t="n"/>
      <c r="E397" s="126" t="n"/>
      <c r="F397" s="124" t="n"/>
      <c r="G397" s="121">
        <f>IF($D397=0,0,$D397*$E397)</f>
        <v/>
      </c>
      <c r="H397" s="122">
        <f>IF($B397="","",CONCATENATE("Hareket: ",$C397,"/",$D397," adet ",$B397))</f>
        <v/>
      </c>
    </row>
    <row r="398" ht="15" customHeight="1" s="77">
      <c r="A398" s="123" t="n"/>
      <c r="B398" s="124" t="n"/>
      <c r="C398" s="124" t="n"/>
      <c r="D398" s="125" t="n"/>
      <c r="E398" s="126" t="n"/>
      <c r="F398" s="124" t="n"/>
      <c r="G398" s="121">
        <f>IF($D398=0,0,$D398*$E398)</f>
        <v/>
      </c>
      <c r="H398" s="122">
        <f>IF($B398="","",CONCATENATE("Hareket: ",$C398,"/",$D398," adet ",$B398))</f>
        <v/>
      </c>
    </row>
    <row r="399" ht="15" customHeight="1" s="77">
      <c r="A399" s="123" t="n"/>
      <c r="B399" s="124" t="n"/>
      <c r="C399" s="124" t="n"/>
      <c r="D399" s="125" t="n"/>
      <c r="E399" s="126" t="n"/>
      <c r="F399" s="124" t="n"/>
      <c r="G399" s="121">
        <f>IF($D399=0,0,$D399*$E399)</f>
        <v/>
      </c>
      <c r="H399" s="122">
        <f>IF($B399="","",CONCATENATE("Hareket: ",$C399,"/",$D399," adet ",$B399))</f>
        <v/>
      </c>
    </row>
    <row r="400" ht="15" customHeight="1" s="77">
      <c r="A400" s="123" t="n"/>
      <c r="B400" s="124" t="n"/>
      <c r="C400" s="124" t="n"/>
      <c r="D400" s="125" t="n"/>
      <c r="E400" s="126" t="n"/>
      <c r="F400" s="124" t="n"/>
      <c r="G400" s="121">
        <f>IF($D400=0,0,$D400*$E400)</f>
        <v/>
      </c>
      <c r="H400" s="122">
        <f>IF($B400="","",CONCATENATE("Hareket: ",$C400,"/",$D400," adet ",$B400))</f>
        <v/>
      </c>
    </row>
    <row r="401" ht="15" customHeight="1" s="77">
      <c r="A401" s="123" t="n"/>
      <c r="B401" s="124" t="n"/>
      <c r="C401" s="124" t="n"/>
      <c r="D401" s="125" t="n"/>
      <c r="E401" s="126" t="n"/>
      <c r="F401" s="124" t="n"/>
      <c r="G401" s="121">
        <f>IF($D401=0,0,$D401*$E401)</f>
        <v/>
      </c>
      <c r="H401" s="122">
        <f>IF($B401="","",CONCATENATE("Hareket: ",$C401,"/",$D401," adet ",$B401))</f>
        <v/>
      </c>
    </row>
    <row r="402" ht="15" customHeight="1" s="77">
      <c r="A402" s="123" t="n"/>
      <c r="B402" s="124" t="n"/>
      <c r="C402" s="124" t="n"/>
      <c r="D402" s="125" t="n"/>
      <c r="E402" s="126" t="n"/>
      <c r="F402" s="124" t="n"/>
      <c r="G402" s="121">
        <f>IF($D402=0,0,$D402*$E402)</f>
        <v/>
      </c>
      <c r="H402" s="122">
        <f>IF($B402="","",CONCATENATE("Hareket: ",$C402,"/",$D402," adet ",$B402))</f>
        <v/>
      </c>
    </row>
    <row r="403" ht="15" customHeight="1" s="77">
      <c r="A403" s="123" t="n"/>
      <c r="B403" s="124" t="n"/>
      <c r="C403" s="124" t="n"/>
      <c r="D403" s="125" t="n"/>
      <c r="E403" s="126" t="n"/>
      <c r="F403" s="124" t="n"/>
      <c r="G403" s="121">
        <f>IF($D403=0,0,$D403*$E403)</f>
        <v/>
      </c>
      <c r="H403" s="122">
        <f>IF($B403="","",CONCATENATE("Hareket: ",$C403,"/",$D403," adet ",$B403))</f>
        <v/>
      </c>
    </row>
    <row r="404" ht="15" customHeight="1" s="77">
      <c r="A404" s="123" t="n"/>
      <c r="B404" s="124" t="n"/>
      <c r="C404" s="124" t="n"/>
      <c r="D404" s="125" t="n"/>
      <c r="E404" s="126" t="n"/>
      <c r="F404" s="124" t="n"/>
      <c r="G404" s="121">
        <f>IF($D404=0,0,$D404*$E404)</f>
        <v/>
      </c>
      <c r="H404" s="122">
        <f>IF($B404="","",CONCATENATE("Hareket: ",$C404,"/",$D404," adet ",$B404))</f>
        <v/>
      </c>
    </row>
    <row r="405" ht="15" customHeight="1" s="77">
      <c r="A405" s="123" t="n"/>
      <c r="B405" s="124" t="n"/>
      <c r="C405" s="124" t="n"/>
      <c r="D405" s="125" t="n"/>
      <c r="E405" s="126" t="n"/>
      <c r="F405" s="124" t="n"/>
      <c r="G405" s="121">
        <f>IF($D405=0,0,$D405*$E405)</f>
        <v/>
      </c>
      <c r="H405" s="122">
        <f>IF($B405="","",CONCATENATE("Hareket: ",$C405,"/",$D405," adet ",$B405))</f>
        <v/>
      </c>
    </row>
    <row r="406" ht="15" customHeight="1" s="77">
      <c r="A406" s="123" t="n"/>
      <c r="B406" s="124" t="n"/>
      <c r="C406" s="124" t="n"/>
      <c r="D406" s="125" t="n"/>
      <c r="E406" s="126" t="n"/>
      <c r="F406" s="124" t="n"/>
      <c r="G406" s="121">
        <f>IF($D406=0,0,$D406*$E406)</f>
        <v/>
      </c>
      <c r="H406" s="122">
        <f>IF($B406="","",CONCATENATE("Hareket: ",$C406,"/",$D406," adet ",$B406))</f>
        <v/>
      </c>
    </row>
    <row r="407" ht="15" customHeight="1" s="77">
      <c r="A407" s="123" t="n"/>
      <c r="B407" s="124" t="n"/>
      <c r="C407" s="124" t="n"/>
      <c r="D407" s="125" t="n"/>
      <c r="E407" s="126" t="n"/>
      <c r="F407" s="124" t="n"/>
      <c r="G407" s="121">
        <f>IF($D407=0,0,$D407*$E407)</f>
        <v/>
      </c>
      <c r="H407" s="122">
        <f>IF($B407="","",CONCATENATE("Hareket: ",$C407,"/",$D407," adet ",$B407))</f>
        <v/>
      </c>
    </row>
    <row r="408" ht="15" customHeight="1" s="77">
      <c r="A408" s="123" t="n"/>
      <c r="B408" s="124" t="n"/>
      <c r="C408" s="124" t="n"/>
      <c r="D408" s="125" t="n"/>
      <c r="E408" s="126" t="n"/>
      <c r="F408" s="124" t="n"/>
      <c r="G408" s="121">
        <f>IF($D408=0,0,$D408*$E408)</f>
        <v/>
      </c>
      <c r="H408" s="122">
        <f>IF($B408="","",CONCATENATE("Hareket: ",$C408,"/",$D408," adet ",$B408))</f>
        <v/>
      </c>
    </row>
    <row r="409" ht="15" customHeight="1" s="77">
      <c r="A409" s="123" t="n"/>
      <c r="B409" s="124" t="n"/>
      <c r="C409" s="124" t="n"/>
      <c r="D409" s="125" t="n"/>
      <c r="E409" s="126" t="n"/>
      <c r="F409" s="124" t="n"/>
      <c r="G409" s="121">
        <f>IF($D409=0,0,$D409*$E409)</f>
        <v/>
      </c>
      <c r="H409" s="122">
        <f>IF($B409="","",CONCATENATE("Hareket: ",$C409,"/",$D409," adet ",$B409))</f>
        <v/>
      </c>
    </row>
    <row r="410" ht="15" customHeight="1" s="77">
      <c r="A410" s="123" t="n"/>
      <c r="B410" s="124" t="n"/>
      <c r="C410" s="124" t="n"/>
      <c r="D410" s="125" t="n"/>
      <c r="E410" s="126" t="n"/>
      <c r="F410" s="124" t="n"/>
      <c r="G410" s="121">
        <f>IF($D410=0,0,$D410*$E410)</f>
        <v/>
      </c>
      <c r="H410" s="122">
        <f>IF($B410="","",CONCATENATE("Hareket: ",$C410,"/",$D410," adet ",$B410))</f>
        <v/>
      </c>
    </row>
    <row r="411" ht="15" customHeight="1" s="77">
      <c r="A411" s="123" t="n"/>
      <c r="B411" s="124" t="n"/>
      <c r="C411" s="124" t="n"/>
      <c r="D411" s="125" t="n"/>
      <c r="E411" s="126" t="n"/>
      <c r="F411" s="124" t="n"/>
      <c r="G411" s="121">
        <f>IF($D411=0,0,$D411*$E411)</f>
        <v/>
      </c>
      <c r="H411" s="122">
        <f>IF($B411="","",CONCATENATE("Hareket: ",$C411,"/",$D411," adet ",$B411))</f>
        <v/>
      </c>
    </row>
    <row r="412" ht="15" customHeight="1" s="77">
      <c r="A412" s="123" t="n"/>
      <c r="B412" s="124" t="n"/>
      <c r="C412" s="124" t="n"/>
      <c r="D412" s="125" t="n"/>
      <c r="E412" s="126" t="n"/>
      <c r="F412" s="124" t="n"/>
      <c r="G412" s="121">
        <f>IF($D412=0,0,$D412*$E412)</f>
        <v/>
      </c>
      <c r="H412" s="122">
        <f>IF($B412="","",CONCATENATE("Hareket: ",$C412,"/",$D412," adet ",$B412))</f>
        <v/>
      </c>
    </row>
    <row r="413" ht="15" customHeight="1" s="77">
      <c r="A413" s="123" t="n"/>
      <c r="B413" s="124" t="n"/>
      <c r="C413" s="124" t="n"/>
      <c r="D413" s="125" t="n"/>
      <c r="E413" s="126" t="n"/>
      <c r="F413" s="124" t="n"/>
      <c r="G413" s="121">
        <f>IF($D413=0,0,$D413*$E413)</f>
        <v/>
      </c>
      <c r="H413" s="122">
        <f>IF($B413="","",CONCATENATE("Hareket: ",$C413,"/",$D413," adet ",$B413))</f>
        <v/>
      </c>
    </row>
    <row r="414" ht="15" customHeight="1" s="77">
      <c r="A414" s="123" t="n"/>
      <c r="B414" s="124" t="n"/>
      <c r="C414" s="124" t="n"/>
      <c r="D414" s="125" t="n"/>
      <c r="E414" s="126" t="n"/>
      <c r="F414" s="124" t="n"/>
      <c r="G414" s="121">
        <f>IF($D414=0,0,$D414*$E414)</f>
        <v/>
      </c>
      <c r="H414" s="122">
        <f>IF($B414="","",CONCATENATE("Hareket: ",$C414,"/",$D414," adet ",$B414))</f>
        <v/>
      </c>
    </row>
    <row r="415" ht="15" customHeight="1" s="77">
      <c r="A415" s="123" t="n"/>
      <c r="B415" s="124" t="n"/>
      <c r="C415" s="124" t="n"/>
      <c r="D415" s="125" t="n"/>
      <c r="E415" s="126" t="n"/>
      <c r="F415" s="124" t="n"/>
      <c r="G415" s="121">
        <f>IF($D415=0,0,$D415*$E415)</f>
        <v/>
      </c>
      <c r="H415" s="122">
        <f>IF($B415="","",CONCATENATE("Hareket: ",$C415,"/",$D415," adet ",$B415))</f>
        <v/>
      </c>
    </row>
    <row r="416" ht="15" customHeight="1" s="77">
      <c r="A416" s="123" t="n"/>
      <c r="B416" s="124" t="n"/>
      <c r="C416" s="124" t="n"/>
      <c r="D416" s="125" t="n"/>
      <c r="E416" s="126" t="n"/>
      <c r="F416" s="124" t="n"/>
      <c r="G416" s="121">
        <f>IF($D416=0,0,$D416*$E416)</f>
        <v/>
      </c>
      <c r="H416" s="122">
        <f>IF($B416="","",CONCATENATE("Hareket: ",$C416,"/",$D416," adet ",$B416))</f>
        <v/>
      </c>
    </row>
    <row r="417" ht="15" customHeight="1" s="77">
      <c r="A417" s="123" t="n"/>
      <c r="B417" s="124" t="n"/>
      <c r="C417" s="124" t="n"/>
      <c r="D417" s="125" t="n"/>
      <c r="E417" s="126" t="n"/>
      <c r="F417" s="124" t="n"/>
      <c r="G417" s="121">
        <f>IF($D417=0,0,$D417*$E417)</f>
        <v/>
      </c>
      <c r="H417" s="122">
        <f>IF($B417="","",CONCATENATE("Hareket: ",$C417,"/",$D417," adet ",$B417))</f>
        <v/>
      </c>
    </row>
    <row r="418" ht="15" customHeight="1" s="77">
      <c r="A418" s="123" t="n"/>
      <c r="B418" s="124" t="n"/>
      <c r="C418" s="124" t="n"/>
      <c r="D418" s="125" t="n"/>
      <c r="E418" s="126" t="n"/>
      <c r="F418" s="124" t="n"/>
      <c r="G418" s="121">
        <f>IF($D418=0,0,$D418*$E418)</f>
        <v/>
      </c>
      <c r="H418" s="122">
        <f>IF($B418="","",CONCATENATE("Hareket: ",$C418,"/",$D418," adet ",$B418))</f>
        <v/>
      </c>
    </row>
    <row r="419" ht="15" customHeight="1" s="77">
      <c r="A419" s="123" t="n"/>
      <c r="B419" s="124" t="n"/>
      <c r="C419" s="124" t="n"/>
      <c r="D419" s="125" t="n"/>
      <c r="E419" s="126" t="n"/>
      <c r="F419" s="124" t="n"/>
      <c r="G419" s="121">
        <f>IF($D419=0,0,$D419*$E419)</f>
        <v/>
      </c>
      <c r="H419" s="122">
        <f>IF($B419="","",CONCATENATE("Hareket: ",$C419,"/",$D419," adet ",$B419))</f>
        <v/>
      </c>
    </row>
    <row r="420" ht="15" customHeight="1" s="77">
      <c r="A420" s="123" t="n"/>
      <c r="B420" s="124" t="n"/>
      <c r="C420" s="124" t="n"/>
      <c r="D420" s="125" t="n"/>
      <c r="E420" s="126" t="n"/>
      <c r="F420" s="124" t="n"/>
      <c r="G420" s="121">
        <f>IF($D420=0,0,$D420*$E420)</f>
        <v/>
      </c>
      <c r="H420" s="122">
        <f>IF($B420="","",CONCATENATE("Hareket: ",$C420,"/",$D420," adet ",$B420))</f>
        <v/>
      </c>
    </row>
    <row r="421" ht="15" customHeight="1" s="77">
      <c r="A421" s="123" t="n"/>
      <c r="B421" s="124" t="n"/>
      <c r="C421" s="124" t="n"/>
      <c r="D421" s="125" t="n"/>
      <c r="E421" s="126" t="n"/>
      <c r="F421" s="124" t="n"/>
      <c r="G421" s="121">
        <f>IF($D421=0,0,$D421*$E421)</f>
        <v/>
      </c>
      <c r="H421" s="122">
        <f>IF($B421="","",CONCATENATE("Hareket: ",$C421,"/",$D421," adet ",$B421))</f>
        <v/>
      </c>
    </row>
    <row r="422" ht="15" customHeight="1" s="77">
      <c r="A422" s="123" t="n"/>
      <c r="B422" s="124" t="n"/>
      <c r="C422" s="124" t="n"/>
      <c r="D422" s="125" t="n"/>
      <c r="E422" s="126" t="n"/>
      <c r="F422" s="124" t="n"/>
      <c r="G422" s="121">
        <f>IF($D422=0,0,$D422*$E422)</f>
        <v/>
      </c>
      <c r="H422" s="122">
        <f>IF($B422="","",CONCATENATE("Hareket: ",$C422,"/",$D422," adet ",$B422))</f>
        <v/>
      </c>
    </row>
    <row r="423" ht="15" customHeight="1" s="77">
      <c r="A423" s="123" t="n"/>
      <c r="B423" s="124" t="n"/>
      <c r="C423" s="124" t="n"/>
      <c r="D423" s="125" t="n"/>
      <c r="E423" s="126" t="n"/>
      <c r="F423" s="124" t="n"/>
      <c r="G423" s="121">
        <f>IF($D423=0,0,$D423*$E423)</f>
        <v/>
      </c>
      <c r="H423" s="122">
        <f>IF($B423="","",CONCATENATE("Hareket: ",$C423,"/",$D423," adet ",$B423))</f>
        <v/>
      </c>
    </row>
    <row r="424" ht="15" customHeight="1" s="77">
      <c r="A424" s="123" t="n"/>
      <c r="B424" s="124" t="n"/>
      <c r="C424" s="124" t="n"/>
      <c r="D424" s="125" t="n"/>
      <c r="E424" s="126" t="n"/>
      <c r="F424" s="124" t="n"/>
      <c r="G424" s="121">
        <f>IF($D424=0,0,$D424*$E424)</f>
        <v/>
      </c>
      <c r="H424" s="122">
        <f>IF($B424="","",CONCATENATE("Hareket: ",$C424,"/",$D424," adet ",$B424))</f>
        <v/>
      </c>
    </row>
    <row r="425" ht="15" customHeight="1" s="77">
      <c r="A425" s="123" t="n"/>
      <c r="B425" s="124" t="n"/>
      <c r="C425" s="124" t="n"/>
      <c r="D425" s="125" t="n"/>
      <c r="E425" s="126" t="n"/>
      <c r="F425" s="124" t="n"/>
      <c r="G425" s="121">
        <f>IF($D425=0,0,$D425*$E425)</f>
        <v/>
      </c>
      <c r="H425" s="122">
        <f>IF($B425="","",CONCATENATE("Hareket: ",$C425,"/",$D425," adet ",$B425))</f>
        <v/>
      </c>
    </row>
    <row r="426" ht="15" customHeight="1" s="77">
      <c r="A426" s="123" t="n"/>
      <c r="B426" s="124" t="n"/>
      <c r="C426" s="124" t="n"/>
      <c r="D426" s="125" t="n"/>
      <c r="E426" s="126" t="n"/>
      <c r="F426" s="124" t="n"/>
      <c r="G426" s="121">
        <f>IF($D426=0,0,$D426*$E426)</f>
        <v/>
      </c>
      <c r="H426" s="122">
        <f>IF($B426="","",CONCATENATE("Hareket: ",$C426,"/",$D426," adet ",$B426))</f>
        <v/>
      </c>
    </row>
    <row r="427" ht="15" customHeight="1" s="77">
      <c r="A427" s="123" t="n"/>
      <c r="B427" s="124" t="n"/>
      <c r="C427" s="124" t="n"/>
      <c r="D427" s="125" t="n"/>
      <c r="E427" s="126" t="n"/>
      <c r="F427" s="124" t="n"/>
      <c r="G427" s="121">
        <f>IF($D427=0,0,$D427*$E427)</f>
        <v/>
      </c>
      <c r="H427" s="122">
        <f>IF($B427="","",CONCATENATE("Hareket: ",$C427,"/",$D427," adet ",$B427))</f>
        <v/>
      </c>
    </row>
    <row r="428" ht="15" customHeight="1" s="77">
      <c r="A428" s="123" t="n"/>
      <c r="B428" s="124" t="n"/>
      <c r="C428" s="124" t="n"/>
      <c r="D428" s="125" t="n"/>
      <c r="E428" s="126" t="n"/>
      <c r="F428" s="124" t="n"/>
      <c r="G428" s="121">
        <f>IF($D428=0,0,$D428*$E428)</f>
        <v/>
      </c>
      <c r="H428" s="122">
        <f>IF($B428="","",CONCATENATE("Hareket: ",$C428,"/",$D428," adet ",$B428))</f>
        <v/>
      </c>
    </row>
    <row r="429" ht="15" customHeight="1" s="77">
      <c r="A429" s="123" t="n"/>
      <c r="B429" s="124" t="n"/>
      <c r="C429" s="124" t="n"/>
      <c r="D429" s="125" t="n"/>
      <c r="E429" s="126" t="n"/>
      <c r="F429" s="124" t="n"/>
      <c r="G429" s="121">
        <f>IF($D429=0,0,$D429*$E429)</f>
        <v/>
      </c>
      <c r="H429" s="122">
        <f>IF($B429="","",CONCATENATE("Hareket: ",$C429,"/",$D429," adet ",$B429))</f>
        <v/>
      </c>
    </row>
    <row r="430" ht="15" customHeight="1" s="77">
      <c r="A430" s="123" t="n"/>
      <c r="B430" s="124" t="n"/>
      <c r="C430" s="124" t="n"/>
      <c r="D430" s="125" t="n"/>
      <c r="E430" s="126" t="n"/>
      <c r="F430" s="124" t="n"/>
      <c r="G430" s="121">
        <f>IF($D430=0,0,$D430*$E430)</f>
        <v/>
      </c>
      <c r="H430" s="122">
        <f>IF($B430="","",CONCATENATE("Hareket: ",$C430,"/",$D430," adet ",$B430))</f>
        <v/>
      </c>
    </row>
    <row r="431" ht="15" customHeight="1" s="77">
      <c r="A431" s="123" t="n"/>
      <c r="B431" s="124" t="n"/>
      <c r="C431" s="124" t="n"/>
      <c r="D431" s="125" t="n"/>
      <c r="E431" s="126" t="n"/>
      <c r="F431" s="124" t="n"/>
      <c r="G431" s="121">
        <f>IF($D431=0,0,$D431*$E431)</f>
        <v/>
      </c>
      <c r="H431" s="122">
        <f>IF($B431="","",CONCATENATE("Hareket: ",$C431,"/",$D431," adet ",$B431))</f>
        <v/>
      </c>
    </row>
    <row r="432" ht="15" customHeight="1" s="77">
      <c r="A432" s="123" t="n"/>
      <c r="B432" s="124" t="n"/>
      <c r="C432" s="124" t="n"/>
      <c r="D432" s="125" t="n"/>
      <c r="E432" s="126" t="n"/>
      <c r="F432" s="124" t="n"/>
      <c r="G432" s="121">
        <f>IF($D432=0,0,$D432*$E432)</f>
        <v/>
      </c>
      <c r="H432" s="122">
        <f>IF($B432="","",CONCATENATE("Hareket: ",$C432,"/",$D432," adet ",$B432))</f>
        <v/>
      </c>
    </row>
    <row r="433" ht="15" customHeight="1" s="77">
      <c r="A433" s="123" t="n"/>
      <c r="B433" s="124" t="n"/>
      <c r="C433" s="124" t="n"/>
      <c r="D433" s="125" t="n"/>
      <c r="E433" s="126" t="n"/>
      <c r="F433" s="124" t="n"/>
      <c r="G433" s="121">
        <f>IF($D433=0,0,$D433*$E433)</f>
        <v/>
      </c>
      <c r="H433" s="122">
        <f>IF($B433="","",CONCATENATE("Hareket: ",$C433,"/",$D433," adet ",$B433))</f>
        <v/>
      </c>
    </row>
    <row r="434" ht="15" customHeight="1" s="77">
      <c r="A434" s="123" t="n"/>
      <c r="B434" s="124" t="n"/>
      <c r="C434" s="124" t="n"/>
      <c r="D434" s="125" t="n"/>
      <c r="E434" s="126" t="n"/>
      <c r="F434" s="124" t="n"/>
      <c r="G434" s="121">
        <f>IF($D434=0,0,$D434*$E434)</f>
        <v/>
      </c>
      <c r="H434" s="122">
        <f>IF($B434="","",CONCATENATE("Hareket: ",$C434,"/",$D434," adet ",$B434))</f>
        <v/>
      </c>
    </row>
    <row r="435" ht="15" customHeight="1" s="77">
      <c r="A435" s="123" t="n"/>
      <c r="B435" s="124" t="n"/>
      <c r="C435" s="124" t="n"/>
      <c r="D435" s="125" t="n"/>
      <c r="E435" s="126" t="n"/>
      <c r="F435" s="124" t="n"/>
      <c r="G435" s="121">
        <f>IF($D435=0,0,$D435*$E435)</f>
        <v/>
      </c>
      <c r="H435" s="122">
        <f>IF($B435="","",CONCATENATE("Hareket: ",$C435,"/",$D435," adet ",$B435))</f>
        <v/>
      </c>
    </row>
    <row r="436" ht="15" customHeight="1" s="77">
      <c r="A436" s="123" t="n"/>
      <c r="B436" s="124" t="n"/>
      <c r="C436" s="124" t="n"/>
      <c r="D436" s="125" t="n"/>
      <c r="E436" s="126" t="n"/>
      <c r="F436" s="124" t="n"/>
      <c r="G436" s="121">
        <f>IF($D436=0,0,$D436*$E436)</f>
        <v/>
      </c>
      <c r="H436" s="122">
        <f>IF($B436="","",CONCATENATE("Hareket: ",$C436,"/",$D436," adet ",$B436))</f>
        <v/>
      </c>
    </row>
    <row r="437" ht="15" customHeight="1" s="77">
      <c r="A437" s="123" t="n"/>
      <c r="B437" s="124" t="n"/>
      <c r="C437" s="124" t="n"/>
      <c r="D437" s="125" t="n"/>
      <c r="E437" s="126" t="n"/>
      <c r="F437" s="124" t="n"/>
      <c r="G437" s="121">
        <f>IF($D437=0,0,$D437*$E437)</f>
        <v/>
      </c>
      <c r="H437" s="122">
        <f>IF($B437="","",CONCATENATE("Hareket: ",$C437,"/",$D437," adet ",$B437))</f>
        <v/>
      </c>
    </row>
    <row r="438" ht="15" customHeight="1" s="77">
      <c r="A438" s="123" t="n"/>
      <c r="B438" s="124" t="n"/>
      <c r="C438" s="124" t="n"/>
      <c r="D438" s="125" t="n"/>
      <c r="E438" s="126" t="n"/>
      <c r="F438" s="124" t="n"/>
      <c r="G438" s="121">
        <f>IF($D438=0,0,$D438*$E438)</f>
        <v/>
      </c>
      <c r="H438" s="122">
        <f>IF($B438="","",CONCATENATE("Hareket: ",$C438,"/",$D438," adet ",$B438))</f>
        <v/>
      </c>
    </row>
    <row r="439" ht="15" customHeight="1" s="77">
      <c r="A439" s="123" t="n"/>
      <c r="B439" s="124" t="n"/>
      <c r="C439" s="124" t="n"/>
      <c r="D439" s="125" t="n"/>
      <c r="E439" s="126" t="n"/>
      <c r="F439" s="124" t="n"/>
      <c r="G439" s="121">
        <f>IF($D439=0,0,$D439*$E439)</f>
        <v/>
      </c>
      <c r="H439" s="122">
        <f>IF($B439="","",CONCATENATE("Hareket: ",$C439,"/",$D439," adet ",$B439))</f>
        <v/>
      </c>
    </row>
    <row r="440" ht="15" customHeight="1" s="77">
      <c r="A440" s="123" t="n"/>
      <c r="B440" s="124" t="n"/>
      <c r="C440" s="124" t="n"/>
      <c r="D440" s="125" t="n"/>
      <c r="E440" s="126" t="n"/>
      <c r="F440" s="124" t="n"/>
      <c r="G440" s="121">
        <f>IF($D440=0,0,$D440*$E440)</f>
        <v/>
      </c>
      <c r="H440" s="122">
        <f>IF($B440="","",CONCATENATE("Hareket: ",$C440,"/",$D440," adet ",$B440))</f>
        <v/>
      </c>
    </row>
    <row r="441" ht="15" customHeight="1" s="77">
      <c r="A441" s="123" t="n"/>
      <c r="B441" s="124" t="n"/>
      <c r="C441" s="124" t="n"/>
      <c r="D441" s="125" t="n"/>
      <c r="E441" s="126" t="n"/>
      <c r="F441" s="124" t="n"/>
      <c r="G441" s="121">
        <f>IF($D441=0,0,$D441*$E441)</f>
        <v/>
      </c>
      <c r="H441" s="122">
        <f>IF($B441="","",CONCATENATE("Hareket: ",$C441,"/",$D441," adet ",$B441))</f>
        <v/>
      </c>
    </row>
    <row r="442" ht="15" customHeight="1" s="77">
      <c r="A442" s="123" t="n"/>
      <c r="B442" s="124" t="n"/>
      <c r="C442" s="124" t="n"/>
      <c r="D442" s="125" t="n"/>
      <c r="E442" s="126" t="n"/>
      <c r="F442" s="124" t="n"/>
      <c r="G442" s="121">
        <f>IF($D442=0,0,$D442*$E442)</f>
        <v/>
      </c>
      <c r="H442" s="122">
        <f>IF($B442="","",CONCATENATE("Hareket: ",$C442,"/",$D442," adet ",$B442))</f>
        <v/>
      </c>
    </row>
    <row r="443" ht="15" customHeight="1" s="77">
      <c r="A443" s="123" t="n"/>
      <c r="B443" s="124" t="n"/>
      <c r="C443" s="124" t="n"/>
      <c r="D443" s="125" t="n"/>
      <c r="E443" s="126" t="n"/>
      <c r="F443" s="124" t="n"/>
      <c r="G443" s="121">
        <f>IF($D443=0,0,$D443*$E443)</f>
        <v/>
      </c>
      <c r="H443" s="122">
        <f>IF($B443="","",CONCATENATE("Hareket: ",$C443,"/",$D443," adet ",$B443))</f>
        <v/>
      </c>
    </row>
    <row r="444" ht="15" customHeight="1" s="77">
      <c r="A444" s="123" t="n"/>
      <c r="B444" s="124" t="n"/>
      <c r="C444" s="124" t="n"/>
      <c r="D444" s="125" t="n"/>
      <c r="E444" s="126" t="n"/>
      <c r="F444" s="124" t="n"/>
      <c r="G444" s="121">
        <f>IF($D444=0,0,$D444*$E444)</f>
        <v/>
      </c>
      <c r="H444" s="122">
        <f>IF($B444="","",CONCATENATE("Hareket: ",$C444,"/",$D444," adet ",$B444))</f>
        <v/>
      </c>
    </row>
    <row r="445" ht="15" customHeight="1" s="77">
      <c r="A445" s="123" t="n"/>
      <c r="B445" s="124" t="n"/>
      <c r="C445" s="124" t="n"/>
      <c r="D445" s="125" t="n"/>
      <c r="E445" s="126" t="n"/>
      <c r="F445" s="124" t="n"/>
      <c r="G445" s="121">
        <f>IF($D445=0,0,$D445*$E445)</f>
        <v/>
      </c>
      <c r="H445" s="122">
        <f>IF($B445="","",CONCATENATE("Hareket: ",$C445,"/",$D445," adet ",$B445))</f>
        <v/>
      </c>
    </row>
    <row r="446" ht="15" customHeight="1" s="77">
      <c r="A446" s="123" t="n"/>
      <c r="B446" s="124" t="n"/>
      <c r="C446" s="124" t="n"/>
      <c r="D446" s="125" t="n"/>
      <c r="E446" s="126" t="n"/>
      <c r="F446" s="124" t="n"/>
      <c r="G446" s="121">
        <f>IF($D446=0,0,$D446*$E446)</f>
        <v/>
      </c>
      <c r="H446" s="122">
        <f>IF($B446="","",CONCATENATE("Hareket: ",$C446,"/",$D446," adet ",$B446))</f>
        <v/>
      </c>
    </row>
    <row r="447" ht="15" customHeight="1" s="77">
      <c r="A447" s="123" t="n"/>
      <c r="B447" s="124" t="n"/>
      <c r="C447" s="124" t="n"/>
      <c r="D447" s="125" t="n"/>
      <c r="E447" s="126" t="n"/>
      <c r="F447" s="124" t="n"/>
      <c r="G447" s="121">
        <f>IF($D447=0,0,$D447*$E447)</f>
        <v/>
      </c>
      <c r="H447" s="122">
        <f>IF($B447="","",CONCATENATE("Hareket: ",$C447,"/",$D447," adet ",$B447))</f>
        <v/>
      </c>
    </row>
    <row r="448" ht="15" customHeight="1" s="77">
      <c r="A448" s="123" t="n"/>
      <c r="B448" s="124" t="n"/>
      <c r="C448" s="124" t="n"/>
      <c r="D448" s="125" t="n"/>
      <c r="E448" s="126" t="n"/>
      <c r="F448" s="124" t="n"/>
      <c r="G448" s="121">
        <f>IF($D448=0,0,$D448*$E448)</f>
        <v/>
      </c>
      <c r="H448" s="122">
        <f>IF($B448="","",CONCATENATE("Hareket: ",$C448,"/",$D448," adet ",$B448))</f>
        <v/>
      </c>
    </row>
    <row r="449" ht="15" customHeight="1" s="77">
      <c r="A449" s="123" t="n"/>
      <c r="B449" s="124" t="n"/>
      <c r="C449" s="124" t="n"/>
      <c r="D449" s="125" t="n"/>
      <c r="E449" s="126" t="n"/>
      <c r="F449" s="124" t="n"/>
      <c r="G449" s="121">
        <f>IF($D449=0,0,$D449*$E449)</f>
        <v/>
      </c>
      <c r="H449" s="122">
        <f>IF($B449="","",CONCATENATE("Hareket: ",$C449,"/",$D449," adet ",$B449))</f>
        <v/>
      </c>
    </row>
    <row r="450" ht="15" customHeight="1" s="77">
      <c r="A450" s="123" t="n"/>
      <c r="B450" s="124" t="n"/>
      <c r="C450" s="124" t="n"/>
      <c r="D450" s="125" t="n"/>
      <c r="E450" s="126" t="n"/>
      <c r="F450" s="124" t="n"/>
      <c r="G450" s="121">
        <f>IF($D450=0,0,$D450*$E450)</f>
        <v/>
      </c>
      <c r="H450" s="122">
        <f>IF($B450="","",CONCATENATE("Hareket: ",$C450,"/",$D450," adet ",$B450))</f>
        <v/>
      </c>
    </row>
    <row r="451" ht="15" customHeight="1" s="77">
      <c r="A451" s="123" t="n"/>
      <c r="B451" s="124" t="n"/>
      <c r="C451" s="124" t="n"/>
      <c r="D451" s="125" t="n"/>
      <c r="E451" s="126" t="n"/>
      <c r="F451" s="124" t="n"/>
      <c r="G451" s="121">
        <f>IF($D451=0,0,$D451*$E451)</f>
        <v/>
      </c>
      <c r="H451" s="122">
        <f>IF($B451="","",CONCATENATE("Hareket: ",$C451,"/",$D451," adet ",$B451))</f>
        <v/>
      </c>
    </row>
    <row r="452" ht="15" customHeight="1" s="77">
      <c r="A452" s="123" t="n"/>
      <c r="B452" s="124" t="n"/>
      <c r="C452" s="124" t="n"/>
      <c r="D452" s="125" t="n"/>
      <c r="E452" s="126" t="n"/>
      <c r="F452" s="124" t="n"/>
      <c r="G452" s="121">
        <f>IF($D452=0,0,$D452*$E452)</f>
        <v/>
      </c>
      <c r="H452" s="122">
        <f>IF($B452="","",CONCATENATE("Hareket: ",$C452,"/",$D452," adet ",$B452))</f>
        <v/>
      </c>
    </row>
    <row r="453" ht="15" customHeight="1" s="77">
      <c r="A453" s="123" t="n"/>
      <c r="B453" s="124" t="n"/>
      <c r="C453" s="124" t="n"/>
      <c r="D453" s="125" t="n"/>
      <c r="E453" s="126" t="n"/>
      <c r="F453" s="124" t="n"/>
      <c r="G453" s="121">
        <f>IF($D453=0,0,$D453*$E453)</f>
        <v/>
      </c>
      <c r="H453" s="122">
        <f>IF($B453="","",CONCATENATE("Hareket: ",$C453,"/",$D453," adet ",$B453))</f>
        <v/>
      </c>
    </row>
    <row r="454" ht="15" customHeight="1" s="77">
      <c r="A454" s="123" t="n"/>
      <c r="B454" s="124" t="n"/>
      <c r="C454" s="124" t="n"/>
      <c r="D454" s="125" t="n"/>
      <c r="E454" s="126" t="n"/>
      <c r="F454" s="124" t="n"/>
      <c r="G454" s="121">
        <f>IF($D454=0,0,$D454*$E454)</f>
        <v/>
      </c>
      <c r="H454" s="122">
        <f>IF($B454="","",CONCATENATE("Hareket: ",$C454,"/",$D454," adet ",$B454))</f>
        <v/>
      </c>
    </row>
    <row r="455" ht="15" customHeight="1" s="77">
      <c r="A455" s="123" t="n"/>
      <c r="B455" s="124" t="n"/>
      <c r="C455" s="124" t="n"/>
      <c r="D455" s="125" t="n"/>
      <c r="E455" s="126" t="n"/>
      <c r="F455" s="124" t="n"/>
      <c r="G455" s="121">
        <f>IF($D455=0,0,$D455*$E455)</f>
        <v/>
      </c>
      <c r="H455" s="122">
        <f>IF($B455="","",CONCATENATE("Hareket: ",$C455,"/",$D455," adet ",$B455))</f>
        <v/>
      </c>
    </row>
    <row r="456" ht="15" customHeight="1" s="77">
      <c r="A456" s="123" t="n"/>
      <c r="B456" s="124" t="n"/>
      <c r="C456" s="124" t="n"/>
      <c r="D456" s="125" t="n"/>
      <c r="E456" s="126" t="n"/>
      <c r="F456" s="124" t="n"/>
      <c r="G456" s="121">
        <f>IF($D456=0,0,$D456*$E456)</f>
        <v/>
      </c>
      <c r="H456" s="122">
        <f>IF($B456="","",CONCATENATE("Hareket: ",$C456,"/",$D456," adet ",$B456))</f>
        <v/>
      </c>
    </row>
    <row r="457" ht="15" customHeight="1" s="77">
      <c r="A457" s="123" t="n"/>
      <c r="B457" s="124" t="n"/>
      <c r="C457" s="124" t="n"/>
      <c r="D457" s="125" t="n"/>
      <c r="E457" s="126" t="n"/>
      <c r="F457" s="124" t="n"/>
      <c r="G457" s="121">
        <f>IF($D457=0,0,$D457*$E457)</f>
        <v/>
      </c>
      <c r="H457" s="122">
        <f>IF($B457="","",CONCATENATE("Hareket: ",$C457,"/",$D457," adet ",$B457))</f>
        <v/>
      </c>
    </row>
    <row r="458" ht="15" customHeight="1" s="77">
      <c r="A458" s="123" t="n"/>
      <c r="B458" s="124" t="n"/>
      <c r="C458" s="124" t="n"/>
      <c r="D458" s="125" t="n"/>
      <c r="E458" s="126" t="n"/>
      <c r="F458" s="124" t="n"/>
      <c r="G458" s="121">
        <f>IF($D458=0,0,$D458*$E458)</f>
        <v/>
      </c>
      <c r="H458" s="122">
        <f>IF($B458="","",CONCATENATE("Hareket: ",$C458,"/",$D458," adet ",$B458))</f>
        <v/>
      </c>
    </row>
    <row r="459" ht="15" customHeight="1" s="77">
      <c r="A459" s="123" t="n"/>
      <c r="B459" s="124" t="n"/>
      <c r="C459" s="124" t="n"/>
      <c r="D459" s="125" t="n"/>
      <c r="E459" s="126" t="n"/>
      <c r="F459" s="124" t="n"/>
      <c r="G459" s="121">
        <f>IF($D459=0,0,$D459*$E459)</f>
        <v/>
      </c>
      <c r="H459" s="122">
        <f>IF($B459="","",CONCATENATE("Hareket: ",$C459,"/",$D459," adet ",$B459))</f>
        <v/>
      </c>
    </row>
    <row r="460" ht="15" customHeight="1" s="77">
      <c r="A460" s="123" t="n"/>
      <c r="B460" s="124" t="n"/>
      <c r="C460" s="124" t="n"/>
      <c r="D460" s="125" t="n"/>
      <c r="E460" s="126" t="n"/>
      <c r="F460" s="124" t="n"/>
      <c r="G460" s="121">
        <f>IF($D460=0,0,$D460*$E460)</f>
        <v/>
      </c>
      <c r="H460" s="122">
        <f>IF($B460="","",CONCATENATE("Hareket: ",$C460,"/",$D460," adet ",$B460))</f>
        <v/>
      </c>
    </row>
    <row r="461" ht="15" customHeight="1" s="77">
      <c r="A461" s="123" t="n"/>
      <c r="B461" s="124" t="n"/>
      <c r="C461" s="124" t="n"/>
      <c r="D461" s="125" t="n"/>
      <c r="E461" s="126" t="n"/>
      <c r="F461" s="124" t="n"/>
      <c r="G461" s="121">
        <f>IF($D461=0,0,$D461*$E461)</f>
        <v/>
      </c>
      <c r="H461" s="122">
        <f>IF($B461="","",CONCATENATE("Hareket: ",$C461,"/",$D461," adet ",$B461))</f>
        <v/>
      </c>
    </row>
    <row r="462" ht="15" customHeight="1" s="77">
      <c r="A462" s="123" t="n"/>
      <c r="B462" s="124" t="n"/>
      <c r="C462" s="124" t="n"/>
      <c r="D462" s="125" t="n"/>
      <c r="E462" s="126" t="n"/>
      <c r="F462" s="124" t="n"/>
      <c r="G462" s="121">
        <f>IF($D462=0,0,$D462*$E462)</f>
        <v/>
      </c>
      <c r="H462" s="122">
        <f>IF($B462="","",CONCATENATE("Hareket: ",$C462,"/",$D462," adet ",$B462))</f>
        <v/>
      </c>
    </row>
    <row r="463" ht="15" customHeight="1" s="77">
      <c r="A463" s="123" t="n"/>
      <c r="B463" s="124" t="n"/>
      <c r="C463" s="124" t="n"/>
      <c r="D463" s="125" t="n"/>
      <c r="E463" s="126" t="n"/>
      <c r="F463" s="124" t="n"/>
      <c r="G463" s="121">
        <f>IF($D463=0,0,$D463*$E463)</f>
        <v/>
      </c>
      <c r="H463" s="122">
        <f>IF($B463="","",CONCATENATE("Hareket: ",$C463,"/",$D463," adet ",$B463))</f>
        <v/>
      </c>
    </row>
    <row r="464" ht="15" customHeight="1" s="77">
      <c r="A464" s="123" t="n"/>
      <c r="B464" s="124" t="n"/>
      <c r="C464" s="124" t="n"/>
      <c r="D464" s="125" t="n"/>
      <c r="E464" s="126" t="n"/>
      <c r="F464" s="124" t="n"/>
      <c r="G464" s="121">
        <f>IF($D464=0,0,$D464*$E464)</f>
        <v/>
      </c>
      <c r="H464" s="122">
        <f>IF($B464="","",CONCATENATE("Hareket: ",$C464,"/",$D464," adet ",$B464))</f>
        <v/>
      </c>
    </row>
    <row r="465" ht="15" customHeight="1" s="77">
      <c r="A465" s="123" t="n"/>
      <c r="B465" s="124" t="n"/>
      <c r="C465" s="124" t="n"/>
      <c r="D465" s="125" t="n"/>
      <c r="E465" s="126" t="n"/>
      <c r="F465" s="124" t="n"/>
      <c r="G465" s="121">
        <f>IF($D465=0,0,$D465*$E465)</f>
        <v/>
      </c>
      <c r="H465" s="122">
        <f>IF($B465="","",CONCATENATE("Hareket: ",$C465,"/",$D465," adet ",$B465))</f>
        <v/>
      </c>
    </row>
    <row r="466" ht="15" customHeight="1" s="77">
      <c r="A466" s="123" t="n"/>
      <c r="B466" s="124" t="n"/>
      <c r="C466" s="124" t="n"/>
      <c r="D466" s="125" t="n"/>
      <c r="E466" s="126" t="n"/>
      <c r="F466" s="124" t="n"/>
      <c r="G466" s="121">
        <f>IF($D466=0,0,$D466*$E466)</f>
        <v/>
      </c>
      <c r="H466" s="122">
        <f>IF($B466="","",CONCATENATE("Hareket: ",$C466,"/",$D466," adet ",$B466))</f>
        <v/>
      </c>
    </row>
    <row r="467" ht="15" customHeight="1" s="77">
      <c r="A467" s="123" t="n"/>
      <c r="B467" s="124" t="n"/>
      <c r="C467" s="124" t="n"/>
      <c r="D467" s="125" t="n"/>
      <c r="E467" s="126" t="n"/>
      <c r="F467" s="124" t="n"/>
      <c r="G467" s="121">
        <f>IF($D467=0,0,$D467*$E467)</f>
        <v/>
      </c>
      <c r="H467" s="122">
        <f>IF($B467="","",CONCATENATE("Hareket: ",$C467,"/",$D467," adet ",$B467))</f>
        <v/>
      </c>
    </row>
    <row r="468" ht="15" customHeight="1" s="77">
      <c r="A468" s="123" t="n"/>
      <c r="B468" s="124" t="n"/>
      <c r="C468" s="124" t="n"/>
      <c r="D468" s="125" t="n"/>
      <c r="E468" s="126" t="n"/>
      <c r="F468" s="124" t="n"/>
      <c r="G468" s="121">
        <f>IF($D468=0,0,$D468*$E468)</f>
        <v/>
      </c>
      <c r="H468" s="122">
        <f>IF($B468="","",CONCATENATE("Hareket: ",$C468,"/",$D468," adet ",$B468))</f>
        <v/>
      </c>
    </row>
    <row r="469" ht="15" customHeight="1" s="77">
      <c r="A469" s="123" t="n"/>
      <c r="B469" s="124" t="n"/>
      <c r="C469" s="124" t="n"/>
      <c r="D469" s="125" t="n"/>
      <c r="E469" s="126" t="n"/>
      <c r="F469" s="124" t="n"/>
      <c r="G469" s="121">
        <f>IF($D469=0,0,$D469*$E469)</f>
        <v/>
      </c>
      <c r="H469" s="122">
        <f>IF($B469="","",CONCATENATE("Hareket: ",$C469,"/",$D469," adet ",$B469))</f>
        <v/>
      </c>
    </row>
    <row r="470" ht="15" customHeight="1" s="77">
      <c r="A470" s="123" t="n"/>
      <c r="B470" s="124" t="n"/>
      <c r="C470" s="124" t="n"/>
      <c r="D470" s="125" t="n"/>
      <c r="E470" s="126" t="n"/>
      <c r="F470" s="124" t="n"/>
      <c r="G470" s="121">
        <f>IF($D470=0,0,$D470*$E470)</f>
        <v/>
      </c>
      <c r="H470" s="122">
        <f>IF($B470="","",CONCATENATE("Hareket: ",$C470,"/",$D470," adet ",$B470))</f>
        <v/>
      </c>
    </row>
    <row r="471" ht="15" customHeight="1" s="77">
      <c r="A471" s="123" t="n"/>
      <c r="B471" s="124" t="n"/>
      <c r="C471" s="124" t="n"/>
      <c r="D471" s="125" t="n"/>
      <c r="E471" s="126" t="n"/>
      <c r="F471" s="124" t="n"/>
      <c r="G471" s="121">
        <f>IF($D471=0,0,$D471*$E471)</f>
        <v/>
      </c>
      <c r="H471" s="122">
        <f>IF($B471="","",CONCATENATE("Hareket: ",$C471,"/",$D471," adet ",$B471))</f>
        <v/>
      </c>
    </row>
    <row r="472" ht="15" customHeight="1" s="77">
      <c r="A472" s="123" t="n"/>
      <c r="B472" s="124" t="n"/>
      <c r="C472" s="124" t="n"/>
      <c r="D472" s="125" t="n"/>
      <c r="E472" s="126" t="n"/>
      <c r="F472" s="124" t="n"/>
      <c r="G472" s="121">
        <f>IF($D472=0,0,$D472*$E472)</f>
        <v/>
      </c>
      <c r="H472" s="122">
        <f>IF($B472="","",CONCATENATE("Hareket: ",$C472,"/",$D472," adet ",$B472))</f>
        <v/>
      </c>
    </row>
    <row r="473" ht="15" customHeight="1" s="77">
      <c r="A473" s="123" t="n"/>
      <c r="B473" s="124" t="n"/>
      <c r="C473" s="124" t="n"/>
      <c r="D473" s="125" t="n"/>
      <c r="E473" s="126" t="n"/>
      <c r="F473" s="124" t="n"/>
      <c r="G473" s="121">
        <f>IF($D473=0,0,$D473*$E473)</f>
        <v/>
      </c>
      <c r="H473" s="122">
        <f>IF($B473="","",CONCATENATE("Hareket: ",$C473,"/",$D473," adet ",$B473))</f>
        <v/>
      </c>
    </row>
    <row r="474" ht="15" customHeight="1" s="77">
      <c r="A474" s="123" t="n"/>
      <c r="B474" s="124" t="n"/>
      <c r="C474" s="124" t="n"/>
      <c r="D474" s="125" t="n"/>
      <c r="E474" s="126" t="n"/>
      <c r="F474" s="124" t="n"/>
      <c r="G474" s="121">
        <f>IF($D474=0,0,$D474*$E474)</f>
        <v/>
      </c>
      <c r="H474" s="122">
        <f>IF($B474="","",CONCATENATE("Hareket: ",$C474,"/",$D474," adet ",$B474))</f>
        <v/>
      </c>
    </row>
    <row r="475" ht="15" customHeight="1" s="77">
      <c r="A475" s="123" t="n"/>
      <c r="B475" s="124" t="n"/>
      <c r="C475" s="124" t="n"/>
      <c r="D475" s="125" t="n"/>
      <c r="E475" s="126" t="n"/>
      <c r="F475" s="124" t="n"/>
      <c r="G475" s="121">
        <f>IF($D475=0,0,$D475*$E475)</f>
        <v/>
      </c>
      <c r="H475" s="122">
        <f>IF($B475="","",CONCATENATE("Hareket: ",$C475,"/",$D475," adet ",$B475))</f>
        <v/>
      </c>
    </row>
    <row r="476" ht="15" customHeight="1" s="77">
      <c r="A476" s="123" t="n"/>
      <c r="B476" s="124" t="n"/>
      <c r="C476" s="124" t="n"/>
      <c r="D476" s="125" t="n"/>
      <c r="E476" s="126" t="n"/>
      <c r="F476" s="124" t="n"/>
      <c r="G476" s="121">
        <f>IF($D476=0,0,$D476*$E476)</f>
        <v/>
      </c>
      <c r="H476" s="122">
        <f>IF($B476="","",CONCATENATE("Hareket: ",$C476,"/",$D476," adet ",$B476))</f>
        <v/>
      </c>
    </row>
    <row r="477" ht="15" customHeight="1" s="77">
      <c r="A477" s="123" t="n"/>
      <c r="B477" s="124" t="n"/>
      <c r="C477" s="124" t="n"/>
      <c r="D477" s="125" t="n"/>
      <c r="E477" s="126" t="n"/>
      <c r="F477" s="124" t="n"/>
      <c r="G477" s="121">
        <f>IF($D477=0,0,$D477*$E477)</f>
        <v/>
      </c>
      <c r="H477" s="122">
        <f>IF($B477="","",CONCATENATE("Hareket: ",$C477,"/",$D477," adet ",$B477))</f>
        <v/>
      </c>
    </row>
    <row r="478" ht="15" customHeight="1" s="77">
      <c r="A478" s="123" t="n"/>
      <c r="B478" s="124" t="n"/>
      <c r="C478" s="124" t="n"/>
      <c r="D478" s="125" t="n"/>
      <c r="E478" s="126" t="n"/>
      <c r="F478" s="124" t="n"/>
      <c r="G478" s="121">
        <f>IF($D478=0,0,$D478*$E478)</f>
        <v/>
      </c>
      <c r="H478" s="122">
        <f>IF($B478="","",CONCATENATE("Hareket: ",$C478,"/",$D478," adet ",$B478))</f>
        <v/>
      </c>
    </row>
    <row r="479" ht="15" customHeight="1" s="77">
      <c r="A479" s="123" t="n"/>
      <c r="B479" s="124" t="n"/>
      <c r="C479" s="124" t="n"/>
      <c r="D479" s="125" t="n"/>
      <c r="E479" s="126" t="n"/>
      <c r="F479" s="124" t="n"/>
      <c r="G479" s="121">
        <f>IF($D479=0,0,$D479*$E479)</f>
        <v/>
      </c>
      <c r="H479" s="122">
        <f>IF($B479="","",CONCATENATE("Hareket: ",$C479,"/",$D479," adet ",$B479))</f>
        <v/>
      </c>
    </row>
    <row r="480" ht="15" customHeight="1" s="77">
      <c r="A480" s="123" t="n"/>
      <c r="B480" s="124" t="n"/>
      <c r="C480" s="124" t="n"/>
      <c r="D480" s="125" t="n"/>
      <c r="E480" s="126" t="n"/>
      <c r="F480" s="124" t="n"/>
      <c r="G480" s="121">
        <f>IF($D480=0,0,$D480*$E480)</f>
        <v/>
      </c>
      <c r="H480" s="122">
        <f>IF($B480="","",CONCATENATE("Hareket: ",$C480,"/",$D480," adet ",$B480))</f>
        <v/>
      </c>
    </row>
    <row r="481" ht="15" customHeight="1" s="77">
      <c r="A481" s="123" t="n"/>
      <c r="B481" s="124" t="n"/>
      <c r="C481" s="124" t="n"/>
      <c r="D481" s="125" t="n"/>
      <c r="E481" s="126" t="n"/>
      <c r="F481" s="124" t="n"/>
      <c r="G481" s="121">
        <f>IF($D481=0,0,$D481*$E481)</f>
        <v/>
      </c>
      <c r="H481" s="122">
        <f>IF($B481="","",CONCATENATE("Hareket: ",$C481,"/",$D481," adet ",$B481))</f>
        <v/>
      </c>
    </row>
    <row r="482" ht="15" customHeight="1" s="77">
      <c r="A482" s="123" t="n"/>
      <c r="B482" s="124" t="n"/>
      <c r="C482" s="124" t="n"/>
      <c r="D482" s="125" t="n"/>
      <c r="E482" s="126" t="n"/>
      <c r="F482" s="124" t="n"/>
      <c r="G482" s="121">
        <f>IF($D482=0,0,$D482*$E482)</f>
        <v/>
      </c>
      <c r="H482" s="122">
        <f>IF($B482="","",CONCATENATE("Hareket: ",$C482,"/",$D482," adet ",$B482))</f>
        <v/>
      </c>
    </row>
    <row r="483" ht="15" customHeight="1" s="77">
      <c r="A483" s="123" t="n"/>
      <c r="B483" s="124" t="n"/>
      <c r="C483" s="124" t="n"/>
      <c r="D483" s="125" t="n"/>
      <c r="E483" s="126" t="n"/>
      <c r="F483" s="124" t="n"/>
      <c r="G483" s="121">
        <f>IF($D483=0,0,$D483*$E483)</f>
        <v/>
      </c>
      <c r="H483" s="122">
        <f>IF($B483="","",CONCATENATE("Hareket: ",$C483,"/",$D483," adet ",$B483))</f>
        <v/>
      </c>
    </row>
    <row r="484" ht="15" customHeight="1" s="77">
      <c r="A484" s="123" t="n"/>
      <c r="B484" s="124" t="n"/>
      <c r="C484" s="124" t="n"/>
      <c r="D484" s="125" t="n"/>
      <c r="E484" s="126" t="n"/>
      <c r="F484" s="124" t="n"/>
      <c r="G484" s="121">
        <f>IF($D484=0,0,$D484*$E484)</f>
        <v/>
      </c>
      <c r="H484" s="122">
        <f>IF($B484="","",CONCATENATE("Hareket: ",$C484,"/",$D484," adet ",$B484))</f>
        <v/>
      </c>
    </row>
    <row r="485" ht="15" customHeight="1" s="77">
      <c r="A485" s="123" t="n"/>
      <c r="B485" s="124" t="n"/>
      <c r="C485" s="124" t="n"/>
      <c r="D485" s="125" t="n"/>
      <c r="E485" s="126" t="n"/>
      <c r="F485" s="124" t="n"/>
      <c r="G485" s="121">
        <f>IF($D485=0,0,$D485*$E485)</f>
        <v/>
      </c>
      <c r="H485" s="122">
        <f>IF($B485="","",CONCATENATE("Hareket: ",$C485,"/",$D485," adet ",$B485))</f>
        <v/>
      </c>
    </row>
    <row r="486" ht="15" customHeight="1" s="77">
      <c r="A486" s="123" t="n"/>
      <c r="B486" s="124" t="n"/>
      <c r="C486" s="124" t="n"/>
      <c r="D486" s="125" t="n"/>
      <c r="E486" s="126" t="n"/>
      <c r="F486" s="124" t="n"/>
      <c r="G486" s="121">
        <f>IF($D486=0,0,$D486*$E486)</f>
        <v/>
      </c>
      <c r="H486" s="122">
        <f>IF($B486="","",CONCATENATE("Hareket: ",$C486,"/",$D486," adet ",$B486))</f>
        <v/>
      </c>
    </row>
    <row r="487" ht="15" customHeight="1" s="77">
      <c r="A487" s="123" t="n"/>
      <c r="B487" s="124" t="n"/>
      <c r="C487" s="124" t="n"/>
      <c r="D487" s="125" t="n"/>
      <c r="E487" s="126" t="n"/>
      <c r="F487" s="124" t="n"/>
      <c r="G487" s="121">
        <f>IF($D487=0,0,$D487*$E487)</f>
        <v/>
      </c>
      <c r="H487" s="122">
        <f>IF($B487="","",CONCATENATE("Hareket: ",$C487,"/",$D487," adet ",$B487))</f>
        <v/>
      </c>
    </row>
    <row r="488" ht="15" customHeight="1" s="77">
      <c r="A488" s="123" t="n"/>
      <c r="B488" s="124" t="n"/>
      <c r="C488" s="124" t="n"/>
      <c r="D488" s="125" t="n"/>
      <c r="E488" s="126" t="n"/>
      <c r="F488" s="124" t="n"/>
      <c r="G488" s="121">
        <f>IF($D488=0,0,$D488*$E488)</f>
        <v/>
      </c>
      <c r="H488" s="122">
        <f>IF($B488="","",CONCATENATE("Hareket: ",$C488,"/",$D488," adet ",$B488))</f>
        <v/>
      </c>
    </row>
    <row r="489" ht="15" customHeight="1" s="77">
      <c r="A489" s="123" t="n"/>
      <c r="B489" s="124" t="n"/>
      <c r="C489" s="124" t="n"/>
      <c r="D489" s="125" t="n"/>
      <c r="E489" s="126" t="n"/>
      <c r="F489" s="124" t="n"/>
      <c r="G489" s="121">
        <f>IF($D489=0,0,$D489*$E489)</f>
        <v/>
      </c>
      <c r="H489" s="122">
        <f>IF($B489="","",CONCATENATE("Hareket: ",$C489,"/",$D489," adet ",$B489))</f>
        <v/>
      </c>
    </row>
    <row r="490" ht="15" customHeight="1" s="77">
      <c r="A490" s="123" t="n"/>
      <c r="B490" s="124" t="n"/>
      <c r="C490" s="124" t="n"/>
      <c r="D490" s="125" t="n"/>
      <c r="E490" s="126" t="n"/>
      <c r="F490" s="124" t="n"/>
      <c r="G490" s="121">
        <f>IF($D490=0,0,$D490*$E490)</f>
        <v/>
      </c>
      <c r="H490" s="122">
        <f>IF($B490="","",CONCATENATE("Hareket: ",$C490,"/",$D490," adet ",$B490))</f>
        <v/>
      </c>
    </row>
    <row r="491" ht="15" customHeight="1" s="77">
      <c r="A491" s="123" t="n"/>
      <c r="B491" s="124" t="n"/>
      <c r="C491" s="124" t="n"/>
      <c r="D491" s="125" t="n"/>
      <c r="E491" s="126" t="n"/>
      <c r="F491" s="124" t="n"/>
      <c r="G491" s="121">
        <f>IF($D491=0,0,$D491*$E491)</f>
        <v/>
      </c>
      <c r="H491" s="122">
        <f>IF($B491="","",CONCATENATE("Hareket: ",$C491,"/",$D491," adet ",$B491))</f>
        <v/>
      </c>
    </row>
    <row r="492" ht="15" customHeight="1" s="77">
      <c r="A492" s="123" t="n"/>
      <c r="B492" s="124" t="n"/>
      <c r="C492" s="124" t="n"/>
      <c r="D492" s="125" t="n"/>
      <c r="E492" s="126" t="n"/>
      <c r="F492" s="124" t="n"/>
      <c r="G492" s="121">
        <f>IF($D492=0,0,$D492*$E492)</f>
        <v/>
      </c>
      <c r="H492" s="122">
        <f>IF($B492="","",CONCATENATE("Hareket: ",$C492,"/",$D492," adet ",$B492))</f>
        <v/>
      </c>
    </row>
    <row r="493" ht="15" customHeight="1" s="77">
      <c r="A493" s="123" t="n"/>
      <c r="B493" s="124" t="n"/>
      <c r="C493" s="124" t="n"/>
      <c r="D493" s="125" t="n"/>
      <c r="E493" s="126" t="n"/>
      <c r="F493" s="124" t="n"/>
      <c r="G493" s="121">
        <f>IF($D493=0,0,$D493*$E493)</f>
        <v/>
      </c>
      <c r="H493" s="122">
        <f>IF($B493="","",CONCATENATE("Hareket: ",$C493,"/",$D493," adet ",$B493))</f>
        <v/>
      </c>
    </row>
    <row r="494" ht="15" customHeight="1" s="77">
      <c r="A494" s="123" t="n"/>
      <c r="B494" s="124" t="n"/>
      <c r="C494" s="124" t="n"/>
      <c r="D494" s="125" t="n"/>
      <c r="E494" s="126" t="n"/>
      <c r="F494" s="124" t="n"/>
      <c r="G494" s="121">
        <f>IF($D494=0,0,$D494*$E494)</f>
        <v/>
      </c>
      <c r="H494" s="122">
        <f>IF($B494="","",CONCATENATE("Hareket: ",$C494,"/",$D494," adet ",$B494))</f>
        <v/>
      </c>
    </row>
    <row r="495" ht="15" customHeight="1" s="77">
      <c r="A495" s="123" t="n"/>
      <c r="B495" s="124" t="n"/>
      <c r="C495" s="124" t="n"/>
      <c r="D495" s="125" t="n"/>
      <c r="E495" s="126" t="n"/>
      <c r="F495" s="124" t="n"/>
      <c r="G495" s="121">
        <f>IF($D495=0,0,$D495*$E495)</f>
        <v/>
      </c>
      <c r="H495" s="122">
        <f>IF($B495="","",CONCATENATE("Hareket: ",$C495,"/",$D495," adet ",$B495))</f>
        <v/>
      </c>
    </row>
    <row r="496" ht="15" customHeight="1" s="77">
      <c r="A496" s="123" t="n"/>
      <c r="B496" s="124" t="n"/>
      <c r="C496" s="124" t="n"/>
      <c r="D496" s="125" t="n"/>
      <c r="E496" s="126" t="n"/>
      <c r="F496" s="124" t="n"/>
      <c r="G496" s="121">
        <f>IF($D496=0,0,$D496*$E496)</f>
        <v/>
      </c>
      <c r="H496" s="122">
        <f>IF($B496="","",CONCATENATE("Hareket: ",$C496,"/",$D496," adet ",$B496))</f>
        <v/>
      </c>
    </row>
    <row r="497" ht="15" customHeight="1" s="77">
      <c r="A497" s="123" t="n"/>
      <c r="B497" s="124" t="n"/>
      <c r="C497" s="124" t="n"/>
      <c r="D497" s="125" t="n"/>
      <c r="E497" s="126" t="n"/>
      <c r="F497" s="124" t="n"/>
      <c r="G497" s="121">
        <f>IF($D497=0,0,$D497*$E497)</f>
        <v/>
      </c>
      <c r="H497" s="122">
        <f>IF($B497="","",CONCATENATE("Hareket: ",$C497,"/",$D497," adet ",$B497))</f>
        <v/>
      </c>
    </row>
    <row r="498" ht="15" customHeight="1" s="77">
      <c r="A498" s="123" t="n"/>
      <c r="B498" s="124" t="n"/>
      <c r="C498" s="124" t="n"/>
      <c r="D498" s="125" t="n"/>
      <c r="E498" s="126" t="n"/>
      <c r="F498" s="124" t="n"/>
      <c r="G498" s="121">
        <f>IF($D498=0,0,$D498*$E498)</f>
        <v/>
      </c>
      <c r="H498" s="122">
        <f>IF($B498="","",CONCATENATE("Hareket: ",$C498,"/",$D498," adet ",$B498))</f>
        <v/>
      </c>
    </row>
    <row r="499" ht="15" customHeight="1" s="77">
      <c r="A499" s="123" t="n"/>
      <c r="B499" s="124" t="n"/>
      <c r="C499" s="124" t="n"/>
      <c r="D499" s="125" t="n"/>
      <c r="E499" s="126" t="n"/>
      <c r="F499" s="124" t="n"/>
      <c r="G499" s="121">
        <f>IF($D499=0,0,$D499*$E499)</f>
        <v/>
      </c>
      <c r="H499" s="122">
        <f>IF($B499="","",CONCATENATE("Hareket: ",$C499,"/",$D499," adet ",$B499))</f>
        <v/>
      </c>
    </row>
    <row r="500" ht="15" customHeight="1" s="77">
      <c r="A500" s="123" t="n"/>
      <c r="B500" s="124" t="n"/>
      <c r="C500" s="124" t="n"/>
      <c r="D500" s="125" t="n"/>
      <c r="E500" s="126" t="n"/>
      <c r="F500" s="124" t="n"/>
      <c r="G500" s="121">
        <f>IF($D500=0,0,$D500*$E500)</f>
        <v/>
      </c>
      <c r="H500" s="122">
        <f>IF($B500="","",CONCATENATE("Hareket: ",$C500,"/",$D500," adet ",$B500))</f>
        <v/>
      </c>
    </row>
    <row r="501" ht="15" customHeight="1" s="77">
      <c r="A501" s="123" t="n"/>
      <c r="B501" s="124" t="n"/>
      <c r="C501" s="124" t="n"/>
      <c r="D501" s="125" t="n"/>
      <c r="E501" s="126" t="n"/>
      <c r="F501" s="124" t="n"/>
      <c r="G501" s="121">
        <f>IF($D501=0,0,$D501*$E501)</f>
        <v/>
      </c>
      <c r="H501" s="122">
        <f>IF($B501="","",CONCATENATE("Hareket: ",$C501,"/",$D501," adet ",$B501))</f>
        <v/>
      </c>
    </row>
    <row r="502" ht="15" customHeight="1" s="77">
      <c r="A502" s="123" t="n"/>
      <c r="B502" s="124" t="n"/>
      <c r="C502" s="124" t="n"/>
      <c r="D502" s="125" t="n"/>
      <c r="E502" s="126" t="n"/>
      <c r="F502" s="124" t="n"/>
      <c r="G502" s="121">
        <f>IF($D502=0,0,$D502*$E502)</f>
        <v/>
      </c>
      <c r="H502" s="122">
        <f>IF($B502="","",CONCATENATE("Hareket: ",$C502,"/",$D502," adet ",$B502))</f>
        <v/>
      </c>
    </row>
    <row r="503" ht="15" customHeight="1" s="77">
      <c r="A503" s="123" t="n"/>
      <c r="B503" s="124" t="n"/>
      <c r="C503" s="124" t="n"/>
      <c r="D503" s="125" t="n"/>
      <c r="E503" s="126" t="n"/>
      <c r="F503" s="124" t="n"/>
      <c r="G503" s="121">
        <f>IF($D503=0,0,$D503*$E503)</f>
        <v/>
      </c>
      <c r="H503" s="122">
        <f>IF($B503="","",CONCATENATE("Hareket: ",$C503,"/",$D503," adet ",$B503))</f>
        <v/>
      </c>
    </row>
    <row r="504" ht="15" customHeight="1" s="77">
      <c r="A504" s="123" t="n"/>
      <c r="B504" s="124" t="n"/>
      <c r="C504" s="124" t="n"/>
      <c r="D504" s="125" t="n"/>
      <c r="E504" s="126" t="n"/>
      <c r="F504" s="124" t="n"/>
      <c r="G504" s="121">
        <f>IF($D504=0,0,$D504*$E504)</f>
        <v/>
      </c>
      <c r="H504" s="122">
        <f>IF($B504="","",CONCATENATE("Hareket: ",$C504,"/",$D504," adet ",$B504))</f>
        <v/>
      </c>
    </row>
    <row r="505" ht="15" customHeight="1" s="77">
      <c r="A505" s="123" t="n"/>
      <c r="B505" s="124" t="n"/>
      <c r="C505" s="124" t="n"/>
      <c r="D505" s="125" t="n"/>
      <c r="E505" s="126" t="n"/>
      <c r="F505" s="124" t="n"/>
      <c r="G505" s="121">
        <f>IF($D505=0,0,$D505*$E505)</f>
        <v/>
      </c>
      <c r="H505" s="122">
        <f>IF($B505="","",CONCATENATE("Hareket: ",$C505,"/",$D505," adet ",$B505))</f>
        <v/>
      </c>
    </row>
    <row r="506" ht="15" customHeight="1" s="77">
      <c r="A506" s="123" t="n"/>
      <c r="B506" s="124" t="n"/>
      <c r="C506" s="124" t="n"/>
      <c r="D506" s="125" t="n"/>
      <c r="E506" s="126" t="n"/>
      <c r="F506" s="124" t="n"/>
      <c r="G506" s="121">
        <f>IF($D506=0,0,$D506*$E506)</f>
        <v/>
      </c>
      <c r="H506" s="122">
        <f>IF($B506="","",CONCATENATE("Hareket: ",$C506,"/",$D506," adet ",$B506))</f>
        <v/>
      </c>
    </row>
    <row r="507" ht="15" customHeight="1" s="77">
      <c r="A507" s="123" t="n"/>
      <c r="B507" s="124" t="n"/>
      <c r="C507" s="124" t="n"/>
      <c r="D507" s="125" t="n"/>
      <c r="E507" s="126" t="n"/>
      <c r="F507" s="124" t="n"/>
      <c r="G507" s="121">
        <f>IF($D507=0,0,$D507*$E507)</f>
        <v/>
      </c>
      <c r="H507" s="122">
        <f>IF($B507="","",CONCATENATE("Hareket: ",$C507,"/",$D507," adet ",$B507))</f>
        <v/>
      </c>
    </row>
    <row r="508" ht="15" customHeight="1" s="77">
      <c r="A508" s="123" t="n"/>
      <c r="B508" s="124" t="n"/>
      <c r="C508" s="124" t="n"/>
      <c r="D508" s="125" t="n"/>
      <c r="E508" s="126" t="n"/>
      <c r="F508" s="124" t="n"/>
      <c r="G508" s="121">
        <f>IF($D508=0,0,$D508*$E508)</f>
        <v/>
      </c>
      <c r="H508" s="122">
        <f>IF($B508="","",CONCATENATE("Hareket: ",$C508,"/",$D508," adet ",$B508))</f>
        <v/>
      </c>
    </row>
    <row r="509" ht="15" customHeight="1" s="77">
      <c r="A509" s="123" t="n"/>
      <c r="B509" s="124" t="n"/>
      <c r="C509" s="124" t="n"/>
      <c r="D509" s="125" t="n"/>
      <c r="E509" s="126" t="n"/>
      <c r="F509" s="124" t="n"/>
      <c r="G509" s="121">
        <f>IF($D509=0,0,$D509*$E509)</f>
        <v/>
      </c>
      <c r="H509" s="122">
        <f>IF($B509="","",CONCATENATE("Hareket: ",$C509,"/",$D509," adet ",$B509))</f>
        <v/>
      </c>
    </row>
    <row r="510" ht="15" customHeight="1" s="77">
      <c r="A510" s="123" t="n"/>
      <c r="B510" s="124" t="n"/>
      <c r="C510" s="124" t="n"/>
      <c r="D510" s="125" t="n"/>
      <c r="E510" s="126" t="n"/>
      <c r="F510" s="124" t="n"/>
      <c r="G510" s="121">
        <f>IF($D510=0,0,$D510*$E510)</f>
        <v/>
      </c>
      <c r="H510" s="122">
        <f>IF($B510="","",CONCATENATE("Hareket: ",$C510,"/",$D510," adet ",$B510))</f>
        <v/>
      </c>
    </row>
    <row r="511" ht="15" customHeight="1" s="77">
      <c r="A511" s="123" t="n"/>
      <c r="B511" s="124" t="n"/>
      <c r="C511" s="124" t="n"/>
      <c r="D511" s="125" t="n"/>
      <c r="E511" s="126" t="n"/>
      <c r="F511" s="124" t="n"/>
      <c r="G511" s="121">
        <f>IF($D511=0,0,$D511*$E511)</f>
        <v/>
      </c>
      <c r="H511" s="122">
        <f>IF($B511="","",CONCATENATE("Hareket: ",$C511,"/",$D511," adet ",$B511))</f>
        <v/>
      </c>
    </row>
    <row r="512" ht="15" customHeight="1" s="77">
      <c r="A512" s="123" t="n"/>
      <c r="B512" s="124" t="n"/>
      <c r="C512" s="124" t="n"/>
      <c r="D512" s="125" t="n"/>
      <c r="E512" s="126" t="n"/>
      <c r="F512" s="124" t="n"/>
      <c r="G512" s="121">
        <f>IF($D512=0,0,$D512*$E512)</f>
        <v/>
      </c>
      <c r="H512" s="122">
        <f>IF($B512="","",CONCATENATE("Hareket: ",$C512,"/",$D512," adet ",$B512))</f>
        <v/>
      </c>
    </row>
    <row r="513" ht="15" customHeight="1" s="77">
      <c r="A513" s="123" t="n"/>
      <c r="B513" s="124" t="n"/>
      <c r="C513" s="124" t="n"/>
      <c r="D513" s="125" t="n"/>
      <c r="E513" s="126" t="n"/>
      <c r="F513" s="124" t="n"/>
      <c r="G513" s="121">
        <f>IF($D513=0,0,$D513*$E513)</f>
        <v/>
      </c>
      <c r="H513" s="122">
        <f>IF($B513="","",CONCATENATE("Hareket: ",$C513,"/",$D513," adet ",$B513))</f>
        <v/>
      </c>
    </row>
    <row r="514" ht="15" customHeight="1" s="77">
      <c r="A514" s="123" t="n"/>
      <c r="B514" s="124" t="n"/>
      <c r="C514" s="124" t="n"/>
      <c r="D514" s="125" t="n"/>
      <c r="E514" s="126" t="n"/>
      <c r="F514" s="124" t="n"/>
      <c r="G514" s="121">
        <f>IF($D514=0,0,$D514*$E514)</f>
        <v/>
      </c>
      <c r="H514" s="122">
        <f>IF($B514="","",CONCATENATE("Hareket: ",$C514,"/",$D514," adet ",$B514))</f>
        <v/>
      </c>
    </row>
    <row r="515" ht="15" customHeight="1" s="77">
      <c r="A515" s="123" t="n"/>
      <c r="B515" s="124" t="n"/>
      <c r="C515" s="124" t="n"/>
      <c r="D515" s="125" t="n"/>
      <c r="E515" s="126" t="n"/>
      <c r="F515" s="124" t="n"/>
      <c r="G515" s="121">
        <f>IF($D515=0,0,$D515*$E515)</f>
        <v/>
      </c>
      <c r="H515" s="122">
        <f>IF($B515="","",CONCATENATE("Hareket: ",$C515,"/",$D515," adet ",$B515))</f>
        <v/>
      </c>
    </row>
    <row r="516" ht="15" customHeight="1" s="77">
      <c r="A516" s="123" t="n"/>
      <c r="B516" s="124" t="n"/>
      <c r="C516" s="124" t="n"/>
      <c r="D516" s="125" t="n"/>
      <c r="E516" s="126" t="n"/>
      <c r="F516" s="124" t="n"/>
      <c r="G516" s="121">
        <f>IF($D516=0,0,$D516*$E516)</f>
        <v/>
      </c>
      <c r="H516" s="122">
        <f>IF($B516="","",CONCATENATE("Hareket: ",$C516,"/",$D516," adet ",$B516))</f>
        <v/>
      </c>
    </row>
    <row r="517" ht="15" customHeight="1" s="77">
      <c r="A517" s="123" t="n"/>
      <c r="B517" s="124" t="n"/>
      <c r="C517" s="124" t="n"/>
      <c r="D517" s="125" t="n"/>
      <c r="E517" s="126" t="n"/>
      <c r="F517" s="124" t="n"/>
      <c r="G517" s="121">
        <f>IF($D517=0,0,$D517*$E517)</f>
        <v/>
      </c>
      <c r="H517" s="122">
        <f>IF($B517="","",CONCATENATE("Hareket: ",$C517,"/",$D517," adet ",$B517))</f>
        <v/>
      </c>
    </row>
    <row r="518" ht="15" customHeight="1" s="77">
      <c r="A518" s="123" t="n"/>
      <c r="B518" s="124" t="n"/>
      <c r="C518" s="124" t="n"/>
      <c r="D518" s="125" t="n"/>
      <c r="E518" s="126" t="n"/>
      <c r="F518" s="124" t="n"/>
      <c r="G518" s="121">
        <f>IF($D518=0,0,$D518*$E518)</f>
        <v/>
      </c>
      <c r="H518" s="122">
        <f>IF($B518="","",CONCATENATE("Hareket: ",$C518,"/",$D518," adet ",$B518))</f>
        <v/>
      </c>
    </row>
    <row r="519" ht="15" customHeight="1" s="77">
      <c r="A519" s="123" t="n"/>
      <c r="B519" s="124" t="n"/>
      <c r="C519" s="124" t="n"/>
      <c r="D519" s="125" t="n"/>
      <c r="E519" s="126" t="n"/>
      <c r="F519" s="124" t="n"/>
      <c r="G519" s="121">
        <f>IF($D519=0,0,$D519*$E519)</f>
        <v/>
      </c>
      <c r="H519" s="122">
        <f>IF($B519="","",CONCATENATE("Hareket: ",$C519,"/",$D519," adet ",$B519))</f>
        <v/>
      </c>
    </row>
    <row r="520" ht="15" customHeight="1" s="77">
      <c r="A520" s="123" t="n"/>
      <c r="B520" s="124" t="n"/>
      <c r="C520" s="124" t="n"/>
      <c r="D520" s="125" t="n"/>
      <c r="E520" s="126" t="n"/>
      <c r="F520" s="124" t="n"/>
      <c r="G520" s="121">
        <f>IF($D520=0,0,$D520*$E520)</f>
        <v/>
      </c>
      <c r="H520" s="122">
        <f>IF($B520="","",CONCATENATE("Hareket: ",$C520,"/",$D520," adet ",$B520))</f>
        <v/>
      </c>
    </row>
    <row r="521" ht="15" customHeight="1" s="77">
      <c r="A521" s="123" t="n"/>
      <c r="B521" s="124" t="n"/>
      <c r="C521" s="124" t="n"/>
      <c r="D521" s="125" t="n"/>
      <c r="E521" s="126" t="n"/>
      <c r="F521" s="124" t="n"/>
      <c r="G521" s="121">
        <f>IF($D521=0,0,$D521*$E521)</f>
        <v/>
      </c>
      <c r="H521" s="122">
        <f>IF($B521="","",CONCATENATE("Hareket: ",$C521,"/",$D521," adet ",$B521))</f>
        <v/>
      </c>
    </row>
    <row r="522" ht="15" customHeight="1" s="77">
      <c r="A522" s="123" t="n"/>
      <c r="B522" s="124" t="n"/>
      <c r="C522" s="124" t="n"/>
      <c r="D522" s="125" t="n"/>
      <c r="E522" s="126" t="n"/>
      <c r="F522" s="124" t="n"/>
      <c r="G522" s="121">
        <f>IF($D522=0,0,$D522*$E522)</f>
        <v/>
      </c>
      <c r="H522" s="122">
        <f>IF($B522="","",CONCATENATE("Hareket: ",$C522,"/",$D522," adet ",$B522))</f>
        <v/>
      </c>
    </row>
    <row r="523" ht="15" customHeight="1" s="77">
      <c r="A523" s="123" t="n"/>
      <c r="B523" s="124" t="n"/>
      <c r="C523" s="124" t="n"/>
      <c r="D523" s="125" t="n"/>
      <c r="E523" s="126" t="n"/>
      <c r="F523" s="124" t="n"/>
      <c r="G523" s="121">
        <f>IF($D523=0,0,$D523*$E523)</f>
        <v/>
      </c>
      <c r="H523" s="122">
        <f>IF($B523="","",CONCATENATE("Hareket: ",$C523,"/",$D523," adet ",$B523))</f>
        <v/>
      </c>
    </row>
    <row r="524" ht="15" customHeight="1" s="77">
      <c r="A524" s="123" t="n"/>
      <c r="B524" s="124" t="n"/>
      <c r="C524" s="124" t="n"/>
      <c r="D524" s="125" t="n"/>
      <c r="E524" s="126" t="n"/>
      <c r="F524" s="124" t="n"/>
      <c r="G524" s="121">
        <f>IF($D524=0,0,$D524*$E524)</f>
        <v/>
      </c>
      <c r="H524" s="122">
        <f>IF($B524="","",CONCATENATE("Hareket: ",$C524,"/",$D524," adet ",$B524))</f>
        <v/>
      </c>
    </row>
    <row r="525" ht="15" customHeight="1" s="77">
      <c r="A525" s="123" t="n"/>
      <c r="B525" s="124" t="n"/>
      <c r="C525" s="124" t="n"/>
      <c r="D525" s="125" t="n"/>
      <c r="E525" s="126" t="n"/>
      <c r="F525" s="124" t="n"/>
      <c r="G525" s="121">
        <f>IF($D525=0,0,$D525*$E525)</f>
        <v/>
      </c>
      <c r="H525" s="122">
        <f>IF($B525="","",CONCATENATE("Hareket: ",$C525,"/",$D525," adet ",$B525))</f>
        <v/>
      </c>
    </row>
    <row r="526" ht="15" customHeight="1" s="77">
      <c r="A526" s="123" t="n"/>
      <c r="B526" s="124" t="n"/>
      <c r="C526" s="124" t="n"/>
      <c r="D526" s="125" t="n"/>
      <c r="E526" s="126" t="n"/>
      <c r="F526" s="124" t="n"/>
      <c r="G526" s="121">
        <f>IF($D526=0,0,$D526*$E526)</f>
        <v/>
      </c>
      <c r="H526" s="122">
        <f>IF($B526="","",CONCATENATE("Hareket: ",$C526,"/",$D526," adet ",$B526))</f>
        <v/>
      </c>
    </row>
    <row r="527" ht="15" customHeight="1" s="77">
      <c r="A527" s="123" t="n"/>
      <c r="B527" s="124" t="n"/>
      <c r="C527" s="124" t="n"/>
      <c r="D527" s="125" t="n"/>
      <c r="E527" s="126" t="n"/>
      <c r="F527" s="124" t="n"/>
      <c r="G527" s="121">
        <f>IF($D527=0,0,$D527*$E527)</f>
        <v/>
      </c>
      <c r="H527" s="122">
        <f>IF($B527="","",CONCATENATE("Hareket: ",$C527,"/",$D527," adet ",$B527))</f>
        <v/>
      </c>
    </row>
    <row r="528" ht="15" customHeight="1" s="77">
      <c r="A528" s="123" t="n"/>
      <c r="B528" s="124" t="n"/>
      <c r="C528" s="124" t="n"/>
      <c r="D528" s="125" t="n"/>
      <c r="E528" s="126" t="n"/>
      <c r="F528" s="124" t="n"/>
      <c r="G528" s="121">
        <f>IF($D528=0,0,$D528*$E528)</f>
        <v/>
      </c>
      <c r="H528" s="122">
        <f>IF($B528="","",CONCATENATE("Hareket: ",$C528,"/",$D528," adet ",$B528))</f>
        <v/>
      </c>
    </row>
    <row r="529" ht="15" customHeight="1" s="77">
      <c r="A529" s="123" t="n"/>
      <c r="B529" s="124" t="n"/>
      <c r="C529" s="124" t="n"/>
      <c r="D529" s="125" t="n"/>
      <c r="E529" s="126" t="n"/>
      <c r="F529" s="124" t="n"/>
      <c r="G529" s="121">
        <f>IF($D529=0,0,$D529*$E529)</f>
        <v/>
      </c>
      <c r="H529" s="122">
        <f>IF($B529="","",CONCATENATE("Hareket: ",$C529,"/",$D529," adet ",$B529))</f>
        <v/>
      </c>
    </row>
    <row r="530" ht="15" customHeight="1" s="77">
      <c r="A530" s="123" t="n"/>
      <c r="B530" s="124" t="n"/>
      <c r="C530" s="124" t="n"/>
      <c r="D530" s="125" t="n"/>
      <c r="E530" s="126" t="n"/>
      <c r="F530" s="124" t="n"/>
      <c r="G530" s="121">
        <f>IF($D530=0,0,$D530*$E530)</f>
        <v/>
      </c>
      <c r="H530" s="122">
        <f>IF($B530="","",CONCATENATE("Hareket: ",$C530,"/",$D530," adet ",$B530))</f>
        <v/>
      </c>
    </row>
    <row r="531" ht="15" customHeight="1" s="77">
      <c r="A531" s="123" t="n"/>
      <c r="B531" s="124" t="n"/>
      <c r="C531" s="124" t="n"/>
      <c r="D531" s="125" t="n"/>
      <c r="E531" s="126" t="n"/>
      <c r="F531" s="124" t="n"/>
      <c r="G531" s="121">
        <f>IF($D531=0,0,$D531*$E531)</f>
        <v/>
      </c>
      <c r="H531" s="122">
        <f>IF($B531="","",CONCATENATE("Hareket: ",$C531,"/",$D531," adet ",$B531))</f>
        <v/>
      </c>
    </row>
    <row r="532" ht="15" customHeight="1" s="77">
      <c r="A532" s="123" t="n"/>
      <c r="B532" s="124" t="n"/>
      <c r="C532" s="124" t="n"/>
      <c r="D532" s="125" t="n"/>
      <c r="E532" s="126" t="n"/>
      <c r="F532" s="124" t="n"/>
      <c r="G532" s="121">
        <f>IF($D532=0,0,$D532*$E532)</f>
        <v/>
      </c>
      <c r="H532" s="122">
        <f>IF($B532="","",CONCATENATE("Hareket: ",$C532,"/",$D532," adet ",$B532))</f>
        <v/>
      </c>
    </row>
    <row r="533" ht="15" customHeight="1" s="77">
      <c r="A533" s="123" t="n"/>
      <c r="B533" s="124" t="n"/>
      <c r="C533" s="124" t="n"/>
      <c r="D533" s="125" t="n"/>
      <c r="E533" s="126" t="n"/>
      <c r="F533" s="124" t="n"/>
      <c r="G533" s="121">
        <f>IF($D533=0,0,$D533*$E533)</f>
        <v/>
      </c>
      <c r="H533" s="122">
        <f>IF($B533="","",CONCATENATE("Hareket: ",$C533,"/",$D533," adet ",$B533))</f>
        <v/>
      </c>
    </row>
    <row r="534" ht="15" customHeight="1" s="77">
      <c r="A534" s="123" t="n"/>
      <c r="B534" s="124" t="n"/>
      <c r="C534" s="124" t="n"/>
      <c r="D534" s="125" t="n"/>
      <c r="E534" s="126" t="n"/>
      <c r="F534" s="124" t="n"/>
      <c r="G534" s="121">
        <f>IF($D534=0,0,$D534*$E534)</f>
        <v/>
      </c>
      <c r="H534" s="122">
        <f>IF($B534="","",CONCATENATE("Hareket: ",$C534,"/",$D534," adet ",$B534))</f>
        <v/>
      </c>
    </row>
    <row r="535" ht="15" customHeight="1" s="77">
      <c r="A535" s="123" t="n"/>
      <c r="B535" s="124" t="n"/>
      <c r="C535" s="124" t="n"/>
      <c r="D535" s="125" t="n"/>
      <c r="E535" s="126" t="n"/>
      <c r="F535" s="124" t="n"/>
      <c r="G535" s="121">
        <f>IF($D535=0,0,$D535*$E535)</f>
        <v/>
      </c>
      <c r="H535" s="122">
        <f>IF($B535="","",CONCATENATE("Hareket: ",$C535,"/",$D535," adet ",$B535))</f>
        <v/>
      </c>
    </row>
    <row r="536" ht="15" customHeight="1" s="77">
      <c r="A536" s="123" t="n"/>
      <c r="B536" s="124" t="n"/>
      <c r="C536" s="124" t="n"/>
      <c r="D536" s="125" t="n"/>
      <c r="E536" s="126" t="n"/>
      <c r="F536" s="124" t="n"/>
      <c r="G536" s="121">
        <f>IF($D536=0,0,$D536*$E536)</f>
        <v/>
      </c>
      <c r="H536" s="122">
        <f>IF($B536="","",CONCATENATE("Hareket: ",$C536,"/",$D536," adet ",$B536))</f>
        <v/>
      </c>
    </row>
    <row r="537" ht="15" customHeight="1" s="77">
      <c r="A537" s="123" t="n"/>
      <c r="B537" s="124" t="n"/>
      <c r="C537" s="124" t="n"/>
      <c r="D537" s="125" t="n"/>
      <c r="E537" s="126" t="n"/>
      <c r="F537" s="124" t="n"/>
      <c r="G537" s="121">
        <f>IF($D537=0,0,$D537*$E537)</f>
        <v/>
      </c>
      <c r="H537" s="122">
        <f>IF($B537="","",CONCATENATE("Hareket: ",$C537,"/",$D537," adet ",$B537))</f>
        <v/>
      </c>
    </row>
    <row r="538" ht="15" customHeight="1" s="77">
      <c r="A538" s="123" t="n"/>
      <c r="B538" s="124" t="n"/>
      <c r="C538" s="124" t="n"/>
      <c r="D538" s="125" t="n"/>
      <c r="E538" s="126" t="n"/>
      <c r="F538" s="124" t="n"/>
      <c r="G538" s="121">
        <f>IF($D538=0,0,$D538*$E538)</f>
        <v/>
      </c>
      <c r="H538" s="122">
        <f>IF($B538="","",CONCATENATE("Hareket: ",$C538,"/",$D538," adet ",$B538))</f>
        <v/>
      </c>
    </row>
    <row r="539" ht="15" customHeight="1" s="77">
      <c r="A539" s="123" t="n"/>
      <c r="B539" s="124" t="n"/>
      <c r="C539" s="124" t="n"/>
      <c r="D539" s="125" t="n"/>
      <c r="E539" s="126" t="n"/>
      <c r="F539" s="124" t="n"/>
      <c r="G539" s="121">
        <f>IF($D539=0,0,$D539*$E539)</f>
        <v/>
      </c>
      <c r="H539" s="122">
        <f>IF($B539="","",CONCATENATE("Hareket: ",$C539,"/",$D539," adet ",$B539))</f>
        <v/>
      </c>
    </row>
    <row r="540" ht="15" customHeight="1" s="77">
      <c r="A540" s="123" t="n"/>
      <c r="B540" s="124" t="n"/>
      <c r="C540" s="124" t="n"/>
      <c r="D540" s="125" t="n"/>
      <c r="E540" s="126" t="n"/>
      <c r="F540" s="124" t="n"/>
      <c r="G540" s="121">
        <f>IF($D540=0,0,$D540*$E540)</f>
        <v/>
      </c>
      <c r="H540" s="122">
        <f>IF($B540="","",CONCATENATE("Hareket: ",$C540,"/",$D540," adet ",$B540))</f>
        <v/>
      </c>
    </row>
    <row r="541" ht="15" customHeight="1" s="77">
      <c r="A541" s="123" t="n"/>
      <c r="B541" s="124" t="n"/>
      <c r="C541" s="124" t="n"/>
      <c r="D541" s="125" t="n"/>
      <c r="E541" s="126" t="n"/>
      <c r="F541" s="124" t="n"/>
      <c r="G541" s="121">
        <f>IF($D541=0,0,$D541*$E541)</f>
        <v/>
      </c>
      <c r="H541" s="122">
        <f>IF($B541="","",CONCATENATE("Hareket: ",$C541,"/",$D541," adet ",$B541))</f>
        <v/>
      </c>
    </row>
    <row r="542" ht="15" customHeight="1" s="77">
      <c r="A542" s="123" t="n"/>
      <c r="B542" s="124" t="n"/>
      <c r="C542" s="124" t="n"/>
      <c r="D542" s="125" t="n"/>
      <c r="E542" s="126" t="n"/>
      <c r="F542" s="124" t="n"/>
      <c r="G542" s="121">
        <f>IF($D542=0,0,$D542*$E542)</f>
        <v/>
      </c>
      <c r="H542" s="122">
        <f>IF($B542="","",CONCATENATE("Hareket: ",$C542,"/",$D542," adet ",$B542))</f>
        <v/>
      </c>
    </row>
    <row r="543" ht="15" customHeight="1" s="77">
      <c r="A543" s="123" t="n"/>
      <c r="B543" s="124" t="n"/>
      <c r="C543" s="124" t="n"/>
      <c r="D543" s="125" t="n"/>
      <c r="E543" s="126" t="n"/>
      <c r="F543" s="124" t="n"/>
      <c r="G543" s="121">
        <f>IF($D543=0,0,$D543*$E543)</f>
        <v/>
      </c>
      <c r="H543" s="122">
        <f>IF($B543="","",CONCATENATE("Hareket: ",$C543,"/",$D543," adet ",$B543))</f>
        <v/>
      </c>
    </row>
    <row r="544" ht="15" customHeight="1" s="77">
      <c r="A544" s="123" t="n"/>
      <c r="B544" s="124" t="n"/>
      <c r="C544" s="124" t="n"/>
      <c r="D544" s="125" t="n"/>
      <c r="E544" s="126" t="n"/>
      <c r="F544" s="124" t="n"/>
      <c r="G544" s="121">
        <f>IF($D544=0,0,$D544*$E544)</f>
        <v/>
      </c>
      <c r="H544" s="122">
        <f>IF($B544="","",CONCATENATE("Hareket: ",$C544,"/",$D544," adet ",$B544))</f>
        <v/>
      </c>
    </row>
    <row r="545" ht="15" customHeight="1" s="77">
      <c r="A545" s="123" t="n"/>
      <c r="B545" s="124" t="n"/>
      <c r="C545" s="124" t="n"/>
      <c r="D545" s="125" t="n"/>
      <c r="E545" s="126" t="n"/>
      <c r="F545" s="124" t="n"/>
      <c r="G545" s="121">
        <f>IF($D545=0,0,$D545*$E545)</f>
        <v/>
      </c>
      <c r="H545" s="122">
        <f>IF($B545="","",CONCATENATE("Hareket: ",$C545,"/",$D545," adet ",$B545))</f>
        <v/>
      </c>
    </row>
    <row r="546" ht="15" customHeight="1" s="77">
      <c r="A546" s="123" t="n"/>
      <c r="B546" s="124" t="n"/>
      <c r="C546" s="124" t="n"/>
      <c r="D546" s="125" t="n"/>
      <c r="E546" s="126" t="n"/>
      <c r="F546" s="124" t="n"/>
      <c r="G546" s="121">
        <f>IF($D546=0,0,$D546*$E546)</f>
        <v/>
      </c>
      <c r="H546" s="122">
        <f>IF($B546="","",CONCATENATE("Hareket: ",$C546,"/",$D546," adet ",$B546))</f>
        <v/>
      </c>
    </row>
    <row r="547" ht="15" customHeight="1" s="77">
      <c r="A547" s="123" t="n"/>
      <c r="B547" s="124" t="n"/>
      <c r="C547" s="124" t="n"/>
      <c r="D547" s="125" t="n"/>
      <c r="E547" s="126" t="n"/>
      <c r="F547" s="124" t="n"/>
      <c r="G547" s="121">
        <f>IF($D547=0,0,$D547*$E547)</f>
        <v/>
      </c>
      <c r="H547" s="122">
        <f>IF($B547="","",CONCATENATE("Hareket: ",$C547,"/",$D547," adet ",$B547))</f>
        <v/>
      </c>
    </row>
    <row r="548" ht="15" customHeight="1" s="77">
      <c r="A548" s="123" t="n"/>
      <c r="B548" s="124" t="n"/>
      <c r="C548" s="124" t="n"/>
      <c r="D548" s="125" t="n"/>
      <c r="E548" s="126" t="n"/>
      <c r="F548" s="124" t="n"/>
      <c r="G548" s="121">
        <f>IF($D548=0,0,$D548*$E548)</f>
        <v/>
      </c>
      <c r="H548" s="122">
        <f>IF($B548="","",CONCATENATE("Hareket: ",$C548,"/",$D548," adet ",$B548))</f>
        <v/>
      </c>
    </row>
    <row r="549" ht="15" customHeight="1" s="77">
      <c r="A549" s="123" t="n"/>
      <c r="B549" s="124" t="n"/>
      <c r="C549" s="124" t="n"/>
      <c r="D549" s="125" t="n"/>
      <c r="E549" s="126" t="n"/>
      <c r="F549" s="124" t="n"/>
      <c r="G549" s="121">
        <f>IF($D549=0,0,$D549*$E549)</f>
        <v/>
      </c>
      <c r="H549" s="122">
        <f>IF($B549="","",CONCATENATE("Hareket: ",$C549,"/",$D549," adet ",$B549))</f>
        <v/>
      </c>
    </row>
    <row r="550" ht="15" customHeight="1" s="77">
      <c r="A550" s="123" t="n"/>
      <c r="B550" s="124" t="n"/>
      <c r="C550" s="124" t="n"/>
      <c r="D550" s="125" t="n"/>
      <c r="E550" s="126" t="n"/>
      <c r="F550" s="124" t="n"/>
      <c r="G550" s="121">
        <f>IF($D550=0,0,$D550*$E550)</f>
        <v/>
      </c>
      <c r="H550" s="122">
        <f>IF($B550="","",CONCATENATE("Hareket: ",$C550,"/",$D550," adet ",$B550))</f>
        <v/>
      </c>
    </row>
    <row r="551" ht="15" customHeight="1" s="77">
      <c r="A551" s="123" t="n"/>
      <c r="B551" s="124" t="n"/>
      <c r="C551" s="124" t="n"/>
      <c r="D551" s="125" t="n"/>
      <c r="E551" s="126" t="n"/>
      <c r="F551" s="124" t="n"/>
      <c r="G551" s="121">
        <f>IF($D551=0,0,$D551*$E551)</f>
        <v/>
      </c>
      <c r="H551" s="122">
        <f>IF($B551="","",CONCATENATE("Hareket: ",$C551,"/",$D551," adet ",$B551))</f>
        <v/>
      </c>
    </row>
    <row r="552" ht="15" customHeight="1" s="77">
      <c r="A552" s="123" t="n"/>
      <c r="B552" s="124" t="n"/>
      <c r="C552" s="124" t="n"/>
      <c r="D552" s="125" t="n"/>
      <c r="E552" s="126" t="n"/>
      <c r="F552" s="124" t="n"/>
      <c r="G552" s="121">
        <f>IF($D552=0,0,$D552*$E552)</f>
        <v/>
      </c>
      <c r="H552" s="122">
        <f>IF($B552="","",CONCATENATE("Hareket: ",$C552,"/",$D552," adet ",$B552))</f>
        <v/>
      </c>
    </row>
    <row r="553" ht="15" customHeight="1" s="77">
      <c r="A553" s="123" t="n"/>
      <c r="B553" s="124" t="n"/>
      <c r="C553" s="124" t="n"/>
      <c r="D553" s="125" t="n"/>
      <c r="E553" s="126" t="n"/>
      <c r="F553" s="124" t="n"/>
      <c r="G553" s="121">
        <f>IF($D553=0,0,$D553*$E553)</f>
        <v/>
      </c>
      <c r="H553" s="122">
        <f>IF($B553="","",CONCATENATE("Hareket: ",$C553,"/",$D553," adet ",$B553))</f>
        <v/>
      </c>
    </row>
    <row r="554" ht="15" customHeight="1" s="77">
      <c r="A554" s="123" t="n"/>
      <c r="B554" s="124" t="n"/>
      <c r="C554" s="124" t="n"/>
      <c r="D554" s="125" t="n"/>
      <c r="E554" s="126" t="n"/>
      <c r="F554" s="124" t="n"/>
      <c r="G554" s="121">
        <f>IF($D554=0,0,$D554*$E554)</f>
        <v/>
      </c>
      <c r="H554" s="122">
        <f>IF($B554="","",CONCATENATE("Hareket: ",$C554,"/",$D554," adet ",$B554))</f>
        <v/>
      </c>
    </row>
    <row r="555" ht="15" customHeight="1" s="77">
      <c r="A555" s="123" t="n"/>
      <c r="B555" s="124" t="n"/>
      <c r="C555" s="124" t="n"/>
      <c r="D555" s="125" t="n"/>
      <c r="E555" s="126" t="n"/>
      <c r="F555" s="124" t="n"/>
      <c r="G555" s="121">
        <f>IF($D555=0,0,$D555*$E555)</f>
        <v/>
      </c>
      <c r="H555" s="122">
        <f>IF($B555="","",CONCATENATE("Hareket: ",$C555,"/",$D555," adet ",$B555))</f>
        <v/>
      </c>
    </row>
    <row r="556" ht="15" customHeight="1" s="77">
      <c r="A556" s="123" t="n"/>
      <c r="B556" s="124" t="n"/>
      <c r="C556" s="124" t="n"/>
      <c r="D556" s="125" t="n"/>
      <c r="E556" s="126" t="n"/>
      <c r="F556" s="124" t="n"/>
      <c r="G556" s="121">
        <f>IF($D556=0,0,$D556*$E556)</f>
        <v/>
      </c>
      <c r="H556" s="122">
        <f>IF($B556="","",CONCATENATE("Hareket: ",$C556,"/",$D556," adet ",$B556))</f>
        <v/>
      </c>
    </row>
    <row r="557" ht="15" customHeight="1" s="77">
      <c r="A557" s="123" t="n"/>
      <c r="B557" s="124" t="n"/>
      <c r="C557" s="124" t="n"/>
      <c r="D557" s="125" t="n"/>
      <c r="E557" s="126" t="n"/>
      <c r="F557" s="124" t="n"/>
      <c r="G557" s="121">
        <f>IF($D557=0,0,$D557*$E557)</f>
        <v/>
      </c>
      <c r="H557" s="122">
        <f>IF($B557="","",CONCATENATE("Hareket: ",$C557,"/",$D557," adet ",$B557))</f>
        <v/>
      </c>
    </row>
    <row r="558" ht="15" customHeight="1" s="77">
      <c r="A558" s="123" t="n"/>
      <c r="B558" s="124" t="n"/>
      <c r="C558" s="124" t="n"/>
      <c r="D558" s="125" t="n"/>
      <c r="E558" s="126" t="n"/>
      <c r="F558" s="124" t="n"/>
      <c r="G558" s="121">
        <f>IF($D558=0,0,$D558*$E558)</f>
        <v/>
      </c>
      <c r="H558" s="122">
        <f>IF($B558="","",CONCATENATE("Hareket: ",$C558,"/",$D558," adet ",$B558))</f>
        <v/>
      </c>
    </row>
    <row r="559" ht="15" customHeight="1" s="77">
      <c r="A559" s="123" t="n"/>
      <c r="B559" s="124" t="n"/>
      <c r="C559" s="124" t="n"/>
      <c r="D559" s="125" t="n"/>
      <c r="E559" s="126" t="n"/>
      <c r="F559" s="124" t="n"/>
      <c r="G559" s="121">
        <f>IF($D559=0,0,$D559*$E559)</f>
        <v/>
      </c>
      <c r="H559" s="122">
        <f>IF($B559="","",CONCATENATE("Hareket: ",$C559,"/",$D559," adet ",$B559))</f>
        <v/>
      </c>
    </row>
    <row r="560" ht="15" customHeight="1" s="77">
      <c r="A560" s="123" t="n"/>
      <c r="B560" s="124" t="n"/>
      <c r="C560" s="124" t="n"/>
      <c r="D560" s="125" t="n"/>
      <c r="E560" s="126" t="n"/>
      <c r="F560" s="124" t="n"/>
      <c r="G560" s="121">
        <f>IF($D560=0,0,$D560*$E560)</f>
        <v/>
      </c>
      <c r="H560" s="122">
        <f>IF($B560="","",CONCATENATE("Hareket: ",$C560,"/",$D560," adet ",$B560))</f>
        <v/>
      </c>
    </row>
    <row r="561" ht="15" customHeight="1" s="77">
      <c r="A561" s="123" t="n"/>
      <c r="B561" s="124" t="n"/>
      <c r="C561" s="124" t="n"/>
      <c r="D561" s="125" t="n"/>
      <c r="E561" s="126" t="n"/>
      <c r="F561" s="124" t="n"/>
      <c r="G561" s="121">
        <f>IF($D561=0,0,$D561*$E561)</f>
        <v/>
      </c>
      <c r="H561" s="122">
        <f>IF($B561="","",CONCATENATE("Hareket: ",$C561,"/",$D561," adet ",$B561))</f>
        <v/>
      </c>
    </row>
    <row r="562" ht="15" customHeight="1" s="77">
      <c r="A562" s="123" t="n"/>
      <c r="B562" s="124" t="n"/>
      <c r="C562" s="124" t="n"/>
      <c r="D562" s="125" t="n"/>
      <c r="E562" s="126" t="n"/>
      <c r="F562" s="124" t="n"/>
      <c r="G562" s="121">
        <f>IF($D562=0,0,$D562*$E562)</f>
        <v/>
      </c>
      <c r="H562" s="122">
        <f>IF($B562="","",CONCATENATE("Hareket: ",$C562,"/",$D562," adet ",$B562))</f>
        <v/>
      </c>
    </row>
    <row r="563" ht="15" customHeight="1" s="77">
      <c r="A563" s="123" t="n"/>
      <c r="B563" s="124" t="n"/>
      <c r="C563" s="124" t="n"/>
      <c r="D563" s="125" t="n"/>
      <c r="E563" s="126" t="n"/>
      <c r="F563" s="124" t="n"/>
      <c r="G563" s="121">
        <f>IF($D563=0,0,$D563*$E563)</f>
        <v/>
      </c>
      <c r="H563" s="122">
        <f>IF($B563="","",CONCATENATE("Hareket: ",$C563,"/",$D563," adet ",$B563))</f>
        <v/>
      </c>
    </row>
    <row r="564" ht="15" customHeight="1" s="77">
      <c r="A564" s="123" t="n"/>
      <c r="B564" s="124" t="n"/>
      <c r="C564" s="124" t="n"/>
      <c r="D564" s="125" t="n"/>
      <c r="E564" s="126" t="n"/>
      <c r="F564" s="124" t="n"/>
      <c r="G564" s="121">
        <f>IF($D564=0,0,$D564*$E564)</f>
        <v/>
      </c>
      <c r="H564" s="122">
        <f>IF($B564="","",CONCATENATE("Hareket: ",$C564,"/",$D564," adet ",$B564))</f>
        <v/>
      </c>
    </row>
    <row r="565" ht="15" customHeight="1" s="77">
      <c r="A565" s="123" t="n"/>
      <c r="B565" s="124" t="n"/>
      <c r="C565" s="124" t="n"/>
      <c r="D565" s="125" t="n"/>
      <c r="E565" s="126" t="n"/>
      <c r="F565" s="124" t="n"/>
      <c r="G565" s="121">
        <f>IF($D565=0,0,$D565*$E565)</f>
        <v/>
      </c>
      <c r="H565" s="122">
        <f>IF($B565="","",CONCATENATE("Hareket: ",$C565,"/",$D565," adet ",$B565))</f>
        <v/>
      </c>
    </row>
    <row r="566" ht="15" customHeight="1" s="77">
      <c r="A566" s="123" t="n"/>
      <c r="B566" s="124" t="n"/>
      <c r="C566" s="124" t="n"/>
      <c r="D566" s="125" t="n"/>
      <c r="E566" s="126" t="n"/>
      <c r="F566" s="124" t="n"/>
      <c r="G566" s="121">
        <f>IF($D566=0,0,$D566*$E566)</f>
        <v/>
      </c>
      <c r="H566" s="122">
        <f>IF($B566="","",CONCATENATE("Hareket: ",$C566,"/",$D566," adet ",$B566))</f>
        <v/>
      </c>
    </row>
    <row r="567" ht="15" customHeight="1" s="77">
      <c r="A567" s="123" t="n"/>
      <c r="B567" s="124" t="n"/>
      <c r="C567" s="124" t="n"/>
      <c r="D567" s="125" t="n"/>
      <c r="E567" s="126" t="n"/>
      <c r="F567" s="124" t="n"/>
      <c r="G567" s="121">
        <f>IF($D567=0,0,$D567*$E567)</f>
        <v/>
      </c>
      <c r="H567" s="122">
        <f>IF($B567="","",CONCATENATE("Hareket: ",$C567,"/",$D567," adet ",$B567))</f>
        <v/>
      </c>
    </row>
    <row r="568" ht="15" customHeight="1" s="77">
      <c r="A568" s="123" t="n"/>
      <c r="B568" s="124" t="n"/>
      <c r="C568" s="124" t="n"/>
      <c r="D568" s="125" t="n"/>
      <c r="E568" s="126" t="n"/>
      <c r="F568" s="124" t="n"/>
      <c r="G568" s="121">
        <f>IF($D568=0,0,$D568*$E568)</f>
        <v/>
      </c>
      <c r="H568" s="122">
        <f>IF($B568="","",CONCATENATE("Hareket: ",$C568,"/",$D568," adet ",$B568))</f>
        <v/>
      </c>
    </row>
    <row r="569" ht="15" customHeight="1" s="77">
      <c r="A569" s="123" t="n"/>
      <c r="B569" s="124" t="n"/>
      <c r="C569" s="124" t="n"/>
      <c r="D569" s="125" t="n"/>
      <c r="E569" s="126" t="n"/>
      <c r="F569" s="124" t="n"/>
      <c r="G569" s="121">
        <f>IF($D569=0,0,$D569*$E569)</f>
        <v/>
      </c>
      <c r="H569" s="122">
        <f>IF($B569="","",CONCATENATE("Hareket: ",$C569,"/",$D569," adet ",$B569))</f>
        <v/>
      </c>
    </row>
    <row r="570" ht="15" customHeight="1" s="77">
      <c r="A570" s="123" t="n"/>
      <c r="B570" s="124" t="n"/>
      <c r="C570" s="124" t="n"/>
      <c r="D570" s="125" t="n"/>
      <c r="E570" s="126" t="n"/>
      <c r="F570" s="124" t="n"/>
      <c r="G570" s="121">
        <f>IF($D570=0,0,$D570*$E570)</f>
        <v/>
      </c>
      <c r="H570" s="122">
        <f>IF($B570="","",CONCATENATE("Hareket: ",$C570,"/",$D570," adet ",$B570))</f>
        <v/>
      </c>
    </row>
    <row r="571" ht="15" customHeight="1" s="77">
      <c r="A571" s="123" t="n"/>
      <c r="B571" s="124" t="n"/>
      <c r="C571" s="124" t="n"/>
      <c r="D571" s="125" t="n"/>
      <c r="E571" s="126" t="n"/>
      <c r="F571" s="124" t="n"/>
      <c r="G571" s="121">
        <f>IF($D571=0,0,$D571*$E571)</f>
        <v/>
      </c>
      <c r="H571" s="122">
        <f>IF($B571="","",CONCATENATE("Hareket: ",$C571,"/",$D571," adet ",$B571))</f>
        <v/>
      </c>
    </row>
    <row r="572" ht="15" customHeight="1" s="77">
      <c r="A572" s="123" t="n"/>
      <c r="B572" s="124" t="n"/>
      <c r="C572" s="124" t="n"/>
      <c r="D572" s="125" t="n"/>
      <c r="E572" s="126" t="n"/>
      <c r="F572" s="124" t="n"/>
      <c r="G572" s="121">
        <f>IF($D572=0,0,$D572*$E572)</f>
        <v/>
      </c>
      <c r="H572" s="122">
        <f>IF($B572="","",CONCATENATE("Hareket: ",$C572,"/",$D572," adet ",$B572))</f>
        <v/>
      </c>
    </row>
    <row r="573" ht="15" customHeight="1" s="77">
      <c r="A573" s="123" t="n"/>
      <c r="B573" s="124" t="n"/>
      <c r="C573" s="124" t="n"/>
      <c r="D573" s="125" t="n"/>
      <c r="E573" s="126" t="n"/>
      <c r="F573" s="124" t="n"/>
      <c r="G573" s="121">
        <f>IF($D573=0,0,$D573*$E573)</f>
        <v/>
      </c>
      <c r="H573" s="122">
        <f>IF($B573="","",CONCATENATE("Hareket: ",$C573,"/",$D573," adet ",$B573))</f>
        <v/>
      </c>
    </row>
    <row r="574" ht="15" customHeight="1" s="77">
      <c r="A574" s="123" t="n"/>
      <c r="B574" s="124" t="n"/>
      <c r="C574" s="124" t="n"/>
      <c r="D574" s="125" t="n"/>
      <c r="E574" s="126" t="n"/>
      <c r="F574" s="124" t="n"/>
      <c r="G574" s="121">
        <f>IF($D574=0,0,$D574*$E574)</f>
        <v/>
      </c>
      <c r="H574" s="122">
        <f>IF($B574="","",CONCATENATE("Hareket: ",$C574,"/",$D574," adet ",$B574))</f>
        <v/>
      </c>
    </row>
    <row r="575" ht="15" customHeight="1" s="77">
      <c r="A575" s="123" t="n"/>
      <c r="B575" s="124" t="n"/>
      <c r="C575" s="124" t="n"/>
      <c r="D575" s="125" t="n"/>
      <c r="E575" s="126" t="n"/>
      <c r="F575" s="124" t="n"/>
      <c r="G575" s="121">
        <f>IF($D575=0,0,$D575*$E575)</f>
        <v/>
      </c>
      <c r="H575" s="122">
        <f>IF($B575="","",CONCATENATE("Hareket: ",$C575,"/",$D575," adet ",$B575))</f>
        <v/>
      </c>
    </row>
    <row r="576" ht="15" customHeight="1" s="77">
      <c r="A576" s="123" t="n"/>
      <c r="B576" s="124" t="n"/>
      <c r="C576" s="124" t="n"/>
      <c r="D576" s="125" t="n"/>
      <c r="E576" s="126" t="n"/>
      <c r="F576" s="124" t="n"/>
      <c r="G576" s="121">
        <f>IF($D576=0,0,$D576*$E576)</f>
        <v/>
      </c>
      <c r="H576" s="122">
        <f>IF($B576="","",CONCATENATE("Hareket: ",$C576,"/",$D576," adet ",$B576))</f>
        <v/>
      </c>
    </row>
    <row r="577" ht="15" customHeight="1" s="77">
      <c r="A577" s="123" t="n"/>
      <c r="B577" s="124" t="n"/>
      <c r="C577" s="124" t="n"/>
      <c r="D577" s="125" t="n"/>
      <c r="E577" s="126" t="n"/>
      <c r="F577" s="124" t="n"/>
      <c r="G577" s="121">
        <f>IF($D577=0,0,$D577*$E577)</f>
        <v/>
      </c>
      <c r="H577" s="122">
        <f>IF($B577="","",CONCATENATE("Hareket: ",$C577,"/",$D577," adet ",$B577))</f>
        <v/>
      </c>
    </row>
    <row r="578" ht="15" customHeight="1" s="77">
      <c r="A578" s="123" t="n"/>
      <c r="B578" s="124" t="n"/>
      <c r="C578" s="124" t="n"/>
      <c r="D578" s="125" t="n"/>
      <c r="E578" s="126" t="n"/>
      <c r="F578" s="124" t="n"/>
      <c r="G578" s="121">
        <f>IF($D578=0,0,$D578*$E578)</f>
        <v/>
      </c>
      <c r="H578" s="122">
        <f>IF($B578="","",CONCATENATE("Hareket: ",$C578,"/",$D578," adet ",$B578))</f>
        <v/>
      </c>
    </row>
    <row r="579" ht="15" customHeight="1" s="77">
      <c r="A579" s="123" t="n"/>
      <c r="B579" s="124" t="n"/>
      <c r="C579" s="124" t="n"/>
      <c r="D579" s="125" t="n"/>
      <c r="E579" s="126" t="n"/>
      <c r="F579" s="124" t="n"/>
      <c r="G579" s="121">
        <f>IF($D579=0,0,$D579*$E579)</f>
        <v/>
      </c>
      <c r="H579" s="122">
        <f>IF($B579="","",CONCATENATE("Hareket: ",$C579,"/",$D579," adet ",$B579))</f>
        <v/>
      </c>
    </row>
    <row r="580" ht="15" customHeight="1" s="77">
      <c r="A580" s="123" t="n"/>
      <c r="B580" s="124" t="n"/>
      <c r="C580" s="124" t="n"/>
      <c r="D580" s="125" t="n"/>
      <c r="E580" s="126" t="n"/>
      <c r="F580" s="124" t="n"/>
      <c r="G580" s="121">
        <f>IF($D580=0,0,$D580*$E580)</f>
        <v/>
      </c>
      <c r="H580" s="122">
        <f>IF($B580="","",CONCATENATE("Hareket: ",$C580,"/",$D580," adet ",$B580))</f>
        <v/>
      </c>
    </row>
    <row r="581" ht="15" customHeight="1" s="77">
      <c r="A581" s="123" t="n"/>
      <c r="B581" s="124" t="n"/>
      <c r="C581" s="124" t="n"/>
      <c r="D581" s="125" t="n"/>
      <c r="E581" s="126" t="n"/>
      <c r="F581" s="124" t="n"/>
      <c r="G581" s="121">
        <f>IF($D581=0,0,$D581*$E581)</f>
        <v/>
      </c>
      <c r="H581" s="122">
        <f>IF($B581="","",CONCATENATE("Hareket: ",$C581,"/",$D581," adet ",$B581))</f>
        <v/>
      </c>
    </row>
    <row r="582" ht="15" customHeight="1" s="77">
      <c r="A582" s="123" t="n"/>
      <c r="B582" s="124" t="n"/>
      <c r="C582" s="124" t="n"/>
      <c r="D582" s="125" t="n"/>
      <c r="E582" s="126" t="n"/>
      <c r="F582" s="124" t="n"/>
      <c r="G582" s="121">
        <f>IF($D582=0,0,$D582*$E582)</f>
        <v/>
      </c>
      <c r="H582" s="122">
        <f>IF($B582="","",CONCATENATE("Hareket: ",$C582,"/",$D582," adet ",$B582))</f>
        <v/>
      </c>
    </row>
    <row r="583" ht="15" customHeight="1" s="77">
      <c r="A583" s="123" t="n"/>
      <c r="B583" s="124" t="n"/>
      <c r="C583" s="124" t="n"/>
      <c r="D583" s="125" t="n"/>
      <c r="E583" s="126" t="n"/>
      <c r="F583" s="124" t="n"/>
      <c r="G583" s="121">
        <f>IF($D583=0,0,$D583*$E583)</f>
        <v/>
      </c>
      <c r="H583" s="122">
        <f>IF($B583="","",CONCATENATE("Hareket: ",$C583,"/",$D583," adet ",$B583))</f>
        <v/>
      </c>
    </row>
    <row r="584" ht="15" customHeight="1" s="77">
      <c r="A584" s="123" t="n"/>
      <c r="B584" s="124" t="n"/>
      <c r="C584" s="124" t="n"/>
      <c r="D584" s="125" t="n"/>
      <c r="E584" s="126" t="n"/>
      <c r="F584" s="124" t="n"/>
      <c r="G584" s="121">
        <f>IF($D584=0,0,$D584*$E584)</f>
        <v/>
      </c>
      <c r="H584" s="122">
        <f>IF($B584="","",CONCATENATE("Hareket: ",$C584,"/",$D584," adet ",$B584))</f>
        <v/>
      </c>
    </row>
    <row r="585" ht="15" customHeight="1" s="77">
      <c r="A585" s="123" t="n"/>
      <c r="B585" s="124" t="n"/>
      <c r="C585" s="124" t="n"/>
      <c r="D585" s="125" t="n"/>
      <c r="E585" s="126" t="n"/>
      <c r="F585" s="124" t="n"/>
      <c r="G585" s="121">
        <f>IF($D585=0,0,$D585*$E585)</f>
        <v/>
      </c>
      <c r="H585" s="122">
        <f>IF($B585="","",CONCATENATE("Hareket: ",$C585,"/",$D585," adet ",$B585))</f>
        <v/>
      </c>
    </row>
    <row r="586" ht="15" customHeight="1" s="77">
      <c r="A586" s="123" t="n"/>
      <c r="B586" s="124" t="n"/>
      <c r="C586" s="124" t="n"/>
      <c r="D586" s="125" t="n"/>
      <c r="E586" s="126" t="n"/>
      <c r="F586" s="124" t="n"/>
      <c r="G586" s="121">
        <f>IF($D586=0,0,$D586*$E586)</f>
        <v/>
      </c>
      <c r="H586" s="122">
        <f>IF($B586="","",CONCATENATE("Hareket: ",$C586,"/",$D586," adet ",$B586))</f>
        <v/>
      </c>
    </row>
    <row r="587" ht="15" customHeight="1" s="77">
      <c r="A587" s="123" t="n"/>
      <c r="B587" s="124" t="n"/>
      <c r="C587" s="124" t="n"/>
      <c r="D587" s="125" t="n"/>
      <c r="E587" s="126" t="n"/>
      <c r="F587" s="124" t="n"/>
      <c r="G587" s="121">
        <f>IF($D587=0,0,$D587*$E587)</f>
        <v/>
      </c>
      <c r="H587" s="122">
        <f>IF($B587="","",CONCATENATE("Hareket: ",$C587,"/",$D587," adet ",$B587))</f>
        <v/>
      </c>
    </row>
    <row r="588" ht="15" customHeight="1" s="77">
      <c r="A588" s="123" t="n"/>
      <c r="B588" s="124" t="n"/>
      <c r="C588" s="124" t="n"/>
      <c r="D588" s="125" t="n"/>
      <c r="E588" s="126" t="n"/>
      <c r="F588" s="124" t="n"/>
      <c r="G588" s="121">
        <f>IF($D588=0,0,$D588*$E588)</f>
        <v/>
      </c>
      <c r="H588" s="122">
        <f>IF($B588="","",CONCATENATE("Hareket: ",$C588,"/",$D588," adet ",$B588))</f>
        <v/>
      </c>
    </row>
    <row r="589" ht="15" customHeight="1" s="77">
      <c r="A589" s="123" t="n"/>
      <c r="B589" s="124" t="n"/>
      <c r="C589" s="124" t="n"/>
      <c r="D589" s="125" t="n"/>
      <c r="E589" s="126" t="n"/>
      <c r="F589" s="124" t="n"/>
      <c r="G589" s="121">
        <f>IF($D589=0,0,$D589*$E589)</f>
        <v/>
      </c>
      <c r="H589" s="122">
        <f>IF($B589="","",CONCATENATE("Hareket: ",$C589,"/",$D589," adet ",$B589))</f>
        <v/>
      </c>
    </row>
    <row r="590" ht="15" customHeight="1" s="77">
      <c r="A590" s="123" t="n"/>
      <c r="B590" s="124" t="n"/>
      <c r="C590" s="124" t="n"/>
      <c r="D590" s="125" t="n"/>
      <c r="E590" s="126" t="n"/>
      <c r="F590" s="124" t="n"/>
      <c r="G590" s="121">
        <f>IF($D590=0,0,$D590*$E590)</f>
        <v/>
      </c>
      <c r="H590" s="122">
        <f>IF($B590="","",CONCATENATE("Hareket: ",$C590,"/",$D590," adet ",$B590))</f>
        <v/>
      </c>
    </row>
    <row r="591" ht="15" customHeight="1" s="77">
      <c r="A591" s="123" t="n"/>
      <c r="B591" s="124" t="n"/>
      <c r="C591" s="124" t="n"/>
      <c r="D591" s="125" t="n"/>
      <c r="E591" s="126" t="n"/>
      <c r="F591" s="124" t="n"/>
      <c r="G591" s="121">
        <f>IF($D591=0,0,$D591*$E591)</f>
        <v/>
      </c>
      <c r="H591" s="122">
        <f>IF($B591="","",CONCATENATE("Hareket: ",$C591,"/",$D591," adet ",$B591))</f>
        <v/>
      </c>
    </row>
    <row r="592" ht="15" customHeight="1" s="77">
      <c r="A592" s="123" t="n"/>
      <c r="B592" s="124" t="n"/>
      <c r="C592" s="124" t="n"/>
      <c r="D592" s="125" t="n"/>
      <c r="E592" s="126" t="n"/>
      <c r="F592" s="124" t="n"/>
      <c r="G592" s="121">
        <f>IF($D592=0,0,$D592*$E592)</f>
        <v/>
      </c>
      <c r="H592" s="122">
        <f>IF($B592="","",CONCATENATE("Hareket: ",$C592,"/",$D592," adet ",$B592))</f>
        <v/>
      </c>
    </row>
    <row r="593" ht="15" customHeight="1" s="77">
      <c r="A593" s="123" t="n"/>
      <c r="B593" s="124" t="n"/>
      <c r="C593" s="124" t="n"/>
      <c r="D593" s="125" t="n"/>
      <c r="E593" s="126" t="n"/>
      <c r="F593" s="124" t="n"/>
      <c r="G593" s="121">
        <f>IF($D593=0,0,$D593*$E593)</f>
        <v/>
      </c>
      <c r="H593" s="122">
        <f>IF($B593="","",CONCATENATE("Hareket: ",$C593,"/",$D593," adet ",$B593))</f>
        <v/>
      </c>
    </row>
    <row r="594" ht="15" customHeight="1" s="77">
      <c r="A594" s="123" t="n"/>
      <c r="B594" s="124" t="n"/>
      <c r="C594" s="124" t="n"/>
      <c r="D594" s="125" t="n"/>
      <c r="E594" s="126" t="n"/>
      <c r="F594" s="124" t="n"/>
      <c r="G594" s="121">
        <f>IF($D594=0,0,$D594*$E594)</f>
        <v/>
      </c>
      <c r="H594" s="122">
        <f>IF($B594="","",CONCATENATE("Hareket: ",$C594,"/",$D594," adet ",$B594))</f>
        <v/>
      </c>
    </row>
    <row r="595" ht="15" customHeight="1" s="77">
      <c r="A595" s="123" t="n"/>
      <c r="B595" s="124" t="n"/>
      <c r="C595" s="124" t="n"/>
      <c r="D595" s="125" t="n"/>
      <c r="E595" s="126" t="n"/>
      <c r="F595" s="124" t="n"/>
      <c r="G595" s="121">
        <f>IF($D595=0,0,$D595*$E595)</f>
        <v/>
      </c>
      <c r="H595" s="122">
        <f>IF($B595="","",CONCATENATE("Hareket: ",$C595,"/",$D595," adet ",$B595))</f>
        <v/>
      </c>
    </row>
    <row r="596" ht="15" customHeight="1" s="77">
      <c r="A596" s="123" t="n"/>
      <c r="B596" s="124" t="n"/>
      <c r="C596" s="124" t="n"/>
      <c r="D596" s="125" t="n"/>
      <c r="E596" s="126" t="n"/>
      <c r="F596" s="124" t="n"/>
      <c r="G596" s="121">
        <f>IF($D596=0,0,$D596*$E596)</f>
        <v/>
      </c>
      <c r="H596" s="122">
        <f>IF($B596="","",CONCATENATE("Hareket: ",$C596,"/",$D596," adet ",$B596))</f>
        <v/>
      </c>
    </row>
    <row r="597" ht="15" customHeight="1" s="77">
      <c r="A597" s="123" t="n"/>
      <c r="B597" s="124" t="n"/>
      <c r="C597" s="124" t="n"/>
      <c r="D597" s="125" t="n"/>
      <c r="E597" s="126" t="n"/>
      <c r="F597" s="124" t="n"/>
      <c r="G597" s="121">
        <f>IF($D597=0,0,$D597*$E597)</f>
        <v/>
      </c>
      <c r="H597" s="122">
        <f>IF($B597="","",CONCATENATE("Hareket: ",$C597,"/",$D597," adet ",$B597))</f>
        <v/>
      </c>
    </row>
    <row r="598" ht="15" customHeight="1" s="77">
      <c r="A598" s="123" t="n"/>
      <c r="B598" s="124" t="n"/>
      <c r="C598" s="124" t="n"/>
      <c r="D598" s="125" t="n"/>
      <c r="E598" s="126" t="n"/>
      <c r="F598" s="124" t="n"/>
      <c r="G598" s="121">
        <f>IF($D598=0,0,$D598*$E598)</f>
        <v/>
      </c>
      <c r="H598" s="122">
        <f>IF($B598="","",CONCATENATE("Hareket: ",$C598,"/",$D598," adet ",$B598))</f>
        <v/>
      </c>
    </row>
    <row r="599" ht="15" customHeight="1" s="77">
      <c r="A599" s="123" t="n"/>
      <c r="B599" s="124" t="n"/>
      <c r="C599" s="124" t="n"/>
      <c r="D599" s="125" t="n"/>
      <c r="E599" s="126" t="n"/>
      <c r="F599" s="124" t="n"/>
      <c r="G599" s="121">
        <f>IF($D599=0,0,$D599*$E599)</f>
        <v/>
      </c>
      <c r="H599" s="122">
        <f>IF($B599="","",CONCATENATE("Hareket: ",$C599,"/",$D599," adet ",$B599))</f>
        <v/>
      </c>
    </row>
    <row r="600" ht="15" customHeight="1" s="77">
      <c r="A600" s="123" t="n"/>
      <c r="B600" s="124" t="n"/>
      <c r="C600" s="124" t="n"/>
      <c r="D600" s="125" t="n"/>
      <c r="E600" s="126" t="n"/>
      <c r="F600" s="124" t="n"/>
      <c r="G600" s="121">
        <f>IF($D600=0,0,$D600*$E600)</f>
        <v/>
      </c>
      <c r="H600" s="122">
        <f>IF($B600="","",CONCATENATE("Hareket: ",$C600,"/",$D600," adet ",$B600))</f>
        <v/>
      </c>
    </row>
    <row r="601" ht="15" customHeight="1" s="77">
      <c r="A601" s="123" t="n"/>
      <c r="B601" s="124" t="n"/>
      <c r="C601" s="124" t="n"/>
      <c r="D601" s="125" t="n"/>
      <c r="E601" s="126" t="n"/>
      <c r="F601" s="124" t="n"/>
      <c r="G601" s="121">
        <f>IF($D601=0,0,$D601*$E601)</f>
        <v/>
      </c>
      <c r="H601" s="122">
        <f>IF($B601="","",CONCATENATE("Hareket: ",$C601,"/",$D601," adet ",$B601))</f>
        <v/>
      </c>
    </row>
    <row r="602" ht="15" customHeight="1" s="77">
      <c r="A602" s="123" t="n"/>
      <c r="B602" s="124" t="n"/>
      <c r="C602" s="124" t="n"/>
      <c r="D602" s="125" t="n"/>
      <c r="E602" s="126" t="n"/>
      <c r="F602" s="124" t="n"/>
      <c r="G602" s="121">
        <f>IF($D602=0,0,$D602*$E602)</f>
        <v/>
      </c>
      <c r="H602" s="122">
        <f>IF($B602="","",CONCATENATE("Hareket: ",$C602,"/",$D602," adet ",$B602))</f>
        <v/>
      </c>
    </row>
    <row r="603" ht="15" customHeight="1" s="77">
      <c r="A603" s="123" t="n"/>
      <c r="B603" s="124" t="n"/>
      <c r="C603" s="124" t="n"/>
      <c r="D603" s="125" t="n"/>
      <c r="E603" s="126" t="n"/>
      <c r="F603" s="124" t="n"/>
      <c r="G603" s="121">
        <f>IF($D603=0,0,$D603*$E603)</f>
        <v/>
      </c>
      <c r="H603" s="122">
        <f>IF($B603="","",CONCATENATE("Hareket: ",$C603,"/",$D603," adet ",$B603))</f>
        <v/>
      </c>
    </row>
    <row r="604" ht="15" customHeight="1" s="77">
      <c r="A604" s="123" t="n"/>
      <c r="B604" s="124" t="n"/>
      <c r="C604" s="124" t="n"/>
      <c r="D604" s="125" t="n"/>
      <c r="E604" s="126" t="n"/>
      <c r="F604" s="124" t="n"/>
      <c r="G604" s="121">
        <f>IF($D604=0,0,$D604*$E604)</f>
        <v/>
      </c>
      <c r="H604" s="122">
        <f>IF($B604="","",CONCATENATE("Hareket: ",$C604,"/",$D604," adet ",$B604))</f>
        <v/>
      </c>
    </row>
    <row r="605" ht="15" customHeight="1" s="77">
      <c r="A605" s="123" t="n"/>
      <c r="B605" s="124" t="n"/>
      <c r="C605" s="124" t="n"/>
      <c r="D605" s="125" t="n"/>
      <c r="E605" s="126" t="n"/>
      <c r="F605" s="124" t="n"/>
      <c r="G605" s="121">
        <f>IF($D605=0,0,$D605*$E605)</f>
        <v/>
      </c>
      <c r="H605" s="122">
        <f>IF($B605="","",CONCATENATE("Hareket: ",$C605,"/",$D605," adet ",$B605))</f>
        <v/>
      </c>
    </row>
    <row r="606" ht="15" customHeight="1" s="77">
      <c r="A606" s="123" t="n"/>
      <c r="B606" s="124" t="n"/>
      <c r="C606" s="124" t="n"/>
      <c r="D606" s="125" t="n"/>
      <c r="E606" s="126" t="n"/>
      <c r="F606" s="124" t="n"/>
      <c r="G606" s="121">
        <f>IF($D606=0,0,$D606*$E606)</f>
        <v/>
      </c>
      <c r="H606" s="122">
        <f>IF($B606="","",CONCATENATE("Hareket: ",$C606,"/",$D606," adet ",$B606))</f>
        <v/>
      </c>
    </row>
    <row r="607" ht="15" customHeight="1" s="77">
      <c r="A607" s="123" t="n"/>
      <c r="B607" s="124" t="n"/>
      <c r="C607" s="124" t="n"/>
      <c r="D607" s="125" t="n"/>
      <c r="E607" s="126" t="n"/>
      <c r="F607" s="124" t="n"/>
      <c r="G607" s="121">
        <f>IF($D607=0,0,$D607*$E607)</f>
        <v/>
      </c>
      <c r="H607" s="122">
        <f>IF($B607="","",CONCATENATE("Hareket: ",$C607,"/",$D607," adet ",$B607))</f>
        <v/>
      </c>
    </row>
    <row r="608" ht="15" customHeight="1" s="77">
      <c r="A608" s="123" t="n"/>
      <c r="B608" s="124" t="n"/>
      <c r="C608" s="124" t="n"/>
      <c r="D608" s="125" t="n"/>
      <c r="E608" s="126" t="n"/>
      <c r="F608" s="124" t="n"/>
      <c r="G608" s="121">
        <f>IF($D608=0,0,$D608*$E608)</f>
        <v/>
      </c>
      <c r="H608" s="122">
        <f>IF($B608="","",CONCATENATE("Hareket: ",$C608,"/",$D608," adet ",$B608))</f>
        <v/>
      </c>
    </row>
    <row r="609" ht="15" customHeight="1" s="77">
      <c r="A609" s="123" t="n"/>
      <c r="B609" s="124" t="n"/>
      <c r="C609" s="124" t="n"/>
      <c r="D609" s="125" t="n"/>
      <c r="E609" s="126" t="n"/>
      <c r="F609" s="124" t="n"/>
      <c r="G609" s="121">
        <f>IF($D609=0,0,$D609*$E609)</f>
        <v/>
      </c>
      <c r="H609" s="122">
        <f>IF($B609="","",CONCATENATE("Hareket: ",$C609,"/",$D609," adet ",$B609))</f>
        <v/>
      </c>
    </row>
    <row r="610" ht="15" customHeight="1" s="77">
      <c r="A610" s="123" t="n"/>
      <c r="B610" s="124" t="n"/>
      <c r="C610" s="124" t="n"/>
      <c r="D610" s="125" t="n"/>
      <c r="E610" s="126" t="n"/>
      <c r="F610" s="124" t="n"/>
      <c r="G610" s="121">
        <f>IF($D610=0,0,$D610*$E610)</f>
        <v/>
      </c>
      <c r="H610" s="122">
        <f>IF($B610="","",CONCATENATE("Hareket: ",$C610,"/",$D610," adet ",$B610))</f>
        <v/>
      </c>
    </row>
    <row r="611" ht="15" customHeight="1" s="77">
      <c r="A611" s="123" t="n"/>
      <c r="B611" s="124" t="n"/>
      <c r="C611" s="124" t="n"/>
      <c r="D611" s="125" t="n"/>
      <c r="E611" s="126" t="n"/>
      <c r="F611" s="124" t="n"/>
      <c r="G611" s="121">
        <f>IF($D611=0,0,$D611*$E611)</f>
        <v/>
      </c>
      <c r="H611" s="122">
        <f>IF($B611="","",CONCATENATE("Hareket: ",$C611,"/",$D611," adet ",$B611))</f>
        <v/>
      </c>
    </row>
    <row r="612" ht="15" customHeight="1" s="77">
      <c r="A612" s="123" t="n"/>
      <c r="B612" s="124" t="n"/>
      <c r="C612" s="124" t="n"/>
      <c r="D612" s="125" t="n"/>
      <c r="E612" s="126" t="n"/>
      <c r="F612" s="124" t="n"/>
      <c r="G612" s="121">
        <f>IF($D612=0,0,$D612*$E612)</f>
        <v/>
      </c>
      <c r="H612" s="122">
        <f>IF($B612="","",CONCATENATE("Hareket: ",$C612,"/",$D612," adet ",$B612))</f>
        <v/>
      </c>
    </row>
    <row r="613" ht="15" customHeight="1" s="77">
      <c r="A613" s="123" t="n"/>
      <c r="B613" s="124" t="n"/>
      <c r="C613" s="124" t="n"/>
      <c r="D613" s="125" t="n"/>
      <c r="E613" s="126" t="n"/>
      <c r="F613" s="124" t="n"/>
      <c r="G613" s="121">
        <f>IF($D613=0,0,$D613*$E613)</f>
        <v/>
      </c>
      <c r="H613" s="122">
        <f>IF($B613="","",CONCATENATE("Hareket: ",$C613,"/",$D613," adet ",$B613))</f>
        <v/>
      </c>
    </row>
    <row r="614" ht="15" customHeight="1" s="77">
      <c r="A614" s="123" t="n"/>
      <c r="B614" s="124" t="n"/>
      <c r="C614" s="124" t="n"/>
      <c r="D614" s="125" t="n"/>
      <c r="E614" s="126" t="n"/>
      <c r="F614" s="124" t="n"/>
      <c r="G614" s="121">
        <f>IF($D614=0,0,$D614*$E614)</f>
        <v/>
      </c>
      <c r="H614" s="122">
        <f>IF($B614="","",CONCATENATE("Hareket: ",$C614,"/",$D614," adet ",$B614))</f>
        <v/>
      </c>
    </row>
    <row r="615" ht="15" customHeight="1" s="77">
      <c r="A615" s="123" t="n"/>
      <c r="B615" s="124" t="n"/>
      <c r="C615" s="124" t="n"/>
      <c r="D615" s="125" t="n"/>
      <c r="E615" s="126" t="n"/>
      <c r="F615" s="124" t="n"/>
      <c r="G615" s="121">
        <f>IF($D615=0,0,$D615*$E615)</f>
        <v/>
      </c>
      <c r="H615" s="122">
        <f>IF($B615="","",CONCATENATE("Hareket: ",$C615,"/",$D615," adet ",$B615))</f>
        <v/>
      </c>
    </row>
    <row r="616" ht="15" customHeight="1" s="77">
      <c r="A616" s="123" t="n"/>
      <c r="B616" s="124" t="n"/>
      <c r="C616" s="124" t="n"/>
      <c r="D616" s="125" t="n"/>
      <c r="E616" s="126" t="n"/>
      <c r="F616" s="124" t="n"/>
      <c r="G616" s="121">
        <f>IF($D616=0,0,$D616*$E616)</f>
        <v/>
      </c>
      <c r="H616" s="122">
        <f>IF($B616="","",CONCATENATE("Hareket: ",$C616,"/",$D616," adet ",$B616))</f>
        <v/>
      </c>
    </row>
    <row r="617" ht="15" customHeight="1" s="77">
      <c r="A617" s="123" t="n"/>
      <c r="B617" s="124" t="n"/>
      <c r="C617" s="124" t="n"/>
      <c r="D617" s="125" t="n"/>
      <c r="E617" s="126" t="n"/>
      <c r="F617" s="124" t="n"/>
      <c r="G617" s="121">
        <f>IF($D617=0,0,$D617*$E617)</f>
        <v/>
      </c>
      <c r="H617" s="122">
        <f>IF($B617="","",CONCATENATE("Hareket: ",$C617,"/",$D617," adet ",$B617))</f>
        <v/>
      </c>
    </row>
    <row r="618" ht="15" customHeight="1" s="77">
      <c r="A618" s="123" t="n"/>
      <c r="B618" s="124" t="n"/>
      <c r="C618" s="124" t="n"/>
      <c r="D618" s="125" t="n"/>
      <c r="E618" s="126" t="n"/>
      <c r="F618" s="124" t="n"/>
      <c r="G618" s="121">
        <f>IF($D618=0,0,$D618*$E618)</f>
        <v/>
      </c>
      <c r="H618" s="122">
        <f>IF($B618="","",CONCATENATE("Hareket: ",$C618,"/",$D618," adet ",$B618))</f>
        <v/>
      </c>
    </row>
    <row r="619" ht="15" customHeight="1" s="77">
      <c r="A619" s="123" t="n"/>
      <c r="B619" s="124" t="n"/>
      <c r="C619" s="124" t="n"/>
      <c r="D619" s="125" t="n"/>
      <c r="E619" s="126" t="n"/>
      <c r="F619" s="124" t="n"/>
      <c r="G619" s="121">
        <f>IF($D619=0,0,$D619*$E619)</f>
        <v/>
      </c>
      <c r="H619" s="122">
        <f>IF($B619="","",CONCATENATE("Hareket: ",$C619,"/",$D619," adet ",$B619))</f>
        <v/>
      </c>
    </row>
    <row r="620" ht="15" customHeight="1" s="77">
      <c r="A620" s="123" t="n"/>
      <c r="B620" s="124" t="n"/>
      <c r="C620" s="124" t="n"/>
      <c r="D620" s="125" t="n"/>
      <c r="E620" s="126" t="n"/>
      <c r="F620" s="124" t="n"/>
      <c r="G620" s="121">
        <f>IF($D620=0,0,$D620*$E620)</f>
        <v/>
      </c>
      <c r="H620" s="122">
        <f>IF($B620="","",CONCATENATE("Hareket: ",$C620,"/",$D620," adet ",$B620))</f>
        <v/>
      </c>
    </row>
    <row r="621" ht="15" customHeight="1" s="77">
      <c r="A621" s="123" t="n"/>
      <c r="B621" s="124" t="n"/>
      <c r="C621" s="124" t="n"/>
      <c r="D621" s="125" t="n"/>
      <c r="E621" s="126" t="n"/>
      <c r="F621" s="124" t="n"/>
      <c r="G621" s="121">
        <f>IF($D621=0,0,$D621*$E621)</f>
        <v/>
      </c>
      <c r="H621" s="122">
        <f>IF($B621="","",CONCATENATE("Hareket: ",$C621,"/",$D621," adet ",$B621))</f>
        <v/>
      </c>
    </row>
    <row r="622" ht="15" customHeight="1" s="77">
      <c r="A622" s="123" t="n"/>
      <c r="B622" s="124" t="n"/>
      <c r="C622" s="124" t="n"/>
      <c r="D622" s="125" t="n"/>
      <c r="E622" s="126" t="n"/>
      <c r="F622" s="124" t="n"/>
      <c r="G622" s="121">
        <f>IF($D622=0,0,$D622*$E622)</f>
        <v/>
      </c>
      <c r="H622" s="122">
        <f>IF($B622="","",CONCATENATE("Hareket: ",$C622,"/",$D622," adet ",$B622))</f>
        <v/>
      </c>
    </row>
    <row r="623" ht="15" customHeight="1" s="77">
      <c r="A623" s="123" t="n"/>
      <c r="B623" s="124" t="n"/>
      <c r="C623" s="124" t="n"/>
      <c r="D623" s="125" t="n"/>
      <c r="E623" s="126" t="n"/>
      <c r="F623" s="124" t="n"/>
      <c r="G623" s="121">
        <f>IF($D623=0,0,$D623*$E623)</f>
        <v/>
      </c>
      <c r="H623" s="122">
        <f>IF($B623="","",CONCATENATE("Hareket: ",$C623,"/",$D623," adet ",$B623))</f>
        <v/>
      </c>
    </row>
    <row r="624" ht="15" customHeight="1" s="77">
      <c r="A624" s="123" t="n"/>
      <c r="B624" s="124" t="n"/>
      <c r="C624" s="124" t="n"/>
      <c r="D624" s="125" t="n"/>
      <c r="E624" s="126" t="n"/>
      <c r="F624" s="124" t="n"/>
      <c r="G624" s="121">
        <f>IF($D624=0,0,$D624*$E624)</f>
        <v/>
      </c>
      <c r="H624" s="122">
        <f>IF($B624="","",CONCATENATE("Hareket: ",$C624,"/",$D624," adet ",$B624))</f>
        <v/>
      </c>
    </row>
    <row r="625" ht="15" customHeight="1" s="77">
      <c r="A625" s="123" t="n"/>
      <c r="B625" s="124" t="n"/>
      <c r="C625" s="124" t="n"/>
      <c r="D625" s="125" t="n"/>
      <c r="E625" s="126" t="n"/>
      <c r="F625" s="124" t="n"/>
      <c r="G625" s="121">
        <f>IF($D625=0,0,$D625*$E625)</f>
        <v/>
      </c>
      <c r="H625" s="122">
        <f>IF($B625="","",CONCATENATE("Hareket: ",$C625,"/",$D625," adet ",$B625))</f>
        <v/>
      </c>
    </row>
    <row r="626" ht="15" customHeight="1" s="77">
      <c r="A626" s="123" t="n"/>
      <c r="B626" s="124" t="n"/>
      <c r="C626" s="124" t="n"/>
      <c r="D626" s="125" t="n"/>
      <c r="E626" s="126" t="n"/>
      <c r="F626" s="124" t="n"/>
      <c r="G626" s="121">
        <f>IF($D626=0,0,$D626*$E626)</f>
        <v/>
      </c>
      <c r="H626" s="122">
        <f>IF($B626="","",CONCATENATE("Hareket: ",$C626,"/",$D626," adet ",$B626))</f>
        <v/>
      </c>
    </row>
    <row r="627" ht="15" customHeight="1" s="77">
      <c r="A627" s="123" t="n"/>
      <c r="B627" s="124" t="n"/>
      <c r="C627" s="124" t="n"/>
      <c r="D627" s="125" t="n"/>
      <c r="E627" s="126" t="n"/>
      <c r="F627" s="124" t="n"/>
      <c r="G627" s="121">
        <f>IF($D627=0,0,$D627*$E627)</f>
        <v/>
      </c>
      <c r="H627" s="122">
        <f>IF($B627="","",CONCATENATE("Hareket: ",$C627,"/",$D627," adet ",$B627))</f>
        <v/>
      </c>
    </row>
    <row r="628" ht="15" customHeight="1" s="77">
      <c r="A628" s="123" t="n"/>
      <c r="B628" s="124" t="n"/>
      <c r="C628" s="124" t="n"/>
      <c r="D628" s="125" t="n"/>
      <c r="E628" s="126" t="n"/>
      <c r="F628" s="124" t="n"/>
      <c r="G628" s="121">
        <f>IF($D628=0,0,$D628*$E628)</f>
        <v/>
      </c>
      <c r="H628" s="122">
        <f>IF($B628="","",CONCATENATE("Hareket: ",$C628,"/",$D628," adet ",$B628))</f>
        <v/>
      </c>
    </row>
    <row r="629" ht="15" customHeight="1" s="77">
      <c r="A629" s="123" t="n"/>
      <c r="B629" s="124" t="n"/>
      <c r="C629" s="124" t="n"/>
      <c r="D629" s="125" t="n"/>
      <c r="E629" s="126" t="n"/>
      <c r="F629" s="124" t="n"/>
      <c r="G629" s="121">
        <f>IF($D629=0,0,$D629*$E629)</f>
        <v/>
      </c>
      <c r="H629" s="122">
        <f>IF($B629="","",CONCATENATE("Hareket: ",$C629,"/",$D629," adet ",$B629))</f>
        <v/>
      </c>
    </row>
    <row r="630" ht="15" customHeight="1" s="77">
      <c r="A630" s="123" t="n"/>
      <c r="B630" s="124" t="n"/>
      <c r="C630" s="124" t="n"/>
      <c r="D630" s="125" t="n"/>
      <c r="E630" s="126" t="n"/>
      <c r="F630" s="124" t="n"/>
      <c r="G630" s="121">
        <f>IF($D630=0,0,$D630*$E630)</f>
        <v/>
      </c>
      <c r="H630" s="122">
        <f>IF($B630="","",CONCATENATE("Hareket: ",$C630,"/",$D630," adet ",$B630))</f>
        <v/>
      </c>
    </row>
    <row r="631" ht="15" customHeight="1" s="77">
      <c r="A631" s="123" t="n"/>
      <c r="B631" s="124" t="n"/>
      <c r="C631" s="124" t="n"/>
      <c r="D631" s="125" t="n"/>
      <c r="E631" s="126" t="n"/>
      <c r="F631" s="124" t="n"/>
      <c r="G631" s="121">
        <f>IF($D631=0,0,$D631*$E631)</f>
        <v/>
      </c>
      <c r="H631" s="122">
        <f>IF($B631="","",CONCATENATE("Hareket: ",$C631,"/",$D631," adet ",$B631))</f>
        <v/>
      </c>
    </row>
    <row r="632" ht="15" customHeight="1" s="77">
      <c r="A632" s="123" t="n"/>
      <c r="B632" s="124" t="n"/>
      <c r="C632" s="124" t="n"/>
      <c r="D632" s="125" t="n"/>
      <c r="E632" s="126" t="n"/>
      <c r="F632" s="124" t="n"/>
      <c r="G632" s="121">
        <f>IF($D632=0,0,$D632*$E632)</f>
        <v/>
      </c>
      <c r="H632" s="122">
        <f>IF($B632="","",CONCATENATE("Hareket: ",$C632,"/",$D632," adet ",$B632))</f>
        <v/>
      </c>
    </row>
    <row r="633" ht="15" customHeight="1" s="77">
      <c r="A633" s="123" t="n"/>
      <c r="B633" s="124" t="n"/>
      <c r="C633" s="124" t="n"/>
      <c r="D633" s="125" t="n"/>
      <c r="E633" s="126" t="n"/>
      <c r="F633" s="124" t="n"/>
      <c r="G633" s="121">
        <f>IF($D633=0,0,$D633*$E633)</f>
        <v/>
      </c>
      <c r="H633" s="122">
        <f>IF($B633="","",CONCATENATE("Hareket: ",$C633,"/",$D633," adet ",$B633))</f>
        <v/>
      </c>
    </row>
    <row r="634" ht="15" customHeight="1" s="77">
      <c r="A634" s="123" t="n"/>
      <c r="B634" s="124" t="n"/>
      <c r="C634" s="124" t="n"/>
      <c r="D634" s="125" t="n"/>
      <c r="E634" s="126" t="n"/>
      <c r="F634" s="124" t="n"/>
      <c r="G634" s="121">
        <f>IF($D634=0,0,$D634*$E634)</f>
        <v/>
      </c>
      <c r="H634" s="122">
        <f>IF($B634="","",CONCATENATE("Hareket: ",$C634,"/",$D634," adet ",$B634))</f>
        <v/>
      </c>
    </row>
    <row r="635" ht="15" customHeight="1" s="77">
      <c r="A635" s="123" t="n"/>
      <c r="B635" s="124" t="n"/>
      <c r="C635" s="124" t="n"/>
      <c r="D635" s="125" t="n"/>
      <c r="E635" s="126" t="n"/>
      <c r="F635" s="124" t="n"/>
      <c r="G635" s="121">
        <f>IF($D635=0,0,$D635*$E635)</f>
        <v/>
      </c>
      <c r="H635" s="122">
        <f>IF($B635="","",CONCATENATE("Hareket: ",$C635,"/",$D635," adet ",$B635))</f>
        <v/>
      </c>
    </row>
    <row r="636" ht="15" customHeight="1" s="77">
      <c r="A636" s="123" t="n"/>
      <c r="B636" s="124" t="n"/>
      <c r="C636" s="124" t="n"/>
      <c r="D636" s="125" t="n"/>
      <c r="E636" s="126" t="n"/>
      <c r="F636" s="124" t="n"/>
      <c r="G636" s="121">
        <f>IF($D636=0,0,$D636*$E636)</f>
        <v/>
      </c>
      <c r="H636" s="122">
        <f>IF($B636="","",CONCATENATE("Hareket: ",$C636,"/",$D636," adet ",$B636))</f>
        <v/>
      </c>
    </row>
    <row r="637" ht="15" customHeight="1" s="77">
      <c r="A637" s="123" t="n"/>
      <c r="B637" s="124" t="n"/>
      <c r="C637" s="124" t="n"/>
      <c r="D637" s="125" t="n"/>
      <c r="E637" s="126" t="n"/>
      <c r="F637" s="124" t="n"/>
      <c r="G637" s="121">
        <f>IF($D637=0,0,$D637*$E637)</f>
        <v/>
      </c>
      <c r="H637" s="122">
        <f>IF($B637="","",CONCATENATE("Hareket: ",$C637,"/",$D637," adet ",$B637))</f>
        <v/>
      </c>
    </row>
    <row r="638" ht="15" customHeight="1" s="77">
      <c r="A638" s="123" t="n"/>
      <c r="B638" s="124" t="n"/>
      <c r="C638" s="124" t="n"/>
      <c r="D638" s="125" t="n"/>
      <c r="E638" s="126" t="n"/>
      <c r="F638" s="124" t="n"/>
      <c r="G638" s="121">
        <f>IF($D638=0,0,$D638*$E638)</f>
        <v/>
      </c>
      <c r="H638" s="122">
        <f>IF($B638="","",CONCATENATE("Hareket: ",$C638,"/",$D638," adet ",$B638))</f>
        <v/>
      </c>
    </row>
    <row r="639" ht="15" customHeight="1" s="77">
      <c r="A639" s="123" t="n"/>
      <c r="B639" s="124" t="n"/>
      <c r="C639" s="124" t="n"/>
      <c r="D639" s="125" t="n"/>
      <c r="E639" s="126" t="n"/>
      <c r="F639" s="124" t="n"/>
      <c r="G639" s="121">
        <f>IF($D639=0,0,$D639*$E639)</f>
        <v/>
      </c>
      <c r="H639" s="122">
        <f>IF($B639="","",CONCATENATE("Hareket: ",$C639,"/",$D639," adet ",$B639))</f>
        <v/>
      </c>
    </row>
    <row r="640" ht="15" customHeight="1" s="77">
      <c r="A640" s="123" t="n"/>
      <c r="B640" s="124" t="n"/>
      <c r="C640" s="124" t="n"/>
      <c r="D640" s="125" t="n"/>
      <c r="E640" s="126" t="n"/>
      <c r="F640" s="124" t="n"/>
      <c r="G640" s="121">
        <f>IF($D640=0,0,$D640*$E640)</f>
        <v/>
      </c>
      <c r="H640" s="122">
        <f>IF($B640="","",CONCATENATE("Hareket: ",$C640,"/",$D640," adet ",$B640))</f>
        <v/>
      </c>
    </row>
    <row r="641" ht="15" customHeight="1" s="77">
      <c r="A641" s="123" t="n"/>
      <c r="B641" s="124" t="n"/>
      <c r="C641" s="124" t="n"/>
      <c r="D641" s="125" t="n"/>
      <c r="E641" s="126" t="n"/>
      <c r="F641" s="124" t="n"/>
      <c r="G641" s="121">
        <f>IF($D641=0,0,$D641*$E641)</f>
        <v/>
      </c>
      <c r="H641" s="122">
        <f>IF($B641="","",CONCATENATE("Hareket: ",$C641,"/",$D641," adet ",$B641))</f>
        <v/>
      </c>
    </row>
    <row r="642" ht="15" customHeight="1" s="77">
      <c r="A642" s="123" t="n"/>
      <c r="B642" s="124" t="n"/>
      <c r="C642" s="124" t="n"/>
      <c r="D642" s="125" t="n"/>
      <c r="E642" s="126" t="n"/>
      <c r="F642" s="124" t="n"/>
      <c r="G642" s="121">
        <f>IF($D642=0,0,$D642*$E642)</f>
        <v/>
      </c>
      <c r="H642" s="122">
        <f>IF($B642="","",CONCATENATE("Hareket: ",$C642,"/",$D642," adet ",$B642))</f>
        <v/>
      </c>
    </row>
    <row r="643" ht="15" customHeight="1" s="77">
      <c r="A643" s="123" t="n"/>
      <c r="B643" s="124" t="n"/>
      <c r="C643" s="124" t="n"/>
      <c r="D643" s="125" t="n"/>
      <c r="E643" s="126" t="n"/>
      <c r="F643" s="124" t="n"/>
      <c r="G643" s="121">
        <f>IF($D643=0,0,$D643*$E643)</f>
        <v/>
      </c>
      <c r="H643" s="122">
        <f>IF($B643="","",CONCATENATE("Hareket: ",$C643,"/",$D643," adet ",$B643))</f>
        <v/>
      </c>
    </row>
    <row r="644" ht="15" customHeight="1" s="77">
      <c r="A644" s="123" t="n"/>
      <c r="B644" s="124" t="n"/>
      <c r="C644" s="124" t="n"/>
      <c r="D644" s="125" t="n"/>
      <c r="E644" s="126" t="n"/>
      <c r="F644" s="124" t="n"/>
      <c r="G644" s="121">
        <f>IF($D644=0,0,$D644*$E644)</f>
        <v/>
      </c>
      <c r="H644" s="122">
        <f>IF($B644="","",CONCATENATE("Hareket: ",$C644,"/",$D644," adet ",$B644))</f>
        <v/>
      </c>
    </row>
    <row r="645" ht="15" customHeight="1" s="77">
      <c r="A645" s="123" t="n"/>
      <c r="B645" s="124" t="n"/>
      <c r="C645" s="124" t="n"/>
      <c r="D645" s="125" t="n"/>
      <c r="E645" s="126" t="n"/>
      <c r="F645" s="124" t="n"/>
      <c r="G645" s="121">
        <f>IF($D645=0,0,$D645*$E645)</f>
        <v/>
      </c>
      <c r="H645" s="122">
        <f>IF($B645="","",CONCATENATE("Hareket: ",$C645,"/",$D645," adet ",$B645))</f>
        <v/>
      </c>
    </row>
    <row r="646" ht="15" customHeight="1" s="77">
      <c r="A646" s="123" t="n"/>
      <c r="B646" s="124" t="n"/>
      <c r="C646" s="124" t="n"/>
      <c r="D646" s="125" t="n"/>
      <c r="E646" s="126" t="n"/>
      <c r="F646" s="124" t="n"/>
      <c r="G646" s="121">
        <f>IF($D646=0,0,$D646*$E646)</f>
        <v/>
      </c>
      <c r="H646" s="122">
        <f>IF($B646="","",CONCATENATE("Hareket: ",$C646,"/",$D646," adet ",$B646))</f>
        <v/>
      </c>
    </row>
    <row r="647" ht="15" customHeight="1" s="77">
      <c r="A647" s="123" t="n"/>
      <c r="B647" s="124" t="n"/>
      <c r="C647" s="124" t="n"/>
      <c r="D647" s="125" t="n"/>
      <c r="E647" s="126" t="n"/>
      <c r="F647" s="124" t="n"/>
      <c r="G647" s="121">
        <f>IF($D647=0,0,$D647*$E647)</f>
        <v/>
      </c>
      <c r="H647" s="122">
        <f>IF($B647="","",CONCATENATE("Hareket: ",$C647,"/",$D647," adet ",$B647))</f>
        <v/>
      </c>
    </row>
    <row r="648" ht="15" customHeight="1" s="77">
      <c r="A648" s="123" t="n"/>
      <c r="B648" s="124" t="n"/>
      <c r="C648" s="124" t="n"/>
      <c r="D648" s="125" t="n"/>
      <c r="E648" s="126" t="n"/>
      <c r="F648" s="124" t="n"/>
      <c r="G648" s="121">
        <f>IF($D648=0,0,$D648*$E648)</f>
        <v/>
      </c>
      <c r="H648" s="122">
        <f>IF($B648="","",CONCATENATE("Hareket: ",$C648,"/",$D648," adet ",$B648))</f>
        <v/>
      </c>
    </row>
    <row r="649" ht="15" customHeight="1" s="77">
      <c r="A649" s="123" t="n"/>
      <c r="B649" s="124" t="n"/>
      <c r="C649" s="124" t="n"/>
      <c r="D649" s="125" t="n"/>
      <c r="E649" s="126" t="n"/>
      <c r="F649" s="124" t="n"/>
      <c r="G649" s="121">
        <f>IF($D649=0,0,$D649*$E649)</f>
        <v/>
      </c>
      <c r="H649" s="122">
        <f>IF($B649="","",CONCATENATE("Hareket: ",$C649,"/",$D649," adet ",$B649))</f>
        <v/>
      </c>
    </row>
    <row r="650" ht="15" customHeight="1" s="77">
      <c r="A650" s="123" t="n"/>
      <c r="B650" s="124" t="n"/>
      <c r="C650" s="124" t="n"/>
      <c r="D650" s="125" t="n"/>
      <c r="E650" s="126" t="n"/>
      <c r="F650" s="124" t="n"/>
      <c r="G650" s="121">
        <f>IF($D650=0,0,$D650*$E650)</f>
        <v/>
      </c>
      <c r="H650" s="122">
        <f>IF($B650="","",CONCATENATE("Hareket: ",$C650,"/",$D650," adet ",$B650))</f>
        <v/>
      </c>
    </row>
    <row r="651" ht="15" customHeight="1" s="77">
      <c r="A651" s="123" t="n"/>
      <c r="B651" s="124" t="n"/>
      <c r="C651" s="124" t="n"/>
      <c r="D651" s="125" t="n"/>
      <c r="E651" s="126" t="n"/>
      <c r="F651" s="124" t="n"/>
      <c r="G651" s="121">
        <f>IF($D651=0,0,$D651*$E651)</f>
        <v/>
      </c>
      <c r="H651" s="122">
        <f>IF($B651="","",CONCATENATE("Hareket: ",$C651,"/",$D651," adet ",$B651))</f>
        <v/>
      </c>
    </row>
    <row r="652" ht="15" customHeight="1" s="77">
      <c r="A652" s="123" t="n"/>
      <c r="B652" s="124" t="n"/>
      <c r="C652" s="124" t="n"/>
      <c r="D652" s="125" t="n"/>
      <c r="E652" s="126" t="n"/>
      <c r="F652" s="124" t="n"/>
      <c r="G652" s="121">
        <f>IF($D652=0,0,$D652*$E652)</f>
        <v/>
      </c>
      <c r="H652" s="122">
        <f>IF($B652="","",CONCATENATE("Hareket: ",$C652,"/",$D652," adet ",$B652))</f>
        <v/>
      </c>
    </row>
    <row r="653" ht="15" customHeight="1" s="77">
      <c r="A653" s="123" t="n"/>
      <c r="B653" s="124" t="n"/>
      <c r="C653" s="124" t="n"/>
      <c r="D653" s="125" t="n"/>
      <c r="E653" s="126" t="n"/>
      <c r="F653" s="124" t="n"/>
      <c r="G653" s="121">
        <f>IF($D653=0,0,$D653*$E653)</f>
        <v/>
      </c>
      <c r="H653" s="122">
        <f>IF($B653="","",CONCATENATE("Hareket: ",$C653,"/",$D653," adet ",$B653))</f>
        <v/>
      </c>
    </row>
    <row r="654" ht="15" customHeight="1" s="77">
      <c r="A654" s="123" t="n"/>
      <c r="B654" s="124" t="n"/>
      <c r="C654" s="124" t="n"/>
      <c r="D654" s="125" t="n"/>
      <c r="E654" s="126" t="n"/>
      <c r="F654" s="124" t="n"/>
      <c r="G654" s="121">
        <f>IF($D654=0,0,$D654*$E654)</f>
        <v/>
      </c>
      <c r="H654" s="122">
        <f>IF($B654="","",CONCATENATE("Hareket: ",$C654,"/",$D654," adet ",$B654))</f>
        <v/>
      </c>
    </row>
    <row r="655" ht="15" customHeight="1" s="77">
      <c r="A655" s="123" t="n"/>
      <c r="B655" s="124" t="n"/>
      <c r="C655" s="124" t="n"/>
      <c r="D655" s="125" t="n"/>
      <c r="E655" s="126" t="n"/>
      <c r="F655" s="124" t="n"/>
      <c r="G655" s="121">
        <f>IF($D655=0,0,$D655*$E655)</f>
        <v/>
      </c>
      <c r="H655" s="122">
        <f>IF($B655="","",CONCATENATE("Hareket: ",$C655,"/",$D655," adet ",$B655))</f>
        <v/>
      </c>
    </row>
    <row r="656" ht="15" customHeight="1" s="77">
      <c r="A656" s="123" t="n"/>
      <c r="B656" s="124" t="n"/>
      <c r="C656" s="124" t="n"/>
      <c r="D656" s="125" t="n"/>
      <c r="E656" s="126" t="n"/>
      <c r="F656" s="124" t="n"/>
      <c r="G656" s="121">
        <f>IF($D656=0,0,$D656*$E656)</f>
        <v/>
      </c>
      <c r="H656" s="122">
        <f>IF($B656="","",CONCATENATE("Hareket: ",$C656,"/",$D656," adet ",$B656))</f>
        <v/>
      </c>
    </row>
    <row r="657" ht="15" customHeight="1" s="77">
      <c r="A657" s="123" t="n"/>
      <c r="B657" s="124" t="n"/>
      <c r="C657" s="124" t="n"/>
      <c r="D657" s="125" t="n"/>
      <c r="E657" s="126" t="n"/>
      <c r="F657" s="124" t="n"/>
      <c r="G657" s="121">
        <f>IF($D657=0,0,$D657*$E657)</f>
        <v/>
      </c>
      <c r="H657" s="122">
        <f>IF($B657="","",CONCATENATE("Hareket: ",$C657,"/",$D657," adet ",$B657))</f>
        <v/>
      </c>
    </row>
    <row r="658" ht="15" customHeight="1" s="77">
      <c r="A658" s="123" t="n"/>
      <c r="B658" s="124" t="n"/>
      <c r="C658" s="124" t="n"/>
      <c r="D658" s="125" t="n"/>
      <c r="E658" s="126" t="n"/>
      <c r="F658" s="124" t="n"/>
      <c r="G658" s="121">
        <f>IF($D658=0,0,$D658*$E658)</f>
        <v/>
      </c>
      <c r="H658" s="122">
        <f>IF($B658="","",CONCATENATE("Hareket: ",$C658,"/",$D658," adet ",$B658))</f>
        <v/>
      </c>
    </row>
    <row r="659" ht="15" customHeight="1" s="77">
      <c r="A659" s="123" t="n"/>
      <c r="B659" s="124" t="n"/>
      <c r="C659" s="124" t="n"/>
      <c r="D659" s="125" t="n"/>
      <c r="E659" s="126" t="n"/>
      <c r="F659" s="124" t="n"/>
      <c r="G659" s="121">
        <f>IF($D659=0,0,$D659*$E659)</f>
        <v/>
      </c>
      <c r="H659" s="122">
        <f>IF($B659="","",CONCATENATE("Hareket: ",$C659,"/",$D659," adet ",$B659))</f>
        <v/>
      </c>
    </row>
    <row r="660" ht="15" customHeight="1" s="77">
      <c r="A660" s="123" t="n"/>
      <c r="B660" s="124" t="n"/>
      <c r="C660" s="124" t="n"/>
      <c r="D660" s="125" t="n"/>
      <c r="E660" s="126" t="n"/>
      <c r="F660" s="124" t="n"/>
      <c r="G660" s="121">
        <f>IF($D660=0,0,$D660*$E660)</f>
        <v/>
      </c>
      <c r="H660" s="122">
        <f>IF($B660="","",CONCATENATE("Hareket: ",$C660,"/",$D660," adet ",$B660))</f>
        <v/>
      </c>
    </row>
    <row r="661" ht="15" customHeight="1" s="77">
      <c r="A661" s="123" t="n"/>
      <c r="B661" s="124" t="n"/>
      <c r="C661" s="124" t="n"/>
      <c r="D661" s="125" t="n"/>
      <c r="E661" s="126" t="n"/>
      <c r="F661" s="124" t="n"/>
      <c r="G661" s="121">
        <f>IF($D661=0,0,$D661*$E661)</f>
        <v/>
      </c>
      <c r="H661" s="122">
        <f>IF($B661="","",CONCATENATE("Hareket: ",$C661,"/",$D661," adet ",$B661))</f>
        <v/>
      </c>
    </row>
    <row r="662" ht="15" customHeight="1" s="77">
      <c r="A662" s="123" t="n"/>
      <c r="B662" s="124" t="n"/>
      <c r="C662" s="124" t="n"/>
      <c r="D662" s="125" t="n"/>
      <c r="E662" s="126" t="n"/>
      <c r="F662" s="124" t="n"/>
      <c r="G662" s="121">
        <f>IF($D662=0,0,$D662*$E662)</f>
        <v/>
      </c>
      <c r="H662" s="122">
        <f>IF($B662="","",CONCATENATE("Hareket: ",$C662,"/",$D662," adet ",$B662))</f>
        <v/>
      </c>
    </row>
    <row r="663" ht="15" customHeight="1" s="77">
      <c r="A663" s="123" t="n"/>
      <c r="B663" s="124" t="n"/>
      <c r="C663" s="124" t="n"/>
      <c r="D663" s="125" t="n"/>
      <c r="E663" s="126" t="n"/>
      <c r="F663" s="124" t="n"/>
      <c r="G663" s="121">
        <f>IF($D663=0,0,$D663*$E663)</f>
        <v/>
      </c>
      <c r="H663" s="122">
        <f>IF($B663="","",CONCATENATE("Hareket: ",$C663,"/",$D663," adet ",$B663))</f>
        <v/>
      </c>
    </row>
    <row r="664" ht="15" customHeight="1" s="77">
      <c r="A664" s="123" t="n"/>
      <c r="B664" s="124" t="n"/>
      <c r="C664" s="124" t="n"/>
      <c r="D664" s="125" t="n"/>
      <c r="E664" s="126" t="n"/>
      <c r="F664" s="124" t="n"/>
      <c r="G664" s="121">
        <f>IF($D664=0,0,$D664*$E664)</f>
        <v/>
      </c>
      <c r="H664" s="122">
        <f>IF($B664="","",CONCATENATE("Hareket: ",$C664,"/",$D664," adet ",$B664))</f>
        <v/>
      </c>
    </row>
    <row r="665" ht="15" customHeight="1" s="77">
      <c r="A665" s="123" t="n"/>
      <c r="B665" s="124" t="n"/>
      <c r="C665" s="124" t="n"/>
      <c r="D665" s="125" t="n"/>
      <c r="E665" s="126" t="n"/>
      <c r="F665" s="124" t="n"/>
      <c r="G665" s="121">
        <f>IF($D665=0,0,$D665*$E665)</f>
        <v/>
      </c>
      <c r="H665" s="122">
        <f>IF($B665="","",CONCATENATE("Hareket: ",$C665,"/",$D665," adet ",$B665))</f>
        <v/>
      </c>
    </row>
    <row r="666" ht="15" customHeight="1" s="77">
      <c r="A666" s="123" t="n"/>
      <c r="B666" s="124" t="n"/>
      <c r="C666" s="124" t="n"/>
      <c r="D666" s="125" t="n"/>
      <c r="E666" s="126" t="n"/>
      <c r="F666" s="124" t="n"/>
      <c r="G666" s="121">
        <f>IF($D666=0,0,$D666*$E666)</f>
        <v/>
      </c>
      <c r="H666" s="122">
        <f>IF($B666="","",CONCATENATE("Hareket: ",$C666,"/",$D666," adet ",$B666))</f>
        <v/>
      </c>
    </row>
    <row r="667" ht="15" customHeight="1" s="77">
      <c r="A667" s="123" t="n"/>
      <c r="B667" s="124" t="n"/>
      <c r="C667" s="124" t="n"/>
      <c r="D667" s="125" t="n"/>
      <c r="E667" s="126" t="n"/>
      <c r="F667" s="124" t="n"/>
      <c r="G667" s="121">
        <f>IF($D667=0,0,$D667*$E667)</f>
        <v/>
      </c>
      <c r="H667" s="122">
        <f>IF($B667="","",CONCATENATE("Hareket: ",$C667,"/",$D667," adet ",$B667))</f>
        <v/>
      </c>
    </row>
    <row r="668" ht="15" customHeight="1" s="77">
      <c r="A668" s="123" t="n"/>
      <c r="B668" s="124" t="n"/>
      <c r="C668" s="124" t="n"/>
      <c r="D668" s="125" t="n"/>
      <c r="E668" s="126" t="n"/>
      <c r="F668" s="124" t="n"/>
      <c r="G668" s="121">
        <f>IF($D668=0,0,$D668*$E668)</f>
        <v/>
      </c>
      <c r="H668" s="122">
        <f>IF($B668="","",CONCATENATE("Hareket: ",$C668,"/",$D668," adet ",$B668))</f>
        <v/>
      </c>
    </row>
    <row r="669" ht="15" customHeight="1" s="77">
      <c r="A669" s="123" t="n"/>
      <c r="B669" s="124" t="n"/>
      <c r="C669" s="124" t="n"/>
      <c r="D669" s="125" t="n"/>
      <c r="E669" s="126" t="n"/>
      <c r="F669" s="124" t="n"/>
      <c r="G669" s="121">
        <f>IF($D669=0,0,$D669*$E669)</f>
        <v/>
      </c>
      <c r="H669" s="122">
        <f>IF($B669="","",CONCATENATE("Hareket: ",$C669,"/",$D669," adet ",$B669))</f>
        <v/>
      </c>
    </row>
    <row r="670" ht="15" customHeight="1" s="77">
      <c r="A670" s="123" t="n"/>
      <c r="B670" s="124" t="n"/>
      <c r="C670" s="124" t="n"/>
      <c r="D670" s="125" t="n"/>
      <c r="E670" s="126" t="n"/>
      <c r="F670" s="124" t="n"/>
      <c r="G670" s="121">
        <f>IF($D670=0,0,$D670*$E670)</f>
        <v/>
      </c>
      <c r="H670" s="122">
        <f>IF($B670="","",CONCATENATE("Hareket: ",$C670,"/",$D670," adet ",$B670))</f>
        <v/>
      </c>
    </row>
    <row r="671" ht="15" customHeight="1" s="77">
      <c r="A671" s="123" t="n"/>
      <c r="B671" s="124" t="n"/>
      <c r="C671" s="124" t="n"/>
      <c r="D671" s="125" t="n"/>
      <c r="E671" s="126" t="n"/>
      <c r="F671" s="124" t="n"/>
      <c r="G671" s="121">
        <f>IF($D671=0,0,$D671*$E671)</f>
        <v/>
      </c>
      <c r="H671" s="122">
        <f>IF($B671="","",CONCATENATE("Hareket: ",$C671,"/",$D671," adet ",$B671))</f>
        <v/>
      </c>
    </row>
    <row r="672" ht="15" customHeight="1" s="77">
      <c r="A672" s="123" t="n"/>
      <c r="B672" s="124" t="n"/>
      <c r="C672" s="124" t="n"/>
      <c r="D672" s="125" t="n"/>
      <c r="E672" s="126" t="n"/>
      <c r="F672" s="124" t="n"/>
      <c r="G672" s="121">
        <f>IF($D672=0,0,$D672*$E672)</f>
        <v/>
      </c>
      <c r="H672" s="122">
        <f>IF($B672="","",CONCATENATE("Hareket: ",$C672,"/",$D672," adet ",$B672))</f>
        <v/>
      </c>
    </row>
    <row r="673" ht="15" customHeight="1" s="77">
      <c r="A673" s="123" t="n"/>
      <c r="B673" s="124" t="n"/>
      <c r="C673" s="124" t="n"/>
      <c r="D673" s="125" t="n"/>
      <c r="E673" s="126" t="n"/>
      <c r="F673" s="124" t="n"/>
      <c r="G673" s="121">
        <f>IF($D673=0,0,$D673*$E673)</f>
        <v/>
      </c>
      <c r="H673" s="122">
        <f>IF($B673="","",CONCATENATE("Hareket: ",$C673,"/",$D673," adet ",$B673))</f>
        <v/>
      </c>
    </row>
    <row r="674" ht="15" customHeight="1" s="77">
      <c r="A674" s="123" t="n"/>
      <c r="B674" s="124" t="n"/>
      <c r="C674" s="124" t="n"/>
      <c r="D674" s="125" t="n"/>
      <c r="E674" s="126" t="n"/>
      <c r="F674" s="124" t="n"/>
      <c r="G674" s="121">
        <f>IF($D674=0,0,$D674*$E674)</f>
        <v/>
      </c>
      <c r="H674" s="122">
        <f>IF($B674="","",CONCATENATE("Hareket: ",$C674,"/",$D674," adet ",$B674))</f>
        <v/>
      </c>
    </row>
    <row r="675" ht="15" customHeight="1" s="77">
      <c r="A675" s="123" t="n"/>
      <c r="B675" s="124" t="n"/>
      <c r="C675" s="124" t="n"/>
      <c r="D675" s="125" t="n"/>
      <c r="E675" s="126" t="n"/>
      <c r="F675" s="124" t="n"/>
      <c r="G675" s="121">
        <f>IF($D675=0,0,$D675*$E675)</f>
        <v/>
      </c>
      <c r="H675" s="122">
        <f>IF($B675="","",CONCATENATE("Hareket: ",$C675,"/",$D675," adet ",$B675))</f>
        <v/>
      </c>
    </row>
    <row r="676" ht="15" customHeight="1" s="77">
      <c r="A676" s="123" t="n"/>
      <c r="B676" s="124" t="n"/>
      <c r="C676" s="124" t="n"/>
      <c r="D676" s="125" t="n"/>
      <c r="E676" s="126" t="n"/>
      <c r="F676" s="124" t="n"/>
      <c r="G676" s="121">
        <f>IF($D676=0,0,$D676*$E676)</f>
        <v/>
      </c>
      <c r="H676" s="122">
        <f>IF($B676="","",CONCATENATE("Hareket: ",$C676,"/",$D676," adet ",$B676))</f>
        <v/>
      </c>
    </row>
    <row r="677" ht="15" customHeight="1" s="77">
      <c r="A677" s="123" t="n"/>
      <c r="B677" s="124" t="n"/>
      <c r="C677" s="124" t="n"/>
      <c r="D677" s="125" t="n"/>
      <c r="E677" s="126" t="n"/>
      <c r="F677" s="124" t="n"/>
      <c r="G677" s="121">
        <f>IF($D677=0,0,$D677*$E677)</f>
        <v/>
      </c>
      <c r="H677" s="122">
        <f>IF($B677="","",CONCATENATE("Hareket: ",$C677,"/",$D677," adet ",$B677))</f>
        <v/>
      </c>
    </row>
    <row r="678" ht="15" customHeight="1" s="77">
      <c r="A678" s="123" t="n"/>
      <c r="B678" s="124" t="n"/>
      <c r="C678" s="124" t="n"/>
      <c r="D678" s="125" t="n"/>
      <c r="E678" s="126" t="n"/>
      <c r="F678" s="124" t="n"/>
      <c r="G678" s="121">
        <f>IF($D678=0,0,$D678*$E678)</f>
        <v/>
      </c>
      <c r="H678" s="122">
        <f>IF($B678="","",CONCATENATE("Hareket: ",$C678,"/",$D678," adet ",$B678))</f>
        <v/>
      </c>
    </row>
    <row r="679" ht="15" customHeight="1" s="77">
      <c r="A679" s="123" t="n"/>
      <c r="B679" s="124" t="n"/>
      <c r="C679" s="124" t="n"/>
      <c r="D679" s="125" t="n"/>
      <c r="E679" s="126" t="n"/>
      <c r="F679" s="124" t="n"/>
      <c r="G679" s="121">
        <f>IF($D679=0,0,$D679*$E679)</f>
        <v/>
      </c>
      <c r="H679" s="122">
        <f>IF($B679="","",CONCATENATE("Hareket: ",$C679,"/",$D679," adet ",$B679))</f>
        <v/>
      </c>
    </row>
    <row r="680" ht="15" customHeight="1" s="77">
      <c r="A680" s="123" t="n"/>
      <c r="B680" s="124" t="n"/>
      <c r="C680" s="124" t="n"/>
      <c r="D680" s="125" t="n"/>
      <c r="E680" s="126" t="n"/>
      <c r="F680" s="124" t="n"/>
      <c r="G680" s="121">
        <f>IF($D680=0,0,$D680*$E680)</f>
        <v/>
      </c>
      <c r="H680" s="122">
        <f>IF($B680="","",CONCATENATE("Hareket: ",$C680,"/",$D680," adet ",$B680))</f>
        <v/>
      </c>
    </row>
    <row r="681" ht="15" customHeight="1" s="77">
      <c r="A681" s="123" t="n"/>
      <c r="B681" s="124" t="n"/>
      <c r="C681" s="124" t="n"/>
      <c r="D681" s="125" t="n"/>
      <c r="E681" s="126" t="n"/>
      <c r="F681" s="124" t="n"/>
      <c r="G681" s="121">
        <f>IF($D681=0,0,$D681*$E681)</f>
        <v/>
      </c>
      <c r="H681" s="122">
        <f>IF($B681="","",CONCATENATE("Hareket: ",$C681,"/",$D681," adet ",$B681))</f>
        <v/>
      </c>
    </row>
    <row r="682" ht="15" customHeight="1" s="77">
      <c r="A682" s="123" t="n"/>
      <c r="B682" s="124" t="n"/>
      <c r="C682" s="124" t="n"/>
      <c r="D682" s="125" t="n"/>
      <c r="E682" s="126" t="n"/>
      <c r="F682" s="124" t="n"/>
      <c r="G682" s="121">
        <f>IF($D682=0,0,$D682*$E682)</f>
        <v/>
      </c>
      <c r="H682" s="122">
        <f>IF($B682="","",CONCATENATE("Hareket: ",$C682,"/",$D682," adet ",$B682))</f>
        <v/>
      </c>
    </row>
    <row r="683" ht="15" customHeight="1" s="77">
      <c r="A683" s="123" t="n"/>
      <c r="B683" s="124" t="n"/>
      <c r="C683" s="124" t="n"/>
      <c r="D683" s="125" t="n"/>
      <c r="E683" s="126" t="n"/>
      <c r="F683" s="124" t="n"/>
      <c r="G683" s="121">
        <f>IF($D683=0,0,$D683*$E683)</f>
        <v/>
      </c>
      <c r="H683" s="122">
        <f>IF($B683="","",CONCATENATE("Hareket: ",$C683,"/",$D683," adet ",$B683))</f>
        <v/>
      </c>
    </row>
    <row r="684" ht="15" customHeight="1" s="77">
      <c r="A684" s="123" t="n"/>
      <c r="B684" s="124" t="n"/>
      <c r="C684" s="124" t="n"/>
      <c r="D684" s="125" t="n"/>
      <c r="E684" s="126" t="n"/>
      <c r="F684" s="124" t="n"/>
      <c r="G684" s="121">
        <f>IF($D684=0,0,$D684*$E684)</f>
        <v/>
      </c>
      <c r="H684" s="122">
        <f>IF($B684="","",CONCATENATE("Hareket: ",$C684,"/",$D684," adet ",$B684))</f>
        <v/>
      </c>
    </row>
    <row r="685" ht="15" customHeight="1" s="77">
      <c r="A685" s="123" t="n"/>
      <c r="B685" s="124" t="n"/>
      <c r="C685" s="124" t="n"/>
      <c r="D685" s="125" t="n"/>
      <c r="E685" s="126" t="n"/>
      <c r="F685" s="124" t="n"/>
      <c r="G685" s="121">
        <f>IF($D685=0,0,$D685*$E685)</f>
        <v/>
      </c>
      <c r="H685" s="122">
        <f>IF($B685="","",CONCATENATE("Hareket: ",$C685,"/",$D685," adet ",$B685))</f>
        <v/>
      </c>
    </row>
    <row r="686" ht="15" customHeight="1" s="77">
      <c r="A686" s="123" t="n"/>
      <c r="B686" s="124" t="n"/>
      <c r="C686" s="124" t="n"/>
      <c r="D686" s="125" t="n"/>
      <c r="E686" s="126" t="n"/>
      <c r="F686" s="124" t="n"/>
      <c r="G686" s="121">
        <f>IF($D686=0,0,$D686*$E686)</f>
        <v/>
      </c>
      <c r="H686" s="122">
        <f>IF($B686="","",CONCATENATE("Hareket: ",$C686,"/",$D686," adet ",$B686))</f>
        <v/>
      </c>
    </row>
    <row r="687" ht="15" customHeight="1" s="77">
      <c r="A687" s="123" t="n"/>
      <c r="B687" s="124" t="n"/>
      <c r="C687" s="124" t="n"/>
      <c r="D687" s="125" t="n"/>
      <c r="E687" s="126" t="n"/>
      <c r="F687" s="124" t="n"/>
      <c r="G687" s="121">
        <f>IF($D687=0,0,$D687*$E687)</f>
        <v/>
      </c>
      <c r="H687" s="122">
        <f>IF($B687="","",CONCATENATE("Hareket: ",$C687,"/",$D687," adet ",$B687))</f>
        <v/>
      </c>
    </row>
    <row r="688" ht="15" customHeight="1" s="77">
      <c r="A688" s="123" t="n"/>
      <c r="B688" s="124" t="n"/>
      <c r="C688" s="124" t="n"/>
      <c r="D688" s="125" t="n"/>
      <c r="E688" s="126" t="n"/>
      <c r="F688" s="124" t="n"/>
      <c r="G688" s="121">
        <f>IF($D688=0,0,$D688*$E688)</f>
        <v/>
      </c>
      <c r="H688" s="122">
        <f>IF($B688="","",CONCATENATE("Hareket: ",$C688,"/",$D688," adet ",$B688))</f>
        <v/>
      </c>
    </row>
    <row r="689" ht="15" customHeight="1" s="77">
      <c r="A689" s="123" t="n"/>
      <c r="B689" s="124" t="n"/>
      <c r="C689" s="124" t="n"/>
      <c r="D689" s="125" t="n"/>
      <c r="E689" s="126" t="n"/>
      <c r="F689" s="124" t="n"/>
      <c r="G689" s="121">
        <f>IF($D689=0,0,$D689*$E689)</f>
        <v/>
      </c>
      <c r="H689" s="122">
        <f>IF($B689="","",CONCATENATE("Hareket: ",$C689,"/",$D689," adet ",$B689))</f>
        <v/>
      </c>
    </row>
    <row r="690" ht="15" customHeight="1" s="77">
      <c r="A690" s="123" t="n"/>
      <c r="B690" s="124" t="n"/>
      <c r="C690" s="124" t="n"/>
      <c r="D690" s="125" t="n"/>
      <c r="E690" s="126" t="n"/>
      <c r="F690" s="124" t="n"/>
      <c r="G690" s="121">
        <f>IF($D690=0,0,$D690*$E690)</f>
        <v/>
      </c>
      <c r="H690" s="122">
        <f>IF($B690="","",CONCATENATE("Hareket: ",$C690,"/",$D690," adet ",$B690))</f>
        <v/>
      </c>
    </row>
    <row r="691" ht="15" customHeight="1" s="77">
      <c r="A691" s="123" t="n"/>
      <c r="B691" s="124" t="n"/>
      <c r="C691" s="124" t="n"/>
      <c r="D691" s="125" t="n"/>
      <c r="E691" s="126" t="n"/>
      <c r="F691" s="124" t="n"/>
      <c r="G691" s="121">
        <f>IF($D691=0,0,$D691*$E691)</f>
        <v/>
      </c>
      <c r="H691" s="122">
        <f>IF($B691="","",CONCATENATE("Hareket: ",$C691,"/",$D691," adet ",$B691))</f>
        <v/>
      </c>
    </row>
    <row r="692" ht="15" customHeight="1" s="77">
      <c r="A692" s="123" t="n"/>
      <c r="B692" s="124" t="n"/>
      <c r="C692" s="124" t="n"/>
      <c r="D692" s="125" t="n"/>
      <c r="E692" s="126" t="n"/>
      <c r="F692" s="124" t="n"/>
      <c r="G692" s="121">
        <f>IF($D692=0,0,$D692*$E692)</f>
        <v/>
      </c>
      <c r="H692" s="122">
        <f>IF($B692="","",CONCATENATE("Hareket: ",$C692,"/",$D692," adet ",$B692))</f>
        <v/>
      </c>
    </row>
    <row r="693" ht="15" customHeight="1" s="77">
      <c r="A693" s="123" t="n"/>
      <c r="B693" s="124" t="n"/>
      <c r="C693" s="124" t="n"/>
      <c r="D693" s="125" t="n"/>
      <c r="E693" s="126" t="n"/>
      <c r="F693" s="124" t="n"/>
      <c r="G693" s="121">
        <f>IF($D693=0,0,$D693*$E693)</f>
        <v/>
      </c>
      <c r="H693" s="122">
        <f>IF($B693="","",CONCATENATE("Hareket: ",$C693,"/",$D693," adet ",$B693))</f>
        <v/>
      </c>
    </row>
    <row r="694" ht="15" customHeight="1" s="77">
      <c r="A694" s="123" t="n"/>
      <c r="B694" s="124" t="n"/>
      <c r="C694" s="124" t="n"/>
      <c r="D694" s="125" t="n"/>
      <c r="E694" s="126" t="n"/>
      <c r="F694" s="124" t="n"/>
      <c r="G694" s="121">
        <f>IF($D694=0,0,$D694*$E694)</f>
        <v/>
      </c>
      <c r="H694" s="122">
        <f>IF($B694="","",CONCATENATE("Hareket: ",$C694,"/",$D694," adet ",$B694))</f>
        <v/>
      </c>
    </row>
    <row r="695" ht="15" customHeight="1" s="77">
      <c r="A695" s="123" t="n"/>
      <c r="B695" s="124" t="n"/>
      <c r="C695" s="124" t="n"/>
      <c r="D695" s="125" t="n"/>
      <c r="E695" s="126" t="n"/>
      <c r="F695" s="124" t="n"/>
      <c r="G695" s="121">
        <f>IF($D695=0,0,$D695*$E695)</f>
        <v/>
      </c>
      <c r="H695" s="122">
        <f>IF($B695="","",CONCATENATE("Hareket: ",$C695,"/",$D695," adet ",$B695))</f>
        <v/>
      </c>
    </row>
    <row r="696" ht="15" customHeight="1" s="77">
      <c r="A696" s="123" t="n"/>
      <c r="B696" s="124" t="n"/>
      <c r="C696" s="124" t="n"/>
      <c r="D696" s="125" t="n"/>
      <c r="E696" s="126" t="n"/>
      <c r="F696" s="124" t="n"/>
      <c r="G696" s="121">
        <f>IF($D696=0,0,$D696*$E696)</f>
        <v/>
      </c>
      <c r="H696" s="122">
        <f>IF($B696="","",CONCATENATE("Hareket: ",$C696,"/",$D696," adet ",$B696))</f>
        <v/>
      </c>
    </row>
    <row r="697" ht="15" customHeight="1" s="77">
      <c r="A697" s="123" t="n"/>
      <c r="B697" s="124" t="n"/>
      <c r="C697" s="124" t="n"/>
      <c r="D697" s="125" t="n"/>
      <c r="E697" s="126" t="n"/>
      <c r="F697" s="124" t="n"/>
      <c r="G697" s="121">
        <f>IF($D697=0,0,$D697*$E697)</f>
        <v/>
      </c>
      <c r="H697" s="122">
        <f>IF($B697="","",CONCATENATE("Hareket: ",$C697,"/",$D697," adet ",$B697))</f>
        <v/>
      </c>
    </row>
    <row r="698" ht="15" customHeight="1" s="77">
      <c r="A698" s="123" t="n"/>
      <c r="B698" s="124" t="n"/>
      <c r="C698" s="124" t="n"/>
      <c r="D698" s="125" t="n"/>
      <c r="E698" s="126" t="n"/>
      <c r="F698" s="124" t="n"/>
      <c r="G698" s="121">
        <f>IF($D698=0,0,$D698*$E698)</f>
        <v/>
      </c>
      <c r="H698" s="122">
        <f>IF($B698="","",CONCATENATE("Hareket: ",$C698,"/",$D698," adet ",$B698))</f>
        <v/>
      </c>
    </row>
    <row r="699" ht="15" customHeight="1" s="77">
      <c r="A699" s="123" t="n"/>
      <c r="B699" s="124" t="n"/>
      <c r="C699" s="124" t="n"/>
      <c r="D699" s="125" t="n"/>
      <c r="E699" s="126" t="n"/>
      <c r="F699" s="124" t="n"/>
      <c r="G699" s="121">
        <f>IF($D699=0,0,$D699*$E699)</f>
        <v/>
      </c>
      <c r="H699" s="122">
        <f>IF($B699="","",CONCATENATE("Hareket: ",$C699,"/",$D699," adet ",$B699))</f>
        <v/>
      </c>
    </row>
    <row r="700" ht="15" customHeight="1" s="77">
      <c r="A700" s="123" t="n"/>
      <c r="B700" s="124" t="n"/>
      <c r="C700" s="124" t="n"/>
      <c r="D700" s="125" t="n"/>
      <c r="E700" s="126" t="n"/>
      <c r="F700" s="124" t="n"/>
      <c r="G700" s="121">
        <f>IF($D700=0,0,$D700*$E700)</f>
        <v/>
      </c>
      <c r="H700" s="122">
        <f>IF($B700="","",CONCATENATE("Hareket: ",$C700,"/",$D700," adet ",$B700))</f>
        <v/>
      </c>
    </row>
    <row r="701" ht="15" customHeight="1" s="77">
      <c r="A701" s="123" t="n"/>
      <c r="B701" s="124" t="n"/>
      <c r="C701" s="124" t="n"/>
      <c r="D701" s="125" t="n"/>
      <c r="E701" s="126" t="n"/>
      <c r="F701" s="124" t="n"/>
      <c r="G701" s="121">
        <f>IF($D701=0,0,$D701*$E701)</f>
        <v/>
      </c>
      <c r="H701" s="122">
        <f>IF($B701="","",CONCATENATE("Hareket: ",$C701,"/",$D701," adet ",$B701))</f>
        <v/>
      </c>
    </row>
    <row r="702" ht="15" customHeight="1" s="77">
      <c r="A702" s="123" t="n"/>
      <c r="B702" s="124" t="n"/>
      <c r="C702" s="124" t="n"/>
      <c r="D702" s="125" t="n"/>
      <c r="E702" s="126" t="n"/>
      <c r="F702" s="124" t="n"/>
      <c r="G702" s="121">
        <f>IF($D702=0,0,$D702*$E702)</f>
        <v/>
      </c>
      <c r="H702" s="122">
        <f>IF($B702="","",CONCATENATE("Hareket: ",$C702,"/",$D702," adet ",$B702))</f>
        <v/>
      </c>
    </row>
    <row r="703" ht="15" customHeight="1" s="77">
      <c r="A703" s="123" t="n"/>
      <c r="B703" s="124" t="n"/>
      <c r="C703" s="124" t="n"/>
      <c r="D703" s="125" t="n"/>
      <c r="E703" s="126" t="n"/>
      <c r="F703" s="124" t="n"/>
      <c r="G703" s="121">
        <f>IF($D703=0,0,$D703*$E703)</f>
        <v/>
      </c>
      <c r="H703" s="122">
        <f>IF($B703="","",CONCATENATE("Hareket: ",$C703,"/",$D703," adet ",$B703))</f>
        <v/>
      </c>
    </row>
    <row r="704" ht="15" customHeight="1" s="77">
      <c r="A704" s="123" t="n"/>
      <c r="B704" s="124" t="n"/>
      <c r="C704" s="124" t="n"/>
      <c r="D704" s="125" t="n"/>
      <c r="E704" s="126" t="n"/>
      <c r="F704" s="124" t="n"/>
      <c r="G704" s="121">
        <f>IF($D704=0,0,$D704*$E704)</f>
        <v/>
      </c>
      <c r="H704" s="122">
        <f>IF($B704="","",CONCATENATE("Hareket: ",$C704,"/",$D704," adet ",$B704))</f>
        <v/>
      </c>
    </row>
    <row r="705" ht="15" customHeight="1" s="77">
      <c r="A705" s="123" t="n"/>
      <c r="B705" s="124" t="n"/>
      <c r="C705" s="124" t="n"/>
      <c r="D705" s="125" t="n"/>
      <c r="E705" s="126" t="n"/>
      <c r="F705" s="124" t="n"/>
      <c r="G705" s="121">
        <f>IF($D705=0,0,$D705*$E705)</f>
        <v/>
      </c>
      <c r="H705" s="122">
        <f>IF($B705="","",CONCATENATE("Hareket: ",$C705,"/",$D705," adet ",$B705))</f>
        <v/>
      </c>
    </row>
    <row r="706" ht="15" customHeight="1" s="77">
      <c r="A706" s="123" t="n"/>
      <c r="B706" s="124" t="n"/>
      <c r="C706" s="124" t="n"/>
      <c r="D706" s="125" t="n"/>
      <c r="E706" s="126" t="n"/>
      <c r="F706" s="124" t="n"/>
      <c r="G706" s="121">
        <f>IF($D706=0,0,$D706*$E706)</f>
        <v/>
      </c>
      <c r="H706" s="122">
        <f>IF($B706="","",CONCATENATE("Hareket: ",$C706,"/",$D706," adet ",$B706))</f>
        <v/>
      </c>
    </row>
    <row r="707" ht="15" customHeight="1" s="77">
      <c r="A707" s="123" t="n"/>
      <c r="B707" s="124" t="n"/>
      <c r="C707" s="124" t="n"/>
      <c r="D707" s="125" t="n"/>
      <c r="E707" s="126" t="n"/>
      <c r="F707" s="124" t="n"/>
      <c r="G707" s="121">
        <f>IF($D707=0,0,$D707*$E707)</f>
        <v/>
      </c>
      <c r="H707" s="122">
        <f>IF($B707="","",CONCATENATE("Hareket: ",$C707,"/",$D707," adet ",$B707))</f>
        <v/>
      </c>
    </row>
    <row r="708" ht="15" customHeight="1" s="77">
      <c r="A708" s="123" t="n"/>
      <c r="B708" s="124" t="n"/>
      <c r="C708" s="124" t="n"/>
      <c r="D708" s="125" t="n"/>
      <c r="E708" s="126" t="n"/>
      <c r="F708" s="124" t="n"/>
      <c r="G708" s="121">
        <f>IF($D708=0,0,$D708*$E708)</f>
        <v/>
      </c>
      <c r="H708" s="122">
        <f>IF($B708="","",CONCATENATE("Hareket: ",$C708,"/",$D708," adet ",$B708))</f>
        <v/>
      </c>
    </row>
    <row r="709" ht="15" customHeight="1" s="77">
      <c r="A709" s="123" t="n"/>
      <c r="B709" s="124" t="n"/>
      <c r="C709" s="124" t="n"/>
      <c r="D709" s="125" t="n"/>
      <c r="E709" s="126" t="n"/>
      <c r="F709" s="124" t="n"/>
      <c r="G709" s="121">
        <f>IF($D709=0,0,$D709*$E709)</f>
        <v/>
      </c>
      <c r="H709" s="122">
        <f>IF($B709="","",CONCATENATE("Hareket: ",$C709,"/",$D709," adet ",$B709))</f>
        <v/>
      </c>
    </row>
    <row r="710" ht="15" customHeight="1" s="77">
      <c r="A710" s="123" t="n"/>
      <c r="B710" s="124" t="n"/>
      <c r="C710" s="124" t="n"/>
      <c r="D710" s="125" t="n"/>
      <c r="E710" s="126" t="n"/>
      <c r="F710" s="124" t="n"/>
      <c r="G710" s="121">
        <f>IF($D710=0,0,$D710*$E710)</f>
        <v/>
      </c>
      <c r="H710" s="122">
        <f>IF($B710="","",CONCATENATE("Hareket: ",$C710,"/",$D710," adet ",$B710))</f>
        <v/>
      </c>
    </row>
    <row r="711" ht="15" customHeight="1" s="77">
      <c r="A711" s="123" t="n"/>
      <c r="B711" s="124" t="n"/>
      <c r="C711" s="124" t="n"/>
      <c r="D711" s="125" t="n"/>
      <c r="E711" s="126" t="n"/>
      <c r="F711" s="124" t="n"/>
      <c r="G711" s="121">
        <f>IF($D711=0,0,$D711*$E711)</f>
        <v/>
      </c>
      <c r="H711" s="122">
        <f>IF($B711="","",CONCATENATE("Hareket: ",$C711,"/",$D711," adet ",$B711))</f>
        <v/>
      </c>
    </row>
    <row r="712" ht="15" customHeight="1" s="77">
      <c r="A712" s="123" t="n"/>
      <c r="B712" s="124" t="n"/>
      <c r="C712" s="124" t="n"/>
      <c r="D712" s="125" t="n"/>
      <c r="E712" s="126" t="n"/>
      <c r="F712" s="124" t="n"/>
      <c r="G712" s="121">
        <f>IF($D712=0,0,$D712*$E712)</f>
        <v/>
      </c>
      <c r="H712" s="122">
        <f>IF($B712="","",CONCATENATE("Hareket: ",$C712,"/",$D712," adet ",$B712))</f>
        <v/>
      </c>
    </row>
    <row r="713" ht="15" customHeight="1" s="77">
      <c r="A713" s="123" t="n"/>
      <c r="B713" s="124" t="n"/>
      <c r="C713" s="124" t="n"/>
      <c r="D713" s="125" t="n"/>
      <c r="E713" s="126" t="n"/>
      <c r="F713" s="124" t="n"/>
      <c r="G713" s="121">
        <f>IF($D713=0,0,$D713*$E713)</f>
        <v/>
      </c>
      <c r="H713" s="122">
        <f>IF($B713="","",CONCATENATE("Hareket: ",$C713,"/",$D713," adet ",$B713))</f>
        <v/>
      </c>
    </row>
    <row r="714" ht="15" customHeight="1" s="77">
      <c r="A714" s="123" t="n"/>
      <c r="B714" s="124" t="n"/>
      <c r="C714" s="124" t="n"/>
      <c r="D714" s="125" t="n"/>
      <c r="E714" s="126" t="n"/>
      <c r="F714" s="124" t="n"/>
      <c r="G714" s="121">
        <f>IF($D714=0,0,$D714*$E714)</f>
        <v/>
      </c>
      <c r="H714" s="122">
        <f>IF($B714="","",CONCATENATE("Hareket: ",$C714,"/",$D714," adet ",$B714))</f>
        <v/>
      </c>
    </row>
    <row r="715" ht="15" customHeight="1" s="77">
      <c r="A715" s="123" t="n"/>
      <c r="B715" s="124" t="n"/>
      <c r="C715" s="124" t="n"/>
      <c r="D715" s="125" t="n"/>
      <c r="E715" s="126" t="n"/>
      <c r="F715" s="124" t="n"/>
      <c r="G715" s="121">
        <f>IF($D715=0,0,$D715*$E715)</f>
        <v/>
      </c>
      <c r="H715" s="122">
        <f>IF($B715="","",CONCATENATE("Hareket: ",$C715,"/",$D715," adet ",$B715))</f>
        <v/>
      </c>
    </row>
    <row r="716" ht="15" customHeight="1" s="77">
      <c r="A716" s="123" t="n"/>
      <c r="B716" s="124" t="n"/>
      <c r="C716" s="124" t="n"/>
      <c r="D716" s="125" t="n"/>
      <c r="E716" s="126" t="n"/>
      <c r="F716" s="124" t="n"/>
      <c r="G716" s="121">
        <f>IF($D716=0,0,$D716*$E716)</f>
        <v/>
      </c>
      <c r="H716" s="122">
        <f>IF($B716="","",CONCATENATE("Hareket: ",$C716,"/",$D716," adet ",$B716))</f>
        <v/>
      </c>
    </row>
    <row r="717" ht="15" customHeight="1" s="77">
      <c r="A717" s="123" t="n"/>
      <c r="B717" s="124" t="n"/>
      <c r="C717" s="124" t="n"/>
      <c r="D717" s="125" t="n"/>
      <c r="E717" s="126" t="n"/>
      <c r="F717" s="124" t="n"/>
      <c r="G717" s="121">
        <f>IF($D717=0,0,$D717*$E717)</f>
        <v/>
      </c>
      <c r="H717" s="122">
        <f>IF($B717="","",CONCATENATE("Hareket: ",$C717,"/",$D717," adet ",$B717))</f>
        <v/>
      </c>
    </row>
    <row r="718" ht="15" customHeight="1" s="77">
      <c r="A718" s="123" t="n"/>
      <c r="B718" s="124" t="n"/>
      <c r="C718" s="124" t="n"/>
      <c r="D718" s="125" t="n"/>
      <c r="E718" s="126" t="n"/>
      <c r="F718" s="124" t="n"/>
      <c r="G718" s="121">
        <f>IF($D718=0,0,$D718*$E718)</f>
        <v/>
      </c>
      <c r="H718" s="122">
        <f>IF($B718="","",CONCATENATE("Hareket: ",$C718,"/",$D718," adet ",$B718))</f>
        <v/>
      </c>
    </row>
    <row r="719" ht="15" customHeight="1" s="77">
      <c r="A719" s="123" t="n"/>
      <c r="B719" s="124" t="n"/>
      <c r="C719" s="124" t="n"/>
      <c r="D719" s="125" t="n"/>
      <c r="E719" s="126" t="n"/>
      <c r="F719" s="124" t="n"/>
      <c r="G719" s="121">
        <f>IF($D719=0,0,$D719*$E719)</f>
        <v/>
      </c>
      <c r="H719" s="122">
        <f>IF($B719="","",CONCATENATE("Hareket: ",$C719,"/",$D719," adet ",$B719))</f>
        <v/>
      </c>
    </row>
    <row r="720" ht="15" customHeight="1" s="77">
      <c r="A720" s="123" t="n"/>
      <c r="B720" s="124" t="n"/>
      <c r="C720" s="124" t="n"/>
      <c r="D720" s="125" t="n"/>
      <c r="E720" s="126" t="n"/>
      <c r="F720" s="124" t="n"/>
      <c r="G720" s="121">
        <f>IF($D720=0,0,$D720*$E720)</f>
        <v/>
      </c>
      <c r="H720" s="122">
        <f>IF($B720="","",CONCATENATE("Hareket: ",$C720,"/",$D720," adet ",$B720))</f>
        <v/>
      </c>
    </row>
    <row r="721" ht="15" customHeight="1" s="77">
      <c r="A721" s="123" t="n"/>
      <c r="B721" s="124" t="n"/>
      <c r="C721" s="124" t="n"/>
      <c r="D721" s="125" t="n"/>
      <c r="E721" s="126" t="n"/>
      <c r="F721" s="124" t="n"/>
      <c r="G721" s="121">
        <f>IF($D721=0,0,$D721*$E721)</f>
        <v/>
      </c>
      <c r="H721" s="122">
        <f>IF($B721="","",CONCATENATE("Hareket: ",$C721,"/",$D721," adet ",$B721))</f>
        <v/>
      </c>
    </row>
    <row r="722" ht="15" customHeight="1" s="77">
      <c r="A722" s="123" t="n"/>
      <c r="B722" s="124" t="n"/>
      <c r="C722" s="124" t="n"/>
      <c r="D722" s="125" t="n"/>
      <c r="E722" s="126" t="n"/>
      <c r="F722" s="124" t="n"/>
      <c r="G722" s="121">
        <f>IF($D722=0,0,$D722*$E722)</f>
        <v/>
      </c>
      <c r="H722" s="122">
        <f>IF($B722="","",CONCATENATE("Hareket: ",$C722,"/",$D722," adet ",$B722))</f>
        <v/>
      </c>
    </row>
    <row r="723" ht="15" customHeight="1" s="77">
      <c r="A723" s="123" t="n"/>
      <c r="B723" s="124" t="n"/>
      <c r="C723" s="124" t="n"/>
      <c r="D723" s="125" t="n"/>
      <c r="E723" s="126" t="n"/>
      <c r="F723" s="124" t="n"/>
      <c r="G723" s="121">
        <f>IF($D723=0,0,$D723*$E723)</f>
        <v/>
      </c>
      <c r="H723" s="122">
        <f>IF($B723="","",CONCATENATE("Hareket: ",$C723,"/",$D723," adet ",$B723))</f>
        <v/>
      </c>
    </row>
    <row r="724" ht="15" customHeight="1" s="77">
      <c r="A724" s="123" t="n"/>
      <c r="B724" s="124" t="n"/>
      <c r="C724" s="124" t="n"/>
      <c r="D724" s="125" t="n"/>
      <c r="E724" s="126" t="n"/>
      <c r="F724" s="124" t="n"/>
      <c r="G724" s="121">
        <f>IF($D724=0,0,$D724*$E724)</f>
        <v/>
      </c>
      <c r="H724" s="122">
        <f>IF($B724="","",CONCATENATE("Hareket: ",$C724,"/",$D724," adet ",$B724))</f>
        <v/>
      </c>
    </row>
    <row r="725" ht="15" customHeight="1" s="77">
      <c r="A725" s="123" t="n"/>
      <c r="B725" s="124" t="n"/>
      <c r="C725" s="124" t="n"/>
      <c r="D725" s="125" t="n"/>
      <c r="E725" s="126" t="n"/>
      <c r="F725" s="124" t="n"/>
      <c r="G725" s="121">
        <f>IF($D725=0,0,$D725*$E725)</f>
        <v/>
      </c>
      <c r="H725" s="122">
        <f>IF($B725="","",CONCATENATE("Hareket: ",$C725,"/",$D725," adet ",$B725))</f>
        <v/>
      </c>
    </row>
    <row r="726" ht="15" customHeight="1" s="77">
      <c r="A726" s="123" t="n"/>
      <c r="B726" s="124" t="n"/>
      <c r="C726" s="124" t="n"/>
      <c r="D726" s="125" t="n"/>
      <c r="E726" s="126" t="n"/>
      <c r="F726" s="124" t="n"/>
      <c r="G726" s="121">
        <f>IF($D726=0,0,$D726*$E726)</f>
        <v/>
      </c>
      <c r="H726" s="122">
        <f>IF($B726="","",CONCATENATE("Hareket: ",$C726,"/",$D726," adet ",$B726))</f>
        <v/>
      </c>
    </row>
    <row r="727" ht="15" customHeight="1" s="77">
      <c r="A727" s="123" t="n"/>
      <c r="B727" s="124" t="n"/>
      <c r="C727" s="124" t="n"/>
      <c r="D727" s="125" t="n"/>
      <c r="E727" s="126" t="n"/>
      <c r="F727" s="124" t="n"/>
      <c r="G727" s="121">
        <f>IF($D727=0,0,$D727*$E727)</f>
        <v/>
      </c>
      <c r="H727" s="122">
        <f>IF($B727="","",CONCATENATE("Hareket: ",$C727,"/",$D727," adet ",$B727))</f>
        <v/>
      </c>
    </row>
    <row r="728" ht="15" customHeight="1" s="77">
      <c r="A728" s="123" t="n"/>
      <c r="B728" s="124" t="n"/>
      <c r="C728" s="124" t="n"/>
      <c r="D728" s="125" t="n"/>
      <c r="E728" s="126" t="n"/>
      <c r="F728" s="124" t="n"/>
      <c r="G728" s="121">
        <f>IF($D728=0,0,$D728*$E728)</f>
        <v/>
      </c>
      <c r="H728" s="122">
        <f>IF($B728="","",CONCATENATE("Hareket: ",$C728,"/",$D728," adet ",$B728))</f>
        <v/>
      </c>
    </row>
    <row r="729" ht="15" customHeight="1" s="77">
      <c r="A729" s="123" t="n"/>
      <c r="B729" s="124" t="n"/>
      <c r="C729" s="124" t="n"/>
      <c r="D729" s="125" t="n"/>
      <c r="E729" s="126" t="n"/>
      <c r="F729" s="124" t="n"/>
      <c r="G729" s="121">
        <f>IF($D729=0,0,$D729*$E729)</f>
        <v/>
      </c>
      <c r="H729" s="122">
        <f>IF($B729="","",CONCATENATE("Hareket: ",$C729,"/",$D729," adet ",$B729))</f>
        <v/>
      </c>
    </row>
    <row r="730" ht="15" customHeight="1" s="77">
      <c r="A730" s="123" t="n"/>
      <c r="B730" s="124" t="n"/>
      <c r="C730" s="124" t="n"/>
      <c r="D730" s="125" t="n"/>
      <c r="E730" s="126" t="n"/>
      <c r="F730" s="124" t="n"/>
      <c r="G730" s="121">
        <f>IF($D730=0,0,$D730*$E730)</f>
        <v/>
      </c>
      <c r="H730" s="122">
        <f>IF($B730="","",CONCATENATE("Hareket: ",$C730,"/",$D730," adet ",$B730))</f>
        <v/>
      </c>
    </row>
    <row r="731" ht="15" customHeight="1" s="77">
      <c r="A731" s="123" t="n"/>
      <c r="B731" s="124" t="n"/>
      <c r="C731" s="124" t="n"/>
      <c r="D731" s="125" t="n"/>
      <c r="E731" s="126" t="n"/>
      <c r="F731" s="124" t="n"/>
      <c r="G731" s="121">
        <f>IF($D731=0,0,$D731*$E731)</f>
        <v/>
      </c>
      <c r="H731" s="122">
        <f>IF($B731="","",CONCATENATE("Hareket: ",$C731,"/",$D731," adet ",$B731))</f>
        <v/>
      </c>
    </row>
    <row r="732" ht="15" customHeight="1" s="77">
      <c r="A732" s="123" t="n"/>
      <c r="B732" s="124" t="n"/>
      <c r="C732" s="124" t="n"/>
      <c r="D732" s="125" t="n"/>
      <c r="E732" s="126" t="n"/>
      <c r="F732" s="124" t="n"/>
      <c r="G732" s="121">
        <f>IF($D732=0,0,$D732*$E732)</f>
        <v/>
      </c>
      <c r="H732" s="122">
        <f>IF($B732="","",CONCATENATE("Hareket: ",$C732,"/",$D732," adet ",$B732))</f>
        <v/>
      </c>
    </row>
    <row r="733" ht="15" customHeight="1" s="77">
      <c r="A733" s="123" t="n"/>
      <c r="B733" s="124" t="n"/>
      <c r="C733" s="124" t="n"/>
      <c r="D733" s="125" t="n"/>
      <c r="E733" s="126" t="n"/>
      <c r="F733" s="124" t="n"/>
      <c r="G733" s="121">
        <f>IF($D733=0,0,$D733*$E733)</f>
        <v/>
      </c>
      <c r="H733" s="122">
        <f>IF($B733="","",CONCATENATE("Hareket: ",$C733,"/",$D733," adet ",$B733))</f>
        <v/>
      </c>
    </row>
    <row r="734" ht="15" customHeight="1" s="77">
      <c r="A734" s="123" t="n"/>
      <c r="B734" s="124" t="n"/>
      <c r="C734" s="124" t="n"/>
      <c r="D734" s="125" t="n"/>
      <c r="E734" s="126" t="n"/>
      <c r="F734" s="124" t="n"/>
      <c r="G734" s="121">
        <f>IF($D734=0,0,$D734*$E734)</f>
        <v/>
      </c>
      <c r="H734" s="122">
        <f>IF($B734="","",CONCATENATE("Hareket: ",$C734,"/",$D734," adet ",$B734))</f>
        <v/>
      </c>
    </row>
    <row r="735" ht="15" customHeight="1" s="77">
      <c r="A735" s="123" t="n"/>
      <c r="B735" s="124" t="n"/>
      <c r="C735" s="124" t="n"/>
      <c r="D735" s="125" t="n"/>
      <c r="E735" s="126" t="n"/>
      <c r="F735" s="124" t="n"/>
      <c r="G735" s="121">
        <f>IF($D735=0,0,$D735*$E735)</f>
        <v/>
      </c>
      <c r="H735" s="122">
        <f>IF($B735="","",CONCATENATE("Hareket: ",$C735,"/",$D735," adet ",$B735))</f>
        <v/>
      </c>
    </row>
    <row r="736" ht="15" customHeight="1" s="77">
      <c r="A736" s="123" t="n"/>
      <c r="B736" s="124" t="n"/>
      <c r="C736" s="124" t="n"/>
      <c r="D736" s="125" t="n"/>
      <c r="E736" s="126" t="n"/>
      <c r="F736" s="124" t="n"/>
      <c r="G736" s="121">
        <f>IF($D736=0,0,$D736*$E736)</f>
        <v/>
      </c>
      <c r="H736" s="122">
        <f>IF($B736="","",CONCATENATE("Hareket: ",$C736,"/",$D736," adet ",$B736))</f>
        <v/>
      </c>
    </row>
    <row r="737" ht="15" customHeight="1" s="77">
      <c r="A737" s="123" t="n"/>
      <c r="B737" s="124" t="n"/>
      <c r="C737" s="124" t="n"/>
      <c r="D737" s="125" t="n"/>
      <c r="E737" s="126" t="n"/>
      <c r="F737" s="124" t="n"/>
      <c r="G737" s="121">
        <f>IF($D737=0,0,$D737*$E737)</f>
        <v/>
      </c>
      <c r="H737" s="122">
        <f>IF($B737="","",CONCATENATE("Hareket: ",$C737,"/",$D737," adet ",$B737))</f>
        <v/>
      </c>
    </row>
    <row r="738" ht="15" customHeight="1" s="77">
      <c r="A738" s="123" t="n"/>
      <c r="B738" s="124" t="n"/>
      <c r="C738" s="124" t="n"/>
      <c r="D738" s="125" t="n"/>
      <c r="E738" s="126" t="n"/>
      <c r="F738" s="124" t="n"/>
      <c r="G738" s="121">
        <f>IF($D738=0,0,$D738*$E738)</f>
        <v/>
      </c>
      <c r="H738" s="122">
        <f>IF($B738="","",CONCATENATE("Hareket: ",$C738,"/",$D738," adet ",$B738))</f>
        <v/>
      </c>
    </row>
    <row r="739" ht="15" customHeight="1" s="77">
      <c r="A739" s="123" t="n"/>
      <c r="B739" s="124" t="n"/>
      <c r="C739" s="124" t="n"/>
      <c r="D739" s="125" t="n"/>
      <c r="E739" s="126" t="n"/>
      <c r="F739" s="124" t="n"/>
      <c r="G739" s="121">
        <f>IF($D739=0,0,$D739*$E739)</f>
        <v/>
      </c>
      <c r="H739" s="122">
        <f>IF($B739="","",CONCATENATE("Hareket: ",$C739,"/",$D739," adet ",$B739))</f>
        <v/>
      </c>
    </row>
    <row r="740" ht="15" customHeight="1" s="77">
      <c r="A740" s="123" t="n"/>
      <c r="B740" s="124" t="n"/>
      <c r="C740" s="124" t="n"/>
      <c r="D740" s="125" t="n"/>
      <c r="E740" s="126" t="n"/>
      <c r="F740" s="124" t="n"/>
      <c r="G740" s="121">
        <f>IF($D740=0,0,$D740*$E740)</f>
        <v/>
      </c>
      <c r="H740" s="122">
        <f>IF($B740="","",CONCATENATE("Hareket: ",$C740,"/",$D740," adet ",$B740))</f>
        <v/>
      </c>
    </row>
    <row r="741" ht="15" customHeight="1" s="77">
      <c r="A741" s="123" t="n"/>
      <c r="B741" s="124" t="n"/>
      <c r="C741" s="124" t="n"/>
      <c r="D741" s="125" t="n"/>
      <c r="E741" s="126" t="n"/>
      <c r="F741" s="124" t="n"/>
      <c r="G741" s="121">
        <f>IF($D741=0,0,$D741*$E741)</f>
        <v/>
      </c>
      <c r="H741" s="122">
        <f>IF($B741="","",CONCATENATE("Hareket: ",$C741,"/",$D741," adet ",$B741))</f>
        <v/>
      </c>
    </row>
    <row r="742" ht="15" customHeight="1" s="77">
      <c r="A742" s="123" t="n"/>
      <c r="B742" s="124" t="n"/>
      <c r="C742" s="124" t="n"/>
      <c r="D742" s="125" t="n"/>
      <c r="E742" s="126" t="n"/>
      <c r="F742" s="124" t="n"/>
      <c r="G742" s="121">
        <f>IF($D742=0,0,$D742*$E742)</f>
        <v/>
      </c>
      <c r="H742" s="122">
        <f>IF($B742="","",CONCATENATE("Hareket: ",$C742,"/",$D742," adet ",$B742))</f>
        <v/>
      </c>
    </row>
    <row r="743" ht="15" customHeight="1" s="77">
      <c r="A743" s="123" t="n"/>
      <c r="B743" s="124" t="n"/>
      <c r="C743" s="124" t="n"/>
      <c r="D743" s="125" t="n"/>
      <c r="E743" s="126" t="n"/>
      <c r="F743" s="124" t="n"/>
      <c r="G743" s="121">
        <f>IF($D743=0,0,$D743*$E743)</f>
        <v/>
      </c>
      <c r="H743" s="122">
        <f>IF($B743="","",CONCATENATE("Hareket: ",$C743,"/",$D743," adet ",$B743))</f>
        <v/>
      </c>
    </row>
    <row r="744" ht="15" customHeight="1" s="77">
      <c r="A744" s="123" t="n"/>
      <c r="B744" s="124" t="n"/>
      <c r="C744" s="124" t="n"/>
      <c r="D744" s="125" t="n"/>
      <c r="E744" s="126" t="n"/>
      <c r="F744" s="124" t="n"/>
      <c r="G744" s="121">
        <f>IF($D744=0,0,$D744*$E744)</f>
        <v/>
      </c>
      <c r="H744" s="122">
        <f>IF($B744="","",CONCATENATE("Hareket: ",$C744,"/",$D744," adet ",$B744))</f>
        <v/>
      </c>
    </row>
    <row r="745" ht="15" customHeight="1" s="77">
      <c r="A745" s="123" t="n"/>
      <c r="B745" s="124" t="n"/>
      <c r="C745" s="124" t="n"/>
      <c r="D745" s="125" t="n"/>
      <c r="E745" s="126" t="n"/>
      <c r="F745" s="124" t="n"/>
      <c r="G745" s="121">
        <f>IF($D745=0,0,$D745*$E745)</f>
        <v/>
      </c>
      <c r="H745" s="122">
        <f>IF($B745="","",CONCATENATE("Hareket: ",$C745,"/",$D745," adet ",$B745))</f>
        <v/>
      </c>
    </row>
    <row r="746" ht="15" customHeight="1" s="77">
      <c r="A746" s="123" t="n"/>
      <c r="B746" s="124" t="n"/>
      <c r="C746" s="124" t="n"/>
      <c r="D746" s="125" t="n"/>
      <c r="E746" s="126" t="n"/>
      <c r="F746" s="124" t="n"/>
      <c r="G746" s="121">
        <f>IF($D746=0,0,$D746*$E746)</f>
        <v/>
      </c>
      <c r="H746" s="122">
        <f>IF($B746="","",CONCATENATE("Hareket: ",$C746,"/",$D746," adet ",$B746))</f>
        <v/>
      </c>
    </row>
    <row r="747" ht="15" customHeight="1" s="77">
      <c r="A747" s="123" t="n"/>
      <c r="B747" s="124" t="n"/>
      <c r="C747" s="124" t="n"/>
      <c r="D747" s="125" t="n"/>
      <c r="E747" s="126" t="n"/>
      <c r="F747" s="124" t="n"/>
      <c r="G747" s="121">
        <f>IF($D747=0,0,$D747*$E747)</f>
        <v/>
      </c>
      <c r="H747" s="122">
        <f>IF($B747="","",CONCATENATE("Hareket: ",$C747,"/",$D747," adet ",$B747))</f>
        <v/>
      </c>
    </row>
    <row r="748" ht="15" customHeight="1" s="77">
      <c r="A748" s="123" t="n"/>
      <c r="B748" s="124" t="n"/>
      <c r="C748" s="124" t="n"/>
      <c r="D748" s="125" t="n"/>
      <c r="E748" s="126" t="n"/>
      <c r="F748" s="124" t="n"/>
      <c r="G748" s="121">
        <f>IF($D748=0,0,$D748*$E748)</f>
        <v/>
      </c>
      <c r="H748" s="122">
        <f>IF($B748="","",CONCATENATE("Hareket: ",$C748,"/",$D748," adet ",$B748))</f>
        <v/>
      </c>
    </row>
    <row r="749" ht="15" customHeight="1" s="77">
      <c r="A749" s="123" t="n"/>
      <c r="B749" s="124" t="n"/>
      <c r="C749" s="124" t="n"/>
      <c r="D749" s="125" t="n"/>
      <c r="E749" s="126" t="n"/>
      <c r="F749" s="124" t="n"/>
      <c r="G749" s="121">
        <f>IF($D749=0,0,$D749*$E749)</f>
        <v/>
      </c>
      <c r="H749" s="122">
        <f>IF($B749="","",CONCATENATE("Hareket: ",$C749,"/",$D749," adet ",$B749))</f>
        <v/>
      </c>
    </row>
    <row r="750" ht="15" customHeight="1" s="77">
      <c r="A750" s="123" t="n"/>
      <c r="B750" s="124" t="n"/>
      <c r="C750" s="124" t="n"/>
      <c r="D750" s="125" t="n"/>
      <c r="E750" s="126" t="n"/>
      <c r="F750" s="124" t="n"/>
      <c r="G750" s="121">
        <f>IF($D750=0,0,$D750*$E750)</f>
        <v/>
      </c>
      <c r="H750" s="122">
        <f>IF($B750="","",CONCATENATE("Hareket: ",$C750,"/",$D750," adet ",$B750))</f>
        <v/>
      </c>
    </row>
    <row r="751" ht="15" customHeight="1" s="77">
      <c r="A751" s="123" t="n"/>
      <c r="B751" s="124" t="n"/>
      <c r="C751" s="124" t="n"/>
      <c r="D751" s="125" t="n"/>
      <c r="E751" s="126" t="n"/>
      <c r="F751" s="124" t="n"/>
      <c r="G751" s="121">
        <f>IF($D751=0,0,$D751*$E751)</f>
        <v/>
      </c>
      <c r="H751" s="122">
        <f>IF($B751="","",CONCATENATE("Hareket: ",$C751,"/",$D751," adet ",$B751))</f>
        <v/>
      </c>
    </row>
    <row r="752" ht="15" customHeight="1" s="77">
      <c r="A752" s="123" t="n"/>
      <c r="B752" s="124" t="n"/>
      <c r="C752" s="124" t="n"/>
      <c r="D752" s="125" t="n"/>
      <c r="E752" s="126" t="n"/>
      <c r="F752" s="124" t="n"/>
      <c r="G752" s="121">
        <f>IF($D752=0,0,$D752*$E752)</f>
        <v/>
      </c>
      <c r="H752" s="122">
        <f>IF($B752="","",CONCATENATE("Hareket: ",$C752,"/",$D752," adet ",$B752))</f>
        <v/>
      </c>
    </row>
    <row r="753" ht="15" customHeight="1" s="77">
      <c r="A753" s="123" t="n"/>
      <c r="B753" s="124" t="n"/>
      <c r="C753" s="124" t="n"/>
      <c r="D753" s="125" t="n"/>
      <c r="E753" s="126" t="n"/>
      <c r="F753" s="124" t="n"/>
      <c r="G753" s="121">
        <f>IF($D753=0,0,$D753*$E753)</f>
        <v/>
      </c>
      <c r="H753" s="122">
        <f>IF($B753="","",CONCATENATE("Hareket: ",$C753,"/",$D753," adet ",$B753))</f>
        <v/>
      </c>
    </row>
    <row r="754" ht="15" customHeight="1" s="77">
      <c r="A754" s="123" t="n"/>
      <c r="B754" s="124" t="n"/>
      <c r="C754" s="124" t="n"/>
      <c r="D754" s="125" t="n"/>
      <c r="E754" s="126" t="n"/>
      <c r="F754" s="124" t="n"/>
      <c r="G754" s="121">
        <f>IF($D754=0,0,$D754*$E754)</f>
        <v/>
      </c>
      <c r="H754" s="122">
        <f>IF($B754="","",CONCATENATE("Hareket: ",$C754,"/",$D754," adet ",$B754))</f>
        <v/>
      </c>
    </row>
    <row r="755" ht="15" customHeight="1" s="77">
      <c r="A755" s="123" t="n"/>
      <c r="B755" s="124" t="n"/>
      <c r="C755" s="124" t="n"/>
      <c r="D755" s="125" t="n"/>
      <c r="E755" s="126" t="n"/>
      <c r="F755" s="124" t="n"/>
      <c r="G755" s="121">
        <f>IF($D755=0,0,$D755*$E755)</f>
        <v/>
      </c>
      <c r="H755" s="122">
        <f>IF($B755="","",CONCATENATE("Hareket: ",$C755,"/",$D755," adet ",$B755))</f>
        <v/>
      </c>
    </row>
    <row r="756" ht="15" customHeight="1" s="77">
      <c r="A756" s="123" t="n"/>
      <c r="B756" s="124" t="n"/>
      <c r="C756" s="124" t="n"/>
      <c r="D756" s="125" t="n"/>
      <c r="E756" s="126" t="n"/>
      <c r="F756" s="124" t="n"/>
      <c r="G756" s="121">
        <f>IF($D756=0,0,$D756*$E756)</f>
        <v/>
      </c>
      <c r="H756" s="122">
        <f>IF($B756="","",CONCATENATE("Hareket: ",$C756,"/",$D756," adet ",$B756))</f>
        <v/>
      </c>
    </row>
    <row r="757" ht="15" customHeight="1" s="77">
      <c r="A757" s="123" t="n"/>
      <c r="B757" s="124" t="n"/>
      <c r="C757" s="124" t="n"/>
      <c r="D757" s="125" t="n"/>
      <c r="E757" s="126" t="n"/>
      <c r="F757" s="124" t="n"/>
      <c r="G757" s="121">
        <f>IF($D757=0,0,$D757*$E757)</f>
        <v/>
      </c>
      <c r="H757" s="122">
        <f>IF($B757="","",CONCATENATE("Hareket: ",$C757,"/",$D757," adet ",$B757))</f>
        <v/>
      </c>
    </row>
    <row r="758" ht="15" customHeight="1" s="77">
      <c r="A758" s="123" t="n"/>
      <c r="B758" s="124" t="n"/>
      <c r="C758" s="124" t="n"/>
      <c r="D758" s="125" t="n"/>
      <c r="E758" s="126" t="n"/>
      <c r="F758" s="124" t="n"/>
      <c r="G758" s="121">
        <f>IF($D758=0,0,$D758*$E758)</f>
        <v/>
      </c>
      <c r="H758" s="122">
        <f>IF($B758="","",CONCATENATE("Hareket: ",$C758,"/",$D758," adet ",$B758))</f>
        <v/>
      </c>
    </row>
    <row r="759" ht="15" customHeight="1" s="77">
      <c r="A759" s="123" t="n"/>
      <c r="B759" s="124" t="n"/>
      <c r="C759" s="124" t="n"/>
      <c r="D759" s="125" t="n"/>
      <c r="E759" s="126" t="n"/>
      <c r="F759" s="124" t="n"/>
      <c r="G759" s="121">
        <f>IF($D759=0,0,$D759*$E759)</f>
        <v/>
      </c>
      <c r="H759" s="122">
        <f>IF($B759="","",CONCATENATE("Hareket: ",$C759,"/",$D759," adet ",$B759))</f>
        <v/>
      </c>
    </row>
    <row r="760" ht="15" customHeight="1" s="77">
      <c r="A760" s="123" t="n"/>
      <c r="B760" s="124" t="n"/>
      <c r="C760" s="124" t="n"/>
      <c r="D760" s="125" t="n"/>
      <c r="E760" s="126" t="n"/>
      <c r="F760" s="124" t="n"/>
      <c r="G760" s="121">
        <f>IF($D760=0,0,$D760*$E760)</f>
        <v/>
      </c>
      <c r="H760" s="122">
        <f>IF($B760="","",CONCATENATE("Hareket: ",$C760,"/",$D760," adet ",$B760))</f>
        <v/>
      </c>
    </row>
    <row r="761" ht="15" customHeight="1" s="77">
      <c r="A761" s="123" t="n"/>
      <c r="B761" s="124" t="n"/>
      <c r="C761" s="124" t="n"/>
      <c r="D761" s="125" t="n"/>
      <c r="E761" s="126" t="n"/>
      <c r="F761" s="124" t="n"/>
      <c r="G761" s="121">
        <f>IF($D761=0,0,$D761*$E761)</f>
        <v/>
      </c>
      <c r="H761" s="122">
        <f>IF($B761="","",CONCATENATE("Hareket: ",$C761,"/",$D761," adet ",$B761))</f>
        <v/>
      </c>
    </row>
    <row r="762" ht="15" customHeight="1" s="77">
      <c r="A762" s="123" t="n"/>
      <c r="B762" s="124" t="n"/>
      <c r="C762" s="124" t="n"/>
      <c r="D762" s="125" t="n"/>
      <c r="E762" s="126" t="n"/>
      <c r="F762" s="124" t="n"/>
      <c r="G762" s="121">
        <f>IF($D762=0,0,$D762*$E762)</f>
        <v/>
      </c>
      <c r="H762" s="122">
        <f>IF($B762="","",CONCATENATE("Hareket: ",$C762,"/",$D762," adet ",$B762))</f>
        <v/>
      </c>
    </row>
    <row r="763" ht="15" customHeight="1" s="77">
      <c r="A763" s="123" t="n"/>
      <c r="B763" s="124" t="n"/>
      <c r="C763" s="124" t="n"/>
      <c r="D763" s="125" t="n"/>
      <c r="E763" s="126" t="n"/>
      <c r="F763" s="124" t="n"/>
      <c r="G763" s="121">
        <f>IF($D763=0,0,$D763*$E763)</f>
        <v/>
      </c>
      <c r="H763" s="122">
        <f>IF($B763="","",CONCATENATE("Hareket: ",$C763,"/",$D763," adet ",$B763))</f>
        <v/>
      </c>
    </row>
    <row r="764" ht="15" customHeight="1" s="77">
      <c r="A764" s="123" t="n"/>
      <c r="B764" s="124" t="n"/>
      <c r="C764" s="124" t="n"/>
      <c r="D764" s="125" t="n"/>
      <c r="E764" s="126" t="n"/>
      <c r="F764" s="124" t="n"/>
      <c r="G764" s="121">
        <f>IF($D764=0,0,$D764*$E764)</f>
        <v/>
      </c>
      <c r="H764" s="122">
        <f>IF($B764="","",CONCATENATE("Hareket: ",$C764,"/",$D764," adet ",$B764))</f>
        <v/>
      </c>
    </row>
    <row r="765" ht="15" customHeight="1" s="77">
      <c r="A765" s="123" t="n"/>
      <c r="B765" s="124" t="n"/>
      <c r="C765" s="124" t="n"/>
      <c r="D765" s="125" t="n"/>
      <c r="E765" s="126" t="n"/>
      <c r="F765" s="124" t="n"/>
      <c r="G765" s="121">
        <f>IF($D765=0,0,$D765*$E765)</f>
        <v/>
      </c>
      <c r="H765" s="122">
        <f>IF($B765="","",CONCATENATE("Hareket: ",$C765,"/",$D765," adet ",$B765))</f>
        <v/>
      </c>
    </row>
    <row r="766" ht="15" customHeight="1" s="77">
      <c r="A766" s="123" t="n"/>
      <c r="B766" s="124" t="n"/>
      <c r="C766" s="124" t="n"/>
      <c r="D766" s="125" t="n"/>
      <c r="E766" s="126" t="n"/>
      <c r="F766" s="124" t="n"/>
      <c r="G766" s="121">
        <f>IF($D766=0,0,$D766*$E766)</f>
        <v/>
      </c>
      <c r="H766" s="122">
        <f>IF($B766="","",CONCATENATE("Hareket: ",$C766,"/",$D766," adet ",$B766))</f>
        <v/>
      </c>
    </row>
    <row r="767" ht="15" customHeight="1" s="77">
      <c r="A767" s="123" t="n"/>
      <c r="B767" s="124" t="n"/>
      <c r="C767" s="124" t="n"/>
      <c r="D767" s="125" t="n"/>
      <c r="E767" s="126" t="n"/>
      <c r="F767" s="124" t="n"/>
      <c r="G767" s="121">
        <f>IF($D767=0,0,$D767*$E767)</f>
        <v/>
      </c>
      <c r="H767" s="122">
        <f>IF($B767="","",CONCATENATE("Hareket: ",$C767,"/",$D767," adet ",$B767))</f>
        <v/>
      </c>
    </row>
    <row r="768" ht="15" customHeight="1" s="77">
      <c r="A768" s="123" t="n"/>
      <c r="B768" s="124" t="n"/>
      <c r="C768" s="124" t="n"/>
      <c r="D768" s="125" t="n"/>
      <c r="E768" s="126" t="n"/>
      <c r="F768" s="124" t="n"/>
      <c r="G768" s="121">
        <f>IF($D768=0,0,$D768*$E768)</f>
        <v/>
      </c>
      <c r="H768" s="122">
        <f>IF($B768="","",CONCATENATE("Hareket: ",$C768,"/",$D768," adet ",$B768))</f>
        <v/>
      </c>
    </row>
    <row r="769" ht="15" customHeight="1" s="77">
      <c r="A769" s="123" t="n"/>
      <c r="B769" s="124" t="n"/>
      <c r="C769" s="124" t="n"/>
      <c r="D769" s="125" t="n"/>
      <c r="E769" s="126" t="n"/>
      <c r="F769" s="124" t="n"/>
      <c r="G769" s="121">
        <f>IF($D769=0,0,$D769*$E769)</f>
        <v/>
      </c>
      <c r="H769" s="122">
        <f>IF($B769="","",CONCATENATE("Hareket: ",$C769,"/",$D769," adet ",$B769))</f>
        <v/>
      </c>
    </row>
    <row r="770" ht="15" customHeight="1" s="77">
      <c r="A770" s="123" t="n"/>
      <c r="B770" s="124" t="n"/>
      <c r="C770" s="124" t="n"/>
      <c r="D770" s="125" t="n"/>
      <c r="E770" s="126" t="n"/>
      <c r="F770" s="124" t="n"/>
      <c r="G770" s="121">
        <f>IF($D770=0,0,$D770*$E770)</f>
        <v/>
      </c>
      <c r="H770" s="122">
        <f>IF($B770="","",CONCATENATE("Hareket: ",$C770,"/",$D770," adet ",$B770))</f>
        <v/>
      </c>
    </row>
    <row r="771" ht="15" customHeight="1" s="77">
      <c r="A771" s="123" t="n"/>
      <c r="B771" s="124" t="n"/>
      <c r="C771" s="124" t="n"/>
      <c r="D771" s="125" t="n"/>
      <c r="E771" s="126" t="n"/>
      <c r="F771" s="124" t="n"/>
      <c r="G771" s="121">
        <f>IF($D771=0,0,$D771*$E771)</f>
        <v/>
      </c>
      <c r="H771" s="122">
        <f>IF($B771="","",CONCATENATE("Hareket: ",$C771,"/",$D771," adet ",$B771))</f>
        <v/>
      </c>
    </row>
    <row r="772" ht="15" customHeight="1" s="77">
      <c r="A772" s="123" t="n"/>
      <c r="B772" s="124" t="n"/>
      <c r="C772" s="124" t="n"/>
      <c r="D772" s="125" t="n"/>
      <c r="E772" s="126" t="n"/>
      <c r="F772" s="124" t="n"/>
      <c r="G772" s="121">
        <f>IF($D772=0,0,$D772*$E772)</f>
        <v/>
      </c>
      <c r="H772" s="122">
        <f>IF($B772="","",CONCATENATE("Hareket: ",$C772,"/",$D772," adet ",$B772))</f>
        <v/>
      </c>
    </row>
    <row r="773" ht="15" customHeight="1" s="77">
      <c r="A773" s="123" t="n"/>
      <c r="B773" s="124" t="n"/>
      <c r="C773" s="124" t="n"/>
      <c r="D773" s="125" t="n"/>
      <c r="E773" s="126" t="n"/>
      <c r="F773" s="124" t="n"/>
      <c r="G773" s="121">
        <f>IF($D773=0,0,$D773*$E773)</f>
        <v/>
      </c>
      <c r="H773" s="122">
        <f>IF($B773="","",CONCATENATE("Hareket: ",$C773,"/",$D773," adet ",$B773))</f>
        <v/>
      </c>
    </row>
    <row r="774" ht="15" customHeight="1" s="77">
      <c r="A774" s="123" t="n"/>
      <c r="B774" s="124" t="n"/>
      <c r="C774" s="124" t="n"/>
      <c r="D774" s="125" t="n"/>
      <c r="E774" s="126" t="n"/>
      <c r="F774" s="124" t="n"/>
      <c r="G774" s="121">
        <f>IF($D774=0,0,$D774*$E774)</f>
        <v/>
      </c>
      <c r="H774" s="122">
        <f>IF($B774="","",CONCATENATE("Hareket: ",$C774,"/",$D774," adet ",$B774))</f>
        <v/>
      </c>
    </row>
    <row r="775" ht="15" customHeight="1" s="77">
      <c r="A775" s="123" t="n"/>
      <c r="B775" s="124" t="n"/>
      <c r="C775" s="124" t="n"/>
      <c r="D775" s="125" t="n"/>
      <c r="E775" s="126" t="n"/>
      <c r="F775" s="124" t="n"/>
      <c r="G775" s="121">
        <f>IF($D775=0,0,$D775*$E775)</f>
        <v/>
      </c>
      <c r="H775" s="122">
        <f>IF($B775="","",CONCATENATE("Hareket: ",$C775,"/",$D775," adet ",$B775))</f>
        <v/>
      </c>
    </row>
    <row r="776" ht="15" customHeight="1" s="77">
      <c r="A776" s="123" t="n"/>
      <c r="B776" s="124" t="n"/>
      <c r="C776" s="124" t="n"/>
      <c r="D776" s="125" t="n"/>
      <c r="E776" s="126" t="n"/>
      <c r="F776" s="124" t="n"/>
      <c r="G776" s="121">
        <f>IF($D776=0,0,$D776*$E776)</f>
        <v/>
      </c>
      <c r="H776" s="122">
        <f>IF($B776="","",CONCATENATE("Hareket: ",$C776,"/",$D776," adet ",$B776))</f>
        <v/>
      </c>
    </row>
    <row r="777" ht="15" customHeight="1" s="77">
      <c r="A777" s="123" t="n"/>
      <c r="B777" s="124" t="n"/>
      <c r="C777" s="124" t="n"/>
      <c r="D777" s="125" t="n"/>
      <c r="E777" s="126" t="n"/>
      <c r="F777" s="124" t="n"/>
      <c r="G777" s="121">
        <f>IF($D777=0,0,$D777*$E777)</f>
        <v/>
      </c>
      <c r="H777" s="122">
        <f>IF($B777="","",CONCATENATE("Hareket: ",$C777,"/",$D777," adet ",$B777))</f>
        <v/>
      </c>
    </row>
    <row r="778" ht="15" customHeight="1" s="77">
      <c r="A778" s="123" t="n"/>
      <c r="B778" s="124" t="n"/>
      <c r="C778" s="124" t="n"/>
      <c r="D778" s="125" t="n"/>
      <c r="E778" s="126" t="n"/>
      <c r="F778" s="124" t="n"/>
      <c r="G778" s="121">
        <f>IF($D778=0,0,$D778*$E778)</f>
        <v/>
      </c>
      <c r="H778" s="122">
        <f>IF($B778="","",CONCATENATE("Hareket: ",$C778,"/",$D778," adet ",$B778))</f>
        <v/>
      </c>
    </row>
    <row r="779" ht="15" customHeight="1" s="77">
      <c r="A779" s="123" t="n"/>
      <c r="B779" s="124" t="n"/>
      <c r="C779" s="124" t="n"/>
      <c r="D779" s="125" t="n"/>
      <c r="E779" s="126" t="n"/>
      <c r="F779" s="124" t="n"/>
      <c r="G779" s="121">
        <f>IF($D779=0,0,$D779*$E779)</f>
        <v/>
      </c>
      <c r="H779" s="122">
        <f>IF($B779="","",CONCATENATE("Hareket: ",$C779,"/",$D779," adet ",$B779))</f>
        <v/>
      </c>
    </row>
    <row r="780" ht="15" customHeight="1" s="77">
      <c r="A780" s="123" t="n"/>
      <c r="B780" s="124" t="n"/>
      <c r="C780" s="124" t="n"/>
      <c r="D780" s="125" t="n"/>
      <c r="E780" s="126" t="n"/>
      <c r="F780" s="124" t="n"/>
      <c r="G780" s="121">
        <f>IF($D780=0,0,$D780*$E780)</f>
        <v/>
      </c>
      <c r="H780" s="122">
        <f>IF($B780="","",CONCATENATE("Hareket: ",$C780,"/",$D780," adet ",$B780))</f>
        <v/>
      </c>
    </row>
    <row r="781" ht="15" customHeight="1" s="77">
      <c r="A781" s="123" t="n"/>
      <c r="B781" s="124" t="n"/>
      <c r="C781" s="124" t="n"/>
      <c r="D781" s="125" t="n"/>
      <c r="E781" s="126" t="n"/>
      <c r="F781" s="124" t="n"/>
      <c r="G781" s="121">
        <f>IF($D781=0,0,$D781*$E781)</f>
        <v/>
      </c>
      <c r="H781" s="122">
        <f>IF($B781="","",CONCATENATE("Hareket: ",$C781,"/",$D781," adet ",$B781))</f>
        <v/>
      </c>
    </row>
    <row r="782" ht="15" customHeight="1" s="77">
      <c r="A782" s="123" t="n"/>
      <c r="B782" s="124" t="n"/>
      <c r="C782" s="124" t="n"/>
      <c r="D782" s="125" t="n"/>
      <c r="E782" s="126" t="n"/>
      <c r="F782" s="124" t="n"/>
      <c r="G782" s="121">
        <f>IF($D782=0,0,$D782*$E782)</f>
        <v/>
      </c>
      <c r="H782" s="122">
        <f>IF($B782="","",CONCATENATE("Hareket: ",$C782,"/",$D782," adet ",$B782))</f>
        <v/>
      </c>
    </row>
    <row r="783" ht="15" customHeight="1" s="77">
      <c r="A783" s="123" t="n"/>
      <c r="B783" s="124" t="n"/>
      <c r="C783" s="124" t="n"/>
      <c r="D783" s="125" t="n"/>
      <c r="E783" s="126" t="n"/>
      <c r="F783" s="124" t="n"/>
      <c r="G783" s="121">
        <f>IF($D783=0,0,$D783*$E783)</f>
        <v/>
      </c>
      <c r="H783" s="122">
        <f>IF($B783="","",CONCATENATE("Hareket: ",$C783,"/",$D783," adet ",$B783))</f>
        <v/>
      </c>
    </row>
    <row r="784" ht="15" customHeight="1" s="77">
      <c r="A784" s="123" t="n"/>
      <c r="B784" s="124" t="n"/>
      <c r="C784" s="124" t="n"/>
      <c r="D784" s="125" t="n"/>
      <c r="E784" s="126" t="n"/>
      <c r="F784" s="124" t="n"/>
      <c r="G784" s="121">
        <f>IF($D784=0,0,$D784*$E784)</f>
        <v/>
      </c>
      <c r="H784" s="122">
        <f>IF($B784="","",CONCATENATE("Hareket: ",$C784,"/",$D784," adet ",$B784))</f>
        <v/>
      </c>
    </row>
    <row r="785" ht="15" customHeight="1" s="77">
      <c r="A785" s="123" t="n"/>
      <c r="B785" s="124" t="n"/>
      <c r="C785" s="124" t="n"/>
      <c r="D785" s="125" t="n"/>
      <c r="E785" s="126" t="n"/>
      <c r="F785" s="124" t="n"/>
      <c r="G785" s="121">
        <f>IF($D785=0,0,$D785*$E785)</f>
        <v/>
      </c>
      <c r="H785" s="122">
        <f>IF($B785="","",CONCATENATE("Hareket: ",$C785,"/",$D785," adet ",$B785))</f>
        <v/>
      </c>
    </row>
    <row r="786" ht="15" customHeight="1" s="77">
      <c r="A786" s="123" t="n"/>
      <c r="B786" s="124" t="n"/>
      <c r="C786" s="124" t="n"/>
      <c r="D786" s="125" t="n"/>
      <c r="E786" s="126" t="n"/>
      <c r="F786" s="124" t="n"/>
      <c r="G786" s="121">
        <f>IF($D786=0,0,$D786*$E786)</f>
        <v/>
      </c>
      <c r="H786" s="122">
        <f>IF($B786="","",CONCATENATE("Hareket: ",$C786,"/",$D786," adet ",$B786))</f>
        <v/>
      </c>
    </row>
    <row r="787" ht="15" customHeight="1" s="77">
      <c r="A787" s="123" t="n"/>
      <c r="B787" s="124" t="n"/>
      <c r="C787" s="124" t="n"/>
      <c r="D787" s="125" t="n"/>
      <c r="E787" s="126" t="n"/>
      <c r="F787" s="124" t="n"/>
      <c r="G787" s="121">
        <f>IF($D787=0,0,$D787*$E787)</f>
        <v/>
      </c>
      <c r="H787" s="122">
        <f>IF($B787="","",CONCATENATE("Hareket: ",$C787,"/",$D787," adet ",$B787))</f>
        <v/>
      </c>
    </row>
    <row r="788" ht="15" customHeight="1" s="77">
      <c r="A788" s="123" t="n"/>
      <c r="B788" s="124" t="n"/>
      <c r="C788" s="124" t="n"/>
      <c r="D788" s="125" t="n"/>
      <c r="E788" s="126" t="n"/>
      <c r="F788" s="124" t="n"/>
      <c r="G788" s="121">
        <f>IF($D788=0,0,$D788*$E788)</f>
        <v/>
      </c>
      <c r="H788" s="122">
        <f>IF($B788="","",CONCATENATE("Hareket: ",$C788,"/",$D788," adet ",$B788))</f>
        <v/>
      </c>
    </row>
    <row r="789" ht="15" customHeight="1" s="77">
      <c r="A789" s="123" t="n"/>
      <c r="B789" s="124" t="n"/>
      <c r="C789" s="124" t="n"/>
      <c r="D789" s="125" t="n"/>
      <c r="E789" s="126" t="n"/>
      <c r="F789" s="124" t="n"/>
      <c r="G789" s="121">
        <f>IF($D789=0,0,$D789*$E789)</f>
        <v/>
      </c>
      <c r="H789" s="122">
        <f>IF($B789="","",CONCATENATE("Hareket: ",$C789,"/",$D789," adet ",$B789))</f>
        <v/>
      </c>
    </row>
    <row r="790" ht="15" customHeight="1" s="77">
      <c r="A790" s="123" t="n"/>
      <c r="B790" s="124" t="n"/>
      <c r="C790" s="124" t="n"/>
      <c r="D790" s="125" t="n"/>
      <c r="E790" s="126" t="n"/>
      <c r="F790" s="124" t="n"/>
      <c r="G790" s="121">
        <f>IF($D790=0,0,$D790*$E790)</f>
        <v/>
      </c>
      <c r="H790" s="122">
        <f>IF($B790="","",CONCATENATE("Hareket: ",$C790,"/",$D790," adet ",$B790))</f>
        <v/>
      </c>
    </row>
    <row r="791" ht="15" customHeight="1" s="77">
      <c r="A791" s="123" t="n"/>
      <c r="B791" s="124" t="n"/>
      <c r="C791" s="124" t="n"/>
      <c r="D791" s="125" t="n"/>
      <c r="E791" s="126" t="n"/>
      <c r="F791" s="124" t="n"/>
      <c r="G791" s="121">
        <f>IF($D791=0,0,$D791*$E791)</f>
        <v/>
      </c>
      <c r="H791" s="122">
        <f>IF($B791="","",CONCATENATE("Hareket: ",$C791,"/",$D791," adet ",$B791))</f>
        <v/>
      </c>
    </row>
    <row r="792" ht="15" customHeight="1" s="77">
      <c r="A792" s="123" t="n"/>
      <c r="B792" s="124" t="n"/>
      <c r="C792" s="124" t="n"/>
      <c r="D792" s="125" t="n"/>
      <c r="E792" s="126" t="n"/>
      <c r="F792" s="124" t="n"/>
      <c r="G792" s="121">
        <f>IF($D792=0,0,$D792*$E792)</f>
        <v/>
      </c>
      <c r="H792" s="122">
        <f>IF($B792="","",CONCATENATE("Hareket: ",$C792,"/",$D792," adet ",$B792))</f>
        <v/>
      </c>
    </row>
    <row r="793" ht="15" customHeight="1" s="77">
      <c r="A793" s="123" t="n"/>
      <c r="B793" s="124" t="n"/>
      <c r="C793" s="124" t="n"/>
      <c r="D793" s="125" t="n"/>
      <c r="E793" s="126" t="n"/>
      <c r="F793" s="124" t="n"/>
      <c r="G793" s="121">
        <f>IF($D793=0,0,$D793*$E793)</f>
        <v/>
      </c>
      <c r="H793" s="122">
        <f>IF($B793="","",CONCATENATE("Hareket: ",$C793,"/",$D793," adet ",$B793))</f>
        <v/>
      </c>
    </row>
    <row r="794" ht="15" customHeight="1" s="77">
      <c r="A794" s="123" t="n"/>
      <c r="B794" s="124" t="n"/>
      <c r="C794" s="124" t="n"/>
      <c r="D794" s="125" t="n"/>
      <c r="E794" s="126" t="n"/>
      <c r="F794" s="124" t="n"/>
      <c r="G794" s="121">
        <f>IF($D794=0,0,$D794*$E794)</f>
        <v/>
      </c>
      <c r="H794" s="122">
        <f>IF($B794="","",CONCATENATE("Hareket: ",$C794,"/",$D794," adet ",$B794))</f>
        <v/>
      </c>
    </row>
    <row r="795" ht="15" customHeight="1" s="77">
      <c r="A795" s="123" t="n"/>
      <c r="B795" s="124" t="n"/>
      <c r="C795" s="124" t="n"/>
      <c r="D795" s="125" t="n"/>
      <c r="E795" s="126" t="n"/>
      <c r="F795" s="124" t="n"/>
      <c r="G795" s="121">
        <f>IF($D795=0,0,$D795*$E795)</f>
        <v/>
      </c>
      <c r="H795" s="122">
        <f>IF($B795="","",CONCATENATE("Hareket: ",$C795,"/",$D795," adet ",$B795))</f>
        <v/>
      </c>
    </row>
    <row r="796" ht="15" customHeight="1" s="77">
      <c r="A796" s="123" t="n"/>
      <c r="B796" s="124" t="n"/>
      <c r="C796" s="124" t="n"/>
      <c r="D796" s="125" t="n"/>
      <c r="E796" s="126" t="n"/>
      <c r="F796" s="124" t="n"/>
      <c r="G796" s="121">
        <f>IF($D796=0,0,$D796*$E796)</f>
        <v/>
      </c>
      <c r="H796" s="122">
        <f>IF($B796="","",CONCATENATE("Hareket: ",$C796,"/",$D796," adet ",$B796))</f>
        <v/>
      </c>
    </row>
    <row r="797" ht="15" customHeight="1" s="77">
      <c r="A797" s="123" t="n"/>
      <c r="B797" s="124" t="n"/>
      <c r="C797" s="124" t="n"/>
      <c r="D797" s="125" t="n"/>
      <c r="E797" s="126" t="n"/>
      <c r="F797" s="124" t="n"/>
      <c r="G797" s="121">
        <f>IF($D797=0,0,$D797*$E797)</f>
        <v/>
      </c>
      <c r="H797" s="122">
        <f>IF($B797="","",CONCATENATE("Hareket: ",$C797,"/",$D797," adet ",$B797))</f>
        <v/>
      </c>
    </row>
    <row r="798" ht="15" customHeight="1" s="77">
      <c r="A798" s="123" t="n"/>
      <c r="B798" s="124" t="n"/>
      <c r="C798" s="124" t="n"/>
      <c r="D798" s="125" t="n"/>
      <c r="E798" s="126" t="n"/>
      <c r="F798" s="124" t="n"/>
      <c r="G798" s="121">
        <f>IF($D798=0,0,$D798*$E798)</f>
        <v/>
      </c>
      <c r="H798" s="122">
        <f>IF($B798="","",CONCATENATE("Hareket: ",$C798,"/",$D798," adet ",$B798))</f>
        <v/>
      </c>
    </row>
    <row r="799" ht="15" customHeight="1" s="77">
      <c r="A799" s="123" t="n"/>
      <c r="B799" s="124" t="n"/>
      <c r="C799" s="124" t="n"/>
      <c r="D799" s="125" t="n"/>
      <c r="E799" s="126" t="n"/>
      <c r="F799" s="124" t="n"/>
      <c r="G799" s="121">
        <f>IF($D799=0,0,$D799*$E799)</f>
        <v/>
      </c>
      <c r="H799" s="122">
        <f>IF($B799="","",CONCATENATE("Hareket: ",$C799,"/",$D799," adet ",$B799))</f>
        <v/>
      </c>
    </row>
    <row r="800" ht="15" customHeight="1" s="77">
      <c r="A800" s="123" t="n"/>
      <c r="B800" s="124" t="n"/>
      <c r="C800" s="124" t="n"/>
      <c r="D800" s="125" t="n"/>
      <c r="E800" s="126" t="n"/>
      <c r="F800" s="124" t="n"/>
      <c r="G800" s="121">
        <f>IF($D800=0,0,$D800*$E800)</f>
        <v/>
      </c>
      <c r="H800" s="122">
        <f>IF($B800="","",CONCATENATE("Hareket: ",$C800,"/",$D800," adet ",$B800))</f>
        <v/>
      </c>
    </row>
    <row r="801" ht="15" customHeight="1" s="77">
      <c r="A801" s="123" t="n"/>
      <c r="B801" s="124" t="n"/>
      <c r="C801" s="124" t="n"/>
      <c r="D801" s="125" t="n"/>
      <c r="E801" s="126" t="n"/>
      <c r="F801" s="124" t="n"/>
      <c r="G801" s="121">
        <f>IF($D801=0,0,$D801*$E801)</f>
        <v/>
      </c>
      <c r="H801" s="122">
        <f>IF($B801="","",CONCATENATE("Hareket: ",$C801,"/",$D801," adet ",$B801))</f>
        <v/>
      </c>
    </row>
    <row r="802" ht="15" customHeight="1" s="77">
      <c r="A802" s="123" t="n"/>
      <c r="B802" s="124" t="n"/>
      <c r="C802" s="124" t="n"/>
      <c r="D802" s="125" t="n"/>
      <c r="E802" s="126" t="n"/>
      <c r="F802" s="124" t="n"/>
      <c r="G802" s="121">
        <f>IF($D802=0,0,$D802*$E802)</f>
        <v/>
      </c>
      <c r="H802" s="122">
        <f>IF($B802="","",CONCATENATE("Hareket: ",$C802,"/",$D802," adet ",$B802))</f>
        <v/>
      </c>
    </row>
    <row r="803" ht="15" customHeight="1" s="77">
      <c r="A803" s="123" t="n"/>
      <c r="B803" s="124" t="n"/>
      <c r="C803" s="124" t="n"/>
      <c r="D803" s="125" t="n"/>
      <c r="E803" s="126" t="n"/>
      <c r="F803" s="124" t="n"/>
      <c r="G803" s="121">
        <f>IF($D803=0,0,$D803*$E803)</f>
        <v/>
      </c>
      <c r="H803" s="122">
        <f>IF($B803="","",CONCATENATE("Hareket: ",$C803,"/",$D803," adet ",$B803))</f>
        <v/>
      </c>
    </row>
    <row r="804" ht="15" customHeight="1" s="77">
      <c r="A804" s="123" t="n"/>
      <c r="B804" s="124" t="n"/>
      <c r="C804" s="124" t="n"/>
      <c r="D804" s="125" t="n"/>
      <c r="E804" s="126" t="n"/>
      <c r="F804" s="124" t="n"/>
      <c r="G804" s="121">
        <f>IF($D804=0,0,$D804*$E804)</f>
        <v/>
      </c>
      <c r="H804" s="122">
        <f>IF($B804="","",CONCATENATE("Hareket: ",$C804,"/",$D804," adet ",$B804))</f>
        <v/>
      </c>
    </row>
    <row r="805" ht="15" customHeight="1" s="77">
      <c r="A805" s="123" t="n"/>
      <c r="B805" s="124" t="n"/>
      <c r="C805" s="124" t="n"/>
      <c r="D805" s="125" t="n"/>
      <c r="E805" s="126" t="n"/>
      <c r="F805" s="124" t="n"/>
      <c r="G805" s="121">
        <f>IF($D805=0,0,$D805*$E805)</f>
        <v/>
      </c>
      <c r="H805" s="122">
        <f>IF($B805="","",CONCATENATE("Hareket: ",$C805,"/",$D805," adet ",$B805))</f>
        <v/>
      </c>
    </row>
    <row r="806" ht="15" customHeight="1" s="77">
      <c r="A806" s="123" t="n"/>
      <c r="B806" s="124" t="n"/>
      <c r="C806" s="124" t="n"/>
      <c r="D806" s="125" t="n"/>
      <c r="E806" s="126" t="n"/>
      <c r="F806" s="124" t="n"/>
      <c r="G806" s="121">
        <f>IF($D806=0,0,$D806*$E806)</f>
        <v/>
      </c>
      <c r="H806" s="122">
        <f>IF($B806="","",CONCATENATE("Hareket: ",$C806,"/",$D806," adet ",$B806))</f>
        <v/>
      </c>
    </row>
    <row r="807" ht="15" customHeight="1" s="77">
      <c r="A807" s="123" t="n"/>
      <c r="B807" s="124" t="n"/>
      <c r="C807" s="124" t="n"/>
      <c r="D807" s="125" t="n"/>
      <c r="E807" s="126" t="n"/>
      <c r="F807" s="124" t="n"/>
      <c r="G807" s="121">
        <f>IF($D807=0,0,$D807*$E807)</f>
        <v/>
      </c>
      <c r="H807" s="122">
        <f>IF($B807="","",CONCATENATE("Hareket: ",$C807,"/",$D807," adet ",$B807))</f>
        <v/>
      </c>
    </row>
    <row r="808" ht="15" customHeight="1" s="77">
      <c r="A808" s="123" t="n"/>
      <c r="B808" s="124" t="n"/>
      <c r="C808" s="124" t="n"/>
      <c r="D808" s="125" t="n"/>
      <c r="E808" s="126" t="n"/>
      <c r="F808" s="124" t="n"/>
      <c r="G808" s="121">
        <f>IF($D808=0,0,$D808*$E808)</f>
        <v/>
      </c>
      <c r="H808" s="122">
        <f>IF($B808="","",CONCATENATE("Hareket: ",$C808,"/",$D808," adet ",$B808))</f>
        <v/>
      </c>
    </row>
    <row r="809" ht="15" customHeight="1" s="77">
      <c r="A809" s="123" t="n"/>
      <c r="B809" s="124" t="n"/>
      <c r="C809" s="124" t="n"/>
      <c r="D809" s="125" t="n"/>
      <c r="E809" s="126" t="n"/>
      <c r="F809" s="124" t="n"/>
      <c r="G809" s="121">
        <f>IF($D809=0,0,$D809*$E809)</f>
        <v/>
      </c>
      <c r="H809" s="122">
        <f>IF($B809="","",CONCATENATE("Hareket: ",$C809,"/",$D809," adet ",$B809))</f>
        <v/>
      </c>
    </row>
    <row r="810" ht="15" customHeight="1" s="77">
      <c r="A810" s="123" t="n"/>
      <c r="B810" s="124" t="n"/>
      <c r="C810" s="124" t="n"/>
      <c r="D810" s="125" t="n"/>
      <c r="E810" s="126" t="n"/>
      <c r="F810" s="124" t="n"/>
      <c r="G810" s="121">
        <f>IF($D810=0,0,$D810*$E810)</f>
        <v/>
      </c>
      <c r="H810" s="122">
        <f>IF($B810="","",CONCATENATE("Hareket: ",$C810,"/",$D810," adet ",$B810))</f>
        <v/>
      </c>
    </row>
    <row r="811" ht="15" customHeight="1" s="77">
      <c r="A811" s="123" t="n"/>
      <c r="B811" s="124" t="n"/>
      <c r="C811" s="124" t="n"/>
      <c r="D811" s="125" t="n"/>
      <c r="E811" s="126" t="n"/>
      <c r="F811" s="124" t="n"/>
      <c r="G811" s="121">
        <f>IF($D811=0,0,$D811*$E811)</f>
        <v/>
      </c>
      <c r="H811" s="122">
        <f>IF($B811="","",CONCATENATE("Hareket: ",$C811,"/",$D811," adet ",$B811))</f>
        <v/>
      </c>
    </row>
    <row r="812" ht="15" customHeight="1" s="77">
      <c r="A812" s="123" t="n"/>
      <c r="B812" s="124" t="n"/>
      <c r="C812" s="124" t="n"/>
      <c r="D812" s="125" t="n"/>
      <c r="E812" s="126" t="n"/>
      <c r="F812" s="124" t="n"/>
      <c r="G812" s="121">
        <f>IF($D812=0,0,$D812*$E812)</f>
        <v/>
      </c>
      <c r="H812" s="122">
        <f>IF($B812="","",CONCATENATE("Hareket: ",$C812,"/",$D812," adet ",$B812))</f>
        <v/>
      </c>
    </row>
    <row r="813" ht="15" customHeight="1" s="77">
      <c r="A813" s="123" t="n"/>
      <c r="B813" s="124" t="n"/>
      <c r="C813" s="124" t="n"/>
      <c r="D813" s="125" t="n"/>
      <c r="E813" s="126" t="n"/>
      <c r="F813" s="124" t="n"/>
      <c r="G813" s="121">
        <f>IF($D813=0,0,$D813*$E813)</f>
        <v/>
      </c>
      <c r="H813" s="122">
        <f>IF($B813="","",CONCATENATE("Hareket: ",$C813,"/",$D813," adet ",$B813))</f>
        <v/>
      </c>
    </row>
    <row r="814" ht="15" customHeight="1" s="77">
      <c r="A814" s="123" t="n"/>
      <c r="B814" s="124" t="n"/>
      <c r="C814" s="124" t="n"/>
      <c r="D814" s="125" t="n"/>
      <c r="E814" s="126" t="n"/>
      <c r="F814" s="124" t="n"/>
      <c r="G814" s="121">
        <f>IF($D814=0,0,$D814*$E814)</f>
        <v/>
      </c>
      <c r="H814" s="122">
        <f>IF($B814="","",CONCATENATE("Hareket: ",$C814,"/",$D814," adet ",$B814))</f>
        <v/>
      </c>
    </row>
    <row r="815" ht="15" customHeight="1" s="77">
      <c r="A815" s="123" t="n"/>
      <c r="B815" s="124" t="n"/>
      <c r="C815" s="124" t="n"/>
      <c r="D815" s="125" t="n"/>
      <c r="E815" s="126" t="n"/>
      <c r="F815" s="124" t="n"/>
      <c r="G815" s="121">
        <f>IF($D815=0,0,$D815*$E815)</f>
        <v/>
      </c>
      <c r="H815" s="122">
        <f>IF($B815="","",CONCATENATE("Hareket: ",$C815,"/",$D815," adet ",$B815))</f>
        <v/>
      </c>
    </row>
    <row r="816" ht="15" customHeight="1" s="77">
      <c r="A816" s="123" t="n"/>
      <c r="B816" s="124" t="n"/>
      <c r="C816" s="124" t="n"/>
      <c r="D816" s="125" t="n"/>
      <c r="E816" s="126" t="n"/>
      <c r="F816" s="124" t="n"/>
      <c r="G816" s="121">
        <f>IF($D816=0,0,$D816*$E816)</f>
        <v/>
      </c>
      <c r="H816" s="122">
        <f>IF($B816="","",CONCATENATE("Hareket: ",$C816,"/",$D816," adet ",$B816))</f>
        <v/>
      </c>
    </row>
    <row r="817" ht="15" customHeight="1" s="77">
      <c r="A817" s="123" t="n"/>
      <c r="B817" s="124" t="n"/>
      <c r="C817" s="124" t="n"/>
      <c r="D817" s="125" t="n"/>
      <c r="E817" s="126" t="n"/>
      <c r="F817" s="124" t="n"/>
      <c r="G817" s="121">
        <f>IF($D817=0,0,$D817*$E817)</f>
        <v/>
      </c>
      <c r="H817" s="122">
        <f>IF($B817="","",CONCATENATE("Hareket: ",$C817,"/",$D817," adet ",$B817))</f>
        <v/>
      </c>
    </row>
    <row r="818" ht="15" customHeight="1" s="77">
      <c r="A818" s="123" t="n"/>
      <c r="B818" s="124" t="n"/>
      <c r="C818" s="124" t="n"/>
      <c r="D818" s="125" t="n"/>
      <c r="E818" s="126" t="n"/>
      <c r="F818" s="124" t="n"/>
      <c r="G818" s="121">
        <f>IF($D818=0,0,$D818*$E818)</f>
        <v/>
      </c>
      <c r="H818" s="122">
        <f>IF($B818="","",CONCATENATE("Hareket: ",$C818,"/",$D818," adet ",$B818))</f>
        <v/>
      </c>
    </row>
    <row r="819" ht="15" customHeight="1" s="77">
      <c r="A819" s="123" t="n"/>
      <c r="B819" s="124" t="n"/>
      <c r="C819" s="124" t="n"/>
      <c r="D819" s="125" t="n"/>
      <c r="E819" s="126" t="n"/>
      <c r="F819" s="124" t="n"/>
      <c r="G819" s="121">
        <f>IF($D819=0,0,$D819*$E819)</f>
        <v/>
      </c>
      <c r="H819" s="122">
        <f>IF($B819="","",CONCATENATE("Hareket: ",$C819,"/",$D819," adet ",$B819))</f>
        <v/>
      </c>
    </row>
    <row r="820" ht="15" customHeight="1" s="77">
      <c r="A820" s="123" t="n"/>
      <c r="B820" s="124" t="n"/>
      <c r="C820" s="124" t="n"/>
      <c r="D820" s="125" t="n"/>
      <c r="E820" s="126" t="n"/>
      <c r="F820" s="124" t="n"/>
      <c r="G820" s="121">
        <f>IF($D820=0,0,$D820*$E820)</f>
        <v/>
      </c>
      <c r="H820" s="122">
        <f>IF($B820="","",CONCATENATE("Hareket: ",$C820,"/",$D820," adet ",$B820))</f>
        <v/>
      </c>
    </row>
    <row r="821" ht="15" customHeight="1" s="77">
      <c r="A821" s="123" t="n"/>
      <c r="B821" s="124" t="n"/>
      <c r="C821" s="124" t="n"/>
      <c r="D821" s="125" t="n"/>
      <c r="E821" s="126" t="n"/>
      <c r="F821" s="124" t="n"/>
      <c r="G821" s="121">
        <f>IF($D821=0,0,$D821*$E821)</f>
        <v/>
      </c>
      <c r="H821" s="122">
        <f>IF($B821="","",CONCATENATE("Hareket: ",$C821,"/",$D821," adet ",$B821))</f>
        <v/>
      </c>
    </row>
    <row r="822" ht="15" customHeight="1" s="77">
      <c r="A822" s="123" t="n"/>
      <c r="B822" s="124" t="n"/>
      <c r="C822" s="124" t="n"/>
      <c r="D822" s="125" t="n"/>
      <c r="E822" s="126" t="n"/>
      <c r="F822" s="124" t="n"/>
      <c r="G822" s="121">
        <f>IF($D822=0,0,$D822*$E822)</f>
        <v/>
      </c>
      <c r="H822" s="122">
        <f>IF($B822="","",CONCATENATE("Hareket: ",$C822,"/",$D822," adet ",$B822))</f>
        <v/>
      </c>
    </row>
    <row r="823" ht="15" customHeight="1" s="77">
      <c r="A823" s="123" t="n"/>
      <c r="B823" s="124" t="n"/>
      <c r="C823" s="124" t="n"/>
      <c r="D823" s="125" t="n"/>
      <c r="E823" s="126" t="n"/>
      <c r="F823" s="124" t="n"/>
      <c r="G823" s="121">
        <f>IF($D823=0,0,$D823*$E823)</f>
        <v/>
      </c>
      <c r="H823" s="122">
        <f>IF($B823="","",CONCATENATE("Hareket: ",$C823,"/",$D823," adet ",$B823))</f>
        <v/>
      </c>
    </row>
    <row r="824" ht="15" customHeight="1" s="77">
      <c r="A824" s="123" t="n"/>
      <c r="B824" s="124" t="n"/>
      <c r="C824" s="124" t="n"/>
      <c r="D824" s="125" t="n"/>
      <c r="E824" s="126" t="n"/>
      <c r="F824" s="124" t="n"/>
      <c r="G824" s="121">
        <f>IF($D824=0,0,$D824*$E824)</f>
        <v/>
      </c>
      <c r="H824" s="122">
        <f>IF($B824="","",CONCATENATE("Hareket: ",$C824,"/",$D824," adet ",$B824))</f>
        <v/>
      </c>
    </row>
    <row r="825" ht="15" customHeight="1" s="77">
      <c r="A825" s="123" t="n"/>
      <c r="B825" s="124" t="n"/>
      <c r="C825" s="124" t="n"/>
      <c r="D825" s="125" t="n"/>
      <c r="E825" s="126" t="n"/>
      <c r="F825" s="124" t="n"/>
      <c r="G825" s="121">
        <f>IF($D825=0,0,$D825*$E825)</f>
        <v/>
      </c>
      <c r="H825" s="122">
        <f>IF($B825="","",CONCATENATE("Hareket: ",$C825,"/",$D825," adet ",$B825))</f>
        <v/>
      </c>
    </row>
    <row r="826" ht="15" customHeight="1" s="77">
      <c r="A826" s="123" t="n"/>
      <c r="B826" s="124" t="n"/>
      <c r="C826" s="124" t="n"/>
      <c r="D826" s="125" t="n"/>
      <c r="E826" s="126" t="n"/>
      <c r="F826" s="124" t="n"/>
      <c r="G826" s="121">
        <f>IF($D826=0,0,$D826*$E826)</f>
        <v/>
      </c>
      <c r="H826" s="122">
        <f>IF($B826="","",CONCATENATE("Hareket: ",$C826,"/",$D826," adet ",$B826))</f>
        <v/>
      </c>
    </row>
    <row r="827" ht="15" customHeight="1" s="77">
      <c r="A827" s="123" t="n"/>
      <c r="B827" s="124" t="n"/>
      <c r="C827" s="124" t="n"/>
      <c r="D827" s="125" t="n"/>
      <c r="E827" s="126" t="n"/>
      <c r="F827" s="124" t="n"/>
      <c r="G827" s="121">
        <f>IF($D827=0,0,$D827*$E827)</f>
        <v/>
      </c>
      <c r="H827" s="122">
        <f>IF($B827="","",CONCATENATE("Hareket: ",$C827,"/",$D827," adet ",$B827))</f>
        <v/>
      </c>
    </row>
    <row r="828" ht="15" customHeight="1" s="77">
      <c r="A828" s="123" t="n"/>
      <c r="B828" s="124" t="n"/>
      <c r="C828" s="124" t="n"/>
      <c r="D828" s="125" t="n"/>
      <c r="E828" s="126" t="n"/>
      <c r="F828" s="124" t="n"/>
      <c r="G828" s="121">
        <f>IF($D828=0,0,$D828*$E828)</f>
        <v/>
      </c>
      <c r="H828" s="122">
        <f>IF($B828="","",CONCATENATE("Hareket: ",$C828,"/",$D828," adet ",$B828))</f>
        <v/>
      </c>
    </row>
    <row r="829" ht="15" customHeight="1" s="77">
      <c r="A829" s="123" t="n"/>
      <c r="B829" s="124" t="n"/>
      <c r="C829" s="124" t="n"/>
      <c r="D829" s="125" t="n"/>
      <c r="E829" s="126" t="n"/>
      <c r="F829" s="124" t="n"/>
      <c r="G829" s="121">
        <f>IF($D829=0,0,$D829*$E829)</f>
        <v/>
      </c>
      <c r="H829" s="122">
        <f>IF($B829="","",CONCATENATE("Hareket: ",$C829,"/",$D829," adet ",$B829))</f>
        <v/>
      </c>
    </row>
    <row r="830" ht="15" customHeight="1" s="77">
      <c r="A830" s="123" t="n"/>
      <c r="B830" s="124" t="n"/>
      <c r="C830" s="124" t="n"/>
      <c r="D830" s="125" t="n"/>
      <c r="E830" s="126" t="n"/>
      <c r="F830" s="124" t="n"/>
      <c r="G830" s="121">
        <f>IF($D830=0,0,$D830*$E830)</f>
        <v/>
      </c>
      <c r="H830" s="122">
        <f>IF($B830="","",CONCATENATE("Hareket: ",$C830,"/",$D830," adet ",$B830))</f>
        <v/>
      </c>
    </row>
    <row r="831" ht="15" customHeight="1" s="77">
      <c r="A831" s="123" t="n"/>
      <c r="B831" s="124" t="n"/>
      <c r="C831" s="124" t="n"/>
      <c r="D831" s="125" t="n"/>
      <c r="E831" s="126" t="n"/>
      <c r="F831" s="124" t="n"/>
      <c r="G831" s="121">
        <f>IF($D831=0,0,$D831*$E831)</f>
        <v/>
      </c>
      <c r="H831" s="122">
        <f>IF($B831="","",CONCATENATE("Hareket: ",$C831,"/",$D831," adet ",$B831))</f>
        <v/>
      </c>
    </row>
    <row r="832" ht="15" customHeight="1" s="77">
      <c r="A832" s="123" t="n"/>
      <c r="B832" s="124" t="n"/>
      <c r="C832" s="124" t="n"/>
      <c r="D832" s="125" t="n"/>
      <c r="E832" s="126" t="n"/>
      <c r="F832" s="124" t="n"/>
      <c r="G832" s="121">
        <f>IF($D832=0,0,$D832*$E832)</f>
        <v/>
      </c>
      <c r="H832" s="122">
        <f>IF($B832="","",CONCATENATE("Hareket: ",$C832,"/",$D832," adet ",$B832))</f>
        <v/>
      </c>
    </row>
    <row r="833" ht="15" customHeight="1" s="77">
      <c r="A833" s="123" t="n"/>
      <c r="B833" s="124" t="n"/>
      <c r="C833" s="124" t="n"/>
      <c r="D833" s="125" t="n"/>
      <c r="E833" s="126" t="n"/>
      <c r="F833" s="124" t="n"/>
      <c r="G833" s="121">
        <f>IF($D833=0,0,$D833*$E833)</f>
        <v/>
      </c>
      <c r="H833" s="122">
        <f>IF($B833="","",CONCATENATE("Hareket: ",$C833,"/",$D833," adet ",$B833))</f>
        <v/>
      </c>
    </row>
    <row r="834" ht="15" customHeight="1" s="77">
      <c r="A834" s="123" t="n"/>
      <c r="B834" s="124" t="n"/>
      <c r="C834" s="124" t="n"/>
      <c r="D834" s="125" t="n"/>
      <c r="E834" s="126" t="n"/>
      <c r="F834" s="124" t="n"/>
      <c r="G834" s="121">
        <f>IF($D834=0,0,$D834*$E834)</f>
        <v/>
      </c>
      <c r="H834" s="122">
        <f>IF($B834="","",CONCATENATE("Hareket: ",$C834,"/",$D834," adet ",$B834))</f>
        <v/>
      </c>
    </row>
    <row r="835" ht="15" customHeight="1" s="77">
      <c r="A835" s="123" t="n"/>
      <c r="B835" s="124" t="n"/>
      <c r="C835" s="124" t="n"/>
      <c r="D835" s="125" t="n"/>
      <c r="E835" s="126" t="n"/>
      <c r="F835" s="124" t="n"/>
      <c r="G835" s="121">
        <f>IF($D835=0,0,$D835*$E835)</f>
        <v/>
      </c>
      <c r="H835" s="122">
        <f>IF($B835="","",CONCATENATE("Hareket: ",$C835,"/",$D835," adet ",$B835))</f>
        <v/>
      </c>
    </row>
    <row r="836" ht="15" customHeight="1" s="77">
      <c r="A836" s="123" t="n"/>
      <c r="B836" s="124" t="n"/>
      <c r="C836" s="124" t="n"/>
      <c r="D836" s="125" t="n"/>
      <c r="E836" s="126" t="n"/>
      <c r="F836" s="124" t="n"/>
      <c r="G836" s="121">
        <f>IF($D836=0,0,$D836*$E836)</f>
        <v/>
      </c>
      <c r="H836" s="122">
        <f>IF($B836="","",CONCATENATE("Hareket: ",$C836,"/",$D836," adet ",$B836))</f>
        <v/>
      </c>
    </row>
    <row r="837" ht="15" customHeight="1" s="77">
      <c r="A837" s="123" t="n"/>
      <c r="B837" s="124" t="n"/>
      <c r="C837" s="124" t="n"/>
      <c r="D837" s="125" t="n"/>
      <c r="E837" s="126" t="n"/>
      <c r="F837" s="124" t="n"/>
      <c r="G837" s="121">
        <f>IF($D837=0,0,$D837*$E837)</f>
        <v/>
      </c>
      <c r="H837" s="122">
        <f>IF($B837="","",CONCATENATE("Hareket: ",$C837,"/",$D837," adet ",$B837))</f>
        <v/>
      </c>
    </row>
    <row r="838" ht="15" customHeight="1" s="77">
      <c r="A838" s="123" t="n"/>
      <c r="B838" s="124" t="n"/>
      <c r="C838" s="124" t="n"/>
      <c r="D838" s="125" t="n"/>
      <c r="E838" s="126" t="n"/>
      <c r="F838" s="124" t="n"/>
      <c r="G838" s="121">
        <f>IF($D838=0,0,$D838*$E838)</f>
        <v/>
      </c>
      <c r="H838" s="122">
        <f>IF($B838="","",CONCATENATE("Hareket: ",$C838,"/",$D838," adet ",$B838))</f>
        <v/>
      </c>
    </row>
    <row r="839" ht="15" customHeight="1" s="77">
      <c r="A839" s="123" t="n"/>
      <c r="B839" s="124" t="n"/>
      <c r="C839" s="124" t="n"/>
      <c r="D839" s="125" t="n"/>
      <c r="E839" s="126" t="n"/>
      <c r="F839" s="124" t="n"/>
      <c r="G839" s="121">
        <f>IF($D839=0,0,$D839*$E839)</f>
        <v/>
      </c>
      <c r="H839" s="122">
        <f>IF($B839="","",CONCATENATE("Hareket: ",$C839,"/",$D839," adet ",$B839))</f>
        <v/>
      </c>
    </row>
    <row r="840" ht="15" customHeight="1" s="77">
      <c r="A840" s="123" t="n"/>
      <c r="B840" s="124" t="n"/>
      <c r="C840" s="124" t="n"/>
      <c r="D840" s="125" t="n"/>
      <c r="E840" s="126" t="n"/>
      <c r="F840" s="124" t="n"/>
      <c r="G840" s="121">
        <f>IF($D840=0,0,$D840*$E840)</f>
        <v/>
      </c>
      <c r="H840" s="122">
        <f>IF($B840="","",CONCATENATE("Hareket: ",$C840,"/",$D840," adet ",$B840))</f>
        <v/>
      </c>
    </row>
    <row r="841" ht="15" customHeight="1" s="77">
      <c r="A841" s="123" t="n"/>
      <c r="B841" s="124" t="n"/>
      <c r="C841" s="124" t="n"/>
      <c r="D841" s="125" t="n"/>
      <c r="E841" s="126" t="n"/>
      <c r="F841" s="124" t="n"/>
      <c r="G841" s="121">
        <f>IF($D841=0,0,$D841*$E841)</f>
        <v/>
      </c>
      <c r="H841" s="122">
        <f>IF($B841="","",CONCATENATE("Hareket: ",$C841,"/",$D841," adet ",$B841))</f>
        <v/>
      </c>
    </row>
    <row r="842" ht="15" customHeight="1" s="77">
      <c r="A842" s="123" t="n"/>
      <c r="B842" s="124" t="n"/>
      <c r="C842" s="124" t="n"/>
      <c r="D842" s="125" t="n"/>
      <c r="E842" s="126" t="n"/>
      <c r="F842" s="124" t="n"/>
      <c r="G842" s="121">
        <f>IF($D842=0,0,$D842*$E842)</f>
        <v/>
      </c>
      <c r="H842" s="122">
        <f>IF($B842="","",CONCATENATE("Hareket: ",$C842,"/",$D842," adet ",$B842))</f>
        <v/>
      </c>
    </row>
    <row r="843" ht="15" customHeight="1" s="77">
      <c r="A843" s="123" t="n"/>
      <c r="B843" s="124" t="n"/>
      <c r="C843" s="124" t="n"/>
      <c r="D843" s="125" t="n"/>
      <c r="E843" s="126" t="n"/>
      <c r="F843" s="124" t="n"/>
      <c r="G843" s="121">
        <f>IF($D843=0,0,$D843*$E843)</f>
        <v/>
      </c>
      <c r="H843" s="122">
        <f>IF($B843="","",CONCATENATE("Hareket: ",$C843,"/",$D843," adet ",$B843))</f>
        <v/>
      </c>
    </row>
    <row r="844" ht="15" customHeight="1" s="77">
      <c r="A844" s="123" t="n"/>
      <c r="B844" s="124" t="n"/>
      <c r="C844" s="124" t="n"/>
      <c r="D844" s="125" t="n"/>
      <c r="E844" s="126" t="n"/>
      <c r="F844" s="124" t="n"/>
      <c r="G844" s="121">
        <f>IF($D844=0,0,$D844*$E844)</f>
        <v/>
      </c>
      <c r="H844" s="122">
        <f>IF($B844="","",CONCATENATE("Hareket: ",$C844,"/",$D844," adet ",$B844))</f>
        <v/>
      </c>
    </row>
    <row r="845" ht="15" customHeight="1" s="77">
      <c r="A845" s="123" t="n"/>
      <c r="B845" s="124" t="n"/>
      <c r="C845" s="124" t="n"/>
      <c r="D845" s="125" t="n"/>
      <c r="E845" s="126" t="n"/>
      <c r="F845" s="124" t="n"/>
      <c r="G845" s="121">
        <f>IF($D845=0,0,$D845*$E845)</f>
        <v/>
      </c>
      <c r="H845" s="122">
        <f>IF($B845="","",CONCATENATE("Hareket: ",$C845,"/",$D845," adet ",$B845))</f>
        <v/>
      </c>
    </row>
    <row r="846" ht="15" customHeight="1" s="77">
      <c r="A846" s="123" t="n"/>
      <c r="B846" s="124" t="n"/>
      <c r="C846" s="124" t="n"/>
      <c r="D846" s="125" t="n"/>
      <c r="E846" s="126" t="n"/>
      <c r="F846" s="124" t="n"/>
      <c r="G846" s="121">
        <f>IF($D846=0,0,$D846*$E846)</f>
        <v/>
      </c>
      <c r="H846" s="122">
        <f>IF($B846="","",CONCATENATE("Hareket: ",$C846,"/",$D846," adet ",$B846))</f>
        <v/>
      </c>
    </row>
    <row r="847" ht="15" customHeight="1" s="77">
      <c r="A847" s="123" t="n"/>
      <c r="B847" s="124" t="n"/>
      <c r="C847" s="124" t="n"/>
      <c r="D847" s="125" t="n"/>
      <c r="E847" s="126" t="n"/>
      <c r="F847" s="124" t="n"/>
      <c r="G847" s="121">
        <f>IF($D847=0,0,$D847*$E847)</f>
        <v/>
      </c>
      <c r="H847" s="122">
        <f>IF($B847="","",CONCATENATE("Hareket: ",$C847,"/",$D847," adet ",$B847))</f>
        <v/>
      </c>
    </row>
    <row r="848" ht="15" customHeight="1" s="77">
      <c r="A848" s="123" t="n"/>
      <c r="B848" s="124" t="n"/>
      <c r="C848" s="124" t="n"/>
      <c r="D848" s="125" t="n"/>
      <c r="E848" s="126" t="n"/>
      <c r="F848" s="124" t="n"/>
      <c r="G848" s="121">
        <f>IF($D848=0,0,$D848*$E848)</f>
        <v/>
      </c>
      <c r="H848" s="122">
        <f>IF($B848="","",CONCATENATE("Hareket: ",$C848,"/",$D848," adet ",$B848))</f>
        <v/>
      </c>
    </row>
    <row r="849" ht="15" customHeight="1" s="77">
      <c r="A849" s="123" t="n"/>
      <c r="B849" s="124" t="n"/>
      <c r="C849" s="124" t="n"/>
      <c r="D849" s="125" t="n"/>
      <c r="E849" s="126" t="n"/>
      <c r="F849" s="124" t="n"/>
      <c r="G849" s="121">
        <f>IF($D849=0,0,$D849*$E849)</f>
        <v/>
      </c>
      <c r="H849" s="122">
        <f>IF($B849="","",CONCATENATE("Hareket: ",$C849,"/",$D849," adet ",$B849))</f>
        <v/>
      </c>
    </row>
    <row r="850" ht="15" customHeight="1" s="77">
      <c r="A850" s="123" t="n"/>
      <c r="B850" s="124" t="n"/>
      <c r="C850" s="124" t="n"/>
      <c r="D850" s="125" t="n"/>
      <c r="E850" s="126" t="n"/>
      <c r="F850" s="124" t="n"/>
      <c r="G850" s="121">
        <f>IF($D850=0,0,$D850*$E850)</f>
        <v/>
      </c>
      <c r="H850" s="122">
        <f>IF($B850="","",CONCATENATE("Hareket: ",$C850,"/",$D850," adet ",$B850))</f>
        <v/>
      </c>
    </row>
    <row r="851" ht="15" customHeight="1" s="77">
      <c r="A851" s="123" t="n"/>
      <c r="B851" s="124" t="n"/>
      <c r="C851" s="124" t="n"/>
      <c r="D851" s="125" t="n"/>
      <c r="E851" s="126" t="n"/>
      <c r="F851" s="124" t="n"/>
      <c r="G851" s="121">
        <f>IF($D851=0,0,$D851*$E851)</f>
        <v/>
      </c>
      <c r="H851" s="122">
        <f>IF($B851="","",CONCATENATE("Hareket: ",$C851,"/",$D851," adet ",$B851))</f>
        <v/>
      </c>
    </row>
    <row r="852" ht="15" customHeight="1" s="77">
      <c r="A852" s="123" t="n"/>
      <c r="B852" s="124" t="n"/>
      <c r="C852" s="124" t="n"/>
      <c r="D852" s="125" t="n"/>
      <c r="E852" s="126" t="n"/>
      <c r="F852" s="124" t="n"/>
      <c r="G852" s="121">
        <f>IF($D852=0,0,$D852*$E852)</f>
        <v/>
      </c>
      <c r="H852" s="122">
        <f>IF($B852="","",CONCATENATE("Hareket: ",$C852,"/",$D852," adet ",$B852))</f>
        <v/>
      </c>
    </row>
    <row r="853" ht="15" customHeight="1" s="77">
      <c r="A853" s="123" t="n"/>
      <c r="B853" s="124" t="n"/>
      <c r="C853" s="124" t="n"/>
      <c r="D853" s="125" t="n"/>
      <c r="E853" s="126" t="n"/>
      <c r="F853" s="124" t="n"/>
      <c r="G853" s="121">
        <f>IF($D853=0,0,$D853*$E853)</f>
        <v/>
      </c>
      <c r="H853" s="122">
        <f>IF($B853="","",CONCATENATE("Hareket: ",$C853,"/",$D853," adet ",$B853))</f>
        <v/>
      </c>
    </row>
    <row r="854" ht="15" customHeight="1" s="77">
      <c r="A854" s="123" t="n"/>
      <c r="B854" s="124" t="n"/>
      <c r="C854" s="124" t="n"/>
      <c r="D854" s="125" t="n"/>
      <c r="E854" s="126" t="n"/>
      <c r="F854" s="124" t="n"/>
      <c r="G854" s="121">
        <f>IF($D854=0,0,$D854*$E854)</f>
        <v/>
      </c>
      <c r="H854" s="122">
        <f>IF($B854="","",CONCATENATE("Hareket: ",$C854,"/",$D854," adet ",$B854))</f>
        <v/>
      </c>
    </row>
    <row r="855" ht="15" customHeight="1" s="77">
      <c r="A855" s="123" t="n"/>
      <c r="B855" s="124" t="n"/>
      <c r="C855" s="124" t="n"/>
      <c r="D855" s="125" t="n"/>
      <c r="E855" s="126" t="n"/>
      <c r="F855" s="124" t="n"/>
      <c r="G855" s="121">
        <f>IF($D855=0,0,$D855*$E855)</f>
        <v/>
      </c>
      <c r="H855" s="122">
        <f>IF($B855="","",CONCATENATE("Hareket: ",$C855,"/",$D855," adet ",$B855))</f>
        <v/>
      </c>
    </row>
    <row r="856" ht="15" customHeight="1" s="77">
      <c r="A856" s="123" t="n"/>
      <c r="B856" s="124" t="n"/>
      <c r="C856" s="124" t="n"/>
      <c r="D856" s="125" t="n"/>
      <c r="E856" s="126" t="n"/>
      <c r="F856" s="124" t="n"/>
      <c r="G856" s="121">
        <f>IF($D856=0,0,$D856*$E856)</f>
        <v/>
      </c>
      <c r="H856" s="122">
        <f>IF($B856="","",CONCATENATE("Hareket: ",$C856,"/",$D856," adet ",$B856))</f>
        <v/>
      </c>
    </row>
    <row r="857" ht="15" customHeight="1" s="77">
      <c r="A857" s="123" t="n"/>
      <c r="B857" s="124" t="n"/>
      <c r="C857" s="124" t="n"/>
      <c r="D857" s="125" t="n"/>
      <c r="E857" s="126" t="n"/>
      <c r="F857" s="124" t="n"/>
      <c r="G857" s="121">
        <f>IF($D857=0,0,$D857*$E857)</f>
        <v/>
      </c>
      <c r="H857" s="122">
        <f>IF($B857="","",CONCATENATE("Hareket: ",$C857,"/",$D857," adet ",$B857))</f>
        <v/>
      </c>
    </row>
    <row r="858" ht="15" customHeight="1" s="77">
      <c r="A858" s="123" t="n"/>
      <c r="B858" s="124" t="n"/>
      <c r="C858" s="124" t="n"/>
      <c r="D858" s="125" t="n"/>
      <c r="E858" s="126" t="n"/>
      <c r="F858" s="124" t="n"/>
      <c r="G858" s="121">
        <f>IF($D858=0,0,$D858*$E858)</f>
        <v/>
      </c>
      <c r="H858" s="122">
        <f>IF($B858="","",CONCATENATE("Hareket: ",$C858,"/",$D858," adet ",$B858))</f>
        <v/>
      </c>
    </row>
    <row r="859" ht="15" customHeight="1" s="77">
      <c r="A859" s="123" t="n"/>
      <c r="B859" s="124" t="n"/>
      <c r="C859" s="124" t="n"/>
      <c r="D859" s="125" t="n"/>
      <c r="E859" s="126" t="n"/>
      <c r="F859" s="124" t="n"/>
      <c r="G859" s="121">
        <f>IF($D859=0,0,$D859*$E859)</f>
        <v/>
      </c>
      <c r="H859" s="122">
        <f>IF($B859="","",CONCATENATE("Hareket: ",$C859,"/",$D859," adet ",$B859))</f>
        <v/>
      </c>
    </row>
    <row r="860" ht="15" customHeight="1" s="77">
      <c r="A860" s="123" t="n"/>
      <c r="B860" s="124" t="n"/>
      <c r="C860" s="124" t="n"/>
      <c r="D860" s="125" t="n"/>
      <c r="E860" s="126" t="n"/>
      <c r="F860" s="124" t="n"/>
      <c r="G860" s="121">
        <f>IF($D860=0,0,$D860*$E860)</f>
        <v/>
      </c>
      <c r="H860" s="122">
        <f>IF($B860="","",CONCATENATE("Hareket: ",$C860,"/",$D860," adet ",$B860))</f>
        <v/>
      </c>
    </row>
    <row r="861" ht="15" customHeight="1" s="77">
      <c r="A861" s="123" t="n"/>
      <c r="B861" s="124" t="n"/>
      <c r="C861" s="124" t="n"/>
      <c r="D861" s="125" t="n"/>
      <c r="E861" s="126" t="n"/>
      <c r="F861" s="124" t="n"/>
      <c r="G861" s="121">
        <f>IF($D861=0,0,$D861*$E861)</f>
        <v/>
      </c>
      <c r="H861" s="122">
        <f>IF($B861="","",CONCATENATE("Hareket: ",$C861,"/",$D861," adet ",$B861))</f>
        <v/>
      </c>
    </row>
    <row r="862" ht="15" customHeight="1" s="77">
      <c r="A862" s="123" t="n"/>
      <c r="B862" s="124" t="n"/>
      <c r="C862" s="124" t="n"/>
      <c r="D862" s="125" t="n"/>
      <c r="E862" s="126" t="n"/>
      <c r="F862" s="124" t="n"/>
      <c r="G862" s="121">
        <f>IF($D862=0,0,$D862*$E862)</f>
        <v/>
      </c>
      <c r="H862" s="122">
        <f>IF($B862="","",CONCATENATE("Hareket: ",$C862,"/",$D862," adet ",$B862))</f>
        <v/>
      </c>
    </row>
    <row r="863" ht="15" customHeight="1" s="77">
      <c r="A863" s="123" t="n"/>
      <c r="B863" s="124" t="n"/>
      <c r="C863" s="124" t="n"/>
      <c r="D863" s="125" t="n"/>
      <c r="E863" s="126" t="n"/>
      <c r="F863" s="124" t="n"/>
      <c r="G863" s="121">
        <f>IF($D863=0,0,$D863*$E863)</f>
        <v/>
      </c>
      <c r="H863" s="122">
        <f>IF($B863="","",CONCATENATE("Hareket: ",$C863,"/",$D863," adet ",$B863))</f>
        <v/>
      </c>
    </row>
    <row r="864" ht="15" customHeight="1" s="77">
      <c r="A864" s="123" t="n"/>
      <c r="B864" s="124" t="n"/>
      <c r="C864" s="124" t="n"/>
      <c r="D864" s="125" t="n"/>
      <c r="E864" s="126" t="n"/>
      <c r="F864" s="124" t="n"/>
      <c r="G864" s="121">
        <f>IF($D864=0,0,$D864*$E864)</f>
        <v/>
      </c>
      <c r="H864" s="122">
        <f>IF($B864="","",CONCATENATE("Hareket: ",$C864,"/",$D864," adet ",$B864))</f>
        <v/>
      </c>
    </row>
    <row r="865" ht="15" customHeight="1" s="77">
      <c r="A865" s="123" t="n"/>
      <c r="B865" s="124" t="n"/>
      <c r="C865" s="124" t="n"/>
      <c r="D865" s="125" t="n"/>
      <c r="E865" s="126" t="n"/>
      <c r="F865" s="124" t="n"/>
      <c r="G865" s="121">
        <f>IF($D865=0,0,$D865*$E865)</f>
        <v/>
      </c>
      <c r="H865" s="122">
        <f>IF($B865="","",CONCATENATE("Hareket: ",$C865,"/",$D865," adet ",$B865))</f>
        <v/>
      </c>
    </row>
    <row r="866" ht="15" customHeight="1" s="77">
      <c r="A866" s="123" t="n"/>
      <c r="B866" s="124" t="n"/>
      <c r="C866" s="124" t="n"/>
      <c r="D866" s="125" t="n"/>
      <c r="E866" s="126" t="n"/>
      <c r="F866" s="124" t="n"/>
      <c r="G866" s="121">
        <f>IF($D866=0,0,$D866*$E866)</f>
        <v/>
      </c>
      <c r="H866" s="122">
        <f>IF($B866="","",CONCATENATE("Hareket: ",$C866,"/",$D866," adet ",$B866))</f>
        <v/>
      </c>
    </row>
    <row r="867" ht="15" customHeight="1" s="77">
      <c r="A867" s="123" t="n"/>
      <c r="B867" s="124" t="n"/>
      <c r="C867" s="124" t="n"/>
      <c r="D867" s="125" t="n"/>
      <c r="E867" s="126" t="n"/>
      <c r="F867" s="124" t="n"/>
      <c r="G867" s="121">
        <f>IF($D867=0,0,$D867*$E867)</f>
        <v/>
      </c>
      <c r="H867" s="122">
        <f>IF($B867="","",CONCATENATE("Hareket: ",$C867,"/",$D867," adet ",$B867))</f>
        <v/>
      </c>
    </row>
    <row r="868" ht="15" customHeight="1" s="77">
      <c r="A868" s="123" t="n"/>
      <c r="B868" s="124" t="n"/>
      <c r="C868" s="124" t="n"/>
      <c r="D868" s="125" t="n"/>
      <c r="E868" s="126" t="n"/>
      <c r="F868" s="124" t="n"/>
      <c r="G868" s="121">
        <f>IF($D868=0,0,$D868*$E868)</f>
        <v/>
      </c>
      <c r="H868" s="122">
        <f>IF($B868="","",CONCATENATE("Hareket: ",$C868,"/",$D868," adet ",$B868))</f>
        <v/>
      </c>
    </row>
    <row r="869" ht="15" customHeight="1" s="77">
      <c r="A869" s="123" t="n"/>
      <c r="B869" s="124" t="n"/>
      <c r="C869" s="124" t="n"/>
      <c r="D869" s="125" t="n"/>
      <c r="E869" s="126" t="n"/>
      <c r="F869" s="124" t="n"/>
      <c r="G869" s="121">
        <f>IF($D869=0,0,$D869*$E869)</f>
        <v/>
      </c>
      <c r="H869" s="122">
        <f>IF($B869="","",CONCATENATE("Hareket: ",$C869,"/",$D869," adet ",$B869))</f>
        <v/>
      </c>
    </row>
    <row r="870" ht="15" customHeight="1" s="77">
      <c r="A870" s="123" t="n"/>
      <c r="B870" s="124" t="n"/>
      <c r="C870" s="124" t="n"/>
      <c r="D870" s="125" t="n"/>
      <c r="E870" s="126" t="n"/>
      <c r="F870" s="124" t="n"/>
      <c r="G870" s="121">
        <f>IF($D870=0,0,$D870*$E870)</f>
        <v/>
      </c>
      <c r="H870" s="122">
        <f>IF($B870="","",CONCATENATE("Hareket: ",$C870,"/",$D870," adet ",$B870))</f>
        <v/>
      </c>
    </row>
    <row r="871" ht="15" customHeight="1" s="77">
      <c r="A871" s="123" t="n"/>
      <c r="B871" s="124" t="n"/>
      <c r="C871" s="124" t="n"/>
      <c r="D871" s="125" t="n"/>
      <c r="E871" s="126" t="n"/>
      <c r="F871" s="124" t="n"/>
      <c r="G871" s="121">
        <f>IF($D871=0,0,$D871*$E871)</f>
        <v/>
      </c>
      <c r="H871" s="122">
        <f>IF($B871="","",CONCATENATE("Hareket: ",$C871,"/",$D871," adet ",$B871))</f>
        <v/>
      </c>
    </row>
    <row r="872" ht="15" customHeight="1" s="77">
      <c r="A872" s="123" t="n"/>
      <c r="B872" s="124" t="n"/>
      <c r="C872" s="124" t="n"/>
      <c r="D872" s="125" t="n"/>
      <c r="E872" s="126" t="n"/>
      <c r="F872" s="124" t="n"/>
      <c r="G872" s="121">
        <f>IF($D872=0,0,$D872*$E872)</f>
        <v/>
      </c>
      <c r="H872" s="122">
        <f>IF($B872="","",CONCATENATE("Hareket: ",$C872,"/",$D872," adet ",$B872))</f>
        <v/>
      </c>
    </row>
    <row r="873" ht="15" customHeight="1" s="77">
      <c r="A873" s="123" t="n"/>
      <c r="B873" s="124" t="n"/>
      <c r="C873" s="124" t="n"/>
      <c r="D873" s="125" t="n"/>
      <c r="E873" s="126" t="n"/>
      <c r="F873" s="124" t="n"/>
      <c r="G873" s="121">
        <f>IF($D873=0,0,$D873*$E873)</f>
        <v/>
      </c>
      <c r="H873" s="122">
        <f>IF($B873="","",CONCATENATE("Hareket: ",$C873,"/",$D873," adet ",$B873))</f>
        <v/>
      </c>
    </row>
    <row r="874" ht="15" customHeight="1" s="77">
      <c r="A874" s="123" t="n"/>
      <c r="B874" s="124" t="n"/>
      <c r="C874" s="124" t="n"/>
      <c r="D874" s="125" t="n"/>
      <c r="E874" s="126" t="n"/>
      <c r="F874" s="124" t="n"/>
      <c r="G874" s="121">
        <f>IF($D874=0,0,$D874*$E874)</f>
        <v/>
      </c>
      <c r="H874" s="122">
        <f>IF($B874="","",CONCATENATE("Hareket: ",$C874,"/",$D874," adet ",$B874))</f>
        <v/>
      </c>
    </row>
    <row r="875" ht="15" customHeight="1" s="77">
      <c r="A875" s="123" t="n"/>
      <c r="B875" s="124" t="n"/>
      <c r="C875" s="124" t="n"/>
      <c r="D875" s="125" t="n"/>
      <c r="E875" s="126" t="n"/>
      <c r="F875" s="124" t="n"/>
      <c r="G875" s="121">
        <f>IF($D875=0,0,$D875*$E875)</f>
        <v/>
      </c>
      <c r="H875" s="122">
        <f>IF($B875="","",CONCATENATE("Hareket: ",$C875,"/",$D875," adet ",$B875))</f>
        <v/>
      </c>
    </row>
    <row r="876" ht="15" customHeight="1" s="77">
      <c r="A876" s="123" t="n"/>
      <c r="B876" s="124" t="n"/>
      <c r="C876" s="124" t="n"/>
      <c r="D876" s="125" t="n"/>
      <c r="E876" s="126" t="n"/>
      <c r="F876" s="124" t="n"/>
      <c r="G876" s="121">
        <f>IF($D876=0,0,$D876*$E876)</f>
        <v/>
      </c>
      <c r="H876" s="122">
        <f>IF($B876="","",CONCATENATE("Hareket: ",$C876,"/",$D876," adet ",$B876))</f>
        <v/>
      </c>
    </row>
    <row r="877" ht="15" customHeight="1" s="77">
      <c r="A877" s="123" t="n"/>
      <c r="B877" s="124" t="n"/>
      <c r="C877" s="124" t="n"/>
      <c r="D877" s="125" t="n"/>
      <c r="E877" s="126" t="n"/>
      <c r="F877" s="124" t="n"/>
      <c r="G877" s="121">
        <f>IF($D877=0,0,$D877*$E877)</f>
        <v/>
      </c>
      <c r="H877" s="122">
        <f>IF($B877="","",CONCATENATE("Hareket: ",$C877,"/",$D877," adet ",$B877))</f>
        <v/>
      </c>
    </row>
    <row r="878" ht="15" customHeight="1" s="77">
      <c r="A878" s="123" t="n"/>
      <c r="B878" s="124" t="n"/>
      <c r="C878" s="124" t="n"/>
      <c r="D878" s="125" t="n"/>
      <c r="E878" s="126" t="n"/>
      <c r="F878" s="124" t="n"/>
      <c r="G878" s="121">
        <f>IF($D878=0,0,$D878*$E878)</f>
        <v/>
      </c>
      <c r="H878" s="122">
        <f>IF($B878="","",CONCATENATE("Hareket: ",$C878,"/",$D878," adet ",$B878))</f>
        <v/>
      </c>
    </row>
    <row r="879" ht="15" customHeight="1" s="77">
      <c r="A879" s="123" t="n"/>
      <c r="B879" s="124" t="n"/>
      <c r="C879" s="124" t="n"/>
      <c r="D879" s="125" t="n"/>
      <c r="E879" s="126" t="n"/>
      <c r="F879" s="124" t="n"/>
      <c r="G879" s="121">
        <f>IF($D879=0,0,$D879*$E879)</f>
        <v/>
      </c>
      <c r="H879" s="122">
        <f>IF($B879="","",CONCATENATE("Hareket: ",$C879,"/",$D879," adet ",$B879))</f>
        <v/>
      </c>
    </row>
    <row r="880" ht="15" customHeight="1" s="77">
      <c r="A880" s="123" t="n"/>
      <c r="B880" s="124" t="n"/>
      <c r="C880" s="124" t="n"/>
      <c r="D880" s="125" t="n"/>
      <c r="E880" s="126" t="n"/>
      <c r="F880" s="124" t="n"/>
      <c r="G880" s="121">
        <f>IF($D880=0,0,$D880*$E880)</f>
        <v/>
      </c>
      <c r="H880" s="122">
        <f>IF($B880="","",CONCATENATE("Hareket: ",$C880,"/",$D880," adet ",$B880))</f>
        <v/>
      </c>
    </row>
    <row r="881" ht="15" customHeight="1" s="77">
      <c r="A881" s="123" t="n"/>
      <c r="B881" s="124" t="n"/>
      <c r="C881" s="124" t="n"/>
      <c r="D881" s="125" t="n"/>
      <c r="E881" s="126" t="n"/>
      <c r="F881" s="124" t="n"/>
      <c r="G881" s="121">
        <f>IF($D881=0,0,$D881*$E881)</f>
        <v/>
      </c>
      <c r="H881" s="122">
        <f>IF($B881="","",CONCATENATE("Hareket: ",$C881,"/",$D881," adet ",$B881))</f>
        <v/>
      </c>
    </row>
    <row r="882" ht="15" customHeight="1" s="77">
      <c r="A882" s="123" t="n"/>
      <c r="B882" s="124" t="n"/>
      <c r="C882" s="124" t="n"/>
      <c r="D882" s="125" t="n"/>
      <c r="E882" s="126" t="n"/>
      <c r="F882" s="124" t="n"/>
      <c r="G882" s="121">
        <f>IF($D882=0,0,$D882*$E882)</f>
        <v/>
      </c>
      <c r="H882" s="122">
        <f>IF($B882="","",CONCATENATE("Hareket: ",$C882,"/",$D882," adet ",$B882))</f>
        <v/>
      </c>
    </row>
    <row r="883" ht="15" customHeight="1" s="77">
      <c r="A883" s="123" t="n"/>
      <c r="B883" s="124" t="n"/>
      <c r="C883" s="124" t="n"/>
      <c r="D883" s="125" t="n"/>
      <c r="E883" s="126" t="n"/>
      <c r="F883" s="124" t="n"/>
      <c r="G883" s="121">
        <f>IF($D883=0,0,$D883*$E883)</f>
        <v/>
      </c>
      <c r="H883" s="122">
        <f>IF($B883="","",CONCATENATE("Hareket: ",$C883,"/",$D883," adet ",$B883))</f>
        <v/>
      </c>
    </row>
    <row r="884" ht="15" customHeight="1" s="77">
      <c r="A884" s="123" t="n"/>
      <c r="B884" s="124" t="n"/>
      <c r="C884" s="124" t="n"/>
      <c r="D884" s="125" t="n"/>
      <c r="E884" s="126" t="n"/>
      <c r="F884" s="124" t="n"/>
      <c r="G884" s="121">
        <f>IF($D884=0,0,$D884*$E884)</f>
        <v/>
      </c>
      <c r="H884" s="122">
        <f>IF($B884="","",CONCATENATE("Hareket: ",$C884,"/",$D884," adet ",$B884))</f>
        <v/>
      </c>
    </row>
    <row r="885" ht="15" customHeight="1" s="77">
      <c r="A885" s="123" t="n"/>
      <c r="B885" s="124" t="n"/>
      <c r="C885" s="124" t="n"/>
      <c r="D885" s="125" t="n"/>
      <c r="E885" s="126" t="n"/>
      <c r="F885" s="124" t="n"/>
      <c r="G885" s="121">
        <f>IF($D885=0,0,$D885*$E885)</f>
        <v/>
      </c>
      <c r="H885" s="122">
        <f>IF($B885="","",CONCATENATE("Hareket: ",$C885,"/",$D885," adet ",$B885))</f>
        <v/>
      </c>
    </row>
    <row r="886" ht="15" customHeight="1" s="77">
      <c r="A886" s="123" t="n"/>
      <c r="B886" s="124" t="n"/>
      <c r="C886" s="124" t="n"/>
      <c r="D886" s="125" t="n"/>
      <c r="E886" s="126" t="n"/>
      <c r="F886" s="124" t="n"/>
      <c r="G886" s="121">
        <f>IF($D886=0,0,$D886*$E886)</f>
        <v/>
      </c>
      <c r="H886" s="122">
        <f>IF($B886="","",CONCATENATE("Hareket: ",$C886,"/",$D886," adet ",$B886))</f>
        <v/>
      </c>
    </row>
    <row r="887" ht="15" customHeight="1" s="77">
      <c r="A887" s="123" t="n"/>
      <c r="B887" s="124" t="n"/>
      <c r="C887" s="124" t="n"/>
      <c r="D887" s="125" t="n"/>
      <c r="E887" s="126" t="n"/>
      <c r="F887" s="124" t="n"/>
      <c r="G887" s="121">
        <f>IF($D887=0,0,$D887*$E887)</f>
        <v/>
      </c>
      <c r="H887" s="122">
        <f>IF($B887="","",CONCATENATE("Hareket: ",$C887,"/",$D887," adet ",$B887))</f>
        <v/>
      </c>
    </row>
    <row r="888" ht="15" customHeight="1" s="77">
      <c r="A888" s="123" t="n"/>
      <c r="B888" s="124" t="n"/>
      <c r="C888" s="124" t="n"/>
      <c r="D888" s="125" t="n"/>
      <c r="E888" s="126" t="n"/>
      <c r="F888" s="124" t="n"/>
      <c r="G888" s="121">
        <f>IF($D888=0,0,$D888*$E888)</f>
        <v/>
      </c>
      <c r="H888" s="122">
        <f>IF($B888="","",CONCATENATE("Hareket: ",$C888,"/",$D888," adet ",$B888))</f>
        <v/>
      </c>
    </row>
    <row r="889" ht="15" customHeight="1" s="77">
      <c r="A889" s="123" t="n"/>
      <c r="B889" s="124" t="n"/>
      <c r="C889" s="124" t="n"/>
      <c r="D889" s="125" t="n"/>
      <c r="E889" s="126" t="n"/>
      <c r="F889" s="124" t="n"/>
      <c r="G889" s="121">
        <f>IF($D889=0,0,$D889*$E889)</f>
        <v/>
      </c>
      <c r="H889" s="122">
        <f>IF($B889="","",CONCATENATE("Hareket: ",$C889,"/",$D889," adet ",$B889))</f>
        <v/>
      </c>
    </row>
    <row r="890" ht="15" customHeight="1" s="77">
      <c r="A890" s="123" t="n"/>
      <c r="B890" s="124" t="n"/>
      <c r="C890" s="124" t="n"/>
      <c r="D890" s="125" t="n"/>
      <c r="E890" s="126" t="n"/>
      <c r="F890" s="124" t="n"/>
      <c r="G890" s="121">
        <f>IF($D890=0,0,$D890*$E890)</f>
        <v/>
      </c>
      <c r="H890" s="122">
        <f>IF($B890="","",CONCATENATE("Hareket: ",$C890,"/",$D890," adet ",$B890))</f>
        <v/>
      </c>
    </row>
    <row r="891" ht="15" customHeight="1" s="77">
      <c r="A891" s="123" t="n"/>
      <c r="B891" s="124" t="n"/>
      <c r="C891" s="124" t="n"/>
      <c r="D891" s="125" t="n"/>
      <c r="E891" s="126" t="n"/>
      <c r="F891" s="124" t="n"/>
      <c r="G891" s="121">
        <f>IF($D891=0,0,$D891*$E891)</f>
        <v/>
      </c>
      <c r="H891" s="122">
        <f>IF($B891="","",CONCATENATE("Hareket: ",$C891,"/",$D891," adet ",$B891))</f>
        <v/>
      </c>
    </row>
    <row r="892" ht="15" customHeight="1" s="77">
      <c r="A892" s="123" t="n"/>
      <c r="B892" s="124" t="n"/>
      <c r="C892" s="124" t="n"/>
      <c r="D892" s="125" t="n"/>
      <c r="E892" s="126" t="n"/>
      <c r="F892" s="124" t="n"/>
      <c r="G892" s="121">
        <f>IF($D892=0,0,$D892*$E892)</f>
        <v/>
      </c>
      <c r="H892" s="122">
        <f>IF($B892="","",CONCATENATE("Hareket: ",$C892,"/",$D892," adet ",$B892))</f>
        <v/>
      </c>
    </row>
    <row r="893" ht="15" customHeight="1" s="77">
      <c r="A893" s="123" t="n"/>
      <c r="B893" s="124" t="n"/>
      <c r="C893" s="124" t="n"/>
      <c r="D893" s="125" t="n"/>
      <c r="E893" s="126" t="n"/>
      <c r="F893" s="124" t="n"/>
      <c r="G893" s="121">
        <f>IF($D893=0,0,$D893*$E893)</f>
        <v/>
      </c>
      <c r="H893" s="122">
        <f>IF($B893="","",CONCATENATE("Hareket: ",$C893,"/",$D893," adet ",$B893))</f>
        <v/>
      </c>
    </row>
    <row r="894" ht="15" customHeight="1" s="77">
      <c r="A894" s="123" t="n"/>
      <c r="B894" s="124" t="n"/>
      <c r="C894" s="124" t="n"/>
      <c r="D894" s="125" t="n"/>
      <c r="E894" s="126" t="n"/>
      <c r="F894" s="124" t="n"/>
      <c r="G894" s="121">
        <f>IF($D894=0,0,$D894*$E894)</f>
        <v/>
      </c>
      <c r="H894" s="122">
        <f>IF($B894="","",CONCATENATE("Hareket: ",$C894,"/",$D894," adet ",$B894))</f>
        <v/>
      </c>
    </row>
    <row r="895" ht="15" customHeight="1" s="77">
      <c r="A895" s="123" t="n"/>
      <c r="B895" s="124" t="n"/>
      <c r="C895" s="124" t="n"/>
      <c r="D895" s="125" t="n"/>
      <c r="E895" s="126" t="n"/>
      <c r="F895" s="124" t="n"/>
      <c r="G895" s="121">
        <f>IF($D895=0,0,$D895*$E895)</f>
        <v/>
      </c>
      <c r="H895" s="122">
        <f>IF($B895="","",CONCATENATE("Hareket: ",$C895,"/",$D895," adet ",$B895))</f>
        <v/>
      </c>
    </row>
    <row r="896" ht="15" customHeight="1" s="77">
      <c r="A896" s="123" t="n"/>
      <c r="B896" s="124" t="n"/>
      <c r="C896" s="124" t="n"/>
      <c r="D896" s="125" t="n"/>
      <c r="E896" s="126" t="n"/>
      <c r="F896" s="124" t="n"/>
      <c r="G896" s="121">
        <f>IF($D896=0,0,$D896*$E896)</f>
        <v/>
      </c>
      <c r="H896" s="122">
        <f>IF($B896="","",CONCATENATE("Hareket: ",$C896,"/",$D896," adet ",$B896))</f>
        <v/>
      </c>
    </row>
    <row r="897" ht="15" customHeight="1" s="77">
      <c r="A897" s="123" t="n"/>
      <c r="B897" s="124" t="n"/>
      <c r="C897" s="124" t="n"/>
      <c r="D897" s="125" t="n"/>
      <c r="E897" s="126" t="n"/>
      <c r="F897" s="124" t="n"/>
      <c r="G897" s="121">
        <f>IF($D897=0,0,$D897*$E897)</f>
        <v/>
      </c>
      <c r="H897" s="122">
        <f>IF($B897="","",CONCATENATE("Hareket: ",$C897,"/",$D897," adet ",$B897))</f>
        <v/>
      </c>
    </row>
    <row r="898" ht="15" customHeight="1" s="77">
      <c r="A898" s="123" t="n"/>
      <c r="B898" s="124" t="n"/>
      <c r="C898" s="124" t="n"/>
      <c r="D898" s="125" t="n"/>
      <c r="E898" s="126" t="n"/>
      <c r="F898" s="124" t="n"/>
      <c r="G898" s="121">
        <f>IF($D898=0,0,$D898*$E898)</f>
        <v/>
      </c>
      <c r="H898" s="122">
        <f>IF($B898="","",CONCATENATE("Hareket: ",$C898,"/",$D898," adet ",$B898))</f>
        <v/>
      </c>
    </row>
    <row r="899" ht="15" customHeight="1" s="77">
      <c r="A899" s="123" t="n"/>
      <c r="B899" s="124" t="n"/>
      <c r="C899" s="124" t="n"/>
      <c r="D899" s="125" t="n"/>
      <c r="E899" s="126" t="n"/>
      <c r="F899" s="124" t="n"/>
      <c r="G899" s="121">
        <f>IF($D899=0,0,$D899*$E899)</f>
        <v/>
      </c>
      <c r="H899" s="122">
        <f>IF($B899="","",CONCATENATE("Hareket: ",$C899,"/",$D899," adet ",$B899))</f>
        <v/>
      </c>
    </row>
    <row r="900" ht="15" customHeight="1" s="77">
      <c r="A900" s="123" t="n"/>
      <c r="B900" s="124" t="n"/>
      <c r="C900" s="124" t="n"/>
      <c r="D900" s="125" t="n"/>
      <c r="E900" s="126" t="n"/>
      <c r="F900" s="124" t="n"/>
      <c r="G900" s="121">
        <f>IF($D900=0,0,$D900*$E900)</f>
        <v/>
      </c>
      <c r="H900" s="122">
        <f>IF($B900="","",CONCATENATE("Hareket: ",$C900,"/",$D900," adet ",$B900))</f>
        <v/>
      </c>
    </row>
    <row r="901" ht="15" customHeight="1" s="77">
      <c r="A901" s="123" t="n"/>
      <c r="B901" s="124" t="n"/>
      <c r="C901" s="124" t="n"/>
      <c r="D901" s="125" t="n"/>
      <c r="E901" s="126" t="n"/>
      <c r="F901" s="124" t="n"/>
      <c r="G901" s="121">
        <f>IF($D901=0,0,$D901*$E901)</f>
        <v/>
      </c>
      <c r="H901" s="122">
        <f>IF($B901="","",CONCATENATE("Hareket: ",$C901,"/",$D901," adet ",$B901))</f>
        <v/>
      </c>
    </row>
    <row r="902" ht="15" customHeight="1" s="77">
      <c r="A902" s="123" t="n"/>
      <c r="B902" s="124" t="n"/>
      <c r="C902" s="124" t="n"/>
      <c r="D902" s="125" t="n"/>
      <c r="E902" s="126" t="n"/>
      <c r="F902" s="124" t="n"/>
      <c r="G902" s="121">
        <f>IF($D902=0,0,$D902*$E902)</f>
        <v/>
      </c>
      <c r="H902" s="122">
        <f>IF($B902="","",CONCATENATE("Hareket: ",$C902,"/",$D902," adet ",$B902))</f>
        <v/>
      </c>
    </row>
    <row r="903" ht="15" customHeight="1" s="77">
      <c r="A903" s="123" t="n"/>
      <c r="B903" s="124" t="n"/>
      <c r="C903" s="124" t="n"/>
      <c r="D903" s="125" t="n"/>
      <c r="E903" s="126" t="n"/>
      <c r="F903" s="124" t="n"/>
      <c r="G903" s="121">
        <f>IF($D903=0,0,$D903*$E903)</f>
        <v/>
      </c>
      <c r="H903" s="122">
        <f>IF($B903="","",CONCATENATE("Hareket: ",$C903,"/",$D903," adet ",$B903))</f>
        <v/>
      </c>
    </row>
    <row r="904" ht="15" customHeight="1" s="77">
      <c r="A904" s="123" t="n"/>
      <c r="B904" s="124" t="n"/>
      <c r="C904" s="124" t="n"/>
      <c r="D904" s="125" t="n"/>
      <c r="E904" s="126" t="n"/>
      <c r="F904" s="124" t="n"/>
      <c r="G904" s="121">
        <f>IF($D904=0,0,$D904*$E904)</f>
        <v/>
      </c>
      <c r="H904" s="122">
        <f>IF($B904="","",CONCATENATE("Hareket: ",$C904,"/",$D904," adet ",$B904))</f>
        <v/>
      </c>
    </row>
    <row r="905" ht="15" customHeight="1" s="77">
      <c r="A905" s="123" t="n"/>
      <c r="B905" s="124" t="n"/>
      <c r="C905" s="124" t="n"/>
      <c r="D905" s="125" t="n"/>
      <c r="E905" s="126" t="n"/>
      <c r="F905" s="124" t="n"/>
      <c r="G905" s="121">
        <f>IF($D905=0,0,$D905*$E905)</f>
        <v/>
      </c>
      <c r="H905" s="122">
        <f>IF($B905="","",CONCATENATE("Hareket: ",$C905,"/",$D905," adet ",$B905))</f>
        <v/>
      </c>
    </row>
    <row r="906" ht="15" customHeight="1" s="77">
      <c r="A906" s="123" t="n"/>
      <c r="B906" s="124" t="n"/>
      <c r="C906" s="124" t="n"/>
      <c r="D906" s="125" t="n"/>
      <c r="E906" s="126" t="n"/>
      <c r="F906" s="124" t="n"/>
      <c r="G906" s="121">
        <f>IF($D906=0,0,$D906*$E906)</f>
        <v/>
      </c>
      <c r="H906" s="122">
        <f>IF($B906="","",CONCATENATE("Hareket: ",$C906,"/",$D906," adet ",$B906))</f>
        <v/>
      </c>
    </row>
    <row r="907" ht="15" customHeight="1" s="77">
      <c r="A907" s="123" t="n"/>
      <c r="B907" s="124" t="n"/>
      <c r="C907" s="124" t="n"/>
      <c r="D907" s="125" t="n"/>
      <c r="E907" s="126" t="n"/>
      <c r="F907" s="124" t="n"/>
      <c r="G907" s="121">
        <f>IF($D907=0,0,$D907*$E907)</f>
        <v/>
      </c>
      <c r="H907" s="122">
        <f>IF($B907="","",CONCATENATE("Hareket: ",$C907,"/",$D907," adet ",$B907))</f>
        <v/>
      </c>
    </row>
    <row r="908" ht="15" customHeight="1" s="77">
      <c r="A908" s="123" t="n"/>
      <c r="B908" s="124" t="n"/>
      <c r="C908" s="124" t="n"/>
      <c r="D908" s="125" t="n"/>
      <c r="E908" s="126" t="n"/>
      <c r="F908" s="124" t="n"/>
      <c r="G908" s="121">
        <f>IF($D908=0,0,$D908*$E908)</f>
        <v/>
      </c>
      <c r="H908" s="122">
        <f>IF($B908="","",CONCATENATE("Hareket: ",$C908,"/",$D908," adet ",$B908))</f>
        <v/>
      </c>
    </row>
    <row r="909" ht="15" customHeight="1" s="77">
      <c r="A909" s="123" t="n"/>
      <c r="B909" s="124" t="n"/>
      <c r="C909" s="124" t="n"/>
      <c r="D909" s="125" t="n"/>
      <c r="E909" s="126" t="n"/>
      <c r="F909" s="124" t="n"/>
      <c r="G909" s="121">
        <f>IF($D909=0,0,$D909*$E909)</f>
        <v/>
      </c>
      <c r="H909" s="122">
        <f>IF($B909="","",CONCATENATE("Hareket: ",$C909,"/",$D909," adet ",$B909))</f>
        <v/>
      </c>
    </row>
    <row r="910" ht="15" customHeight="1" s="77">
      <c r="A910" s="123" t="n"/>
      <c r="B910" s="124" t="n"/>
      <c r="C910" s="124" t="n"/>
      <c r="D910" s="125" t="n"/>
      <c r="E910" s="126" t="n"/>
      <c r="F910" s="124" t="n"/>
      <c r="G910" s="121">
        <f>IF($D910=0,0,$D910*$E910)</f>
        <v/>
      </c>
      <c r="H910" s="122">
        <f>IF($B910="","",CONCATENATE("Hareket: ",$C910,"/",$D910," adet ",$B910))</f>
        <v/>
      </c>
    </row>
    <row r="911" ht="15" customHeight="1" s="77">
      <c r="A911" s="123" t="n"/>
      <c r="B911" s="124" t="n"/>
      <c r="C911" s="124" t="n"/>
      <c r="D911" s="125" t="n"/>
      <c r="E911" s="126" t="n"/>
      <c r="F911" s="124" t="n"/>
      <c r="G911" s="121">
        <f>IF($D911=0,0,$D911*$E911)</f>
        <v/>
      </c>
      <c r="H911" s="122">
        <f>IF($B911="","",CONCATENATE("Hareket: ",$C911,"/",$D911," adet ",$B911))</f>
        <v/>
      </c>
    </row>
    <row r="912" ht="15" customHeight="1" s="77">
      <c r="A912" s="123" t="n"/>
      <c r="B912" s="124" t="n"/>
      <c r="C912" s="124" t="n"/>
      <c r="D912" s="125" t="n"/>
      <c r="E912" s="126" t="n"/>
      <c r="F912" s="124" t="n"/>
      <c r="G912" s="121">
        <f>IF($D912=0,0,$D912*$E912)</f>
        <v/>
      </c>
      <c r="H912" s="122">
        <f>IF($B912="","",CONCATENATE("Hareket: ",$C912,"/",$D912," adet ",$B912))</f>
        <v/>
      </c>
    </row>
    <row r="913" ht="15" customHeight="1" s="77">
      <c r="A913" s="123" t="n"/>
      <c r="B913" s="124" t="n"/>
      <c r="C913" s="124" t="n"/>
      <c r="D913" s="125" t="n"/>
      <c r="E913" s="126" t="n"/>
      <c r="F913" s="124" t="n"/>
      <c r="G913" s="121">
        <f>IF($D913=0,0,$D913*$E913)</f>
        <v/>
      </c>
      <c r="H913" s="122">
        <f>IF($B913="","",CONCATENATE("Hareket: ",$C913,"/",$D913," adet ",$B913))</f>
        <v/>
      </c>
    </row>
    <row r="914" ht="15" customHeight="1" s="77">
      <c r="A914" s="123" t="n"/>
      <c r="B914" s="124" t="n"/>
      <c r="C914" s="124" t="n"/>
      <c r="D914" s="125" t="n"/>
      <c r="E914" s="126" t="n"/>
      <c r="F914" s="124" t="n"/>
      <c r="G914" s="121">
        <f>IF($D914=0,0,$D914*$E914)</f>
        <v/>
      </c>
      <c r="H914" s="122">
        <f>IF($B914="","",CONCATENATE("Hareket: ",$C914,"/",$D914," adet ",$B914))</f>
        <v/>
      </c>
    </row>
    <row r="915" ht="15" customHeight="1" s="77">
      <c r="A915" s="123" t="n"/>
      <c r="B915" s="124" t="n"/>
      <c r="C915" s="124" t="n"/>
      <c r="D915" s="125" t="n"/>
      <c r="E915" s="126" t="n"/>
      <c r="F915" s="124" t="n"/>
      <c r="G915" s="121">
        <f>IF($D915=0,0,$D915*$E915)</f>
        <v/>
      </c>
      <c r="H915" s="122">
        <f>IF($B915="","",CONCATENATE("Hareket: ",$C915,"/",$D915," adet ",$B915))</f>
        <v/>
      </c>
    </row>
    <row r="916" ht="15" customHeight="1" s="77">
      <c r="A916" s="123" t="n"/>
      <c r="B916" s="124" t="n"/>
      <c r="C916" s="124" t="n"/>
      <c r="D916" s="125" t="n"/>
      <c r="E916" s="126" t="n"/>
      <c r="F916" s="124" t="n"/>
      <c r="G916" s="121">
        <f>IF($D916=0,0,$D916*$E916)</f>
        <v/>
      </c>
      <c r="H916" s="122">
        <f>IF($B916="","",CONCATENATE("Hareket: ",$C916,"/",$D916," adet ",$B916))</f>
        <v/>
      </c>
    </row>
    <row r="917" ht="15" customHeight="1" s="77">
      <c r="A917" s="123" t="n"/>
      <c r="B917" s="124" t="n"/>
      <c r="C917" s="124" t="n"/>
      <c r="D917" s="125" t="n"/>
      <c r="E917" s="126" t="n"/>
      <c r="F917" s="124" t="n"/>
      <c r="G917" s="121">
        <f>IF($D917=0,0,$D917*$E917)</f>
        <v/>
      </c>
      <c r="H917" s="122">
        <f>IF($B917="","",CONCATENATE("Hareket: ",$C917,"/",$D917," adet ",$B917))</f>
        <v/>
      </c>
    </row>
    <row r="918" ht="15" customHeight="1" s="77">
      <c r="A918" s="123" t="n"/>
      <c r="B918" s="124" t="n"/>
      <c r="C918" s="124" t="n"/>
      <c r="D918" s="125" t="n"/>
      <c r="E918" s="126" t="n"/>
      <c r="F918" s="124" t="n"/>
      <c r="G918" s="121">
        <f>IF($D918=0,0,$D918*$E918)</f>
        <v/>
      </c>
      <c r="H918" s="122">
        <f>IF($B918="","",CONCATENATE("Hareket: ",$C918,"/",$D918," adet ",$B918))</f>
        <v/>
      </c>
    </row>
    <row r="919" ht="15" customHeight="1" s="77">
      <c r="A919" s="123" t="n"/>
      <c r="B919" s="124" t="n"/>
      <c r="C919" s="124" t="n"/>
      <c r="D919" s="125" t="n"/>
      <c r="E919" s="126" t="n"/>
      <c r="F919" s="124" t="n"/>
      <c r="G919" s="121">
        <f>IF($D919=0,0,$D919*$E919)</f>
        <v/>
      </c>
      <c r="H919" s="122">
        <f>IF($B919="","",CONCATENATE("Hareket: ",$C919,"/",$D919," adet ",$B919))</f>
        <v/>
      </c>
    </row>
    <row r="920" ht="15" customHeight="1" s="77">
      <c r="A920" s="123" t="n"/>
      <c r="B920" s="124" t="n"/>
      <c r="C920" s="124" t="n"/>
      <c r="D920" s="125" t="n"/>
      <c r="E920" s="126" t="n"/>
      <c r="F920" s="124" t="n"/>
      <c r="G920" s="121">
        <f>IF($D920=0,0,$D920*$E920)</f>
        <v/>
      </c>
      <c r="H920" s="122">
        <f>IF($B920="","",CONCATENATE("Hareket: ",$C920,"/",$D920," adet ",$B920))</f>
        <v/>
      </c>
    </row>
    <row r="921" ht="15" customHeight="1" s="77">
      <c r="A921" s="123" t="n"/>
      <c r="B921" s="124" t="n"/>
      <c r="C921" s="124" t="n"/>
      <c r="D921" s="125" t="n"/>
      <c r="E921" s="126" t="n"/>
      <c r="F921" s="124" t="n"/>
      <c r="G921" s="121">
        <f>IF($D921=0,0,$D921*$E921)</f>
        <v/>
      </c>
      <c r="H921" s="122">
        <f>IF($B921="","",CONCATENATE("Hareket: ",$C921,"/",$D921," adet ",$B921))</f>
        <v/>
      </c>
    </row>
    <row r="922" ht="15" customHeight="1" s="77">
      <c r="A922" s="123" t="n"/>
      <c r="B922" s="124" t="n"/>
      <c r="C922" s="124" t="n"/>
      <c r="D922" s="125" t="n"/>
      <c r="E922" s="126" t="n"/>
      <c r="F922" s="124" t="n"/>
      <c r="G922" s="121">
        <f>IF($D922=0,0,$D922*$E922)</f>
        <v/>
      </c>
      <c r="H922" s="122">
        <f>IF($B922="","",CONCATENATE("Hareket: ",$C922,"/",$D922," adet ",$B922))</f>
        <v/>
      </c>
    </row>
    <row r="923" ht="15" customHeight="1" s="77">
      <c r="A923" s="123" t="n"/>
      <c r="B923" s="124" t="n"/>
      <c r="C923" s="124" t="n"/>
      <c r="D923" s="125" t="n"/>
      <c r="E923" s="126" t="n"/>
      <c r="F923" s="124" t="n"/>
      <c r="G923" s="121">
        <f>IF($D923=0,0,$D923*$E923)</f>
        <v/>
      </c>
      <c r="H923" s="122">
        <f>IF($B923="","",CONCATENATE("Hareket: ",$C923,"/",$D923," adet ",$B923))</f>
        <v/>
      </c>
    </row>
    <row r="924" ht="15" customHeight="1" s="77">
      <c r="A924" s="123" t="n"/>
      <c r="B924" s="124" t="n"/>
      <c r="C924" s="124" t="n"/>
      <c r="D924" s="125" t="n"/>
      <c r="E924" s="126" t="n"/>
      <c r="F924" s="124" t="n"/>
      <c r="G924" s="121">
        <f>IF($D924=0,0,$D924*$E924)</f>
        <v/>
      </c>
      <c r="H924" s="122">
        <f>IF($B924="","",CONCATENATE("Hareket: ",$C924,"/",$D924," adet ",$B924))</f>
        <v/>
      </c>
    </row>
    <row r="925" ht="15" customHeight="1" s="77">
      <c r="A925" s="123" t="n"/>
      <c r="B925" s="124" t="n"/>
      <c r="C925" s="124" t="n"/>
      <c r="D925" s="125" t="n"/>
      <c r="E925" s="126" t="n"/>
      <c r="F925" s="124" t="n"/>
      <c r="G925" s="121">
        <f>IF($D925=0,0,$D925*$E925)</f>
        <v/>
      </c>
      <c r="H925" s="122">
        <f>IF($B925="","",CONCATENATE("Hareket: ",$C925,"/",$D925," adet ",$B925))</f>
        <v/>
      </c>
    </row>
    <row r="926" ht="15" customHeight="1" s="77">
      <c r="A926" s="123" t="n"/>
      <c r="B926" s="124" t="n"/>
      <c r="C926" s="124" t="n"/>
      <c r="D926" s="125" t="n"/>
      <c r="E926" s="126" t="n"/>
      <c r="F926" s="124" t="n"/>
      <c r="G926" s="121">
        <f>IF($D926=0,0,$D926*$E926)</f>
        <v/>
      </c>
      <c r="H926" s="122">
        <f>IF($B926="","",CONCATENATE("Hareket: ",$C926,"/",$D926," adet ",$B926))</f>
        <v/>
      </c>
    </row>
    <row r="927" ht="15" customHeight="1" s="77">
      <c r="A927" s="123" t="n"/>
      <c r="B927" s="124" t="n"/>
      <c r="C927" s="124" t="n"/>
      <c r="D927" s="125" t="n"/>
      <c r="E927" s="126" t="n"/>
      <c r="F927" s="124" t="n"/>
      <c r="G927" s="121">
        <f>IF($D927=0,0,$D927*$E927)</f>
        <v/>
      </c>
      <c r="H927" s="122">
        <f>IF($B927="","",CONCATENATE("Hareket: ",$C927,"/",$D927," adet ",$B927))</f>
        <v/>
      </c>
    </row>
    <row r="928" ht="15" customHeight="1" s="77">
      <c r="A928" s="123" t="n"/>
      <c r="B928" s="124" t="n"/>
      <c r="C928" s="124" t="n"/>
      <c r="D928" s="125" t="n"/>
      <c r="E928" s="126" t="n"/>
      <c r="F928" s="124" t="n"/>
      <c r="G928" s="121">
        <f>IF($D928=0,0,$D928*$E928)</f>
        <v/>
      </c>
      <c r="H928" s="122">
        <f>IF($B928="","",CONCATENATE("Hareket: ",$C928,"/",$D928," adet ",$B928))</f>
        <v/>
      </c>
    </row>
    <row r="929" ht="15" customHeight="1" s="77">
      <c r="A929" s="123" t="n"/>
      <c r="B929" s="124" t="n"/>
      <c r="C929" s="124" t="n"/>
      <c r="D929" s="125" t="n"/>
      <c r="E929" s="126" t="n"/>
      <c r="F929" s="124" t="n"/>
      <c r="G929" s="121">
        <f>IF($D929=0,0,$D929*$E929)</f>
        <v/>
      </c>
      <c r="H929" s="122">
        <f>IF($B929="","",CONCATENATE("Hareket: ",$C929,"/",$D929," adet ",$B929))</f>
        <v/>
      </c>
    </row>
    <row r="930" ht="15" customHeight="1" s="77">
      <c r="A930" s="123" t="n"/>
      <c r="B930" s="124" t="n"/>
      <c r="C930" s="124" t="n"/>
      <c r="D930" s="125" t="n"/>
      <c r="E930" s="126" t="n"/>
      <c r="F930" s="124" t="n"/>
      <c r="G930" s="121">
        <f>IF($D930=0,0,$D930*$E930)</f>
        <v/>
      </c>
      <c r="H930" s="122">
        <f>IF($B930="","",CONCATENATE("Hareket: ",$C930,"/",$D930," adet ",$B930))</f>
        <v/>
      </c>
    </row>
    <row r="931" ht="15" customHeight="1" s="77">
      <c r="A931" s="123" t="n"/>
      <c r="B931" s="124" t="n"/>
      <c r="C931" s="124" t="n"/>
      <c r="D931" s="125" t="n"/>
      <c r="E931" s="126" t="n"/>
      <c r="F931" s="124" t="n"/>
      <c r="G931" s="121">
        <f>IF($D931=0,0,$D931*$E931)</f>
        <v/>
      </c>
      <c r="H931" s="122">
        <f>IF($B931="","",CONCATENATE("Hareket: ",$C931,"/",$D931," adet ",$B931))</f>
        <v/>
      </c>
    </row>
    <row r="932" ht="15" customHeight="1" s="77">
      <c r="A932" s="123" t="n"/>
      <c r="B932" s="124" t="n"/>
      <c r="C932" s="124" t="n"/>
      <c r="D932" s="125" t="n"/>
      <c r="E932" s="126" t="n"/>
      <c r="F932" s="124" t="n"/>
      <c r="G932" s="121">
        <f>IF($D932=0,0,$D932*$E932)</f>
        <v/>
      </c>
      <c r="H932" s="122">
        <f>IF($B932="","",CONCATENATE("Hareket: ",$C932,"/",$D932," adet ",$B932))</f>
        <v/>
      </c>
    </row>
    <row r="933" ht="15" customHeight="1" s="77">
      <c r="A933" s="123" t="n"/>
      <c r="B933" s="124" t="n"/>
      <c r="C933" s="124" t="n"/>
      <c r="D933" s="125" t="n"/>
      <c r="E933" s="126" t="n"/>
      <c r="F933" s="124" t="n"/>
      <c r="G933" s="121">
        <f>IF($D933=0,0,$D933*$E933)</f>
        <v/>
      </c>
      <c r="H933" s="122">
        <f>IF($B933="","",CONCATENATE("Hareket: ",$C933,"/",$D933," adet ",$B933))</f>
        <v/>
      </c>
    </row>
    <row r="934" ht="15" customHeight="1" s="77">
      <c r="A934" s="123" t="n"/>
      <c r="B934" s="124" t="n"/>
      <c r="C934" s="124" t="n"/>
      <c r="D934" s="125" t="n"/>
      <c r="E934" s="126" t="n"/>
      <c r="F934" s="124" t="n"/>
      <c r="G934" s="121">
        <f>IF($D934=0,0,$D934*$E934)</f>
        <v/>
      </c>
      <c r="H934" s="122">
        <f>IF($B934="","",CONCATENATE("Hareket: ",$C934,"/",$D934," adet ",$B934))</f>
        <v/>
      </c>
    </row>
    <row r="935" ht="15" customHeight="1" s="77">
      <c r="A935" s="123" t="n"/>
      <c r="B935" s="124" t="n"/>
      <c r="C935" s="124" t="n"/>
      <c r="D935" s="125" t="n"/>
      <c r="E935" s="126" t="n"/>
      <c r="F935" s="124" t="n"/>
      <c r="G935" s="121">
        <f>IF($D935=0,0,$D935*$E935)</f>
        <v/>
      </c>
      <c r="H935" s="122">
        <f>IF($B935="","",CONCATENATE("Hareket: ",$C935,"/",$D935," adet ",$B935))</f>
        <v/>
      </c>
    </row>
    <row r="936" ht="15" customHeight="1" s="77">
      <c r="A936" s="123" t="n"/>
      <c r="B936" s="124" t="n"/>
      <c r="C936" s="124" t="n"/>
      <c r="D936" s="125" t="n"/>
      <c r="E936" s="126" t="n"/>
      <c r="F936" s="124" t="n"/>
      <c r="G936" s="121">
        <f>IF($D936=0,0,$D936*$E936)</f>
        <v/>
      </c>
      <c r="H936" s="122">
        <f>IF($B936="","",CONCATENATE("Hareket: ",$C936,"/",$D936," adet ",$B936))</f>
        <v/>
      </c>
    </row>
    <row r="937" ht="15" customHeight="1" s="77">
      <c r="A937" s="123" t="n"/>
      <c r="B937" s="124" t="n"/>
      <c r="C937" s="124" t="n"/>
      <c r="D937" s="125" t="n"/>
      <c r="E937" s="126" t="n"/>
      <c r="F937" s="124" t="n"/>
      <c r="G937" s="121">
        <f>IF($D937=0,0,$D937*$E937)</f>
        <v/>
      </c>
      <c r="H937" s="122">
        <f>IF($B937="","",CONCATENATE("Hareket: ",$C937,"/",$D937," adet ",$B937))</f>
        <v/>
      </c>
    </row>
    <row r="938" ht="15" customHeight="1" s="77">
      <c r="A938" s="123" t="n"/>
      <c r="B938" s="124" t="n"/>
      <c r="C938" s="124" t="n"/>
      <c r="D938" s="125" t="n"/>
      <c r="E938" s="126" t="n"/>
      <c r="F938" s="124" t="n"/>
      <c r="G938" s="121">
        <f>IF($D938=0,0,$D938*$E938)</f>
        <v/>
      </c>
      <c r="H938" s="122">
        <f>IF($B938="","",CONCATENATE("Hareket: ",$C938,"/",$D938," adet ",$B938))</f>
        <v/>
      </c>
    </row>
    <row r="939" ht="15" customHeight="1" s="77">
      <c r="A939" s="123" t="n"/>
      <c r="B939" s="124" t="n"/>
      <c r="C939" s="124" t="n"/>
      <c r="D939" s="125" t="n"/>
      <c r="E939" s="126" t="n"/>
      <c r="F939" s="124" t="n"/>
      <c r="G939" s="121">
        <f>IF($D939=0,0,$D939*$E939)</f>
        <v/>
      </c>
      <c r="H939" s="122">
        <f>IF($B939="","",CONCATENATE("Hareket: ",$C939,"/",$D939," adet ",$B939))</f>
        <v/>
      </c>
    </row>
    <row r="940" ht="15" customHeight="1" s="77">
      <c r="A940" s="123" t="n"/>
      <c r="B940" s="124" t="n"/>
      <c r="C940" s="124" t="n"/>
      <c r="D940" s="125" t="n"/>
      <c r="E940" s="126" t="n"/>
      <c r="F940" s="124" t="n"/>
      <c r="G940" s="121">
        <f>IF($D940=0,0,$D940*$E940)</f>
        <v/>
      </c>
      <c r="H940" s="122">
        <f>IF($B940="","",CONCATENATE("Hareket: ",$C940,"/",$D940," adet ",$B940))</f>
        <v/>
      </c>
    </row>
    <row r="941" ht="15" customHeight="1" s="77">
      <c r="A941" s="123" t="n"/>
      <c r="B941" s="124" t="n"/>
      <c r="C941" s="124" t="n"/>
      <c r="D941" s="125" t="n"/>
      <c r="E941" s="126" t="n"/>
      <c r="F941" s="124" t="n"/>
      <c r="G941" s="121">
        <f>IF($D941=0,0,$D941*$E941)</f>
        <v/>
      </c>
      <c r="H941" s="122">
        <f>IF($B941="","",CONCATENATE("Hareket: ",$C941,"/",$D941," adet ",$B941))</f>
        <v/>
      </c>
    </row>
    <row r="942" ht="15" customHeight="1" s="77">
      <c r="A942" s="123" t="n"/>
      <c r="B942" s="124" t="n"/>
      <c r="C942" s="124" t="n"/>
      <c r="D942" s="125" t="n"/>
      <c r="E942" s="126" t="n"/>
      <c r="F942" s="124" t="n"/>
      <c r="G942" s="121">
        <f>IF($D942=0,0,$D942*$E942)</f>
        <v/>
      </c>
      <c r="H942" s="122">
        <f>IF($B942="","",CONCATENATE("Hareket: ",$C942,"/",$D942," adet ",$B942))</f>
        <v/>
      </c>
    </row>
    <row r="943" ht="15" customHeight="1" s="77">
      <c r="A943" s="123" t="n"/>
      <c r="B943" s="124" t="n"/>
      <c r="C943" s="124" t="n"/>
      <c r="D943" s="125" t="n"/>
      <c r="E943" s="126" t="n"/>
      <c r="F943" s="124" t="n"/>
      <c r="G943" s="121">
        <f>IF($D943=0,0,$D943*$E943)</f>
        <v/>
      </c>
      <c r="H943" s="122">
        <f>IF($B943="","",CONCATENATE("Hareket: ",$C943,"/",$D943," adet ",$B943))</f>
        <v/>
      </c>
    </row>
    <row r="944" ht="15" customHeight="1" s="77">
      <c r="A944" s="123" t="n"/>
      <c r="B944" s="124" t="n"/>
      <c r="C944" s="124" t="n"/>
      <c r="D944" s="125" t="n"/>
      <c r="E944" s="126" t="n"/>
      <c r="F944" s="124" t="n"/>
      <c r="G944" s="121">
        <f>IF($D944=0,0,$D944*$E944)</f>
        <v/>
      </c>
      <c r="H944" s="122">
        <f>IF($B944="","",CONCATENATE("Hareket: ",$C944,"/",$D944," adet ",$B944))</f>
        <v/>
      </c>
    </row>
    <row r="945" ht="15" customHeight="1" s="77">
      <c r="A945" s="123" t="n"/>
      <c r="B945" s="124" t="n"/>
      <c r="C945" s="124" t="n"/>
      <c r="D945" s="125" t="n"/>
      <c r="E945" s="126" t="n"/>
      <c r="F945" s="124" t="n"/>
      <c r="G945" s="121">
        <f>IF($D945=0,0,$D945*$E945)</f>
        <v/>
      </c>
      <c r="H945" s="122">
        <f>IF($B945="","",CONCATENATE("Hareket: ",$C945,"/",$D945," adet ",$B945))</f>
        <v/>
      </c>
    </row>
    <row r="946" ht="15" customHeight="1" s="77">
      <c r="A946" s="123" t="n"/>
      <c r="B946" s="124" t="n"/>
      <c r="C946" s="124" t="n"/>
      <c r="D946" s="125" t="n"/>
      <c r="E946" s="126" t="n"/>
      <c r="F946" s="124" t="n"/>
      <c r="G946" s="121">
        <f>IF($D946=0,0,$D946*$E946)</f>
        <v/>
      </c>
      <c r="H946" s="122">
        <f>IF($B946="","",CONCATENATE("Hareket: ",$C946,"/",$D946," adet ",$B946))</f>
        <v/>
      </c>
    </row>
    <row r="947" ht="15" customHeight="1" s="77">
      <c r="A947" s="123" t="n"/>
      <c r="B947" s="124" t="n"/>
      <c r="C947" s="124" t="n"/>
      <c r="D947" s="125" t="n"/>
      <c r="E947" s="126" t="n"/>
      <c r="F947" s="124" t="n"/>
      <c r="G947" s="121">
        <f>IF($D947=0,0,$D947*$E947)</f>
        <v/>
      </c>
      <c r="H947" s="122">
        <f>IF($B947="","",CONCATENATE("Hareket: ",$C947,"/",$D947," adet ",$B947))</f>
        <v/>
      </c>
    </row>
    <row r="948" ht="15" customHeight="1" s="77">
      <c r="A948" s="123" t="n"/>
      <c r="B948" s="124" t="n"/>
      <c r="C948" s="124" t="n"/>
      <c r="D948" s="125" t="n"/>
      <c r="E948" s="126" t="n"/>
      <c r="F948" s="124" t="n"/>
      <c r="G948" s="121">
        <f>IF($D948=0,0,$D948*$E948)</f>
        <v/>
      </c>
      <c r="H948" s="122">
        <f>IF($B948="","",CONCATENATE("Hareket: ",$C948,"/",$D948," adet ",$B948))</f>
        <v/>
      </c>
    </row>
    <row r="949" ht="15" customHeight="1" s="77">
      <c r="A949" s="123" t="n"/>
      <c r="B949" s="124" t="n"/>
      <c r="C949" s="124" t="n"/>
      <c r="D949" s="125" t="n"/>
      <c r="E949" s="126" t="n"/>
      <c r="F949" s="124" t="n"/>
      <c r="G949" s="121">
        <f>IF($D949=0,0,$D949*$E949)</f>
        <v/>
      </c>
      <c r="H949" s="122">
        <f>IF($B949="","",CONCATENATE("Hareket: ",$C949,"/",$D949," adet ",$B949))</f>
        <v/>
      </c>
    </row>
    <row r="950" ht="15" customHeight="1" s="77">
      <c r="A950" s="123" t="n"/>
      <c r="B950" s="124" t="n"/>
      <c r="C950" s="124" t="n"/>
      <c r="D950" s="125" t="n"/>
      <c r="E950" s="126" t="n"/>
      <c r="F950" s="124" t="n"/>
      <c r="G950" s="121">
        <f>IF($D950=0,0,$D950*$E950)</f>
        <v/>
      </c>
      <c r="H950" s="122">
        <f>IF($B950="","",CONCATENATE("Hareket: ",$C950,"/",$D950," adet ",$B950))</f>
        <v/>
      </c>
    </row>
    <row r="951" ht="15" customHeight="1" s="77">
      <c r="A951" s="123" t="n"/>
      <c r="B951" s="124" t="n"/>
      <c r="C951" s="124" t="n"/>
      <c r="D951" s="125" t="n"/>
      <c r="E951" s="126" t="n"/>
      <c r="F951" s="124" t="n"/>
      <c r="G951" s="121">
        <f>IF($D951=0,0,$D951*$E951)</f>
        <v/>
      </c>
      <c r="H951" s="122">
        <f>IF($B951="","",CONCATENATE("Hareket: ",$C951,"/",$D951," adet ",$B951))</f>
        <v/>
      </c>
    </row>
    <row r="952" ht="15" customHeight="1" s="77">
      <c r="A952" s="123" t="n"/>
      <c r="B952" s="124" t="n"/>
      <c r="C952" s="124" t="n"/>
      <c r="D952" s="125" t="n"/>
      <c r="E952" s="126" t="n"/>
      <c r="F952" s="124" t="n"/>
      <c r="G952" s="121">
        <f>IF($D952=0,0,$D952*$E952)</f>
        <v/>
      </c>
      <c r="H952" s="122">
        <f>IF($B952="","",CONCATENATE("Hareket: ",$C952,"/",$D952," adet ",$B952))</f>
        <v/>
      </c>
    </row>
    <row r="953" ht="15" customHeight="1" s="77">
      <c r="A953" s="123" t="n"/>
      <c r="B953" s="124" t="n"/>
      <c r="C953" s="124" t="n"/>
      <c r="D953" s="125" t="n"/>
      <c r="E953" s="126" t="n"/>
      <c r="F953" s="124" t="n"/>
      <c r="G953" s="121">
        <f>IF($D953=0,0,$D953*$E953)</f>
        <v/>
      </c>
      <c r="H953" s="122">
        <f>IF($B953="","",CONCATENATE("Hareket: ",$C953,"/",$D953," adet ",$B953))</f>
        <v/>
      </c>
    </row>
    <row r="954" ht="15" customHeight="1" s="77">
      <c r="A954" s="123" t="n"/>
      <c r="B954" s="124" t="n"/>
      <c r="C954" s="124" t="n"/>
      <c r="D954" s="125" t="n"/>
      <c r="E954" s="126" t="n"/>
      <c r="F954" s="124" t="n"/>
      <c r="G954" s="121">
        <f>IF($D954=0,0,$D954*$E954)</f>
        <v/>
      </c>
      <c r="H954" s="122">
        <f>IF($B954="","",CONCATENATE("Hareket: ",$C954,"/",$D954," adet ",$B954))</f>
        <v/>
      </c>
    </row>
    <row r="955" ht="15" customHeight="1" s="77">
      <c r="A955" s="123" t="n"/>
      <c r="B955" s="124" t="n"/>
      <c r="C955" s="124" t="n"/>
      <c r="D955" s="125" t="n"/>
      <c r="E955" s="126" t="n"/>
      <c r="F955" s="124" t="n"/>
      <c r="G955" s="121">
        <f>IF($D955=0,0,$D955*$E955)</f>
        <v/>
      </c>
      <c r="H955" s="122">
        <f>IF($B955="","",CONCATENATE("Hareket: ",$C955,"/",$D955," adet ",$B955))</f>
        <v/>
      </c>
    </row>
    <row r="956" ht="15" customHeight="1" s="77">
      <c r="A956" s="123" t="n"/>
      <c r="B956" s="124" t="n"/>
      <c r="C956" s="124" t="n"/>
      <c r="D956" s="125" t="n"/>
      <c r="E956" s="126" t="n"/>
      <c r="F956" s="124" t="n"/>
      <c r="G956" s="121">
        <f>IF($D956=0,0,$D956*$E956)</f>
        <v/>
      </c>
      <c r="H956" s="122">
        <f>IF($B956="","",CONCATENATE("Hareket: ",$C956,"/",$D956," adet ",$B956))</f>
        <v/>
      </c>
    </row>
    <row r="957" ht="15" customHeight="1" s="77">
      <c r="A957" s="123" t="n"/>
      <c r="B957" s="124" t="n"/>
      <c r="C957" s="124" t="n"/>
      <c r="D957" s="125" t="n"/>
      <c r="E957" s="126" t="n"/>
      <c r="F957" s="124" t="n"/>
      <c r="G957" s="121">
        <f>IF($D957=0,0,$D957*$E957)</f>
        <v/>
      </c>
      <c r="H957" s="122">
        <f>IF($B957="","",CONCATENATE("Hareket: ",$C957,"/",$D957," adet ",$B957))</f>
        <v/>
      </c>
    </row>
    <row r="958" ht="15" customHeight="1" s="77">
      <c r="A958" s="123" t="n"/>
      <c r="B958" s="124" t="n"/>
      <c r="C958" s="124" t="n"/>
      <c r="D958" s="125" t="n"/>
      <c r="E958" s="126" t="n"/>
      <c r="F958" s="124" t="n"/>
      <c r="G958" s="121">
        <f>IF($D958=0,0,$D958*$E958)</f>
        <v/>
      </c>
      <c r="H958" s="122">
        <f>IF($B958="","",CONCATENATE("Hareket: ",$C958,"/",$D958," adet ",$B958))</f>
        <v/>
      </c>
    </row>
    <row r="959" ht="15" customHeight="1" s="77">
      <c r="A959" s="123" t="n"/>
      <c r="B959" s="124" t="n"/>
      <c r="C959" s="124" t="n"/>
      <c r="D959" s="125" t="n"/>
      <c r="E959" s="126" t="n"/>
      <c r="F959" s="124" t="n"/>
      <c r="G959" s="121">
        <f>IF($D959=0,0,$D959*$E959)</f>
        <v/>
      </c>
      <c r="H959" s="122">
        <f>IF($B959="","",CONCATENATE("Hareket: ",$C959,"/",$D959," adet ",$B959))</f>
        <v/>
      </c>
    </row>
    <row r="960" ht="15" customHeight="1" s="77">
      <c r="A960" s="123" t="n"/>
      <c r="B960" s="124" t="n"/>
      <c r="C960" s="124" t="n"/>
      <c r="D960" s="125" t="n"/>
      <c r="E960" s="126" t="n"/>
      <c r="F960" s="124" t="n"/>
      <c r="G960" s="121">
        <f>IF($D960=0,0,$D960*$E960)</f>
        <v/>
      </c>
      <c r="H960" s="122">
        <f>IF($B960="","",CONCATENATE("Hareket: ",$C960,"/",$D960," adet ",$B960))</f>
        <v/>
      </c>
    </row>
    <row r="961" ht="15" customHeight="1" s="77">
      <c r="A961" s="123" t="n"/>
      <c r="B961" s="124" t="n"/>
      <c r="C961" s="124" t="n"/>
      <c r="D961" s="125" t="n"/>
      <c r="E961" s="126" t="n"/>
      <c r="F961" s="124" t="n"/>
      <c r="G961" s="121">
        <f>IF($D961=0,0,$D961*$E961)</f>
        <v/>
      </c>
      <c r="H961" s="122">
        <f>IF($B961="","",CONCATENATE("Hareket: ",$C961,"/",$D961," adet ",$B961))</f>
        <v/>
      </c>
    </row>
    <row r="962" ht="15" customHeight="1" s="77">
      <c r="A962" s="123" t="n"/>
      <c r="B962" s="124" t="n"/>
      <c r="C962" s="124" t="n"/>
      <c r="D962" s="125" t="n"/>
      <c r="E962" s="126" t="n"/>
      <c r="F962" s="124" t="n"/>
      <c r="G962" s="121">
        <f>IF($D962=0,0,$D962*$E962)</f>
        <v/>
      </c>
      <c r="H962" s="122">
        <f>IF($B962="","",CONCATENATE("Hareket: ",$C962,"/",$D962," adet ",$B962))</f>
        <v/>
      </c>
    </row>
    <row r="963" ht="15" customHeight="1" s="77">
      <c r="A963" s="123" t="n"/>
      <c r="B963" s="124" t="n"/>
      <c r="C963" s="124" t="n"/>
      <c r="D963" s="125" t="n"/>
      <c r="E963" s="126" t="n"/>
      <c r="F963" s="124" t="n"/>
      <c r="G963" s="121">
        <f>IF($D963=0,0,$D963*$E963)</f>
        <v/>
      </c>
      <c r="H963" s="122">
        <f>IF($B963="","",CONCATENATE("Hareket: ",$C963,"/",$D963," adet ",$B963))</f>
        <v/>
      </c>
    </row>
    <row r="964" ht="15" customHeight="1" s="77">
      <c r="A964" s="123" t="n"/>
      <c r="B964" s="124" t="n"/>
      <c r="C964" s="124" t="n"/>
      <c r="D964" s="125" t="n"/>
      <c r="E964" s="126" t="n"/>
      <c r="F964" s="124" t="n"/>
      <c r="G964" s="121">
        <f>IF($D964=0,0,$D964*$E964)</f>
        <v/>
      </c>
      <c r="H964" s="122">
        <f>IF($B964="","",CONCATENATE("Hareket: ",$C964,"/",$D964," adet ",$B964))</f>
        <v/>
      </c>
    </row>
    <row r="965" ht="15" customHeight="1" s="77">
      <c r="A965" s="123" t="n"/>
      <c r="B965" s="124" t="n"/>
      <c r="C965" s="124" t="n"/>
      <c r="D965" s="125" t="n"/>
      <c r="E965" s="126" t="n"/>
      <c r="F965" s="124" t="n"/>
      <c r="G965" s="121">
        <f>IF($D965=0,0,$D965*$E965)</f>
        <v/>
      </c>
      <c r="H965" s="122">
        <f>IF($B965="","",CONCATENATE("Hareket: ",$C965,"/",$D965," adet ",$B965))</f>
        <v/>
      </c>
    </row>
    <row r="966" ht="15" customHeight="1" s="77">
      <c r="A966" s="123" t="n"/>
      <c r="B966" s="124" t="n"/>
      <c r="C966" s="124" t="n"/>
      <c r="D966" s="125" t="n"/>
      <c r="E966" s="126" t="n"/>
      <c r="F966" s="124" t="n"/>
      <c r="G966" s="121">
        <f>IF($D966=0,0,$D966*$E966)</f>
        <v/>
      </c>
      <c r="H966" s="122">
        <f>IF($B966="","",CONCATENATE("Hareket: ",$C966,"/",$D966," adet ",$B966))</f>
        <v/>
      </c>
    </row>
    <row r="967" ht="15" customHeight="1" s="77">
      <c r="A967" s="123" t="n"/>
      <c r="B967" s="124" t="n"/>
      <c r="C967" s="124" t="n"/>
      <c r="D967" s="125" t="n"/>
      <c r="E967" s="126" t="n"/>
      <c r="F967" s="124" t="n"/>
      <c r="G967" s="121">
        <f>IF($D967=0,0,$D967*$E967)</f>
        <v/>
      </c>
      <c r="H967" s="122">
        <f>IF($B967="","",CONCATENATE("Hareket: ",$C967,"/",$D967," adet ",$B967))</f>
        <v/>
      </c>
    </row>
    <row r="968" ht="15" customHeight="1" s="77">
      <c r="A968" s="123" t="n"/>
      <c r="B968" s="124" t="n"/>
      <c r="C968" s="124" t="n"/>
      <c r="D968" s="125" t="n"/>
      <c r="E968" s="126" t="n"/>
      <c r="F968" s="124" t="n"/>
      <c r="G968" s="121">
        <f>IF($D968=0,0,$D968*$E968)</f>
        <v/>
      </c>
      <c r="H968" s="122">
        <f>IF($B968="","",CONCATENATE("Hareket: ",$C968,"/",$D968," adet ",$B968))</f>
        <v/>
      </c>
    </row>
    <row r="969" ht="15" customHeight="1" s="77">
      <c r="A969" s="123" t="n"/>
      <c r="B969" s="124" t="n"/>
      <c r="C969" s="124" t="n"/>
      <c r="D969" s="125" t="n"/>
      <c r="E969" s="126" t="n"/>
      <c r="F969" s="124" t="n"/>
      <c r="G969" s="121">
        <f>IF($D969=0,0,$D969*$E969)</f>
        <v/>
      </c>
      <c r="H969" s="122">
        <f>IF($B969="","",CONCATENATE("Hareket: ",$C969,"/",$D969," adet ",$B969))</f>
        <v/>
      </c>
    </row>
    <row r="970" ht="15" customHeight="1" s="77">
      <c r="A970" s="123" t="n"/>
      <c r="B970" s="124" t="n"/>
      <c r="C970" s="124" t="n"/>
      <c r="D970" s="125" t="n"/>
      <c r="E970" s="126" t="n"/>
      <c r="F970" s="124" t="n"/>
      <c r="G970" s="121">
        <f>IF($D970=0,0,$D970*$E970)</f>
        <v/>
      </c>
      <c r="H970" s="122">
        <f>IF($B970="","",CONCATENATE("Hareket: ",$C970,"/",$D970," adet ",$B970))</f>
        <v/>
      </c>
    </row>
    <row r="971" ht="15" customHeight="1" s="77">
      <c r="A971" s="123" t="n"/>
      <c r="B971" s="124" t="n"/>
      <c r="C971" s="124" t="n"/>
      <c r="D971" s="125" t="n"/>
      <c r="E971" s="126" t="n"/>
      <c r="F971" s="124" t="n"/>
      <c r="G971" s="121">
        <f>IF($D971=0,0,$D971*$E971)</f>
        <v/>
      </c>
      <c r="H971" s="122">
        <f>IF($B971="","",CONCATENATE("Hareket: ",$C971,"/",$D971," adet ",$B971))</f>
        <v/>
      </c>
    </row>
    <row r="972" ht="15" customHeight="1" s="77">
      <c r="A972" s="123" t="n"/>
      <c r="B972" s="124" t="n"/>
      <c r="C972" s="124" t="n"/>
      <c r="D972" s="125" t="n"/>
      <c r="E972" s="126" t="n"/>
      <c r="F972" s="124" t="n"/>
      <c r="G972" s="121">
        <f>IF($D972=0,0,$D972*$E972)</f>
        <v/>
      </c>
      <c r="H972" s="122">
        <f>IF($B972="","",CONCATENATE("Hareket: ",$C972,"/",$D972," adet ",$B972))</f>
        <v/>
      </c>
    </row>
    <row r="973" ht="15" customHeight="1" s="77">
      <c r="A973" s="123" t="n"/>
      <c r="B973" s="124" t="n"/>
      <c r="C973" s="124" t="n"/>
      <c r="D973" s="125" t="n"/>
      <c r="E973" s="126" t="n"/>
      <c r="F973" s="124" t="n"/>
      <c r="G973" s="121">
        <f>IF($D973=0,0,$D973*$E973)</f>
        <v/>
      </c>
      <c r="H973" s="122">
        <f>IF($B973="","",CONCATENATE("Hareket: ",$C973,"/",$D973," adet ",$B973))</f>
        <v/>
      </c>
    </row>
    <row r="974" ht="15" customHeight="1" s="77">
      <c r="A974" s="123" t="n"/>
      <c r="B974" s="124" t="n"/>
      <c r="C974" s="124" t="n"/>
      <c r="D974" s="125" t="n"/>
      <c r="E974" s="126" t="n"/>
      <c r="F974" s="124" t="n"/>
      <c r="G974" s="121">
        <f>IF($D974=0,0,$D974*$E974)</f>
        <v/>
      </c>
      <c r="H974" s="122">
        <f>IF($B974="","",CONCATENATE("Hareket: ",$C974,"/",$D974," adet ",$B974))</f>
        <v/>
      </c>
    </row>
    <row r="975" ht="15" customHeight="1" s="77">
      <c r="A975" s="123" t="n"/>
      <c r="B975" s="124" t="n"/>
      <c r="C975" s="124" t="n"/>
      <c r="D975" s="125" t="n"/>
      <c r="E975" s="126" t="n"/>
      <c r="F975" s="124" t="n"/>
      <c r="G975" s="121">
        <f>IF($D975=0,0,$D975*$E975)</f>
        <v/>
      </c>
      <c r="H975" s="122">
        <f>IF($B975="","",CONCATENATE("Hareket: ",$C975,"/",$D975," adet ",$B975))</f>
        <v/>
      </c>
    </row>
    <row r="976" ht="15" customHeight="1" s="77">
      <c r="A976" s="123" t="n"/>
      <c r="B976" s="124" t="n"/>
      <c r="C976" s="124" t="n"/>
      <c r="D976" s="125" t="n"/>
      <c r="E976" s="126" t="n"/>
      <c r="F976" s="124" t="n"/>
      <c r="G976" s="121">
        <f>IF($D976=0,0,$D976*$E976)</f>
        <v/>
      </c>
      <c r="H976" s="122">
        <f>IF($B976="","",CONCATENATE("Hareket: ",$C976,"/",$D976," adet ",$B976))</f>
        <v/>
      </c>
    </row>
    <row r="977" ht="15" customHeight="1" s="77">
      <c r="A977" s="123" t="n"/>
      <c r="B977" s="124" t="n"/>
      <c r="C977" s="124" t="n"/>
      <c r="D977" s="125" t="n"/>
      <c r="E977" s="126" t="n"/>
      <c r="F977" s="124" t="n"/>
      <c r="G977" s="121">
        <f>IF($D977=0,0,$D977*$E977)</f>
        <v/>
      </c>
      <c r="H977" s="122">
        <f>IF($B977="","",CONCATENATE("Hareket: ",$C977,"/",$D977," adet ",$B977))</f>
        <v/>
      </c>
    </row>
    <row r="978" ht="15" customHeight="1" s="77">
      <c r="A978" s="123" t="n"/>
      <c r="B978" s="124" t="n"/>
      <c r="C978" s="124" t="n"/>
      <c r="D978" s="125" t="n"/>
      <c r="E978" s="126" t="n"/>
      <c r="F978" s="124" t="n"/>
      <c r="G978" s="121">
        <f>IF($D978=0,0,$D978*$E978)</f>
        <v/>
      </c>
      <c r="H978" s="122">
        <f>IF($B978="","",CONCATENATE("Hareket: ",$C978,"/",$D978," adet ",$B978))</f>
        <v/>
      </c>
    </row>
    <row r="979" ht="15" customHeight="1" s="77">
      <c r="A979" s="123" t="n"/>
      <c r="B979" s="124" t="n"/>
      <c r="C979" s="124" t="n"/>
      <c r="D979" s="125" t="n"/>
      <c r="E979" s="126" t="n"/>
      <c r="F979" s="124" t="n"/>
      <c r="G979" s="121">
        <f>IF($D979=0,0,$D979*$E979)</f>
        <v/>
      </c>
      <c r="H979" s="122">
        <f>IF($B979="","",CONCATENATE("Hareket: ",$C979,"/",$D979," adet ",$B979))</f>
        <v/>
      </c>
    </row>
    <row r="980" ht="15" customHeight="1" s="77">
      <c r="A980" s="123" t="n"/>
      <c r="B980" s="124" t="n"/>
      <c r="C980" s="124" t="n"/>
      <c r="D980" s="125" t="n"/>
      <c r="E980" s="126" t="n"/>
      <c r="F980" s="124" t="n"/>
      <c r="G980" s="121">
        <f>IF($D980=0,0,$D980*$E980)</f>
        <v/>
      </c>
      <c r="H980" s="122">
        <f>IF($B980="","",CONCATENATE("Hareket: ",$C980,"/",$D980," adet ",$B980))</f>
        <v/>
      </c>
    </row>
    <row r="981" ht="15" customHeight="1" s="77">
      <c r="A981" s="123" t="n"/>
      <c r="B981" s="124" t="n"/>
      <c r="C981" s="124" t="n"/>
      <c r="D981" s="125" t="n"/>
      <c r="E981" s="126" t="n"/>
      <c r="F981" s="124" t="n"/>
      <c r="G981" s="121">
        <f>IF($D981=0,0,$D981*$E981)</f>
        <v/>
      </c>
      <c r="H981" s="122">
        <f>IF($B981="","",CONCATENATE("Hareket: ",$C981,"/",$D981," adet ",$B981))</f>
        <v/>
      </c>
    </row>
    <row r="982" ht="15" customHeight="1" s="77">
      <c r="A982" s="123" t="n"/>
      <c r="B982" s="124" t="n"/>
      <c r="C982" s="124" t="n"/>
      <c r="D982" s="125" t="n"/>
      <c r="E982" s="126" t="n"/>
      <c r="F982" s="124" t="n"/>
      <c r="G982" s="121">
        <f>IF($D982=0,0,$D982*$E982)</f>
        <v/>
      </c>
      <c r="H982" s="122">
        <f>IF($B982="","",CONCATENATE("Hareket: ",$C982,"/",$D982," adet ",$B982))</f>
        <v/>
      </c>
    </row>
    <row r="983" ht="15" customHeight="1" s="77">
      <c r="A983" s="123" t="n"/>
      <c r="B983" s="124" t="n"/>
      <c r="C983" s="124" t="n"/>
      <c r="D983" s="125" t="n"/>
      <c r="E983" s="126" t="n"/>
      <c r="F983" s="124" t="n"/>
      <c r="G983" s="121">
        <f>IF($D983=0,0,$D983*$E983)</f>
        <v/>
      </c>
      <c r="H983" s="122">
        <f>IF($B983="","",CONCATENATE("Hareket: ",$C983,"/",$D983," adet ",$B983))</f>
        <v/>
      </c>
    </row>
    <row r="984" ht="15" customHeight="1" s="77">
      <c r="A984" s="123" t="n"/>
      <c r="B984" s="124" t="n"/>
      <c r="C984" s="124" t="n"/>
      <c r="D984" s="125" t="n"/>
      <c r="E984" s="126" t="n"/>
      <c r="F984" s="124" t="n"/>
      <c r="G984" s="121">
        <f>IF($D984=0,0,$D984*$E984)</f>
        <v/>
      </c>
      <c r="H984" s="122">
        <f>IF($B984="","",CONCATENATE("Hareket: ",$C984,"/",$D984," adet ",$B984))</f>
        <v/>
      </c>
    </row>
    <row r="985" ht="15" customHeight="1" s="77">
      <c r="A985" s="123" t="n"/>
      <c r="B985" s="124" t="n"/>
      <c r="C985" s="124" t="n"/>
      <c r="D985" s="125" t="n"/>
      <c r="E985" s="126" t="n"/>
      <c r="F985" s="124" t="n"/>
      <c r="G985" s="121">
        <f>IF($D985=0,0,$D985*$E985)</f>
        <v/>
      </c>
      <c r="H985" s="122">
        <f>IF($B985="","",CONCATENATE("Hareket: ",$C985,"/",$D985," adet ",$B985))</f>
        <v/>
      </c>
    </row>
    <row r="986" ht="15" customHeight="1" s="77">
      <c r="A986" s="123" t="n"/>
      <c r="B986" s="124" t="n"/>
      <c r="C986" s="124" t="n"/>
      <c r="D986" s="125" t="n"/>
      <c r="E986" s="126" t="n"/>
      <c r="F986" s="124" t="n"/>
      <c r="G986" s="121">
        <f>IF($D986=0,0,$D986*$E986)</f>
        <v/>
      </c>
      <c r="H986" s="122">
        <f>IF($B986="","",CONCATENATE("Hareket: ",$C986,"/",$D986," adet ",$B986))</f>
        <v/>
      </c>
    </row>
    <row r="987" ht="15" customHeight="1" s="77">
      <c r="A987" s="123" t="n"/>
      <c r="B987" s="124" t="n"/>
      <c r="C987" s="124" t="n"/>
      <c r="D987" s="125" t="n"/>
      <c r="E987" s="126" t="n"/>
      <c r="F987" s="124" t="n"/>
      <c r="G987" s="121">
        <f>IF($D987=0,0,$D987*$E987)</f>
        <v/>
      </c>
      <c r="H987" s="122">
        <f>IF($B987="","",CONCATENATE("Hareket: ",$C987,"/",$D987," adet ",$B987))</f>
        <v/>
      </c>
    </row>
    <row r="988" ht="15" customHeight="1" s="77">
      <c r="A988" s="123" t="n"/>
      <c r="B988" s="124" t="n"/>
      <c r="C988" s="124" t="n"/>
      <c r="D988" s="125" t="n"/>
      <c r="E988" s="126" t="n"/>
      <c r="F988" s="124" t="n"/>
      <c r="G988" s="121">
        <f>IF($D988=0,0,$D988*$E988)</f>
        <v/>
      </c>
      <c r="H988" s="122">
        <f>IF($B988="","",CONCATENATE("Hareket: ",$C988,"/",$D988," adet ",$B988))</f>
        <v/>
      </c>
    </row>
    <row r="989" ht="15" customHeight="1" s="77">
      <c r="A989" s="123" t="n"/>
      <c r="B989" s="124" t="n"/>
      <c r="C989" s="124" t="n"/>
      <c r="D989" s="125" t="n"/>
      <c r="E989" s="126" t="n"/>
      <c r="F989" s="124" t="n"/>
      <c r="G989" s="121">
        <f>IF($D989=0,0,$D989*$E989)</f>
        <v/>
      </c>
      <c r="H989" s="122">
        <f>IF($B989="","",CONCATENATE("Hareket: ",$C989,"/",$D989," adet ",$B989))</f>
        <v/>
      </c>
    </row>
    <row r="990" ht="15" customHeight="1" s="77">
      <c r="A990" s="123" t="n"/>
      <c r="B990" s="124" t="n"/>
      <c r="C990" s="124" t="n"/>
      <c r="D990" s="125" t="n"/>
      <c r="E990" s="126" t="n"/>
      <c r="F990" s="124" t="n"/>
      <c r="G990" s="121">
        <f>IF($D990=0,0,$D990*$E990)</f>
        <v/>
      </c>
      <c r="H990" s="122">
        <f>IF($B990="","",CONCATENATE("Hareket: ",$C990,"/",$D990," adet ",$B990))</f>
        <v/>
      </c>
    </row>
    <row r="991" ht="15" customHeight="1" s="77">
      <c r="A991" s="123" t="n"/>
      <c r="B991" s="124" t="n"/>
      <c r="C991" s="124" t="n"/>
      <c r="D991" s="125" t="n"/>
      <c r="E991" s="126" t="n"/>
      <c r="F991" s="124" t="n"/>
      <c r="G991" s="121">
        <f>IF($D991=0,0,$D991*$E991)</f>
        <v/>
      </c>
      <c r="H991" s="122">
        <f>IF($B991="","",CONCATENATE("Hareket: ",$C991,"/",$D991," adet ",$B991))</f>
        <v/>
      </c>
    </row>
    <row r="992" ht="15" customHeight="1" s="77">
      <c r="A992" s="123" t="n"/>
      <c r="B992" s="124" t="n"/>
      <c r="C992" s="124" t="n"/>
      <c r="D992" s="125" t="n"/>
      <c r="E992" s="126" t="n"/>
      <c r="F992" s="124" t="n"/>
      <c r="G992" s="121">
        <f>IF($D992=0,0,$D992*$E992)</f>
        <v/>
      </c>
      <c r="H992" s="122">
        <f>IF($B992="","",CONCATENATE("Hareket: ",$C992,"/",$D992," adet ",$B992))</f>
        <v/>
      </c>
    </row>
    <row r="993" ht="15" customHeight="1" s="77">
      <c r="A993" s="123" t="n"/>
      <c r="B993" s="124" t="n"/>
      <c r="C993" s="124" t="n"/>
      <c r="D993" s="125" t="n"/>
      <c r="E993" s="126" t="n"/>
      <c r="F993" s="124" t="n"/>
      <c r="G993" s="121">
        <f>IF($D993=0,0,$D993*$E993)</f>
        <v/>
      </c>
      <c r="H993" s="122">
        <f>IF($B993="","",CONCATENATE("Hareket: ",$C993,"/",$D993," adet ",$B993))</f>
        <v/>
      </c>
    </row>
    <row r="994" ht="15" customHeight="1" s="77">
      <c r="A994" s="123" t="n"/>
      <c r="B994" s="124" t="n"/>
      <c r="C994" s="124" t="n"/>
      <c r="D994" s="125" t="n"/>
      <c r="E994" s="126" t="n"/>
      <c r="F994" s="124" t="n"/>
      <c r="G994" s="121">
        <f>IF($D994=0,0,$D994*$E994)</f>
        <v/>
      </c>
      <c r="H994" s="122">
        <f>IF($B994="","",CONCATENATE("Hareket: ",$C994,"/",$D994," adet ",$B994))</f>
        <v/>
      </c>
    </row>
    <row r="995" ht="15" customHeight="1" s="77">
      <c r="A995" s="123" t="n"/>
      <c r="B995" s="124" t="n"/>
      <c r="C995" s="124" t="n"/>
      <c r="D995" s="125" t="n"/>
      <c r="E995" s="126" t="n"/>
      <c r="F995" s="124" t="n"/>
      <c r="G995" s="121">
        <f>IF($D995=0,0,$D995*$E995)</f>
        <v/>
      </c>
      <c r="H995" s="122">
        <f>IF($B995="","",CONCATENATE("Hareket: ",$C995,"/",$D995," adet ",$B995))</f>
        <v/>
      </c>
    </row>
    <row r="996" ht="15" customHeight="1" s="77">
      <c r="A996" s="123" t="n"/>
      <c r="B996" s="124" t="n"/>
      <c r="C996" s="124" t="n"/>
      <c r="D996" s="125" t="n"/>
      <c r="E996" s="126" t="n"/>
      <c r="F996" s="124" t="n"/>
      <c r="G996" s="121">
        <f>IF($D996=0,0,$D996*$E996)</f>
        <v/>
      </c>
      <c r="H996" s="122">
        <f>IF($B996="","",CONCATENATE("Hareket: ",$C996,"/",$D996," adet ",$B996))</f>
        <v/>
      </c>
    </row>
    <row r="997" ht="15" customHeight="1" s="77">
      <c r="A997" s="123" t="n"/>
      <c r="B997" s="124" t="n"/>
      <c r="C997" s="124" t="n"/>
      <c r="D997" s="125" t="n"/>
      <c r="E997" s="126" t="n"/>
      <c r="F997" s="124" t="n"/>
      <c r="G997" s="121">
        <f>IF($D997=0,0,$D997*$E997)</f>
        <v/>
      </c>
      <c r="H997" s="122">
        <f>IF($B997="","",CONCATENATE("Hareket: ",$C997,"/",$D997," adet ",$B997))</f>
        <v/>
      </c>
    </row>
    <row r="998" ht="15" customHeight="1" s="77">
      <c r="A998" s="123" t="n"/>
      <c r="B998" s="124" t="n"/>
      <c r="C998" s="124" t="n"/>
      <c r="D998" s="125" t="n"/>
      <c r="E998" s="126" t="n"/>
      <c r="F998" s="124" t="n"/>
      <c r="G998" s="121">
        <f>IF($D998=0,0,$D998*$E998)</f>
        <v/>
      </c>
      <c r="H998" s="122">
        <f>IF($B998="","",CONCATENATE("Hareket: ",$C998,"/",$D998," adet ",$B998))</f>
        <v/>
      </c>
    </row>
    <row r="999" ht="15" customHeight="1" s="77">
      <c r="A999" s="123" t="n"/>
      <c r="B999" s="124" t="n"/>
      <c r="C999" s="124" t="n"/>
      <c r="D999" s="125" t="n"/>
      <c r="E999" s="126" t="n"/>
      <c r="F999" s="124" t="n"/>
      <c r="G999" s="121">
        <f>IF($D999=0,0,$D999*$E999)</f>
        <v/>
      </c>
      <c r="H999" s="122">
        <f>IF($B999="","",CONCATENATE("Hareket: ",$C999,"/",$D999," adet ",$B999))</f>
        <v/>
      </c>
    </row>
    <row r="1000" ht="15" customHeight="1" s="77">
      <c r="A1000" s="123" t="n"/>
      <c r="B1000" s="124" t="n"/>
      <c r="C1000" s="124" t="n"/>
      <c r="D1000" s="125" t="n"/>
      <c r="E1000" s="126" t="n"/>
      <c r="F1000" s="124" t="n"/>
      <c r="G1000" s="121">
        <f>IF($D1000=0,0,$D1000*$E1000)</f>
        <v/>
      </c>
      <c r="H1000" s="122">
        <f>IF($B1000="","",CONCATENATE("Hareket: ",$C1000,"/",$D1000," adet ",$B1000))</f>
        <v/>
      </c>
    </row>
    <row r="1001" ht="15" customHeight="1" s="77">
      <c r="A1001" s="123" t="n"/>
      <c r="B1001" s="124" t="n"/>
      <c r="C1001" s="124" t="n"/>
      <c r="D1001" s="125" t="n"/>
      <c r="E1001" s="126" t="n"/>
      <c r="F1001" s="124" t="n"/>
      <c r="G1001" s="121">
        <f>IF($D1001=0,0,$D1001*$E1001)</f>
        <v/>
      </c>
      <c r="H1001" s="122">
        <f>IF($B1001="","",CONCATENATE("Hareket: ",$C1001,"/",$D1001," adet ",$B1001))</f>
        <v/>
      </c>
    </row>
    <row r="1002" ht="15" customHeight="1" s="77">
      <c r="A1002" s="123" t="n"/>
      <c r="B1002" s="124" t="n"/>
      <c r="C1002" s="124" t="n"/>
      <c r="D1002" s="125" t="n"/>
      <c r="E1002" s="126" t="n"/>
      <c r="F1002" s="124" t="n"/>
      <c r="G1002" s="121">
        <f>IF($D1002=0,0,$D1002*$E1002)</f>
        <v/>
      </c>
      <c r="H1002" s="122">
        <f>IF($B1002="","",CONCATENATE("Hareket: ",$C1002,"/",$D1002," adet ",$B1002))</f>
        <v/>
      </c>
    </row>
    <row r="1003" ht="15" customHeight="1" s="77">
      <c r="A1003" s="123" t="n"/>
      <c r="B1003" s="124" t="n"/>
      <c r="C1003" s="124" t="n"/>
      <c r="D1003" s="125" t="n"/>
      <c r="E1003" s="126" t="n"/>
      <c r="F1003" s="124" t="n"/>
      <c r="G1003" s="121">
        <f>IF($D1003=0,0,$D1003*$E1003)</f>
        <v/>
      </c>
      <c r="H1003" s="122">
        <f>IF($B1003="","",CONCATENATE("Hareket: ",$C1003,"/",$D1003," adet ",$B1003))</f>
        <v/>
      </c>
    </row>
    <row r="1004" ht="15" customHeight="1" s="77">
      <c r="A1004" s="124" t="n"/>
      <c r="B1004" s="124" t="n"/>
      <c r="C1004" s="124" t="n"/>
      <c r="D1004" s="124" t="n"/>
      <c r="E1004" s="124" t="n"/>
      <c r="F1004" s="124" t="n"/>
      <c r="G1004" s="122">
        <f>IF($D1004=0,0,$D1004*$E1004)</f>
        <v/>
      </c>
      <c r="H1004" s="122">
        <f>IF($B1004="","",CONCATENATE("Hareket: ",$C1004,"/",$D1004," adet ",$B1004))</f>
        <v/>
      </c>
    </row>
    <row r="1005"/>
    <row r="1006" ht="19.5" customHeight="1" s="77">
      <c r="A1006" s="127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conditionalFormatting sqref="A6:A1004">
    <cfRule type="cellIs" rank="0" priority="2" equalAverage="0" operator="lessThan" aboveAverage="0" dxfId="7" text="" percent="0" bottom="0">
      <formula>0</formula>
    </cfRule>
  </conditionalFormatting>
  <conditionalFormatting sqref="D6:D1004">
    <cfRule type="cellIs" rank="0" priority="3" equalAverage="0" operator="lessThan" aboveAverage="0" dxfId="7" text="" percent="0" bottom="0">
      <formula>0</formula>
    </cfRule>
  </conditionalFormatting>
  <conditionalFormatting sqref="E6:E1004">
    <cfRule type="cellIs" rank="0" priority="4" equalAverage="0" operator="lessThan" aboveAverage="0" dxfId="7" text="" percent="0" bottom="0">
      <formula>0</formula>
    </cfRule>
    <cfRule type="cellIs" rank="0" priority="5" equalAverage="0" operator="greaterThan" aboveAverage="0" dxfId="8" text="" percent="0" bottom="0">
      <formula>10000000</formula>
    </cfRule>
  </conditionalFormatting>
  <conditionalFormatting sqref="G6:G1004">
    <cfRule type="cellIs" rank="0" priority="6" equalAverage="0" operator="lessThan" aboveAverage="0" dxfId="7" text="" percent="0" bottom="0">
      <formula>0</formula>
    </cfRule>
    <cfRule type="cellIs" rank="0" priority="7" equalAverage="0" operator="greaterThan" aboveAverage="0" dxfId="9" text="" percent="0" bottom="0">
      <formula>0</formula>
    </cfRule>
  </conditionalFormatting>
  <dataValidations count="6">
    <dataValidation sqref="B6:B1004" showDropDown="0" showInputMessage="1" showErrorMessage="1" allowBlank="1" errorTitle="Geçersiz ürün" error="Listede olmayan ürün giremezsiniz." promptTitle="Ürün" prompt="Listeden bir ürün seçin." type="list" errorStyle="stop" operator="between">
      <formula1>ListeUrunAdlari</formula1>
      <formula2>0</formula2>
    </dataValidation>
    <dataValidation sqref="C6:C1004" showDropDown="0" showInputMessage="1" showErrorMessage="1" allowBlank="1" errorTitle="Geçersiz tür" error="Sadece Giriş veya Çıkış kullanılır." promptTitle="Hareket Türü" prompt="Giriş veya Çıkış seçin." type="list" errorStyle="stop" operator="between">
      <formula1>ListeHareketTurleri</formula1>
      <formula2>0</formula2>
    </dataValidation>
    <dataValidation sqref="A6:A1004" showDropDown="0" showInputMessage="1" showErrorMessage="1" allowBlank="1" errorTitle="Geçersiz tarih" error="Tarih 01.01.2024 - 31.12.2027 aralığında olmalı." promptTitle="Tarih" prompt="GG.AA.YYYY biçiminde tarih girin." type="date" errorStyle="stop" operator="between">
      <formula1>01.01.2024</formula1>
      <formula2>31.12.2027</formula2>
    </dataValidation>
    <dataValidation sqref="D6:D1004" showDropDown="0" showInputMessage="1" showErrorMessage="1" allowBlank="1" errorTitle="Geçersiz adet" error="0 ile 100.000.000 arasında olmalı." promptTitle="Adet" prompt="Pozitif adet girin (çıkış için türü Çıkış seçin)." type="decimal" errorStyle="stop" operator="between">
      <formula1>0</formula1>
      <formula2>100000000</formula2>
    </dataValidation>
    <dataValidation sqref="E6:E1004" showDropDown="0" showInputMessage="1" showErrorMessage="1" allowBlank="1" errorTitle="Geçersiz fiyat" error="0 ile 10.000.000 ₺ arasında olmalı." promptTitle="Birim Alış Fiyatı" prompt="KDV hariç birim alış fiyatını TL olarak girin." type="decimal" errorStyle="stop" operator="between">
      <formula1>0</formula1>
      <formula2>10000000</formula2>
    </dataValidation>
    <dataValidation sqref="F6:F1004" showDropDown="0" showInputMessage="1" showErrorMessage="1" allowBlank="1" errorTitle="Geçersiz depo" error="Listede olmayan depo giremezsiniz." promptTitle="Depo" prompt="Listeden bir depo seçin." type="list" errorStyle="stop" operator="between">
      <formula1>ListeDepoAdlari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.5" customWidth="1" style="103" min="1" max="1"/>
    <col width="14.5" customWidth="1" style="103" min="2" max="2"/>
    <col width="19.5" customWidth="1" style="103" min="3" max="3"/>
    <col width="14.5" customWidth="1" style="103" min="4" max="4"/>
    <col width="21.5" customWidth="1" style="103" min="5" max="5"/>
    <col width="14.5" customWidth="1" style="103" min="6" max="6"/>
    <col width="24.5" customWidth="1" style="103" min="7" max="8"/>
    <col width="19.5" customWidth="1" style="77" min="8" max="8"/>
    <col width="14.5" customWidth="1" style="103" min="9" max="9"/>
    <col width="13" customWidth="1" style="77" min="10" max="10"/>
  </cols>
  <sheetData>
    <row r="1" ht="32" customHeight="1" s="77">
      <c r="A1" s="284" t="inlineStr">
        <is>
          <t>HESAP — Stok, Satış ve Nakit Bağlanma Sistemi</t>
        </is>
      </c>
    </row>
    <row r="2"/>
    <row r="3" ht="22" customHeight="1" s="77">
      <c r="A3" s="304" t="inlineStr">
        <is>
          <t>Ürün Bazlı Stok ve Nakit Bağlanma Hesabı</t>
        </is>
      </c>
    </row>
    <row r="4" ht="41.25" customHeight="1" s="77">
      <c r="A4" s="106" t="inlineStr">
        <is>
          <t>Aşağıdaki özet ürün adlarına göre stok hareketlerinden otomatik beslenir; elle değiştirilmez.</t>
        </is>
      </c>
    </row>
    <row r="5" ht="30" customHeight="1" s="77">
      <c r="A5" s="116" t="inlineStr">
        <is>
          <t>Ürün</t>
        </is>
      </c>
      <c r="B5" s="116" t="inlineStr">
        <is>
          <t>Giriş Adet</t>
        </is>
      </c>
      <c r="C5" s="116" t="inlineStr">
        <is>
          <t>Giriş Tutar (₺)</t>
        </is>
      </c>
      <c r="D5" s="116" t="inlineStr">
        <is>
          <t>Çıkış Adet</t>
        </is>
      </c>
      <c r="E5" s="116" t="inlineStr">
        <is>
          <t>Çıkış Maliyet (₺)</t>
        </is>
      </c>
      <c r="F5" s="116" t="inlineStr">
        <is>
          <t>Kalan Adet</t>
        </is>
      </c>
      <c r="G5" s="116" t="inlineStr">
        <is>
          <t>Ortalama Maliyet (₺)</t>
        </is>
      </c>
      <c r="H5" s="116" t="inlineStr">
        <is>
          <t>Stok Değeri (₺)</t>
        </is>
      </c>
      <c r="I5" s="116" t="inlineStr">
        <is>
          <t>Devir Hızı</t>
        </is>
      </c>
    </row>
    <row r="6" ht="15" customHeight="1" s="77">
      <c r="A6" s="128" t="inlineStr">
        <is>
          <t>Ürün A</t>
        </is>
      </c>
      <c r="B6" s="129">
        <f>SUMIFS(tblStok[Adet],tblStok[Ürün],$A6,tblStok[Hareket Türü],"Giriş")</f>
        <v/>
      </c>
      <c r="C6" s="130">
        <f>SUMIFS(tblStok[Tutar (₺)],tblStok[Ürün],$A6,tblStok[Hareket Türü],"Giriş")</f>
        <v/>
      </c>
      <c r="D6" s="129">
        <f>SUMIFS(tblStok[Adet],tblStok[Ürün],$A6,tblStok[Hareket Türü],"Çıkış")</f>
        <v/>
      </c>
      <c r="E6" s="130">
        <f>SUMIFS(tblStok[Tutar (₺)],tblStok[Ürün],$A6,tblStok[Hareket Türü],"Çıkış")</f>
        <v/>
      </c>
      <c r="F6" s="129">
        <f>B6-D6</f>
        <v/>
      </c>
      <c r="G6" s="130">
        <f>IF(B6=0,0,C6/B6)</f>
        <v/>
      </c>
      <c r="H6" s="130">
        <f>F6*G6</f>
        <v/>
      </c>
      <c r="I6" s="131">
        <f>IF(H6=0,0,E6/H6)</f>
        <v/>
      </c>
    </row>
    <row r="7" ht="15" customHeight="1" s="77">
      <c r="A7" s="128" t="inlineStr">
        <is>
          <t>Ürün B</t>
        </is>
      </c>
      <c r="B7" s="129">
        <f>SUMIFS(tblStok[Adet],tblStok[Ürün],$A7,tblStok[Hareket Türü],"Giriş")</f>
        <v/>
      </c>
      <c r="C7" s="130">
        <f>SUMIFS(tblStok[Tutar (₺)],tblStok[Ürün],$A7,tblStok[Hareket Türü],"Giriş")</f>
        <v/>
      </c>
      <c r="D7" s="129">
        <f>SUMIFS(tblStok[Adet],tblStok[Ürün],$A7,tblStok[Hareket Türü],"Çıkış")</f>
        <v/>
      </c>
      <c r="E7" s="130">
        <f>SUMIFS(tblStok[Tutar (₺)],tblStok[Ürün],$A7,tblStok[Hareket Türü],"Çıkış")</f>
        <v/>
      </c>
      <c r="F7" s="129">
        <f>B7-D7</f>
        <v/>
      </c>
      <c r="G7" s="130">
        <f>IF(B7=0,0,C7/B7)</f>
        <v/>
      </c>
      <c r="H7" s="130">
        <f>F7*G7</f>
        <v/>
      </c>
      <c r="I7" s="131">
        <f>IF(H7=0,0,E7/H7)</f>
        <v/>
      </c>
    </row>
    <row r="8" ht="15" customHeight="1" s="77">
      <c r="A8" s="128" t="inlineStr">
        <is>
          <t>Ürün C</t>
        </is>
      </c>
      <c r="B8" s="129">
        <f>SUMIFS(tblStok[Adet],tblStok[Ürün],$A8,tblStok[Hareket Türü],"Giriş")</f>
        <v/>
      </c>
      <c r="C8" s="130">
        <f>SUMIFS(tblStok[Tutar (₺)],tblStok[Ürün],$A8,tblStok[Hareket Türü],"Giriş")</f>
        <v/>
      </c>
      <c r="D8" s="129">
        <f>SUMIFS(tblStok[Adet],tblStok[Ürün],$A8,tblStok[Hareket Türü],"Çıkış")</f>
        <v/>
      </c>
      <c r="E8" s="130">
        <f>SUMIFS(tblStok[Tutar (₺)],tblStok[Ürün],$A8,tblStok[Hareket Türü],"Çıkış")</f>
        <v/>
      </c>
      <c r="F8" s="129">
        <f>B8-D8</f>
        <v/>
      </c>
      <c r="G8" s="130">
        <f>IF(B8=0,0,C8/B8)</f>
        <v/>
      </c>
      <c r="H8" s="130">
        <f>F8*G8</f>
        <v/>
      </c>
      <c r="I8" s="131">
        <f>IF(H8=0,0,E8/H8)</f>
        <v/>
      </c>
    </row>
    <row r="9" ht="15" customHeight="1" s="77">
      <c r="A9" s="128" t="inlineStr">
        <is>
          <t>Ürün D</t>
        </is>
      </c>
      <c r="B9" s="129">
        <f>SUMIFS(tblStok[Adet],tblStok[Ürün],$A9,tblStok[Hareket Türü],"Giriş")</f>
        <v/>
      </c>
      <c r="C9" s="130">
        <f>SUMIFS(tblStok[Tutar (₺)],tblStok[Ürün],$A9,tblStok[Hareket Türü],"Giriş")</f>
        <v/>
      </c>
      <c r="D9" s="129">
        <f>SUMIFS(tblStok[Adet],tblStok[Ürün],$A9,tblStok[Hareket Türü],"Çıkış")</f>
        <v/>
      </c>
      <c r="E9" s="130">
        <f>SUMIFS(tblStok[Tutar (₺)],tblStok[Ürün],$A9,tblStok[Hareket Türü],"Çıkış")</f>
        <v/>
      </c>
      <c r="F9" s="129">
        <f>B9-D9</f>
        <v/>
      </c>
      <c r="G9" s="130">
        <f>IF(B9=0,0,C9/B9)</f>
        <v/>
      </c>
      <c r="H9" s="130">
        <f>F9*G9</f>
        <v/>
      </c>
      <c r="I9" s="131">
        <f>IF(H9=0,0,E9/H9)</f>
        <v/>
      </c>
    </row>
    <row r="10" ht="15" customHeight="1" s="77">
      <c r="A10" s="128" t="inlineStr">
        <is>
          <t>Diğer</t>
        </is>
      </c>
      <c r="B10" s="129">
        <f>SUMIFS(tblStok[Adet],tblStok[Ürün],$A10,tblStok[Hareket Türü],"Giriş")</f>
        <v/>
      </c>
      <c r="C10" s="130">
        <f>SUMIFS(tblStok[Tutar (₺)],tblStok[Ürün],$A10,tblStok[Hareket Türü],"Giriş")</f>
        <v/>
      </c>
      <c r="D10" s="129">
        <f>SUMIFS(tblStok[Adet],tblStok[Ürün],$A10,tblStok[Hareket Türü],"Çıkış")</f>
        <v/>
      </c>
      <c r="E10" s="130">
        <f>SUMIFS(tblStok[Tutar (₺)],tblStok[Ürün],$A10,tblStok[Hareket Türü],"Çıkış")</f>
        <v/>
      </c>
      <c r="F10" s="129">
        <f>B10-D10</f>
        <v/>
      </c>
      <c r="G10" s="130">
        <f>IF(B10=0,0,C10/B10)</f>
        <v/>
      </c>
      <c r="H10" s="130">
        <f>F10*G10</f>
        <v/>
      </c>
      <c r="I10" s="131">
        <f>IF(H10=0,0,E10/H10)</f>
        <v/>
      </c>
    </row>
    <row r="11" ht="15" customHeight="1" s="77">
      <c r="A11" s="132" t="inlineStr">
        <is>
          <t>TOPLAM</t>
        </is>
      </c>
      <c r="B11" s="133">
        <f>SUM(B6:B10)</f>
        <v/>
      </c>
      <c r="C11" s="134">
        <f>SUM(C6:C10)</f>
        <v/>
      </c>
      <c r="D11" s="133">
        <f>SUM(D6:D10)</f>
        <v/>
      </c>
      <c r="E11" s="134">
        <f>SUM(E6:E10)</f>
        <v/>
      </c>
      <c r="F11" s="133">
        <f>SUM(F6:F10)</f>
        <v/>
      </c>
      <c r="G11" s="134">
        <f>SUM(G6:G10)</f>
        <v/>
      </c>
      <c r="H11" s="134">
        <f>SUM(H6:H10)</f>
        <v/>
      </c>
      <c r="I11" s="135">
        <f>IF(H11=0,0,E11/H11)</f>
        <v/>
      </c>
    </row>
    <row r="12"/>
    <row r="13" ht="15" customHeight="1" s="77">
      <c r="A13" s="132" t="inlineStr">
        <is>
          <t>Stoğa Bağlanan Nakit</t>
        </is>
      </c>
      <c r="B13" s="134">
        <f>H11</f>
        <v/>
      </c>
    </row>
    <row r="14" ht="15" customHeight="1" s="77">
      <c r="A14" s="132" t="inlineStr">
        <is>
          <t>En Yüksek Stok Değerli Ürün</t>
        </is>
      </c>
      <c r="B14" s="136">
        <f>INDEX($A$6:$A$10,MATCH(MAX($H$6:$H$10),$H$6:$H$10,0))</f>
        <v/>
      </c>
    </row>
    <row r="15" ht="15" customHeight="1" s="77">
      <c r="A15" s="132" t="inlineStr">
        <is>
          <t>Negatif Kalan Stok Var mı?</t>
        </is>
      </c>
      <c r="B15" s="136">
        <f>IF(COUNTIF(F6:F10,"&lt;0")=0,"YOK","VAR")</f>
        <v/>
      </c>
    </row>
    <row r="16"/>
    <row r="17" ht="19.5" customHeight="1" s="77">
      <c r="A17" s="127" t="inlineStr">
        <is>
          <t>Hesap satırları yalnızca stok hareketlerinden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7:AN17"/>
  </mergeCells>
  <conditionalFormatting sqref="B6:B11">
    <cfRule type="cellIs" rank="0" priority="2" equalAverage="0" operator="lessThan" aboveAverage="0" dxfId="7" text="" percent="0" bottom="0">
      <formula>0</formula>
    </cfRule>
  </conditionalFormatting>
  <conditionalFormatting sqref="C6:C11">
    <cfRule type="cellIs" rank="0" priority="3" equalAverage="0" operator="lessThan" aboveAverage="0" dxfId="7" text="" percent="0" bottom="0">
      <formula>0</formula>
    </cfRule>
  </conditionalFormatting>
  <conditionalFormatting sqref="D6:D11">
    <cfRule type="cellIs" rank="0" priority="4" equalAverage="0" operator="lessThan" aboveAverage="0" dxfId="7" text="" percent="0" bottom="0">
      <formula>0</formula>
    </cfRule>
  </conditionalFormatting>
  <conditionalFormatting sqref="E6:E11">
    <cfRule type="cellIs" rank="0" priority="5" equalAverage="0" operator="lessThan" aboveAverage="0" dxfId="7" text="" percent="0" bottom="0">
      <formula>0</formula>
    </cfRule>
  </conditionalFormatting>
  <conditionalFormatting sqref="F6:F11">
    <cfRule type="cellIs" rank="0" priority="6" equalAverage="0" operator="lessThan" aboveAverage="0" dxfId="7" text="" percent="0" bottom="0">
      <formula>0</formula>
    </cfRule>
    <cfRule type="cellIs" rank="0" priority="7" equalAverage="0" operator="lessThan" aboveAverage="0" dxfId="10" text="" percent="0" bottom="0">
      <formula>0</formula>
    </cfRule>
  </conditionalFormatting>
  <conditionalFormatting sqref="G6:G11">
    <cfRule type="cellIs" rank="0" priority="8" equalAverage="0" operator="lessThan" aboveAverage="0" dxfId="7" text="" percent="0" bottom="0">
      <formula>0</formula>
    </cfRule>
  </conditionalFormatting>
  <conditionalFormatting sqref="H6:H11">
    <cfRule type="cellIs" rank="0" priority="9" equalAverage="0" operator="lessThan" aboveAverage="0" dxfId="7" text="" percent="0" bottom="0">
      <formula>0</formula>
    </cfRule>
    <cfRule type="cellIs" rank="0" priority="10" equalAverage="0" operator="greaterThan" aboveAverage="0" dxfId="8" text="" percent="0" bottom="0">
      <formula>500000</formula>
    </cfRule>
    <cfRule type="cellIs" rank="0" priority="11" equalAverage="0" operator="greaterThan" aboveAverage="0" dxfId="7" text="" percent="0" bottom="0">
      <formula>1000000</formula>
    </cfRule>
  </conditionalFormatting>
  <conditionalFormatting sqref="I6:I11">
    <cfRule type="cellIs" rank="0" priority="12" equalAverage="0" operator="lessThan" aboveAverage="0" dxfId="8" text="" percent="0" bottom="0">
      <formula>3</formula>
    </cfRule>
    <cfRule type="cellIs" rank="0" priority="13" equalAverage="0" operator="lessThan" aboveAverage="0" dxfId="7" text="" percent="0" bottom="0">
      <formula>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103" min="1" max="1"/>
    <col width="34.5" customWidth="1" style="103" min="2" max="2"/>
    <col width="52" customWidth="1" style="103" min="3" max="3"/>
    <col width="72" customWidth="1" style="103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ANALITIK MOTOR — Stok, Satış ve Nakit Bağlanma Sistemi</t>
        </is>
      </c>
    </row>
    <row r="2"/>
    <row r="3" ht="22" customHeight="1" s="77">
      <c r="A3" s="304" t="inlineStr">
        <is>
          <t>ANALİTİK MOTOR — DERİNLİK KATMANI</t>
        </is>
      </c>
    </row>
    <row r="4"/>
    <row r="5" ht="30" customHeight="1" s="77">
      <c r="A5" s="116" t="inlineStr">
        <is>
          <t>Kod</t>
        </is>
      </c>
      <c r="B5" s="116" t="inlineStr">
        <is>
          <t>Gösterge</t>
        </is>
      </c>
      <c r="C5" s="116" t="inlineStr">
        <is>
          <t>Değer</t>
        </is>
      </c>
      <c r="D5" s="116" t="inlineStr">
        <is>
          <t>Makine Yorumu</t>
        </is>
      </c>
    </row>
    <row r="6" ht="30" customHeight="1" s="77">
      <c r="A6" s="137" t="inlineStr">
        <is>
          <t>T2</t>
        </is>
      </c>
      <c r="B6" s="138" t="inlineStr">
        <is>
          <t>Ortalama Hareket Tutarı</t>
        </is>
      </c>
      <c r="C6" s="139">
        <f>IFERROR(AVERAGE(tblStok[Tutar (₺)]),0)</f>
        <v/>
      </c>
      <c r="D6" s="140">
        <f>_xlfn.TEXTJOIN("; ",TRUE(),"AVERAGE hareket tutarı ",TEXT(C6,"₺ #,##0")," TL — eğilim bu seviyede seyrediyor")</f>
        <v/>
      </c>
    </row>
    <row r="7" ht="30" customHeight="1" s="77">
      <c r="A7" s="137" t="inlineStr">
        <is>
          <t>T4</t>
        </is>
      </c>
      <c r="B7" s="138" t="inlineStr">
        <is>
          <t>İlk-Son Hareket Farkı</t>
        </is>
      </c>
      <c r="C7" s="139">
        <f>IFERROR(INDEX(tblStok[Tutar (₺)],COUNTA(tblStok[Ürün]))-INDEX(tblStok[Tutar (₺)],1),0)</f>
        <v/>
      </c>
      <c r="D7" s="140">
        <f>_xlfn.TEXTJOIN("; ",TRUE(),"İlk ile son hareketin tutar farkı ",TEXT(C7,"₺ #,##0")," TL — artış stok yoğunlaşmasını gösterir")</f>
        <v/>
      </c>
    </row>
    <row r="8" ht="30" customHeight="1" s="77">
      <c r="A8" s="137" t="inlineStr">
        <is>
          <t>O1</t>
        </is>
      </c>
      <c r="B8" s="138" t="inlineStr">
        <is>
          <t>Hareket Tutarı Sapması (STDEV)</t>
        </is>
      </c>
      <c r="C8" s="130">
        <f>PANO!B26</f>
        <v/>
      </c>
      <c r="D8" s="140">
        <f>_xlfn.TEXTJOIN("; ",TRUE(),"Hareket tutarı sapması ",TEXT(C8,"₺ #,##0")," TL — sapma yüksekse stok gideri öngörülemezdir")</f>
        <v/>
      </c>
    </row>
    <row r="9" ht="30" customHeight="1" s="77">
      <c r="A9" s="137" t="inlineStr">
        <is>
          <t>O2</t>
        </is>
      </c>
      <c r="B9" s="138" t="inlineStr">
        <is>
          <t>Tornado: En Büyük Etki</t>
        </is>
      </c>
      <c r="C9" s="139">
        <f>MAX(SENARYO_DUYARLILIK!B12:B13)</f>
        <v/>
      </c>
      <c r="D9" s="140">
        <f>_xlfn.TEXTJOIN("; ",TRUE(),"Stok değerini en çok etkileyen değişkenin etkisi ",TEXT(C9,"₺ #,##0")," TL — öncelik bu değişkenin izlenmesinde")</f>
        <v/>
      </c>
    </row>
    <row r="10" ht="30" customHeight="1" s="77">
      <c r="A10" s="137" t="inlineStr">
        <is>
          <t>O3</t>
        </is>
      </c>
      <c r="B10" s="138" t="inlineStr">
        <is>
          <t>Senaryo Bant Genişliği</t>
        </is>
      </c>
      <c r="C10" s="139">
        <f>SENARYO_DUYARLILIK!C7-SENARYO_DUYARLILIK!C9</f>
        <v/>
      </c>
      <c r="D10" s="140">
        <f>_xlfn.TEXTJOIN("; ",TRUE(),"İyimser ile kötümser senaryo stok değeri farkı ",TEXT(C10,"₺ #,##0")," TL — belirsizlik aralığını gösterir")</f>
        <v/>
      </c>
    </row>
    <row r="11" ht="30" customHeight="1" s="77">
      <c r="A11" s="137" t="inlineStr">
        <is>
          <t>O6</t>
        </is>
      </c>
      <c r="B11" s="138" t="inlineStr">
        <is>
          <t>Ürün Yoğunlaşması (HHI)</t>
        </is>
      </c>
      <c r="C11" s="139">
        <f>IFERROR(SUMPRODUCT((HESAP!$H$6:$H$10/SUM(HESAP!$H$6:$H$10))^2),0)</f>
        <v/>
      </c>
      <c r="D11" s="140">
        <f>_xlfn.TEXTJOIN("; ",TRUE(),"Ürün yoğunlaşma endeksi ",TEXT(C11,"0.000")," — 1 e yaklaştıkça stok değeri tek üründe toplanır")</f>
        <v/>
      </c>
    </row>
    <row r="12" ht="30" customHeight="1" s="77">
      <c r="A12" s="137" t="inlineStr">
        <is>
          <t>O8</t>
        </is>
      </c>
      <c r="B12" s="138" t="inlineStr">
        <is>
          <t>Veri Kalite Skoru</t>
        </is>
      </c>
      <c r="C12" s="129">
        <f>KONTROLLER!B19</f>
        <v/>
      </c>
      <c r="D12" s="140">
        <f>_xlfn.TEXTJOIN("; ",TRUE(),"Veri kalite skoru ",TEXT(C12,"0")," puan — ",IF(C12&gt;=StokKaliteIyi,"yüksek güven","veri girişi tamamlanmalı"))</f>
        <v/>
      </c>
    </row>
    <row r="13" ht="30" customHeight="1" s="77">
      <c r="A13" s="137" t="inlineStr">
        <is>
          <t>I1</t>
        </is>
      </c>
      <c r="B13" s="138" t="inlineStr">
        <is>
          <t>Gelecek Stok Değeri Tahmini</t>
        </is>
      </c>
      <c r="C13" s="130">
        <f>PANO!B24</f>
        <v/>
      </c>
      <c r="D13" s="140">
        <f>_xlfn.TEXTJOIN("; ",TRUE(),"Gelecek ay stok değeri tahmini ",TEXT(C13,"₺ #,##0")," TL — güven bandı için alt/üst sınır PANO sayfasındadır")</f>
        <v/>
      </c>
    </row>
    <row r="14" ht="30" customHeight="1" s="77">
      <c r="A14" s="137" t="inlineStr">
        <is>
          <t>I2</t>
        </is>
      </c>
      <c r="B14" s="138" t="inlineStr">
        <is>
          <t>Hareket Tutarı Yüzdelik P90</t>
        </is>
      </c>
      <c r="C14" s="139">
        <f>_xlfn.PERCENTILE.INC(tblStok[Tutar (₺)],StokP90Oran)</f>
        <v/>
      </c>
      <c r="D14" s="140">
        <f>_xlfn.TEXTJOIN("; ",TRUE(),"Hareket tutarlarının %90 ı ",TEXT(C14,"₺ #,##0")," TL altında gerçekleşir — üst sınır nakit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55" customWidth="1" style="103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KONTROLLER — Stok, Satış ve Nakit Bağlanma Sistemi</t>
        </is>
      </c>
    </row>
    <row r="2"/>
    <row r="3" ht="22" customHeight="1" s="77">
      <c r="A3" s="304" t="inlineStr">
        <is>
          <t>Giriş Kalite Kontrolleri</t>
        </is>
      </c>
    </row>
    <row r="4" ht="27.75" customHeight="1" s="77">
      <c r="A4" s="106" t="inlineStr">
        <is>
          <t>Aşağıdaki kontroller canlı formüllerle çalışır; sorun varsa uyarı üretir.</t>
        </is>
      </c>
    </row>
    <row r="5"/>
    <row r="6" ht="15" customHeight="1" s="77">
      <c r="A6" s="109" t="inlineStr">
        <is>
          <t>Boş ürün satırı var mı?</t>
        </is>
      </c>
      <c r="B6" s="139">
        <f>IF(COUNTBLANK(tblStok[Ürün])=0,"TEMİZ","BOŞ VAR")</f>
        <v/>
      </c>
    </row>
    <row r="7" ht="15" customHeight="1" s="77">
      <c r="A7" s="109" t="inlineStr">
        <is>
          <t>Boş adet var mı?</t>
        </is>
      </c>
      <c r="B7" s="139">
        <f>IF(COUNTBLANK(tblStok[Adet])=0,"TEMİZ","BOŞ VAR")</f>
        <v/>
      </c>
    </row>
    <row r="8" ht="15" customHeight="1" s="77">
      <c r="A8" s="109" t="inlineStr">
        <is>
          <t>Negatif adet var mı?</t>
        </is>
      </c>
      <c r="B8" s="139">
        <f>IF(COUNTIF(tblStok[Adet],"&lt;0")=0,"TEMİZ","NEGATİF VAR")</f>
        <v/>
      </c>
    </row>
    <row r="9" ht="15" customHeight="1" s="77">
      <c r="A9" s="109" t="inlineStr">
        <is>
          <t>Negatif fiyat var mı?</t>
        </is>
      </c>
      <c r="B9" s="139">
        <f>IF(COUNTIF(tblStok[Birim Alış Fiyatı (₺)],"&lt;0")=0,"TEMİZ","NEGATİF VAR")</f>
        <v/>
      </c>
    </row>
    <row r="10" ht="15" customHeight="1" s="77">
      <c r="A10" s="109" t="inlineStr">
        <is>
          <t>Çıkış, girişten fazla mı?</t>
        </is>
      </c>
      <c r="B10" s="139">
        <f>IF(COUNTIF(HESAP!F6:F10,"&lt;0")=0,"TEMİZ","EKSİK STOK")</f>
        <v/>
      </c>
    </row>
    <row r="11" ht="15" customHeight="1" s="77">
      <c r="A11" s="109" t="inlineStr">
        <is>
          <t>Devir hızı risk eşiğinin altında mı?</t>
        </is>
      </c>
      <c r="B11" s="139">
        <f>IF(StokDevirHizi&lt;StokDevirRiskEsik,"AŞIYOR","NORMAL")</f>
        <v/>
      </c>
    </row>
    <row r="12" ht="15" customHeight="1" s="77">
      <c r="A12" s="109" t="inlineStr">
        <is>
          <t>Stoğa bağlanan nakit eşiği aşılıyor mu?</t>
        </is>
      </c>
      <c r="B12" s="139">
        <f>IF(StokBagNakit&gt;StokBagNakitEsik,"AŞIYOR","NORMAL")</f>
        <v/>
      </c>
    </row>
    <row r="13" ht="15" customHeight="1" s="77">
      <c r="A13" s="109" t="inlineStr">
        <is>
          <t>Ortalama maliyet eşiği aşılıyor mu?</t>
        </is>
      </c>
      <c r="B13" s="139">
        <f>IF(StokOrtalamaMaliyet&gt;StokMaliyetEsik,"AŞIYOR","NORMAL")</f>
        <v/>
      </c>
    </row>
    <row r="14"/>
    <row r="15" ht="15" customHeight="1" s="77">
      <c r="A15" s="107" t="inlineStr">
        <is>
          <t>Veri Kalitesi Skoru (0-100)</t>
        </is>
      </c>
    </row>
    <row r="16" ht="27.75" customHeight="1" s="77">
      <c r="A16" s="106" t="inlineStr">
        <is>
          <t>Boş ve negatif girişlerin oranına göre üretilen kalite skoru.</t>
        </is>
      </c>
    </row>
    <row r="17" ht="15" customHeight="1" s="77">
      <c r="A17" s="109" t="inlineStr">
        <is>
          <t>Toplam Giriş Hücresi</t>
        </is>
      </c>
      <c r="B17" s="129">
        <f>COUNTA(tblStok[Ürün])*COUNTA(tblStok[#Headers])</f>
        <v/>
      </c>
    </row>
    <row r="18" ht="15" customHeight="1" s="77">
      <c r="A18" s="109" t="inlineStr">
        <is>
          <t>Dolu Giriş Hücresi</t>
        </is>
      </c>
      <c r="B18" s="129">
        <f>COUNTA(tblStok[Ürün])+COUNTA(tblStok[Adet])+COUNTA(tblStok[Birim Alış Fiyatı (₺)])</f>
        <v/>
      </c>
    </row>
    <row r="19" ht="15" customHeight="1" s="77">
      <c r="A19" s="128" t="inlineStr">
        <is>
          <t>Kalite Skoru</t>
        </is>
      </c>
      <c r="B19" s="133">
        <f>ROUND(IF(StokToplamGiris=0,0,StokDoluGiris/StokToplamGiris*100),0)</f>
        <v/>
      </c>
    </row>
    <row r="20" ht="15" customHeight="1" s="77">
      <c r="A20" s="109" t="inlineStr">
        <is>
          <t>Kalite Seviyesi</t>
        </is>
      </c>
      <c r="B20" s="139">
        <f>IF(B19&gt;=StokKaliteIyi,"YÜKSEK",IF(B19&gt;=StokKaliteOrta,"ORTA","DÜŞÜK"))</f>
        <v/>
      </c>
    </row>
    <row r="21"/>
    <row r="22" ht="19.5" customHeight="1" s="77">
      <c r="A22" s="127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2:AN22"/>
    <mergeCell ref="A3:I3"/>
  </mergeCells>
  <conditionalFormatting sqref="B6:B13">
    <cfRule type="cellIs" rank="0" priority="2" equalAverage="0" operator="equal" aboveAverage="0" dxfId="10" text="" percent="0" bottom="0">
      <formula>"BOŞ VAR"</formula>
    </cfRule>
    <cfRule type="cellIs" rank="0" priority="3" equalAverage="0" operator="equal" aboveAverage="0" dxfId="10" text="" percent="0" bottom="0">
      <formula>"NEGATİF VAR"</formula>
    </cfRule>
    <cfRule type="cellIs" rank="0" priority="4" equalAverage="0" operator="equal" aboveAverage="0" dxfId="10" text="" percent="0" bottom="0">
      <formula>"EKSİK STOK"</formula>
    </cfRule>
    <cfRule type="cellIs" rank="0" priority="5" equalAverage="0" operator="equal" aboveAverage="0" dxfId="10" text="" percent="0" bottom="0">
      <formula>"AŞIYOR"</formula>
    </cfRule>
    <cfRule type="cellIs" rank="0" priority="6" equalAverage="0" operator="equal" aboveAverage="0" dxfId="10" text="" percent="0" bottom="0">
      <formula>"RİSK"</formula>
    </cfRule>
    <cfRule type="cellIs" rank="0" priority="7" equalAverage="0" operator="equal" aboveAverage="0" dxfId="9" text="" percent="0" bottom="0">
      <formula>"TEMİZ"</formula>
    </cfRule>
    <cfRule type="cellIs" rank="0" priority="8" equalAverage="0" operator="equal" aboveAverage="0" dxfId="9" text="" percent="0" bottom="0">
      <formula>"NORMAL"</formula>
    </cfRule>
    <cfRule type="cellIs" rank="0" priority="9" equalAverage="0" operator="equal" aboveAverage="0" dxfId="9" text="" percent="0" bottom="0">
      <formula>"HEDEFTE"</formula>
    </cfRule>
    <cfRule type="cellIs" rank="0" priority="10" equalAverage="0" operator="equal" aboveAverage="0" dxfId="9" text="" percent="0" bottom="0">
      <formula>"GÜVENLİ"</formula>
    </cfRule>
    <cfRule type="cellIs" rank="0" priority="11" equalAverage="0" operator="equal" aboveAverage="0" dxfId="9" text="" percent="0" bottom="0">
      <formula>"YOK"</formula>
    </cfRule>
    <cfRule type="cellIs" rank="0" priority="12" equalAverage="0" operator="equal" aboveAverage="0" dxfId="7" text="" percent="0" bottom="0">
      <formula>"VAR"</formula>
    </cfRule>
  </conditionalFormatting>
  <conditionalFormatting sqref="B19">
    <cfRule type="cellIs" rank="0" priority="13" equalAverage="0" operator="lessThan" aboveAverage="0" dxfId="7" text="" percent="0" bottom="0">
      <formula>70</formula>
    </cfRule>
    <cfRule type="cellIs" rank="0" priority="14" equalAverage="0" operator="between" aboveAverage="0" dxfId="8" text="" percent="0" bottom="0">
      <formula>70</formula>
      <formula>90</formula>
    </cfRule>
    <cfRule type="cellIs" rank="0" priority="15" equalAverage="0" operator="greaterThanOrEqual" aboveAverage="0" dxfId="9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60" customWidth="1" style="103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KARAR — Stok, Satış ve Nakit Bağlanma Sistemi</t>
        </is>
      </c>
    </row>
    <row r="2"/>
    <row r="3" ht="22" customHeight="1" s="77">
      <c r="A3" s="304" t="inlineStr">
        <is>
          <t>Karar Kapısı — Stok Nakit Yeterliliği</t>
        </is>
      </c>
    </row>
    <row r="4" ht="27.75" customHeight="1" s="77">
      <c r="A4" s="106" t="inlineStr">
        <is>
          <t>Stok değeri, devir hızı ve negatif stok durumuna göre üretilen karar.</t>
        </is>
      </c>
    </row>
    <row r="5"/>
    <row r="6" ht="15" customHeight="1" s="77">
      <c r="A6" s="109" t="inlineStr">
        <is>
          <t>Stoğa Bağlanan Nakit</t>
        </is>
      </c>
      <c r="B6" s="134">
        <f>StokBagNakit</f>
        <v/>
      </c>
    </row>
    <row r="7" ht="15" customHeight="1" s="77">
      <c r="A7" s="109" t="inlineStr">
        <is>
          <t>Devir Hızı</t>
        </is>
      </c>
      <c r="B7" s="131">
        <f>StokDevirHizi</f>
        <v/>
      </c>
    </row>
    <row r="8" ht="15" customHeight="1" s="77">
      <c r="A8" s="109" t="inlineStr">
        <is>
          <t>Ortalama Maliyet</t>
        </is>
      </c>
      <c r="B8" s="130">
        <f>StokOrtalamaMaliyet</f>
        <v/>
      </c>
    </row>
    <row r="9" ht="15" customHeight="1" s="77">
      <c r="A9" s="109" t="inlineStr">
        <is>
          <t>Negatif Stok Var mı?</t>
        </is>
      </c>
      <c r="B9" s="139">
        <f>HESAP!B15</f>
        <v/>
      </c>
    </row>
    <row r="10"/>
    <row r="11" ht="21" customHeight="1" s="77">
      <c r="A11" s="141" t="inlineStr">
        <is>
          <t>KARAR</t>
        </is>
      </c>
      <c r="B11" s="142">
        <f>IF(COUNTA(tblStok[Ürün])=0,"VERİ YOK",IF(StokNegatifStok="VAR","DURDUR",IF(StokDevirHizi&lt;StokDevirRiskEsik,"İNCELE","UYGUN")))</f>
        <v/>
      </c>
    </row>
    <row r="12" ht="15" customHeight="1" s="77">
      <c r="A12" s="128" t="inlineStr">
        <is>
          <t>Gerekçe</t>
        </is>
      </c>
      <c r="B12" s="140">
        <f>IF(StokNegatifStok="VAR","Negatif stok tespit edildi; hareket kayıtları mutlaka düzeltilmeli.",IF(StokDevirHizi&lt;StokDevirRiskEsik,"Devir hızı risk eşiğinin altında; stoğa fazla nakit bağlanmış olabilir.","Karar kapısı uygun: stok AND devir göstergeleri hedef aralıkta."))</f>
        <v/>
      </c>
    </row>
    <row r="13"/>
    <row r="14" ht="15" customHeight="1" s="77">
      <c r="A14" s="107" t="inlineStr">
        <is>
          <t>Önerilen Aksiyonlar</t>
        </is>
      </c>
    </row>
    <row r="15" ht="15" customHeight="1" s="77">
      <c r="A15" s="109" t="inlineStr">
        <is>
          <t>Aksiyon 1</t>
        </is>
      </c>
      <c r="B15" s="140">
        <f>StokAksiyon1_ACIKLAMA</f>
        <v/>
      </c>
    </row>
    <row r="16" ht="15" customHeight="1" s="77">
      <c r="A16" s="109" t="inlineStr">
        <is>
          <t>Aksiyon 2</t>
        </is>
      </c>
      <c r="B16" s="140">
        <f>StokAksiyon2_ACIKLAMA</f>
        <v/>
      </c>
    </row>
    <row r="17" ht="15" customHeight="1" s="77">
      <c r="A17" s="109" t="inlineStr">
        <is>
          <t>Aksiyon 3</t>
        </is>
      </c>
      <c r="B17" s="140">
        <f>StokAksiyon3_ACIKLAMA</f>
        <v/>
      </c>
    </row>
    <row r="18"/>
    <row r="19" ht="19.5" customHeight="1" s="77">
      <c r="A19" s="127" t="inlineStr">
        <is>
          <t>Karar yalnızca giriş verisi ve AYARLAR'daki eşiklerden türetilir; kesin 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15:J15"/>
    <mergeCell ref="A1:I1"/>
    <mergeCell ref="B17:J17"/>
    <mergeCell ref="A19:AN19"/>
    <mergeCell ref="A3:I3"/>
    <mergeCell ref="B12:J12"/>
    <mergeCell ref="B16:J16"/>
  </mergeCells>
  <conditionalFormatting sqref="B11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10" text="" percent="0" bottom="0">
      <formula>"DURDUR"</formula>
    </cfRule>
  </conditionalFormatting>
  <conditionalFormatting sqref="B6">
    <cfRule type="cellIs" rank="0" priority="5" equalAverage="0" operator="lessThan" aboveAverage="0" dxfId="7" text="" percent="0" bottom="0">
      <formula>0</formula>
    </cfRule>
  </conditionalFormatting>
  <conditionalFormatting sqref="B7">
    <cfRule type="cellIs" rank="0" priority="6" equalAverage="0" operator="lessThan" aboveAverage="0" dxfId="8" text="" percent="0" bottom="0">
      <formula>3</formula>
    </cfRule>
    <cfRule type="cellIs" rank="0" priority="7" equalAverage="0" operator="lessThan" aboveAverage="0" dxfId="7" text="" percent="0" bottom="0">
      <formula>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30" customWidth="1" style="103" min="2" max="2"/>
    <col width="20" customWidth="1" style="103" min="3" max="3"/>
    <col width="18" customWidth="1" style="103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SENARYO DUYARLILIK — Stok, Satış ve Nakit Bağlanma Sistemi</t>
        </is>
      </c>
    </row>
    <row r="2"/>
    <row r="3" ht="22" customHeight="1" s="77">
      <c r="A3" s="304" t="inlineStr">
        <is>
          <t>Senaryo ve Duyarlılık Analizi</t>
        </is>
      </c>
    </row>
    <row r="4" ht="41.25" customHeight="1" s="77">
      <c r="A4" s="106" t="inlineStr">
        <is>
          <t>İyimser, baz ve kötümser senaryolarda stok değeri; ardından hangi değişkenin sonucu en çok etkilediğini gösteren tornado analizi.</t>
        </is>
      </c>
    </row>
    <row r="5"/>
    <row r="6" ht="15" customHeight="1" s="77">
      <c r="A6" s="150" t="inlineStr">
        <is>
          <t>Senaryo</t>
        </is>
      </c>
      <c r="B6" s="150" t="inlineStr">
        <is>
          <t>Hareket Tutarı Çarpanı</t>
        </is>
      </c>
      <c r="C6" s="150" t="inlineStr">
        <is>
          <t>Toplam Stok Değeri</t>
        </is>
      </c>
      <c r="D6" s="150" t="inlineStr">
        <is>
          <t>Devir Hızı</t>
        </is>
      </c>
    </row>
    <row r="7" ht="15" customHeight="1" s="77">
      <c r="A7" s="128" t="inlineStr">
        <is>
          <t>İYİMSER</t>
        </is>
      </c>
      <c r="B7" s="131">
        <f>IF(StokBagNakit=0,0,StokIyiSenaryo)</f>
        <v/>
      </c>
      <c r="C7" s="130">
        <f>ROUND(StokBagNakit*StokIyiSenaryo,0)</f>
        <v/>
      </c>
      <c r="D7" s="131">
        <f>IF(StokBagNakit=0,0,C7/StokBagNakit)</f>
        <v/>
      </c>
    </row>
    <row r="8" ht="15" customHeight="1" s="77">
      <c r="A8" s="128" t="inlineStr">
        <is>
          <t>BAZ</t>
        </is>
      </c>
      <c r="B8" s="131">
        <f>IF(StokBagNakit=0,0,StokBazSenaryo)</f>
        <v/>
      </c>
      <c r="C8" s="130">
        <f>ROUND(StokBagNakit*StokBazSenaryo,0)</f>
        <v/>
      </c>
      <c r="D8" s="131">
        <f>IF(StokBagNakit=0,0,C8/StokBagNakit)</f>
        <v/>
      </c>
    </row>
    <row r="9" ht="15" customHeight="1" s="77">
      <c r="A9" s="128" t="inlineStr">
        <is>
          <t>KÖTÜMSER</t>
        </is>
      </c>
      <c r="B9" s="131">
        <f>IF(StokBagNakit=0,0,StokKotuSenaryo)</f>
        <v/>
      </c>
      <c r="C9" s="130">
        <f>ROUND(StokBagNakit*StokKotuSenaryo,0)</f>
        <v/>
      </c>
      <c r="D9" s="131">
        <f>IF(StokBagNakit=0,0,C9/StokBagNakit)</f>
        <v/>
      </c>
    </row>
    <row r="10"/>
    <row r="11" ht="15" customHeight="1" s="77">
      <c r="A11" s="107" t="inlineStr">
        <is>
          <t>Tornado: Toplam Stok Değerine Etki</t>
        </is>
      </c>
    </row>
    <row r="12" ht="15" customHeight="1" s="77">
      <c r="A12" s="109" t="inlineStr">
        <is>
          <t>Birim Fiyat +%1</t>
        </is>
      </c>
      <c r="B12" s="130">
        <f>ROUND(SUM(tblStok[Adet])*StokTornadoFiyat,0)</f>
        <v/>
      </c>
    </row>
    <row r="13" ht="15" customHeight="1" s="77">
      <c r="A13" s="109" t="inlineStr">
        <is>
          <t>Adet +%1</t>
        </is>
      </c>
      <c r="B13" s="130">
        <f>ROUND(StokBagNakit*StokTornadoAdet,0)</f>
        <v/>
      </c>
    </row>
    <row r="14"/>
    <row r="15" ht="15" customHeight="1" s="77">
      <c r="A15" s="132" t="inlineStr">
        <is>
          <t>En Etkili Değişken</t>
        </is>
      </c>
      <c r="B15" s="136">
        <f>IF(B12&gt;=B13,"Birim Fiyat","Adet")</f>
        <v/>
      </c>
    </row>
    <row r="16"/>
    <row r="17" ht="19.5" customHeight="1" s="77">
      <c r="A17" s="127" t="inlineStr">
        <is>
          <t>Tornado etkileri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7:AN17"/>
  </mergeCells>
  <conditionalFormatting sqref="C7:C9">
    <cfRule type="cellIs" rank="0" priority="2" equalAverage="0" operator="lessThan" aboveAverage="0" dxfId="7" text="" percent="0" bottom="0">
      <formula>0</formula>
    </cfRule>
  </conditionalFormatting>
  <conditionalFormatting sqref="D7:D9">
    <cfRule type="cellIs" rank="0" priority="3" equalAverage="0" operator="lessThan" aboveAverage="0" dxfId="7" text="" percent="0" bottom="0">
      <formula>1</formula>
    </cfRule>
    <cfRule type="cellIs" rank="0" priority="4" equalAverage="0" operator="lessThan" aboveAverage="0" dxfId="8" text="" percent="0" bottom="0">
      <formula>3</formula>
    </cfRule>
  </conditionalFormatting>
  <conditionalFormatting sqref="B12:B13">
    <cfRule type="cellIs" rank="0" priority="5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L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40" customWidth="1" style="103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STOK, SATIŞ VE NAKİT BAĞLANMA SİSTEMİ — YÖNETİCİ ÖZETİ</t>
        </is>
      </c>
    </row>
    <row r="2" ht="15" customHeight="1" s="77">
      <c r="A2" s="152">
        <f>_xlfn.CONCAT("Rapor Tarihi: ",TEXT(RaporTarihi,"dd.mm.yyyy")," | Hazırlayan: ",RaporHazirlayan," | Sürüm: ",DosyaSurumu)</f>
        <v/>
      </c>
    </row>
    <row r="3"/>
    <row r="4" ht="17.25" customHeight="1" s="77">
      <c r="A4" s="107" t="inlineStr">
        <is>
          <t>Karar</t>
        </is>
      </c>
      <c r="B4" s="142">
        <f>KARAR!B11</f>
        <v/>
      </c>
    </row>
    <row r="5"/>
    <row r="6" ht="15" customHeight="1" s="77">
      <c r="A6" s="109" t="inlineStr">
        <is>
          <t>Stoğa Bağlanan Nakit</t>
        </is>
      </c>
      <c r="B6" s="130">
        <f>StokBagNakit</f>
        <v/>
      </c>
    </row>
    <row r="7" ht="15" customHeight="1" s="77">
      <c r="A7" s="109" t="inlineStr">
        <is>
          <t>Toplam Giriş Tutar</t>
        </is>
      </c>
      <c r="B7" s="130">
        <f>StokGirisTutar</f>
        <v/>
      </c>
    </row>
    <row r="8" ht="15" customHeight="1" s="77">
      <c r="A8" s="109" t="inlineStr">
        <is>
          <t>Toplam Çıkış Maliyet</t>
        </is>
      </c>
      <c r="B8" s="130">
        <f>StokCikisMaliyet</f>
        <v/>
      </c>
    </row>
    <row r="9" ht="15" customHeight="1" s="77">
      <c r="A9" s="109" t="inlineStr">
        <is>
          <t>Kalan Stok Adet</t>
        </is>
      </c>
      <c r="B9" s="129">
        <f>StokKalanAdet</f>
        <v/>
      </c>
    </row>
    <row r="10" ht="15" customHeight="1" s="77">
      <c r="A10" s="109" t="inlineStr">
        <is>
          <t>Ortalama Maliyet</t>
        </is>
      </c>
      <c r="B10" s="130">
        <f>StokOrtalamaMaliyet</f>
        <v/>
      </c>
    </row>
    <row r="11" ht="15" customHeight="1" s="77">
      <c r="A11" s="109" t="inlineStr">
        <is>
          <t>Devir Hızı</t>
        </is>
      </c>
      <c r="B11" s="131">
        <f>StokDevirHizi</f>
        <v/>
      </c>
    </row>
    <row r="12" ht="15" customHeight="1" s="77">
      <c r="A12" s="109" t="inlineStr">
        <is>
          <t>En Yüksek Stoklu Ürün</t>
        </is>
      </c>
      <c r="B12" s="139">
        <f>HESAP!B14</f>
        <v/>
      </c>
    </row>
    <row r="13" ht="15" customHeight="1" s="77">
      <c r="A13" s="109" t="inlineStr">
        <is>
          <t>Negatif Stok Var mı?</t>
        </is>
      </c>
      <c r="B13" s="139">
        <f>StokNegatifStok</f>
        <v/>
      </c>
    </row>
    <row r="14" ht="15" customHeight="1" s="77">
      <c r="A14" s="109" t="inlineStr">
        <is>
          <t>Kalite Skoru</t>
        </is>
      </c>
      <c r="B14" s="129">
        <f>KONTROLLER!B19</f>
        <v/>
      </c>
    </row>
    <row r="15"/>
    <row r="16" ht="15" customHeight="1" s="77">
      <c r="A16" s="147" t="inlineStr">
        <is>
          <t>Varsayımlar ve Önemli Notlar</t>
        </is>
      </c>
    </row>
    <row r="17" ht="15" customHeight="1" s="77">
      <c r="A17" s="108" t="inlineStr">
        <is>
          <t>• Basit ortalama maliyet yöntemi kullanılır; farklı yöntem formül düzenlenerek uygulanabilir.</t>
        </is>
      </c>
    </row>
    <row r="18" ht="15" customHeight="1" s="77">
      <c r="A18" s="108" t="inlineStr">
        <is>
          <t>• Çıkış hareketleri pozitif adetle girilir; adet negatif alınamaz.</t>
        </is>
      </c>
    </row>
    <row r="19" ht="15" customHeight="1" s="77">
      <c r="A19" s="108" t="inlineStr">
        <is>
          <t>• Eşikler ve senaryo çarpanları AYARLAR sayfasından alınır.</t>
        </is>
      </c>
    </row>
    <row r="20" ht="15" customHeight="1" s="77">
      <c r="A20" s="108" t="inlineStr">
        <is>
          <t>• Bu dosya muhasebe kaydı değildir; stok ve nakit karar destek aracıdır.</t>
        </is>
      </c>
    </row>
    <row r="21" ht="15" customHeight="1" s="77">
      <c r="A21" s="108" t="inlineStr">
        <is>
          <t>• Demo veriler gerçek müşteri verisi değildir; kullanımdan önce temizlenmelidir.</t>
        </is>
      </c>
    </row>
    <row r="22"/>
    <row r="23" ht="15" customHeight="1" s="77">
      <c r="A23" s="147" t="inlineStr">
        <is>
          <t>Önerilen Aksiyonlar</t>
        </is>
      </c>
    </row>
    <row r="24" ht="15" customHeight="1" s="77">
      <c r="A24" s="108">
        <f>StokAksiyon1_ACIKLAMA</f>
        <v/>
      </c>
    </row>
    <row r="25" ht="15" customHeight="1" s="77">
      <c r="A25" s="108">
        <f>StokAksiyon2_ACIKLAMA</f>
        <v/>
      </c>
    </row>
    <row r="26" ht="15" customHeight="1" s="77">
      <c r="A26" s="108">
        <f>StokAksiyon3_ACIKLAMA</f>
        <v/>
      </c>
    </row>
    <row r="27"/>
    <row r="28" ht="21.75" customHeight="1" s="77">
      <c r="A28" s="153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:I1"/>
    <mergeCell ref="A17:L17"/>
    <mergeCell ref="A18:L18"/>
    <mergeCell ref="A21:L2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&amp;LStok, Satış ve Nakit Bağlanma Sistemi&amp;CExcelArşiv&amp;RSayfa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3" min="1" max="1"/>
    <col width="18" customWidth="1" style="103" min="2" max="2"/>
    <col width="16.5" customWidth="1" style="103" min="3" max="3"/>
    <col width="12" customWidth="1" style="103" min="4" max="4"/>
    <col width="25.5" customWidth="1" style="103" min="5" max="5"/>
    <col width="16" customWidth="1" style="103" min="6" max="7"/>
    <col width="13.5" customWidth="1" style="77" min="7" max="7"/>
    <col width="22" customWidth="1" style="103" min="8" max="8"/>
    <col width="13" customWidth="1" style="77" min="9" max="9"/>
  </cols>
  <sheetData>
    <row r="1" ht="32" customHeight="1" s="77">
      <c r="A1" s="284" t="inlineStr">
        <is>
          <t>ORNEK VERI — Stok, Satış ve Nakit Bağlanma Sistemi</t>
        </is>
      </c>
    </row>
    <row r="2"/>
    <row r="3" ht="22" customHeight="1" s="77">
      <c r="A3" s="304" t="inlineStr">
        <is>
          <t>Örnek Veri (Demo)</t>
        </is>
      </c>
    </row>
    <row r="4" ht="108.75" customHeight="1" s="77">
      <c r="A4" s="106" t="inlineStr">
        <is>
          <t>Gerçek girişlere başlamadan önce demo veri ile ürünü deneyin. Bu satırlar örnektir; gerçek verilerle değiştirin.</t>
        </is>
      </c>
    </row>
    <row r="5" ht="30" customHeight="1" s="77">
      <c r="A5" s="116" t="inlineStr">
        <is>
          <t>Tarih</t>
        </is>
      </c>
      <c r="B5" s="116" t="inlineStr">
        <is>
          <t>Ürün</t>
        </is>
      </c>
      <c r="C5" s="116" t="inlineStr">
        <is>
          <t>Hareket Türü</t>
        </is>
      </c>
      <c r="D5" s="116" t="inlineStr">
        <is>
          <t>Adet</t>
        </is>
      </c>
      <c r="E5" s="116" t="inlineStr">
        <is>
          <t>Birim Alış Fiyatı (₺)</t>
        </is>
      </c>
      <c r="F5" s="116" t="inlineStr">
        <is>
          <t>Depo</t>
        </is>
      </c>
      <c r="G5" s="116" t="inlineStr">
        <is>
          <t>Tutar (₺)</t>
        </is>
      </c>
      <c r="H5" s="116" t="inlineStr">
        <is>
          <t>Not</t>
        </is>
      </c>
    </row>
    <row r="6" ht="15" customHeight="1" s="77">
      <c r="A6" s="154" t="inlineStr">
        <is>
          <t>2026-01-05</t>
        </is>
      </c>
      <c r="B6" s="155" t="inlineStr">
        <is>
          <t>Ürün A</t>
        </is>
      </c>
      <c r="C6" s="155" t="inlineStr">
        <is>
          <t>Giriş</t>
        </is>
      </c>
      <c r="D6" s="156" t="n">
        <v>100</v>
      </c>
      <c r="E6" s="157" t="n">
        <v>850</v>
      </c>
      <c r="F6" s="155" t="inlineStr">
        <is>
          <t>Ana Depo</t>
        </is>
      </c>
      <c r="G6" s="158">
        <f>IF($D6=0,0,$D6*$E6)</f>
        <v/>
      </c>
      <c r="H6" s="122">
        <f>IF($B6="","",CONCATENATE("Örnek kayıt: ",$B6))</f>
        <v/>
      </c>
    </row>
    <row r="7" ht="15" customHeight="1" s="77">
      <c r="A7" s="154" t="inlineStr">
        <is>
          <t>2026-01-12</t>
        </is>
      </c>
      <c r="B7" s="155" t="inlineStr">
        <is>
          <t>Ürün B</t>
        </is>
      </c>
      <c r="C7" s="155" t="inlineStr">
        <is>
          <t>Giriş</t>
        </is>
      </c>
      <c r="D7" s="156" t="n">
        <v>60</v>
      </c>
      <c r="E7" s="157" t="n">
        <v>1250</v>
      </c>
      <c r="F7" s="155" t="inlineStr">
        <is>
          <t>Ana Depo</t>
        </is>
      </c>
      <c r="G7" s="158">
        <f>IF($D7=0,0,$D7*$E7)</f>
        <v/>
      </c>
      <c r="H7" s="122">
        <f>IF($B7="","",CONCATENATE("Örnek kayıt: ",$B7))</f>
        <v/>
      </c>
    </row>
    <row r="8" ht="15" customHeight="1" s="77">
      <c r="A8" s="154" t="inlineStr">
        <is>
          <t>2026-02-03</t>
        </is>
      </c>
      <c r="B8" s="155" t="inlineStr">
        <is>
          <t>Ürün A</t>
        </is>
      </c>
      <c r="C8" s="155" t="inlineStr">
        <is>
          <t>Çıkış</t>
        </is>
      </c>
      <c r="D8" s="156" t="n">
        <v>40</v>
      </c>
      <c r="E8" s="157" t="n">
        <v>850</v>
      </c>
      <c r="F8" s="155" t="inlineStr">
        <is>
          <t>Ana Depo</t>
        </is>
      </c>
      <c r="G8" s="158">
        <f>IF($D8=0,0,$D8*$E8)</f>
        <v/>
      </c>
      <c r="H8" s="122">
        <f>IF($B8="","",CONCATENATE("Örnek kayıt: ",$B8))</f>
        <v/>
      </c>
    </row>
    <row r="9" ht="15" customHeight="1" s="77">
      <c r="A9" s="154" t="inlineStr">
        <is>
          <t>2026-02-18</t>
        </is>
      </c>
      <c r="B9" s="155" t="inlineStr">
        <is>
          <t>Ürün C</t>
        </is>
      </c>
      <c r="C9" s="155" t="inlineStr">
        <is>
          <t>Giriş</t>
        </is>
      </c>
      <c r="D9" s="156" t="n">
        <v>90</v>
      </c>
      <c r="E9" s="157" t="n">
        <v>420</v>
      </c>
      <c r="F9" s="155" t="inlineStr">
        <is>
          <t>Yedek Depo</t>
        </is>
      </c>
      <c r="G9" s="158">
        <f>IF($D9=0,0,$D9*$E9)</f>
        <v/>
      </c>
      <c r="H9" s="122">
        <f>IF($B9="","",CONCATENATE("Örnek kayıt: ",$B9))</f>
        <v/>
      </c>
    </row>
    <row r="10" ht="15" customHeight="1" s="77">
      <c r="A10" s="154" t="inlineStr">
        <is>
          <t>2026-03-07</t>
        </is>
      </c>
      <c r="B10" s="155" t="inlineStr">
        <is>
          <t>Ürün B</t>
        </is>
      </c>
      <c r="C10" s="155" t="inlineStr">
        <is>
          <t>Çıkış</t>
        </is>
      </c>
      <c r="D10" s="156" t="n">
        <v>25</v>
      </c>
      <c r="E10" s="157" t="n">
        <v>1250</v>
      </c>
      <c r="F10" s="155" t="inlineStr">
        <is>
          <t>Ana Depo</t>
        </is>
      </c>
      <c r="G10" s="158">
        <f>IF($D10=0,0,$D10*$E10)</f>
        <v/>
      </c>
      <c r="H10" s="122">
        <f>IF($B10="","",CONCATENATE("Örnek kayıt: ",$B10))</f>
        <v/>
      </c>
    </row>
    <row r="11" ht="15" customHeight="1" s="77">
      <c r="A11" s="154" t="inlineStr">
        <is>
          <t>2026-03-21</t>
        </is>
      </c>
      <c r="B11" s="155" t="inlineStr">
        <is>
          <t>Ürün A</t>
        </is>
      </c>
      <c r="C11" s="155" t="inlineStr">
        <is>
          <t>Giriş</t>
        </is>
      </c>
      <c r="D11" s="156" t="n">
        <v>80</v>
      </c>
      <c r="E11" s="157" t="n">
        <v>900</v>
      </c>
      <c r="F11" s="155" t="inlineStr">
        <is>
          <t>Ana Depo</t>
        </is>
      </c>
      <c r="G11" s="158">
        <f>IF($D11=0,0,$D11*$E11)</f>
        <v/>
      </c>
      <c r="H11" s="122">
        <f>IF($B11="","",CONCATENATE("Örnek kayıt: ",$B11))</f>
        <v/>
      </c>
    </row>
    <row r="12" ht="15" customHeight="1" s="77">
      <c r="G12" s="122">
        <f>IF($D12=0,0,$D12*$E12)</f>
        <v/>
      </c>
      <c r="H12" s="122">
        <f>IF($B12="","",CONCATENATE("Örnek kayıt: ",$B12))</f>
        <v/>
      </c>
    </row>
    <row r="13" ht="15" customHeight="1" s="77">
      <c r="G13" s="122">
        <f>IF($D13=0,0,$D13*$E13)</f>
        <v/>
      </c>
      <c r="H13" s="122">
        <f>IF($B13="","",CONCATENATE("Örnek kayıt: ",$B13))</f>
        <v/>
      </c>
    </row>
    <row r="14" ht="15" customHeight="1" s="77">
      <c r="G14" s="122">
        <f>IF($D14=0,0,$D14*$E14)</f>
        <v/>
      </c>
      <c r="H14" s="122">
        <f>IF($B14="","",CONCATENATE("Örnek kayıt: ",$B14))</f>
        <v/>
      </c>
    </row>
    <row r="15" ht="15" customHeight="1" s="77">
      <c r="G15" s="122">
        <f>IF($D15=0,0,$D15*$E15)</f>
        <v/>
      </c>
      <c r="H15" s="122">
        <f>IF($B15="","",CONCATENATE("Örnek kayıt: ",$B15))</f>
        <v/>
      </c>
    </row>
    <row r="16" ht="15" customHeight="1" s="77">
      <c r="G16" s="122">
        <f>IF($D16=0,0,$D16*$E16)</f>
        <v/>
      </c>
      <c r="H16" s="122">
        <f>IF($B16="","",CONCATENATE("Örnek kayıt: ",$B16))</f>
        <v/>
      </c>
    </row>
    <row r="17" ht="15" customHeight="1" s="77">
      <c r="G17" s="122">
        <f>IF($D17=0,0,$D17*$E17)</f>
        <v/>
      </c>
      <c r="H17" s="122">
        <f>IF($B17="","",CONCATENATE("Örnek kayıt: ",$B17))</f>
        <v/>
      </c>
    </row>
    <row r="18" ht="15" customHeight="1" s="77">
      <c r="G18" s="122">
        <f>IF($D18=0,0,$D18*$E18)</f>
        <v/>
      </c>
      <c r="H18" s="122">
        <f>IF($B18="","",CONCATENATE("Örnek kayıt: ",$B18))</f>
        <v/>
      </c>
    </row>
    <row r="19" ht="15" customHeight="1" s="77">
      <c r="G19" s="122">
        <f>IF($D19=0,0,$D19*$E19)</f>
        <v/>
      </c>
      <c r="H19" s="122">
        <f>IF($B19="","",CONCATENATE("Örnek kayıt: ",$B19))</f>
        <v/>
      </c>
    </row>
    <row r="20" ht="15" customHeight="1" s="77">
      <c r="G20" s="122">
        <f>IF($D20=0,0,$D20*$E20)</f>
        <v/>
      </c>
      <c r="H20" s="122">
        <f>IF($B20="","",CONCATENATE("Örnek kayıt: ",$B20))</f>
        <v/>
      </c>
    </row>
    <row r="21" ht="15" customHeight="1" s="77">
      <c r="G21" s="122">
        <f>IF($D21=0,0,$D21*$E21)</f>
        <v/>
      </c>
      <c r="H21" s="122">
        <f>IF($B21="","",CONCATENATE("Örnek kayıt: ",$B21))</f>
        <v/>
      </c>
    </row>
    <row r="22" ht="15" customHeight="1" s="77">
      <c r="G22" s="122">
        <f>IF($D22=0,0,$D22*$E22)</f>
        <v/>
      </c>
      <c r="H22" s="122">
        <f>IF($B22="","",CONCATENATE("Örnek kayıt: ",$B22))</f>
        <v/>
      </c>
    </row>
    <row r="23" ht="15" customHeight="1" s="77">
      <c r="G23" s="122">
        <f>IF($D23=0,0,$D23*$E23)</f>
        <v/>
      </c>
      <c r="H23" s="122">
        <f>IF($B23="","",CONCATENATE("Örnek kayıt: ",$B23))</f>
        <v/>
      </c>
    </row>
    <row r="24" ht="15" customHeight="1" s="77">
      <c r="G24" s="122">
        <f>IF($D24=0,0,$D24*$E24)</f>
        <v/>
      </c>
      <c r="H24" s="122">
        <f>IF($B24="","",CONCATENATE("Örnek kayıt: ",$B24))</f>
        <v/>
      </c>
    </row>
    <row r="25" ht="15" customHeight="1" s="77">
      <c r="G25" s="122">
        <f>IF($D25=0,0,$D25*$E25)</f>
        <v/>
      </c>
      <c r="H25" s="122">
        <f>IF($B25="","",CONCATENATE("Örnek kayıt: ",$B25))</f>
        <v/>
      </c>
    </row>
    <row r="26" ht="15" customHeight="1" s="77">
      <c r="G26" s="122">
        <f>IF($D26=0,0,$D26*$E26)</f>
        <v/>
      </c>
      <c r="H26" s="122">
        <f>IF($B26="","",CONCATENATE("Örnek kayıt: ",$B26))</f>
        <v/>
      </c>
    </row>
    <row r="27" ht="15" customHeight="1" s="77">
      <c r="G27" s="122">
        <f>IF($D27=0,0,$D27*$E27)</f>
        <v/>
      </c>
      <c r="H27" s="122">
        <f>IF($B27="","",CONCATENATE("Örnek kayıt: ",$B27))</f>
        <v/>
      </c>
    </row>
    <row r="28" ht="15" customHeight="1" s="77">
      <c r="G28" s="122">
        <f>IF($D28=0,0,$D28*$E28)</f>
        <v/>
      </c>
      <c r="H28" s="122">
        <f>IF($B28="","",CONCATENATE("Örnek kayıt: ",$B28))</f>
        <v/>
      </c>
    </row>
    <row r="29" ht="15" customHeight="1" s="77">
      <c r="G29" s="122">
        <f>IF($D29=0,0,$D29*$E29)</f>
        <v/>
      </c>
      <c r="H29" s="122">
        <f>IF($B29="","",CONCATENATE("Örnek kayıt: ",$B29))</f>
        <v/>
      </c>
    </row>
    <row r="30" ht="15" customHeight="1" s="77">
      <c r="G30" s="122">
        <f>IF($D30=0,0,$D30*$E30)</f>
        <v/>
      </c>
      <c r="H30" s="122">
        <f>IF($B30="","",CONCATENATE("Örnek kayıt: ",$B30))</f>
        <v/>
      </c>
    </row>
    <row r="31" ht="15" customHeight="1" s="77">
      <c r="G31" s="122">
        <f>IF($D31=0,0,$D31*$E31)</f>
        <v/>
      </c>
      <c r="H31" s="122">
        <f>IF($B31="","",CONCATENATE("Örnek kayıt: ",$B31))</f>
        <v/>
      </c>
    </row>
    <row r="32" ht="15" customHeight="1" s="77">
      <c r="G32" s="122">
        <f>IF($D32=0,0,$D32*$E32)</f>
        <v/>
      </c>
      <c r="H32" s="122">
        <f>IF($B32="","",CONCATENATE("Örnek kayıt: ",$B32))</f>
        <v/>
      </c>
    </row>
    <row r="33" ht="15" customHeight="1" s="77">
      <c r="G33" s="122">
        <f>IF($D33=0,0,$D33*$E33)</f>
        <v/>
      </c>
      <c r="H33" s="122">
        <f>IF($B33="","",CONCATENATE("Örnek kayıt: ",$B33))</f>
        <v/>
      </c>
    </row>
    <row r="34" ht="15" customHeight="1" s="77">
      <c r="G34" s="122">
        <f>IF($D34=0,0,$D34*$E34)</f>
        <v/>
      </c>
      <c r="H34" s="122">
        <f>IF($B34="","",CONCATENATE("Örnek kayıt: ",$B34))</f>
        <v/>
      </c>
    </row>
    <row r="35" ht="15" customHeight="1" s="77">
      <c r="G35" s="122">
        <f>IF($D35=0,0,$D35*$E35)</f>
        <v/>
      </c>
      <c r="H35" s="122">
        <f>IF($B35="","",CONCATENATE("Örnek kayıt: ",$B35))</f>
        <v/>
      </c>
    </row>
    <row r="36" ht="15" customHeight="1" s="77">
      <c r="G36" s="122">
        <f>IF($D36=0,0,$D36*$E36)</f>
        <v/>
      </c>
      <c r="H36" s="122">
        <f>IF($B36="","",CONCATENATE("Örnek kayıt: ",$B36))</f>
        <v/>
      </c>
    </row>
    <row r="37" ht="15" customHeight="1" s="77">
      <c r="G37" s="122">
        <f>IF($D37=0,0,$D37*$E37)</f>
        <v/>
      </c>
      <c r="H37" s="122">
        <f>IF($B37="","",CONCATENATE("Örnek kayıt: ",$B37))</f>
        <v/>
      </c>
    </row>
    <row r="38" ht="15" customHeight="1" s="77">
      <c r="G38" s="122">
        <f>IF($D38=0,0,$D38*$E38)</f>
        <v/>
      </c>
      <c r="H38" s="122">
        <f>IF($B38="","",CONCATENATE("Örnek kayıt: ",$B38))</f>
        <v/>
      </c>
    </row>
    <row r="39" ht="15" customHeight="1" s="77">
      <c r="G39" s="122">
        <f>IF($D39=0,0,$D39*$E39)</f>
        <v/>
      </c>
      <c r="H39" s="122">
        <f>IF($B39="","",CONCATENATE("Örnek kayıt: ",$B39))</f>
        <v/>
      </c>
    </row>
    <row r="40" ht="15" customHeight="1" s="77">
      <c r="G40" s="122">
        <f>IF($D40=0,0,$D40*$E40)</f>
        <v/>
      </c>
      <c r="H40" s="122">
        <f>IF($B40="","",CONCATENATE("Örnek kayıt: ",$B40))</f>
        <v/>
      </c>
    </row>
    <row r="41" ht="15" customHeight="1" s="77">
      <c r="G41" s="122">
        <f>IF($D41=0,0,$D41*$E41)</f>
        <v/>
      </c>
      <c r="H41" s="122">
        <f>IF($B41="","",CONCATENATE("Örnek kayıt: ",$B41))</f>
        <v/>
      </c>
    </row>
    <row r="42" ht="15" customHeight="1" s="77">
      <c r="G42" s="122">
        <f>IF($D42=0,0,$D42*$E42)</f>
        <v/>
      </c>
      <c r="H42" s="122">
        <f>IF($B42="","",CONCATENATE("Örnek kayıt: ",$B42))</f>
        <v/>
      </c>
    </row>
    <row r="43" ht="15" customHeight="1" s="77">
      <c r="G43" s="122">
        <f>IF($D43=0,0,$D43*$E43)</f>
        <v/>
      </c>
      <c r="H43" s="122">
        <f>IF($B43="","",CONCATENATE("Örnek kayıt: ",$B43))</f>
        <v/>
      </c>
    </row>
    <row r="44" ht="15" customHeight="1" s="77">
      <c r="G44" s="122">
        <f>IF($D44=0,0,$D44*$E44)</f>
        <v/>
      </c>
      <c r="H44" s="122">
        <f>IF($B44="","",CONCATENATE("Örnek kayıt: ",$B44))</f>
        <v/>
      </c>
    </row>
    <row r="45" ht="15" customHeight="1" s="77">
      <c r="G45" s="122">
        <f>IF($D45=0,0,$D45*$E45)</f>
        <v/>
      </c>
      <c r="H45" s="122">
        <f>IF($B45="","",CONCATENATE("Örnek kayıt: ",$B45))</f>
        <v/>
      </c>
    </row>
    <row r="46" ht="15" customHeight="1" s="77">
      <c r="G46" s="122">
        <f>IF($D46=0,0,$D46*$E46)</f>
        <v/>
      </c>
      <c r="H46" s="122">
        <f>IF($B46="","",CONCATENATE("Örnek kayıt: ",$B46))</f>
        <v/>
      </c>
    </row>
    <row r="47" ht="15" customHeight="1" s="77">
      <c r="G47" s="122">
        <f>IF($D47=0,0,$D47*$E47)</f>
        <v/>
      </c>
      <c r="H47" s="122">
        <f>IF($B47="","",CONCATENATE("Örnek kayıt: ",$B47))</f>
        <v/>
      </c>
    </row>
    <row r="48" ht="15" customHeight="1" s="77">
      <c r="G48" s="122">
        <f>IF($D48=0,0,$D48*$E48)</f>
        <v/>
      </c>
      <c r="H48" s="122">
        <f>IF($B48="","",CONCATENATE("Örnek kayıt: ",$B48))</f>
        <v/>
      </c>
    </row>
    <row r="49" ht="15" customHeight="1" s="77">
      <c r="G49" s="122">
        <f>IF($D49=0,0,$D49*$E49)</f>
        <v/>
      </c>
      <c r="H49" s="122">
        <f>IF($B49="","",CONCATENATE("Örnek kayıt: ",$B49))</f>
        <v/>
      </c>
    </row>
    <row r="50" ht="15" customHeight="1" s="77">
      <c r="G50" s="122">
        <f>IF($D50=0,0,$D50*$E50)</f>
        <v/>
      </c>
      <c r="H50" s="122">
        <f>IF($B50="","",CONCATENATE("Örnek kayıt: ",$B50))</f>
        <v/>
      </c>
    </row>
    <row r="51" ht="15" customHeight="1" s="77">
      <c r="G51" s="122">
        <f>IF($D51=0,0,$D51*$E51)</f>
        <v/>
      </c>
      <c r="H51" s="122">
        <f>IF($B51="","",CONCATENATE("Örnek kayıt: ",$B51))</f>
        <v/>
      </c>
    </row>
    <row r="52" ht="15" customHeight="1" s="77">
      <c r="G52" s="122">
        <f>IF($D52=0,0,$D52*$E52)</f>
        <v/>
      </c>
      <c r="H52" s="122">
        <f>IF($B52="","",CONCATENATE("Örnek kayıt: ",$B52))</f>
        <v/>
      </c>
    </row>
    <row r="53" ht="15" customHeight="1" s="77">
      <c r="G53" s="122">
        <f>IF($D53=0,0,$D53*$E53)</f>
        <v/>
      </c>
      <c r="H53" s="122">
        <f>IF($B53="","",CONCATENATE("Örnek kayıt: ",$B53))</f>
        <v/>
      </c>
    </row>
    <row r="54" ht="15" customHeight="1" s="77">
      <c r="G54" s="122">
        <f>IF($D54=0,0,$D54*$E54)</f>
        <v/>
      </c>
      <c r="H54" s="122">
        <f>IF($B54="","",CONCATENATE("Örnek kayıt: ",$B54))</f>
        <v/>
      </c>
    </row>
    <row r="55" ht="15" customHeight="1" s="77">
      <c r="G55" s="122">
        <f>IF($D55=0,0,$D55*$E55)</f>
        <v/>
      </c>
      <c r="H55" s="122">
        <f>IF($B55="","",CONCATENATE("Örnek kayıt: ",$B55))</f>
        <v/>
      </c>
    </row>
    <row r="56" ht="15" customHeight="1" s="77">
      <c r="G56" s="122">
        <f>IF($D56=0,0,$D56*$E56)</f>
        <v/>
      </c>
      <c r="H56" s="122">
        <f>IF($B56="","",CONCATENATE("Örnek kayıt: ",$B56))</f>
        <v/>
      </c>
    </row>
    <row r="57" ht="15" customHeight="1" s="77">
      <c r="G57" s="122">
        <f>IF($D57=0,0,$D57*$E57)</f>
        <v/>
      </c>
      <c r="H57" s="122">
        <f>IF($B57="","",CONCATENATE("Örnek kayıt: ",$B57))</f>
        <v/>
      </c>
    </row>
    <row r="58" ht="15" customHeight="1" s="77">
      <c r="G58" s="122">
        <f>IF($D58=0,0,$D58*$E58)</f>
        <v/>
      </c>
      <c r="H58" s="122">
        <f>IF($B58="","",CONCATENATE("Örnek kayıt: ",$B58))</f>
        <v/>
      </c>
    </row>
    <row r="59" ht="15" customHeight="1" s="77">
      <c r="G59" s="122">
        <f>IF($D59=0,0,$D59*$E59)</f>
        <v/>
      </c>
      <c r="H59" s="122">
        <f>IF($B59="","",CONCATENATE("Örnek kayıt: ",$B59))</f>
        <v/>
      </c>
    </row>
    <row r="60" ht="15" customHeight="1" s="77">
      <c r="G60" s="122">
        <f>IF($D60=0,0,$D60*$E60)</f>
        <v/>
      </c>
      <c r="H60" s="122">
        <f>IF($B60="","",CONCATENATE("Örnek kayıt: ",$B60))</f>
        <v/>
      </c>
    </row>
    <row r="61" ht="15" customHeight="1" s="77">
      <c r="G61" s="122">
        <f>IF($D61=0,0,$D61*$E61)</f>
        <v/>
      </c>
      <c r="H61" s="122">
        <f>IF($B61="","",CONCATENATE("Örnek kayıt: ",$B61))</f>
        <v/>
      </c>
    </row>
    <row r="62" ht="15" customHeight="1" s="77">
      <c r="G62" s="122">
        <f>IF($D62=0,0,$D62*$E62)</f>
        <v/>
      </c>
      <c r="H62" s="122">
        <f>IF($B62="","",CONCATENATE("Örnek kayıt: ",$B62))</f>
        <v/>
      </c>
    </row>
    <row r="63" ht="15" customHeight="1" s="77">
      <c r="G63" s="122">
        <f>IF($D63=0,0,$D63*$E63)</f>
        <v/>
      </c>
      <c r="H63" s="122">
        <f>IF($B63="","",CONCATENATE("Örnek kayıt: ",$B63))</f>
        <v/>
      </c>
    </row>
    <row r="64" ht="15" customHeight="1" s="77">
      <c r="G64" s="122">
        <f>IF($D64=0,0,$D64*$E64)</f>
        <v/>
      </c>
      <c r="H64" s="122">
        <f>IF($B64="","",CONCATENATE("Örnek kayıt: ",$B64))</f>
        <v/>
      </c>
    </row>
    <row r="65" ht="15" customHeight="1" s="77">
      <c r="G65" s="122">
        <f>IF($D65=0,0,$D65*$E65)</f>
        <v/>
      </c>
      <c r="H65" s="122">
        <f>IF($B65="","",CONCATENATE("Örnek kayıt: ",$B65))</f>
        <v/>
      </c>
    </row>
    <row r="66" ht="15" customHeight="1" s="77">
      <c r="G66" s="122">
        <f>IF($D66=0,0,$D66*$E66)</f>
        <v/>
      </c>
      <c r="H66" s="122">
        <f>IF($B66="","",CONCATENATE("Örnek kayıt: ",$B66))</f>
        <v/>
      </c>
    </row>
    <row r="67" ht="15" customHeight="1" s="77">
      <c r="G67" s="122">
        <f>IF($D67=0,0,$D67*$E67)</f>
        <v/>
      </c>
      <c r="H67" s="122">
        <f>IF($B67="","",CONCATENATE("Örnek kayıt: ",$B67))</f>
        <v/>
      </c>
    </row>
    <row r="68" ht="15" customHeight="1" s="77">
      <c r="G68" s="122">
        <f>IF($D68=0,0,$D68*$E68)</f>
        <v/>
      </c>
      <c r="H68" s="122">
        <f>IF($B68="","",CONCATENATE("Örnek kayıt: ",$B68))</f>
        <v/>
      </c>
    </row>
    <row r="69" ht="15" customHeight="1" s="77">
      <c r="G69" s="122">
        <f>IF($D69=0,0,$D69*$E69)</f>
        <v/>
      </c>
      <c r="H69" s="122">
        <f>IF($B69="","",CONCATENATE("Örnek kayıt: ",$B69))</f>
        <v/>
      </c>
    </row>
    <row r="70" ht="15" customHeight="1" s="77">
      <c r="G70" s="122">
        <f>IF($D70=0,0,$D70*$E70)</f>
        <v/>
      </c>
      <c r="H70" s="122">
        <f>IF($B70="","",CONCATENATE("Örnek kayıt: ",$B70))</f>
        <v/>
      </c>
    </row>
    <row r="71" ht="15" customHeight="1" s="77">
      <c r="G71" s="122">
        <f>IF($D71=0,0,$D71*$E71)</f>
        <v/>
      </c>
      <c r="H71" s="122">
        <f>IF($B71="","",CONCATENATE("Örnek kayıt: ",$B71))</f>
        <v/>
      </c>
    </row>
    <row r="72" ht="15" customHeight="1" s="77">
      <c r="G72" s="122">
        <f>IF($D72=0,0,$D72*$E72)</f>
        <v/>
      </c>
      <c r="H72" s="122">
        <f>IF($B72="","",CONCATENATE("Örnek kayıt: ",$B72))</f>
        <v/>
      </c>
    </row>
    <row r="73" ht="15" customHeight="1" s="77">
      <c r="G73" s="122">
        <f>IF($D73=0,0,$D73*$E73)</f>
        <v/>
      </c>
      <c r="H73" s="122">
        <f>IF($B73="","",CONCATENATE("Örnek kayıt: ",$B73))</f>
        <v/>
      </c>
    </row>
    <row r="74" ht="15" customHeight="1" s="77">
      <c r="G74" s="122">
        <f>IF($D74=0,0,$D74*$E74)</f>
        <v/>
      </c>
      <c r="H74" s="122">
        <f>IF($B74="","",CONCATENATE("Örnek kayıt: ",$B74))</f>
        <v/>
      </c>
    </row>
    <row r="75" ht="15" customHeight="1" s="77">
      <c r="G75" s="122">
        <f>IF($D75=0,0,$D75*$E75)</f>
        <v/>
      </c>
      <c r="H75" s="122">
        <f>IF($B75="","",CONCATENATE("Örnek kayıt: ",$B75))</f>
        <v/>
      </c>
    </row>
    <row r="76" ht="15" customHeight="1" s="77">
      <c r="G76" s="122">
        <f>IF($D76=0,0,$D76*$E76)</f>
        <v/>
      </c>
      <c r="H76" s="122">
        <f>IF($B76="","",CONCATENATE("Örnek kayıt: ",$B76))</f>
        <v/>
      </c>
    </row>
    <row r="77" ht="15" customHeight="1" s="77">
      <c r="G77" s="122">
        <f>IF($D77=0,0,$D77*$E77)</f>
        <v/>
      </c>
      <c r="H77" s="122">
        <f>IF($B77="","",CONCATENATE("Örnek kayıt: ",$B77))</f>
        <v/>
      </c>
    </row>
    <row r="78" ht="15" customHeight="1" s="77">
      <c r="G78" s="122">
        <f>IF($D78=0,0,$D78*$E78)</f>
        <v/>
      </c>
      <c r="H78" s="122">
        <f>IF($B78="","",CONCATENATE("Örnek kayıt: ",$B78))</f>
        <v/>
      </c>
    </row>
    <row r="79" ht="15" customHeight="1" s="77">
      <c r="G79" s="122">
        <f>IF($D79=0,0,$D79*$E79)</f>
        <v/>
      </c>
      <c r="H79" s="122">
        <f>IF($B79="","",CONCATENATE("Örnek kayıt: ",$B79))</f>
        <v/>
      </c>
    </row>
    <row r="80" ht="15" customHeight="1" s="77">
      <c r="G80" s="122">
        <f>IF($D80=0,0,$D80*$E80)</f>
        <v/>
      </c>
      <c r="H80" s="122">
        <f>IF($B80="","",CONCATENATE("Örnek kayıt: ",$B80))</f>
        <v/>
      </c>
    </row>
    <row r="81" ht="15" customHeight="1" s="77">
      <c r="G81" s="122">
        <f>IF($D81=0,0,$D81*$E81)</f>
        <v/>
      </c>
      <c r="H81" s="122">
        <f>IF($B81="","",CONCATENATE("Örnek kayıt: ",$B81))</f>
        <v/>
      </c>
    </row>
    <row r="82" ht="15" customHeight="1" s="77">
      <c r="G82" s="122">
        <f>IF($D82=0,0,$D82*$E82)</f>
        <v/>
      </c>
      <c r="H82" s="122">
        <f>IF($B82="","",CONCATENATE("Örnek kayıt: ",$B82))</f>
        <v/>
      </c>
    </row>
    <row r="83" ht="15" customHeight="1" s="77">
      <c r="G83" s="122">
        <f>IF($D83=0,0,$D83*$E83)</f>
        <v/>
      </c>
      <c r="H83" s="122">
        <f>IF($B83="","",CONCATENATE("Örnek kayıt: ",$B83))</f>
        <v/>
      </c>
    </row>
    <row r="84" ht="15" customHeight="1" s="77">
      <c r="G84" s="122">
        <f>IF($D84=0,0,$D84*$E84)</f>
        <v/>
      </c>
      <c r="H84" s="122">
        <f>IF($B84="","",CONCATENATE("Örnek kayıt: ",$B84))</f>
        <v/>
      </c>
    </row>
    <row r="85" ht="15" customHeight="1" s="77">
      <c r="G85" s="122">
        <f>IF($D85=0,0,$D85*$E85)</f>
        <v/>
      </c>
      <c r="H85" s="122">
        <f>IF($B85="","",CONCATENATE("Örnek kayıt: ",$B85))</f>
        <v/>
      </c>
    </row>
    <row r="86" ht="15" customHeight="1" s="77">
      <c r="G86" s="122">
        <f>IF($D86=0,0,$D86*$E86)</f>
        <v/>
      </c>
      <c r="H86" s="122">
        <f>IF($B86="","",CONCATENATE("Örnek kayıt: ",$B86))</f>
        <v/>
      </c>
    </row>
    <row r="87" ht="15" customHeight="1" s="77">
      <c r="G87" s="122">
        <f>IF($D87=0,0,$D87*$E87)</f>
        <v/>
      </c>
      <c r="H87" s="122">
        <f>IF($B87="","",CONCATENATE("Örnek kayıt: ",$B87))</f>
        <v/>
      </c>
    </row>
    <row r="88" ht="15" customHeight="1" s="77">
      <c r="G88" s="122">
        <f>IF($D88=0,0,$D88*$E88)</f>
        <v/>
      </c>
      <c r="H88" s="122">
        <f>IF($B88="","",CONCATENATE("Örnek kayıt: ",$B88))</f>
        <v/>
      </c>
    </row>
    <row r="89" ht="15" customHeight="1" s="77">
      <c r="G89" s="122">
        <f>IF($D89=0,0,$D89*$E89)</f>
        <v/>
      </c>
      <c r="H89" s="122">
        <f>IF($B89="","",CONCATENATE("Örnek kayıt: ",$B89))</f>
        <v/>
      </c>
    </row>
    <row r="90" ht="15" customHeight="1" s="77">
      <c r="G90" s="122">
        <f>IF($D90=0,0,$D90*$E90)</f>
        <v/>
      </c>
      <c r="H90" s="122">
        <f>IF($B90="","",CONCATENATE("Örnek kayıt: ",$B90))</f>
        <v/>
      </c>
    </row>
    <row r="91" ht="15" customHeight="1" s="77">
      <c r="G91" s="122">
        <f>IF($D91=0,0,$D91*$E91)</f>
        <v/>
      </c>
      <c r="H91" s="122">
        <f>IF($B91="","",CONCATENATE("Örnek kayıt: ",$B91))</f>
        <v/>
      </c>
    </row>
    <row r="92" ht="15" customHeight="1" s="77">
      <c r="G92" s="122">
        <f>IF($D92=0,0,$D92*$E92)</f>
        <v/>
      </c>
      <c r="H92" s="122">
        <f>IF($B92="","",CONCATENATE("Örnek kayıt: ",$B92))</f>
        <v/>
      </c>
    </row>
    <row r="93" ht="15" customHeight="1" s="77">
      <c r="G93" s="122">
        <f>IF($D93=0,0,$D93*$E93)</f>
        <v/>
      </c>
      <c r="H93" s="122">
        <f>IF($B93="","",CONCATENATE("Örnek kayıt: ",$B93))</f>
        <v/>
      </c>
    </row>
    <row r="94" ht="15" customHeight="1" s="77">
      <c r="G94" s="122">
        <f>IF($D94=0,0,$D94*$E94)</f>
        <v/>
      </c>
      <c r="H94" s="122">
        <f>IF($B94="","",CONCATENATE("Örnek kayıt: ",$B94))</f>
        <v/>
      </c>
    </row>
    <row r="95" ht="15" customHeight="1" s="77">
      <c r="G95" s="122">
        <f>IF($D95=0,0,$D95*$E95)</f>
        <v/>
      </c>
      <c r="H95" s="122">
        <f>IF($B95="","",CONCATENATE("Örnek kayıt: ",$B95))</f>
        <v/>
      </c>
    </row>
    <row r="96" ht="15" customHeight="1" s="77">
      <c r="G96" s="122">
        <f>IF($D96=0,0,$D96*$E96)</f>
        <v/>
      </c>
      <c r="H96" s="122">
        <f>IF($B96="","",CONCATENATE("Örnek kayıt: ",$B96))</f>
        <v/>
      </c>
    </row>
    <row r="97" ht="15" customHeight="1" s="77">
      <c r="G97" s="122">
        <f>IF($D97=0,0,$D97*$E97)</f>
        <v/>
      </c>
      <c r="H97" s="122">
        <f>IF($B97="","",CONCATENATE("Örnek kayıt: ",$B97))</f>
        <v/>
      </c>
    </row>
    <row r="98" ht="15" customHeight="1" s="77">
      <c r="G98" s="122">
        <f>IF($D98=0,0,$D98*$E98)</f>
        <v/>
      </c>
      <c r="H98" s="122">
        <f>IF($B98="","",CONCATENATE("Örnek kayıt: ",$B98))</f>
        <v/>
      </c>
    </row>
    <row r="99" ht="15" customHeight="1" s="77">
      <c r="G99" s="122">
        <f>IF($D99=0,0,$D99*$E99)</f>
        <v/>
      </c>
      <c r="H99" s="122">
        <f>IF($B99="","",CONCATENATE("Örnek kayıt: ",$B99))</f>
        <v/>
      </c>
    </row>
    <row r="100" ht="15" customHeight="1" s="77">
      <c r="G100" s="122">
        <f>IF($D100=0,0,$D100*$E100)</f>
        <v/>
      </c>
      <c r="H100" s="122">
        <f>IF($B100="","",CONCATENATE("Örnek kayıt: ",$B100))</f>
        <v/>
      </c>
    </row>
    <row r="101" ht="15" customHeight="1" s="77">
      <c r="G101" s="122">
        <f>IF($D101=0,0,$D101*$E101)</f>
        <v/>
      </c>
      <c r="H101" s="122">
        <f>IF($B101="","",CONCATENATE("Örnek kayıt: ",$B101))</f>
        <v/>
      </c>
    </row>
    <row r="102" ht="15" customHeight="1" s="77">
      <c r="G102" s="122">
        <f>IF($D102=0,0,$D102*$E102)</f>
        <v/>
      </c>
      <c r="H102" s="122">
        <f>IF($B102="","",CONCATENATE("Örnek kayıt: ",$B102))</f>
        <v/>
      </c>
    </row>
    <row r="103" ht="15" customHeight="1" s="77">
      <c r="G103" s="122">
        <f>IF($D103=0,0,$D103*$E103)</f>
        <v/>
      </c>
      <c r="H103" s="122">
        <f>IF($B103="","",CONCATENATE("Örnek kayıt: ",$B103))</f>
        <v/>
      </c>
    </row>
    <row r="104" ht="15" customHeight="1" s="77">
      <c r="G104" s="122">
        <f>IF($D104=0,0,$D104*$E104)</f>
        <v/>
      </c>
      <c r="H104" s="122">
        <f>IF($B104="","",CONCATENATE("Örnek kayıt: ",$B104))</f>
        <v/>
      </c>
    </row>
    <row r="105" ht="15" customHeight="1" s="77">
      <c r="G105" s="122">
        <f>IF($D105=0,0,$D105*$E105)</f>
        <v/>
      </c>
      <c r="H105" s="122">
        <f>IF($B105="","",CONCATENATE("Örnek kayıt: ",$B105))</f>
        <v/>
      </c>
    </row>
    <row r="106" ht="15" customHeight="1" s="77">
      <c r="G106" s="122">
        <f>IF($D106=0,0,$D106*$E106)</f>
        <v/>
      </c>
      <c r="H106" s="122">
        <f>IF($B106="","",CONCATENATE("Örnek kayıt: ",$B106))</f>
        <v/>
      </c>
    </row>
    <row r="107" ht="15" customHeight="1" s="77">
      <c r="G107" s="122">
        <f>IF($D107=0,0,$D107*$E107)</f>
        <v/>
      </c>
      <c r="H107" s="122">
        <f>IF($B107="","",CONCATENATE("Örnek kayıt: ",$B107))</f>
        <v/>
      </c>
    </row>
    <row r="108" ht="15" customHeight="1" s="77">
      <c r="G108" s="122">
        <f>IF($D108=0,0,$D108*$E108)</f>
        <v/>
      </c>
      <c r="H108" s="122">
        <f>IF($B108="","",CONCATENATE("Örnek kayıt: ",$B108))</f>
        <v/>
      </c>
    </row>
    <row r="109" ht="15" customHeight="1" s="77">
      <c r="G109" s="122">
        <f>IF($D109=0,0,$D109*$E109)</f>
        <v/>
      </c>
      <c r="H109" s="122">
        <f>IF($B109="","",CONCATENATE("Örnek kayıt: ",$B109))</f>
        <v/>
      </c>
    </row>
    <row r="110" ht="15" customHeight="1" s="77">
      <c r="G110" s="122">
        <f>IF($D110=0,0,$D110*$E110)</f>
        <v/>
      </c>
      <c r="H110" s="122">
        <f>IF($B110="","",CONCATENATE("Örnek kayıt: ",$B110))</f>
        <v/>
      </c>
    </row>
    <row r="111" ht="15" customHeight="1" s="77">
      <c r="G111" s="122">
        <f>IF($D111=0,0,$D111*$E111)</f>
        <v/>
      </c>
      <c r="H111" s="122">
        <f>IF($B111="","",CONCATENATE("Örnek kayıt: ",$B111))</f>
        <v/>
      </c>
    </row>
    <row r="112" ht="15" customHeight="1" s="77">
      <c r="G112" s="122">
        <f>IF($D112=0,0,$D112*$E112)</f>
        <v/>
      </c>
      <c r="H112" s="122">
        <f>IF($B112="","",CONCATENATE("Örnek kayıt: ",$B112))</f>
        <v/>
      </c>
    </row>
    <row r="113" ht="15" customHeight="1" s="77">
      <c r="G113" s="122">
        <f>IF($D113=0,0,$D113*$E113)</f>
        <v/>
      </c>
      <c r="H113" s="122">
        <f>IF($B113="","",CONCATENATE("Örnek kayıt: ",$B113))</f>
        <v/>
      </c>
    </row>
    <row r="114" ht="15" customHeight="1" s="77">
      <c r="G114" s="122">
        <f>IF($D114=0,0,$D114*$E114)</f>
        <v/>
      </c>
      <c r="H114" s="122">
        <f>IF($B114="","",CONCATENATE("Örnek kayıt: ",$B114))</f>
        <v/>
      </c>
    </row>
    <row r="115" ht="15" customHeight="1" s="77">
      <c r="G115" s="122">
        <f>IF($D115=0,0,$D115*$E115)</f>
        <v/>
      </c>
      <c r="H115" s="122">
        <f>IF($B115="","",CONCATENATE("Örnek kayıt: ",$B115))</f>
        <v/>
      </c>
    </row>
    <row r="116" ht="15" customHeight="1" s="77">
      <c r="G116" s="122">
        <f>IF($D116=0,0,$D116*$E116)</f>
        <v/>
      </c>
      <c r="H116" s="122">
        <f>IF($B116="","",CONCATENATE("Örnek kayıt: ",$B116))</f>
        <v/>
      </c>
    </row>
    <row r="117" ht="15" customHeight="1" s="77">
      <c r="G117" s="122">
        <f>IF($D117=0,0,$D117*$E117)</f>
        <v/>
      </c>
      <c r="H117" s="122">
        <f>IF($B117="","",CONCATENATE("Örnek kayıt: ",$B117))</f>
        <v/>
      </c>
    </row>
    <row r="118" ht="15" customHeight="1" s="77">
      <c r="G118" s="122">
        <f>IF($D118=0,0,$D118*$E118)</f>
        <v/>
      </c>
      <c r="H118" s="122">
        <f>IF($B118="","",CONCATENATE("Örnek kayıt: ",$B118))</f>
        <v/>
      </c>
    </row>
    <row r="119" ht="15" customHeight="1" s="77">
      <c r="G119" s="122">
        <f>IF($D119=0,0,$D119*$E119)</f>
        <v/>
      </c>
      <c r="H119" s="122">
        <f>IF($B119="","",CONCATENATE("Örnek kayıt: ",$B119))</f>
        <v/>
      </c>
    </row>
    <row r="120" ht="15" customHeight="1" s="77">
      <c r="G120" s="122">
        <f>IF($D120=0,0,$D120*$E120)</f>
        <v/>
      </c>
      <c r="H120" s="122">
        <f>IF($B120="","",CONCATENATE("Örnek kayıt: ",$B120))</f>
        <v/>
      </c>
    </row>
    <row r="121" ht="15" customHeight="1" s="77">
      <c r="G121" s="122">
        <f>IF($D121=0,0,$D121*$E121)</f>
        <v/>
      </c>
      <c r="H121" s="122">
        <f>IF($B121="","",CONCATENATE("Örnek kayıt: ",$B121))</f>
        <v/>
      </c>
    </row>
    <row r="122" ht="15" customHeight="1" s="77">
      <c r="G122" s="122">
        <f>IF($D122=0,0,$D122*$E122)</f>
        <v/>
      </c>
      <c r="H122" s="122">
        <f>IF($B122="","",CONCATENATE("Örnek kayıt: ",$B122))</f>
        <v/>
      </c>
    </row>
    <row r="123" ht="15" customHeight="1" s="77">
      <c r="G123" s="122">
        <f>IF($D123=0,0,$D123*$E123)</f>
        <v/>
      </c>
      <c r="H123" s="122">
        <f>IF($B123="","",CONCATENATE("Örnek kayıt: ",$B123))</f>
        <v/>
      </c>
    </row>
    <row r="124" ht="15" customHeight="1" s="77">
      <c r="G124" s="122">
        <f>IF($D124=0,0,$D124*$E124)</f>
        <v/>
      </c>
      <c r="H124" s="122">
        <f>IF($B124="","",CONCATENATE("Örnek kayıt: ",$B124))</f>
        <v/>
      </c>
    </row>
    <row r="125" ht="15" customHeight="1" s="77">
      <c r="G125" s="122">
        <f>IF($D125=0,0,$D125*$E125)</f>
        <v/>
      </c>
      <c r="H125" s="122">
        <f>IF($B125="","",CONCATENATE("Örnek kayıt: ",$B125))</f>
        <v/>
      </c>
    </row>
    <row r="126" ht="15" customHeight="1" s="77">
      <c r="G126" s="122">
        <f>IF($D126=0,0,$D126*$E126)</f>
        <v/>
      </c>
      <c r="H126" s="122">
        <f>IF($B126="","",CONCATENATE("Örnek kayıt: ",$B126))</f>
        <v/>
      </c>
    </row>
    <row r="127" ht="15" customHeight="1" s="77">
      <c r="G127" s="122">
        <f>IF($D127=0,0,$D127*$E127)</f>
        <v/>
      </c>
      <c r="H127" s="122">
        <f>IF($B127="","",CONCATENATE("Örnek kayıt: ",$B127))</f>
        <v/>
      </c>
    </row>
    <row r="128" ht="15" customHeight="1" s="77">
      <c r="G128" s="122">
        <f>IF($D128=0,0,$D128*$E128)</f>
        <v/>
      </c>
      <c r="H128" s="122">
        <f>IF($B128="","",CONCATENATE("Örnek kayıt: ",$B128))</f>
        <v/>
      </c>
    </row>
    <row r="129" ht="15" customHeight="1" s="77">
      <c r="G129" s="122">
        <f>IF($D129=0,0,$D129*$E129)</f>
        <v/>
      </c>
      <c r="H129" s="122">
        <f>IF($B129="","",CONCATENATE("Örnek kayıt: ",$B129))</f>
        <v/>
      </c>
    </row>
    <row r="130" ht="15" customHeight="1" s="77">
      <c r="G130" s="122">
        <f>IF($D130=0,0,$D130*$E130)</f>
        <v/>
      </c>
      <c r="H130" s="122">
        <f>IF($B130="","",CONCATENATE("Örnek kayıt: ",$B130))</f>
        <v/>
      </c>
    </row>
    <row r="131" ht="15" customHeight="1" s="77">
      <c r="G131" s="122">
        <f>IF($D131=0,0,$D131*$E131)</f>
        <v/>
      </c>
      <c r="H131" s="122">
        <f>IF($B131="","",CONCATENATE("Örnek kayıt: ",$B131))</f>
        <v/>
      </c>
    </row>
    <row r="132" ht="15" customHeight="1" s="77">
      <c r="G132" s="122">
        <f>IF($D132=0,0,$D132*$E132)</f>
        <v/>
      </c>
      <c r="H132" s="122">
        <f>IF($B132="","",CONCATENATE("Örnek kayıt: ",$B132))</f>
        <v/>
      </c>
    </row>
    <row r="133" ht="15" customHeight="1" s="77">
      <c r="G133" s="122">
        <f>IF($D133=0,0,$D133*$E133)</f>
        <v/>
      </c>
      <c r="H133" s="122">
        <f>IF($B133="","",CONCATENATE("Örnek kayıt: ",$B133))</f>
        <v/>
      </c>
    </row>
    <row r="134" ht="15" customHeight="1" s="77">
      <c r="G134" s="122">
        <f>IF($D134=0,0,$D134*$E134)</f>
        <v/>
      </c>
      <c r="H134" s="122">
        <f>IF($B134="","",CONCATENATE("Örnek kayıt: ",$B134))</f>
        <v/>
      </c>
    </row>
    <row r="135" ht="15" customHeight="1" s="77">
      <c r="G135" s="122">
        <f>IF($D135=0,0,$D135*$E135)</f>
        <v/>
      </c>
      <c r="H135" s="122">
        <f>IF($B135="","",CONCATENATE("Örnek kayıt: ",$B135))</f>
        <v/>
      </c>
    </row>
    <row r="136" ht="15" customHeight="1" s="77">
      <c r="G136" s="122">
        <f>IF($D136=0,0,$D136*$E136)</f>
        <v/>
      </c>
      <c r="H136" s="122">
        <f>IF($B136="","",CONCATENATE("Örnek kayıt: ",$B136))</f>
        <v/>
      </c>
    </row>
    <row r="137" ht="15" customHeight="1" s="77">
      <c r="G137" s="122">
        <f>IF($D137=0,0,$D137*$E137)</f>
        <v/>
      </c>
      <c r="H137" s="122">
        <f>IF($B137="","",CONCATENATE("Örnek kayıt: ",$B137))</f>
        <v/>
      </c>
    </row>
    <row r="138" ht="15" customHeight="1" s="77">
      <c r="G138" s="122">
        <f>IF($D138=0,0,$D138*$E138)</f>
        <v/>
      </c>
      <c r="H138" s="122">
        <f>IF($B138="","",CONCATENATE("Örnek kayıt: ",$B138))</f>
        <v/>
      </c>
    </row>
    <row r="139" ht="15" customHeight="1" s="77">
      <c r="G139" s="122">
        <f>IF($D139=0,0,$D139*$E139)</f>
        <v/>
      </c>
      <c r="H139" s="122">
        <f>IF($B139="","",CONCATENATE("Örnek kayıt: ",$B139))</f>
        <v/>
      </c>
    </row>
    <row r="140" ht="15" customHeight="1" s="77">
      <c r="G140" s="122">
        <f>IF($D140=0,0,$D140*$E140)</f>
        <v/>
      </c>
      <c r="H140" s="122">
        <f>IF($B140="","",CONCATENATE("Örnek kayıt: ",$B140))</f>
        <v/>
      </c>
    </row>
    <row r="141" ht="15" customHeight="1" s="77">
      <c r="G141" s="122">
        <f>IF($D141=0,0,$D141*$E141)</f>
        <v/>
      </c>
      <c r="H141" s="122">
        <f>IF($B141="","",CONCATENATE("Örnek kayıt: ",$B141))</f>
        <v/>
      </c>
    </row>
    <row r="142" ht="15" customHeight="1" s="77">
      <c r="G142" s="122">
        <f>IF($D142=0,0,$D142*$E142)</f>
        <v/>
      </c>
      <c r="H142" s="122">
        <f>IF($B142="","",CONCATENATE("Örnek kayıt: ",$B142))</f>
        <v/>
      </c>
    </row>
    <row r="143" ht="15" customHeight="1" s="77">
      <c r="G143" s="122">
        <f>IF($D143=0,0,$D143*$E143)</f>
        <v/>
      </c>
      <c r="H143" s="122">
        <f>IF($B143="","",CONCATENATE("Örnek kayıt: ",$B143))</f>
        <v/>
      </c>
    </row>
    <row r="144" ht="15" customHeight="1" s="77">
      <c r="G144" s="122">
        <f>IF($D144=0,0,$D144*$E144)</f>
        <v/>
      </c>
      <c r="H144" s="122">
        <f>IF($B144="","",CONCATENATE("Örnek kayıt: ",$B144))</f>
        <v/>
      </c>
    </row>
    <row r="145" ht="15" customHeight="1" s="77">
      <c r="G145" s="122">
        <f>IF($D145=0,0,$D145*$E145)</f>
        <v/>
      </c>
      <c r="H145" s="122">
        <f>IF($B145="","",CONCATENATE("Örnek kayıt: ",$B145))</f>
        <v/>
      </c>
    </row>
    <row r="146" ht="15" customHeight="1" s="77">
      <c r="G146" s="122">
        <f>IF($D146=0,0,$D146*$E146)</f>
        <v/>
      </c>
      <c r="H146" s="122">
        <f>IF($B146="","",CONCATENATE("Örnek kayıt: ",$B146))</f>
        <v/>
      </c>
    </row>
    <row r="147" ht="15" customHeight="1" s="77">
      <c r="G147" s="122">
        <f>IF($D147=0,0,$D147*$E147)</f>
        <v/>
      </c>
      <c r="H147" s="122">
        <f>IF($B147="","",CONCATENATE("Örnek kayıt: ",$B147))</f>
        <v/>
      </c>
    </row>
    <row r="148" ht="15" customHeight="1" s="77">
      <c r="G148" s="122">
        <f>IF($D148=0,0,$D148*$E148)</f>
        <v/>
      </c>
      <c r="H148" s="122">
        <f>IF($B148="","",CONCATENATE("Örnek kayıt: ",$B148))</f>
        <v/>
      </c>
    </row>
    <row r="149" ht="15" customHeight="1" s="77">
      <c r="G149" s="122">
        <f>IF($D149=0,0,$D149*$E149)</f>
        <v/>
      </c>
      <c r="H149" s="122">
        <f>IF($B149="","",CONCATENATE("Örnek kayıt: ",$B149))</f>
        <v/>
      </c>
    </row>
    <row r="150" ht="15" customHeight="1" s="77">
      <c r="G150" s="122">
        <f>IF($D150=0,0,$D150*$E150)</f>
        <v/>
      </c>
      <c r="H150" s="122">
        <f>IF($B150="","",CONCATENATE("Örnek kayıt: ",$B150))</f>
        <v/>
      </c>
    </row>
    <row r="151" ht="15" customHeight="1" s="77">
      <c r="G151" s="122">
        <f>IF($D151=0,0,$D151*$E151)</f>
        <v/>
      </c>
      <c r="H151" s="122">
        <f>IF($B151="","",CONCATENATE("Örnek kayıt: ",$B151))</f>
        <v/>
      </c>
    </row>
    <row r="152" ht="15" customHeight="1" s="77">
      <c r="G152" s="122">
        <f>IF($D152=0,0,$D152*$E152)</f>
        <v/>
      </c>
      <c r="H152" s="122">
        <f>IF($B152="","",CONCATENATE("Örnek kayıt: ",$B152))</f>
        <v/>
      </c>
    </row>
    <row r="153" ht="15" customHeight="1" s="77">
      <c r="G153" s="122">
        <f>IF($D153=0,0,$D153*$E153)</f>
        <v/>
      </c>
      <c r="H153" s="122">
        <f>IF($B153="","",CONCATENATE("Örnek kayıt: ",$B153))</f>
        <v/>
      </c>
    </row>
    <row r="154" ht="15" customHeight="1" s="77">
      <c r="G154" s="122">
        <f>IF($D154=0,0,$D154*$E154)</f>
        <v/>
      </c>
      <c r="H154" s="122">
        <f>IF($B154="","",CONCATENATE("Örnek kayıt: ",$B154))</f>
        <v/>
      </c>
    </row>
    <row r="155" ht="15" customHeight="1" s="77">
      <c r="G155" s="122">
        <f>IF($D155=0,0,$D155*$E155)</f>
        <v/>
      </c>
      <c r="H155" s="122">
        <f>IF($B155="","",CONCATENATE("Örnek kayıt: ",$B155))</f>
        <v/>
      </c>
    </row>
    <row r="156" ht="15" customHeight="1" s="77">
      <c r="G156" s="122">
        <f>IF($D156=0,0,$D156*$E156)</f>
        <v/>
      </c>
      <c r="H156" s="122">
        <f>IF($B156="","",CONCATENATE("Örnek kayıt: ",$B156))</f>
        <v/>
      </c>
    </row>
    <row r="157" ht="15" customHeight="1" s="77">
      <c r="G157" s="122">
        <f>IF($D157=0,0,$D157*$E157)</f>
        <v/>
      </c>
      <c r="H157" s="122">
        <f>IF($B157="","",CONCATENATE("Örnek kayıt: ",$B157))</f>
        <v/>
      </c>
    </row>
    <row r="158" ht="15" customHeight="1" s="77">
      <c r="G158" s="122">
        <f>IF($D158=0,0,$D158*$E158)</f>
        <v/>
      </c>
      <c r="H158" s="122">
        <f>IF($B158="","",CONCATENATE("Örnek kayıt: ",$B158))</f>
        <v/>
      </c>
    </row>
    <row r="159" ht="15" customHeight="1" s="77">
      <c r="G159" s="122">
        <f>IF($D159=0,0,$D159*$E159)</f>
        <v/>
      </c>
      <c r="H159" s="122">
        <f>IF($B159="","",CONCATENATE("Örnek kayıt: ",$B159))</f>
        <v/>
      </c>
    </row>
    <row r="160" ht="15" customHeight="1" s="77">
      <c r="G160" s="122">
        <f>IF($D160=0,0,$D160*$E160)</f>
        <v/>
      </c>
      <c r="H160" s="122">
        <f>IF($B160="","",CONCATENATE("Örnek kayıt: ",$B160))</f>
        <v/>
      </c>
    </row>
    <row r="161" ht="15" customHeight="1" s="77">
      <c r="G161" s="122">
        <f>IF($D161=0,0,$D161*$E161)</f>
        <v/>
      </c>
      <c r="H161" s="122">
        <f>IF($B161="","",CONCATENATE("Örnek kayıt: ",$B161))</f>
        <v/>
      </c>
    </row>
    <row r="162" ht="15" customHeight="1" s="77">
      <c r="G162" s="122">
        <f>IF($D162=0,0,$D162*$E162)</f>
        <v/>
      </c>
      <c r="H162" s="122">
        <f>IF($B162="","",CONCATENATE("Örnek kayıt: ",$B162))</f>
        <v/>
      </c>
    </row>
    <row r="163" ht="15" customHeight="1" s="77">
      <c r="G163" s="122">
        <f>IF($D163=0,0,$D163*$E163)</f>
        <v/>
      </c>
      <c r="H163" s="122">
        <f>IF($B163="","",CONCATENATE("Örnek kayıt: ",$B163))</f>
        <v/>
      </c>
    </row>
    <row r="164" ht="15" customHeight="1" s="77">
      <c r="G164" s="122">
        <f>IF($D164=0,0,$D164*$E164)</f>
        <v/>
      </c>
      <c r="H164" s="122">
        <f>IF($B164="","",CONCATENATE("Örnek kayıt: ",$B164))</f>
        <v/>
      </c>
    </row>
    <row r="165" ht="15" customHeight="1" s="77">
      <c r="G165" s="122">
        <f>IF($D165=0,0,$D165*$E165)</f>
        <v/>
      </c>
      <c r="H165" s="122">
        <f>IF($B165="","",CONCATENATE("Örnek kayıt: ",$B165))</f>
        <v/>
      </c>
    </row>
    <row r="166" ht="15" customHeight="1" s="77">
      <c r="G166" s="122">
        <f>IF($D166=0,0,$D166*$E166)</f>
        <v/>
      </c>
      <c r="H166" s="122">
        <f>IF($B166="","",CONCATENATE("Örnek kayıt: ",$B166))</f>
        <v/>
      </c>
    </row>
    <row r="167" ht="15" customHeight="1" s="77">
      <c r="G167" s="122">
        <f>IF($D167=0,0,$D167*$E167)</f>
        <v/>
      </c>
      <c r="H167" s="122">
        <f>IF($B167="","",CONCATENATE("Örnek kayıt: ",$B167))</f>
        <v/>
      </c>
    </row>
    <row r="168" ht="15" customHeight="1" s="77">
      <c r="G168" s="122">
        <f>IF($D168=0,0,$D168*$E168)</f>
        <v/>
      </c>
      <c r="H168" s="122">
        <f>IF($B168="","",CONCATENATE("Örnek kayıt: ",$B168))</f>
        <v/>
      </c>
    </row>
    <row r="169" ht="15" customHeight="1" s="77">
      <c r="G169" s="122">
        <f>IF($D169=0,0,$D169*$E169)</f>
        <v/>
      </c>
      <c r="H169" s="122">
        <f>IF($B169="","",CONCATENATE("Örnek kayıt: ",$B169))</f>
        <v/>
      </c>
    </row>
    <row r="170" ht="15" customHeight="1" s="77">
      <c r="G170" s="122">
        <f>IF($D170=0,0,$D170*$E170)</f>
        <v/>
      </c>
      <c r="H170" s="122">
        <f>IF($B170="","",CONCATENATE("Örnek kayıt: ",$B170))</f>
        <v/>
      </c>
    </row>
    <row r="171" ht="15" customHeight="1" s="77">
      <c r="G171" s="122">
        <f>IF($D171=0,0,$D171*$E171)</f>
        <v/>
      </c>
      <c r="H171" s="122">
        <f>IF($B171="","",CONCATENATE("Örnek kayıt: ",$B171))</f>
        <v/>
      </c>
    </row>
    <row r="172" ht="15" customHeight="1" s="77">
      <c r="G172" s="122">
        <f>IF($D172=0,0,$D172*$E172)</f>
        <v/>
      </c>
      <c r="H172" s="122">
        <f>IF($B172="","",CONCATENATE("Örnek kayıt: ",$B172))</f>
        <v/>
      </c>
    </row>
    <row r="173" ht="15" customHeight="1" s="77">
      <c r="G173" s="122">
        <f>IF($D173=0,0,$D173*$E173)</f>
        <v/>
      </c>
      <c r="H173" s="122">
        <f>IF($B173="","",CONCATENATE("Örnek kayıt: ",$B173))</f>
        <v/>
      </c>
    </row>
    <row r="174" ht="15" customHeight="1" s="77">
      <c r="G174" s="122">
        <f>IF($D174=0,0,$D174*$E174)</f>
        <v/>
      </c>
      <c r="H174" s="122">
        <f>IF($B174="","",CONCATENATE("Örnek kayıt: ",$B174))</f>
        <v/>
      </c>
    </row>
    <row r="175" ht="15" customHeight="1" s="77">
      <c r="G175" s="122">
        <f>IF($D175=0,0,$D175*$E175)</f>
        <v/>
      </c>
      <c r="H175" s="122">
        <f>IF($B175="","",CONCATENATE("Örnek kayıt: ",$B175))</f>
        <v/>
      </c>
    </row>
    <row r="176" ht="15" customHeight="1" s="77">
      <c r="G176" s="122">
        <f>IF($D176=0,0,$D176*$E176)</f>
        <v/>
      </c>
      <c r="H176" s="122">
        <f>IF($B176="","",CONCATENATE("Örnek kayıt: ",$B176))</f>
        <v/>
      </c>
    </row>
    <row r="177" ht="15" customHeight="1" s="77">
      <c r="G177" s="122">
        <f>IF($D177=0,0,$D177*$E177)</f>
        <v/>
      </c>
      <c r="H177" s="122">
        <f>IF($B177="","",CONCATENATE("Örnek kayıt: ",$B177))</f>
        <v/>
      </c>
    </row>
    <row r="178" ht="15" customHeight="1" s="77">
      <c r="G178" s="122">
        <f>IF($D178=0,0,$D178*$E178)</f>
        <v/>
      </c>
      <c r="H178" s="122">
        <f>IF($B178="","",CONCATENATE("Örnek kayıt: ",$B178))</f>
        <v/>
      </c>
    </row>
    <row r="179" ht="15" customHeight="1" s="77">
      <c r="G179" s="122">
        <f>IF($D179=0,0,$D179*$E179)</f>
        <v/>
      </c>
      <c r="H179" s="122">
        <f>IF($B179="","",CONCATENATE("Örnek kayıt: ",$B179))</f>
        <v/>
      </c>
    </row>
    <row r="180" ht="15" customHeight="1" s="77">
      <c r="G180" s="122">
        <f>IF($D180=0,0,$D180*$E180)</f>
        <v/>
      </c>
      <c r="H180" s="122">
        <f>IF($B180="","",CONCATENATE("Örnek kayıt: ",$B180))</f>
        <v/>
      </c>
    </row>
    <row r="181" ht="15" customHeight="1" s="77">
      <c r="G181" s="122">
        <f>IF($D181=0,0,$D181*$E181)</f>
        <v/>
      </c>
      <c r="H181" s="122">
        <f>IF($B181="","",CONCATENATE("Örnek kayıt: ",$B181))</f>
        <v/>
      </c>
    </row>
    <row r="182" ht="15" customHeight="1" s="77">
      <c r="G182" s="122">
        <f>IF($D182=0,0,$D182*$E182)</f>
        <v/>
      </c>
      <c r="H182" s="122">
        <f>IF($B182="","",CONCATENATE("Örnek kayıt: ",$B182))</f>
        <v/>
      </c>
    </row>
    <row r="183" ht="15" customHeight="1" s="77">
      <c r="G183" s="122">
        <f>IF($D183=0,0,$D183*$E183)</f>
        <v/>
      </c>
      <c r="H183" s="122">
        <f>IF($B183="","",CONCATENATE("Örnek kayıt: ",$B183))</f>
        <v/>
      </c>
    </row>
    <row r="184" ht="15" customHeight="1" s="77">
      <c r="G184" s="122">
        <f>IF($D184=0,0,$D184*$E184)</f>
        <v/>
      </c>
      <c r="H184" s="122">
        <f>IF($B184="","",CONCATENATE("Örnek kayıt: ",$B184))</f>
        <v/>
      </c>
    </row>
    <row r="185" ht="15" customHeight="1" s="77">
      <c r="G185" s="122">
        <f>IF($D185=0,0,$D185*$E185)</f>
        <v/>
      </c>
      <c r="H185" s="122">
        <f>IF($B185="","",CONCATENATE("Örnek kayıt: ",$B185))</f>
        <v/>
      </c>
    </row>
    <row r="186" ht="15" customHeight="1" s="77">
      <c r="G186" s="122">
        <f>IF($D186=0,0,$D186*$E186)</f>
        <v/>
      </c>
      <c r="H186" s="122">
        <f>IF($B186="","",CONCATENATE("Örnek kayıt: ",$B186))</f>
        <v/>
      </c>
    </row>
    <row r="187" ht="15" customHeight="1" s="77">
      <c r="G187" s="122">
        <f>IF($D187=0,0,$D187*$E187)</f>
        <v/>
      </c>
      <c r="H187" s="122">
        <f>IF($B187="","",CONCATENATE("Örnek kayıt: ",$B187))</f>
        <v/>
      </c>
    </row>
    <row r="188" ht="15" customHeight="1" s="77">
      <c r="G188" s="122">
        <f>IF($D188=0,0,$D188*$E188)</f>
        <v/>
      </c>
      <c r="H188" s="122">
        <f>IF($B188="","",CONCATENATE("Örnek kayıt: ",$B188))</f>
        <v/>
      </c>
    </row>
    <row r="189" ht="15" customHeight="1" s="77">
      <c r="G189" s="122">
        <f>IF($D189=0,0,$D189*$E189)</f>
        <v/>
      </c>
      <c r="H189" s="122">
        <f>IF($B189="","",CONCATENATE("Örnek kayıt: ",$B189))</f>
        <v/>
      </c>
    </row>
    <row r="190" ht="15" customHeight="1" s="77">
      <c r="G190" s="122">
        <f>IF($D190=0,0,$D190*$E190)</f>
        <v/>
      </c>
      <c r="H190" s="122">
        <f>IF($B190="","",CONCATENATE("Örnek kayıt: ",$B190))</f>
        <v/>
      </c>
    </row>
    <row r="191" ht="15" customHeight="1" s="77">
      <c r="G191" s="122">
        <f>IF($D191=0,0,$D191*$E191)</f>
        <v/>
      </c>
      <c r="H191" s="122">
        <f>IF($B191="","",CONCATENATE("Örnek kayıt: ",$B191))</f>
        <v/>
      </c>
    </row>
    <row r="192" ht="15" customHeight="1" s="77">
      <c r="G192" s="122">
        <f>IF($D192=0,0,$D192*$E192)</f>
        <v/>
      </c>
      <c r="H192" s="122">
        <f>IF($B192="","",CONCATENATE("Örnek kayıt: ",$B192))</f>
        <v/>
      </c>
    </row>
    <row r="193" ht="15" customHeight="1" s="77">
      <c r="G193" s="122">
        <f>IF($D193=0,0,$D193*$E193)</f>
        <v/>
      </c>
      <c r="H193" s="122">
        <f>IF($B193="","",CONCATENATE("Örnek kayıt: ",$B193))</f>
        <v/>
      </c>
    </row>
    <row r="194" ht="15" customHeight="1" s="77">
      <c r="G194" s="122">
        <f>IF($D194=0,0,$D194*$E194)</f>
        <v/>
      </c>
      <c r="H194" s="122">
        <f>IF($B194="","",CONCATENATE("Örnek kayıt: ",$B194))</f>
        <v/>
      </c>
    </row>
    <row r="195" ht="15" customHeight="1" s="77">
      <c r="G195" s="122">
        <f>IF($D195=0,0,$D195*$E195)</f>
        <v/>
      </c>
      <c r="H195" s="122">
        <f>IF($B195="","",CONCATENATE("Örnek kayıt: ",$B195))</f>
        <v/>
      </c>
    </row>
    <row r="196" ht="15" customHeight="1" s="77">
      <c r="G196" s="122">
        <f>IF($D196=0,0,$D196*$E196)</f>
        <v/>
      </c>
      <c r="H196" s="122">
        <f>IF($B196="","",CONCATENATE("Örnek kayıt: ",$B196))</f>
        <v/>
      </c>
    </row>
    <row r="197" ht="15" customHeight="1" s="77">
      <c r="G197" s="122">
        <f>IF($D197=0,0,$D197*$E197)</f>
        <v/>
      </c>
      <c r="H197" s="122">
        <f>IF($B197="","",CONCATENATE("Örnek kayıt: ",$B197))</f>
        <v/>
      </c>
    </row>
    <row r="198" ht="15" customHeight="1" s="77">
      <c r="G198" s="122">
        <f>IF($D198=0,0,$D198*$E198)</f>
        <v/>
      </c>
      <c r="H198" s="122">
        <f>IF($B198="","",CONCATENATE("Örnek kayıt: ",$B198))</f>
        <v/>
      </c>
    </row>
    <row r="199" ht="15" customHeight="1" s="77">
      <c r="G199" s="122">
        <f>IF($D199=0,0,$D199*$E199)</f>
        <v/>
      </c>
      <c r="H199" s="122">
        <f>IF($B199="","",CONCATENATE("Örnek kayıt: ",$B199))</f>
        <v/>
      </c>
    </row>
    <row r="200" ht="15" customHeight="1" s="77">
      <c r="G200" s="122">
        <f>IF($D200=0,0,$D200*$E200)</f>
        <v/>
      </c>
      <c r="H200" s="122">
        <f>IF($B200="","",CONCATENATE("Örnek kayıt: ",$B200))</f>
        <v/>
      </c>
    </row>
    <row r="201" ht="15" customHeight="1" s="77">
      <c r="G201" s="122">
        <f>IF($D201=0,0,$D201*$E201)</f>
        <v/>
      </c>
      <c r="H201" s="122">
        <f>IF($B201="","",CONCATENATE("Örnek kayıt: ",$B201))</f>
        <v/>
      </c>
    </row>
    <row r="202" ht="15" customHeight="1" s="77">
      <c r="G202" s="122">
        <f>IF($D202=0,0,$D202*$E202)</f>
        <v/>
      </c>
      <c r="H202" s="122">
        <f>IF($B202="","",CONCATENATE("Örnek kayıt: ",$B202))</f>
        <v/>
      </c>
    </row>
    <row r="203" ht="15" customHeight="1" s="77">
      <c r="G203" s="122">
        <f>IF($D203=0,0,$D203*$E203)</f>
        <v/>
      </c>
      <c r="H203" s="122">
        <f>IF($B203="","",CONCATENATE("Örnek kayıt: ",$B203))</f>
        <v/>
      </c>
    </row>
    <row r="204" ht="15" customHeight="1" s="77">
      <c r="G204" s="122">
        <f>IF($D204=0,0,$D204*$E204)</f>
        <v/>
      </c>
      <c r="H204" s="122">
        <f>IF($B204="","",CONCATENATE("Örnek kayıt: ",$B204))</f>
        <v/>
      </c>
    </row>
    <row r="205" ht="15" customHeight="1" s="77">
      <c r="G205" s="122">
        <f>IF($D205=0,0,$D205*$E205)</f>
        <v/>
      </c>
      <c r="H205" s="122">
        <f>IF($B205="","",CONCATENATE("Örnek kayıt: ",$B205))</f>
        <v/>
      </c>
    </row>
    <row r="206" ht="15" customHeight="1" s="77">
      <c r="G206" s="122">
        <f>IF($D206=0,0,$D206*$E206)</f>
        <v/>
      </c>
      <c r="H206" s="122">
        <f>IF($B206="","",CONCATENATE("Örnek kayıt: ",$B206))</f>
        <v/>
      </c>
    </row>
    <row r="207" ht="15" customHeight="1" s="77">
      <c r="G207" s="122">
        <f>IF($D207=0,0,$D207*$E207)</f>
        <v/>
      </c>
      <c r="H207" s="122">
        <f>IF($B207="","",CONCATENATE("Örnek kayıt: ",$B207))</f>
        <v/>
      </c>
    </row>
    <row r="208" ht="15" customHeight="1" s="77">
      <c r="G208" s="122">
        <f>IF($D208=0,0,$D208*$E208)</f>
        <v/>
      </c>
      <c r="H208" s="122">
        <f>IF($B208="","",CONCATENATE("Örnek kayıt: ",$B208))</f>
        <v/>
      </c>
    </row>
    <row r="209" ht="15" customHeight="1" s="77">
      <c r="G209" s="122">
        <f>IF($D209=0,0,$D209*$E209)</f>
        <v/>
      </c>
      <c r="H209" s="122">
        <f>IF($B209="","",CONCATENATE("Örnek kayıt: ",$B209))</f>
        <v/>
      </c>
    </row>
    <row r="210" ht="15" customHeight="1" s="77">
      <c r="G210" s="122">
        <f>IF($D210=0,0,$D210*$E210)</f>
        <v/>
      </c>
      <c r="H210" s="122">
        <f>IF($B210="","",CONCATENATE("Örnek kayıt: ",$B210))</f>
        <v/>
      </c>
    </row>
    <row r="211" ht="15" customHeight="1" s="77">
      <c r="G211" s="122">
        <f>IF($D211=0,0,$D211*$E211)</f>
        <v/>
      </c>
      <c r="H211" s="122">
        <f>IF($B211="","",CONCATENATE("Örnek kayıt: ",$B211))</f>
        <v/>
      </c>
    </row>
    <row r="212" ht="15" customHeight="1" s="77">
      <c r="G212" s="122">
        <f>IF($D212=0,0,$D212*$E212)</f>
        <v/>
      </c>
      <c r="H212" s="122">
        <f>IF($B212="","",CONCATENATE("Örnek kayıt: ",$B212))</f>
        <v/>
      </c>
    </row>
    <row r="213" ht="15" customHeight="1" s="77">
      <c r="G213" s="122">
        <f>IF($D213=0,0,$D213*$E213)</f>
        <v/>
      </c>
      <c r="H213" s="122">
        <f>IF($B213="","",CONCATENATE("Örnek kayıt: ",$B213))</f>
        <v/>
      </c>
    </row>
    <row r="214" ht="15" customHeight="1" s="77">
      <c r="G214" s="122">
        <f>IF($D214=0,0,$D214*$E214)</f>
        <v/>
      </c>
      <c r="H214" s="122">
        <f>IF($B214="","",CONCATENATE("Örnek kayıt: ",$B214))</f>
        <v/>
      </c>
    </row>
    <row r="215" ht="15" customHeight="1" s="77">
      <c r="G215" s="122">
        <f>IF($D215=0,0,$D215*$E215)</f>
        <v/>
      </c>
      <c r="H215" s="122">
        <f>IF($B215="","",CONCATENATE("Örnek kayıt: ",$B215))</f>
        <v/>
      </c>
    </row>
    <row r="216" ht="15" customHeight="1" s="77">
      <c r="G216" s="122">
        <f>IF($D216=0,0,$D216*$E216)</f>
        <v/>
      </c>
      <c r="H216" s="122">
        <f>IF($B216="","",CONCATENATE("Örnek kayıt: ",$B216))</f>
        <v/>
      </c>
    </row>
    <row r="217" ht="15" customHeight="1" s="77">
      <c r="G217" s="122">
        <f>IF($D217=0,0,$D217*$E217)</f>
        <v/>
      </c>
      <c r="H217" s="122">
        <f>IF($B217="","",CONCATENATE("Örnek kayıt: ",$B217))</f>
        <v/>
      </c>
    </row>
    <row r="218" ht="15" customHeight="1" s="77">
      <c r="G218" s="122">
        <f>IF($D218=0,0,$D218*$E218)</f>
        <v/>
      </c>
      <c r="H218" s="122">
        <f>IF($B218="","",CONCATENATE("Örnek kayıt: ",$B218))</f>
        <v/>
      </c>
    </row>
    <row r="219" ht="15" customHeight="1" s="77">
      <c r="G219" s="122">
        <f>IF($D219=0,0,$D219*$E219)</f>
        <v/>
      </c>
      <c r="H219" s="122">
        <f>IF($B219="","",CONCATENATE("Örnek kayıt: ",$B219))</f>
        <v/>
      </c>
    </row>
    <row r="220" ht="15" customHeight="1" s="77">
      <c r="G220" s="122">
        <f>IF($D220=0,0,$D220*$E220)</f>
        <v/>
      </c>
      <c r="H220" s="122">
        <f>IF($B220="","",CONCATENATE("Örnek kayıt: ",$B220))</f>
        <v/>
      </c>
    </row>
    <row r="221" ht="15" customHeight="1" s="77">
      <c r="G221" s="122">
        <f>IF($D221=0,0,$D221*$E221)</f>
        <v/>
      </c>
      <c r="H221" s="122">
        <f>IF($B221="","",CONCATENATE("Örnek kayıt: ",$B221))</f>
        <v/>
      </c>
    </row>
    <row r="222" ht="15" customHeight="1" s="77">
      <c r="G222" s="122">
        <f>IF($D222=0,0,$D222*$E222)</f>
        <v/>
      </c>
      <c r="H222" s="122">
        <f>IF($B222="","",CONCATENATE("Örnek kayıt: ",$B222))</f>
        <v/>
      </c>
    </row>
    <row r="223" ht="15" customHeight="1" s="77">
      <c r="G223" s="122">
        <f>IF($D223=0,0,$D223*$E223)</f>
        <v/>
      </c>
      <c r="H223" s="122">
        <f>IF($B223="","",CONCATENATE("Örnek kayıt: ",$B223))</f>
        <v/>
      </c>
    </row>
    <row r="224" ht="15" customHeight="1" s="77">
      <c r="G224" s="122">
        <f>IF($D224=0,0,$D224*$E224)</f>
        <v/>
      </c>
      <c r="H224" s="122">
        <f>IF($B224="","",CONCATENATE("Örnek kayıt: ",$B224))</f>
        <v/>
      </c>
    </row>
    <row r="225" ht="15" customHeight="1" s="77">
      <c r="G225" s="122">
        <f>IF($D225=0,0,$D225*$E225)</f>
        <v/>
      </c>
      <c r="H225" s="122">
        <f>IF($B225="","",CONCATENATE("Örnek kayıt: ",$B225))</f>
        <v/>
      </c>
    </row>
    <row r="226" ht="15" customHeight="1" s="77">
      <c r="G226" s="122">
        <f>IF($D226=0,0,$D226*$E226)</f>
        <v/>
      </c>
      <c r="H226" s="122">
        <f>IF($B226="","",CONCATENATE("Örnek kayıt: ",$B226))</f>
        <v/>
      </c>
    </row>
    <row r="227" ht="15" customHeight="1" s="77">
      <c r="G227" s="122">
        <f>IF($D227=0,0,$D227*$E227)</f>
        <v/>
      </c>
      <c r="H227" s="122">
        <f>IF($B227="","",CONCATENATE("Örnek kayıt: ",$B227))</f>
        <v/>
      </c>
    </row>
    <row r="228" ht="15" customHeight="1" s="77">
      <c r="G228" s="122">
        <f>IF($D228=0,0,$D228*$E228)</f>
        <v/>
      </c>
      <c r="H228" s="122">
        <f>IF($B228="","",CONCATENATE("Örnek kayıt: ",$B228))</f>
        <v/>
      </c>
    </row>
    <row r="229" ht="15" customHeight="1" s="77">
      <c r="G229" s="122">
        <f>IF($D229=0,0,$D229*$E229)</f>
        <v/>
      </c>
      <c r="H229" s="122">
        <f>IF($B229="","",CONCATENATE("Örnek kayıt: ",$B229))</f>
        <v/>
      </c>
    </row>
    <row r="230" ht="15" customHeight="1" s="77">
      <c r="G230" s="122">
        <f>IF($D230=0,0,$D230*$E230)</f>
        <v/>
      </c>
      <c r="H230" s="122">
        <f>IF($B230="","",CONCATENATE("Örnek kayıt: ",$B230))</f>
        <v/>
      </c>
    </row>
    <row r="231" ht="15" customHeight="1" s="77">
      <c r="G231" s="122">
        <f>IF($D231=0,0,$D231*$E231)</f>
        <v/>
      </c>
      <c r="H231" s="122">
        <f>IF($B231="","",CONCATENATE("Örnek kayıt: ",$B231))</f>
        <v/>
      </c>
    </row>
    <row r="232" ht="15" customHeight="1" s="77">
      <c r="G232" s="122">
        <f>IF($D232=0,0,$D232*$E232)</f>
        <v/>
      </c>
      <c r="H232" s="122">
        <f>IF($B232="","",CONCATENATE("Örnek kayıt: ",$B232))</f>
        <v/>
      </c>
    </row>
    <row r="233" ht="15" customHeight="1" s="77">
      <c r="G233" s="122">
        <f>IF($D233=0,0,$D233*$E233)</f>
        <v/>
      </c>
      <c r="H233" s="122">
        <f>IF($B233="","",CONCATENATE("Örnek kayıt: ",$B233))</f>
        <v/>
      </c>
    </row>
    <row r="234" ht="15" customHeight="1" s="77">
      <c r="G234" s="122">
        <f>IF($D234=0,0,$D234*$E234)</f>
        <v/>
      </c>
      <c r="H234" s="122">
        <f>IF($B234="","",CONCATENATE("Örnek kayıt: ",$B234))</f>
        <v/>
      </c>
    </row>
    <row r="235" ht="15" customHeight="1" s="77">
      <c r="G235" s="122">
        <f>IF($D235=0,0,$D235*$E235)</f>
        <v/>
      </c>
      <c r="H235" s="122">
        <f>IF($B235="","",CONCATENATE("Örnek kayıt: ",$B235))</f>
        <v/>
      </c>
    </row>
    <row r="236" ht="15" customHeight="1" s="77">
      <c r="G236" s="122">
        <f>IF($D236=0,0,$D236*$E236)</f>
        <v/>
      </c>
      <c r="H236" s="122">
        <f>IF($B236="","",CONCATENATE("Örnek kayıt: ",$B236))</f>
        <v/>
      </c>
    </row>
    <row r="237" ht="15" customHeight="1" s="77">
      <c r="G237" s="122">
        <f>IF($D237=0,0,$D237*$E237)</f>
        <v/>
      </c>
      <c r="H237" s="122">
        <f>IF($B237="","",CONCATENATE("Örnek kayıt: ",$B237))</f>
        <v/>
      </c>
    </row>
    <row r="238" ht="15" customHeight="1" s="77">
      <c r="G238" s="122">
        <f>IF($D238=0,0,$D238*$E238)</f>
        <v/>
      </c>
      <c r="H238" s="122">
        <f>IF($B238="","",CONCATENATE("Örnek kayıt: ",$B238))</f>
        <v/>
      </c>
    </row>
    <row r="239" ht="15" customHeight="1" s="77">
      <c r="G239" s="122">
        <f>IF($D239=0,0,$D239*$E239)</f>
        <v/>
      </c>
      <c r="H239" s="122">
        <f>IF($B239="","",CONCATENATE("Örnek kayıt: ",$B239))</f>
        <v/>
      </c>
    </row>
    <row r="240" ht="15" customHeight="1" s="77">
      <c r="G240" s="122">
        <f>IF($D240=0,0,$D240*$E240)</f>
        <v/>
      </c>
      <c r="H240" s="122">
        <f>IF($B240="","",CONCATENATE("Örnek kayıt: ",$B240))</f>
        <v/>
      </c>
    </row>
    <row r="241" ht="15" customHeight="1" s="77">
      <c r="G241" s="122">
        <f>IF($D241=0,0,$D241*$E241)</f>
        <v/>
      </c>
      <c r="H241" s="122">
        <f>IF($B241="","",CONCATENATE("Örnek kayıt: ",$B241))</f>
        <v/>
      </c>
    </row>
    <row r="242" ht="15" customHeight="1" s="77">
      <c r="G242" s="122">
        <f>IF($D242=0,0,$D242*$E242)</f>
        <v/>
      </c>
      <c r="H242" s="122">
        <f>IF($B242="","",CONCATENATE("Örnek kayıt: ",$B242))</f>
        <v/>
      </c>
    </row>
    <row r="243" ht="15" customHeight="1" s="77">
      <c r="G243" s="122">
        <f>IF($D243=0,0,$D243*$E243)</f>
        <v/>
      </c>
      <c r="H243" s="122">
        <f>IF($B243="","",CONCATENATE("Örnek kayıt: ",$B243))</f>
        <v/>
      </c>
    </row>
    <row r="244" ht="15" customHeight="1" s="77">
      <c r="G244" s="122">
        <f>IF($D244=0,0,$D244*$E244)</f>
        <v/>
      </c>
      <c r="H244" s="122">
        <f>IF($B244="","",CONCATENATE("Örnek kayıt: ",$B244))</f>
        <v/>
      </c>
    </row>
    <row r="245" ht="15" customHeight="1" s="77">
      <c r="G245" s="122">
        <f>IF($D245=0,0,$D245*$E245)</f>
        <v/>
      </c>
      <c r="H245" s="122">
        <f>IF($B245="","",CONCATENATE("Örnek kayıt: ",$B245))</f>
        <v/>
      </c>
    </row>
    <row r="246" ht="15" customHeight="1" s="77">
      <c r="G246" s="122">
        <f>IF($D246=0,0,$D246*$E246)</f>
        <v/>
      </c>
      <c r="H246" s="122">
        <f>IF($B246="","",CONCATENATE("Örnek kayıt: ",$B246))</f>
        <v/>
      </c>
    </row>
    <row r="247" ht="15" customHeight="1" s="77">
      <c r="G247" s="122">
        <f>IF($D247=0,0,$D247*$E247)</f>
        <v/>
      </c>
      <c r="H247" s="122">
        <f>IF($B247="","",CONCATENATE("Örnek kayıt: ",$B247))</f>
        <v/>
      </c>
    </row>
    <row r="248" ht="15" customHeight="1" s="77">
      <c r="G248" s="122">
        <f>IF($D248=0,0,$D248*$E248)</f>
        <v/>
      </c>
      <c r="H248" s="122">
        <f>IF($B248="","",CONCATENATE("Örnek kayıt: ",$B248))</f>
        <v/>
      </c>
    </row>
    <row r="249" ht="15" customHeight="1" s="77">
      <c r="G249" s="122">
        <f>IF($D249=0,0,$D249*$E249)</f>
        <v/>
      </c>
      <c r="H249" s="122">
        <f>IF($B249="","",CONCATENATE("Örnek kayıt: ",$B249))</f>
        <v/>
      </c>
    </row>
    <row r="250" ht="15" customHeight="1" s="77">
      <c r="G250" s="122">
        <f>IF($D250=0,0,$D250*$E250)</f>
        <v/>
      </c>
      <c r="H250" s="122">
        <f>IF($B250="","",CONCATENATE("Örnek kayıt: ",$B250))</f>
        <v/>
      </c>
    </row>
    <row r="251" ht="15" customHeight="1" s="77">
      <c r="G251" s="122">
        <f>IF($D251=0,0,$D251*$E251)</f>
        <v/>
      </c>
      <c r="H251" s="122">
        <f>IF($B251="","",CONCATENATE("Örnek kayıt: ",$B251))</f>
        <v/>
      </c>
    </row>
    <row r="252" ht="15" customHeight="1" s="77">
      <c r="G252" s="122">
        <f>IF($D252=0,0,$D252*$E252)</f>
        <v/>
      </c>
      <c r="H252" s="122">
        <f>IF($B252="","",CONCATENATE("Örnek kayıt: ",$B252))</f>
        <v/>
      </c>
    </row>
    <row r="253" ht="15" customHeight="1" s="77">
      <c r="G253" s="122">
        <f>IF($D253=0,0,$D253*$E253)</f>
        <v/>
      </c>
      <c r="H253" s="122">
        <f>IF($B253="","",CONCATENATE("Örnek kayıt: ",$B253))</f>
        <v/>
      </c>
    </row>
    <row r="254" ht="15" customHeight="1" s="77">
      <c r="G254" s="122">
        <f>IF($D254=0,0,$D254*$E254)</f>
        <v/>
      </c>
      <c r="H254" s="122">
        <f>IF($B254="","",CONCATENATE("Örnek kayıt: ",$B254))</f>
        <v/>
      </c>
    </row>
    <row r="255" ht="15" customHeight="1" s="77">
      <c r="G255" s="122">
        <f>IF($D255=0,0,$D255*$E255)</f>
        <v/>
      </c>
      <c r="H255" s="122">
        <f>IF($B255="","",CONCATENATE("Örnek kayıt: ",$B255))</f>
        <v/>
      </c>
    </row>
    <row r="256" ht="15" customHeight="1" s="77">
      <c r="G256" s="122">
        <f>IF($D256=0,0,$D256*$E256)</f>
        <v/>
      </c>
      <c r="H256" s="122">
        <f>IF($B256="","",CONCATENATE("Örnek kayıt: ",$B256))</f>
        <v/>
      </c>
    </row>
    <row r="257" ht="15" customHeight="1" s="77">
      <c r="G257" s="122">
        <f>IF($D257=0,0,$D257*$E257)</f>
        <v/>
      </c>
      <c r="H257" s="122">
        <f>IF($B257="","",CONCATENATE("Örnek kayıt: ",$B257))</f>
        <v/>
      </c>
    </row>
    <row r="258" ht="15" customHeight="1" s="77">
      <c r="G258" s="122">
        <f>IF($D258=0,0,$D258*$E258)</f>
        <v/>
      </c>
      <c r="H258" s="122">
        <f>IF($B258="","",CONCATENATE("Örnek kayıt: ",$B258))</f>
        <v/>
      </c>
    </row>
    <row r="259" ht="15" customHeight="1" s="77">
      <c r="G259" s="122">
        <f>IF($D259=0,0,$D259*$E259)</f>
        <v/>
      </c>
      <c r="H259" s="122">
        <f>IF($B259="","",CONCATENATE("Örnek kayıt: ",$B259))</f>
        <v/>
      </c>
    </row>
    <row r="260" ht="15" customHeight="1" s="77">
      <c r="G260" s="122">
        <f>IF($D260=0,0,$D260*$E260)</f>
        <v/>
      </c>
      <c r="H260" s="122">
        <f>IF($B260="","",CONCATENATE("Örnek kayıt: ",$B260))</f>
        <v/>
      </c>
    </row>
    <row r="261" ht="15" customHeight="1" s="77">
      <c r="G261" s="122">
        <f>IF($D261=0,0,$D261*$E261)</f>
        <v/>
      </c>
      <c r="H261" s="122">
        <f>IF($B261="","",CONCATENATE("Örnek kayıt: ",$B261))</f>
        <v/>
      </c>
    </row>
    <row r="262" ht="15" customHeight="1" s="77">
      <c r="G262" s="122">
        <f>IF($D262=0,0,$D262*$E262)</f>
        <v/>
      </c>
      <c r="H262" s="122">
        <f>IF($B262="","",CONCATENATE("Örnek kayıt: ",$B262))</f>
        <v/>
      </c>
    </row>
    <row r="263" ht="15" customHeight="1" s="77">
      <c r="G263" s="122">
        <f>IF($D263=0,0,$D263*$E263)</f>
        <v/>
      </c>
      <c r="H263" s="122">
        <f>IF($B263="","",CONCATENATE("Örnek kayıt: ",$B263))</f>
        <v/>
      </c>
    </row>
    <row r="264" ht="15" customHeight="1" s="77">
      <c r="G264" s="122">
        <f>IF($D264=0,0,$D264*$E264)</f>
        <v/>
      </c>
      <c r="H264" s="122">
        <f>IF($B264="","",CONCATENATE("Örnek kayıt: ",$B264))</f>
        <v/>
      </c>
    </row>
    <row r="265" ht="15" customHeight="1" s="77">
      <c r="G265" s="122">
        <f>IF($D265=0,0,$D265*$E265)</f>
        <v/>
      </c>
      <c r="H265" s="122">
        <f>IF($B265="","",CONCATENATE("Örnek kayıt: ",$B265))</f>
        <v/>
      </c>
    </row>
    <row r="266" ht="15" customHeight="1" s="77">
      <c r="G266" s="122">
        <f>IF($D266=0,0,$D266*$E266)</f>
        <v/>
      </c>
      <c r="H266" s="122">
        <f>IF($B266="","",CONCATENATE("Örnek kayıt: ",$B266))</f>
        <v/>
      </c>
    </row>
    <row r="267" ht="15" customHeight="1" s="77">
      <c r="G267" s="122">
        <f>IF($D267=0,0,$D267*$E267)</f>
        <v/>
      </c>
      <c r="H267" s="122">
        <f>IF($B267="","",CONCATENATE("Örnek kayıt: ",$B267))</f>
        <v/>
      </c>
    </row>
    <row r="268" ht="15" customHeight="1" s="77">
      <c r="G268" s="122">
        <f>IF($D268=0,0,$D268*$E268)</f>
        <v/>
      </c>
      <c r="H268" s="122">
        <f>IF($B268="","",CONCATENATE("Örnek kayıt: ",$B268))</f>
        <v/>
      </c>
    </row>
    <row r="269" ht="15" customHeight="1" s="77">
      <c r="G269" s="122">
        <f>IF($D269=0,0,$D269*$E269)</f>
        <v/>
      </c>
      <c r="H269" s="122">
        <f>IF($B269="","",CONCATENATE("Örnek kayıt: ",$B269))</f>
        <v/>
      </c>
    </row>
    <row r="270" ht="15" customHeight="1" s="77">
      <c r="G270" s="122">
        <f>IF($D270=0,0,$D270*$E270)</f>
        <v/>
      </c>
      <c r="H270" s="122">
        <f>IF($B270="","",CONCATENATE("Örnek kayıt: ",$B270))</f>
        <v/>
      </c>
    </row>
    <row r="271" ht="15" customHeight="1" s="77">
      <c r="G271" s="122">
        <f>IF($D271=0,0,$D271*$E271)</f>
        <v/>
      </c>
      <c r="H271" s="122">
        <f>IF($B271="","",CONCATENATE("Örnek kayıt: ",$B271))</f>
        <v/>
      </c>
    </row>
    <row r="272" ht="15" customHeight="1" s="77">
      <c r="G272" s="122">
        <f>IF($D272=0,0,$D272*$E272)</f>
        <v/>
      </c>
      <c r="H272" s="122">
        <f>IF($B272="","",CONCATENATE("Örnek kayıt: ",$B272))</f>
        <v/>
      </c>
    </row>
    <row r="273" ht="15" customHeight="1" s="77">
      <c r="G273" s="122">
        <f>IF($D273=0,0,$D273*$E273)</f>
        <v/>
      </c>
      <c r="H273" s="122">
        <f>IF($B273="","",CONCATENATE("Örnek kayıt: ",$B273))</f>
        <v/>
      </c>
    </row>
    <row r="274" ht="15" customHeight="1" s="77">
      <c r="G274" s="122">
        <f>IF($D274=0,0,$D274*$E274)</f>
        <v/>
      </c>
      <c r="H274" s="122">
        <f>IF($B274="","",CONCATENATE("Örnek kayıt: ",$B274))</f>
        <v/>
      </c>
    </row>
    <row r="275" ht="15" customHeight="1" s="77">
      <c r="G275" s="122">
        <f>IF($D275=0,0,$D275*$E275)</f>
        <v/>
      </c>
      <c r="H275" s="122">
        <f>IF($B275="","",CONCATENATE("Örnek kayıt: ",$B275))</f>
        <v/>
      </c>
    </row>
    <row r="276" ht="15" customHeight="1" s="77">
      <c r="G276" s="122">
        <f>IF($D276=0,0,$D276*$E276)</f>
        <v/>
      </c>
      <c r="H276" s="122">
        <f>IF($B276="","",CONCATENATE("Örnek kayıt: ",$B276))</f>
        <v/>
      </c>
    </row>
    <row r="277" ht="15" customHeight="1" s="77">
      <c r="G277" s="122">
        <f>IF($D277=0,0,$D277*$E277)</f>
        <v/>
      </c>
      <c r="H277" s="122">
        <f>IF($B277="","",CONCATENATE("Örnek kayıt: ",$B277))</f>
        <v/>
      </c>
    </row>
    <row r="278" ht="15" customHeight="1" s="77">
      <c r="G278" s="122">
        <f>IF($D278=0,0,$D278*$E278)</f>
        <v/>
      </c>
      <c r="H278" s="122">
        <f>IF($B278="","",CONCATENATE("Örnek kayıt: ",$B278))</f>
        <v/>
      </c>
    </row>
    <row r="279" ht="15" customHeight="1" s="77">
      <c r="G279" s="122">
        <f>IF($D279=0,0,$D279*$E279)</f>
        <v/>
      </c>
      <c r="H279" s="122">
        <f>IF($B279="","",CONCATENATE("Örnek kayıt: ",$B279))</f>
        <v/>
      </c>
    </row>
    <row r="280" ht="15" customHeight="1" s="77">
      <c r="G280" s="122">
        <f>IF($D280=0,0,$D280*$E280)</f>
        <v/>
      </c>
      <c r="H280" s="122">
        <f>IF($B280="","",CONCATENATE("Örnek kayıt: ",$B280))</f>
        <v/>
      </c>
    </row>
    <row r="281" ht="15" customHeight="1" s="77">
      <c r="G281" s="122">
        <f>IF($D281=0,0,$D281*$E281)</f>
        <v/>
      </c>
      <c r="H281" s="122">
        <f>IF($B281="","",CONCATENATE("Örnek kayıt: ",$B281))</f>
        <v/>
      </c>
    </row>
    <row r="282" ht="15" customHeight="1" s="77">
      <c r="G282" s="122">
        <f>IF($D282=0,0,$D282*$E282)</f>
        <v/>
      </c>
      <c r="H282" s="122">
        <f>IF($B282="","",CONCATENATE("Örnek kayıt: ",$B282))</f>
        <v/>
      </c>
    </row>
    <row r="283" ht="15" customHeight="1" s="77">
      <c r="G283" s="122">
        <f>IF($D283=0,0,$D283*$E283)</f>
        <v/>
      </c>
      <c r="H283" s="122">
        <f>IF($B283="","",CONCATENATE("Örnek kayıt: ",$B283))</f>
        <v/>
      </c>
    </row>
    <row r="284" ht="15" customHeight="1" s="77">
      <c r="G284" s="122">
        <f>IF($D284=0,0,$D284*$E284)</f>
        <v/>
      </c>
      <c r="H284" s="122">
        <f>IF($B284="","",CONCATENATE("Örnek kayıt: ",$B284))</f>
        <v/>
      </c>
    </row>
    <row r="285" ht="15" customHeight="1" s="77">
      <c r="G285" s="122">
        <f>IF($D285=0,0,$D285*$E285)</f>
        <v/>
      </c>
      <c r="H285" s="122">
        <f>IF($B285="","",CONCATENATE("Örnek kayıt: ",$B285))</f>
        <v/>
      </c>
    </row>
    <row r="286" ht="15" customHeight="1" s="77">
      <c r="G286" s="122">
        <f>IF($D286=0,0,$D286*$E286)</f>
        <v/>
      </c>
      <c r="H286" s="122">
        <f>IF($B286="","",CONCATENATE("Örnek kayıt: ",$B286))</f>
        <v/>
      </c>
    </row>
    <row r="287" ht="15" customHeight="1" s="77">
      <c r="G287" s="122">
        <f>IF($D287=0,0,$D287*$E287)</f>
        <v/>
      </c>
      <c r="H287" s="122">
        <f>IF($B287="","",CONCATENATE("Örnek kayıt: ",$B287))</f>
        <v/>
      </c>
    </row>
    <row r="288" ht="15" customHeight="1" s="77">
      <c r="G288" s="122">
        <f>IF($D288=0,0,$D288*$E288)</f>
        <v/>
      </c>
      <c r="H288" s="122">
        <f>IF($B288="","",CONCATENATE("Örnek kayıt: ",$B288))</f>
        <v/>
      </c>
    </row>
    <row r="289" ht="15" customHeight="1" s="77">
      <c r="G289" s="122">
        <f>IF($D289=0,0,$D289*$E289)</f>
        <v/>
      </c>
      <c r="H289" s="122">
        <f>IF($B289="","",CONCATENATE("Örnek kayıt: ",$B289))</f>
        <v/>
      </c>
    </row>
    <row r="290" ht="15" customHeight="1" s="77">
      <c r="G290" s="122">
        <f>IF($D290=0,0,$D290*$E290)</f>
        <v/>
      </c>
      <c r="H290" s="122">
        <f>IF($B290="","",CONCATENATE("Örnek kayıt: ",$B290))</f>
        <v/>
      </c>
    </row>
    <row r="291" ht="15" customHeight="1" s="77">
      <c r="G291" s="122">
        <f>IF($D291=0,0,$D291*$E291)</f>
        <v/>
      </c>
      <c r="H291" s="122">
        <f>IF($B291="","",CONCATENATE("Örnek kayıt: ",$B291))</f>
        <v/>
      </c>
    </row>
    <row r="292" ht="15" customHeight="1" s="77">
      <c r="G292" s="122">
        <f>IF($D292=0,0,$D292*$E292)</f>
        <v/>
      </c>
      <c r="H292" s="122">
        <f>IF($B292="","",CONCATENATE("Örnek kayıt: ",$B292))</f>
        <v/>
      </c>
    </row>
    <row r="293" ht="15" customHeight="1" s="77">
      <c r="G293" s="122">
        <f>IF($D293=0,0,$D293*$E293)</f>
        <v/>
      </c>
      <c r="H293" s="122">
        <f>IF($B293="","",CONCATENATE("Örnek kayıt: ",$B293))</f>
        <v/>
      </c>
    </row>
    <row r="294" ht="15" customHeight="1" s="77">
      <c r="G294" s="122">
        <f>IF($D294=0,0,$D294*$E294)</f>
        <v/>
      </c>
      <c r="H294" s="122">
        <f>IF($B294="","",CONCATENATE("Örnek kayıt: ",$B294))</f>
        <v/>
      </c>
    </row>
    <row r="295" ht="15" customHeight="1" s="77">
      <c r="G295" s="122">
        <f>IF($D295=0,0,$D295*$E295)</f>
        <v/>
      </c>
      <c r="H295" s="122">
        <f>IF($B295="","",CONCATENATE("Örnek kayıt: ",$B295))</f>
        <v/>
      </c>
    </row>
    <row r="296" ht="15" customHeight="1" s="77">
      <c r="G296" s="122">
        <f>IF($D296=0,0,$D296*$E296)</f>
        <v/>
      </c>
      <c r="H296" s="122">
        <f>IF($B296="","",CONCATENATE("Örnek kayıt: ",$B296))</f>
        <v/>
      </c>
    </row>
    <row r="297" ht="15" customHeight="1" s="77">
      <c r="G297" s="122">
        <f>IF($D297=0,0,$D297*$E297)</f>
        <v/>
      </c>
      <c r="H297" s="122">
        <f>IF($B297="","",CONCATENATE("Örnek kayıt: ",$B297))</f>
        <v/>
      </c>
    </row>
    <row r="298" ht="15" customHeight="1" s="77">
      <c r="G298" s="122">
        <f>IF($D298=0,0,$D298*$E298)</f>
        <v/>
      </c>
      <c r="H298" s="122">
        <f>IF($B298="","",CONCATENATE("Örnek kayıt: ",$B298))</f>
        <v/>
      </c>
    </row>
    <row r="299" ht="15" customHeight="1" s="77">
      <c r="G299" s="122">
        <f>IF($D299=0,0,$D299*$E299)</f>
        <v/>
      </c>
      <c r="H299" s="122">
        <f>IF($B299="","",CONCATENATE("Örnek kayıt: ",$B299))</f>
        <v/>
      </c>
    </row>
    <row r="300" ht="15" customHeight="1" s="77">
      <c r="G300" s="122">
        <f>IF($D300=0,0,$D300*$E300)</f>
        <v/>
      </c>
      <c r="H300" s="122">
        <f>IF($B300="","",CONCATENATE("Örnek kayıt: ",$B300))</f>
        <v/>
      </c>
    </row>
    <row r="301" ht="15" customHeight="1" s="77">
      <c r="G301" s="122">
        <f>IF($D301=0,0,$D301*$E301)</f>
        <v/>
      </c>
      <c r="H301" s="122">
        <f>IF($B301="","",CONCATENATE("Örnek kayıt: ",$B301))</f>
        <v/>
      </c>
    </row>
    <row r="302" ht="15" customHeight="1" s="77">
      <c r="G302" s="122">
        <f>IF($D302=0,0,$D302*$E302)</f>
        <v/>
      </c>
      <c r="H302" s="122">
        <f>IF($B302="","",CONCATENATE("Örnek kayıt: ",$B302))</f>
        <v/>
      </c>
    </row>
    <row r="303" ht="15" customHeight="1" s="77">
      <c r="G303" s="122">
        <f>IF($D303=0,0,$D303*$E303)</f>
        <v/>
      </c>
      <c r="H303" s="122">
        <f>IF($B303="","",CONCATENATE("Örnek kayıt: ",$B303))</f>
        <v/>
      </c>
    </row>
    <row r="304" ht="15" customHeight="1" s="77">
      <c r="G304" s="122">
        <f>IF($D304=0,0,$D304*$E304)</f>
        <v/>
      </c>
      <c r="H304" s="122">
        <f>IF($B304="","",CONCATENATE("Örnek kayıt: ",$B304))</f>
        <v/>
      </c>
    </row>
    <row r="305" ht="15" customHeight="1" s="77">
      <c r="G305" s="122">
        <f>IF($D305=0,0,$D305*$E305)</f>
        <v/>
      </c>
      <c r="H305" s="122">
        <f>IF($B305="","",CONCATENATE("Örnek kayıt: ",$B305))</f>
        <v/>
      </c>
    </row>
    <row r="306" ht="15" customHeight="1" s="77">
      <c r="G306" s="122">
        <f>IF($D306=0,0,$D306*$E306)</f>
        <v/>
      </c>
      <c r="H306" s="122">
        <f>IF($B306="","",CONCATENATE("Örnek kayıt: ",$B306))</f>
        <v/>
      </c>
    </row>
    <row r="307" ht="15" customHeight="1" s="77">
      <c r="G307" s="122">
        <f>IF($D307=0,0,$D307*$E307)</f>
        <v/>
      </c>
      <c r="H307" s="122">
        <f>IF($B307="","",CONCATENATE("Örnek kayıt: ",$B307))</f>
        <v/>
      </c>
    </row>
    <row r="308" ht="15" customHeight="1" s="77">
      <c r="G308" s="122">
        <f>IF($D308=0,0,$D308*$E308)</f>
        <v/>
      </c>
      <c r="H308" s="122">
        <f>IF($B308="","",CONCATENATE("Örnek kayıt: ",$B308))</f>
        <v/>
      </c>
    </row>
    <row r="309" ht="15" customHeight="1" s="77">
      <c r="G309" s="122">
        <f>IF($D309=0,0,$D309*$E309)</f>
        <v/>
      </c>
      <c r="H309" s="122">
        <f>IF($B309="","",CONCATENATE("Örnek kayıt: ",$B309))</f>
        <v/>
      </c>
    </row>
    <row r="310" ht="15" customHeight="1" s="77">
      <c r="G310" s="122">
        <f>IF($D310=0,0,$D310*$E310)</f>
        <v/>
      </c>
      <c r="H310" s="122">
        <f>IF($B310="","",CONCATENATE("Örnek kayıt: ",$B310))</f>
        <v/>
      </c>
    </row>
    <row r="311" ht="15" customHeight="1" s="77">
      <c r="G311" s="122">
        <f>IF($D311=0,0,$D311*$E311)</f>
        <v/>
      </c>
      <c r="H311" s="122">
        <f>IF($B311="","",CONCATENATE("Örnek kayıt: ",$B311))</f>
        <v/>
      </c>
    </row>
    <row r="312" ht="15" customHeight="1" s="77">
      <c r="G312" s="122">
        <f>IF($D312=0,0,$D312*$E312)</f>
        <v/>
      </c>
      <c r="H312" s="122">
        <f>IF($B312="","",CONCATENATE("Örnek kayıt: ",$B312))</f>
        <v/>
      </c>
    </row>
    <row r="313" ht="15" customHeight="1" s="77">
      <c r="G313" s="122">
        <f>IF($D313=0,0,$D313*$E313)</f>
        <v/>
      </c>
      <c r="H313" s="122">
        <f>IF($B313="","",CONCATENATE("Örnek kayıt: ",$B313))</f>
        <v/>
      </c>
    </row>
    <row r="314" ht="15" customHeight="1" s="77">
      <c r="G314" s="122">
        <f>IF($D314=0,0,$D314*$E314)</f>
        <v/>
      </c>
      <c r="H314" s="122">
        <f>IF($B314="","",CONCATENATE("Örnek kayıt: ",$B314))</f>
        <v/>
      </c>
    </row>
    <row r="315" ht="15" customHeight="1" s="77">
      <c r="G315" s="122">
        <f>IF($D315=0,0,$D315*$E315)</f>
        <v/>
      </c>
      <c r="H315" s="122">
        <f>IF($B315="","",CONCATENATE("Örnek kayıt: ",$B315))</f>
        <v/>
      </c>
    </row>
    <row r="316" ht="15" customHeight="1" s="77">
      <c r="G316" s="122">
        <f>IF($D316=0,0,$D316*$E316)</f>
        <v/>
      </c>
      <c r="H316" s="122">
        <f>IF($B316="","",CONCATENATE("Örnek kayıt: ",$B316))</f>
        <v/>
      </c>
    </row>
    <row r="317" ht="15" customHeight="1" s="77">
      <c r="G317" s="122">
        <f>IF($D317=0,0,$D317*$E317)</f>
        <v/>
      </c>
      <c r="H317" s="122">
        <f>IF($B317="","",CONCATENATE("Örnek kayıt: ",$B317))</f>
        <v/>
      </c>
    </row>
    <row r="318" ht="15" customHeight="1" s="77">
      <c r="G318" s="122">
        <f>IF($D318=0,0,$D318*$E318)</f>
        <v/>
      </c>
      <c r="H318" s="122">
        <f>IF($B318="","",CONCATENATE("Örnek kayıt: ",$B318))</f>
        <v/>
      </c>
    </row>
    <row r="319" ht="15" customHeight="1" s="77">
      <c r="G319" s="122">
        <f>IF($D319=0,0,$D319*$E319)</f>
        <v/>
      </c>
      <c r="H319" s="122">
        <f>IF($B319="","",CONCATENATE("Örnek kayıt: ",$B319))</f>
        <v/>
      </c>
    </row>
    <row r="320" ht="15" customHeight="1" s="77">
      <c r="G320" s="122">
        <f>IF($D320=0,0,$D320*$E320)</f>
        <v/>
      </c>
      <c r="H320" s="122">
        <f>IF($B320="","",CONCATENATE("Örnek kayıt: ",$B320))</f>
        <v/>
      </c>
    </row>
    <row r="321" ht="15" customHeight="1" s="77">
      <c r="G321" s="122">
        <f>IF($D321=0,0,$D321*$E321)</f>
        <v/>
      </c>
      <c r="H321" s="122">
        <f>IF($B321="","",CONCATENATE("Örnek kayıt: ",$B321))</f>
        <v/>
      </c>
    </row>
    <row r="322" ht="15" customHeight="1" s="77">
      <c r="G322" s="122">
        <f>IF($D322=0,0,$D322*$E322)</f>
        <v/>
      </c>
      <c r="H322" s="122">
        <f>IF($B322="","",CONCATENATE("Örnek kayıt: ",$B322))</f>
        <v/>
      </c>
    </row>
    <row r="323" ht="15" customHeight="1" s="77">
      <c r="G323" s="122">
        <f>IF($D323=0,0,$D323*$E323)</f>
        <v/>
      </c>
      <c r="H323" s="122">
        <f>IF($B323="","",CONCATENATE("Örnek kayıt: ",$B323))</f>
        <v/>
      </c>
    </row>
    <row r="324" ht="15" customHeight="1" s="77">
      <c r="G324" s="122">
        <f>IF($D324=0,0,$D324*$E324)</f>
        <v/>
      </c>
      <c r="H324" s="122">
        <f>IF($B324="","",CONCATENATE("Örnek kayıt: ",$B324))</f>
        <v/>
      </c>
    </row>
    <row r="325" ht="15" customHeight="1" s="77">
      <c r="G325" s="122">
        <f>IF($D325=0,0,$D325*$E325)</f>
        <v/>
      </c>
      <c r="H325" s="122">
        <f>IF($B325="","",CONCATENATE("Örnek kayıt: ",$B325))</f>
        <v/>
      </c>
    </row>
    <row r="326" ht="15" customHeight="1" s="77">
      <c r="G326" s="122">
        <f>IF($D326=0,0,$D326*$E326)</f>
        <v/>
      </c>
      <c r="H326" s="122">
        <f>IF($B326="","",CONCATENATE("Örnek kayıt: ",$B326))</f>
        <v/>
      </c>
    </row>
    <row r="327" ht="15" customHeight="1" s="77">
      <c r="G327" s="122">
        <f>IF($D327=0,0,$D327*$E327)</f>
        <v/>
      </c>
      <c r="H327" s="122">
        <f>IF($B327="","",CONCATENATE("Örnek kayıt: ",$B327))</f>
        <v/>
      </c>
    </row>
    <row r="328" ht="15" customHeight="1" s="77">
      <c r="G328" s="122">
        <f>IF($D328=0,0,$D328*$E328)</f>
        <v/>
      </c>
      <c r="H328" s="122">
        <f>IF($B328="","",CONCATENATE("Örnek kayıt: ",$B328))</f>
        <v/>
      </c>
    </row>
    <row r="329" ht="15" customHeight="1" s="77">
      <c r="G329" s="122">
        <f>IF($D329=0,0,$D329*$E329)</f>
        <v/>
      </c>
      <c r="H329" s="122">
        <f>IF($B329="","",CONCATENATE("Örnek kayıt: ",$B329))</f>
        <v/>
      </c>
    </row>
    <row r="330" ht="15" customHeight="1" s="77">
      <c r="G330" s="122">
        <f>IF($D330=0,0,$D330*$E330)</f>
        <v/>
      </c>
      <c r="H330" s="122">
        <f>IF($B330="","",CONCATENATE("Örnek kayıt: ",$B330))</f>
        <v/>
      </c>
    </row>
    <row r="331" ht="15" customHeight="1" s="77">
      <c r="G331" s="122">
        <f>IF($D331=0,0,$D331*$E331)</f>
        <v/>
      </c>
      <c r="H331" s="122">
        <f>IF($B331="","",CONCATENATE("Örnek kayıt: ",$B331))</f>
        <v/>
      </c>
    </row>
    <row r="332" ht="15" customHeight="1" s="77">
      <c r="G332" s="122">
        <f>IF($D332=0,0,$D332*$E332)</f>
        <v/>
      </c>
      <c r="H332" s="122">
        <f>IF($B332="","",CONCATENATE("Örnek kayıt: ",$B332))</f>
        <v/>
      </c>
    </row>
    <row r="333" ht="15" customHeight="1" s="77">
      <c r="G333" s="122">
        <f>IF($D333=0,0,$D333*$E333)</f>
        <v/>
      </c>
      <c r="H333" s="122">
        <f>IF($B333="","",CONCATENATE("Örnek kayıt: ",$B333))</f>
        <v/>
      </c>
    </row>
    <row r="334" ht="15" customHeight="1" s="77">
      <c r="G334" s="122">
        <f>IF($D334=0,0,$D334*$E334)</f>
        <v/>
      </c>
      <c r="H334" s="122">
        <f>IF($B334="","",CONCATENATE("Örnek kayıt: ",$B334))</f>
        <v/>
      </c>
    </row>
    <row r="335" ht="15" customHeight="1" s="77">
      <c r="G335" s="122">
        <f>IF($D335=0,0,$D335*$E335)</f>
        <v/>
      </c>
      <c r="H335" s="122">
        <f>IF($B335="","",CONCATENATE("Örnek kayıt: ",$B335))</f>
        <v/>
      </c>
    </row>
    <row r="336" ht="15" customHeight="1" s="77">
      <c r="G336" s="122">
        <f>IF($D336=0,0,$D336*$E336)</f>
        <v/>
      </c>
      <c r="H336" s="122">
        <f>IF($B336="","",CONCATENATE("Örnek kayıt: ",$B336))</f>
        <v/>
      </c>
    </row>
    <row r="337" ht="15" customHeight="1" s="77">
      <c r="G337" s="122">
        <f>IF($D337=0,0,$D337*$E337)</f>
        <v/>
      </c>
      <c r="H337" s="122">
        <f>IF($B337="","",CONCATENATE("Örnek kayıt: ",$B337))</f>
        <v/>
      </c>
    </row>
    <row r="338" ht="15" customHeight="1" s="77">
      <c r="G338" s="122">
        <f>IF($D338=0,0,$D338*$E338)</f>
        <v/>
      </c>
      <c r="H338" s="122">
        <f>IF($B338="","",CONCATENATE("Örnek kayıt: ",$B338))</f>
        <v/>
      </c>
    </row>
    <row r="339" ht="15" customHeight="1" s="77">
      <c r="G339" s="122">
        <f>IF($D339=0,0,$D339*$E339)</f>
        <v/>
      </c>
      <c r="H339" s="122">
        <f>IF($B339="","",CONCATENATE("Örnek kayıt: ",$B339))</f>
        <v/>
      </c>
    </row>
    <row r="340" ht="15" customHeight="1" s="77">
      <c r="G340" s="122">
        <f>IF($D340=0,0,$D340*$E340)</f>
        <v/>
      </c>
      <c r="H340" s="122">
        <f>IF($B340="","",CONCATENATE("Örnek kayıt: ",$B340))</f>
        <v/>
      </c>
    </row>
    <row r="341" ht="15" customHeight="1" s="77">
      <c r="G341" s="122">
        <f>IF($D341=0,0,$D341*$E341)</f>
        <v/>
      </c>
      <c r="H341" s="122">
        <f>IF($B341="","",CONCATENATE("Örnek kayıt: ",$B341))</f>
        <v/>
      </c>
    </row>
    <row r="342" ht="15" customHeight="1" s="77">
      <c r="G342" s="122">
        <f>IF($D342=0,0,$D342*$E342)</f>
        <v/>
      </c>
      <c r="H342" s="122">
        <f>IF($B342="","",CONCATENATE("Örnek kayıt: ",$B342))</f>
        <v/>
      </c>
    </row>
    <row r="343" ht="15" customHeight="1" s="77">
      <c r="G343" s="122">
        <f>IF($D343=0,0,$D343*$E343)</f>
        <v/>
      </c>
      <c r="H343" s="122">
        <f>IF($B343="","",CONCATENATE("Örnek kayıt: ",$B343))</f>
        <v/>
      </c>
    </row>
    <row r="344" ht="15" customHeight="1" s="77">
      <c r="G344" s="122">
        <f>IF($D344=0,0,$D344*$E344)</f>
        <v/>
      </c>
      <c r="H344" s="122">
        <f>IF($B344="","",CONCATENATE("Örnek kayıt: ",$B344))</f>
        <v/>
      </c>
    </row>
    <row r="345" ht="15" customHeight="1" s="77">
      <c r="G345" s="122">
        <f>IF($D345=0,0,$D345*$E345)</f>
        <v/>
      </c>
      <c r="H345" s="122">
        <f>IF($B345="","",CONCATENATE("Örnek kayıt: ",$B345))</f>
        <v/>
      </c>
    </row>
    <row r="346" ht="15" customHeight="1" s="77">
      <c r="G346" s="122">
        <f>IF($D346=0,0,$D346*$E346)</f>
        <v/>
      </c>
      <c r="H346" s="122">
        <f>IF($B346="","",CONCATENATE("Örnek kayıt: ",$B346))</f>
        <v/>
      </c>
    </row>
    <row r="347" ht="15" customHeight="1" s="77">
      <c r="G347" s="122">
        <f>IF($D347=0,0,$D347*$E347)</f>
        <v/>
      </c>
      <c r="H347" s="122">
        <f>IF($B347="","",CONCATENATE("Örnek kayıt: ",$B347))</f>
        <v/>
      </c>
    </row>
    <row r="348" ht="15" customHeight="1" s="77">
      <c r="G348" s="122">
        <f>IF($D348=0,0,$D348*$E348)</f>
        <v/>
      </c>
      <c r="H348" s="122">
        <f>IF($B348="","",CONCATENATE("Örnek kayıt: ",$B348))</f>
        <v/>
      </c>
    </row>
    <row r="349" ht="15" customHeight="1" s="77">
      <c r="G349" s="122">
        <f>IF($D349=0,0,$D349*$E349)</f>
        <v/>
      </c>
      <c r="H349" s="122">
        <f>IF($B349="","",CONCATENATE("Örnek kayıt: ",$B349))</f>
        <v/>
      </c>
    </row>
    <row r="350" ht="15" customHeight="1" s="77">
      <c r="G350" s="122">
        <f>IF($D350=0,0,$D350*$E350)</f>
        <v/>
      </c>
      <c r="H350" s="122">
        <f>IF($B350="","",CONCATENATE("Örnek kayıt: ",$B350))</f>
        <v/>
      </c>
    </row>
    <row r="351" ht="15" customHeight="1" s="77">
      <c r="G351" s="122">
        <f>IF($D351=0,0,$D351*$E351)</f>
        <v/>
      </c>
      <c r="H351" s="122">
        <f>IF($B351="","",CONCATENATE("Örnek kayıt: ",$B351))</f>
        <v/>
      </c>
    </row>
    <row r="352" ht="15" customHeight="1" s="77">
      <c r="G352" s="122">
        <f>IF($D352=0,0,$D352*$E352)</f>
        <v/>
      </c>
      <c r="H352" s="122">
        <f>IF($B352="","",CONCATENATE("Örnek kayıt: ",$B352))</f>
        <v/>
      </c>
    </row>
    <row r="353" ht="15" customHeight="1" s="77">
      <c r="G353" s="122">
        <f>IF($D353=0,0,$D353*$E353)</f>
        <v/>
      </c>
      <c r="H353" s="122">
        <f>IF($B353="","",CONCATENATE("Örnek kayıt: ",$B353))</f>
        <v/>
      </c>
    </row>
    <row r="354" ht="15" customHeight="1" s="77">
      <c r="G354" s="122">
        <f>IF($D354=0,0,$D354*$E354)</f>
        <v/>
      </c>
      <c r="H354" s="122">
        <f>IF($B354="","",CONCATENATE("Örnek kayıt: ",$B354))</f>
        <v/>
      </c>
    </row>
    <row r="355" ht="15" customHeight="1" s="77">
      <c r="G355" s="122">
        <f>IF($D355=0,0,$D355*$E355)</f>
        <v/>
      </c>
      <c r="H355" s="122">
        <f>IF($B355="","",CONCATENATE("Örnek kayıt: ",$B355))</f>
        <v/>
      </c>
    </row>
    <row r="356" ht="15" customHeight="1" s="77">
      <c r="G356" s="122">
        <f>IF($D356=0,0,$D356*$E356)</f>
        <v/>
      </c>
      <c r="H356" s="122">
        <f>IF($B356="","",CONCATENATE("Örnek kayıt: ",$B356))</f>
        <v/>
      </c>
    </row>
    <row r="357" ht="15" customHeight="1" s="77">
      <c r="G357" s="122">
        <f>IF($D357=0,0,$D357*$E357)</f>
        <v/>
      </c>
      <c r="H357" s="122">
        <f>IF($B357="","",CONCATENATE("Örnek kayıt: ",$B357))</f>
        <v/>
      </c>
    </row>
    <row r="358" ht="15" customHeight="1" s="77">
      <c r="G358" s="122">
        <f>IF($D358=0,0,$D358*$E358)</f>
        <v/>
      </c>
      <c r="H358" s="122">
        <f>IF($B358="","",CONCATENATE("Örnek kayıt: ",$B358))</f>
        <v/>
      </c>
    </row>
    <row r="359" ht="15" customHeight="1" s="77">
      <c r="G359" s="122">
        <f>IF($D359=0,0,$D359*$E359)</f>
        <v/>
      </c>
      <c r="H359" s="122">
        <f>IF($B359="","",CONCATENATE("Örnek kayıt: ",$B359))</f>
        <v/>
      </c>
    </row>
    <row r="360" ht="15" customHeight="1" s="77">
      <c r="G360" s="122">
        <f>IF($D360=0,0,$D360*$E360)</f>
        <v/>
      </c>
      <c r="H360" s="122">
        <f>IF($B360="","",CONCATENATE("Örnek kayıt: ",$B360))</f>
        <v/>
      </c>
    </row>
    <row r="361" ht="15" customHeight="1" s="77">
      <c r="G361" s="122">
        <f>IF($D361=0,0,$D361*$E361)</f>
        <v/>
      </c>
      <c r="H361" s="122">
        <f>IF($B361="","",CONCATENATE("Örnek kayıt: ",$B361))</f>
        <v/>
      </c>
    </row>
    <row r="362" ht="15" customHeight="1" s="77">
      <c r="G362" s="122">
        <f>IF($D362=0,0,$D362*$E362)</f>
        <v/>
      </c>
      <c r="H362" s="122">
        <f>IF($B362="","",CONCATENATE("Örnek kayıt: ",$B362))</f>
        <v/>
      </c>
    </row>
    <row r="363" ht="15" customHeight="1" s="77">
      <c r="G363" s="122">
        <f>IF($D363=0,0,$D363*$E363)</f>
        <v/>
      </c>
      <c r="H363" s="122">
        <f>IF($B363="","",CONCATENATE("Örnek kayıt: ",$B363))</f>
        <v/>
      </c>
    </row>
    <row r="364" ht="15" customHeight="1" s="77">
      <c r="G364" s="122">
        <f>IF($D364=0,0,$D364*$E364)</f>
        <v/>
      </c>
      <c r="H364" s="122">
        <f>IF($B364="","",CONCATENATE("Örnek kayıt: ",$B364))</f>
        <v/>
      </c>
    </row>
    <row r="365" ht="15" customHeight="1" s="77">
      <c r="G365" s="122">
        <f>IF($D365=0,0,$D365*$E365)</f>
        <v/>
      </c>
      <c r="H365" s="122">
        <f>IF($B365="","",CONCATENATE("Örnek kayıt: ",$B365))</f>
        <v/>
      </c>
    </row>
    <row r="366" ht="15" customHeight="1" s="77">
      <c r="G366" s="122">
        <f>IF($D366=0,0,$D366*$E366)</f>
        <v/>
      </c>
      <c r="H366" s="122">
        <f>IF($B366="","",CONCATENATE("Örnek kayıt: ",$B366))</f>
        <v/>
      </c>
    </row>
    <row r="367" ht="15" customHeight="1" s="77">
      <c r="G367" s="122">
        <f>IF($D367=0,0,$D367*$E367)</f>
        <v/>
      </c>
      <c r="H367" s="122">
        <f>IF($B367="","",CONCATENATE("Örnek kayıt: ",$B367))</f>
        <v/>
      </c>
    </row>
    <row r="368" ht="15" customHeight="1" s="77">
      <c r="G368" s="122">
        <f>IF($D368=0,0,$D368*$E368)</f>
        <v/>
      </c>
      <c r="H368" s="122">
        <f>IF($B368="","",CONCATENATE("Örnek kayıt: ",$B368))</f>
        <v/>
      </c>
    </row>
    <row r="369" ht="15" customHeight="1" s="77">
      <c r="G369" s="122">
        <f>IF($D369=0,0,$D369*$E369)</f>
        <v/>
      </c>
      <c r="H369" s="122">
        <f>IF($B369="","",CONCATENATE("Örnek kayıt: ",$B369))</f>
        <v/>
      </c>
    </row>
    <row r="370" ht="15" customHeight="1" s="77">
      <c r="G370" s="122">
        <f>IF($D370=0,0,$D370*$E370)</f>
        <v/>
      </c>
      <c r="H370" s="122">
        <f>IF($B370="","",CONCATENATE("Örnek kayıt: ",$B370))</f>
        <v/>
      </c>
    </row>
    <row r="371" ht="15" customHeight="1" s="77">
      <c r="G371" s="122">
        <f>IF($D371=0,0,$D371*$E371)</f>
        <v/>
      </c>
      <c r="H371" s="122">
        <f>IF($B371="","",CONCATENATE("Örnek kayıt: ",$B371))</f>
        <v/>
      </c>
    </row>
    <row r="372" ht="15" customHeight="1" s="77">
      <c r="G372" s="122">
        <f>IF($D372=0,0,$D372*$E372)</f>
        <v/>
      </c>
      <c r="H372" s="122">
        <f>IF($B372="","",CONCATENATE("Örnek kayıt: ",$B372))</f>
        <v/>
      </c>
    </row>
    <row r="373" ht="15" customHeight="1" s="77">
      <c r="G373" s="122">
        <f>IF($D373=0,0,$D373*$E373)</f>
        <v/>
      </c>
      <c r="H373" s="122">
        <f>IF($B373="","",CONCATENATE("Örnek kayıt: ",$B373))</f>
        <v/>
      </c>
    </row>
    <row r="374" ht="15" customHeight="1" s="77">
      <c r="G374" s="122">
        <f>IF($D374=0,0,$D374*$E374)</f>
        <v/>
      </c>
      <c r="H374" s="122">
        <f>IF($B374="","",CONCATENATE("Örnek kayıt: ",$B374))</f>
        <v/>
      </c>
    </row>
    <row r="375" ht="15" customHeight="1" s="77">
      <c r="G375" s="122">
        <f>IF($D375=0,0,$D375*$E375)</f>
        <v/>
      </c>
      <c r="H375" s="122">
        <f>IF($B375="","",CONCATENATE("Örnek kayıt: ",$B375))</f>
        <v/>
      </c>
    </row>
    <row r="376" ht="15" customHeight="1" s="77">
      <c r="G376" s="122">
        <f>IF($D376=0,0,$D376*$E376)</f>
        <v/>
      </c>
      <c r="H376" s="122">
        <f>IF($B376="","",CONCATENATE("Örnek kayıt: ",$B376))</f>
        <v/>
      </c>
    </row>
    <row r="377" ht="15" customHeight="1" s="77">
      <c r="G377" s="122">
        <f>IF($D377=0,0,$D377*$E377)</f>
        <v/>
      </c>
      <c r="H377" s="122">
        <f>IF($B377="","",CONCATENATE("Örnek kayıt: ",$B377))</f>
        <v/>
      </c>
    </row>
    <row r="378" ht="15" customHeight="1" s="77">
      <c r="G378" s="122">
        <f>IF($D378=0,0,$D378*$E378)</f>
        <v/>
      </c>
      <c r="H378" s="122">
        <f>IF($B378="","",CONCATENATE("Örnek kayıt: ",$B378))</f>
        <v/>
      </c>
    </row>
    <row r="379" ht="15" customHeight="1" s="77">
      <c r="G379" s="122">
        <f>IF($D379=0,0,$D379*$E379)</f>
        <v/>
      </c>
      <c r="H379" s="122">
        <f>IF($B379="","",CONCATENATE("Örnek kayıt: ",$B379))</f>
        <v/>
      </c>
    </row>
    <row r="380" ht="15" customHeight="1" s="77">
      <c r="G380" s="122">
        <f>IF($D380=0,0,$D380*$E380)</f>
        <v/>
      </c>
      <c r="H380" s="122">
        <f>IF($B380="","",CONCATENATE("Örnek kayıt: ",$B380))</f>
        <v/>
      </c>
    </row>
    <row r="381" ht="15" customHeight="1" s="77">
      <c r="G381" s="122">
        <f>IF($D381=0,0,$D381*$E381)</f>
        <v/>
      </c>
      <c r="H381" s="122">
        <f>IF($B381="","",CONCATENATE("Örnek kayıt: ",$B381))</f>
        <v/>
      </c>
    </row>
    <row r="382" ht="15" customHeight="1" s="77">
      <c r="G382" s="122">
        <f>IF($D382=0,0,$D382*$E382)</f>
        <v/>
      </c>
      <c r="H382" s="122">
        <f>IF($B382="","",CONCATENATE("Örnek kayıt: ",$B382))</f>
        <v/>
      </c>
    </row>
    <row r="383" ht="15" customHeight="1" s="77">
      <c r="G383" s="122">
        <f>IF($D383=0,0,$D383*$E383)</f>
        <v/>
      </c>
      <c r="H383" s="122">
        <f>IF($B383="","",CONCATENATE("Örnek kayıt: ",$B383))</f>
        <v/>
      </c>
    </row>
    <row r="384" ht="15" customHeight="1" s="77">
      <c r="G384" s="122">
        <f>IF($D384=0,0,$D384*$E384)</f>
        <v/>
      </c>
      <c r="H384" s="122">
        <f>IF($B384="","",CONCATENATE("Örnek kayıt: ",$B384))</f>
        <v/>
      </c>
    </row>
    <row r="385" ht="15" customHeight="1" s="77">
      <c r="G385" s="122">
        <f>IF($D385=0,0,$D385*$E385)</f>
        <v/>
      </c>
      <c r="H385" s="122">
        <f>IF($B385="","",CONCATENATE("Örnek kayıt: ",$B385))</f>
        <v/>
      </c>
    </row>
    <row r="386" ht="15" customHeight="1" s="77">
      <c r="G386" s="122">
        <f>IF($D386=0,0,$D386*$E386)</f>
        <v/>
      </c>
      <c r="H386" s="122">
        <f>IF($B386="","",CONCATENATE("Örnek kayıt: ",$B386))</f>
        <v/>
      </c>
    </row>
    <row r="387" ht="15" customHeight="1" s="77">
      <c r="G387" s="122">
        <f>IF($D387=0,0,$D387*$E387)</f>
        <v/>
      </c>
      <c r="H387" s="122">
        <f>IF($B387="","",CONCATENATE("Örnek kayıt: ",$B387))</f>
        <v/>
      </c>
    </row>
    <row r="388" ht="15" customHeight="1" s="77">
      <c r="G388" s="122">
        <f>IF($D388=0,0,$D388*$E388)</f>
        <v/>
      </c>
      <c r="H388" s="122">
        <f>IF($B388="","",CONCATENATE("Örnek kayıt: ",$B388))</f>
        <v/>
      </c>
    </row>
    <row r="389" ht="15" customHeight="1" s="77">
      <c r="G389" s="122">
        <f>IF($D389=0,0,$D389*$E389)</f>
        <v/>
      </c>
      <c r="H389" s="122">
        <f>IF($B389="","",CONCATENATE("Örnek kayıt: ",$B389))</f>
        <v/>
      </c>
    </row>
    <row r="390" ht="15" customHeight="1" s="77">
      <c r="G390" s="122">
        <f>IF($D390=0,0,$D390*$E390)</f>
        <v/>
      </c>
      <c r="H390" s="122">
        <f>IF($B390="","",CONCATENATE("Örnek kayıt: ",$B390))</f>
        <v/>
      </c>
    </row>
    <row r="391" ht="15" customHeight="1" s="77">
      <c r="G391" s="122">
        <f>IF($D391=0,0,$D391*$E391)</f>
        <v/>
      </c>
      <c r="H391" s="122">
        <f>IF($B391="","",CONCATENATE("Örnek kayıt: ",$B391))</f>
        <v/>
      </c>
    </row>
    <row r="392" ht="15" customHeight="1" s="77">
      <c r="G392" s="122">
        <f>IF($D392=0,0,$D392*$E392)</f>
        <v/>
      </c>
      <c r="H392" s="122">
        <f>IF($B392="","",CONCATENATE("Örnek kayıt: ",$B392))</f>
        <v/>
      </c>
    </row>
    <row r="393" ht="15" customHeight="1" s="77">
      <c r="G393" s="122">
        <f>IF($D393=0,0,$D393*$E393)</f>
        <v/>
      </c>
      <c r="H393" s="122">
        <f>IF($B393="","",CONCATENATE("Örnek kayıt: ",$B393))</f>
        <v/>
      </c>
    </row>
    <row r="394" ht="15" customHeight="1" s="77">
      <c r="G394" s="122">
        <f>IF($D394=0,0,$D394*$E394)</f>
        <v/>
      </c>
      <c r="H394" s="122">
        <f>IF($B394="","",CONCATENATE("Örnek kayıt: ",$B394))</f>
        <v/>
      </c>
    </row>
    <row r="395" ht="15" customHeight="1" s="77">
      <c r="G395" s="122">
        <f>IF($D395=0,0,$D395*$E395)</f>
        <v/>
      </c>
      <c r="H395" s="122">
        <f>IF($B395="","",CONCATENATE("Örnek kayıt: ",$B395))</f>
        <v/>
      </c>
    </row>
    <row r="396" ht="15" customHeight="1" s="77">
      <c r="G396" s="122">
        <f>IF($D396=0,0,$D396*$E396)</f>
        <v/>
      </c>
      <c r="H396" s="122">
        <f>IF($B396="","",CONCATENATE("Örnek kayıt: ",$B396))</f>
        <v/>
      </c>
    </row>
    <row r="397" ht="15" customHeight="1" s="77">
      <c r="G397" s="122">
        <f>IF($D397=0,0,$D397*$E397)</f>
        <v/>
      </c>
      <c r="H397" s="122">
        <f>IF($B397="","",CONCATENATE("Örnek kayıt: ",$B397))</f>
        <v/>
      </c>
    </row>
    <row r="398" ht="15" customHeight="1" s="77">
      <c r="G398" s="122">
        <f>IF($D398=0,0,$D398*$E398)</f>
        <v/>
      </c>
      <c r="H398" s="122">
        <f>IF($B398="","",CONCATENATE("Örnek kayıt: ",$B398))</f>
        <v/>
      </c>
    </row>
    <row r="399" ht="15" customHeight="1" s="77">
      <c r="G399" s="122">
        <f>IF($D399=0,0,$D399*$E399)</f>
        <v/>
      </c>
      <c r="H399" s="122">
        <f>IF($B399="","",CONCATENATE("Örnek kayıt: ",$B399))</f>
        <v/>
      </c>
    </row>
    <row r="400" ht="15" customHeight="1" s="77">
      <c r="G400" s="122">
        <f>IF($D400=0,0,$D400*$E400)</f>
        <v/>
      </c>
      <c r="H400" s="122">
        <f>IF($B400="","",CONCATENATE("Örnek kayıt: ",$B400))</f>
        <v/>
      </c>
    </row>
    <row r="401" ht="15" customHeight="1" s="77">
      <c r="G401" s="122">
        <f>IF($D401=0,0,$D401*$E401)</f>
        <v/>
      </c>
      <c r="H401" s="122">
        <f>IF($B401="","",CONCATENATE("Örnek kayıt: ",$B401))</f>
        <v/>
      </c>
    </row>
    <row r="402" ht="15" customHeight="1" s="77">
      <c r="G402" s="122">
        <f>IF($D402=0,0,$D402*$E402)</f>
        <v/>
      </c>
      <c r="H402" s="122">
        <f>IF($B402="","",CONCATENATE("Örnek kayıt: ",$B402))</f>
        <v/>
      </c>
    </row>
    <row r="403" ht="15" customHeight="1" s="77">
      <c r="G403" s="122">
        <f>IF($D403=0,0,$D403*$E403)</f>
        <v/>
      </c>
      <c r="H403" s="122">
        <f>IF($B403="","",CONCATENATE("Örnek kayıt: ",$B403))</f>
        <v/>
      </c>
    </row>
    <row r="404" ht="15" customHeight="1" s="77">
      <c r="G404" s="122">
        <f>IF($D404=0,0,$D404*$E404)</f>
        <v/>
      </c>
      <c r="H404" s="122">
        <f>IF($B404="","",CONCATENATE("Örnek kayıt: ",$B404))</f>
        <v/>
      </c>
    </row>
    <row r="405" ht="15" customHeight="1" s="77">
      <c r="G405" s="122">
        <f>IF($D405=0,0,$D405*$E405)</f>
        <v/>
      </c>
      <c r="H405" s="122">
        <f>IF($B405="","",CONCATENATE("Örnek kayıt: ",$B405))</f>
        <v/>
      </c>
    </row>
    <row r="406" ht="15" customHeight="1" s="77">
      <c r="G406" s="122">
        <f>IF($D406=0,0,$D406*$E406)</f>
        <v/>
      </c>
      <c r="H406" s="122">
        <f>IF($B406="","",CONCATENATE("Örnek kayıt: ",$B406))</f>
        <v/>
      </c>
    </row>
    <row r="407" ht="15" customHeight="1" s="77">
      <c r="G407" s="122">
        <f>IF($D407=0,0,$D407*$E407)</f>
        <v/>
      </c>
      <c r="H407" s="122">
        <f>IF($B407="","",CONCATENATE("Örnek kayıt: ",$B407))</f>
        <v/>
      </c>
    </row>
    <row r="408" ht="15" customHeight="1" s="77">
      <c r="G408" s="122">
        <f>IF($D408=0,0,$D408*$E408)</f>
        <v/>
      </c>
      <c r="H408" s="122">
        <f>IF($B408="","",CONCATENATE("Örnek kayıt: ",$B408))</f>
        <v/>
      </c>
    </row>
    <row r="409" ht="15" customHeight="1" s="77">
      <c r="G409" s="122">
        <f>IF($D409=0,0,$D409*$E409)</f>
        <v/>
      </c>
      <c r="H409" s="122">
        <f>IF($B409="","",CONCATENATE("Örnek kayıt: ",$B409))</f>
        <v/>
      </c>
    </row>
    <row r="410" ht="15" customHeight="1" s="77">
      <c r="G410" s="122">
        <f>IF($D410=0,0,$D410*$E410)</f>
        <v/>
      </c>
      <c r="H410" s="122">
        <f>IF($B410="","",CONCATENATE("Örnek kayıt: ",$B410))</f>
        <v/>
      </c>
    </row>
    <row r="411" ht="15" customHeight="1" s="77">
      <c r="G411" s="122">
        <f>IF($D411=0,0,$D411*$E411)</f>
        <v/>
      </c>
      <c r="H411" s="122">
        <f>IF($B411="","",CONCATENATE("Örnek kayıt: ",$B411))</f>
        <v/>
      </c>
    </row>
    <row r="412" ht="15" customHeight="1" s="77">
      <c r="G412" s="122">
        <f>IF($D412=0,0,$D412*$E412)</f>
        <v/>
      </c>
      <c r="H412" s="122">
        <f>IF($B412="","",CONCATENATE("Örnek kayıt: ",$B412))</f>
        <v/>
      </c>
    </row>
    <row r="413" ht="15" customHeight="1" s="77">
      <c r="G413" s="122">
        <f>IF($D413=0,0,$D413*$E413)</f>
        <v/>
      </c>
      <c r="H413" s="122">
        <f>IF($B413="","",CONCATENATE("Örnek kayıt: ",$B413))</f>
        <v/>
      </c>
    </row>
    <row r="414" ht="15" customHeight="1" s="77">
      <c r="G414" s="122">
        <f>IF($D414=0,0,$D414*$E414)</f>
        <v/>
      </c>
      <c r="H414" s="122">
        <f>IF($B414="","",CONCATENATE("Örnek kayıt: ",$B414))</f>
        <v/>
      </c>
    </row>
    <row r="415" ht="15" customHeight="1" s="77">
      <c r="G415" s="122">
        <f>IF($D415=0,0,$D415*$E415)</f>
        <v/>
      </c>
      <c r="H415" s="122">
        <f>IF($B415="","",CONCATENATE("Örnek kayıt: ",$B415))</f>
        <v/>
      </c>
    </row>
    <row r="416" ht="15" customHeight="1" s="77">
      <c r="G416" s="122">
        <f>IF($D416=0,0,$D416*$E416)</f>
        <v/>
      </c>
      <c r="H416" s="122">
        <f>IF($B416="","",CONCATENATE("Örnek kayıt: ",$B416))</f>
        <v/>
      </c>
    </row>
    <row r="417" ht="15" customHeight="1" s="77">
      <c r="G417" s="122">
        <f>IF($D417=0,0,$D417*$E417)</f>
        <v/>
      </c>
      <c r="H417" s="122">
        <f>IF($B417="","",CONCATENATE("Örnek kayıt: ",$B417))</f>
        <v/>
      </c>
    </row>
    <row r="418" ht="15" customHeight="1" s="77">
      <c r="G418" s="122">
        <f>IF($D418=0,0,$D418*$E418)</f>
        <v/>
      </c>
      <c r="H418" s="122">
        <f>IF($B418="","",CONCATENATE("Örnek kayıt: ",$B418))</f>
        <v/>
      </c>
    </row>
    <row r="419" ht="15" customHeight="1" s="77">
      <c r="G419" s="122">
        <f>IF($D419=0,0,$D419*$E419)</f>
        <v/>
      </c>
      <c r="H419" s="122">
        <f>IF($B419="","",CONCATENATE("Örnek kayıt: ",$B419))</f>
        <v/>
      </c>
    </row>
    <row r="420" ht="15" customHeight="1" s="77">
      <c r="G420" s="122">
        <f>IF($D420=0,0,$D420*$E420)</f>
        <v/>
      </c>
      <c r="H420" s="122">
        <f>IF($B420="","",CONCATENATE("Örnek kayıt: ",$B420))</f>
        <v/>
      </c>
    </row>
    <row r="421" ht="15" customHeight="1" s="77">
      <c r="G421" s="122">
        <f>IF($D421=0,0,$D421*$E421)</f>
        <v/>
      </c>
      <c r="H421" s="122">
        <f>IF($B421="","",CONCATENATE("Örnek kayıt: ",$B421))</f>
        <v/>
      </c>
    </row>
    <row r="422" ht="15" customHeight="1" s="77">
      <c r="G422" s="122">
        <f>IF($D422=0,0,$D422*$E422)</f>
        <v/>
      </c>
      <c r="H422" s="122">
        <f>IF($B422="","",CONCATENATE("Örnek kayıt: ",$B422))</f>
        <v/>
      </c>
    </row>
    <row r="423" ht="15" customHeight="1" s="77">
      <c r="G423" s="122">
        <f>IF($D423=0,0,$D423*$E423)</f>
        <v/>
      </c>
      <c r="H423" s="122">
        <f>IF($B423="","",CONCATENATE("Örnek kayıt: ",$B423))</f>
        <v/>
      </c>
    </row>
    <row r="424" ht="15" customHeight="1" s="77">
      <c r="G424" s="122">
        <f>IF($D424=0,0,$D424*$E424)</f>
        <v/>
      </c>
      <c r="H424" s="122">
        <f>IF($B424="","",CONCATENATE("Örnek kayıt: ",$B424))</f>
        <v/>
      </c>
    </row>
    <row r="425" ht="15" customHeight="1" s="77">
      <c r="G425" s="122">
        <f>IF($D425=0,0,$D425*$E425)</f>
        <v/>
      </c>
      <c r="H425" s="122">
        <f>IF($B425="","",CONCATENATE("Örnek kayıt: ",$B425))</f>
        <v/>
      </c>
    </row>
    <row r="426" ht="15" customHeight="1" s="77">
      <c r="G426" s="122">
        <f>IF($D426=0,0,$D426*$E426)</f>
        <v/>
      </c>
      <c r="H426" s="122">
        <f>IF($B426="","",CONCATENATE("Örnek kayıt: ",$B426))</f>
        <v/>
      </c>
    </row>
    <row r="427" ht="15" customHeight="1" s="77">
      <c r="G427" s="122">
        <f>IF($D427=0,0,$D427*$E427)</f>
        <v/>
      </c>
      <c r="H427" s="122">
        <f>IF($B427="","",CONCATENATE("Örnek kayıt: ",$B427))</f>
        <v/>
      </c>
    </row>
    <row r="428" ht="15" customHeight="1" s="77">
      <c r="G428" s="122">
        <f>IF($D428=0,0,$D428*$E428)</f>
        <v/>
      </c>
      <c r="H428" s="122">
        <f>IF($B428="","",CONCATENATE("Örnek kayıt: ",$B428))</f>
        <v/>
      </c>
    </row>
    <row r="429" ht="15" customHeight="1" s="77">
      <c r="G429" s="122">
        <f>IF($D429=0,0,$D429*$E429)</f>
        <v/>
      </c>
      <c r="H429" s="122">
        <f>IF($B429="","",CONCATENATE("Örnek kayıt: ",$B429))</f>
        <v/>
      </c>
    </row>
    <row r="430" ht="15" customHeight="1" s="77">
      <c r="G430" s="122">
        <f>IF($D430=0,0,$D430*$E430)</f>
        <v/>
      </c>
      <c r="H430" s="122">
        <f>IF($B430="","",CONCATENATE("Örnek kayıt: ",$B430))</f>
        <v/>
      </c>
    </row>
    <row r="431" ht="15" customHeight="1" s="77">
      <c r="G431" s="122">
        <f>IF($D431=0,0,$D431*$E431)</f>
        <v/>
      </c>
      <c r="H431" s="122">
        <f>IF($B431="","",CONCATENATE("Örnek kayıt: ",$B431))</f>
        <v/>
      </c>
    </row>
    <row r="432" ht="15" customHeight="1" s="77">
      <c r="G432" s="122">
        <f>IF($D432=0,0,$D432*$E432)</f>
        <v/>
      </c>
      <c r="H432" s="122">
        <f>IF($B432="","",CONCATENATE("Örnek kayıt: ",$B432))</f>
        <v/>
      </c>
    </row>
    <row r="433" ht="15" customHeight="1" s="77">
      <c r="G433" s="122">
        <f>IF($D433=0,0,$D433*$E433)</f>
        <v/>
      </c>
      <c r="H433" s="122">
        <f>IF($B433="","",CONCATENATE("Örnek kayıt: ",$B433))</f>
        <v/>
      </c>
    </row>
    <row r="434" ht="15" customHeight="1" s="77">
      <c r="G434" s="122">
        <f>IF($D434=0,0,$D434*$E434)</f>
        <v/>
      </c>
      <c r="H434" s="122">
        <f>IF($B434="","",CONCATENATE("Örnek kayıt: ",$B434))</f>
        <v/>
      </c>
    </row>
    <row r="435" ht="15" customHeight="1" s="77">
      <c r="G435" s="122">
        <f>IF($D435=0,0,$D435*$E435)</f>
        <v/>
      </c>
      <c r="H435" s="122">
        <f>IF($B435="","",CONCATENATE("Örnek kayıt: ",$B435))</f>
        <v/>
      </c>
    </row>
    <row r="436" ht="15" customHeight="1" s="77">
      <c r="G436" s="122">
        <f>IF($D436=0,0,$D436*$E436)</f>
        <v/>
      </c>
      <c r="H436" s="122">
        <f>IF($B436="","",CONCATENATE("Örnek kayıt: ",$B436))</f>
        <v/>
      </c>
    </row>
    <row r="437" ht="15" customHeight="1" s="77">
      <c r="G437" s="122">
        <f>IF($D437=0,0,$D437*$E437)</f>
        <v/>
      </c>
      <c r="H437" s="122">
        <f>IF($B437="","",CONCATENATE("Örnek kayıt: ",$B437))</f>
        <v/>
      </c>
    </row>
    <row r="438" ht="15" customHeight="1" s="77">
      <c r="G438" s="122">
        <f>IF($D438=0,0,$D438*$E438)</f>
        <v/>
      </c>
      <c r="H438" s="122">
        <f>IF($B438="","",CONCATENATE("Örnek kayıt: ",$B438))</f>
        <v/>
      </c>
    </row>
    <row r="439" ht="15" customHeight="1" s="77">
      <c r="G439" s="122">
        <f>IF($D439=0,0,$D439*$E439)</f>
        <v/>
      </c>
      <c r="H439" s="122">
        <f>IF($B439="","",CONCATENATE("Örnek kayıt: ",$B439))</f>
        <v/>
      </c>
    </row>
    <row r="440" ht="15" customHeight="1" s="77">
      <c r="G440" s="122">
        <f>IF($D440=0,0,$D440*$E440)</f>
        <v/>
      </c>
      <c r="H440" s="122">
        <f>IF($B440="","",CONCATENATE("Örnek kayıt: ",$B440))</f>
        <v/>
      </c>
    </row>
    <row r="441" ht="15" customHeight="1" s="77">
      <c r="G441" s="122">
        <f>IF($D441=0,0,$D441*$E441)</f>
        <v/>
      </c>
      <c r="H441" s="122">
        <f>IF($B441="","",CONCATENATE("Örnek kayıt: ",$B441))</f>
        <v/>
      </c>
    </row>
    <row r="442" ht="15" customHeight="1" s="77">
      <c r="G442" s="122">
        <f>IF($D442=0,0,$D442*$E442)</f>
        <v/>
      </c>
      <c r="H442" s="122">
        <f>IF($B442="","",CONCATENATE("Örnek kayıt: ",$B442))</f>
        <v/>
      </c>
    </row>
    <row r="443" ht="15" customHeight="1" s="77">
      <c r="G443" s="122">
        <f>IF($D443=0,0,$D443*$E443)</f>
        <v/>
      </c>
      <c r="H443" s="122">
        <f>IF($B443="","",CONCATENATE("Örnek kayıt: ",$B443))</f>
        <v/>
      </c>
    </row>
    <row r="444" ht="15" customHeight="1" s="77">
      <c r="G444" s="122">
        <f>IF($D444=0,0,$D444*$E444)</f>
        <v/>
      </c>
      <c r="H444" s="122">
        <f>IF($B444="","",CONCATENATE("Örnek kayıt: ",$B444))</f>
        <v/>
      </c>
    </row>
    <row r="445" ht="15" customHeight="1" s="77">
      <c r="G445" s="122">
        <f>IF($D445=0,0,$D445*$E445)</f>
        <v/>
      </c>
      <c r="H445" s="122">
        <f>IF($B445="","",CONCATENATE("Örnek kayıt: ",$B445))</f>
        <v/>
      </c>
    </row>
    <row r="446" ht="15" customHeight="1" s="77">
      <c r="G446" s="122">
        <f>IF($D446=0,0,$D446*$E446)</f>
        <v/>
      </c>
      <c r="H446" s="122">
        <f>IF($B446="","",CONCATENATE("Örnek kayıt: ",$B446))</f>
        <v/>
      </c>
    </row>
    <row r="447" ht="15" customHeight="1" s="77">
      <c r="G447" s="122">
        <f>IF($D447=0,0,$D447*$E447)</f>
        <v/>
      </c>
      <c r="H447" s="122">
        <f>IF($B447="","",CONCATENATE("Örnek kayıt: ",$B447))</f>
        <v/>
      </c>
    </row>
    <row r="448" ht="15" customHeight="1" s="77">
      <c r="G448" s="122">
        <f>IF($D448=0,0,$D448*$E448)</f>
        <v/>
      </c>
      <c r="H448" s="122">
        <f>IF($B448="","",CONCATENATE("Örnek kayıt: ",$B448))</f>
        <v/>
      </c>
    </row>
    <row r="449" ht="15" customHeight="1" s="77">
      <c r="G449" s="122">
        <f>IF($D449=0,0,$D449*$E449)</f>
        <v/>
      </c>
      <c r="H449" s="122">
        <f>IF($B449="","",CONCATENATE("Örnek kayıt: ",$B449))</f>
        <v/>
      </c>
    </row>
    <row r="450" ht="15" customHeight="1" s="77">
      <c r="G450" s="122">
        <f>IF($D450=0,0,$D450*$E450)</f>
        <v/>
      </c>
      <c r="H450" s="122">
        <f>IF($B450="","",CONCATENATE("Örnek kayıt: ",$B450))</f>
        <v/>
      </c>
    </row>
    <row r="451" ht="15" customHeight="1" s="77">
      <c r="G451" s="122">
        <f>IF($D451=0,0,$D451*$E451)</f>
        <v/>
      </c>
      <c r="H451" s="122">
        <f>IF($B451="","",CONCATENATE("Örnek kayıt: ",$B451))</f>
        <v/>
      </c>
    </row>
    <row r="452" ht="15" customHeight="1" s="77">
      <c r="G452" s="122">
        <f>IF($D452=0,0,$D452*$E452)</f>
        <v/>
      </c>
      <c r="H452" s="122">
        <f>IF($B452="","",CONCATENATE("Örnek kayıt: ",$B452))</f>
        <v/>
      </c>
    </row>
    <row r="453" ht="15" customHeight="1" s="77">
      <c r="G453" s="122">
        <f>IF($D453=0,0,$D453*$E453)</f>
        <v/>
      </c>
      <c r="H453" s="122">
        <f>IF($B453="","",CONCATENATE("Örnek kayıt: ",$B453))</f>
        <v/>
      </c>
    </row>
    <row r="454" ht="15" customHeight="1" s="77">
      <c r="G454" s="122">
        <f>IF($D454=0,0,$D454*$E454)</f>
        <v/>
      </c>
      <c r="H454" s="122">
        <f>IF($B454="","",CONCATENATE("Örnek kayıt: ",$B454))</f>
        <v/>
      </c>
    </row>
    <row r="455" ht="15" customHeight="1" s="77">
      <c r="G455" s="122">
        <f>IF($D455=0,0,$D455*$E455)</f>
        <v/>
      </c>
      <c r="H455" s="122">
        <f>IF($B455="","",CONCATENATE("Örnek kayıt: ",$B455))</f>
        <v/>
      </c>
    </row>
    <row r="456" ht="15" customHeight="1" s="77">
      <c r="G456" s="122">
        <f>IF($D456=0,0,$D456*$E456)</f>
        <v/>
      </c>
      <c r="H456" s="122">
        <f>IF($B456="","",CONCATENATE("Örnek kayıt: ",$B456))</f>
        <v/>
      </c>
    </row>
    <row r="457" ht="15" customHeight="1" s="77">
      <c r="G457" s="122">
        <f>IF($D457=0,0,$D457*$E457)</f>
        <v/>
      </c>
      <c r="H457" s="122">
        <f>IF($B457="","",CONCATENATE("Örnek kayıt: ",$B457))</f>
        <v/>
      </c>
    </row>
    <row r="458" ht="15" customHeight="1" s="77">
      <c r="G458" s="122">
        <f>IF($D458=0,0,$D458*$E458)</f>
        <v/>
      </c>
      <c r="H458" s="122">
        <f>IF($B458="","",CONCATENATE("Örnek kayıt: ",$B458))</f>
        <v/>
      </c>
    </row>
    <row r="459" ht="15" customHeight="1" s="77">
      <c r="G459" s="122">
        <f>IF($D459=0,0,$D459*$E459)</f>
        <v/>
      </c>
      <c r="H459" s="122">
        <f>IF($B459="","",CONCATENATE("Örnek kayıt: ",$B459))</f>
        <v/>
      </c>
    </row>
    <row r="460" ht="15" customHeight="1" s="77">
      <c r="G460" s="122">
        <f>IF($D460=0,0,$D460*$E460)</f>
        <v/>
      </c>
      <c r="H460" s="122">
        <f>IF($B460="","",CONCATENATE("Örnek kayıt: ",$B460))</f>
        <v/>
      </c>
    </row>
    <row r="461" ht="15" customHeight="1" s="77">
      <c r="G461" s="122">
        <f>IF($D461=0,0,$D461*$E461)</f>
        <v/>
      </c>
      <c r="H461" s="122">
        <f>IF($B461="","",CONCATENATE("Örnek kayıt: ",$B461))</f>
        <v/>
      </c>
    </row>
    <row r="462" ht="15" customHeight="1" s="77">
      <c r="G462" s="122">
        <f>IF($D462=0,0,$D462*$E462)</f>
        <v/>
      </c>
      <c r="H462" s="122">
        <f>IF($B462="","",CONCATENATE("Örnek kayıt: ",$B462))</f>
        <v/>
      </c>
    </row>
    <row r="463" ht="15" customHeight="1" s="77">
      <c r="G463" s="122">
        <f>IF($D463=0,0,$D463*$E463)</f>
        <v/>
      </c>
      <c r="H463" s="122">
        <f>IF($B463="","",CONCATENATE("Örnek kayıt: ",$B463))</f>
        <v/>
      </c>
    </row>
    <row r="464" ht="15" customHeight="1" s="77">
      <c r="G464" s="122">
        <f>IF($D464=0,0,$D464*$E464)</f>
        <v/>
      </c>
      <c r="H464" s="122">
        <f>IF($B464="","",CONCATENATE("Örnek kayıt: ",$B464))</f>
        <v/>
      </c>
    </row>
    <row r="465" ht="15" customHeight="1" s="77">
      <c r="G465" s="122">
        <f>IF($D465=0,0,$D465*$E465)</f>
        <v/>
      </c>
      <c r="H465" s="122">
        <f>IF($B465="","",CONCATENATE("Örnek kayıt: ",$B465))</f>
        <v/>
      </c>
    </row>
    <row r="466" ht="15" customHeight="1" s="77">
      <c r="G466" s="122">
        <f>IF($D466=0,0,$D466*$E466)</f>
        <v/>
      </c>
      <c r="H466" s="122">
        <f>IF($B466="","",CONCATENATE("Örnek kayıt: ",$B466))</f>
        <v/>
      </c>
    </row>
    <row r="467" ht="15" customHeight="1" s="77">
      <c r="G467" s="122">
        <f>IF($D467=0,0,$D467*$E467)</f>
        <v/>
      </c>
      <c r="H467" s="122">
        <f>IF($B467="","",CONCATENATE("Örnek kayıt: ",$B467))</f>
        <v/>
      </c>
    </row>
    <row r="468" ht="15" customHeight="1" s="77">
      <c r="G468" s="122">
        <f>IF($D468=0,0,$D468*$E468)</f>
        <v/>
      </c>
      <c r="H468" s="122">
        <f>IF($B468="","",CONCATENATE("Örnek kayıt: ",$B468))</f>
        <v/>
      </c>
    </row>
    <row r="469" ht="15" customHeight="1" s="77">
      <c r="G469" s="122">
        <f>IF($D469=0,0,$D469*$E469)</f>
        <v/>
      </c>
      <c r="H469" s="122">
        <f>IF($B469="","",CONCATENATE("Örnek kayıt: ",$B469))</f>
        <v/>
      </c>
    </row>
    <row r="470" ht="15" customHeight="1" s="77">
      <c r="G470" s="122">
        <f>IF($D470=0,0,$D470*$E470)</f>
        <v/>
      </c>
      <c r="H470" s="122">
        <f>IF($B470="","",CONCATENATE("Örnek kayıt: ",$B470))</f>
        <v/>
      </c>
    </row>
    <row r="471" ht="15" customHeight="1" s="77">
      <c r="G471" s="122">
        <f>IF($D471=0,0,$D471*$E471)</f>
        <v/>
      </c>
      <c r="H471" s="122">
        <f>IF($B471="","",CONCATENATE("Örnek kayıt: ",$B471))</f>
        <v/>
      </c>
    </row>
    <row r="472" ht="15" customHeight="1" s="77">
      <c r="G472" s="122">
        <f>IF($D472=0,0,$D472*$E472)</f>
        <v/>
      </c>
      <c r="H472" s="122">
        <f>IF($B472="","",CONCATENATE("Örnek kayıt: ",$B472))</f>
        <v/>
      </c>
    </row>
    <row r="473" ht="15" customHeight="1" s="77">
      <c r="G473" s="122">
        <f>IF($D473=0,0,$D473*$E473)</f>
        <v/>
      </c>
      <c r="H473" s="122">
        <f>IF($B473="","",CONCATENATE("Örnek kayıt: ",$B473))</f>
        <v/>
      </c>
    </row>
    <row r="474" ht="15" customHeight="1" s="77">
      <c r="G474" s="122">
        <f>IF($D474=0,0,$D474*$E474)</f>
        <v/>
      </c>
      <c r="H474" s="122">
        <f>IF($B474="","",CONCATENATE("Örnek kayıt: ",$B474))</f>
        <v/>
      </c>
    </row>
    <row r="475" ht="15" customHeight="1" s="77">
      <c r="G475" s="122">
        <f>IF($D475=0,0,$D475*$E475)</f>
        <v/>
      </c>
      <c r="H475" s="122">
        <f>IF($B475="","",CONCATENATE("Örnek kayıt: ",$B475))</f>
        <v/>
      </c>
    </row>
    <row r="476" ht="15" customHeight="1" s="77">
      <c r="G476" s="122">
        <f>IF($D476=0,0,$D476*$E476)</f>
        <v/>
      </c>
      <c r="H476" s="122">
        <f>IF($B476="","",CONCATENATE("Örnek kayıt: ",$B476))</f>
        <v/>
      </c>
    </row>
    <row r="477" ht="15" customHeight="1" s="77">
      <c r="G477" s="122">
        <f>IF($D477=0,0,$D477*$E477)</f>
        <v/>
      </c>
      <c r="H477" s="122">
        <f>IF($B477="","",CONCATENATE("Örnek kayıt: ",$B477))</f>
        <v/>
      </c>
    </row>
    <row r="478" ht="15" customHeight="1" s="77">
      <c r="G478" s="122">
        <f>IF($D478=0,0,$D478*$E478)</f>
        <v/>
      </c>
      <c r="H478" s="122">
        <f>IF($B478="","",CONCATENATE("Örnek kayıt: ",$B478))</f>
        <v/>
      </c>
    </row>
    <row r="479" ht="15" customHeight="1" s="77">
      <c r="G479" s="122">
        <f>IF($D479=0,0,$D479*$E479)</f>
        <v/>
      </c>
      <c r="H479" s="122">
        <f>IF($B479="","",CONCATENATE("Örnek kayıt: ",$B479))</f>
        <v/>
      </c>
    </row>
    <row r="480" ht="15" customHeight="1" s="77">
      <c r="G480" s="122">
        <f>IF($D480=0,0,$D480*$E480)</f>
        <v/>
      </c>
      <c r="H480" s="122">
        <f>IF($B480="","",CONCATENATE("Örnek kayıt: ",$B480))</f>
        <v/>
      </c>
    </row>
    <row r="481" ht="15" customHeight="1" s="77">
      <c r="G481" s="122">
        <f>IF($D481=0,0,$D481*$E481)</f>
        <v/>
      </c>
      <c r="H481" s="122">
        <f>IF($B481="","",CONCATENATE("Örnek kayıt: ",$B481))</f>
        <v/>
      </c>
    </row>
    <row r="482" ht="15" customHeight="1" s="77">
      <c r="G482" s="122">
        <f>IF($D482=0,0,$D482*$E482)</f>
        <v/>
      </c>
      <c r="H482" s="122">
        <f>IF($B482="","",CONCATENATE("Örnek kayıt: ",$B482))</f>
        <v/>
      </c>
    </row>
    <row r="483" ht="15" customHeight="1" s="77">
      <c r="G483" s="122">
        <f>IF($D483=0,0,$D483*$E483)</f>
        <v/>
      </c>
      <c r="H483" s="122">
        <f>IF($B483="","",CONCATENATE("Örnek kayıt: ",$B483))</f>
        <v/>
      </c>
    </row>
    <row r="484" ht="15" customHeight="1" s="77">
      <c r="G484" s="122">
        <f>IF($D484=0,0,$D484*$E484)</f>
        <v/>
      </c>
      <c r="H484" s="122">
        <f>IF($B484="","",CONCATENATE("Örnek kayıt: ",$B484))</f>
        <v/>
      </c>
    </row>
    <row r="485" ht="15" customHeight="1" s="77">
      <c r="G485" s="122">
        <f>IF($D485=0,0,$D485*$E485)</f>
        <v/>
      </c>
      <c r="H485" s="122">
        <f>IF($B485="","",CONCATENATE("Örnek kayıt: ",$B485))</f>
        <v/>
      </c>
    </row>
    <row r="486" ht="15" customHeight="1" s="77">
      <c r="G486" s="122">
        <f>IF($D486=0,0,$D486*$E486)</f>
        <v/>
      </c>
      <c r="H486" s="122">
        <f>IF($B486="","",CONCATENATE("Örnek kayıt: ",$B486))</f>
        <v/>
      </c>
    </row>
    <row r="487" ht="15" customHeight="1" s="77">
      <c r="G487" s="122">
        <f>IF($D487=0,0,$D487*$E487)</f>
        <v/>
      </c>
      <c r="H487" s="122">
        <f>IF($B487="","",CONCATENATE("Örnek kayıt: ",$B487))</f>
        <v/>
      </c>
    </row>
    <row r="488" ht="15" customHeight="1" s="77">
      <c r="G488" s="122">
        <f>IF($D488=0,0,$D488*$E488)</f>
        <v/>
      </c>
      <c r="H488" s="122">
        <f>IF($B488="","",CONCATENATE("Örnek kayıt: ",$B488))</f>
        <v/>
      </c>
    </row>
    <row r="489" ht="15" customHeight="1" s="77">
      <c r="G489" s="122">
        <f>IF($D489=0,0,$D489*$E489)</f>
        <v/>
      </c>
      <c r="H489" s="122">
        <f>IF($B489="","",CONCATENATE("Örnek kayıt: ",$B489))</f>
        <v/>
      </c>
    </row>
    <row r="490" ht="15" customHeight="1" s="77">
      <c r="G490" s="122">
        <f>IF($D490=0,0,$D490*$E490)</f>
        <v/>
      </c>
      <c r="H490" s="122">
        <f>IF($B490="","",CONCATENATE("Örnek kayıt: ",$B490))</f>
        <v/>
      </c>
    </row>
    <row r="491" ht="15" customHeight="1" s="77">
      <c r="G491" s="122">
        <f>IF($D491=0,0,$D491*$E491)</f>
        <v/>
      </c>
      <c r="H491" s="122">
        <f>IF($B491="","",CONCATENATE("Örnek kayıt: ",$B491))</f>
        <v/>
      </c>
    </row>
    <row r="492" ht="15" customHeight="1" s="77">
      <c r="G492" s="122">
        <f>IF($D492=0,0,$D492*$E492)</f>
        <v/>
      </c>
      <c r="H492" s="122">
        <f>IF($B492="","",CONCATENATE("Örnek kayıt: ",$B492))</f>
        <v/>
      </c>
    </row>
    <row r="493" ht="15" customHeight="1" s="77">
      <c r="G493" s="122">
        <f>IF($D493=0,0,$D493*$E493)</f>
        <v/>
      </c>
      <c r="H493" s="122">
        <f>IF($B493="","",CONCATENATE("Örnek kayıt: ",$B493))</f>
        <v/>
      </c>
    </row>
    <row r="494" ht="15" customHeight="1" s="77">
      <c r="G494" s="122">
        <f>IF($D494=0,0,$D494*$E494)</f>
        <v/>
      </c>
      <c r="H494" s="122">
        <f>IF($B494="","",CONCATENATE("Örnek kayıt: ",$B494))</f>
        <v/>
      </c>
    </row>
    <row r="495" ht="15" customHeight="1" s="77">
      <c r="G495" s="122">
        <f>IF($D495=0,0,$D495*$E495)</f>
        <v/>
      </c>
      <c r="H495" s="122">
        <f>IF($B495="","",CONCATENATE("Örnek kayıt: ",$B495))</f>
        <v/>
      </c>
    </row>
    <row r="496" ht="15" customHeight="1" s="77">
      <c r="G496" s="122">
        <f>IF($D496=0,0,$D496*$E496)</f>
        <v/>
      </c>
      <c r="H496" s="122">
        <f>IF($B496="","",CONCATENATE("Örnek kayıt: ",$B496))</f>
        <v/>
      </c>
    </row>
    <row r="497" ht="15" customHeight="1" s="77">
      <c r="G497" s="122">
        <f>IF($D497=0,0,$D497*$E497)</f>
        <v/>
      </c>
      <c r="H497" s="122">
        <f>IF($B497="","",CONCATENATE("Örnek kayıt: ",$B497))</f>
        <v/>
      </c>
    </row>
    <row r="498" ht="15" customHeight="1" s="77">
      <c r="G498" s="122">
        <f>IF($D498=0,0,$D498*$E498)</f>
        <v/>
      </c>
      <c r="H498" s="122">
        <f>IF($B498="","",CONCATENATE("Örnek kayıt: ",$B498))</f>
        <v/>
      </c>
    </row>
    <row r="499" ht="15" customHeight="1" s="77">
      <c r="G499" s="122">
        <f>IF($D499=0,0,$D499*$E499)</f>
        <v/>
      </c>
      <c r="H499" s="122">
        <f>IF($B499="","",CONCATENATE("Örnek kayıt: ",$B499))</f>
        <v/>
      </c>
    </row>
    <row r="500" ht="15" customHeight="1" s="77">
      <c r="G500" s="122">
        <f>IF($D500=0,0,$D500*$E500)</f>
        <v/>
      </c>
      <c r="H500" s="122">
        <f>IF($B500="","",CONCATENATE("Örnek kayıt: ",$B500))</f>
        <v/>
      </c>
    </row>
    <row r="501" ht="15" customHeight="1" s="77">
      <c r="G501" s="122">
        <f>IF($D501=0,0,$D501*$E501)</f>
        <v/>
      </c>
      <c r="H501" s="122">
        <f>IF($B501="","",CONCATENATE("Örnek kayıt: ",$B501))</f>
        <v/>
      </c>
    </row>
    <row r="502" ht="15" customHeight="1" s="77">
      <c r="G502" s="122">
        <f>IF($D502=0,0,$D502*$E502)</f>
        <v/>
      </c>
      <c r="H502" s="122">
        <f>IF($B502="","",CONCATENATE("Örnek kayıt: ",$B502))</f>
        <v/>
      </c>
    </row>
    <row r="503" ht="15" customHeight="1" s="77">
      <c r="G503" s="122">
        <f>IF($D503=0,0,$D503*$E503)</f>
        <v/>
      </c>
      <c r="H503" s="122">
        <f>IF($B503="","",CONCATENATE("Örnek kayıt: ",$B503))</f>
        <v/>
      </c>
    </row>
    <row r="504" ht="15" customHeight="1" s="77">
      <c r="G504" s="122">
        <f>IF($D504=0,0,$D504*$E504)</f>
        <v/>
      </c>
      <c r="H504" s="122">
        <f>IF($B504="","",CONCATENATE("Örnek kayıt: ",$B504))</f>
        <v/>
      </c>
    </row>
    <row r="505" ht="15" customHeight="1" s="77">
      <c r="G505" s="122">
        <f>IF($D505=0,0,$D505*$E505)</f>
        <v/>
      </c>
      <c r="H505" s="122">
        <f>IF($B505="","",CONCATENATE("Örnek kayıt: ",$B505))</f>
        <v/>
      </c>
    </row>
    <row r="506" ht="15" customHeight="1" s="77">
      <c r="G506" s="122">
        <f>IF($D506=0,0,$D506*$E506)</f>
        <v/>
      </c>
      <c r="H506" s="122">
        <f>IF($B506="","",CONCATENATE("Örnek kayıt: ",$B506))</f>
        <v/>
      </c>
    </row>
    <row r="507" ht="15" customHeight="1" s="77">
      <c r="G507" s="122">
        <f>IF($D507=0,0,$D507*$E507)</f>
        <v/>
      </c>
      <c r="H507" s="122">
        <f>IF($B507="","",CONCATENATE("Örnek kayıt: ",$B507))</f>
        <v/>
      </c>
    </row>
    <row r="508" ht="15" customHeight="1" s="77">
      <c r="G508" s="122">
        <f>IF($D508=0,0,$D508*$E508)</f>
        <v/>
      </c>
      <c r="H508" s="122">
        <f>IF($B508="","",CONCATENATE("Örnek kayıt: ",$B508))</f>
        <v/>
      </c>
    </row>
    <row r="509" ht="15" customHeight="1" s="77">
      <c r="G509" s="122">
        <f>IF($D509=0,0,$D509*$E509)</f>
        <v/>
      </c>
      <c r="H509" s="122">
        <f>IF($B509="","",CONCATENATE("Örnek kayıt: ",$B509))</f>
        <v/>
      </c>
    </row>
    <row r="510" ht="15" customHeight="1" s="77">
      <c r="G510" s="122">
        <f>IF($D510=0,0,$D510*$E510)</f>
        <v/>
      </c>
      <c r="H510" s="122">
        <f>IF($B510="","",CONCATENATE("Örnek kayıt: ",$B510))</f>
        <v/>
      </c>
    </row>
    <row r="511" ht="15" customHeight="1" s="77">
      <c r="G511" s="122">
        <f>IF($D511=0,0,$D511*$E511)</f>
        <v/>
      </c>
      <c r="H511" s="122">
        <f>IF($B511="","",CONCATENATE("Örnek kayıt: ",$B511))</f>
        <v/>
      </c>
    </row>
    <row r="512" ht="15" customHeight="1" s="77">
      <c r="G512" s="122">
        <f>IF($D512=0,0,$D512*$E512)</f>
        <v/>
      </c>
      <c r="H512" s="122">
        <f>IF($B512="","",CONCATENATE("Örnek kayıt: ",$B512))</f>
        <v/>
      </c>
    </row>
    <row r="513" ht="15" customHeight="1" s="77">
      <c r="G513" s="122">
        <f>IF($D513=0,0,$D513*$E513)</f>
        <v/>
      </c>
      <c r="H513" s="122">
        <f>IF($B513="","",CONCATENATE("Örnek kayıt: ",$B513))</f>
        <v/>
      </c>
    </row>
    <row r="514" ht="15" customHeight="1" s="77">
      <c r="G514" s="122">
        <f>IF($D514=0,0,$D514*$E514)</f>
        <v/>
      </c>
      <c r="H514" s="122">
        <f>IF($B514="","",CONCATENATE("Örnek kayıt: ",$B514))</f>
        <v/>
      </c>
    </row>
    <row r="515" ht="15" customHeight="1" s="77">
      <c r="G515" s="122">
        <f>IF($D515=0,0,$D515*$E515)</f>
        <v/>
      </c>
      <c r="H515" s="122">
        <f>IF($B515="","",CONCATENATE("Örnek kayıt: ",$B515))</f>
        <v/>
      </c>
    </row>
    <row r="516" ht="15" customHeight="1" s="77">
      <c r="G516" s="122">
        <f>IF($D516=0,0,$D516*$E516)</f>
        <v/>
      </c>
      <c r="H516" s="122">
        <f>IF($B516="","",CONCATENATE("Örnek kayıt: ",$B516))</f>
        <v/>
      </c>
    </row>
    <row r="517" ht="15" customHeight="1" s="77">
      <c r="G517" s="122">
        <f>IF($D517=0,0,$D517*$E517)</f>
        <v/>
      </c>
      <c r="H517" s="122">
        <f>IF($B517="","",CONCATENATE("Örnek kayıt: ",$B517))</f>
        <v/>
      </c>
    </row>
    <row r="518" ht="15" customHeight="1" s="77">
      <c r="G518" s="122">
        <f>IF($D518=0,0,$D518*$E518)</f>
        <v/>
      </c>
      <c r="H518" s="122">
        <f>IF($B518="","",CONCATENATE("Örnek kayıt: ",$B518))</f>
        <v/>
      </c>
    </row>
    <row r="519" ht="15" customHeight="1" s="77">
      <c r="G519" s="122">
        <f>IF($D519=0,0,$D519*$E519)</f>
        <v/>
      </c>
      <c r="H519" s="122">
        <f>IF($B519="","",CONCATENATE("Örnek kayıt: ",$B519))</f>
        <v/>
      </c>
    </row>
    <row r="520" ht="15" customHeight="1" s="77">
      <c r="G520" s="122">
        <f>IF($D520=0,0,$D520*$E520)</f>
        <v/>
      </c>
      <c r="H520" s="122">
        <f>IF($B520="","",CONCATENATE("Örnek kayıt: ",$B520))</f>
        <v/>
      </c>
    </row>
    <row r="521" ht="15" customHeight="1" s="77">
      <c r="G521" s="122">
        <f>IF($D521=0,0,$D521*$E521)</f>
        <v/>
      </c>
      <c r="H521" s="122">
        <f>IF($B521="","",CONCATENATE("Örnek kayıt: ",$B521))</f>
        <v/>
      </c>
    </row>
    <row r="522" ht="15" customHeight="1" s="77">
      <c r="G522" s="122">
        <f>IF($D522=0,0,$D522*$E522)</f>
        <v/>
      </c>
      <c r="H522" s="122">
        <f>IF($B522="","",CONCATENATE("Örnek kayıt: ",$B522))</f>
        <v/>
      </c>
    </row>
    <row r="523" ht="15" customHeight="1" s="77">
      <c r="G523" s="122">
        <f>IF($D523=0,0,$D523*$E523)</f>
        <v/>
      </c>
      <c r="H523" s="122">
        <f>IF($B523="","",CONCATENATE("Örnek kayıt: ",$B523))</f>
        <v/>
      </c>
    </row>
    <row r="524" ht="15" customHeight="1" s="77">
      <c r="G524" s="122">
        <f>IF($D524=0,0,$D524*$E524)</f>
        <v/>
      </c>
      <c r="H524" s="122">
        <f>IF($B524="","",CONCATENATE("Örnek kayıt: ",$B524))</f>
        <v/>
      </c>
    </row>
    <row r="525" ht="15" customHeight="1" s="77">
      <c r="G525" s="122">
        <f>IF($D525=0,0,$D525*$E525)</f>
        <v/>
      </c>
      <c r="H525" s="122">
        <f>IF($B525="","",CONCATENATE("Örnek kayıt: ",$B525))</f>
        <v/>
      </c>
    </row>
    <row r="526" ht="15" customHeight="1" s="77">
      <c r="G526" s="122">
        <f>IF($D526=0,0,$D526*$E526)</f>
        <v/>
      </c>
      <c r="H526" s="122">
        <f>IF($B526="","",CONCATENATE("Örnek kayıt: ",$B526))</f>
        <v/>
      </c>
    </row>
    <row r="527" ht="15" customHeight="1" s="77">
      <c r="G527" s="122">
        <f>IF($D527=0,0,$D527*$E527)</f>
        <v/>
      </c>
      <c r="H527" s="122">
        <f>IF($B527="","",CONCATENATE("Örnek kayıt: ",$B527))</f>
        <v/>
      </c>
    </row>
    <row r="528" ht="15" customHeight="1" s="77">
      <c r="G528" s="122">
        <f>IF($D528=0,0,$D528*$E528)</f>
        <v/>
      </c>
      <c r="H528" s="122">
        <f>IF($B528="","",CONCATENATE("Örnek kayıt: ",$B528))</f>
        <v/>
      </c>
    </row>
    <row r="529" ht="15" customHeight="1" s="77">
      <c r="G529" s="122">
        <f>IF($D529=0,0,$D529*$E529)</f>
        <v/>
      </c>
      <c r="H529" s="122">
        <f>IF($B529="","",CONCATENATE("Örnek kayıt: ",$B529))</f>
        <v/>
      </c>
    </row>
    <row r="530" ht="15" customHeight="1" s="77">
      <c r="G530" s="122">
        <f>IF($D530=0,0,$D530*$E530)</f>
        <v/>
      </c>
      <c r="H530" s="122">
        <f>IF($B530="","",CONCATENATE("Örnek kayıt: ",$B530))</f>
        <v/>
      </c>
    </row>
    <row r="531" ht="15" customHeight="1" s="77">
      <c r="G531" s="122">
        <f>IF($D531=0,0,$D531*$E531)</f>
        <v/>
      </c>
      <c r="H531" s="122">
        <f>IF($B531="","",CONCATENATE("Örnek kayıt: ",$B531))</f>
        <v/>
      </c>
    </row>
    <row r="532" ht="15" customHeight="1" s="77">
      <c r="G532" s="122">
        <f>IF($D532=0,0,$D532*$E532)</f>
        <v/>
      </c>
      <c r="H532" s="122">
        <f>IF($B532="","",CONCATENATE("Örnek kayıt: ",$B532))</f>
        <v/>
      </c>
    </row>
    <row r="533" ht="15" customHeight="1" s="77">
      <c r="G533" s="122">
        <f>IF($D533=0,0,$D533*$E533)</f>
        <v/>
      </c>
      <c r="H533" s="122">
        <f>IF($B533="","",CONCATENATE("Örnek kayıt: ",$B533))</f>
        <v/>
      </c>
    </row>
    <row r="534" ht="15" customHeight="1" s="77">
      <c r="G534" s="122">
        <f>IF($D534=0,0,$D534*$E534)</f>
        <v/>
      </c>
      <c r="H534" s="122">
        <f>IF($B534="","",CONCATENATE("Örnek kayıt: ",$B534))</f>
        <v/>
      </c>
    </row>
    <row r="535" ht="15" customHeight="1" s="77">
      <c r="G535" s="122">
        <f>IF($D535=0,0,$D535*$E535)</f>
        <v/>
      </c>
      <c r="H535" s="122">
        <f>IF($B535="","",CONCATENATE("Örnek kayıt: ",$B535))</f>
        <v/>
      </c>
    </row>
    <row r="536" ht="15" customHeight="1" s="77">
      <c r="G536" s="122">
        <f>IF($D536=0,0,$D536*$E536)</f>
        <v/>
      </c>
      <c r="H536" s="122">
        <f>IF($B536="","",CONCATENATE("Örnek kayıt: ",$B536))</f>
        <v/>
      </c>
    </row>
    <row r="537" ht="15" customHeight="1" s="77">
      <c r="G537" s="122">
        <f>IF($D537=0,0,$D537*$E537)</f>
        <v/>
      </c>
      <c r="H537" s="122">
        <f>IF($B537="","",CONCATENATE("Örnek kayıt: ",$B537))</f>
        <v/>
      </c>
    </row>
    <row r="538" ht="15" customHeight="1" s="77">
      <c r="G538" s="122">
        <f>IF($D538=0,0,$D538*$E538)</f>
        <v/>
      </c>
      <c r="H538" s="122">
        <f>IF($B538="","",CONCATENATE("Örnek kayıt: ",$B538))</f>
        <v/>
      </c>
    </row>
    <row r="539" ht="15" customHeight="1" s="77">
      <c r="G539" s="122">
        <f>IF($D539=0,0,$D539*$E539)</f>
        <v/>
      </c>
      <c r="H539" s="122">
        <f>IF($B539="","",CONCATENATE("Örnek kayıt: ",$B539))</f>
        <v/>
      </c>
    </row>
    <row r="540" ht="15" customHeight="1" s="77">
      <c r="G540" s="122">
        <f>IF($D540=0,0,$D540*$E540)</f>
        <v/>
      </c>
      <c r="H540" s="122">
        <f>IF($B540="","",CONCATENATE("Örnek kayıt: ",$B540))</f>
        <v/>
      </c>
    </row>
    <row r="541" ht="15" customHeight="1" s="77">
      <c r="G541" s="122">
        <f>IF($D541=0,0,$D541*$E541)</f>
        <v/>
      </c>
      <c r="H541" s="122">
        <f>IF($B541="","",CONCATENATE("Örnek kayıt: ",$B541))</f>
        <v/>
      </c>
    </row>
    <row r="542" ht="15" customHeight="1" s="77">
      <c r="G542" s="122">
        <f>IF($D542=0,0,$D542*$E542)</f>
        <v/>
      </c>
      <c r="H542" s="122">
        <f>IF($B542="","",CONCATENATE("Örnek kayıt: ",$B542))</f>
        <v/>
      </c>
    </row>
    <row r="543" ht="15" customHeight="1" s="77">
      <c r="G543" s="122">
        <f>IF($D543=0,0,$D543*$E543)</f>
        <v/>
      </c>
      <c r="H543" s="122">
        <f>IF($B543="","",CONCATENATE("Örnek kayıt: ",$B543))</f>
        <v/>
      </c>
    </row>
    <row r="544" ht="15" customHeight="1" s="77">
      <c r="G544" s="122">
        <f>IF($D544=0,0,$D544*$E544)</f>
        <v/>
      </c>
      <c r="H544" s="122">
        <f>IF($B544="","",CONCATENATE("Örnek kayıt: ",$B544))</f>
        <v/>
      </c>
    </row>
    <row r="545" ht="15" customHeight="1" s="77">
      <c r="G545" s="122">
        <f>IF($D545=0,0,$D545*$E545)</f>
        <v/>
      </c>
      <c r="H545" s="122">
        <f>IF($B545="","",CONCATENATE("Örnek kayıt: ",$B545))</f>
        <v/>
      </c>
    </row>
    <row r="546" ht="15" customHeight="1" s="77">
      <c r="G546" s="122">
        <f>IF($D546=0,0,$D546*$E546)</f>
        <v/>
      </c>
      <c r="H546" s="122">
        <f>IF($B546="","",CONCATENATE("Örnek kayıt: ",$B546))</f>
        <v/>
      </c>
    </row>
    <row r="547" ht="15" customHeight="1" s="77">
      <c r="G547" s="122">
        <f>IF($D547=0,0,$D547*$E547)</f>
        <v/>
      </c>
      <c r="H547" s="122">
        <f>IF($B547="","",CONCATENATE("Örnek kayıt: ",$B547))</f>
        <v/>
      </c>
    </row>
    <row r="548" ht="15" customHeight="1" s="77">
      <c r="G548" s="122">
        <f>IF($D548=0,0,$D548*$E548)</f>
        <v/>
      </c>
      <c r="H548" s="122">
        <f>IF($B548="","",CONCATENATE("Örnek kayıt: ",$B548))</f>
        <v/>
      </c>
    </row>
    <row r="549" ht="15" customHeight="1" s="77">
      <c r="G549" s="122">
        <f>IF($D549=0,0,$D549*$E549)</f>
        <v/>
      </c>
      <c r="H549" s="122">
        <f>IF($B549="","",CONCATENATE("Örnek kayıt: ",$B549))</f>
        <v/>
      </c>
    </row>
    <row r="550" ht="15" customHeight="1" s="77">
      <c r="G550" s="122">
        <f>IF($D550=0,0,$D550*$E550)</f>
        <v/>
      </c>
      <c r="H550" s="122">
        <f>IF($B550="","",CONCATENATE("Örnek kayıt: ",$B550))</f>
        <v/>
      </c>
    </row>
    <row r="551" ht="15" customHeight="1" s="77">
      <c r="G551" s="122">
        <f>IF($D551=0,0,$D551*$E551)</f>
        <v/>
      </c>
      <c r="H551" s="122">
        <f>IF($B551="","",CONCATENATE("Örnek kayıt: ",$B551))</f>
        <v/>
      </c>
    </row>
    <row r="552" ht="15" customHeight="1" s="77">
      <c r="G552" s="122">
        <f>IF($D552=0,0,$D552*$E552)</f>
        <v/>
      </c>
      <c r="H552" s="122">
        <f>IF($B552="","",CONCATENATE("Örnek kayıt: ",$B552))</f>
        <v/>
      </c>
    </row>
    <row r="553" ht="15" customHeight="1" s="77">
      <c r="G553" s="122">
        <f>IF($D553=0,0,$D553*$E553)</f>
        <v/>
      </c>
      <c r="H553" s="122">
        <f>IF($B553="","",CONCATENATE("Örnek kayıt: ",$B553))</f>
        <v/>
      </c>
    </row>
    <row r="554" ht="15" customHeight="1" s="77">
      <c r="G554" s="122">
        <f>IF($D554=0,0,$D554*$E554)</f>
        <v/>
      </c>
      <c r="H554" s="122">
        <f>IF($B554="","",CONCATENATE("Örnek kayıt: ",$B554))</f>
        <v/>
      </c>
    </row>
    <row r="555" ht="15" customHeight="1" s="77">
      <c r="G555" s="122">
        <f>IF($D555=0,0,$D555*$E555)</f>
        <v/>
      </c>
      <c r="H555" s="122">
        <f>IF($B555="","",CONCATENATE("Örnek kayıt: ",$B555))</f>
        <v/>
      </c>
    </row>
    <row r="556" ht="15" customHeight="1" s="77">
      <c r="G556" s="122">
        <f>IF($D556=0,0,$D556*$E556)</f>
        <v/>
      </c>
      <c r="H556" s="122">
        <f>IF($B556="","",CONCATENATE("Örnek kayıt: ",$B556))</f>
        <v/>
      </c>
    </row>
    <row r="557" ht="15" customHeight="1" s="77">
      <c r="G557" s="122">
        <f>IF($D557=0,0,$D557*$E557)</f>
        <v/>
      </c>
      <c r="H557" s="122">
        <f>IF($B557="","",CONCATENATE("Örnek kayıt: ",$B557))</f>
        <v/>
      </c>
    </row>
    <row r="558" ht="15" customHeight="1" s="77">
      <c r="G558" s="122">
        <f>IF($D558=0,0,$D558*$E558)</f>
        <v/>
      </c>
      <c r="H558" s="122">
        <f>IF($B558="","",CONCATENATE("Örnek kayıt: ",$B558))</f>
        <v/>
      </c>
    </row>
    <row r="559" ht="15" customHeight="1" s="77">
      <c r="G559" s="122">
        <f>IF($D559=0,0,$D559*$E559)</f>
        <v/>
      </c>
      <c r="H559" s="122">
        <f>IF($B559="","",CONCATENATE("Örnek kayıt: ",$B559))</f>
        <v/>
      </c>
    </row>
    <row r="560" ht="15" customHeight="1" s="77">
      <c r="G560" s="122">
        <f>IF($D560=0,0,$D560*$E560)</f>
        <v/>
      </c>
      <c r="H560" s="122">
        <f>IF($B560="","",CONCATENATE("Örnek kayıt: ",$B560))</f>
        <v/>
      </c>
    </row>
    <row r="561" ht="15" customHeight="1" s="77">
      <c r="G561" s="122">
        <f>IF($D561=0,0,$D561*$E561)</f>
        <v/>
      </c>
      <c r="H561" s="122">
        <f>IF($B561="","",CONCATENATE("Örnek kayıt: ",$B561))</f>
        <v/>
      </c>
    </row>
    <row r="562" ht="15" customHeight="1" s="77">
      <c r="G562" s="122">
        <f>IF($D562=0,0,$D562*$E562)</f>
        <v/>
      </c>
      <c r="H562" s="122">
        <f>IF($B562="","",CONCATENATE("Örnek kayıt: ",$B562))</f>
        <v/>
      </c>
    </row>
    <row r="563" ht="15" customHeight="1" s="77">
      <c r="G563" s="122">
        <f>IF($D563=0,0,$D563*$E563)</f>
        <v/>
      </c>
      <c r="H563" s="122">
        <f>IF($B563="","",CONCATENATE("Örnek kayıt: ",$B563))</f>
        <v/>
      </c>
    </row>
    <row r="564" ht="15" customHeight="1" s="77">
      <c r="G564" s="122">
        <f>IF($D564=0,0,$D564*$E564)</f>
        <v/>
      </c>
      <c r="H564" s="122">
        <f>IF($B564="","",CONCATENATE("Örnek kayıt: ",$B564))</f>
        <v/>
      </c>
    </row>
    <row r="565" ht="15" customHeight="1" s="77">
      <c r="G565" s="122">
        <f>IF($D565=0,0,$D565*$E565)</f>
        <v/>
      </c>
      <c r="H565" s="122">
        <f>IF($B565="","",CONCATENATE("Örnek kayıt: ",$B565))</f>
        <v/>
      </c>
    </row>
    <row r="566" ht="15" customHeight="1" s="77">
      <c r="G566" s="122">
        <f>IF($D566=0,0,$D566*$E566)</f>
        <v/>
      </c>
      <c r="H566" s="122">
        <f>IF($B566="","",CONCATENATE("Örnek kayıt: ",$B566))</f>
        <v/>
      </c>
    </row>
    <row r="567" ht="15" customHeight="1" s="77">
      <c r="G567" s="122">
        <f>IF($D567=0,0,$D567*$E567)</f>
        <v/>
      </c>
      <c r="H567" s="122">
        <f>IF($B567="","",CONCATENATE("Örnek kayıt: ",$B567))</f>
        <v/>
      </c>
    </row>
    <row r="568" ht="15" customHeight="1" s="77">
      <c r="G568" s="122">
        <f>IF($D568=0,0,$D568*$E568)</f>
        <v/>
      </c>
      <c r="H568" s="122">
        <f>IF($B568="","",CONCATENATE("Örnek kayıt: ",$B568))</f>
        <v/>
      </c>
    </row>
    <row r="569" ht="15" customHeight="1" s="77">
      <c r="G569" s="122">
        <f>IF($D569=0,0,$D569*$E569)</f>
        <v/>
      </c>
      <c r="H569" s="122">
        <f>IF($B569="","",CONCATENATE("Örnek kayıt: ",$B569))</f>
        <v/>
      </c>
    </row>
    <row r="570" ht="15" customHeight="1" s="77">
      <c r="G570" s="122">
        <f>IF($D570=0,0,$D570*$E570)</f>
        <v/>
      </c>
      <c r="H570" s="122">
        <f>IF($B570="","",CONCATENATE("Örnek kayıt: ",$B570))</f>
        <v/>
      </c>
    </row>
    <row r="571" ht="15" customHeight="1" s="77">
      <c r="G571" s="122">
        <f>IF($D571=0,0,$D571*$E571)</f>
        <v/>
      </c>
      <c r="H571" s="122">
        <f>IF($B571="","",CONCATENATE("Örnek kayıt: ",$B571))</f>
        <v/>
      </c>
    </row>
    <row r="572" ht="15" customHeight="1" s="77">
      <c r="G572" s="122">
        <f>IF($D572=0,0,$D572*$E572)</f>
        <v/>
      </c>
      <c r="H572" s="122">
        <f>IF($B572="","",CONCATENATE("Örnek kayıt: ",$B572))</f>
        <v/>
      </c>
    </row>
    <row r="573" ht="15" customHeight="1" s="77">
      <c r="G573" s="122">
        <f>IF($D573=0,0,$D573*$E573)</f>
        <v/>
      </c>
      <c r="H573" s="122">
        <f>IF($B573="","",CONCATENATE("Örnek kayıt: ",$B573))</f>
        <v/>
      </c>
    </row>
    <row r="574" ht="15" customHeight="1" s="77">
      <c r="G574" s="122">
        <f>IF($D574=0,0,$D574*$E574)</f>
        <v/>
      </c>
      <c r="H574" s="122">
        <f>IF($B574="","",CONCATENATE("Örnek kayıt: ",$B574))</f>
        <v/>
      </c>
    </row>
    <row r="575" ht="15" customHeight="1" s="77">
      <c r="G575" s="122">
        <f>IF($D575=0,0,$D575*$E575)</f>
        <v/>
      </c>
      <c r="H575" s="122">
        <f>IF($B575="","",CONCATENATE("Örnek kayıt: ",$B575))</f>
        <v/>
      </c>
    </row>
    <row r="576" ht="15" customHeight="1" s="77">
      <c r="G576" s="122">
        <f>IF($D576=0,0,$D576*$E576)</f>
        <v/>
      </c>
      <c r="H576" s="122">
        <f>IF($B576="","",CONCATENATE("Örnek kayıt: ",$B576))</f>
        <v/>
      </c>
    </row>
    <row r="577" ht="15" customHeight="1" s="77">
      <c r="G577" s="122">
        <f>IF($D577=0,0,$D577*$E577)</f>
        <v/>
      </c>
      <c r="H577" s="122">
        <f>IF($B577="","",CONCATENATE("Örnek kayıt: ",$B577))</f>
        <v/>
      </c>
    </row>
    <row r="578" ht="15" customHeight="1" s="77">
      <c r="G578" s="122">
        <f>IF($D578=0,0,$D578*$E578)</f>
        <v/>
      </c>
      <c r="H578" s="122">
        <f>IF($B578="","",CONCATENATE("Örnek kayıt: ",$B578))</f>
        <v/>
      </c>
    </row>
    <row r="579" ht="15" customHeight="1" s="77">
      <c r="G579" s="122">
        <f>IF($D579=0,0,$D579*$E579)</f>
        <v/>
      </c>
      <c r="H579" s="122">
        <f>IF($B579="","",CONCATENATE("Örnek kayıt: ",$B579))</f>
        <v/>
      </c>
    </row>
    <row r="580" ht="15" customHeight="1" s="77">
      <c r="G580" s="122">
        <f>IF($D580=0,0,$D580*$E580)</f>
        <v/>
      </c>
      <c r="H580" s="122">
        <f>IF($B580="","",CONCATENATE("Örnek kayıt: ",$B580))</f>
        <v/>
      </c>
    </row>
    <row r="581" ht="15" customHeight="1" s="77">
      <c r="G581" s="122">
        <f>IF($D581=0,0,$D581*$E581)</f>
        <v/>
      </c>
      <c r="H581" s="122">
        <f>IF($B581="","",CONCATENATE("Örnek kayıt: ",$B581))</f>
        <v/>
      </c>
    </row>
    <row r="582" ht="15" customHeight="1" s="77">
      <c r="G582" s="122">
        <f>IF($D582=0,0,$D582*$E582)</f>
        <v/>
      </c>
      <c r="H582" s="122">
        <f>IF($B582="","",CONCATENATE("Örnek kayıt: ",$B582))</f>
        <v/>
      </c>
    </row>
    <row r="583" ht="15" customHeight="1" s="77">
      <c r="G583" s="122">
        <f>IF($D583=0,0,$D583*$E583)</f>
        <v/>
      </c>
      <c r="H583" s="122">
        <f>IF($B583="","",CONCATENATE("Örnek kayıt: ",$B583))</f>
        <v/>
      </c>
    </row>
    <row r="584" ht="15" customHeight="1" s="77">
      <c r="G584" s="122">
        <f>IF($D584=0,0,$D584*$E584)</f>
        <v/>
      </c>
      <c r="H584" s="122">
        <f>IF($B584="","",CONCATENATE("Örnek kayıt: ",$B584))</f>
        <v/>
      </c>
    </row>
    <row r="585" ht="15" customHeight="1" s="77">
      <c r="G585" s="122">
        <f>IF($D585=0,0,$D585*$E585)</f>
        <v/>
      </c>
      <c r="H585" s="122">
        <f>IF($B585="","",CONCATENATE("Örnek kayıt: ",$B585))</f>
        <v/>
      </c>
    </row>
    <row r="586" ht="15" customHeight="1" s="77">
      <c r="G586" s="122">
        <f>IF($D586=0,0,$D586*$E586)</f>
        <v/>
      </c>
      <c r="H586" s="122">
        <f>IF($B586="","",CONCATENATE("Örnek kayıt: ",$B586))</f>
        <v/>
      </c>
    </row>
    <row r="587" ht="15" customHeight="1" s="77">
      <c r="G587" s="122">
        <f>IF($D587=0,0,$D587*$E587)</f>
        <v/>
      </c>
      <c r="H587" s="122">
        <f>IF($B587="","",CONCATENATE("Örnek kayıt: ",$B587))</f>
        <v/>
      </c>
    </row>
    <row r="588" ht="15" customHeight="1" s="77">
      <c r="G588" s="122">
        <f>IF($D588=0,0,$D588*$E588)</f>
        <v/>
      </c>
      <c r="H588" s="122">
        <f>IF($B588="","",CONCATENATE("Örnek kayıt: ",$B588))</f>
        <v/>
      </c>
    </row>
    <row r="589" ht="15" customHeight="1" s="77">
      <c r="G589" s="122">
        <f>IF($D589=0,0,$D589*$E589)</f>
        <v/>
      </c>
      <c r="H589" s="122">
        <f>IF($B589="","",CONCATENATE("Örnek kayıt: ",$B589))</f>
        <v/>
      </c>
    </row>
    <row r="590" ht="15" customHeight="1" s="77">
      <c r="G590" s="122">
        <f>IF($D590=0,0,$D590*$E590)</f>
        <v/>
      </c>
      <c r="H590" s="122">
        <f>IF($B590="","",CONCATENATE("Örnek kayıt: ",$B590))</f>
        <v/>
      </c>
    </row>
    <row r="591" ht="15" customHeight="1" s="77">
      <c r="G591" s="122">
        <f>IF($D591=0,0,$D591*$E591)</f>
        <v/>
      </c>
      <c r="H591" s="122">
        <f>IF($B591="","",CONCATENATE("Örnek kayıt: ",$B591))</f>
        <v/>
      </c>
    </row>
    <row r="592" ht="15" customHeight="1" s="77">
      <c r="G592" s="122">
        <f>IF($D592=0,0,$D592*$E592)</f>
        <v/>
      </c>
      <c r="H592" s="122">
        <f>IF($B592="","",CONCATENATE("Örnek kayıt: ",$B592))</f>
        <v/>
      </c>
    </row>
    <row r="593" ht="15" customHeight="1" s="77">
      <c r="G593" s="122">
        <f>IF($D593=0,0,$D593*$E593)</f>
        <v/>
      </c>
      <c r="H593" s="122">
        <f>IF($B593="","",CONCATENATE("Örnek kayıt: ",$B593))</f>
        <v/>
      </c>
    </row>
    <row r="594" ht="15" customHeight="1" s="77">
      <c r="G594" s="122">
        <f>IF($D594=0,0,$D594*$E594)</f>
        <v/>
      </c>
      <c r="H594" s="122">
        <f>IF($B594="","",CONCATENATE("Örnek kayıt: ",$B594))</f>
        <v/>
      </c>
    </row>
    <row r="595" ht="15" customHeight="1" s="77">
      <c r="G595" s="122">
        <f>IF($D595=0,0,$D595*$E595)</f>
        <v/>
      </c>
      <c r="H595" s="122">
        <f>IF($B595="","",CONCATENATE("Örnek kayıt: ",$B595))</f>
        <v/>
      </c>
    </row>
    <row r="596" ht="15" customHeight="1" s="77">
      <c r="G596" s="122">
        <f>IF($D596=0,0,$D596*$E596)</f>
        <v/>
      </c>
      <c r="H596" s="122">
        <f>IF($B596="","",CONCATENATE("Örnek kayıt: ",$B596))</f>
        <v/>
      </c>
    </row>
    <row r="597" ht="15" customHeight="1" s="77">
      <c r="G597" s="122">
        <f>IF($D597=0,0,$D597*$E597)</f>
        <v/>
      </c>
      <c r="H597" s="122">
        <f>IF($B597="","",CONCATENATE("Örnek kayıt: ",$B597))</f>
        <v/>
      </c>
    </row>
    <row r="598" ht="15" customHeight="1" s="77">
      <c r="G598" s="122">
        <f>IF($D598=0,0,$D598*$E598)</f>
        <v/>
      </c>
      <c r="H598" s="122">
        <f>IF($B598="","",CONCATENATE("Örnek kayıt: ",$B598))</f>
        <v/>
      </c>
    </row>
    <row r="599" ht="15" customHeight="1" s="77">
      <c r="G599" s="122">
        <f>IF($D599=0,0,$D599*$E599)</f>
        <v/>
      </c>
      <c r="H599" s="122">
        <f>IF($B599="","",CONCATENATE("Örnek kayıt: ",$B599))</f>
        <v/>
      </c>
    </row>
    <row r="600" ht="15" customHeight="1" s="77">
      <c r="G600" s="122">
        <f>IF($D600=0,0,$D600*$E600)</f>
        <v/>
      </c>
      <c r="H600" s="122">
        <f>IF($B600="","",CONCATENATE("Örnek kayıt: ",$B600))</f>
        <v/>
      </c>
    </row>
    <row r="601" ht="15" customHeight="1" s="77">
      <c r="G601" s="122">
        <f>IF($D601=0,0,$D601*$E601)</f>
        <v/>
      </c>
      <c r="H601" s="122">
        <f>IF($B601="","",CONCATENATE("Örnek kayıt: ",$B601))</f>
        <v/>
      </c>
    </row>
    <row r="602" ht="15" customHeight="1" s="77">
      <c r="G602" s="122">
        <f>IF($D602=0,0,$D602*$E602)</f>
        <v/>
      </c>
      <c r="H602" s="122">
        <f>IF($B602="","",CONCATENATE("Örnek kayıt: ",$B602))</f>
        <v/>
      </c>
    </row>
    <row r="603" ht="15" customHeight="1" s="77">
      <c r="G603" s="122">
        <f>IF($D603=0,0,$D603*$E603)</f>
        <v/>
      </c>
      <c r="H603" s="122">
        <f>IF($B603="","",CONCATENATE("Örnek kayıt: ",$B603))</f>
        <v/>
      </c>
    </row>
    <row r="604" ht="15" customHeight="1" s="77">
      <c r="G604" s="122">
        <f>IF($D604=0,0,$D604*$E604)</f>
        <v/>
      </c>
      <c r="H604" s="122">
        <f>IF($B604="","",CONCATENATE("Örnek kayıt: ",$B604))</f>
        <v/>
      </c>
    </row>
    <row r="605" ht="15" customHeight="1" s="77">
      <c r="G605" s="122">
        <f>IF($D605=0,0,$D605*$E605)</f>
        <v/>
      </c>
      <c r="H605" s="122">
        <f>IF($B605="","",CONCATENATE("Örnek kayıt: ",$B605))</f>
        <v/>
      </c>
    </row>
    <row r="606" ht="15" customHeight="1" s="77">
      <c r="G606" s="122">
        <f>IF($D606=0,0,$D606*$E606)</f>
        <v/>
      </c>
      <c r="H606" s="122">
        <f>IF($B606="","",CONCATENATE("Örnek kayıt: ",$B606))</f>
        <v/>
      </c>
    </row>
    <row r="607" ht="15" customHeight="1" s="77">
      <c r="G607" s="122">
        <f>IF($D607=0,0,$D607*$E607)</f>
        <v/>
      </c>
      <c r="H607" s="122">
        <f>IF($B607="","",CONCATENATE("Örnek kayıt: ",$B607))</f>
        <v/>
      </c>
    </row>
    <row r="608" ht="15" customHeight="1" s="77">
      <c r="G608" s="122">
        <f>IF($D608=0,0,$D608*$E608)</f>
        <v/>
      </c>
      <c r="H608" s="122">
        <f>IF($B608="","",CONCATENATE("Örnek kayıt: ",$B608))</f>
        <v/>
      </c>
    </row>
    <row r="609" ht="15" customHeight="1" s="77">
      <c r="G609" s="122">
        <f>IF($D609=0,0,$D609*$E609)</f>
        <v/>
      </c>
      <c r="H609" s="122">
        <f>IF($B609="","",CONCATENATE("Örnek kayıt: ",$B609))</f>
        <v/>
      </c>
    </row>
    <row r="610" ht="15" customHeight="1" s="77">
      <c r="G610" s="122">
        <f>IF($D610=0,0,$D610*$E610)</f>
        <v/>
      </c>
      <c r="H610" s="122">
        <f>IF($B610="","",CONCATENATE("Örnek kayıt: ",$B610))</f>
        <v/>
      </c>
    </row>
    <row r="611" ht="15" customHeight="1" s="77">
      <c r="G611" s="122">
        <f>IF($D611=0,0,$D611*$E611)</f>
        <v/>
      </c>
      <c r="H611" s="122">
        <f>IF($B611="","",CONCATENATE("Örnek kayıt: ",$B611))</f>
        <v/>
      </c>
    </row>
    <row r="612" ht="15" customHeight="1" s="77">
      <c r="G612" s="122">
        <f>IF($D612=0,0,$D612*$E612)</f>
        <v/>
      </c>
      <c r="H612" s="122">
        <f>IF($B612="","",CONCATENATE("Örnek kayıt: ",$B612))</f>
        <v/>
      </c>
    </row>
    <row r="613" ht="15" customHeight="1" s="77">
      <c r="G613" s="122">
        <f>IF($D613=0,0,$D613*$E613)</f>
        <v/>
      </c>
      <c r="H613" s="122">
        <f>IF($B613="","",CONCATENATE("Örnek kayıt: ",$B613))</f>
        <v/>
      </c>
    </row>
    <row r="614" ht="15" customHeight="1" s="77">
      <c r="G614" s="122">
        <f>IF($D614=0,0,$D614*$E614)</f>
        <v/>
      </c>
      <c r="H614" s="122">
        <f>IF($B614="","",CONCATENATE("Örnek kayıt: ",$B614))</f>
        <v/>
      </c>
    </row>
    <row r="615" ht="15" customHeight="1" s="77">
      <c r="G615" s="122">
        <f>IF($D615=0,0,$D615*$E615)</f>
        <v/>
      </c>
      <c r="H615" s="122">
        <f>IF($B615="","",CONCATENATE("Örnek kayıt: ",$B615))</f>
        <v/>
      </c>
    </row>
    <row r="616" ht="15" customHeight="1" s="77">
      <c r="G616" s="122">
        <f>IF($D616=0,0,$D616*$E616)</f>
        <v/>
      </c>
      <c r="H616" s="122">
        <f>IF($B616="","",CONCATENATE("Örnek kayıt: ",$B616))</f>
        <v/>
      </c>
    </row>
    <row r="617" ht="15" customHeight="1" s="77">
      <c r="G617" s="122">
        <f>IF($D617=0,0,$D617*$E617)</f>
        <v/>
      </c>
      <c r="H617" s="122">
        <f>IF($B617="","",CONCATENATE("Örnek kayıt: ",$B617))</f>
        <v/>
      </c>
    </row>
    <row r="618" ht="15" customHeight="1" s="77">
      <c r="G618" s="122">
        <f>IF($D618=0,0,$D618*$E618)</f>
        <v/>
      </c>
      <c r="H618" s="122">
        <f>IF($B618="","",CONCATENATE("Örnek kayıt: ",$B618))</f>
        <v/>
      </c>
    </row>
    <row r="619" ht="15" customHeight="1" s="77">
      <c r="G619" s="122">
        <f>IF($D619=0,0,$D619*$E619)</f>
        <v/>
      </c>
      <c r="H619" s="122">
        <f>IF($B619="","",CONCATENATE("Örnek kayıt: ",$B619))</f>
        <v/>
      </c>
    </row>
    <row r="620" ht="15" customHeight="1" s="77">
      <c r="G620" s="122">
        <f>IF($D620=0,0,$D620*$E620)</f>
        <v/>
      </c>
      <c r="H620" s="122">
        <f>IF($B620="","",CONCATENATE("Örnek kayıt: ",$B620))</f>
        <v/>
      </c>
    </row>
    <row r="621" ht="15" customHeight="1" s="77">
      <c r="G621" s="122">
        <f>IF($D621=0,0,$D621*$E621)</f>
        <v/>
      </c>
      <c r="H621" s="122">
        <f>IF($B621="","",CONCATENATE("Örnek kayıt: ",$B621))</f>
        <v/>
      </c>
    </row>
    <row r="622" ht="15" customHeight="1" s="77">
      <c r="G622" s="122">
        <f>IF($D622=0,0,$D622*$E622)</f>
        <v/>
      </c>
      <c r="H622" s="122">
        <f>IF($B622="","",CONCATENATE("Örnek kayıt: ",$B622))</f>
        <v/>
      </c>
    </row>
    <row r="623" ht="15" customHeight="1" s="77">
      <c r="G623" s="122">
        <f>IF($D623=0,0,$D623*$E623)</f>
        <v/>
      </c>
      <c r="H623" s="122">
        <f>IF($B623="","",CONCATENATE("Örnek kayıt: ",$B623))</f>
        <v/>
      </c>
    </row>
    <row r="624" ht="15" customHeight="1" s="77">
      <c r="G624" s="122">
        <f>IF($D624=0,0,$D624*$E624)</f>
        <v/>
      </c>
      <c r="H624" s="122">
        <f>IF($B624="","",CONCATENATE("Örnek kayıt: ",$B624))</f>
        <v/>
      </c>
    </row>
    <row r="625" ht="15" customHeight="1" s="77">
      <c r="G625" s="122">
        <f>IF($D625=0,0,$D625*$E625)</f>
        <v/>
      </c>
      <c r="H625" s="122">
        <f>IF($B625="","",CONCATENATE("Örnek kayıt: ",$B625))</f>
        <v/>
      </c>
    </row>
    <row r="626" ht="15" customHeight="1" s="77">
      <c r="G626" s="122">
        <f>IF($D626=0,0,$D626*$E626)</f>
        <v/>
      </c>
      <c r="H626" s="122">
        <f>IF($B626="","",CONCATENATE("Örnek kayıt: ",$B626))</f>
        <v/>
      </c>
    </row>
    <row r="627" ht="15" customHeight="1" s="77">
      <c r="G627" s="122">
        <f>IF($D627=0,0,$D627*$E627)</f>
        <v/>
      </c>
      <c r="H627" s="122">
        <f>IF($B627="","",CONCATENATE("Örnek kayıt: ",$B627))</f>
        <v/>
      </c>
    </row>
    <row r="628" ht="15" customHeight="1" s="77">
      <c r="G628" s="122">
        <f>IF($D628=0,0,$D628*$E628)</f>
        <v/>
      </c>
      <c r="H628" s="122">
        <f>IF($B628="","",CONCATENATE("Örnek kayıt: ",$B628))</f>
        <v/>
      </c>
    </row>
    <row r="629" ht="15" customHeight="1" s="77">
      <c r="G629" s="122">
        <f>IF($D629=0,0,$D629*$E629)</f>
        <v/>
      </c>
      <c r="H629" s="122">
        <f>IF($B629="","",CONCATENATE("Örnek kayıt: ",$B629))</f>
        <v/>
      </c>
    </row>
    <row r="630" ht="15" customHeight="1" s="77">
      <c r="G630" s="122">
        <f>IF($D630=0,0,$D630*$E630)</f>
        <v/>
      </c>
      <c r="H630" s="122">
        <f>IF($B630="","",CONCATENATE("Örnek kayıt: ",$B630))</f>
        <v/>
      </c>
    </row>
    <row r="631" ht="15" customHeight="1" s="77">
      <c r="G631" s="122">
        <f>IF($D631=0,0,$D631*$E631)</f>
        <v/>
      </c>
      <c r="H631" s="122">
        <f>IF($B631="","",CONCATENATE("Örnek kayıt: ",$B631))</f>
        <v/>
      </c>
    </row>
    <row r="632" ht="15" customHeight="1" s="77">
      <c r="G632" s="122">
        <f>IF($D632=0,0,$D632*$E632)</f>
        <v/>
      </c>
      <c r="H632" s="122">
        <f>IF($B632="","",CONCATENATE("Örnek kayıt: ",$B632))</f>
        <v/>
      </c>
    </row>
    <row r="633" ht="15" customHeight="1" s="77">
      <c r="G633" s="122">
        <f>IF($D633=0,0,$D633*$E633)</f>
        <v/>
      </c>
      <c r="H633" s="122">
        <f>IF($B633="","",CONCATENATE("Örnek kayıt: ",$B633))</f>
        <v/>
      </c>
    </row>
    <row r="634" ht="15" customHeight="1" s="77">
      <c r="G634" s="122">
        <f>IF($D634=0,0,$D634*$E634)</f>
        <v/>
      </c>
      <c r="H634" s="122">
        <f>IF($B634="","",CONCATENATE("Örnek kayıt: ",$B634))</f>
        <v/>
      </c>
    </row>
    <row r="635" ht="15" customHeight="1" s="77">
      <c r="G635" s="122">
        <f>IF($D635=0,0,$D635*$E635)</f>
        <v/>
      </c>
      <c r="H635" s="122">
        <f>IF($B635="","",CONCATENATE("Örnek kayıt: ",$B635))</f>
        <v/>
      </c>
    </row>
    <row r="636" ht="15" customHeight="1" s="77">
      <c r="G636" s="122">
        <f>IF($D636=0,0,$D636*$E636)</f>
        <v/>
      </c>
      <c r="H636" s="122">
        <f>IF($B636="","",CONCATENATE("Örnek kayıt: ",$B636))</f>
        <v/>
      </c>
    </row>
    <row r="637" ht="15" customHeight="1" s="77">
      <c r="G637" s="122">
        <f>IF($D637=0,0,$D637*$E637)</f>
        <v/>
      </c>
      <c r="H637" s="122">
        <f>IF($B637="","",CONCATENATE("Örnek kayıt: ",$B637))</f>
        <v/>
      </c>
    </row>
    <row r="638" ht="15" customHeight="1" s="77">
      <c r="G638" s="122">
        <f>IF($D638=0,0,$D638*$E638)</f>
        <v/>
      </c>
      <c r="H638" s="122">
        <f>IF($B638="","",CONCATENATE("Örnek kayıt: ",$B638))</f>
        <v/>
      </c>
    </row>
    <row r="639" ht="15" customHeight="1" s="77">
      <c r="G639" s="122">
        <f>IF($D639=0,0,$D639*$E639)</f>
        <v/>
      </c>
      <c r="H639" s="122">
        <f>IF($B639="","",CONCATENATE("Örnek kayıt: ",$B639))</f>
        <v/>
      </c>
    </row>
    <row r="640" ht="15" customHeight="1" s="77">
      <c r="G640" s="122">
        <f>IF($D640=0,0,$D640*$E640)</f>
        <v/>
      </c>
      <c r="H640" s="122">
        <f>IF($B640="","",CONCATENATE("Örnek kayıt: ",$B640))</f>
        <v/>
      </c>
    </row>
    <row r="641" ht="15" customHeight="1" s="77">
      <c r="G641" s="122">
        <f>IF($D641=0,0,$D641*$E641)</f>
        <v/>
      </c>
      <c r="H641" s="122">
        <f>IF($B641="","",CONCATENATE("Örnek kayıt: ",$B641))</f>
        <v/>
      </c>
    </row>
    <row r="642" ht="15" customHeight="1" s="77">
      <c r="G642" s="122">
        <f>IF($D642=0,0,$D642*$E642)</f>
        <v/>
      </c>
      <c r="H642" s="122">
        <f>IF($B642="","",CONCATENATE("Örnek kayıt: ",$B642))</f>
        <v/>
      </c>
    </row>
    <row r="643" ht="15" customHeight="1" s="77">
      <c r="G643" s="122">
        <f>IF($D643=0,0,$D643*$E643)</f>
        <v/>
      </c>
      <c r="H643" s="122">
        <f>IF($B643="","",CONCATENATE("Örnek kayıt: ",$B643))</f>
        <v/>
      </c>
    </row>
    <row r="644" ht="15" customHeight="1" s="77">
      <c r="G644" s="122">
        <f>IF($D644=0,0,$D644*$E644)</f>
        <v/>
      </c>
      <c r="H644" s="122">
        <f>IF($B644="","",CONCATENATE("Örnek kayıt: ",$B644))</f>
        <v/>
      </c>
    </row>
    <row r="645" ht="15" customHeight="1" s="77">
      <c r="G645" s="122">
        <f>IF($D645=0,0,$D645*$E645)</f>
        <v/>
      </c>
      <c r="H645" s="122">
        <f>IF($B645="","",CONCATENATE("Örnek kayıt: ",$B645))</f>
        <v/>
      </c>
    </row>
    <row r="646" ht="15" customHeight="1" s="77">
      <c r="G646" s="122">
        <f>IF($D646=0,0,$D646*$E646)</f>
        <v/>
      </c>
      <c r="H646" s="122">
        <f>IF($B646="","",CONCATENATE("Örnek kayıt: ",$B646))</f>
        <v/>
      </c>
    </row>
    <row r="647" ht="15" customHeight="1" s="77">
      <c r="G647" s="122">
        <f>IF($D647=0,0,$D647*$E647)</f>
        <v/>
      </c>
      <c r="H647" s="122">
        <f>IF($B647="","",CONCATENATE("Örnek kayıt: ",$B647))</f>
        <v/>
      </c>
    </row>
    <row r="648" ht="15" customHeight="1" s="77">
      <c r="G648" s="122">
        <f>IF($D648=0,0,$D648*$E648)</f>
        <v/>
      </c>
      <c r="H648" s="122">
        <f>IF($B648="","",CONCATENATE("Örnek kayıt: ",$B648))</f>
        <v/>
      </c>
    </row>
    <row r="649" ht="15" customHeight="1" s="77">
      <c r="G649" s="122">
        <f>IF($D649=0,0,$D649*$E649)</f>
        <v/>
      </c>
      <c r="H649" s="122">
        <f>IF($B649="","",CONCATENATE("Örnek kayıt: ",$B649))</f>
        <v/>
      </c>
    </row>
    <row r="650" ht="15" customHeight="1" s="77">
      <c r="G650" s="122">
        <f>IF($D650=0,0,$D650*$E650)</f>
        <v/>
      </c>
      <c r="H650" s="122">
        <f>IF($B650="","",CONCATENATE("Örnek kayıt: ",$B650))</f>
        <v/>
      </c>
    </row>
    <row r="651" ht="15" customHeight="1" s="77">
      <c r="G651" s="122">
        <f>IF($D651=0,0,$D651*$E651)</f>
        <v/>
      </c>
      <c r="H651" s="122">
        <f>IF($B651="","",CONCATENATE("Örnek kayıt: ",$B651))</f>
        <v/>
      </c>
    </row>
    <row r="652" ht="15" customHeight="1" s="77">
      <c r="G652" s="122">
        <f>IF($D652=0,0,$D652*$E652)</f>
        <v/>
      </c>
      <c r="H652" s="122">
        <f>IF($B652="","",CONCATENATE("Örnek kayıt: ",$B652))</f>
        <v/>
      </c>
    </row>
    <row r="653" ht="15" customHeight="1" s="77">
      <c r="G653" s="122">
        <f>IF($D653=0,0,$D653*$E653)</f>
        <v/>
      </c>
      <c r="H653" s="122">
        <f>IF($B653="","",CONCATENATE("Örnek kayıt: ",$B653))</f>
        <v/>
      </c>
    </row>
    <row r="654" ht="15" customHeight="1" s="77">
      <c r="G654" s="122">
        <f>IF($D654=0,0,$D654*$E654)</f>
        <v/>
      </c>
      <c r="H654" s="122">
        <f>IF($B654="","",CONCATENATE("Örnek kayıt: ",$B654))</f>
        <v/>
      </c>
    </row>
    <row r="655" ht="15" customHeight="1" s="77">
      <c r="G655" s="122">
        <f>IF($D655=0,0,$D655*$E655)</f>
        <v/>
      </c>
      <c r="H655" s="122">
        <f>IF($B655="","",CONCATENATE("Örnek kayıt: ",$B655))</f>
        <v/>
      </c>
    </row>
    <row r="656" ht="15" customHeight="1" s="77">
      <c r="G656" s="122">
        <f>IF($D656=0,0,$D656*$E656)</f>
        <v/>
      </c>
      <c r="H656" s="122">
        <f>IF($B656="","",CONCATENATE("Örnek kayıt: ",$B656))</f>
        <v/>
      </c>
    </row>
    <row r="657" ht="15" customHeight="1" s="77">
      <c r="G657" s="122">
        <f>IF($D657=0,0,$D657*$E657)</f>
        <v/>
      </c>
      <c r="H657" s="122">
        <f>IF($B657="","",CONCATENATE("Örnek kayıt: ",$B657))</f>
        <v/>
      </c>
    </row>
    <row r="658" ht="15" customHeight="1" s="77">
      <c r="G658" s="122">
        <f>IF($D658=0,0,$D658*$E658)</f>
        <v/>
      </c>
      <c r="H658" s="122">
        <f>IF($B658="","",CONCATENATE("Örnek kayıt: ",$B658))</f>
        <v/>
      </c>
    </row>
    <row r="659" ht="15" customHeight="1" s="77">
      <c r="G659" s="122">
        <f>IF($D659=0,0,$D659*$E659)</f>
        <v/>
      </c>
      <c r="H659" s="122">
        <f>IF($B659="","",CONCATENATE("Örnek kayıt: ",$B659))</f>
        <v/>
      </c>
    </row>
    <row r="660" ht="15" customHeight="1" s="77">
      <c r="G660" s="122">
        <f>IF($D660=0,0,$D660*$E660)</f>
        <v/>
      </c>
      <c r="H660" s="122">
        <f>IF($B660="","",CONCATENATE("Örnek kayıt: ",$B660))</f>
        <v/>
      </c>
    </row>
    <row r="661" ht="15" customHeight="1" s="77">
      <c r="G661" s="122">
        <f>IF($D661=0,0,$D661*$E661)</f>
        <v/>
      </c>
      <c r="H661" s="122">
        <f>IF($B661="","",CONCATENATE("Örnek kayıt: ",$B661))</f>
        <v/>
      </c>
    </row>
    <row r="662" ht="15" customHeight="1" s="77">
      <c r="G662" s="122">
        <f>IF($D662=0,0,$D662*$E662)</f>
        <v/>
      </c>
      <c r="H662" s="122">
        <f>IF($B662="","",CONCATENATE("Örnek kayıt: ",$B662))</f>
        <v/>
      </c>
    </row>
    <row r="663" ht="15" customHeight="1" s="77">
      <c r="G663" s="122">
        <f>IF($D663=0,0,$D663*$E663)</f>
        <v/>
      </c>
      <c r="H663" s="122">
        <f>IF($B663="","",CONCATENATE("Örnek kayıt: ",$B663))</f>
        <v/>
      </c>
    </row>
    <row r="664" ht="15" customHeight="1" s="77">
      <c r="G664" s="122">
        <f>IF($D664=0,0,$D664*$E664)</f>
        <v/>
      </c>
      <c r="H664" s="122">
        <f>IF($B664="","",CONCATENATE("Örnek kayıt: ",$B664))</f>
        <v/>
      </c>
    </row>
    <row r="665" ht="15" customHeight="1" s="77">
      <c r="G665" s="122">
        <f>IF($D665=0,0,$D665*$E665)</f>
        <v/>
      </c>
      <c r="H665" s="122">
        <f>IF($B665="","",CONCATENATE("Örnek kayıt: ",$B665))</f>
        <v/>
      </c>
    </row>
    <row r="666" ht="15" customHeight="1" s="77">
      <c r="G666" s="122">
        <f>IF($D666=0,0,$D666*$E666)</f>
        <v/>
      </c>
      <c r="H666" s="122">
        <f>IF($B666="","",CONCATENATE("Örnek kayıt: ",$B666))</f>
        <v/>
      </c>
    </row>
    <row r="667" ht="15" customHeight="1" s="77">
      <c r="G667" s="122">
        <f>IF($D667=0,0,$D667*$E667)</f>
        <v/>
      </c>
      <c r="H667" s="122">
        <f>IF($B667="","",CONCATENATE("Örnek kayıt: ",$B667))</f>
        <v/>
      </c>
    </row>
    <row r="668" ht="15" customHeight="1" s="77">
      <c r="G668" s="122">
        <f>IF($D668=0,0,$D668*$E668)</f>
        <v/>
      </c>
      <c r="H668" s="122">
        <f>IF($B668="","",CONCATENATE("Örnek kayıt: ",$B668))</f>
        <v/>
      </c>
    </row>
    <row r="669" ht="15" customHeight="1" s="77">
      <c r="G669" s="122">
        <f>IF($D669=0,0,$D669*$E669)</f>
        <v/>
      </c>
      <c r="H669" s="122">
        <f>IF($B669="","",CONCATENATE("Örnek kayıt: ",$B669))</f>
        <v/>
      </c>
    </row>
    <row r="670" ht="15" customHeight="1" s="77">
      <c r="G670" s="122">
        <f>IF($D670=0,0,$D670*$E670)</f>
        <v/>
      </c>
      <c r="H670" s="122">
        <f>IF($B670="","",CONCATENATE("Örnek kayıt: ",$B670))</f>
        <v/>
      </c>
    </row>
    <row r="671" ht="15" customHeight="1" s="77">
      <c r="G671" s="122">
        <f>IF($D671=0,0,$D671*$E671)</f>
        <v/>
      </c>
      <c r="H671" s="122">
        <f>IF($B671="","",CONCATENATE("Örnek kayıt: ",$B671))</f>
        <v/>
      </c>
    </row>
    <row r="672" ht="15" customHeight="1" s="77">
      <c r="G672" s="122">
        <f>IF($D672=0,0,$D672*$E672)</f>
        <v/>
      </c>
      <c r="H672" s="122">
        <f>IF($B672="","",CONCATENATE("Örnek kayıt: ",$B672))</f>
        <v/>
      </c>
    </row>
    <row r="673" ht="15" customHeight="1" s="77">
      <c r="G673" s="122">
        <f>IF($D673=0,0,$D673*$E673)</f>
        <v/>
      </c>
      <c r="H673" s="122">
        <f>IF($B673="","",CONCATENATE("Örnek kayıt: ",$B673))</f>
        <v/>
      </c>
    </row>
    <row r="674" ht="15" customHeight="1" s="77">
      <c r="G674" s="122">
        <f>IF($D674=0,0,$D674*$E674)</f>
        <v/>
      </c>
      <c r="H674" s="122">
        <f>IF($B674="","",CONCATENATE("Örnek kayıt: ",$B674))</f>
        <v/>
      </c>
    </row>
    <row r="675" ht="15" customHeight="1" s="77">
      <c r="G675" s="122">
        <f>IF($D675=0,0,$D675*$E675)</f>
        <v/>
      </c>
      <c r="H675" s="122">
        <f>IF($B675="","",CONCATENATE("Örnek kayıt: ",$B675))</f>
        <v/>
      </c>
    </row>
    <row r="676" ht="15" customHeight="1" s="77">
      <c r="G676" s="122">
        <f>IF($D676=0,0,$D676*$E676)</f>
        <v/>
      </c>
      <c r="H676" s="122">
        <f>IF($B676="","",CONCATENATE("Örnek kayıt: ",$B676))</f>
        <v/>
      </c>
    </row>
    <row r="677" ht="15" customHeight="1" s="77">
      <c r="G677" s="122">
        <f>IF($D677=0,0,$D677*$E677)</f>
        <v/>
      </c>
      <c r="H677" s="122">
        <f>IF($B677="","",CONCATENATE("Örnek kayıt: ",$B677))</f>
        <v/>
      </c>
    </row>
    <row r="678" ht="15" customHeight="1" s="77">
      <c r="G678" s="122">
        <f>IF($D678=0,0,$D678*$E678)</f>
        <v/>
      </c>
      <c r="H678" s="122">
        <f>IF($B678="","",CONCATENATE("Örnek kayıt: ",$B678))</f>
        <v/>
      </c>
    </row>
    <row r="679" ht="15" customHeight="1" s="77">
      <c r="G679" s="122">
        <f>IF($D679=0,0,$D679*$E679)</f>
        <v/>
      </c>
      <c r="H679" s="122">
        <f>IF($B679="","",CONCATENATE("Örnek kayıt: ",$B679))</f>
        <v/>
      </c>
    </row>
    <row r="680" ht="15" customHeight="1" s="77">
      <c r="G680" s="122">
        <f>IF($D680=0,0,$D680*$E680)</f>
        <v/>
      </c>
      <c r="H680" s="122">
        <f>IF($B680="","",CONCATENATE("Örnek kayıt: ",$B680))</f>
        <v/>
      </c>
    </row>
    <row r="681" ht="15" customHeight="1" s="77">
      <c r="G681" s="122">
        <f>IF($D681=0,0,$D681*$E681)</f>
        <v/>
      </c>
      <c r="H681" s="122">
        <f>IF($B681="","",CONCATENATE("Örnek kayıt: ",$B681))</f>
        <v/>
      </c>
    </row>
    <row r="682" ht="15" customHeight="1" s="77">
      <c r="G682" s="122">
        <f>IF($D682=0,0,$D682*$E682)</f>
        <v/>
      </c>
      <c r="H682" s="122">
        <f>IF($B682="","",CONCATENATE("Örnek kayıt: ",$B682))</f>
        <v/>
      </c>
    </row>
    <row r="683" ht="15" customHeight="1" s="77">
      <c r="G683" s="122">
        <f>IF($D683=0,0,$D683*$E683)</f>
        <v/>
      </c>
      <c r="H683" s="122">
        <f>IF($B683="","",CONCATENATE("Örnek kayıt: ",$B683))</f>
        <v/>
      </c>
    </row>
    <row r="684" ht="15" customHeight="1" s="77">
      <c r="G684" s="122">
        <f>IF($D684=0,0,$D684*$E684)</f>
        <v/>
      </c>
      <c r="H684" s="122">
        <f>IF($B684="","",CONCATENATE("Örnek kayıt: ",$B684))</f>
        <v/>
      </c>
    </row>
    <row r="685" ht="15" customHeight="1" s="77">
      <c r="G685" s="122">
        <f>IF($D685=0,0,$D685*$E685)</f>
        <v/>
      </c>
      <c r="H685" s="122">
        <f>IF($B685="","",CONCATENATE("Örnek kayıt: ",$B685))</f>
        <v/>
      </c>
    </row>
    <row r="686" ht="15" customHeight="1" s="77">
      <c r="G686" s="122">
        <f>IF($D686=0,0,$D686*$E686)</f>
        <v/>
      </c>
      <c r="H686" s="122">
        <f>IF($B686="","",CONCATENATE("Örnek kayıt: ",$B686))</f>
        <v/>
      </c>
    </row>
    <row r="687" ht="15" customHeight="1" s="77">
      <c r="G687" s="122">
        <f>IF($D687=0,0,$D687*$E687)</f>
        <v/>
      </c>
      <c r="H687" s="122">
        <f>IF($B687="","",CONCATENATE("Örnek kayıt: ",$B687))</f>
        <v/>
      </c>
    </row>
    <row r="688" ht="15" customHeight="1" s="77">
      <c r="G688" s="122">
        <f>IF($D688=0,0,$D688*$E688)</f>
        <v/>
      </c>
      <c r="H688" s="122">
        <f>IF($B688="","",CONCATENATE("Örnek kayıt: ",$B688))</f>
        <v/>
      </c>
    </row>
    <row r="689" ht="15" customHeight="1" s="77">
      <c r="G689" s="122">
        <f>IF($D689=0,0,$D689*$E689)</f>
        <v/>
      </c>
      <c r="H689" s="122">
        <f>IF($B689="","",CONCATENATE("Örnek kayıt: ",$B689))</f>
        <v/>
      </c>
    </row>
    <row r="690" ht="15" customHeight="1" s="77">
      <c r="G690" s="122">
        <f>IF($D690=0,0,$D690*$E690)</f>
        <v/>
      </c>
      <c r="H690" s="122">
        <f>IF($B690="","",CONCATENATE("Örnek kayıt: ",$B690))</f>
        <v/>
      </c>
    </row>
    <row r="691" ht="15" customHeight="1" s="77">
      <c r="G691" s="122">
        <f>IF($D691=0,0,$D691*$E691)</f>
        <v/>
      </c>
      <c r="H691" s="122">
        <f>IF($B691="","",CONCATENATE("Örnek kayıt: ",$B691))</f>
        <v/>
      </c>
    </row>
    <row r="692" ht="15" customHeight="1" s="77">
      <c r="G692" s="122">
        <f>IF($D692=0,0,$D692*$E692)</f>
        <v/>
      </c>
      <c r="H692" s="122">
        <f>IF($B692="","",CONCATENATE("Örnek kayıt: ",$B692))</f>
        <v/>
      </c>
    </row>
    <row r="693" ht="15" customHeight="1" s="77">
      <c r="G693" s="122">
        <f>IF($D693=0,0,$D693*$E693)</f>
        <v/>
      </c>
      <c r="H693" s="122">
        <f>IF($B693="","",CONCATENATE("Örnek kayıt: ",$B693))</f>
        <v/>
      </c>
    </row>
    <row r="694" ht="15" customHeight="1" s="77">
      <c r="G694" s="122">
        <f>IF($D694=0,0,$D694*$E694)</f>
        <v/>
      </c>
      <c r="H694" s="122">
        <f>IF($B694="","",CONCATENATE("Örnek kayıt: ",$B694))</f>
        <v/>
      </c>
    </row>
    <row r="695" ht="15" customHeight="1" s="77">
      <c r="G695" s="122">
        <f>IF($D695=0,0,$D695*$E695)</f>
        <v/>
      </c>
      <c r="H695" s="122">
        <f>IF($B695="","",CONCATENATE("Örnek kayıt: ",$B695))</f>
        <v/>
      </c>
    </row>
    <row r="696" ht="15" customHeight="1" s="77">
      <c r="G696" s="122">
        <f>IF($D696=0,0,$D696*$E696)</f>
        <v/>
      </c>
      <c r="H696" s="122">
        <f>IF($B696="","",CONCATENATE("Örnek kayıt: ",$B696))</f>
        <v/>
      </c>
    </row>
    <row r="697" ht="15" customHeight="1" s="77">
      <c r="G697" s="122">
        <f>IF($D697=0,0,$D697*$E697)</f>
        <v/>
      </c>
      <c r="H697" s="122">
        <f>IF($B697="","",CONCATENATE("Örnek kayıt: ",$B697))</f>
        <v/>
      </c>
    </row>
    <row r="698" ht="15" customHeight="1" s="77">
      <c r="G698" s="122">
        <f>IF($D698=0,0,$D698*$E698)</f>
        <v/>
      </c>
      <c r="H698" s="122">
        <f>IF($B698="","",CONCATENATE("Örnek kayıt: ",$B698))</f>
        <v/>
      </c>
    </row>
    <row r="699" ht="15" customHeight="1" s="77">
      <c r="G699" s="122">
        <f>IF($D699=0,0,$D699*$E699)</f>
        <v/>
      </c>
      <c r="H699" s="122">
        <f>IF($B699="","",CONCATENATE("Örnek kayıt: ",$B699))</f>
        <v/>
      </c>
    </row>
    <row r="700" ht="15" customHeight="1" s="77">
      <c r="G700" s="122">
        <f>IF($D700=0,0,$D700*$E700)</f>
        <v/>
      </c>
      <c r="H700" s="122">
        <f>IF($B700="","",CONCATENATE("Örnek kayıt: ",$B700))</f>
        <v/>
      </c>
    </row>
    <row r="701" ht="15" customHeight="1" s="77">
      <c r="G701" s="122">
        <f>IF($D701=0,0,$D701*$E701)</f>
        <v/>
      </c>
      <c r="H701" s="122">
        <f>IF($B701="","",CONCATENATE("Örnek kayıt: ",$B701))</f>
        <v/>
      </c>
    </row>
    <row r="702" ht="15" customHeight="1" s="77">
      <c r="G702" s="122">
        <f>IF($D702=0,0,$D702*$E702)</f>
        <v/>
      </c>
      <c r="H702" s="122">
        <f>IF($B702="","",CONCATENATE("Örnek kayıt: ",$B702))</f>
        <v/>
      </c>
    </row>
    <row r="703" ht="15" customHeight="1" s="77">
      <c r="G703" s="122">
        <f>IF($D703=0,0,$D703*$E703)</f>
        <v/>
      </c>
      <c r="H703" s="122">
        <f>IF($B703="","",CONCATENATE("Örnek kayıt: ",$B703))</f>
        <v/>
      </c>
    </row>
    <row r="704" ht="15" customHeight="1" s="77">
      <c r="G704" s="122">
        <f>IF($D704=0,0,$D704*$E704)</f>
        <v/>
      </c>
      <c r="H704" s="122">
        <f>IF($B704="","",CONCATENATE("Örnek kayıt: ",$B704))</f>
        <v/>
      </c>
    </row>
    <row r="705" ht="15" customHeight="1" s="77">
      <c r="G705" s="122">
        <f>IF($D705=0,0,$D705*$E705)</f>
        <v/>
      </c>
      <c r="H705" s="122">
        <f>IF($B705="","",CONCATENATE("Örnek kayıt: ",$B705))</f>
        <v/>
      </c>
    </row>
    <row r="706" ht="15" customHeight="1" s="77">
      <c r="G706" s="122">
        <f>IF($D706=0,0,$D706*$E706)</f>
        <v/>
      </c>
      <c r="H706" s="122">
        <f>IF($B706="","",CONCATENATE("Örnek kayıt: ",$B706))</f>
        <v/>
      </c>
    </row>
    <row r="707" ht="15" customHeight="1" s="77">
      <c r="G707" s="122">
        <f>IF($D707=0,0,$D707*$E707)</f>
        <v/>
      </c>
      <c r="H707" s="122">
        <f>IF($B707="","",CONCATENATE("Örnek kayıt: ",$B707))</f>
        <v/>
      </c>
    </row>
    <row r="708" ht="15" customHeight="1" s="77">
      <c r="G708" s="122">
        <f>IF($D708=0,0,$D708*$E708)</f>
        <v/>
      </c>
      <c r="H708" s="122">
        <f>IF($B708="","",CONCATENATE("Örnek kayıt: ",$B708))</f>
        <v/>
      </c>
    </row>
    <row r="709" ht="15" customHeight="1" s="77">
      <c r="G709" s="122">
        <f>IF($D709=0,0,$D709*$E709)</f>
        <v/>
      </c>
      <c r="H709" s="122">
        <f>IF($B709="","",CONCATENATE("Örnek kayıt: ",$B709))</f>
        <v/>
      </c>
    </row>
    <row r="710" ht="15" customHeight="1" s="77">
      <c r="G710" s="122">
        <f>IF($D710=0,0,$D710*$E710)</f>
        <v/>
      </c>
      <c r="H710" s="122">
        <f>IF($B710="","",CONCATENATE("Örnek kayıt: ",$B710))</f>
        <v/>
      </c>
    </row>
    <row r="711" ht="15" customHeight="1" s="77">
      <c r="G711" s="122">
        <f>IF($D711=0,0,$D711*$E711)</f>
        <v/>
      </c>
      <c r="H711" s="122">
        <f>IF($B711="","",CONCATENATE("Örnek kayıt: ",$B711))</f>
        <v/>
      </c>
    </row>
    <row r="712" ht="15" customHeight="1" s="77">
      <c r="G712" s="122">
        <f>IF($D712=0,0,$D712*$E712)</f>
        <v/>
      </c>
      <c r="H712" s="122">
        <f>IF($B712="","",CONCATENATE("Örnek kayıt: ",$B712))</f>
        <v/>
      </c>
    </row>
    <row r="713" ht="15" customHeight="1" s="77">
      <c r="G713" s="122">
        <f>IF($D713=0,0,$D713*$E713)</f>
        <v/>
      </c>
      <c r="H713" s="122">
        <f>IF($B713="","",CONCATENATE("Örnek kayıt: ",$B713))</f>
        <v/>
      </c>
    </row>
    <row r="714" ht="15" customHeight="1" s="77">
      <c r="G714" s="122">
        <f>IF($D714=0,0,$D714*$E714)</f>
        <v/>
      </c>
      <c r="H714" s="122">
        <f>IF($B714="","",CONCATENATE("Örnek kayıt: ",$B714))</f>
        <v/>
      </c>
    </row>
    <row r="715" ht="15" customHeight="1" s="77">
      <c r="G715" s="122">
        <f>IF($D715=0,0,$D715*$E715)</f>
        <v/>
      </c>
      <c r="H715" s="122">
        <f>IF($B715="","",CONCATENATE("Örnek kayıt: ",$B715))</f>
        <v/>
      </c>
    </row>
    <row r="716" ht="15" customHeight="1" s="77">
      <c r="G716" s="122">
        <f>IF($D716=0,0,$D716*$E716)</f>
        <v/>
      </c>
      <c r="H716" s="122">
        <f>IF($B716="","",CONCATENATE("Örnek kayıt: ",$B716))</f>
        <v/>
      </c>
    </row>
    <row r="717" ht="15" customHeight="1" s="77">
      <c r="G717" s="122">
        <f>IF($D717=0,0,$D717*$E717)</f>
        <v/>
      </c>
      <c r="H717" s="122">
        <f>IF($B717="","",CONCATENATE("Örnek kayıt: ",$B717))</f>
        <v/>
      </c>
    </row>
    <row r="718" ht="15" customHeight="1" s="77">
      <c r="G718" s="122">
        <f>IF($D718=0,0,$D718*$E718)</f>
        <v/>
      </c>
      <c r="H718" s="122">
        <f>IF($B718="","",CONCATENATE("Örnek kayıt: ",$B718))</f>
        <v/>
      </c>
    </row>
    <row r="719" ht="15" customHeight="1" s="77">
      <c r="G719" s="122">
        <f>IF($D719=0,0,$D719*$E719)</f>
        <v/>
      </c>
      <c r="H719" s="122">
        <f>IF($B719="","",CONCATENATE("Örnek kayıt: ",$B719))</f>
        <v/>
      </c>
    </row>
    <row r="720" ht="15" customHeight="1" s="77">
      <c r="G720" s="122">
        <f>IF($D720=0,0,$D720*$E720)</f>
        <v/>
      </c>
      <c r="H720" s="122">
        <f>IF($B720="","",CONCATENATE("Örnek kayıt: ",$B720))</f>
        <v/>
      </c>
    </row>
    <row r="721" ht="15" customHeight="1" s="77">
      <c r="G721" s="122">
        <f>IF($D721=0,0,$D721*$E721)</f>
        <v/>
      </c>
      <c r="H721" s="122">
        <f>IF($B721="","",CONCATENATE("Örnek kayıt: ",$B721))</f>
        <v/>
      </c>
    </row>
    <row r="722" ht="15" customHeight="1" s="77">
      <c r="G722" s="122">
        <f>IF($D722=0,0,$D722*$E722)</f>
        <v/>
      </c>
      <c r="H722" s="122">
        <f>IF($B722="","",CONCATENATE("Örnek kayıt: ",$B722))</f>
        <v/>
      </c>
    </row>
    <row r="723" ht="15" customHeight="1" s="77">
      <c r="G723" s="122">
        <f>IF($D723=0,0,$D723*$E723)</f>
        <v/>
      </c>
      <c r="H723" s="122">
        <f>IF($B723="","",CONCATENATE("Örnek kayıt: ",$B723))</f>
        <v/>
      </c>
    </row>
    <row r="724" ht="15" customHeight="1" s="77">
      <c r="G724" s="122">
        <f>IF($D724=0,0,$D724*$E724)</f>
        <v/>
      </c>
      <c r="H724" s="122">
        <f>IF($B724="","",CONCATENATE("Örnek kayıt: ",$B724))</f>
        <v/>
      </c>
    </row>
    <row r="725" ht="15" customHeight="1" s="77">
      <c r="G725" s="122">
        <f>IF($D725=0,0,$D725*$E725)</f>
        <v/>
      </c>
      <c r="H725" s="122">
        <f>IF($B725="","",CONCATENATE("Örnek kayıt: ",$B725))</f>
        <v/>
      </c>
    </row>
    <row r="726" ht="15" customHeight="1" s="77">
      <c r="G726" s="122">
        <f>IF($D726=0,0,$D726*$E726)</f>
        <v/>
      </c>
      <c r="H726" s="122">
        <f>IF($B726="","",CONCATENATE("Örnek kayıt: ",$B726))</f>
        <v/>
      </c>
    </row>
    <row r="727" ht="15" customHeight="1" s="77">
      <c r="G727" s="122">
        <f>IF($D727=0,0,$D727*$E727)</f>
        <v/>
      </c>
      <c r="H727" s="122">
        <f>IF($B727="","",CONCATENATE("Örnek kayıt: ",$B727))</f>
        <v/>
      </c>
    </row>
    <row r="728" ht="15" customHeight="1" s="77">
      <c r="G728" s="122">
        <f>IF($D728=0,0,$D728*$E728)</f>
        <v/>
      </c>
      <c r="H728" s="122">
        <f>IF($B728="","",CONCATENATE("Örnek kayıt: ",$B728))</f>
        <v/>
      </c>
    </row>
    <row r="729" ht="15" customHeight="1" s="77">
      <c r="G729" s="122">
        <f>IF($D729=0,0,$D729*$E729)</f>
        <v/>
      </c>
      <c r="H729" s="122">
        <f>IF($B729="","",CONCATENATE("Örnek kayıt: ",$B729))</f>
        <v/>
      </c>
    </row>
    <row r="730" ht="15" customHeight="1" s="77">
      <c r="G730" s="122">
        <f>IF($D730=0,0,$D730*$E730)</f>
        <v/>
      </c>
      <c r="H730" s="122">
        <f>IF($B730="","",CONCATENATE("Örnek kayıt: ",$B730))</f>
        <v/>
      </c>
    </row>
    <row r="731" ht="15" customHeight="1" s="77">
      <c r="G731" s="122">
        <f>IF($D731=0,0,$D731*$E731)</f>
        <v/>
      </c>
      <c r="H731" s="122">
        <f>IF($B731="","",CONCATENATE("Örnek kayıt: ",$B731))</f>
        <v/>
      </c>
    </row>
    <row r="732" ht="15" customHeight="1" s="77">
      <c r="G732" s="122">
        <f>IF($D732=0,0,$D732*$E732)</f>
        <v/>
      </c>
      <c r="H732" s="122">
        <f>IF($B732="","",CONCATENATE("Örnek kayıt: ",$B732))</f>
        <v/>
      </c>
    </row>
    <row r="733" ht="15" customHeight="1" s="77">
      <c r="G733" s="122">
        <f>IF($D733=0,0,$D733*$E733)</f>
        <v/>
      </c>
      <c r="H733" s="122">
        <f>IF($B733="","",CONCATENATE("Örnek kayıt: ",$B733))</f>
        <v/>
      </c>
    </row>
    <row r="734" ht="15" customHeight="1" s="77">
      <c r="G734" s="122">
        <f>IF($D734=0,0,$D734*$E734)</f>
        <v/>
      </c>
      <c r="H734" s="122">
        <f>IF($B734="","",CONCATENATE("Örnek kayıt: ",$B734))</f>
        <v/>
      </c>
    </row>
    <row r="735" ht="15" customHeight="1" s="77">
      <c r="G735" s="122">
        <f>IF($D735=0,0,$D735*$E735)</f>
        <v/>
      </c>
      <c r="H735" s="122">
        <f>IF($B735="","",CONCATENATE("Örnek kayıt: ",$B735))</f>
        <v/>
      </c>
    </row>
    <row r="736" ht="15" customHeight="1" s="77">
      <c r="G736" s="122">
        <f>IF($D736=0,0,$D736*$E736)</f>
        <v/>
      </c>
      <c r="H736" s="122">
        <f>IF($B736="","",CONCATENATE("Örnek kayıt: ",$B736))</f>
        <v/>
      </c>
    </row>
    <row r="737" ht="15" customHeight="1" s="77">
      <c r="G737" s="122">
        <f>IF($D737=0,0,$D737*$E737)</f>
        <v/>
      </c>
      <c r="H737" s="122">
        <f>IF($B737="","",CONCATENATE("Örnek kayıt: ",$B737))</f>
        <v/>
      </c>
    </row>
    <row r="738" ht="15" customHeight="1" s="77">
      <c r="G738" s="122">
        <f>IF($D738=0,0,$D738*$E738)</f>
        <v/>
      </c>
      <c r="H738" s="122">
        <f>IF($B738="","",CONCATENATE("Örnek kayıt: ",$B738))</f>
        <v/>
      </c>
    </row>
    <row r="739" ht="15" customHeight="1" s="77">
      <c r="G739" s="122">
        <f>IF($D739=0,0,$D739*$E739)</f>
        <v/>
      </c>
      <c r="H739" s="122">
        <f>IF($B739="","",CONCATENATE("Örnek kayıt: ",$B739))</f>
        <v/>
      </c>
    </row>
    <row r="740" ht="15" customHeight="1" s="77">
      <c r="G740" s="122">
        <f>IF($D740=0,0,$D740*$E740)</f>
        <v/>
      </c>
      <c r="H740" s="122">
        <f>IF($B740="","",CONCATENATE("Örnek kayıt: ",$B740))</f>
        <v/>
      </c>
    </row>
    <row r="741" ht="15" customHeight="1" s="77">
      <c r="G741" s="122">
        <f>IF($D741=0,0,$D741*$E741)</f>
        <v/>
      </c>
      <c r="H741" s="122">
        <f>IF($B741="","",CONCATENATE("Örnek kayıt: ",$B741))</f>
        <v/>
      </c>
    </row>
    <row r="742" ht="15" customHeight="1" s="77">
      <c r="G742" s="122">
        <f>IF($D742=0,0,$D742*$E742)</f>
        <v/>
      </c>
      <c r="H742" s="122">
        <f>IF($B742="","",CONCATENATE("Örnek kayıt: ",$B742))</f>
        <v/>
      </c>
    </row>
    <row r="743" ht="15" customHeight="1" s="77">
      <c r="G743" s="122">
        <f>IF($D743=0,0,$D743*$E743)</f>
        <v/>
      </c>
      <c r="H743" s="122">
        <f>IF($B743="","",CONCATENATE("Örnek kayıt: ",$B743))</f>
        <v/>
      </c>
    </row>
    <row r="744" ht="15" customHeight="1" s="77">
      <c r="G744" s="122">
        <f>IF($D744=0,0,$D744*$E744)</f>
        <v/>
      </c>
      <c r="H744" s="122">
        <f>IF($B744="","",CONCATENATE("Örnek kayıt: ",$B744))</f>
        <v/>
      </c>
    </row>
    <row r="745" ht="15" customHeight="1" s="77">
      <c r="G745" s="122">
        <f>IF($D745=0,0,$D745*$E745)</f>
        <v/>
      </c>
      <c r="H745" s="122">
        <f>IF($B745="","",CONCATENATE("Örnek kayıt: ",$B745))</f>
        <v/>
      </c>
    </row>
    <row r="746" ht="15" customHeight="1" s="77">
      <c r="G746" s="122">
        <f>IF($D746=0,0,$D746*$E746)</f>
        <v/>
      </c>
      <c r="H746" s="122">
        <f>IF($B746="","",CONCATENATE("Örnek kayıt: ",$B746))</f>
        <v/>
      </c>
    </row>
    <row r="747" ht="15" customHeight="1" s="77">
      <c r="G747" s="122">
        <f>IF($D747=0,0,$D747*$E747)</f>
        <v/>
      </c>
      <c r="H747" s="122">
        <f>IF($B747="","",CONCATENATE("Örnek kayıt: ",$B747))</f>
        <v/>
      </c>
    </row>
    <row r="748" ht="15" customHeight="1" s="77">
      <c r="G748" s="122">
        <f>IF($D748=0,0,$D748*$E748)</f>
        <v/>
      </c>
      <c r="H748" s="122">
        <f>IF($B748="","",CONCATENATE("Örnek kayıt: ",$B748))</f>
        <v/>
      </c>
    </row>
    <row r="749" ht="15" customHeight="1" s="77">
      <c r="G749" s="122">
        <f>IF($D749=0,0,$D749*$E749)</f>
        <v/>
      </c>
      <c r="H749" s="122">
        <f>IF($B749="","",CONCATENATE("Örnek kayıt: ",$B749))</f>
        <v/>
      </c>
    </row>
    <row r="750" ht="15" customHeight="1" s="77">
      <c r="G750" s="122">
        <f>IF($D750=0,0,$D750*$E750)</f>
        <v/>
      </c>
      <c r="H750" s="122">
        <f>IF($B750="","",CONCATENATE("Örnek kayıt: ",$B750))</f>
        <v/>
      </c>
    </row>
    <row r="751" ht="15" customHeight="1" s="77">
      <c r="G751" s="122">
        <f>IF($D751=0,0,$D751*$E751)</f>
        <v/>
      </c>
      <c r="H751" s="122">
        <f>IF($B751="","",CONCATENATE("Örnek kayıt: ",$B751))</f>
        <v/>
      </c>
    </row>
    <row r="752" ht="15" customHeight="1" s="77">
      <c r="G752" s="122">
        <f>IF($D752=0,0,$D752*$E752)</f>
        <v/>
      </c>
      <c r="H752" s="122">
        <f>IF($B752="","",CONCATENATE("Örnek kayıt: ",$B752))</f>
        <v/>
      </c>
    </row>
    <row r="753" ht="15" customHeight="1" s="77">
      <c r="G753" s="122">
        <f>IF($D753=0,0,$D753*$E753)</f>
        <v/>
      </c>
      <c r="H753" s="122">
        <f>IF($B753="","",CONCATENATE("Örnek kayıt: ",$B753))</f>
        <v/>
      </c>
    </row>
    <row r="754" ht="15" customHeight="1" s="77">
      <c r="G754" s="122">
        <f>IF($D754=0,0,$D754*$E754)</f>
        <v/>
      </c>
      <c r="H754" s="122">
        <f>IF($B754="","",CONCATENATE("Örnek kayıt: ",$B754))</f>
        <v/>
      </c>
    </row>
    <row r="755" ht="15" customHeight="1" s="77">
      <c r="G755" s="122">
        <f>IF($D755=0,0,$D755*$E755)</f>
        <v/>
      </c>
      <c r="H755" s="122">
        <f>IF($B755="","",CONCATENATE("Örnek kayıt: ",$B755))</f>
        <v/>
      </c>
    </row>
    <row r="756" ht="15" customHeight="1" s="77">
      <c r="G756" s="122">
        <f>IF($D756=0,0,$D756*$E756)</f>
        <v/>
      </c>
      <c r="H756" s="122">
        <f>IF($B756="","",CONCATENATE("Örnek kayıt: ",$B756))</f>
        <v/>
      </c>
    </row>
    <row r="757" ht="15" customHeight="1" s="77">
      <c r="G757" s="122">
        <f>IF($D757=0,0,$D757*$E757)</f>
        <v/>
      </c>
      <c r="H757" s="122">
        <f>IF($B757="","",CONCATENATE("Örnek kayıt: ",$B757))</f>
        <v/>
      </c>
    </row>
    <row r="758" ht="15" customHeight="1" s="77">
      <c r="G758" s="122">
        <f>IF($D758=0,0,$D758*$E758)</f>
        <v/>
      </c>
      <c r="H758" s="122">
        <f>IF($B758="","",CONCATENATE("Örnek kayıt: ",$B758))</f>
        <v/>
      </c>
    </row>
    <row r="759" ht="15" customHeight="1" s="77">
      <c r="G759" s="122">
        <f>IF($D759=0,0,$D759*$E759)</f>
        <v/>
      </c>
      <c r="H759" s="122">
        <f>IF($B759="","",CONCATENATE("Örnek kayıt: ",$B759))</f>
        <v/>
      </c>
    </row>
    <row r="760" ht="15" customHeight="1" s="77">
      <c r="G760" s="122">
        <f>IF($D760=0,0,$D760*$E760)</f>
        <v/>
      </c>
      <c r="H760" s="122">
        <f>IF($B760="","",CONCATENATE("Örnek kayıt: ",$B760))</f>
        <v/>
      </c>
    </row>
    <row r="761" ht="15" customHeight="1" s="77">
      <c r="G761" s="122">
        <f>IF($D761=0,0,$D761*$E761)</f>
        <v/>
      </c>
      <c r="H761" s="122">
        <f>IF($B761="","",CONCATENATE("Örnek kayıt: ",$B761))</f>
        <v/>
      </c>
    </row>
    <row r="762" ht="15" customHeight="1" s="77">
      <c r="G762" s="122">
        <f>IF($D762=0,0,$D762*$E762)</f>
        <v/>
      </c>
      <c r="H762" s="122">
        <f>IF($B762="","",CONCATENATE("Örnek kayıt: ",$B762))</f>
        <v/>
      </c>
    </row>
    <row r="763" ht="15" customHeight="1" s="77">
      <c r="G763" s="122">
        <f>IF($D763=0,0,$D763*$E763)</f>
        <v/>
      </c>
      <c r="H763" s="122">
        <f>IF($B763="","",CONCATENATE("Örnek kayıt: ",$B763))</f>
        <v/>
      </c>
    </row>
    <row r="764" ht="15" customHeight="1" s="77">
      <c r="G764" s="122">
        <f>IF($D764=0,0,$D764*$E764)</f>
        <v/>
      </c>
      <c r="H764" s="122">
        <f>IF($B764="","",CONCATENATE("Örnek kayıt: ",$B764))</f>
        <v/>
      </c>
    </row>
    <row r="765" ht="15" customHeight="1" s="77">
      <c r="G765" s="122">
        <f>IF($D765=0,0,$D765*$E765)</f>
        <v/>
      </c>
      <c r="H765" s="122">
        <f>IF($B765="","",CONCATENATE("Örnek kayıt: ",$B765))</f>
        <v/>
      </c>
    </row>
    <row r="766" ht="15" customHeight="1" s="77">
      <c r="G766" s="122">
        <f>IF($D766=0,0,$D766*$E766)</f>
        <v/>
      </c>
      <c r="H766" s="122">
        <f>IF($B766="","",CONCATENATE("Örnek kayıt: ",$B766))</f>
        <v/>
      </c>
    </row>
    <row r="767" ht="15" customHeight="1" s="77">
      <c r="G767" s="122">
        <f>IF($D767=0,0,$D767*$E767)</f>
        <v/>
      </c>
      <c r="H767" s="122">
        <f>IF($B767="","",CONCATENATE("Örnek kayıt: ",$B767))</f>
        <v/>
      </c>
    </row>
    <row r="768" ht="15" customHeight="1" s="77">
      <c r="G768" s="122">
        <f>IF($D768=0,0,$D768*$E768)</f>
        <v/>
      </c>
      <c r="H768" s="122">
        <f>IF($B768="","",CONCATENATE("Örnek kayıt: ",$B768))</f>
        <v/>
      </c>
    </row>
    <row r="769" ht="15" customHeight="1" s="77">
      <c r="G769" s="122">
        <f>IF($D769=0,0,$D769*$E769)</f>
        <v/>
      </c>
      <c r="H769" s="122">
        <f>IF($B769="","",CONCATENATE("Örnek kayıt: ",$B769))</f>
        <v/>
      </c>
    </row>
    <row r="770" ht="15" customHeight="1" s="77">
      <c r="G770" s="122">
        <f>IF($D770=0,0,$D770*$E770)</f>
        <v/>
      </c>
      <c r="H770" s="122">
        <f>IF($B770="","",CONCATENATE("Örnek kayıt: ",$B770))</f>
        <v/>
      </c>
    </row>
    <row r="771" ht="15" customHeight="1" s="77">
      <c r="G771" s="122">
        <f>IF($D771=0,0,$D771*$E771)</f>
        <v/>
      </c>
      <c r="H771" s="122">
        <f>IF($B771="","",CONCATENATE("Örnek kayıt: ",$B771))</f>
        <v/>
      </c>
    </row>
    <row r="772" ht="15" customHeight="1" s="77">
      <c r="G772" s="122">
        <f>IF($D772=0,0,$D772*$E772)</f>
        <v/>
      </c>
      <c r="H772" s="122">
        <f>IF($B772="","",CONCATENATE("Örnek kayıt: ",$B772))</f>
        <v/>
      </c>
    </row>
    <row r="773" ht="15" customHeight="1" s="77">
      <c r="G773" s="122">
        <f>IF($D773=0,0,$D773*$E773)</f>
        <v/>
      </c>
      <c r="H773" s="122">
        <f>IF($B773="","",CONCATENATE("Örnek kayıt: ",$B773))</f>
        <v/>
      </c>
    </row>
    <row r="774" ht="15" customHeight="1" s="77">
      <c r="G774" s="122">
        <f>IF($D774=0,0,$D774*$E774)</f>
        <v/>
      </c>
      <c r="H774" s="122">
        <f>IF($B774="","",CONCATENATE("Örnek kayıt: ",$B774))</f>
        <v/>
      </c>
    </row>
    <row r="775" ht="15" customHeight="1" s="77">
      <c r="G775" s="122">
        <f>IF($D775=0,0,$D775*$E775)</f>
        <v/>
      </c>
      <c r="H775" s="122">
        <f>IF($B775="","",CONCATENATE("Örnek kayıt: ",$B775))</f>
        <v/>
      </c>
    </row>
    <row r="776" ht="15" customHeight="1" s="77">
      <c r="G776" s="122">
        <f>IF($D776=0,0,$D776*$E776)</f>
        <v/>
      </c>
      <c r="H776" s="122">
        <f>IF($B776="","",CONCATENATE("Örnek kayıt: ",$B776))</f>
        <v/>
      </c>
    </row>
    <row r="777" ht="15" customHeight="1" s="77">
      <c r="G777" s="122">
        <f>IF($D777=0,0,$D777*$E777)</f>
        <v/>
      </c>
      <c r="H777" s="122">
        <f>IF($B777="","",CONCATENATE("Örnek kayıt: ",$B777))</f>
        <v/>
      </c>
    </row>
    <row r="778" ht="15" customHeight="1" s="77">
      <c r="G778" s="122">
        <f>IF($D778=0,0,$D778*$E778)</f>
        <v/>
      </c>
      <c r="H778" s="122">
        <f>IF($B778="","",CONCATENATE("Örnek kayıt: ",$B778))</f>
        <v/>
      </c>
    </row>
    <row r="779" ht="15" customHeight="1" s="77">
      <c r="G779" s="122">
        <f>IF($D779=0,0,$D779*$E779)</f>
        <v/>
      </c>
      <c r="H779" s="122">
        <f>IF($B779="","",CONCATENATE("Örnek kayıt: ",$B779))</f>
        <v/>
      </c>
    </row>
    <row r="780" ht="15" customHeight="1" s="77">
      <c r="G780" s="122">
        <f>IF($D780=0,0,$D780*$E780)</f>
        <v/>
      </c>
      <c r="H780" s="122">
        <f>IF($B780="","",CONCATENATE("Örnek kayıt: ",$B780))</f>
        <v/>
      </c>
    </row>
    <row r="781" ht="15" customHeight="1" s="77">
      <c r="G781" s="122">
        <f>IF($D781=0,0,$D781*$E781)</f>
        <v/>
      </c>
      <c r="H781" s="122">
        <f>IF($B781="","",CONCATENATE("Örnek kayıt: ",$B781))</f>
        <v/>
      </c>
    </row>
    <row r="782" ht="15" customHeight="1" s="77">
      <c r="G782" s="122">
        <f>IF($D782=0,0,$D782*$E782)</f>
        <v/>
      </c>
      <c r="H782" s="122">
        <f>IF($B782="","",CONCATENATE("Örnek kayıt: ",$B782))</f>
        <v/>
      </c>
    </row>
    <row r="783" ht="15" customHeight="1" s="77">
      <c r="G783" s="122">
        <f>IF($D783=0,0,$D783*$E783)</f>
        <v/>
      </c>
      <c r="H783" s="122">
        <f>IF($B783="","",CONCATENATE("Örnek kayıt: ",$B783))</f>
        <v/>
      </c>
    </row>
    <row r="784" ht="15" customHeight="1" s="77">
      <c r="G784" s="122">
        <f>IF($D784=0,0,$D784*$E784)</f>
        <v/>
      </c>
      <c r="H784" s="122">
        <f>IF($B784="","",CONCATENATE("Örnek kayıt: ",$B784))</f>
        <v/>
      </c>
    </row>
    <row r="785" ht="15" customHeight="1" s="77">
      <c r="G785" s="122">
        <f>IF($D785=0,0,$D785*$E785)</f>
        <v/>
      </c>
      <c r="H785" s="122">
        <f>IF($B785="","",CONCATENATE("Örnek kayıt: ",$B785))</f>
        <v/>
      </c>
    </row>
    <row r="786" ht="15" customHeight="1" s="77">
      <c r="G786" s="122">
        <f>IF($D786=0,0,$D786*$E786)</f>
        <v/>
      </c>
      <c r="H786" s="122">
        <f>IF($B786="","",CONCATENATE("Örnek kayıt: ",$B786))</f>
        <v/>
      </c>
    </row>
    <row r="787" ht="15" customHeight="1" s="77">
      <c r="G787" s="122">
        <f>IF($D787=0,0,$D787*$E787)</f>
        <v/>
      </c>
      <c r="H787" s="122">
        <f>IF($B787="","",CONCATENATE("Örnek kayıt: ",$B787))</f>
        <v/>
      </c>
    </row>
    <row r="788" ht="15" customHeight="1" s="77">
      <c r="G788" s="122">
        <f>IF($D788=0,0,$D788*$E788)</f>
        <v/>
      </c>
      <c r="H788" s="122">
        <f>IF($B788="","",CONCATENATE("Örnek kayıt: ",$B788))</f>
        <v/>
      </c>
    </row>
    <row r="789" ht="15" customHeight="1" s="77">
      <c r="G789" s="122">
        <f>IF($D789=0,0,$D789*$E789)</f>
        <v/>
      </c>
      <c r="H789" s="122">
        <f>IF($B789="","",CONCATENATE("Örnek kayıt: ",$B789))</f>
        <v/>
      </c>
    </row>
    <row r="790" ht="15" customHeight="1" s="77">
      <c r="G790" s="122">
        <f>IF($D790=0,0,$D790*$E790)</f>
        <v/>
      </c>
      <c r="H790" s="122">
        <f>IF($B790="","",CONCATENATE("Örnek kayıt: ",$B790))</f>
        <v/>
      </c>
    </row>
    <row r="791" ht="15" customHeight="1" s="77">
      <c r="G791" s="122">
        <f>IF($D791=0,0,$D791*$E791)</f>
        <v/>
      </c>
      <c r="H791" s="122">
        <f>IF($B791="","",CONCATENATE("Örnek kayıt: ",$B791))</f>
        <v/>
      </c>
    </row>
    <row r="792" ht="15" customHeight="1" s="77">
      <c r="G792" s="122">
        <f>IF($D792=0,0,$D792*$E792)</f>
        <v/>
      </c>
      <c r="H792" s="122">
        <f>IF($B792="","",CONCATENATE("Örnek kayıt: ",$B792))</f>
        <v/>
      </c>
    </row>
    <row r="793" ht="15" customHeight="1" s="77">
      <c r="G793" s="122">
        <f>IF($D793=0,0,$D793*$E793)</f>
        <v/>
      </c>
      <c r="H793" s="122">
        <f>IF($B793="","",CONCATENATE("Örnek kayıt: ",$B793))</f>
        <v/>
      </c>
    </row>
    <row r="794" ht="15" customHeight="1" s="77">
      <c r="G794" s="122">
        <f>IF($D794=0,0,$D794*$E794)</f>
        <v/>
      </c>
      <c r="H794" s="122">
        <f>IF($B794="","",CONCATENATE("Örnek kayıt: ",$B794))</f>
        <v/>
      </c>
    </row>
    <row r="795" ht="15" customHeight="1" s="77">
      <c r="G795" s="122">
        <f>IF($D795=0,0,$D795*$E795)</f>
        <v/>
      </c>
      <c r="H795" s="122">
        <f>IF($B795="","",CONCATENATE("Örnek kayıt: ",$B795))</f>
        <v/>
      </c>
    </row>
    <row r="796" ht="15" customHeight="1" s="77">
      <c r="G796" s="122">
        <f>IF($D796=0,0,$D796*$E796)</f>
        <v/>
      </c>
      <c r="H796" s="122">
        <f>IF($B796="","",CONCATENATE("Örnek kayıt: ",$B796))</f>
        <v/>
      </c>
    </row>
    <row r="797" ht="15" customHeight="1" s="77">
      <c r="G797" s="122">
        <f>IF($D797=0,0,$D797*$E797)</f>
        <v/>
      </c>
      <c r="H797" s="122">
        <f>IF($B797="","",CONCATENATE("Örnek kayıt: ",$B797))</f>
        <v/>
      </c>
    </row>
    <row r="798" ht="15" customHeight="1" s="77">
      <c r="G798" s="122">
        <f>IF($D798=0,0,$D798*$E798)</f>
        <v/>
      </c>
      <c r="H798" s="122">
        <f>IF($B798="","",CONCATENATE("Örnek kayıt: ",$B798))</f>
        <v/>
      </c>
    </row>
    <row r="799" ht="15" customHeight="1" s="77">
      <c r="G799" s="122">
        <f>IF($D799=0,0,$D799*$E799)</f>
        <v/>
      </c>
      <c r="H799" s="122">
        <f>IF($B799="","",CONCATENATE("Örnek kayıt: ",$B799))</f>
        <v/>
      </c>
    </row>
    <row r="800" ht="15" customHeight="1" s="77">
      <c r="G800" s="122">
        <f>IF($D800=0,0,$D800*$E800)</f>
        <v/>
      </c>
      <c r="H800" s="122">
        <f>IF($B800="","",CONCATENATE("Örnek kayıt: ",$B800))</f>
        <v/>
      </c>
    </row>
    <row r="801" ht="15" customHeight="1" s="77">
      <c r="G801" s="122">
        <f>IF($D801=0,0,$D801*$E801)</f>
        <v/>
      </c>
      <c r="H801" s="122">
        <f>IF($B801="","",CONCATENATE("Örnek kayıt: ",$B801))</f>
        <v/>
      </c>
    </row>
    <row r="802" ht="15" customHeight="1" s="77">
      <c r="G802" s="122">
        <f>IF($D802=0,0,$D802*$E802)</f>
        <v/>
      </c>
      <c r="H802" s="122">
        <f>IF($B802="","",CONCATENATE("Örnek kayıt: ",$B802))</f>
        <v/>
      </c>
    </row>
    <row r="803" ht="15" customHeight="1" s="77">
      <c r="G803" s="122">
        <f>IF($D803=0,0,$D803*$E803)</f>
        <v/>
      </c>
      <c r="H803" s="122">
        <f>IF($B803="","",CONCATENATE("Örnek kayıt: ",$B803))</f>
        <v/>
      </c>
    </row>
    <row r="804" ht="15" customHeight="1" s="77">
      <c r="G804" s="122">
        <f>IF($D804=0,0,$D804*$E804)</f>
        <v/>
      </c>
      <c r="H804" s="122">
        <f>IF($B804="","",CONCATENATE("Örnek kayıt: ",$B804))</f>
        <v/>
      </c>
    </row>
    <row r="805" ht="15" customHeight="1" s="77">
      <c r="G805" s="122">
        <f>IF($D805=0,0,$D805*$E805)</f>
        <v/>
      </c>
      <c r="H805" s="122">
        <f>IF($B805="","",CONCATENATE("Örnek kayıt: ",$B805))</f>
        <v/>
      </c>
    </row>
    <row r="806" ht="15" customHeight="1" s="77">
      <c r="G806" s="122">
        <f>IF($D806=0,0,$D806*$E806)</f>
        <v/>
      </c>
      <c r="H806" s="122">
        <f>IF($B806="","",CONCATENATE("Örnek kayıt: ",$B806))</f>
        <v/>
      </c>
    </row>
    <row r="807" ht="15" customHeight="1" s="77">
      <c r="G807" s="122">
        <f>IF($D807=0,0,$D807*$E807)</f>
        <v/>
      </c>
      <c r="H807" s="122">
        <f>IF($B807="","",CONCATENATE("Örnek kayıt: ",$B807))</f>
        <v/>
      </c>
    </row>
    <row r="808" ht="15" customHeight="1" s="77">
      <c r="G808" s="122">
        <f>IF($D808=0,0,$D808*$E808)</f>
        <v/>
      </c>
      <c r="H808" s="122">
        <f>IF($B808="","",CONCATENATE("Örnek kayıt: ",$B808))</f>
        <v/>
      </c>
    </row>
    <row r="809" ht="15" customHeight="1" s="77">
      <c r="G809" s="122">
        <f>IF($D809=0,0,$D809*$E809)</f>
        <v/>
      </c>
      <c r="H809" s="122">
        <f>IF($B809="","",CONCATENATE("Örnek kayıt: ",$B809))</f>
        <v/>
      </c>
    </row>
    <row r="810" ht="15" customHeight="1" s="77">
      <c r="G810" s="122">
        <f>IF($D810=0,0,$D810*$E810)</f>
        <v/>
      </c>
      <c r="H810" s="122">
        <f>IF($B810="","",CONCATENATE("Örnek kayıt: ",$B810))</f>
        <v/>
      </c>
    </row>
    <row r="811" ht="15" customHeight="1" s="77">
      <c r="G811" s="122">
        <f>IF($D811=0,0,$D811*$E811)</f>
        <v/>
      </c>
      <c r="H811" s="122">
        <f>IF($B811="","",CONCATENATE("Örnek kayıt: ",$B811))</f>
        <v/>
      </c>
    </row>
    <row r="812" ht="15" customHeight="1" s="77">
      <c r="G812" s="122">
        <f>IF($D812=0,0,$D812*$E812)</f>
        <v/>
      </c>
      <c r="H812" s="122">
        <f>IF($B812="","",CONCATENATE("Örnek kayıt: ",$B812))</f>
        <v/>
      </c>
    </row>
    <row r="813" ht="15" customHeight="1" s="77">
      <c r="G813" s="122">
        <f>IF($D813=0,0,$D813*$E813)</f>
        <v/>
      </c>
      <c r="H813" s="122">
        <f>IF($B813="","",CONCATENATE("Örnek kayıt: ",$B813))</f>
        <v/>
      </c>
    </row>
    <row r="814" ht="15" customHeight="1" s="77">
      <c r="G814" s="122">
        <f>IF($D814=0,0,$D814*$E814)</f>
        <v/>
      </c>
      <c r="H814" s="122">
        <f>IF($B814="","",CONCATENATE("Örnek kayıt: ",$B814))</f>
        <v/>
      </c>
    </row>
    <row r="815" ht="15" customHeight="1" s="77">
      <c r="G815" s="122">
        <f>IF($D815=0,0,$D815*$E815)</f>
        <v/>
      </c>
      <c r="H815" s="122">
        <f>IF($B815="","",CONCATENATE("Örnek kayıt: ",$B815))</f>
        <v/>
      </c>
    </row>
    <row r="816" ht="15" customHeight="1" s="77">
      <c r="G816" s="122">
        <f>IF($D816=0,0,$D816*$E816)</f>
        <v/>
      </c>
      <c r="H816" s="122">
        <f>IF($B816="","",CONCATENATE("Örnek kayıt: ",$B816))</f>
        <v/>
      </c>
    </row>
    <row r="817" ht="15" customHeight="1" s="77">
      <c r="G817" s="122">
        <f>IF($D817=0,0,$D817*$E817)</f>
        <v/>
      </c>
      <c r="H817" s="122">
        <f>IF($B817="","",CONCATENATE("Örnek kayıt: ",$B817))</f>
        <v/>
      </c>
    </row>
    <row r="818" ht="15" customHeight="1" s="77">
      <c r="G818" s="122">
        <f>IF($D818=0,0,$D818*$E818)</f>
        <v/>
      </c>
      <c r="H818" s="122">
        <f>IF($B818="","",CONCATENATE("Örnek kayıt: ",$B818))</f>
        <v/>
      </c>
    </row>
    <row r="819" ht="15" customHeight="1" s="77">
      <c r="G819" s="122">
        <f>IF($D819=0,0,$D819*$E819)</f>
        <v/>
      </c>
      <c r="H819" s="122">
        <f>IF($B819="","",CONCATENATE("Örnek kayıt: ",$B819))</f>
        <v/>
      </c>
    </row>
    <row r="820" ht="15" customHeight="1" s="77">
      <c r="G820" s="122">
        <f>IF($D820=0,0,$D820*$E820)</f>
        <v/>
      </c>
      <c r="H820" s="122">
        <f>IF($B820="","",CONCATENATE("Örnek kayıt: ",$B820))</f>
        <v/>
      </c>
    </row>
    <row r="821" ht="15" customHeight="1" s="77">
      <c r="G821" s="122">
        <f>IF($D821=0,0,$D821*$E821)</f>
        <v/>
      </c>
      <c r="H821" s="122">
        <f>IF($B821="","",CONCATENATE("Örnek kayıt: ",$B821))</f>
        <v/>
      </c>
    </row>
    <row r="822" ht="15" customHeight="1" s="77">
      <c r="G822" s="122">
        <f>IF($D822=0,0,$D822*$E822)</f>
        <v/>
      </c>
      <c r="H822" s="122">
        <f>IF($B822="","",CONCATENATE("Örnek kayıt: ",$B822))</f>
        <v/>
      </c>
    </row>
    <row r="823" ht="15" customHeight="1" s="77">
      <c r="G823" s="122">
        <f>IF($D823=0,0,$D823*$E823)</f>
        <v/>
      </c>
      <c r="H823" s="122">
        <f>IF($B823="","",CONCATENATE("Örnek kayıt: ",$B823))</f>
        <v/>
      </c>
    </row>
    <row r="824" ht="15" customHeight="1" s="77">
      <c r="G824" s="122">
        <f>IF($D824=0,0,$D824*$E824)</f>
        <v/>
      </c>
      <c r="H824" s="122">
        <f>IF($B824="","",CONCATENATE("Örnek kayıt: ",$B824))</f>
        <v/>
      </c>
    </row>
    <row r="825" ht="15" customHeight="1" s="77">
      <c r="G825" s="122">
        <f>IF($D825=0,0,$D825*$E825)</f>
        <v/>
      </c>
      <c r="H825" s="122">
        <f>IF($B825="","",CONCATENATE("Örnek kayıt: ",$B825))</f>
        <v/>
      </c>
    </row>
    <row r="826" ht="15" customHeight="1" s="77">
      <c r="G826" s="122">
        <f>IF($D826=0,0,$D826*$E826)</f>
        <v/>
      </c>
      <c r="H826" s="122">
        <f>IF($B826="","",CONCATENATE("Örnek kayıt: ",$B826))</f>
        <v/>
      </c>
    </row>
    <row r="827" ht="15" customHeight="1" s="77">
      <c r="G827" s="122">
        <f>IF($D827=0,0,$D827*$E827)</f>
        <v/>
      </c>
      <c r="H827" s="122">
        <f>IF($B827="","",CONCATENATE("Örnek kayıt: ",$B827))</f>
        <v/>
      </c>
    </row>
    <row r="828" ht="15" customHeight="1" s="77">
      <c r="G828" s="122">
        <f>IF($D828=0,0,$D828*$E828)</f>
        <v/>
      </c>
      <c r="H828" s="122">
        <f>IF($B828="","",CONCATENATE("Örnek kayıt: ",$B828))</f>
        <v/>
      </c>
    </row>
    <row r="829" ht="15" customHeight="1" s="77">
      <c r="G829" s="122">
        <f>IF($D829=0,0,$D829*$E829)</f>
        <v/>
      </c>
      <c r="H829" s="122">
        <f>IF($B829="","",CONCATENATE("Örnek kayıt: ",$B829))</f>
        <v/>
      </c>
    </row>
    <row r="830" ht="15" customHeight="1" s="77">
      <c r="G830" s="122">
        <f>IF($D830=0,0,$D830*$E830)</f>
        <v/>
      </c>
      <c r="H830" s="122">
        <f>IF($B830="","",CONCATENATE("Örnek kayıt: ",$B830))</f>
        <v/>
      </c>
    </row>
    <row r="831" ht="15" customHeight="1" s="77">
      <c r="G831" s="122">
        <f>IF($D831=0,0,$D831*$E831)</f>
        <v/>
      </c>
      <c r="H831" s="122">
        <f>IF($B831="","",CONCATENATE("Örnek kayıt: ",$B831))</f>
        <v/>
      </c>
    </row>
    <row r="832" ht="15" customHeight="1" s="77">
      <c r="G832" s="122">
        <f>IF($D832=0,0,$D832*$E832)</f>
        <v/>
      </c>
      <c r="H832" s="122">
        <f>IF($B832="","",CONCATENATE("Örnek kayıt: ",$B832))</f>
        <v/>
      </c>
    </row>
    <row r="833" ht="15" customHeight="1" s="77">
      <c r="G833" s="122">
        <f>IF($D833=0,0,$D833*$E833)</f>
        <v/>
      </c>
      <c r="H833" s="122">
        <f>IF($B833="","",CONCATENATE("Örnek kayıt: ",$B833))</f>
        <v/>
      </c>
    </row>
    <row r="834" ht="15" customHeight="1" s="77">
      <c r="G834" s="122">
        <f>IF($D834=0,0,$D834*$E834)</f>
        <v/>
      </c>
      <c r="H834" s="122">
        <f>IF($B834="","",CONCATENATE("Örnek kayıt: ",$B834))</f>
        <v/>
      </c>
    </row>
    <row r="835" ht="15" customHeight="1" s="77">
      <c r="G835" s="122">
        <f>IF($D835=0,0,$D835*$E835)</f>
        <v/>
      </c>
      <c r="H835" s="122">
        <f>IF($B835="","",CONCATENATE("Örnek kayıt: ",$B835))</f>
        <v/>
      </c>
    </row>
    <row r="836" ht="15" customHeight="1" s="77">
      <c r="G836" s="122">
        <f>IF($D836=0,0,$D836*$E836)</f>
        <v/>
      </c>
      <c r="H836" s="122">
        <f>IF($B836="","",CONCATENATE("Örnek kayıt: ",$B836))</f>
        <v/>
      </c>
    </row>
    <row r="837" ht="15" customHeight="1" s="77">
      <c r="G837" s="122">
        <f>IF($D837=0,0,$D837*$E837)</f>
        <v/>
      </c>
      <c r="H837" s="122">
        <f>IF($B837="","",CONCATENATE("Örnek kayıt: ",$B837))</f>
        <v/>
      </c>
    </row>
    <row r="838" ht="15" customHeight="1" s="77">
      <c r="G838" s="122">
        <f>IF($D838=0,0,$D838*$E838)</f>
        <v/>
      </c>
      <c r="H838" s="122">
        <f>IF($B838="","",CONCATENATE("Örnek kayıt: ",$B838))</f>
        <v/>
      </c>
    </row>
    <row r="839" ht="15" customHeight="1" s="77">
      <c r="G839" s="122">
        <f>IF($D839=0,0,$D839*$E839)</f>
        <v/>
      </c>
      <c r="H839" s="122">
        <f>IF($B839="","",CONCATENATE("Örnek kayıt: ",$B839))</f>
        <v/>
      </c>
    </row>
    <row r="840" ht="15" customHeight="1" s="77">
      <c r="G840" s="122">
        <f>IF($D840=0,0,$D840*$E840)</f>
        <v/>
      </c>
      <c r="H840" s="122">
        <f>IF($B840="","",CONCATENATE("Örnek kayıt: ",$B840))</f>
        <v/>
      </c>
    </row>
    <row r="841" ht="15" customHeight="1" s="77">
      <c r="G841" s="122">
        <f>IF($D841=0,0,$D841*$E841)</f>
        <v/>
      </c>
      <c r="H841" s="122">
        <f>IF($B841="","",CONCATENATE("Örnek kayıt: ",$B841))</f>
        <v/>
      </c>
    </row>
    <row r="842" ht="15" customHeight="1" s="77">
      <c r="G842" s="122">
        <f>IF($D842=0,0,$D842*$E842)</f>
        <v/>
      </c>
      <c r="H842" s="122">
        <f>IF($B842="","",CONCATENATE("Örnek kayıt: ",$B842))</f>
        <v/>
      </c>
    </row>
    <row r="843" ht="15" customHeight="1" s="77">
      <c r="G843" s="122">
        <f>IF($D843=0,0,$D843*$E843)</f>
        <v/>
      </c>
      <c r="H843" s="122">
        <f>IF($B843="","",CONCATENATE("Örnek kayıt: ",$B843))</f>
        <v/>
      </c>
    </row>
    <row r="844" ht="15" customHeight="1" s="77">
      <c r="G844" s="122">
        <f>IF($D844=0,0,$D844*$E844)</f>
        <v/>
      </c>
      <c r="H844" s="122">
        <f>IF($B844="","",CONCATENATE("Örnek kayıt: ",$B844))</f>
        <v/>
      </c>
    </row>
    <row r="845" ht="15" customHeight="1" s="77">
      <c r="G845" s="122">
        <f>IF($D845=0,0,$D845*$E845)</f>
        <v/>
      </c>
      <c r="H845" s="122">
        <f>IF($B845="","",CONCATENATE("Örnek kayıt: ",$B845))</f>
        <v/>
      </c>
    </row>
    <row r="846" ht="15" customHeight="1" s="77">
      <c r="G846" s="122">
        <f>IF($D846=0,0,$D846*$E846)</f>
        <v/>
      </c>
      <c r="H846" s="122">
        <f>IF($B846="","",CONCATENATE("Örnek kayıt: ",$B846))</f>
        <v/>
      </c>
    </row>
    <row r="847" ht="15" customHeight="1" s="77">
      <c r="G847" s="122">
        <f>IF($D847=0,0,$D847*$E847)</f>
        <v/>
      </c>
      <c r="H847" s="122">
        <f>IF($B847="","",CONCATENATE("Örnek kayıt: ",$B847))</f>
        <v/>
      </c>
    </row>
    <row r="848" ht="15" customHeight="1" s="77">
      <c r="G848" s="122">
        <f>IF($D848=0,0,$D848*$E848)</f>
        <v/>
      </c>
      <c r="H848" s="122">
        <f>IF($B848="","",CONCATENATE("Örnek kayıt: ",$B848))</f>
        <v/>
      </c>
    </row>
    <row r="849" ht="15" customHeight="1" s="77">
      <c r="G849" s="122">
        <f>IF($D849=0,0,$D849*$E849)</f>
        <v/>
      </c>
      <c r="H849" s="122">
        <f>IF($B849="","",CONCATENATE("Örnek kayıt: ",$B849))</f>
        <v/>
      </c>
    </row>
    <row r="850" ht="15" customHeight="1" s="77">
      <c r="G850" s="122">
        <f>IF($D850=0,0,$D850*$E850)</f>
        <v/>
      </c>
      <c r="H850" s="122">
        <f>IF($B850="","",CONCATENATE("Örnek kayıt: ",$B850))</f>
        <v/>
      </c>
    </row>
    <row r="851" ht="15" customHeight="1" s="77">
      <c r="G851" s="122">
        <f>IF($D851=0,0,$D851*$E851)</f>
        <v/>
      </c>
      <c r="H851" s="122">
        <f>IF($B851="","",CONCATENATE("Örnek kayıt: ",$B851))</f>
        <v/>
      </c>
    </row>
    <row r="852" ht="15" customHeight="1" s="77">
      <c r="G852" s="122">
        <f>IF($D852=0,0,$D852*$E852)</f>
        <v/>
      </c>
      <c r="H852" s="122">
        <f>IF($B852="","",CONCATENATE("Örnek kayıt: ",$B852))</f>
        <v/>
      </c>
    </row>
    <row r="853" ht="15" customHeight="1" s="77">
      <c r="G853" s="122">
        <f>IF($D853=0,0,$D853*$E853)</f>
        <v/>
      </c>
      <c r="H853" s="122">
        <f>IF($B853="","",CONCATENATE("Örnek kayıt: ",$B853))</f>
        <v/>
      </c>
    </row>
    <row r="854" ht="15" customHeight="1" s="77">
      <c r="G854" s="122">
        <f>IF($D854=0,0,$D854*$E854)</f>
        <v/>
      </c>
      <c r="H854" s="122">
        <f>IF($B854="","",CONCATENATE("Örnek kayıt: ",$B854))</f>
        <v/>
      </c>
    </row>
    <row r="855" ht="15" customHeight="1" s="77">
      <c r="G855" s="122">
        <f>IF($D855=0,0,$D855*$E855)</f>
        <v/>
      </c>
      <c r="H855" s="122">
        <f>IF($B855="","",CONCATENATE("Örnek kayıt: ",$B855))</f>
        <v/>
      </c>
    </row>
    <row r="856" ht="15" customHeight="1" s="77">
      <c r="G856" s="122">
        <f>IF($D856=0,0,$D856*$E856)</f>
        <v/>
      </c>
      <c r="H856" s="122">
        <f>IF($B856="","",CONCATENATE("Örnek kayıt: ",$B856))</f>
        <v/>
      </c>
    </row>
    <row r="857" ht="15" customHeight="1" s="77">
      <c r="G857" s="122">
        <f>IF($D857=0,0,$D857*$E857)</f>
        <v/>
      </c>
      <c r="H857" s="122">
        <f>IF($B857="","",CONCATENATE("Örnek kayıt: ",$B857))</f>
        <v/>
      </c>
    </row>
    <row r="858" ht="15" customHeight="1" s="77">
      <c r="G858" s="122">
        <f>IF($D858=0,0,$D858*$E858)</f>
        <v/>
      </c>
      <c r="H858" s="122">
        <f>IF($B858="","",CONCATENATE("Örnek kayıt: ",$B858))</f>
        <v/>
      </c>
    </row>
    <row r="859" ht="15" customHeight="1" s="77">
      <c r="G859" s="122">
        <f>IF($D859=0,0,$D859*$E859)</f>
        <v/>
      </c>
      <c r="H859" s="122">
        <f>IF($B859="","",CONCATENATE("Örnek kayıt: ",$B859))</f>
        <v/>
      </c>
    </row>
    <row r="860" ht="15" customHeight="1" s="77">
      <c r="G860" s="122">
        <f>IF($D860=0,0,$D860*$E860)</f>
        <v/>
      </c>
      <c r="H860" s="122">
        <f>IF($B860="","",CONCATENATE("Örnek kayıt: ",$B860))</f>
        <v/>
      </c>
    </row>
    <row r="861" ht="15" customHeight="1" s="77">
      <c r="G861" s="122">
        <f>IF($D861=0,0,$D861*$E861)</f>
        <v/>
      </c>
      <c r="H861" s="122">
        <f>IF($B861="","",CONCATENATE("Örnek kayıt: ",$B861))</f>
        <v/>
      </c>
    </row>
    <row r="862" ht="15" customHeight="1" s="77">
      <c r="G862" s="122">
        <f>IF($D862=0,0,$D862*$E862)</f>
        <v/>
      </c>
      <c r="H862" s="122">
        <f>IF($B862="","",CONCATENATE("Örnek kayıt: ",$B862))</f>
        <v/>
      </c>
    </row>
    <row r="863" ht="15" customHeight="1" s="77">
      <c r="G863" s="122">
        <f>IF($D863=0,0,$D863*$E863)</f>
        <v/>
      </c>
      <c r="H863" s="122">
        <f>IF($B863="","",CONCATENATE("Örnek kayıt: ",$B863))</f>
        <v/>
      </c>
    </row>
    <row r="864" ht="15" customHeight="1" s="77">
      <c r="G864" s="122">
        <f>IF($D864=0,0,$D864*$E864)</f>
        <v/>
      </c>
      <c r="H864" s="122">
        <f>IF($B864="","",CONCATENATE("Örnek kayıt: ",$B864))</f>
        <v/>
      </c>
    </row>
    <row r="865" ht="15" customHeight="1" s="77">
      <c r="G865" s="122">
        <f>IF($D865=0,0,$D865*$E865)</f>
        <v/>
      </c>
      <c r="H865" s="122">
        <f>IF($B865="","",CONCATENATE("Örnek kayıt: ",$B865))</f>
        <v/>
      </c>
    </row>
    <row r="866" ht="15" customHeight="1" s="77">
      <c r="G866" s="122">
        <f>IF($D866=0,0,$D866*$E866)</f>
        <v/>
      </c>
      <c r="H866" s="122">
        <f>IF($B866="","",CONCATENATE("Örnek kayıt: ",$B866))</f>
        <v/>
      </c>
    </row>
    <row r="867" ht="15" customHeight="1" s="77">
      <c r="G867" s="122">
        <f>IF($D867=0,0,$D867*$E867)</f>
        <v/>
      </c>
      <c r="H867" s="122">
        <f>IF($B867="","",CONCATENATE("Örnek kayıt: ",$B867))</f>
        <v/>
      </c>
    </row>
    <row r="868" ht="15" customHeight="1" s="77">
      <c r="G868" s="122">
        <f>IF($D868=0,0,$D868*$E868)</f>
        <v/>
      </c>
      <c r="H868" s="122">
        <f>IF($B868="","",CONCATENATE("Örnek kayıt: ",$B868))</f>
        <v/>
      </c>
    </row>
    <row r="869" ht="15" customHeight="1" s="77">
      <c r="G869" s="122">
        <f>IF($D869=0,0,$D869*$E869)</f>
        <v/>
      </c>
      <c r="H869" s="122">
        <f>IF($B869="","",CONCATENATE("Örnek kayıt: ",$B869))</f>
        <v/>
      </c>
    </row>
    <row r="870" ht="15" customHeight="1" s="77">
      <c r="G870" s="122">
        <f>IF($D870=0,0,$D870*$E870)</f>
        <v/>
      </c>
      <c r="H870" s="122">
        <f>IF($B870="","",CONCATENATE("Örnek kayıt: ",$B870))</f>
        <v/>
      </c>
    </row>
    <row r="871" ht="15" customHeight="1" s="77">
      <c r="G871" s="122">
        <f>IF($D871=0,0,$D871*$E871)</f>
        <v/>
      </c>
      <c r="H871" s="122">
        <f>IF($B871="","",CONCATENATE("Örnek kayıt: ",$B871))</f>
        <v/>
      </c>
    </row>
    <row r="872" ht="15" customHeight="1" s="77">
      <c r="G872" s="122">
        <f>IF($D872=0,0,$D872*$E872)</f>
        <v/>
      </c>
      <c r="H872" s="122">
        <f>IF($B872="","",CONCATENATE("Örnek kayıt: ",$B872))</f>
        <v/>
      </c>
    </row>
    <row r="873" ht="15" customHeight="1" s="77">
      <c r="G873" s="122">
        <f>IF($D873=0,0,$D873*$E873)</f>
        <v/>
      </c>
      <c r="H873" s="122">
        <f>IF($B873="","",CONCATENATE("Örnek kayıt: ",$B873))</f>
        <v/>
      </c>
    </row>
    <row r="874" ht="15" customHeight="1" s="77">
      <c r="G874" s="122">
        <f>IF($D874=0,0,$D874*$E874)</f>
        <v/>
      </c>
      <c r="H874" s="122">
        <f>IF($B874="","",CONCATENATE("Örnek kayıt: ",$B874))</f>
        <v/>
      </c>
    </row>
    <row r="875" ht="15" customHeight="1" s="77">
      <c r="G875" s="122">
        <f>IF($D875=0,0,$D875*$E875)</f>
        <v/>
      </c>
      <c r="H875" s="122">
        <f>IF($B875="","",CONCATENATE("Örnek kayıt: ",$B875))</f>
        <v/>
      </c>
    </row>
    <row r="876" ht="15" customHeight="1" s="77">
      <c r="G876" s="122">
        <f>IF($D876=0,0,$D876*$E876)</f>
        <v/>
      </c>
      <c r="H876" s="122">
        <f>IF($B876="","",CONCATENATE("Örnek kayıt: ",$B876))</f>
        <v/>
      </c>
    </row>
    <row r="877" ht="15" customHeight="1" s="77">
      <c r="G877" s="122">
        <f>IF($D877=0,0,$D877*$E877)</f>
        <v/>
      </c>
      <c r="H877" s="122">
        <f>IF($B877="","",CONCATENATE("Örnek kayıt: ",$B877))</f>
        <v/>
      </c>
    </row>
    <row r="878" ht="15" customHeight="1" s="77">
      <c r="G878" s="122">
        <f>IF($D878=0,0,$D878*$E878)</f>
        <v/>
      </c>
      <c r="H878" s="122">
        <f>IF($B878="","",CONCATENATE("Örnek kayıt: ",$B878))</f>
        <v/>
      </c>
    </row>
    <row r="879" ht="15" customHeight="1" s="77">
      <c r="G879" s="122">
        <f>IF($D879=0,0,$D879*$E879)</f>
        <v/>
      </c>
      <c r="H879" s="122">
        <f>IF($B879="","",CONCATENATE("Örnek kayıt: ",$B879))</f>
        <v/>
      </c>
    </row>
    <row r="880" ht="15" customHeight="1" s="77">
      <c r="G880" s="122">
        <f>IF($D880=0,0,$D880*$E880)</f>
        <v/>
      </c>
      <c r="H880" s="122">
        <f>IF($B880="","",CONCATENATE("Örnek kayıt: ",$B880))</f>
        <v/>
      </c>
    </row>
    <row r="881" ht="15" customHeight="1" s="77">
      <c r="G881" s="122">
        <f>IF($D881=0,0,$D881*$E881)</f>
        <v/>
      </c>
      <c r="H881" s="122">
        <f>IF($B881="","",CONCATENATE("Örnek kayıt: ",$B881))</f>
        <v/>
      </c>
    </row>
    <row r="882" ht="15" customHeight="1" s="77">
      <c r="G882" s="122">
        <f>IF($D882=0,0,$D882*$E882)</f>
        <v/>
      </c>
      <c r="H882" s="122">
        <f>IF($B882="","",CONCATENATE("Örnek kayıt: ",$B882))</f>
        <v/>
      </c>
    </row>
    <row r="883" ht="15" customHeight="1" s="77">
      <c r="G883" s="122">
        <f>IF($D883=0,0,$D883*$E883)</f>
        <v/>
      </c>
      <c r="H883" s="122">
        <f>IF($B883="","",CONCATENATE("Örnek kayıt: ",$B883))</f>
        <v/>
      </c>
    </row>
    <row r="884" ht="15" customHeight="1" s="77">
      <c r="G884" s="122">
        <f>IF($D884=0,0,$D884*$E884)</f>
        <v/>
      </c>
      <c r="H884" s="122">
        <f>IF($B884="","",CONCATENATE("Örnek kayıt: ",$B884))</f>
        <v/>
      </c>
    </row>
    <row r="885" ht="15" customHeight="1" s="77">
      <c r="G885" s="122">
        <f>IF($D885=0,0,$D885*$E885)</f>
        <v/>
      </c>
      <c r="H885" s="122">
        <f>IF($B885="","",CONCATENATE("Örnek kayıt: ",$B885))</f>
        <v/>
      </c>
    </row>
    <row r="886" ht="15" customHeight="1" s="77">
      <c r="G886" s="122">
        <f>IF($D886=0,0,$D886*$E886)</f>
        <v/>
      </c>
      <c r="H886" s="122">
        <f>IF($B886="","",CONCATENATE("Örnek kayıt: ",$B886))</f>
        <v/>
      </c>
    </row>
    <row r="887" ht="15" customHeight="1" s="77">
      <c r="G887" s="122">
        <f>IF($D887=0,0,$D887*$E887)</f>
        <v/>
      </c>
      <c r="H887" s="122">
        <f>IF($B887="","",CONCATENATE("Örnek kayıt: ",$B887))</f>
        <v/>
      </c>
    </row>
    <row r="888" ht="15" customHeight="1" s="77">
      <c r="G888" s="122">
        <f>IF($D888=0,0,$D888*$E888)</f>
        <v/>
      </c>
      <c r="H888" s="122">
        <f>IF($B888="","",CONCATENATE("Örnek kayıt: ",$B888))</f>
        <v/>
      </c>
    </row>
    <row r="889" ht="15" customHeight="1" s="77">
      <c r="G889" s="122">
        <f>IF($D889=0,0,$D889*$E889)</f>
        <v/>
      </c>
      <c r="H889" s="122">
        <f>IF($B889="","",CONCATENATE("Örnek kayıt: ",$B889))</f>
        <v/>
      </c>
    </row>
    <row r="890" ht="15" customHeight="1" s="77">
      <c r="G890" s="122">
        <f>IF($D890=0,0,$D890*$E890)</f>
        <v/>
      </c>
      <c r="H890" s="122">
        <f>IF($B890="","",CONCATENATE("Örnek kayıt: ",$B890))</f>
        <v/>
      </c>
    </row>
    <row r="891" ht="15" customHeight="1" s="77">
      <c r="G891" s="122">
        <f>IF($D891=0,0,$D891*$E891)</f>
        <v/>
      </c>
      <c r="H891" s="122">
        <f>IF($B891="","",CONCATENATE("Örnek kayıt: ",$B891))</f>
        <v/>
      </c>
    </row>
    <row r="892" ht="15" customHeight="1" s="77">
      <c r="G892" s="122">
        <f>IF($D892=0,0,$D892*$E892)</f>
        <v/>
      </c>
      <c r="H892" s="122">
        <f>IF($B892="","",CONCATENATE("Örnek kayıt: ",$B892))</f>
        <v/>
      </c>
    </row>
    <row r="893" ht="15" customHeight="1" s="77">
      <c r="G893" s="122">
        <f>IF($D893=0,0,$D893*$E893)</f>
        <v/>
      </c>
      <c r="H893" s="122">
        <f>IF($B893="","",CONCATENATE("Örnek kayıt: ",$B893))</f>
        <v/>
      </c>
    </row>
    <row r="894" ht="15" customHeight="1" s="77">
      <c r="G894" s="122">
        <f>IF($D894=0,0,$D894*$E894)</f>
        <v/>
      </c>
      <c r="H894" s="122">
        <f>IF($B894="","",CONCATENATE("Örnek kayıt: ",$B894))</f>
        <v/>
      </c>
    </row>
    <row r="895" ht="15" customHeight="1" s="77">
      <c r="G895" s="122">
        <f>IF($D895=0,0,$D895*$E895)</f>
        <v/>
      </c>
      <c r="H895" s="122">
        <f>IF($B895="","",CONCATENATE("Örnek kayıt: ",$B895))</f>
        <v/>
      </c>
    </row>
    <row r="896" ht="15" customHeight="1" s="77">
      <c r="G896" s="122">
        <f>IF($D896=0,0,$D896*$E896)</f>
        <v/>
      </c>
      <c r="H896" s="122">
        <f>IF($B896="","",CONCATENATE("Örnek kayıt: ",$B896))</f>
        <v/>
      </c>
    </row>
    <row r="897" ht="15" customHeight="1" s="77">
      <c r="G897" s="122">
        <f>IF($D897=0,0,$D897*$E897)</f>
        <v/>
      </c>
      <c r="H897" s="122">
        <f>IF($B897="","",CONCATENATE("Örnek kayıt: ",$B897))</f>
        <v/>
      </c>
    </row>
    <row r="898" ht="15" customHeight="1" s="77">
      <c r="G898" s="122">
        <f>IF($D898=0,0,$D898*$E898)</f>
        <v/>
      </c>
      <c r="H898" s="122">
        <f>IF($B898="","",CONCATENATE("Örnek kayıt: ",$B898))</f>
        <v/>
      </c>
    </row>
    <row r="899" ht="15" customHeight="1" s="77">
      <c r="G899" s="122">
        <f>IF($D899=0,0,$D899*$E899)</f>
        <v/>
      </c>
      <c r="H899" s="122">
        <f>IF($B899="","",CONCATENATE("Örnek kayıt: ",$B899))</f>
        <v/>
      </c>
    </row>
    <row r="900" ht="15" customHeight="1" s="77">
      <c r="G900" s="122">
        <f>IF($D900=0,0,$D900*$E900)</f>
        <v/>
      </c>
      <c r="H900" s="122">
        <f>IF($B900="","",CONCATENATE("Örnek kayıt: ",$B900))</f>
        <v/>
      </c>
    </row>
    <row r="901" ht="15" customHeight="1" s="77">
      <c r="G901" s="122">
        <f>IF($D901=0,0,$D901*$E901)</f>
        <v/>
      </c>
      <c r="H901" s="122">
        <f>IF($B901="","",CONCATENATE("Örnek kayıt: ",$B901))</f>
        <v/>
      </c>
    </row>
    <row r="902" ht="15" customHeight="1" s="77">
      <c r="G902" s="122">
        <f>IF($D902=0,0,$D902*$E902)</f>
        <v/>
      </c>
      <c r="H902" s="122">
        <f>IF($B902="","",CONCATENATE("Örnek kayıt: ",$B902))</f>
        <v/>
      </c>
    </row>
    <row r="903" ht="15" customHeight="1" s="77">
      <c r="G903" s="122">
        <f>IF($D903=0,0,$D903*$E903)</f>
        <v/>
      </c>
      <c r="H903" s="122">
        <f>IF($B903="","",CONCATENATE("Örnek kayıt: ",$B903))</f>
        <v/>
      </c>
    </row>
    <row r="904" ht="15" customHeight="1" s="77">
      <c r="G904" s="122">
        <f>IF($D904=0,0,$D904*$E904)</f>
        <v/>
      </c>
      <c r="H904" s="122">
        <f>IF($B904="","",CONCATENATE("Örnek kayıt: ",$B904))</f>
        <v/>
      </c>
    </row>
    <row r="905" ht="15" customHeight="1" s="77">
      <c r="G905" s="122">
        <f>IF($D905=0,0,$D905*$E905)</f>
        <v/>
      </c>
      <c r="H905" s="122">
        <f>IF($B905="","",CONCATENATE("Örnek kayıt: ",$B905))</f>
        <v/>
      </c>
    </row>
    <row r="906" ht="15" customHeight="1" s="77">
      <c r="G906" s="122">
        <f>IF($D906=0,0,$D906*$E906)</f>
        <v/>
      </c>
      <c r="H906" s="122">
        <f>IF($B906="","",CONCATENATE("Örnek kayıt: ",$B906))</f>
        <v/>
      </c>
    </row>
    <row r="907" ht="15" customHeight="1" s="77">
      <c r="G907" s="122">
        <f>IF($D907=0,0,$D907*$E907)</f>
        <v/>
      </c>
      <c r="H907" s="122">
        <f>IF($B907="","",CONCATENATE("Örnek kayıt: ",$B907))</f>
        <v/>
      </c>
    </row>
    <row r="908" ht="15" customHeight="1" s="77">
      <c r="G908" s="122">
        <f>IF($D908=0,0,$D908*$E908)</f>
        <v/>
      </c>
      <c r="H908" s="122">
        <f>IF($B908="","",CONCATENATE("Örnek kayıt: ",$B908))</f>
        <v/>
      </c>
    </row>
    <row r="909" ht="15" customHeight="1" s="77">
      <c r="G909" s="122">
        <f>IF($D909=0,0,$D909*$E909)</f>
        <v/>
      </c>
      <c r="H909" s="122">
        <f>IF($B909="","",CONCATENATE("Örnek kayıt: ",$B909))</f>
        <v/>
      </c>
    </row>
    <row r="910" ht="15" customHeight="1" s="77">
      <c r="G910" s="122">
        <f>IF($D910=0,0,$D910*$E910)</f>
        <v/>
      </c>
      <c r="H910" s="122">
        <f>IF($B910="","",CONCATENATE("Örnek kayıt: ",$B910))</f>
        <v/>
      </c>
    </row>
    <row r="911" ht="15" customHeight="1" s="77">
      <c r="G911" s="122">
        <f>IF($D911=0,0,$D911*$E911)</f>
        <v/>
      </c>
      <c r="H911" s="122">
        <f>IF($B911="","",CONCATENATE("Örnek kayıt: ",$B911))</f>
        <v/>
      </c>
    </row>
    <row r="912" ht="15" customHeight="1" s="77">
      <c r="G912" s="122">
        <f>IF($D912=0,0,$D912*$E912)</f>
        <v/>
      </c>
      <c r="H912" s="122">
        <f>IF($B912="","",CONCATENATE("Örnek kayıt: ",$B912))</f>
        <v/>
      </c>
    </row>
    <row r="913" ht="15" customHeight="1" s="77">
      <c r="G913" s="122">
        <f>IF($D913=0,0,$D913*$E913)</f>
        <v/>
      </c>
      <c r="H913" s="122">
        <f>IF($B913="","",CONCATENATE("Örnek kayıt: ",$B913))</f>
        <v/>
      </c>
    </row>
    <row r="914" ht="15" customHeight="1" s="77">
      <c r="G914" s="122">
        <f>IF($D914=0,0,$D914*$E914)</f>
        <v/>
      </c>
      <c r="H914" s="122">
        <f>IF($B914="","",CONCATENATE("Örnek kayıt: ",$B914))</f>
        <v/>
      </c>
    </row>
    <row r="915" ht="15" customHeight="1" s="77">
      <c r="G915" s="122">
        <f>IF($D915=0,0,$D915*$E915)</f>
        <v/>
      </c>
      <c r="H915" s="122">
        <f>IF($B915="","",CONCATENATE("Örnek kayıt: ",$B915))</f>
        <v/>
      </c>
    </row>
    <row r="916" ht="15" customHeight="1" s="77">
      <c r="G916" s="122">
        <f>IF($D916=0,0,$D916*$E916)</f>
        <v/>
      </c>
      <c r="H916" s="122">
        <f>IF($B916="","",CONCATENATE("Örnek kayıt: ",$B916))</f>
        <v/>
      </c>
    </row>
    <row r="917" ht="15" customHeight="1" s="77">
      <c r="G917" s="122">
        <f>IF($D917=0,0,$D917*$E917)</f>
        <v/>
      </c>
      <c r="H917" s="122">
        <f>IF($B917="","",CONCATENATE("Örnek kayıt: ",$B917))</f>
        <v/>
      </c>
    </row>
    <row r="918" ht="15" customHeight="1" s="77">
      <c r="G918" s="122">
        <f>IF($D918=0,0,$D918*$E918)</f>
        <v/>
      </c>
      <c r="H918" s="122">
        <f>IF($B918="","",CONCATENATE("Örnek kayıt: ",$B918))</f>
        <v/>
      </c>
    </row>
    <row r="919" ht="15" customHeight="1" s="77">
      <c r="G919" s="122">
        <f>IF($D919=0,0,$D919*$E919)</f>
        <v/>
      </c>
      <c r="H919" s="122">
        <f>IF($B919="","",CONCATENATE("Örnek kayıt: ",$B919))</f>
        <v/>
      </c>
    </row>
    <row r="920" ht="15" customHeight="1" s="77">
      <c r="G920" s="122">
        <f>IF($D920=0,0,$D920*$E920)</f>
        <v/>
      </c>
      <c r="H920" s="122">
        <f>IF($B920="","",CONCATENATE("Örnek kayıt: ",$B920))</f>
        <v/>
      </c>
    </row>
    <row r="921" ht="15" customHeight="1" s="77">
      <c r="G921" s="122">
        <f>IF($D921=0,0,$D921*$E921)</f>
        <v/>
      </c>
      <c r="H921" s="122">
        <f>IF($B921="","",CONCATENATE("Örnek kayıt: ",$B921))</f>
        <v/>
      </c>
    </row>
    <row r="922" ht="15" customHeight="1" s="77">
      <c r="G922" s="122">
        <f>IF($D922=0,0,$D922*$E922)</f>
        <v/>
      </c>
      <c r="H922" s="122">
        <f>IF($B922="","",CONCATENATE("Örnek kayıt: ",$B922))</f>
        <v/>
      </c>
    </row>
    <row r="923" ht="15" customHeight="1" s="77">
      <c r="G923" s="122">
        <f>IF($D923=0,0,$D923*$E923)</f>
        <v/>
      </c>
      <c r="H923" s="122">
        <f>IF($B923="","",CONCATENATE("Örnek kayıt: ",$B923))</f>
        <v/>
      </c>
    </row>
    <row r="924" ht="15" customHeight="1" s="77">
      <c r="G924" s="122">
        <f>IF($D924=0,0,$D924*$E924)</f>
        <v/>
      </c>
      <c r="H924" s="122">
        <f>IF($B924="","",CONCATENATE("Örnek kayıt: ",$B924))</f>
        <v/>
      </c>
    </row>
    <row r="925" ht="15" customHeight="1" s="77">
      <c r="G925" s="122">
        <f>IF($D925=0,0,$D925*$E925)</f>
        <v/>
      </c>
      <c r="H925" s="122">
        <f>IF($B925="","",CONCATENATE("Örnek kayıt: ",$B925))</f>
        <v/>
      </c>
    </row>
    <row r="926" ht="15" customHeight="1" s="77">
      <c r="G926" s="122">
        <f>IF($D926=0,0,$D926*$E926)</f>
        <v/>
      </c>
      <c r="H926" s="122">
        <f>IF($B926="","",CONCATENATE("Örnek kayıt: ",$B926))</f>
        <v/>
      </c>
    </row>
    <row r="927" ht="15" customHeight="1" s="77">
      <c r="G927" s="122">
        <f>IF($D927=0,0,$D927*$E927)</f>
        <v/>
      </c>
      <c r="H927" s="122">
        <f>IF($B927="","",CONCATENATE("Örnek kayıt: ",$B927))</f>
        <v/>
      </c>
    </row>
    <row r="928" ht="15" customHeight="1" s="77">
      <c r="G928" s="122">
        <f>IF($D928=0,0,$D928*$E928)</f>
        <v/>
      </c>
      <c r="H928" s="122">
        <f>IF($B928="","",CONCATENATE("Örnek kayıt: ",$B928))</f>
        <v/>
      </c>
    </row>
    <row r="929" ht="15" customHeight="1" s="77">
      <c r="G929" s="122">
        <f>IF($D929=0,0,$D929*$E929)</f>
        <v/>
      </c>
      <c r="H929" s="122">
        <f>IF($B929="","",CONCATENATE("Örnek kayıt: ",$B929))</f>
        <v/>
      </c>
    </row>
    <row r="930" ht="15" customHeight="1" s="77">
      <c r="G930" s="122">
        <f>IF($D930=0,0,$D930*$E930)</f>
        <v/>
      </c>
      <c r="H930" s="122">
        <f>IF($B930="","",CONCATENATE("Örnek kayıt: ",$B930))</f>
        <v/>
      </c>
    </row>
    <row r="931" ht="15" customHeight="1" s="77">
      <c r="G931" s="122">
        <f>IF($D931=0,0,$D931*$E931)</f>
        <v/>
      </c>
      <c r="H931" s="122">
        <f>IF($B931="","",CONCATENATE("Örnek kayıt: ",$B931))</f>
        <v/>
      </c>
    </row>
    <row r="932" ht="15" customHeight="1" s="77">
      <c r="G932" s="122">
        <f>IF($D932=0,0,$D932*$E932)</f>
        <v/>
      </c>
      <c r="H932" s="122">
        <f>IF($B932="","",CONCATENATE("Örnek kayıt: ",$B932))</f>
        <v/>
      </c>
    </row>
    <row r="933" ht="15" customHeight="1" s="77">
      <c r="G933" s="122">
        <f>IF($D933=0,0,$D933*$E933)</f>
        <v/>
      </c>
      <c r="H933" s="122">
        <f>IF($B933="","",CONCATENATE("Örnek kayıt: ",$B933))</f>
        <v/>
      </c>
    </row>
    <row r="934" ht="15" customHeight="1" s="77">
      <c r="G934" s="122">
        <f>IF($D934=0,0,$D934*$E934)</f>
        <v/>
      </c>
      <c r="H934" s="122">
        <f>IF($B934="","",CONCATENATE("Örnek kayıt: ",$B934))</f>
        <v/>
      </c>
    </row>
    <row r="935" ht="15" customHeight="1" s="77">
      <c r="G935" s="122">
        <f>IF($D935=0,0,$D935*$E935)</f>
        <v/>
      </c>
      <c r="H935" s="122">
        <f>IF($B935="","",CONCATENATE("Örnek kayıt: ",$B935))</f>
        <v/>
      </c>
    </row>
    <row r="936" ht="15" customHeight="1" s="77">
      <c r="G936" s="122">
        <f>IF($D936=0,0,$D936*$E936)</f>
        <v/>
      </c>
      <c r="H936" s="122">
        <f>IF($B936="","",CONCATENATE("Örnek kayıt: ",$B936))</f>
        <v/>
      </c>
    </row>
    <row r="937" ht="15" customHeight="1" s="77">
      <c r="G937" s="122">
        <f>IF($D937=0,0,$D937*$E937)</f>
        <v/>
      </c>
      <c r="H937" s="122">
        <f>IF($B937="","",CONCATENATE("Örnek kayıt: ",$B937))</f>
        <v/>
      </c>
    </row>
    <row r="938" ht="15" customHeight="1" s="77">
      <c r="G938" s="122">
        <f>IF($D938=0,0,$D938*$E938)</f>
        <v/>
      </c>
      <c r="H938" s="122">
        <f>IF($B938="","",CONCATENATE("Örnek kayıt: ",$B938))</f>
        <v/>
      </c>
    </row>
    <row r="939" ht="15" customHeight="1" s="77">
      <c r="G939" s="122">
        <f>IF($D939=0,0,$D939*$E939)</f>
        <v/>
      </c>
      <c r="H939" s="122">
        <f>IF($B939="","",CONCATENATE("Örnek kayıt: ",$B939))</f>
        <v/>
      </c>
    </row>
    <row r="940" ht="15" customHeight="1" s="77">
      <c r="G940" s="122">
        <f>IF($D940=0,0,$D940*$E940)</f>
        <v/>
      </c>
      <c r="H940" s="122">
        <f>IF($B940="","",CONCATENATE("Örnek kayıt: ",$B940))</f>
        <v/>
      </c>
    </row>
    <row r="941" ht="15" customHeight="1" s="77">
      <c r="G941" s="122">
        <f>IF($D941=0,0,$D941*$E941)</f>
        <v/>
      </c>
      <c r="H941" s="122">
        <f>IF($B941="","",CONCATENATE("Örnek kayıt: ",$B941))</f>
        <v/>
      </c>
    </row>
    <row r="942" ht="15" customHeight="1" s="77">
      <c r="G942" s="122">
        <f>IF($D942=0,0,$D942*$E942)</f>
        <v/>
      </c>
      <c r="H942" s="122">
        <f>IF($B942="","",CONCATENATE("Örnek kayıt: ",$B942))</f>
        <v/>
      </c>
    </row>
    <row r="943" ht="15" customHeight="1" s="77">
      <c r="G943" s="122">
        <f>IF($D943=0,0,$D943*$E943)</f>
        <v/>
      </c>
      <c r="H943" s="122">
        <f>IF($B943="","",CONCATENATE("Örnek kayıt: ",$B943))</f>
        <v/>
      </c>
    </row>
    <row r="944" ht="15" customHeight="1" s="77">
      <c r="G944" s="122">
        <f>IF($D944=0,0,$D944*$E944)</f>
        <v/>
      </c>
      <c r="H944" s="122">
        <f>IF($B944="","",CONCATENATE("Örnek kayıt: ",$B944))</f>
        <v/>
      </c>
    </row>
    <row r="945" ht="15" customHeight="1" s="77">
      <c r="G945" s="122">
        <f>IF($D945=0,0,$D945*$E945)</f>
        <v/>
      </c>
      <c r="H945" s="122">
        <f>IF($B945="","",CONCATENATE("Örnek kayıt: ",$B945))</f>
        <v/>
      </c>
    </row>
    <row r="946" ht="15" customHeight="1" s="77">
      <c r="G946" s="122">
        <f>IF($D946=0,0,$D946*$E946)</f>
        <v/>
      </c>
      <c r="H946" s="122">
        <f>IF($B946="","",CONCATENATE("Örnek kayıt: ",$B946))</f>
        <v/>
      </c>
    </row>
    <row r="947" ht="15" customHeight="1" s="77">
      <c r="G947" s="122">
        <f>IF($D947=0,0,$D947*$E947)</f>
        <v/>
      </c>
      <c r="H947" s="122">
        <f>IF($B947="","",CONCATENATE("Örnek kayıt: ",$B947))</f>
        <v/>
      </c>
    </row>
    <row r="948" ht="15" customHeight="1" s="77">
      <c r="G948" s="122">
        <f>IF($D948=0,0,$D948*$E948)</f>
        <v/>
      </c>
      <c r="H948" s="122">
        <f>IF($B948="","",CONCATENATE("Örnek kayıt: ",$B948))</f>
        <v/>
      </c>
    </row>
    <row r="949" ht="15" customHeight="1" s="77">
      <c r="G949" s="122">
        <f>IF($D949=0,0,$D949*$E949)</f>
        <v/>
      </c>
      <c r="H949" s="122">
        <f>IF($B949="","",CONCATENATE("Örnek kayıt: ",$B949))</f>
        <v/>
      </c>
    </row>
    <row r="950" ht="15" customHeight="1" s="77">
      <c r="G950" s="122">
        <f>IF($D950=0,0,$D950*$E950)</f>
        <v/>
      </c>
      <c r="H950" s="122">
        <f>IF($B950="","",CONCATENATE("Örnek kayıt: ",$B950))</f>
        <v/>
      </c>
    </row>
    <row r="951" ht="15" customHeight="1" s="77">
      <c r="G951" s="122">
        <f>IF($D951=0,0,$D951*$E951)</f>
        <v/>
      </c>
      <c r="H951" s="122">
        <f>IF($B951="","",CONCATENATE("Örnek kayıt: ",$B951))</f>
        <v/>
      </c>
    </row>
    <row r="952" ht="15" customHeight="1" s="77">
      <c r="G952" s="122">
        <f>IF($D952=0,0,$D952*$E952)</f>
        <v/>
      </c>
      <c r="H952" s="122">
        <f>IF($B952="","",CONCATENATE("Örnek kayıt: ",$B952))</f>
        <v/>
      </c>
    </row>
    <row r="953" ht="15" customHeight="1" s="77">
      <c r="G953" s="122">
        <f>IF($D953=0,0,$D953*$E953)</f>
        <v/>
      </c>
      <c r="H953" s="122">
        <f>IF($B953="","",CONCATENATE("Örnek kayıt: ",$B953))</f>
        <v/>
      </c>
    </row>
    <row r="954" ht="15" customHeight="1" s="77">
      <c r="G954" s="122">
        <f>IF($D954=0,0,$D954*$E954)</f>
        <v/>
      </c>
      <c r="H954" s="122">
        <f>IF($B954="","",CONCATENATE("Örnek kayıt: ",$B954))</f>
        <v/>
      </c>
    </row>
    <row r="955" ht="15" customHeight="1" s="77">
      <c r="G955" s="122">
        <f>IF($D955=0,0,$D955*$E955)</f>
        <v/>
      </c>
      <c r="H955" s="122">
        <f>IF($B955="","",CONCATENATE("Örnek kayıt: ",$B955))</f>
        <v/>
      </c>
    </row>
    <row r="956" ht="15" customHeight="1" s="77">
      <c r="G956" s="122">
        <f>IF($D956=0,0,$D956*$E956)</f>
        <v/>
      </c>
      <c r="H956" s="122">
        <f>IF($B956="","",CONCATENATE("Örnek kayıt: ",$B956))</f>
        <v/>
      </c>
    </row>
    <row r="957" ht="15" customHeight="1" s="77">
      <c r="G957" s="122">
        <f>IF($D957=0,0,$D957*$E957)</f>
        <v/>
      </c>
      <c r="H957" s="122">
        <f>IF($B957="","",CONCATENATE("Örnek kayıt: ",$B957))</f>
        <v/>
      </c>
    </row>
    <row r="958" ht="15" customHeight="1" s="77">
      <c r="G958" s="122">
        <f>IF($D958=0,0,$D958*$E958)</f>
        <v/>
      </c>
      <c r="H958" s="122">
        <f>IF($B958="","",CONCATENATE("Örnek kayıt: ",$B958))</f>
        <v/>
      </c>
    </row>
    <row r="959" ht="15" customHeight="1" s="77">
      <c r="G959" s="122">
        <f>IF($D959=0,0,$D959*$E959)</f>
        <v/>
      </c>
      <c r="H959" s="122">
        <f>IF($B959="","",CONCATENATE("Örnek kayıt: ",$B959))</f>
        <v/>
      </c>
    </row>
    <row r="960" ht="15" customHeight="1" s="77">
      <c r="G960" s="122">
        <f>IF($D960=0,0,$D960*$E960)</f>
        <v/>
      </c>
      <c r="H960" s="122">
        <f>IF($B960="","",CONCATENATE("Örnek kayıt: ",$B960))</f>
        <v/>
      </c>
    </row>
    <row r="961" ht="15" customHeight="1" s="77">
      <c r="G961" s="122">
        <f>IF($D961=0,0,$D961*$E961)</f>
        <v/>
      </c>
      <c r="H961" s="122">
        <f>IF($B961="","",CONCATENATE("Örnek kayıt: ",$B961))</f>
        <v/>
      </c>
    </row>
    <row r="962" ht="15" customHeight="1" s="77">
      <c r="G962" s="122">
        <f>IF($D962=0,0,$D962*$E962)</f>
        <v/>
      </c>
      <c r="H962" s="122">
        <f>IF($B962="","",CONCATENATE("Örnek kayıt: ",$B962))</f>
        <v/>
      </c>
    </row>
    <row r="963" ht="15" customHeight="1" s="77">
      <c r="G963" s="122">
        <f>IF($D963=0,0,$D963*$E963)</f>
        <v/>
      </c>
      <c r="H963" s="122">
        <f>IF($B963="","",CONCATENATE("Örnek kayıt: ",$B963))</f>
        <v/>
      </c>
    </row>
    <row r="964" ht="15" customHeight="1" s="77">
      <c r="G964" s="122">
        <f>IF($D964=0,0,$D964*$E964)</f>
        <v/>
      </c>
      <c r="H964" s="122">
        <f>IF($B964="","",CONCATENATE("Örnek kayıt: ",$B964))</f>
        <v/>
      </c>
    </row>
    <row r="965" ht="15" customHeight="1" s="77">
      <c r="G965" s="122">
        <f>IF($D965=0,0,$D965*$E965)</f>
        <v/>
      </c>
      <c r="H965" s="122">
        <f>IF($B965="","",CONCATENATE("Örnek kayıt: ",$B965))</f>
        <v/>
      </c>
    </row>
    <row r="966" ht="15" customHeight="1" s="77">
      <c r="G966" s="122">
        <f>IF($D966=0,0,$D966*$E966)</f>
        <v/>
      </c>
      <c r="H966" s="122">
        <f>IF($B966="","",CONCATENATE("Örnek kayıt: ",$B966))</f>
        <v/>
      </c>
    </row>
    <row r="967" ht="15" customHeight="1" s="77">
      <c r="G967" s="122">
        <f>IF($D967=0,0,$D967*$E967)</f>
        <v/>
      </c>
      <c r="H967" s="122">
        <f>IF($B967="","",CONCATENATE("Örnek kayıt: ",$B967))</f>
        <v/>
      </c>
    </row>
    <row r="968" ht="15" customHeight="1" s="77">
      <c r="G968" s="122">
        <f>IF($D968=0,0,$D968*$E968)</f>
        <v/>
      </c>
      <c r="H968" s="122">
        <f>IF($B968="","",CONCATENATE("Örnek kayıt: ",$B968))</f>
        <v/>
      </c>
    </row>
    <row r="969" ht="15" customHeight="1" s="77">
      <c r="G969" s="122">
        <f>IF($D969=0,0,$D969*$E969)</f>
        <v/>
      </c>
      <c r="H969" s="122">
        <f>IF($B969="","",CONCATENATE("Örnek kayıt: ",$B969))</f>
        <v/>
      </c>
    </row>
    <row r="970" ht="15" customHeight="1" s="77">
      <c r="G970" s="122">
        <f>IF($D970=0,0,$D970*$E970)</f>
        <v/>
      </c>
      <c r="H970" s="122">
        <f>IF($B970="","",CONCATENATE("Örnek kayıt: ",$B970))</f>
        <v/>
      </c>
    </row>
    <row r="971" ht="15" customHeight="1" s="77">
      <c r="G971" s="122">
        <f>IF($D971=0,0,$D971*$E971)</f>
        <v/>
      </c>
      <c r="H971" s="122">
        <f>IF($B971="","",CONCATENATE("Örnek kayıt: ",$B971))</f>
        <v/>
      </c>
    </row>
    <row r="972" ht="15" customHeight="1" s="77">
      <c r="G972" s="122">
        <f>IF($D972=0,0,$D972*$E972)</f>
        <v/>
      </c>
      <c r="H972" s="122">
        <f>IF($B972="","",CONCATENATE("Örnek kayıt: ",$B972))</f>
        <v/>
      </c>
    </row>
    <row r="973" ht="15" customHeight="1" s="77">
      <c r="G973" s="122">
        <f>IF($D973=0,0,$D973*$E973)</f>
        <v/>
      </c>
      <c r="H973" s="122">
        <f>IF($B973="","",CONCATENATE("Örnek kayıt: ",$B973))</f>
        <v/>
      </c>
    </row>
    <row r="974" ht="15" customHeight="1" s="77">
      <c r="G974" s="122">
        <f>IF($D974=0,0,$D974*$E974)</f>
        <v/>
      </c>
      <c r="H974" s="122">
        <f>IF($B974="","",CONCATENATE("Örnek kayıt: ",$B974))</f>
        <v/>
      </c>
    </row>
    <row r="975" ht="15" customHeight="1" s="77">
      <c r="G975" s="122">
        <f>IF($D975=0,0,$D975*$E975)</f>
        <v/>
      </c>
      <c r="H975" s="122">
        <f>IF($B975="","",CONCATENATE("Örnek kayıt: ",$B975))</f>
        <v/>
      </c>
    </row>
    <row r="976" ht="15" customHeight="1" s="77">
      <c r="G976" s="122">
        <f>IF($D976=0,0,$D976*$E976)</f>
        <v/>
      </c>
      <c r="H976" s="122">
        <f>IF($B976="","",CONCATENATE("Örnek kayıt: ",$B976))</f>
        <v/>
      </c>
    </row>
    <row r="977" ht="15" customHeight="1" s="77">
      <c r="G977" s="122">
        <f>IF($D977=0,0,$D977*$E977)</f>
        <v/>
      </c>
      <c r="H977" s="122">
        <f>IF($B977="","",CONCATENATE("Örnek kayıt: ",$B977))</f>
        <v/>
      </c>
    </row>
    <row r="978" ht="15" customHeight="1" s="77">
      <c r="G978" s="122">
        <f>IF($D978=0,0,$D978*$E978)</f>
        <v/>
      </c>
      <c r="H978" s="122">
        <f>IF($B978="","",CONCATENATE("Örnek kayıt: ",$B978))</f>
        <v/>
      </c>
    </row>
    <row r="979" ht="15" customHeight="1" s="77">
      <c r="G979" s="122">
        <f>IF($D979=0,0,$D979*$E979)</f>
        <v/>
      </c>
      <c r="H979" s="122">
        <f>IF($B979="","",CONCATENATE("Örnek kayıt: ",$B979))</f>
        <v/>
      </c>
    </row>
    <row r="980" ht="15" customHeight="1" s="77">
      <c r="G980" s="122">
        <f>IF($D980=0,0,$D980*$E980)</f>
        <v/>
      </c>
      <c r="H980" s="122">
        <f>IF($B980="","",CONCATENATE("Örnek kayıt: ",$B980))</f>
        <v/>
      </c>
    </row>
    <row r="981" ht="15" customHeight="1" s="77">
      <c r="G981" s="122">
        <f>IF($D981=0,0,$D981*$E981)</f>
        <v/>
      </c>
      <c r="H981" s="122">
        <f>IF($B981="","",CONCATENATE("Örnek kayıt: ",$B981))</f>
        <v/>
      </c>
    </row>
    <row r="982" ht="15" customHeight="1" s="77">
      <c r="G982" s="122">
        <f>IF($D982=0,0,$D982*$E982)</f>
        <v/>
      </c>
      <c r="H982" s="122">
        <f>IF($B982="","",CONCATENATE("Örnek kayıt: ",$B982))</f>
        <v/>
      </c>
    </row>
    <row r="983" ht="15" customHeight="1" s="77">
      <c r="G983" s="122">
        <f>IF($D983=0,0,$D983*$E983)</f>
        <v/>
      </c>
      <c r="H983" s="122">
        <f>IF($B983="","",CONCATENATE("Örnek kayıt: ",$B983))</f>
        <v/>
      </c>
    </row>
    <row r="984" ht="15" customHeight="1" s="77">
      <c r="G984" s="122">
        <f>IF($D984=0,0,$D984*$E984)</f>
        <v/>
      </c>
      <c r="H984" s="122">
        <f>IF($B984="","",CONCATENATE("Örnek kayıt: ",$B984))</f>
        <v/>
      </c>
    </row>
    <row r="985" ht="15" customHeight="1" s="77">
      <c r="G985" s="122">
        <f>IF($D985=0,0,$D985*$E985)</f>
        <v/>
      </c>
      <c r="H985" s="122">
        <f>IF($B985="","",CONCATENATE("Örnek kayıt: ",$B985))</f>
        <v/>
      </c>
    </row>
    <row r="986" ht="15" customHeight="1" s="77">
      <c r="G986" s="122">
        <f>IF($D986=0,0,$D986*$E986)</f>
        <v/>
      </c>
      <c r="H986" s="122">
        <f>IF($B986="","",CONCATENATE("Örnek kayıt: ",$B986))</f>
        <v/>
      </c>
    </row>
    <row r="987" ht="15" customHeight="1" s="77">
      <c r="G987" s="122">
        <f>IF($D987=0,0,$D987*$E987)</f>
        <v/>
      </c>
      <c r="H987" s="122">
        <f>IF($B987="","",CONCATENATE("Örnek kayıt: ",$B987))</f>
        <v/>
      </c>
    </row>
    <row r="988" ht="15" customHeight="1" s="77">
      <c r="G988" s="122">
        <f>IF($D988=0,0,$D988*$E988)</f>
        <v/>
      </c>
      <c r="H988" s="122">
        <f>IF($B988="","",CONCATENATE("Örnek kayıt: ",$B988))</f>
        <v/>
      </c>
    </row>
    <row r="989" ht="15" customHeight="1" s="77">
      <c r="G989" s="122">
        <f>IF($D989=0,0,$D989*$E989)</f>
        <v/>
      </c>
      <c r="H989" s="122">
        <f>IF($B989="","",CONCATENATE("Örnek kayıt: ",$B989))</f>
        <v/>
      </c>
    </row>
    <row r="990" ht="15" customHeight="1" s="77">
      <c r="G990" s="122">
        <f>IF($D990=0,0,$D990*$E990)</f>
        <v/>
      </c>
      <c r="H990" s="122">
        <f>IF($B990="","",CONCATENATE("Örnek kayıt: ",$B990))</f>
        <v/>
      </c>
    </row>
    <row r="991" ht="15" customHeight="1" s="77">
      <c r="G991" s="122">
        <f>IF($D991=0,0,$D991*$E991)</f>
        <v/>
      </c>
      <c r="H991" s="122">
        <f>IF($B991="","",CONCATENATE("Örnek kayıt: ",$B991))</f>
        <v/>
      </c>
    </row>
    <row r="992" ht="15" customHeight="1" s="77">
      <c r="G992" s="122">
        <f>IF($D992=0,0,$D992*$E992)</f>
        <v/>
      </c>
      <c r="H992" s="122">
        <f>IF($B992="","",CONCATENATE("Örnek kayıt: ",$B992))</f>
        <v/>
      </c>
    </row>
    <row r="993" ht="15" customHeight="1" s="77">
      <c r="G993" s="122">
        <f>IF($D993=0,0,$D993*$E993)</f>
        <v/>
      </c>
      <c r="H993" s="122">
        <f>IF($B993="","",CONCATENATE("Örnek kayıt: ",$B993))</f>
        <v/>
      </c>
    </row>
    <row r="994" ht="15" customHeight="1" s="77">
      <c r="G994" s="122">
        <f>IF($D994=0,0,$D994*$E994)</f>
        <v/>
      </c>
      <c r="H994" s="122">
        <f>IF($B994="","",CONCATENATE("Örnek kayıt: ",$B994))</f>
        <v/>
      </c>
    </row>
    <row r="995" ht="15" customHeight="1" s="77">
      <c r="G995" s="122">
        <f>IF($D995=0,0,$D995*$E995)</f>
        <v/>
      </c>
      <c r="H995" s="122">
        <f>IF($B995="","",CONCATENATE("Örnek kayıt: ",$B995))</f>
        <v/>
      </c>
    </row>
    <row r="996" ht="15" customHeight="1" s="77">
      <c r="G996" s="122">
        <f>IF($D996=0,0,$D996*$E996)</f>
        <v/>
      </c>
      <c r="H996" s="122">
        <f>IF($B996="","",CONCATENATE("Örnek kayıt: ",$B996))</f>
        <v/>
      </c>
    </row>
    <row r="997" ht="15" customHeight="1" s="77">
      <c r="G997" s="122">
        <f>IF($D997=0,0,$D997*$E997)</f>
        <v/>
      </c>
      <c r="H997" s="122">
        <f>IF($B997="","",CONCATENATE("Örnek kayıt: ",$B997))</f>
        <v/>
      </c>
    </row>
    <row r="998" ht="15" customHeight="1" s="77">
      <c r="G998" s="122">
        <f>IF($D998=0,0,$D998*$E998)</f>
        <v/>
      </c>
      <c r="H998" s="122">
        <f>IF($B998="","",CONCATENATE("Örnek kayıt: ",$B998))</f>
        <v/>
      </c>
    </row>
    <row r="999" ht="15" customHeight="1" s="77">
      <c r="G999" s="122">
        <f>IF($D999=0,0,$D999*$E999)</f>
        <v/>
      </c>
      <c r="H999" s="122">
        <f>IF($B999="","",CONCATENATE("Örnek kayıt: ",$B999))</f>
        <v/>
      </c>
    </row>
    <row r="1000" ht="15" customHeight="1" s="77">
      <c r="G1000" s="122">
        <f>IF($D1000=0,0,$D1000*$E1000)</f>
        <v/>
      </c>
      <c r="H1000" s="122">
        <f>IF($B1000="","",CONCATENATE("Örnek kayıt: ",$B1000))</f>
        <v/>
      </c>
    </row>
    <row r="1001" ht="15" customHeight="1" s="77">
      <c r="G1001" s="122">
        <f>IF($D1001=0,0,$D1001*$E1001)</f>
        <v/>
      </c>
      <c r="H1001" s="122">
        <f>IF($B1001="","",CONCATENATE("Örnek kayıt: ",$B1001))</f>
        <v/>
      </c>
    </row>
    <row r="1002" ht="15" customHeight="1" s="77">
      <c r="G1002" s="122">
        <f>IF($D1002=0,0,$D1002*$E1002)</f>
        <v/>
      </c>
      <c r="H1002" s="122">
        <f>IF($B1002="","",CONCATENATE("Örnek kayıt: ",$B1002))</f>
        <v/>
      </c>
    </row>
    <row r="1003" ht="15" customHeight="1" s="77">
      <c r="G1003" s="122">
        <f>IF($D1003=0,0,$D1003*$E1003)</f>
        <v/>
      </c>
      <c r="H1003" s="122">
        <f>IF($B1003="","",CONCATENATE("Örnek kayıt: ",$B1003))</f>
        <v/>
      </c>
    </row>
    <row r="1004" ht="15" customHeight="1" s="77">
      <c r="G1004" s="122">
        <f>IF($D1004=0,0,$D1004*$E1004)</f>
        <v/>
      </c>
      <c r="H1004" s="122">
        <f>IF($B1004="","",CONCATENATE("Örnek kayıt: ",$B1004))</f>
        <v/>
      </c>
    </row>
    <row r="1005"/>
    <row r="1006" ht="19.5" customHeight="1" s="77">
      <c r="A1006" s="127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conditionalFormatting sqref="D6:D1004">
    <cfRule type="cellIs" rank="0" priority="2" equalAverage="0" operator="lessThan" aboveAverage="0" dxfId="7" text="" percent="0" bottom="0">
      <formula>0</formula>
    </cfRule>
  </conditionalFormatting>
  <conditionalFormatting sqref="E6:E1004">
    <cfRule type="cellIs" rank="0" priority="3" equalAverage="0" operator="lessThan" aboveAverage="0" dxfId="7" text="" percent="0" bottom="0">
      <formula>0</formula>
    </cfRule>
  </conditionalFormatting>
  <conditionalFormatting sqref="G6:G1004">
    <cfRule type="cellIs" rank="0" priority="4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.5" customWidth="1" style="103" min="1" max="1"/>
    <col width="16" customWidth="1" style="103" min="2" max="2"/>
    <col width="14" customWidth="1" style="103" min="3" max="4"/>
    <col width="13" customWidth="1" style="77" min="4" max="4"/>
    <col width="10" customWidth="1" style="103" min="5" max="5"/>
    <col width="16.5" customWidth="1" style="103" min="6" max="6"/>
    <col width="40.5" customWidth="1" style="103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AKIS — StokSatisVeNakitBaglanmaSistemi</t>
        </is>
      </c>
    </row>
    <row r="2"/>
    <row r="3" ht="15" customHeight="1" s="77">
      <c r="A3" s="103" t="inlineStr">
        <is>
          <t>islem_id</t>
        </is>
      </c>
      <c r="B3" s="103" t="inlineStr">
        <is>
          <t>kaynak_kart_id</t>
        </is>
      </c>
      <c r="C3" s="103" t="inlineStr">
        <is>
          <t>onceki_durum</t>
        </is>
      </c>
      <c r="D3" s="103" t="inlineStr">
        <is>
          <t>yeni_durum</t>
        </is>
      </c>
      <c r="E3" s="103" t="inlineStr">
        <is>
          <t>tutar</t>
        </is>
      </c>
      <c r="F3" s="103" t="inlineStr">
        <is>
          <t>bayrak</t>
        </is>
      </c>
      <c r="G3" s="103" t="inlineStr">
        <is>
          <t>not</t>
        </is>
      </c>
    </row>
    <row r="4" ht="15" customHeight="1" s="77">
      <c r="A4" s="103" t="inlineStr">
        <is>
          <t>I-001</t>
        </is>
      </c>
      <c r="B4" s="103" t="inlineStr">
        <is>
          <t>KART-01</t>
        </is>
      </c>
      <c r="C4" s="103" t="inlineStr">
        <is>
          <t>ACIK</t>
        </is>
      </c>
      <c r="D4" s="103" t="inlineStr">
        <is>
          <t>ISLEMDE</t>
        </is>
      </c>
      <c r="E4" s="159" t="n">
        <v>1000</v>
      </c>
      <c r="F4" s="103" t="inlineStr">
        <is>
          <t>OK</t>
        </is>
      </c>
      <c r="G4" s="103" t="inlineStr">
        <is>
          <t>normal geçiş</t>
        </is>
      </c>
    </row>
    <row r="5" ht="15" customHeight="1" s="77">
      <c r="A5" s="103" t="inlineStr">
        <is>
          <t>I-002</t>
        </is>
      </c>
      <c r="B5" s="103" t="inlineStr">
        <is>
          <t>YETİM</t>
        </is>
      </c>
      <c r="C5" s="103" t="inlineStr">
        <is>
          <t>ACIK</t>
        </is>
      </c>
      <c r="D5" s="103" t="inlineStr">
        <is>
          <t>KAPALI</t>
        </is>
      </c>
      <c r="E5" s="159" t="n">
        <v>0</v>
      </c>
      <c r="F5" s="103" t="inlineStr">
        <is>
          <t>YETİM</t>
        </is>
      </c>
      <c r="G5" s="103" t="inlineStr">
        <is>
          <t>kaynak_kart_id yok — yetim kayıt</t>
        </is>
      </c>
    </row>
    <row r="6" ht="15" customHeight="1" s="77">
      <c r="A6" s="103" t="inlineStr">
        <is>
          <t>I-003</t>
        </is>
      </c>
      <c r="B6" s="103" t="inlineStr">
        <is>
          <t>KART-02</t>
        </is>
      </c>
      <c r="C6" s="103" t="inlineStr">
        <is>
          <t>ACIK</t>
        </is>
      </c>
      <c r="D6" s="103" t="inlineStr">
        <is>
          <t>KAPALI</t>
        </is>
      </c>
      <c r="E6" s="159" t="n">
        <v>500</v>
      </c>
      <c r="F6" s="103" t="inlineStr">
        <is>
          <t>GECERSIZ</t>
        </is>
      </c>
      <c r="G6" s="103" t="inlineStr">
        <is>
          <t>geçersiz durum geçişi</t>
        </is>
      </c>
    </row>
    <row r="7" ht="15" customHeight="1" s="77">
      <c r="A7" s="103" t="inlineStr">
        <is>
          <t>I-004</t>
        </is>
      </c>
      <c r="B7" s="103" t="inlineStr">
        <is>
          <t>KART-03</t>
        </is>
      </c>
      <c r="C7" s="103" t="inlineStr">
        <is>
          <t>ISLEMDE</t>
        </is>
      </c>
      <c r="D7" s="103" t="inlineStr">
        <is>
          <t>ISLEMDE</t>
        </is>
      </c>
      <c r="E7" s="159" t="n">
        <v>250</v>
      </c>
      <c r="F7" s="103" t="inlineStr">
        <is>
          <t>ZINCIR_KIRIK</t>
        </is>
      </c>
      <c r="G7" s="103" t="inlineStr">
        <is>
          <t>ZİNCİR KIRIK — tutar zinciri sapması</t>
        </is>
      </c>
    </row>
    <row r="8"/>
    <row r="9" ht="15" customHeight="1" s="77">
      <c r="A9" s="103" t="inlineStr">
        <is>
          <t>kuyruk_kanit</t>
        </is>
      </c>
      <c r="B9" s="103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3" min="1" max="1"/>
    <col width="10" customWidth="1" style="103" min="2" max="2"/>
    <col width="40" customWidth="1" style="103" min="3" max="3"/>
    <col width="30.5" customWidth="1" style="103" min="4" max="4"/>
    <col width="14.5" customWidth="1" style="103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DEGISIKLIK KAYDI — Stok, Satış ve Nakit Bağlanma Sistemi</t>
        </is>
      </c>
    </row>
    <row r="2"/>
    <row r="3" ht="22" customHeight="1" s="77">
      <c r="A3" s="304" t="inlineStr">
        <is>
          <t>Değişiklik Kaydı</t>
        </is>
      </c>
    </row>
    <row r="4" ht="30" customHeight="1" s="77">
      <c r="A4" s="116" t="inlineStr">
        <is>
          <t>Tarih</t>
        </is>
      </c>
      <c r="B4" s="116" t="inlineStr">
        <is>
          <t>Sürüm</t>
        </is>
      </c>
      <c r="C4" s="116" t="inlineStr">
        <is>
          <t>Değişiklik</t>
        </is>
      </c>
      <c r="D4" s="116" t="inlineStr">
        <is>
          <t>Neden</t>
        </is>
      </c>
      <c r="E4" s="116" t="inlineStr">
        <is>
          <t>Yapan</t>
        </is>
      </c>
    </row>
    <row r="5" ht="15" customHeight="1" s="77">
      <c r="A5" s="155" t="inlineStr">
        <is>
          <t>01.08.2026</t>
        </is>
      </c>
      <c r="B5" s="155" t="inlineStr">
        <is>
          <t>1.0.0</t>
        </is>
      </c>
      <c r="C5" s="155" t="inlineStr">
        <is>
          <t>İlk üretim</t>
        </is>
      </c>
      <c r="D5" s="155" t="inlineStr">
        <is>
          <t>Ürünün yayına hazırlanması</t>
        </is>
      </c>
      <c r="E5" s="155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3" min="1" max="1"/>
    <col width="13" customWidth="1" style="77" min="2" max="2"/>
    <col width="16" customWidth="1" style="103" min="3" max="3"/>
    <col width="13" customWidth="1" style="77" min="4" max="4"/>
    <col width="18" customWidth="1" style="103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LISTELER — Stok, Satış ve Nakit Bağlanma Sistemi</t>
        </is>
      </c>
    </row>
    <row r="2"/>
    <row r="3" ht="15" customHeight="1" s="77">
      <c r="A3" s="107" t="inlineStr">
        <is>
          <t>Bağlı Listeler</t>
        </is>
      </c>
    </row>
    <row r="4" ht="54.75" customHeight="1" s="77">
      <c r="A4" s="106" t="inlineStr">
        <is>
          <t>Bu sayfadaki listeler açılır menüleri besler; yeni seçenek eklemek için sarı hücrelere yazın.</t>
        </is>
      </c>
    </row>
    <row r="5"/>
    <row r="6" ht="15" customHeight="1" s="77">
      <c r="A6" s="150" t="inlineStr">
        <is>
          <t>Ürün</t>
        </is>
      </c>
      <c r="C6" s="150" t="inlineStr">
        <is>
          <t>Hareket Türü</t>
        </is>
      </c>
      <c r="E6" s="150" t="inlineStr">
        <is>
          <t>Depo</t>
        </is>
      </c>
    </row>
    <row r="7" ht="15" customHeight="1" s="77">
      <c r="A7" s="160" t="inlineStr">
        <is>
          <t>Ürün A</t>
        </is>
      </c>
      <c r="C7" s="160" t="inlineStr">
        <is>
          <t>Giriş</t>
        </is>
      </c>
      <c r="E7" s="160" t="inlineStr">
        <is>
          <t>Ana Depo</t>
        </is>
      </c>
    </row>
    <row r="8" ht="15" customHeight="1" s="77">
      <c r="A8" s="160" t="inlineStr">
        <is>
          <t>Ürün B</t>
        </is>
      </c>
      <c r="C8" s="160" t="inlineStr">
        <is>
          <t>Çıkış</t>
        </is>
      </c>
      <c r="E8" s="160" t="inlineStr">
        <is>
          <t>Yedek Depo</t>
        </is>
      </c>
    </row>
    <row r="9" ht="15" customHeight="1" s="77">
      <c r="A9" s="160" t="inlineStr">
        <is>
          <t>Ürün C</t>
        </is>
      </c>
      <c r="E9" s="160" t="inlineStr">
        <is>
          <t>Diğer</t>
        </is>
      </c>
    </row>
    <row r="10" ht="15" customHeight="1" s="77">
      <c r="A10" s="160" t="inlineStr">
        <is>
          <t>Ürün D</t>
        </is>
      </c>
    </row>
    <row r="11" ht="15" customHeight="1" s="77">
      <c r="A11" s="160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3" min="1" max="1"/>
    <col width="22" customWidth="1" style="103" min="2" max="2"/>
    <col width="12" customWidth="1" style="103" min="3" max="3"/>
    <col width="10" customWidth="1" style="103" min="4" max="5"/>
    <col width="13" customWidth="1" style="77" min="5" max="5"/>
    <col width="60" customWidth="1" style="103" min="6" max="6"/>
    <col width="14" customWidth="1" style="103" min="7" max="7"/>
    <col width="16" customWidth="1" style="103" min="8" max="8"/>
    <col width="18" customWidth="1" style="103" min="9" max="9"/>
    <col width="16" customWidth="1" style="103" min="10" max="10"/>
    <col width="13" customWidth="1" style="103" min="11" max="11"/>
    <col width="28" customWidth="1" style="103" min="12" max="12"/>
    <col width="16" customWidth="1" style="103" min="13" max="13"/>
    <col width="13" customWidth="1" style="103" min="14" max="14"/>
  </cols>
  <sheetData>
    <row r="1" ht="32" customHeight="1" s="77">
      <c r="A1" s="284" t="inlineStr">
        <is>
          <t>AYARLAR — Stok, Satış ve Nakit Bağlanma Sistemi</t>
        </is>
      </c>
    </row>
    <row r="2"/>
    <row r="3" ht="22" customHeight="1" s="77">
      <c r="A3" s="304" t="inlineStr">
        <is>
          <t>Sistem Ayarları ve Oranlar</t>
        </is>
      </c>
    </row>
    <row r="4" ht="54.75" customHeight="1" s="77">
      <c r="A4" s="106" t="inlineStr">
        <is>
          <t>Tüm sabitler bu sayfadadır. Eşikleri ve çarpanları kendi işletmenize göre güncelleyin. Değişen her değer tüm hesaplamalara anında yansır.</t>
        </is>
      </c>
    </row>
    <row r="5"/>
    <row r="6" ht="30" customHeight="1" s="77">
      <c r="A6" s="116" t="inlineStr">
        <is>
          <t>anahtar</t>
        </is>
      </c>
      <c r="B6" s="116" t="inlineStr">
        <is>
          <t>deger</t>
        </is>
      </c>
      <c r="C6" s="116" t="inlineStr">
        <is>
          <t>birim</t>
        </is>
      </c>
      <c r="D6" s="116" t="inlineStr">
        <is>
          <t>alt</t>
        </is>
      </c>
      <c r="E6" s="116" t="inlineStr">
        <is>
          <t>ust</t>
        </is>
      </c>
      <c r="F6" s="116" t="inlineStr">
        <is>
          <t>aciklama</t>
        </is>
      </c>
      <c r="G6" s="116" t="inlineStr">
        <is>
          <t>kaynak</t>
        </is>
      </c>
      <c r="H6" s="116" t="inlineStr">
        <is>
          <t>yururluk_tarihi</t>
        </is>
      </c>
      <c r="I6" s="116" t="inlineStr">
        <is>
          <t>dogrulama_tarihi</t>
        </is>
      </c>
    </row>
    <row r="7" ht="25.5" customHeight="1" s="77">
      <c r="A7" s="161" t="inlineStr">
        <is>
          <t>FirmaUnvan</t>
        </is>
      </c>
      <c r="B7" s="162" t="inlineStr">
        <is>
          <t>Örnek Firma A.Ş.</t>
        </is>
      </c>
      <c r="C7" s="110" t="inlineStr">
        <is>
          <t>Metin</t>
        </is>
      </c>
      <c r="D7" s="163" t="n"/>
      <c r="E7" s="163" t="n"/>
      <c r="F7" s="115" t="inlineStr">
        <is>
          <t>Rapor ve kapakta görünen firma adı.</t>
        </is>
      </c>
      <c r="G7" s="110" t="inlineStr">
        <is>
          <t>Kullanıcı</t>
        </is>
      </c>
      <c r="H7" s="164" t="n">
        <v>46023</v>
      </c>
      <c r="I7" s="164" t="n">
        <v>46244</v>
      </c>
    </row>
    <row r="8" ht="25.5" customHeight="1" s="77">
      <c r="A8" s="161" t="inlineStr">
        <is>
          <t>RaporTarihi</t>
        </is>
      </c>
      <c r="B8" s="165" t="n">
        <v>46242</v>
      </c>
      <c r="C8" s="110" t="inlineStr">
        <is>
          <t>Tarih</t>
        </is>
      </c>
      <c r="D8" s="163" t="n"/>
      <c r="E8" s="163" t="n"/>
      <c r="F8" s="115" t="inlineStr">
        <is>
          <t>Tüm hesapların ve kararın alındığı tarih.</t>
        </is>
      </c>
      <c r="G8" s="110" t="inlineStr">
        <is>
          <t>Kullanıcı</t>
        </is>
      </c>
      <c r="H8" s="164" t="n">
        <v>46023</v>
      </c>
      <c r="I8" s="164" t="n">
        <v>46244</v>
      </c>
    </row>
    <row r="9" ht="25.5" customHeight="1" s="77">
      <c r="A9" s="161" t="inlineStr">
        <is>
          <t>RaporHazirlayan</t>
        </is>
      </c>
      <c r="B9" s="162" t="inlineStr">
        <is>
          <t>Finans Direktörü</t>
        </is>
      </c>
      <c r="C9" s="110" t="inlineStr">
        <is>
          <t>Metin</t>
        </is>
      </c>
      <c r="D9" s="163" t="n"/>
      <c r="E9" s="163" t="n"/>
      <c r="F9" s="115" t="inlineStr">
        <is>
          <t>Raporu hazırlayan kişi/rol.</t>
        </is>
      </c>
      <c r="G9" s="110" t="inlineStr">
        <is>
          <t>Kullanıcı</t>
        </is>
      </c>
      <c r="H9" s="164" t="n">
        <v>46023</v>
      </c>
      <c r="I9" s="164" t="n">
        <v>46244</v>
      </c>
    </row>
    <row r="10" ht="25.5" customHeight="1" s="77">
      <c r="A10" s="161" t="inlineStr">
        <is>
          <t>DosyaSurumu</t>
        </is>
      </c>
      <c r="B10" s="162" t="inlineStr">
        <is>
          <t>1.0.0</t>
        </is>
      </c>
      <c r="C10" s="110" t="inlineStr">
        <is>
          <t>Metin</t>
        </is>
      </c>
      <c r="D10" s="163" t="n"/>
      <c r="E10" s="163" t="n"/>
      <c r="F10" s="115" t="inlineStr">
        <is>
          <t>Ürün sürüm bilgisi; rapor alt bilgisinde görünür.</t>
        </is>
      </c>
      <c r="G10" s="110" t="inlineStr">
        <is>
          <t>Kullanıcı</t>
        </is>
      </c>
      <c r="H10" s="164" t="n">
        <v>46023</v>
      </c>
      <c r="I10" s="164" t="n">
        <v>46244</v>
      </c>
    </row>
    <row r="11" ht="25.5" customHeight="1" s="77">
      <c r="A11" s="161" t="inlineStr">
        <is>
          <t>StokDevirHedef</t>
        </is>
      </c>
      <c r="B11" s="166" t="n">
        <v>6</v>
      </c>
      <c r="C11" s="110" t="inlineStr">
        <is>
          <t>Oran</t>
        </is>
      </c>
      <c r="D11" s="163" t="n">
        <v>0</v>
      </c>
      <c r="E11" s="163" t="n">
        <v>50</v>
      </c>
      <c r="F11" s="115" t="inlineStr">
        <is>
          <t>Devir hızı hedef eşiği; altındaysa stok yavaş akıyor demektir.</t>
        </is>
      </c>
      <c r="G11" s="110" t="inlineStr">
        <is>
          <t>Varsayım</t>
        </is>
      </c>
      <c r="H11" s="164" t="n">
        <v>46023</v>
      </c>
      <c r="I11" s="164" t="n">
        <v>46244</v>
      </c>
    </row>
    <row r="12" ht="25.5" customHeight="1" s="77">
      <c r="A12" s="161" t="inlineStr">
        <is>
          <t>StokDevirRiskEsik</t>
        </is>
      </c>
      <c r="B12" s="166" t="n">
        <v>3</v>
      </c>
      <c r="C12" s="110" t="inlineStr">
        <is>
          <t>Oran</t>
        </is>
      </c>
      <c r="D12" s="163" t="n">
        <v>0</v>
      </c>
      <c r="E12" s="163" t="n">
        <v>50</v>
      </c>
      <c r="F12" s="115" t="inlineStr">
        <is>
          <t>Devir hızı bu eşiğin altındaysa kontrol uyarır.</t>
        </is>
      </c>
      <c r="G12" s="110" t="inlineStr">
        <is>
          <t>Varsayım</t>
        </is>
      </c>
      <c r="H12" s="164" t="n">
        <v>46023</v>
      </c>
      <c r="I12" s="164" t="n">
        <v>46244</v>
      </c>
    </row>
    <row r="13" ht="25.5" customHeight="1" s="77">
      <c r="A13" s="161" t="inlineStr">
        <is>
          <t>StokBagNakitEsik</t>
        </is>
      </c>
      <c r="B13" s="167" t="n">
        <v>500000</v>
      </c>
      <c r="C13" s="110" t="inlineStr">
        <is>
          <t>TL</t>
        </is>
      </c>
      <c r="D13" s="163" t="n">
        <v>0</v>
      </c>
      <c r="E13" s="163" t="n">
        <v>1000000000</v>
      </c>
      <c r="F13" s="115" t="inlineStr">
        <is>
          <t>Stoğa bağlanan nakit bu eşiği aşarsa karar İNCELE olur.</t>
        </is>
      </c>
      <c r="G13" s="110" t="inlineStr">
        <is>
          <t>Varsayım</t>
        </is>
      </c>
      <c r="H13" s="164" t="n">
        <v>46023</v>
      </c>
      <c r="I13" s="164" t="n">
        <v>46244</v>
      </c>
    </row>
    <row r="14" ht="25.5" customHeight="1" s="77">
      <c r="A14" s="161" t="inlineStr">
        <is>
          <t>StokMaliyetEsik</t>
        </is>
      </c>
      <c r="B14" s="167" t="n">
        <v>1000</v>
      </c>
      <c r="C14" s="110" t="inlineStr">
        <is>
          <t>TL</t>
        </is>
      </c>
      <c r="D14" s="163" t="n">
        <v>0</v>
      </c>
      <c r="E14" s="163" t="n">
        <v>1000000000</v>
      </c>
      <c r="F14" s="115" t="inlineStr">
        <is>
          <t>Ortalama birim maliyet bu eşiği aşarsa kontrol uyarır.</t>
        </is>
      </c>
      <c r="G14" s="110" t="inlineStr">
        <is>
          <t>Varsayım</t>
        </is>
      </c>
      <c r="H14" s="164" t="n">
        <v>46023</v>
      </c>
      <c r="I14" s="164" t="n">
        <v>46244</v>
      </c>
    </row>
    <row r="15" ht="25.5" customHeight="1" s="77">
      <c r="A15" s="161" t="inlineStr">
        <is>
          <t>StokIyiSenaryo</t>
        </is>
      </c>
      <c r="B15" s="166" t="n">
        <v>1.05</v>
      </c>
      <c r="C15" s="110" t="inlineStr">
        <is>
          <t>Oran</t>
        </is>
      </c>
      <c r="D15" s="163" t="n">
        <v>0.5</v>
      </c>
      <c r="E15" s="163" t="n">
        <v>1.5</v>
      </c>
      <c r="F15" s="115" t="inlineStr">
        <is>
          <t>İyimser senaryoda stok değeri bu çarpanla hesaplanır.</t>
        </is>
      </c>
      <c r="G15" s="110" t="inlineStr">
        <is>
          <t>Varsayım</t>
        </is>
      </c>
      <c r="H15" s="164" t="n">
        <v>46023</v>
      </c>
      <c r="I15" s="164" t="n">
        <v>46244</v>
      </c>
    </row>
    <row r="16" ht="25.5" customHeight="1" s="77">
      <c r="A16" s="161" t="inlineStr">
        <is>
          <t>StokBazSenaryo</t>
        </is>
      </c>
      <c r="B16" s="166" t="n">
        <v>1</v>
      </c>
      <c r="C16" s="110" t="inlineStr">
        <is>
          <t>Oran</t>
        </is>
      </c>
      <c r="D16" s="163" t="n">
        <v>0.5</v>
      </c>
      <c r="E16" s="163" t="n">
        <v>1.5</v>
      </c>
      <c r="F16" s="115" t="inlineStr">
        <is>
          <t>Baz senaryoda stok değeri bu çarpanla hesaplanır.</t>
        </is>
      </c>
      <c r="G16" s="110" t="inlineStr">
        <is>
          <t>Varsayım</t>
        </is>
      </c>
      <c r="H16" s="164" t="n">
        <v>46023</v>
      </c>
      <c r="I16" s="164" t="n">
        <v>46244</v>
      </c>
    </row>
    <row r="17" ht="25.5" customHeight="1" s="77">
      <c r="A17" s="161" t="inlineStr">
        <is>
          <t>StokKotuSenaryo</t>
        </is>
      </c>
      <c r="B17" s="166" t="n">
        <v>0.95</v>
      </c>
      <c r="C17" s="110" t="inlineStr">
        <is>
          <t>Oran</t>
        </is>
      </c>
      <c r="D17" s="163" t="n">
        <v>0.5</v>
      </c>
      <c r="E17" s="163" t="n">
        <v>1.5</v>
      </c>
      <c r="F17" s="115" t="inlineStr">
        <is>
          <t>Kötümser senaryoda stok değeri bu çarpanla hesaplanır.</t>
        </is>
      </c>
      <c r="G17" s="110" t="inlineStr">
        <is>
          <t>Varsayım</t>
        </is>
      </c>
      <c r="H17" s="164" t="n">
        <v>46023</v>
      </c>
      <c r="I17" s="164" t="n">
        <v>46244</v>
      </c>
    </row>
    <row r="18" ht="25.5" customHeight="1" s="77">
      <c r="A18" s="161" t="inlineStr">
        <is>
          <t>StokTornadoFiyat</t>
        </is>
      </c>
      <c r="B18" s="166" t="n">
        <v>0.01</v>
      </c>
      <c r="C18" s="110" t="inlineStr">
        <is>
          <t>Oran</t>
        </is>
      </c>
      <c r="D18" s="163" t="n">
        <v>0</v>
      </c>
      <c r="E18" s="163" t="n">
        <v>0.2</v>
      </c>
      <c r="F18" s="115" t="inlineStr">
        <is>
          <t>Fiyatın %1 artışının stok değerine etkisi.</t>
        </is>
      </c>
      <c r="G18" s="110" t="inlineStr">
        <is>
          <t>Varsayım</t>
        </is>
      </c>
      <c r="H18" s="164" t="n">
        <v>46023</v>
      </c>
      <c r="I18" s="164" t="n">
        <v>46244</v>
      </c>
    </row>
    <row r="19" ht="25.5" customHeight="1" s="77">
      <c r="A19" s="161" t="inlineStr">
        <is>
          <t>StokTornadoAdet</t>
        </is>
      </c>
      <c r="B19" s="166" t="n">
        <v>0.01</v>
      </c>
      <c r="C19" s="110" t="inlineStr">
        <is>
          <t>Oran</t>
        </is>
      </c>
      <c r="D19" s="163" t="n">
        <v>0</v>
      </c>
      <c r="E19" s="163" t="n">
        <v>0.2</v>
      </c>
      <c r="F19" s="115" t="inlineStr">
        <is>
          <t>Adetin %1 artışının stok değerine etkisi.</t>
        </is>
      </c>
      <c r="G19" s="110" t="inlineStr">
        <is>
          <t>Varsayım</t>
        </is>
      </c>
      <c r="H19" s="164" t="n">
        <v>46023</v>
      </c>
      <c r="I19" s="164" t="n">
        <v>46244</v>
      </c>
    </row>
    <row r="20" ht="25.5" customHeight="1" s="77">
      <c r="A20" s="161" t="inlineStr">
        <is>
          <t>StokTahminCarpan</t>
        </is>
      </c>
      <c r="B20" s="166" t="n">
        <v>1.645</v>
      </c>
      <c r="C20" s="110" t="inlineStr">
        <is>
          <t>Oran</t>
        </is>
      </c>
      <c r="D20" s="163" t="n">
        <v>0</v>
      </c>
      <c r="E20" s="163" t="n">
        <v>3</v>
      </c>
      <c r="F20" s="115" t="inlineStr">
        <is>
          <t>Tahmin bandı genişliği (standart sapma katı).</t>
        </is>
      </c>
      <c r="G20" s="110" t="inlineStr">
        <is>
          <t>Varsayım</t>
        </is>
      </c>
      <c r="H20" s="164" t="n">
        <v>46023</v>
      </c>
      <c r="I20" s="164" t="n">
        <v>46244</v>
      </c>
    </row>
    <row r="21" ht="25.5" customHeight="1" s="77">
      <c r="A21" s="161" t="inlineStr">
        <is>
          <t>StokKaliteIyi</t>
        </is>
      </c>
      <c r="B21" s="168" t="n">
        <v>90</v>
      </c>
      <c r="C21" s="110" t="inlineStr">
        <is>
          <t>Skor</t>
        </is>
      </c>
      <c r="D21" s="163" t="n">
        <v>0</v>
      </c>
      <c r="E21" s="163" t="n">
        <v>100</v>
      </c>
      <c r="F21" s="115" t="inlineStr">
        <is>
          <t>Kalite skoru bu eşiğin üzerindeyse YÜKSEK kalite.</t>
        </is>
      </c>
      <c r="G21" s="110" t="inlineStr">
        <is>
          <t>Varsayım</t>
        </is>
      </c>
      <c r="H21" s="164" t="n">
        <v>46023</v>
      </c>
      <c r="I21" s="164" t="n">
        <v>46244</v>
      </c>
    </row>
    <row r="22" ht="25.5" customHeight="1" s="77">
      <c r="A22" s="161" t="inlineStr">
        <is>
          <t>StokKaliteOrta</t>
        </is>
      </c>
      <c r="B22" s="168" t="n">
        <v>70</v>
      </c>
      <c r="C22" s="110" t="inlineStr">
        <is>
          <t>Skor</t>
        </is>
      </c>
      <c r="D22" s="163" t="n">
        <v>0</v>
      </c>
      <c r="E22" s="163" t="n">
        <v>100</v>
      </c>
      <c r="F22" s="115" t="inlineStr">
        <is>
          <t>Kalite skoru bu eşiğin üzerindeyse ORTA kalite.</t>
        </is>
      </c>
      <c r="G22" s="110" t="inlineStr">
        <is>
          <t>Varsayım</t>
        </is>
      </c>
      <c r="H22" s="164" t="n">
        <v>46023</v>
      </c>
      <c r="I22" s="164" t="n">
        <v>46244</v>
      </c>
    </row>
    <row r="23" ht="25.5" customHeight="1" s="77">
      <c r="A23" s="161" t="inlineStr">
        <is>
          <t>StokAksiyon1_ACIKLAMA</t>
        </is>
      </c>
      <c r="B23" s="169" t="inlineStr">
        <is>
          <t>Devir hızı düşükse stok fazlası ürünlerde satış kampanyası planlayın.</t>
        </is>
      </c>
      <c r="C23" s="110" t="inlineStr">
        <is>
          <t>Metin</t>
        </is>
      </c>
      <c r="D23" s="163" t="n"/>
      <c r="E23" s="163" t="n"/>
      <c r="F23" s="115" t="inlineStr">
        <is>
          <t>DURDUR kararında gösterilen ilk öneri.</t>
        </is>
      </c>
      <c r="G23" s="110" t="inlineStr">
        <is>
          <t>Varsayım</t>
        </is>
      </c>
      <c r="H23" s="164" t="n">
        <v>46023</v>
      </c>
      <c r="I23" s="164" t="n">
        <v>46244</v>
      </c>
    </row>
    <row r="24" ht="25.5" customHeight="1" s="77">
      <c r="A24" s="161" t="inlineStr">
        <is>
          <t>StokAksiyon2_ACIKLAMA</t>
        </is>
      </c>
      <c r="B24" s="169" t="inlineStr">
        <is>
          <t>Stoğa bağlanan nakit eşiği aşılıyorsa alış partilerini küçültün ve teslimat süresini kısaltın.</t>
        </is>
      </c>
      <c r="C24" s="110" t="inlineStr">
        <is>
          <t>Metin</t>
        </is>
      </c>
      <c r="D24" s="163" t="n"/>
      <c r="E24" s="163" t="n"/>
      <c r="F24" s="115" t="inlineStr">
        <is>
          <t>İNCELE kararında gösterilen ikinci öneri.</t>
        </is>
      </c>
      <c r="G24" s="110" t="inlineStr">
        <is>
          <t>Varsayım</t>
        </is>
      </c>
      <c r="H24" s="164" t="n">
        <v>46023</v>
      </c>
      <c r="I24" s="164" t="n">
        <v>46244</v>
      </c>
    </row>
    <row r="25" ht="25.5" customHeight="1" s="77">
      <c r="A25" s="161" t="inlineStr">
        <is>
          <t>StokAksiyon3_ACIKLAMA</t>
        </is>
      </c>
      <c r="B25" s="169" t="inlineStr">
        <is>
          <t>Negatif stok varsa hareket kayıtlarını ve devirleri mutlaka düzeltin.</t>
        </is>
      </c>
      <c r="C25" s="110" t="inlineStr">
        <is>
          <t>Metin</t>
        </is>
      </c>
      <c r="D25" s="163" t="n"/>
      <c r="E25" s="163" t="n"/>
      <c r="F25" s="115" t="inlineStr">
        <is>
          <t>İNCELE kararında gösterilen üçüncü öneri.</t>
        </is>
      </c>
      <c r="G25" s="110" t="inlineStr">
        <is>
          <t>Varsayım</t>
        </is>
      </c>
      <c r="H25" s="164" t="n">
        <v>46023</v>
      </c>
      <c r="I25" s="164" t="n">
        <v>46244</v>
      </c>
    </row>
    <row r="26" ht="25.5" customHeight="1" s="77">
      <c r="A26" s="161" t="inlineStr">
        <is>
          <t>StokP90Oran</t>
        </is>
      </c>
      <c r="B26" s="166" t="n">
        <v>0.9</v>
      </c>
      <c r="C26" s="110" t="inlineStr">
        <is>
          <t>Oran</t>
        </is>
      </c>
      <c r="D26" s="163" t="n">
        <v>0.5</v>
      </c>
      <c r="E26" s="163" t="n">
        <v>1</v>
      </c>
      <c r="F26" s="115" t="inlineStr">
        <is>
          <t>Hareket tutarı dağılımında üst yüzdelik dilimin oranı.</t>
        </is>
      </c>
      <c r="G26" s="110" t="inlineStr">
        <is>
          <t>Varsayım</t>
        </is>
      </c>
      <c r="H26" s="164" t="n">
        <v>46023</v>
      </c>
      <c r="I26" s="164" t="n">
        <v>46244</v>
      </c>
    </row>
    <row r="27" ht="25.5" customHeight="1" s="77">
      <c r="A27" s="170" t="inlineStr">
        <is>
          <t>StokPanelSatir1</t>
        </is>
      </c>
      <c r="B27" s="171" t="n">
        <v>1</v>
      </c>
      <c r="C27" s="110" t="inlineStr">
        <is>
          <t>Satır</t>
        </is>
      </c>
      <c r="F27" s="115" t="inlineStr">
        <is>
          <t>PANO'daki aylık hareket grafiği serisinin tablodaki veri satırı (1. veri).</t>
        </is>
      </c>
      <c r="G27" s="110" t="inlineStr">
        <is>
          <t>Kullanıcı</t>
        </is>
      </c>
      <c r="H27" s="164" t="n">
        <v>46023</v>
      </c>
      <c r="I27" s="164" t="n">
        <v>46244</v>
      </c>
    </row>
    <row r="28" ht="25.5" customHeight="1" s="77">
      <c r="A28" s="170" t="inlineStr">
        <is>
          <t>StokPanelSatir2</t>
        </is>
      </c>
      <c r="B28" s="171" t="n">
        <v>2</v>
      </c>
      <c r="C28" s="110" t="inlineStr">
        <is>
          <t>Satır</t>
        </is>
      </c>
      <c r="F28" s="115" t="inlineStr">
        <is>
          <t>PANO'daki aylık hareket grafiği serisinin tablodaki veri satırı (2. veri).</t>
        </is>
      </c>
      <c r="G28" s="110" t="inlineStr">
        <is>
          <t>Kullanıcı</t>
        </is>
      </c>
      <c r="H28" s="164" t="n">
        <v>46023</v>
      </c>
      <c r="I28" s="164" t="n">
        <v>46244</v>
      </c>
    </row>
    <row r="29" ht="25.5" customHeight="1" s="77">
      <c r="A29" s="170" t="inlineStr">
        <is>
          <t>StokPanelSatir3</t>
        </is>
      </c>
      <c r="B29" s="171" t="n">
        <v>3</v>
      </c>
      <c r="C29" s="110" t="inlineStr">
        <is>
          <t>Satır</t>
        </is>
      </c>
      <c r="F29" s="115" t="inlineStr">
        <is>
          <t>PANO'daki aylık hareket grafiği serisinin tablodaki veri satırı (3. veri).</t>
        </is>
      </c>
      <c r="G29" s="110" t="inlineStr">
        <is>
          <t>Kullanıcı</t>
        </is>
      </c>
      <c r="H29" s="164" t="n">
        <v>46023</v>
      </c>
      <c r="I29" s="164" t="n">
        <v>46244</v>
      </c>
    </row>
    <row r="30" ht="25.5" customHeight="1" s="77">
      <c r="A30" s="170" t="inlineStr">
        <is>
          <t>StokPanelSatir4</t>
        </is>
      </c>
      <c r="B30" s="171" t="n">
        <v>4</v>
      </c>
      <c r="C30" s="110" t="inlineStr">
        <is>
          <t>Satır</t>
        </is>
      </c>
      <c r="F30" s="115" t="inlineStr">
        <is>
          <t>PANO'daki aylık hareket grafiği serisinin tablodaki veri satırı (4. veri).</t>
        </is>
      </c>
      <c r="G30" s="110" t="inlineStr">
        <is>
          <t>Kullanıcı</t>
        </is>
      </c>
      <c r="H30" s="164" t="n">
        <v>46023</v>
      </c>
      <c r="I30" s="164" t="n">
        <v>46244</v>
      </c>
    </row>
    <row r="31" ht="25.5" customHeight="1" s="77">
      <c r="A31" s="170" t="inlineStr">
        <is>
          <t>StokPanelSatir5</t>
        </is>
      </c>
      <c r="B31" s="171" t="n">
        <v>5</v>
      </c>
      <c r="C31" s="110" t="inlineStr">
        <is>
          <t>Satır</t>
        </is>
      </c>
      <c r="F31" s="115" t="inlineStr">
        <is>
          <t>PANO'daki aylık hareket grafiği serisinin tablodaki veri satırı (5. veri).</t>
        </is>
      </c>
      <c r="G31" s="110" t="inlineStr">
        <is>
          <t>Kullanıcı</t>
        </is>
      </c>
      <c r="H31" s="164" t="n">
        <v>46023</v>
      </c>
      <c r="I31" s="164" t="n">
        <v>46244</v>
      </c>
    </row>
    <row r="32" ht="25.5" customHeight="1" s="77">
      <c r="A32" s="170" t="inlineStr">
        <is>
          <t>StokPanelSatir6</t>
        </is>
      </c>
      <c r="B32" s="171" t="n">
        <v>6</v>
      </c>
      <c r="C32" s="110" t="inlineStr">
        <is>
          <t>Satır</t>
        </is>
      </c>
      <c r="F32" s="115" t="inlineStr">
        <is>
          <t>PANO'daki aylık hareket grafiği serisinin tablodaki veri satırı (6. veri).</t>
        </is>
      </c>
      <c r="G32" s="110" t="inlineStr">
        <is>
          <t>Kullanıcı</t>
        </is>
      </c>
      <c r="H32" s="164" t="n">
        <v>46023</v>
      </c>
      <c r="I32" s="164" t="n">
        <v>46244</v>
      </c>
    </row>
    <row r="33" ht="25.5" customHeight="1" s="77">
      <c r="A33" s="170" t="inlineStr">
        <is>
          <t>StokPanelSatir7</t>
        </is>
      </c>
      <c r="B33" s="171" t="n">
        <v>7</v>
      </c>
      <c r="C33" s="110" t="inlineStr">
        <is>
          <t>Satır</t>
        </is>
      </c>
      <c r="F33" s="115" t="inlineStr">
        <is>
          <t>PANO'daki aylık hareket grafiği serisinin tablodaki veri satırı (7. veri).</t>
        </is>
      </c>
      <c r="G33" s="110" t="inlineStr">
        <is>
          <t>Kullanıcı</t>
        </is>
      </c>
      <c r="H33" s="164" t="n">
        <v>46023</v>
      </c>
      <c r="I33" s="164" t="n">
        <v>46244</v>
      </c>
    </row>
    <row r="34" ht="25.5" customHeight="1" s="77">
      <c r="A34" s="170" t="inlineStr">
        <is>
          <t>StokPanelSatir8</t>
        </is>
      </c>
      <c r="B34" s="171" t="n">
        <v>8</v>
      </c>
      <c r="C34" s="110" t="inlineStr">
        <is>
          <t>Satır</t>
        </is>
      </c>
      <c r="F34" s="115" t="inlineStr">
        <is>
          <t>PANO'daki aylık hareket grafiği serisinin tablodaki veri satırı (8. veri).</t>
        </is>
      </c>
      <c r="G34" s="110" t="inlineStr">
        <is>
          <t>Kullanıcı</t>
        </is>
      </c>
      <c r="H34" s="164" t="n">
        <v>46023</v>
      </c>
      <c r="I34" s="164" t="n">
        <v>46244</v>
      </c>
    </row>
    <row r="35" ht="25.5" customHeight="1" s="77">
      <c r="A35" s="170" t="inlineStr">
        <is>
          <t>StokPanelSatir9</t>
        </is>
      </c>
      <c r="B35" s="171" t="n">
        <v>9</v>
      </c>
      <c r="C35" s="110" t="inlineStr">
        <is>
          <t>Satır</t>
        </is>
      </c>
      <c r="F35" s="115" t="inlineStr">
        <is>
          <t>PANO'daki aylık hareket grafiği serisinin tablodaki veri satırı (9. veri).</t>
        </is>
      </c>
      <c r="G35" s="110" t="inlineStr">
        <is>
          <t>Kullanıcı</t>
        </is>
      </c>
      <c r="H35" s="164" t="n">
        <v>46023</v>
      </c>
      <c r="I35" s="164" t="n">
        <v>46244</v>
      </c>
    </row>
    <row r="36" ht="25.5" customHeight="1" s="77">
      <c r="A36" s="170" t="inlineStr">
        <is>
          <t>StokPanelSatir10</t>
        </is>
      </c>
      <c r="B36" s="171" t="n">
        <v>10</v>
      </c>
      <c r="C36" s="110" t="inlineStr">
        <is>
          <t>Satır</t>
        </is>
      </c>
      <c r="F36" s="115" t="inlineStr">
        <is>
          <t>PANO'daki aylık hareket grafiği serisinin tablodaki veri satırı (10. veri).</t>
        </is>
      </c>
      <c r="G36" s="110" t="inlineStr">
        <is>
          <t>Kullanıcı</t>
        </is>
      </c>
      <c r="H36" s="164" t="n">
        <v>46023</v>
      </c>
      <c r="I36" s="164" t="n">
        <v>46244</v>
      </c>
    </row>
    <row r="37" ht="25.5" customHeight="1" s="77">
      <c r="A37" s="170" t="inlineStr">
        <is>
          <t>StokPanelSatir11</t>
        </is>
      </c>
      <c r="B37" s="171" t="n">
        <v>11</v>
      </c>
      <c r="C37" s="110" t="inlineStr">
        <is>
          <t>Satır</t>
        </is>
      </c>
      <c r="F37" s="115" t="inlineStr">
        <is>
          <t>PANO'daki aylık hareket grafiği serisinin tablodaki veri satırı (11. veri).</t>
        </is>
      </c>
      <c r="G37" s="110" t="inlineStr">
        <is>
          <t>Kullanıcı</t>
        </is>
      </c>
      <c r="H37" s="164" t="n">
        <v>46023</v>
      </c>
      <c r="I37" s="164" t="n">
        <v>46244</v>
      </c>
    </row>
    <row r="38" ht="25.5" customHeight="1" s="77">
      <c r="A38" s="170" t="inlineStr">
        <is>
          <t>StokPanelSatir12</t>
        </is>
      </c>
      <c r="B38" s="171" t="n">
        <v>12</v>
      </c>
      <c r="C38" s="110" t="inlineStr">
        <is>
          <t>Satır</t>
        </is>
      </c>
      <c r="F38" s="115" t="inlineStr">
        <is>
          <t>PANO'daki aylık hareket grafiği serisinin tablodaki veri satırı (12. veri).</t>
        </is>
      </c>
      <c r="G38" s="110" t="inlineStr">
        <is>
          <t>Kullanıcı</t>
        </is>
      </c>
      <c r="H38" s="164" t="n">
        <v>46023</v>
      </c>
      <c r="I38" s="164" t="n">
        <v>46244</v>
      </c>
    </row>
    <row r="39"/>
    <row r="40" ht="15" customHeight="1" s="77">
      <c r="J40" s="103" t="inlineStr">
        <is>
          <t>durum_haritasi</t>
        </is>
      </c>
      <c r="K40" s="103" t="inlineStr">
        <is>
          <t>durum_id</t>
        </is>
      </c>
      <c r="L40" s="103" t="inlineStr">
        <is>
          <t>durum_adi</t>
        </is>
      </c>
      <c r="M40" s="103" t="inlineStr">
        <is>
          <t>izinli_sonraki</t>
        </is>
      </c>
      <c r="N40" s="103" t="inlineStr">
        <is>
          <t>kategori</t>
        </is>
      </c>
    </row>
    <row r="41" ht="15" customHeight="1" s="77">
      <c r="J41" s="103" t="inlineStr">
        <is>
          <t>HARITA</t>
        </is>
      </c>
      <c r="K41" s="103" t="inlineStr">
        <is>
          <t>ACIK</t>
        </is>
      </c>
      <c r="L41" s="103" t="inlineStr">
        <is>
          <t>Açık</t>
        </is>
      </c>
      <c r="M41" s="103" t="inlineStr">
        <is>
          <t>ISLEMDE</t>
        </is>
      </c>
      <c r="N41" s="103" t="inlineStr">
        <is>
          <t>acik</t>
        </is>
      </c>
    </row>
    <row r="42" ht="15" customHeight="1" s="77">
      <c r="J42" s="103" t="inlineStr">
        <is>
          <t>HARITA</t>
        </is>
      </c>
      <c r="K42" s="103" t="inlineStr">
        <is>
          <t>ISLEMDE</t>
        </is>
      </c>
      <c r="L42" s="103" t="inlineStr">
        <is>
          <t>İşlemde</t>
        </is>
      </c>
      <c r="M42" s="103" t="inlineStr">
        <is>
          <t>KAPALI</t>
        </is>
      </c>
      <c r="N42" s="103" t="inlineStr">
        <is>
          <t>acik</t>
        </is>
      </c>
    </row>
    <row r="43" ht="15" customHeight="1" s="77">
      <c r="J43" s="103" t="inlineStr">
        <is>
          <t>HARITA</t>
        </is>
      </c>
      <c r="K43" s="103" t="inlineStr">
        <is>
          <t>KAPALI</t>
        </is>
      </c>
      <c r="L43" s="103" t="inlineStr">
        <is>
          <t>Kapalı</t>
        </is>
      </c>
      <c r="M43" s="103" t="inlineStr">
        <is>
          <t>-</t>
        </is>
      </c>
      <c r="N43" s="103" t="inlineStr">
        <is>
          <t>kapali</t>
        </is>
      </c>
    </row>
    <row r="44" ht="15" customHeight="1" s="77">
      <c r="J44" s="103" t="inlineStr">
        <is>
          <t>HARITA</t>
        </is>
      </c>
      <c r="K44" s="103" t="inlineStr">
        <is>
          <t>GECERSIZ</t>
        </is>
      </c>
      <c r="L44" s="103" t="inlineStr">
        <is>
          <t>Geçersiz geçiş uyarısı</t>
        </is>
      </c>
      <c r="M44" s="103" t="inlineStr">
        <is>
          <t>-</t>
        </is>
      </c>
      <c r="N44" s="103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13">
    <dataValidation sqref="B11" showDropDown="0" showInputMessage="0" showErrorMessage="1" allowBlank="0" errorTitle="Değer aralık dışı" error="Devir hızı hedef eşiği; altındaysa stok yavaş akıyor demektir." promptTitle="StokDevirHedef" prompt="Devir hızı hedef eşiği; altındaysa stok yavaş akıyor demektir." type="decimal" errorStyle="stop" operator="between">
      <formula1>0</formula1>
      <formula2>50</formula2>
    </dataValidation>
    <dataValidation sqref="B12" showDropDown="0" showInputMessage="0" showErrorMessage="1" allowBlank="0" errorTitle="Değer aralık dışı" error="Devir hızı bu eşiğin altındaysa kontrol uyarır." promptTitle="StokDevirRiskEsik" prompt="Devir hızı bu eşiğin altındaysa kontrol uyarır." type="decimal" errorStyle="stop" operator="between">
      <formula1>0</formula1>
      <formula2>50</formula2>
    </dataValidation>
    <dataValidation sqref="B13" showDropDown="0" showInputMessage="0" showErrorMessage="1" allowBlank="0" errorTitle="Değer aralık dışı" error="Stoğa bağlanan nakit bu eşiği aşarsa karar İNCELE olur." promptTitle="StokBagNakitEsik" prompt="Stoğa bağlanan nakit bu eşiği aşarsa karar İNCELE olur." type="decimal" errorStyle="stop" operator="between">
      <formula1>0</formula1>
      <formula2>1000000000</formula2>
    </dataValidation>
    <dataValidation sqref="B14" showDropDown="0" showInputMessage="0" showErrorMessage="1" allowBlank="0" errorTitle="Değer aralık dışı" error="Ortalama birim maliyet bu eşiği aşarsa kontrol uyarır." promptTitle="StokMaliyetEsik" prompt="Ortalama birim maliyet bu eşiği aşarsa kontrol uyarır." type="decimal" errorStyle="stop" operator="between">
      <formula1>0</formula1>
      <formula2>1000000000</formula2>
    </dataValidation>
    <dataValidation sqref="B15" showDropDown="0" showInputMessage="0" showErrorMessage="1" allowBlank="0" errorTitle="Değer aralık dışı" error="İyimser senaryoda stok değeri bu çarpanla hesaplanır." promptTitle="StokIyiSenaryo" prompt="İyimser senaryoda stok değeri bu çarpanla hesaplanır." type="decimal" errorStyle="stop" operator="between">
      <formula1>0.5</formula1>
      <formula2>1.5</formula2>
    </dataValidation>
    <dataValidation sqref="B16" showDropDown="0" showInputMessage="0" showErrorMessage="1" allowBlank="0" errorTitle="Değer aralık dışı" error="Baz senaryoda stok değeri bu çarpanla hesaplanır." promptTitle="StokBazSenaryo" prompt="Baz senaryoda stok değeri bu çarpanla hesaplanır." type="decimal" errorStyle="stop" operator="between">
      <formula1>0.5</formula1>
      <formula2>1.5</formula2>
    </dataValidation>
    <dataValidation sqref="B17" showDropDown="0" showInputMessage="0" showErrorMessage="1" allowBlank="0" errorTitle="Değer aralık dışı" error="Kötümser senaryoda stok değeri bu çarpanla hesaplanır." promptTitle="StokKotuSenaryo" prompt="Kötümser senaryoda stok değeri bu çarpanla hesaplanır." type="decimal" errorStyle="stop" operator="between">
      <formula1>0.5</formula1>
      <formula2>1.5</formula2>
    </dataValidation>
    <dataValidation sqref="B18" showDropDown="0" showInputMessage="0" showErrorMessage="1" allowBlank="0" errorTitle="Değer aralık dışı" error="Fiyatın %1 artışının stok değerine etkisi." promptTitle="StokTornadoFiyat" prompt="Fiyatın %1 artışının stok değerine etkisi." type="decimal" errorStyle="stop" operator="between">
      <formula1>0</formula1>
      <formula2>0.2</formula2>
    </dataValidation>
    <dataValidation sqref="B19" showDropDown="0" showInputMessage="0" showErrorMessage="1" allowBlank="0" errorTitle="Değer aralık dışı" error="Adetin %1 artışının stok değerine etkisi." promptTitle="StokTornadoAdet" prompt="Adetin %1 artışının stok değerine etkisi." type="decimal" errorStyle="stop" operator="between">
      <formula1>0</formula1>
      <formula2>0.2</formula2>
    </dataValidation>
    <dataValidation sqref="B20" showDropDown="0" showInputMessage="0" showErrorMessage="1" allowBlank="0" errorTitle="Değer aralık dışı" error="Tahmin bandı genişliği (standart sapma katı)." promptTitle="StokTahminCarpan" prompt="Tahmin bandı genişliği (standart sapma katı)." type="decimal" errorStyle="stop" operator="between">
      <formula1>0</formula1>
      <formula2>3</formula2>
    </dataValidation>
    <dataValidation sqref="B21" showDropDown="0" showInputMessage="0" showErrorMessage="1" allowBlank="0" errorTitle="Değer aralık dışı" error="Kalite skoru bu eşiğin üzerindeyse YÜKSEK kalite." promptTitle="StokKaliteIyi" prompt="Kalite skoru bu eşiğin üzerindeyse YÜKSEK kalite." type="decimal" errorStyle="stop" operator="between">
      <formula1>0</formula1>
      <formula2>100</formula2>
    </dataValidation>
    <dataValidation sqref="B22" showDropDown="0" showInputMessage="0" showErrorMessage="1" allowBlank="0" errorTitle="Değer aralık dışı" error="Kalite skoru bu eşiğin üzerindeyse ORTA kalite." promptTitle="StokKaliteOrta" prompt="Kalite skoru bu eşiğin üzerindeyse ORTA kalite." type="decimal" errorStyle="stop" operator="between">
      <formula1>0</formula1>
      <formula2>100</formula2>
    </dataValidation>
    <dataValidation sqref="B26" showDropDown="0" showInputMessage="0" showErrorMessage="1" allowBlank="0" errorTitle="Değer aralık dışı" error="Hareket tutarı dağılımında üst yüzdelik dilimin oranı." promptTitle="StokP90Oran" prompt="Hareket tutarı dağılımında üst yüzdelik dilimin oranı." type="decimal" errorStyle="stop" operator="between">
      <formula1>0.5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T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9.5" customWidth="1" style="103" min="1" max="1"/>
    <col width="176.5" customWidth="1" style="103" min="2" max="2"/>
    <col width="13" customWidth="1" style="77" min="3" max="3"/>
    <col width="13" customWidth="1" style="77" min="4" max="4"/>
    <col width="13" customWidth="1" style="77" min="5" max="5"/>
    <col width="13" customWidth="1" style="77" min="6" max="6"/>
    <col width="13" customWidth="1" style="77" min="7" max="7"/>
    <col width="13" customWidth="1" style="77" min="8" max="8"/>
    <col width="13" customWidth="1" style="77" min="9" max="9"/>
    <col width="13" customWidth="1" style="77" min="10" max="10"/>
  </cols>
  <sheetData>
    <row r="1" ht="32" customHeight="1" s="77">
      <c r="A1" s="284" t="inlineStr">
        <is>
          <t>KILAVUZ — Stok, Satış ve Nakit Bağlanma Sistemi</t>
        </is>
      </c>
    </row>
    <row r="2"/>
    <row r="3" ht="22" customHeight="1" s="77">
      <c r="A3" s="304" t="inlineStr">
        <is>
          <t>Kullanım Kılavuzu</t>
        </is>
      </c>
    </row>
    <row r="4"/>
    <row r="5" ht="15" customHeight="1" s="77">
      <c r="A5" s="112" t="inlineStr">
        <is>
          <t>Veri girişi</t>
        </is>
      </c>
      <c r="B5" s="108" t="inlineStr">
        <is>
          <t>STOK_HAREKETLER sayfasında sarı hücrelere hareket girin. Ürünü ve depoyu listeden seçin, tarihi GG.AA.YYYY biçiminde yazın, çıkışları pozitif adetle Çıkış türüyle kaydedin.</t>
        </is>
      </c>
    </row>
    <row r="6" ht="15" customHeight="1" s="77">
      <c r="A6" s="112" t="inlineStr">
        <is>
          <t>Hesap katmanı</t>
        </is>
      </c>
      <c r="B6" s="108" t="inlineStr">
        <is>
          <t>HESAP sayfası ürün bazlı giriş, çıkış, kalan stok, ortalama maliyet, stok değeri ve devir hızını otomatik özetler.</t>
        </is>
      </c>
    </row>
    <row r="7" ht="15" customHeight="1" s="77">
      <c r="A7" s="112" t="inlineStr">
        <is>
          <t>Karar ve rapor</t>
        </is>
      </c>
      <c r="B7" s="108" t="inlineStr">
        <is>
          <t>KARAR sayfası UYGUN/İNCELE/DURDUR kararını üretir; RAPOR yöneticiye sunulabilir.</t>
        </is>
      </c>
    </row>
    <row r="8" ht="15" customHeight="1" s="77">
      <c r="A8" s="112" t="inlineStr">
        <is>
          <t>Ayarlar</t>
        </is>
      </c>
      <c r="B8" s="108" t="inlineStr">
        <is>
          <t>AYARLAR sayfasındaki eşikleri ve çarpanları mali müşavir veya kendi tecrübenize göre güncelleyin.</t>
        </is>
      </c>
    </row>
    <row r="9" ht="15" customHeight="1" s="77">
      <c r="A9" s="112" t="inlineStr">
        <is>
          <t>Koruma</t>
        </is>
      </c>
      <c r="B9" s="108" t="inlineStr">
        <is>
          <t>Tüm sayfalar 1234 şifresiyle korunur; sarı hücreler serbesttir, formül hücreleri kilitlidir.</t>
        </is>
      </c>
    </row>
    <row r="10"/>
    <row r="11" ht="24.75" customHeight="1" s="77">
      <c r="A11" s="115" t="inlineStr">
        <is>
          <t>Bu dosya karar destek aracıdır; muhasebe kaydı ve vergi beyanı niteliği taşımaz.</t>
        </is>
      </c>
    </row>
    <row r="12"/>
    <row r="13" ht="15" customHeight="1" s="77">
      <c r="A13" s="107" t="inlineStr">
        <is>
          <t>Varsayım İşaretli Parametreler</t>
        </is>
      </c>
    </row>
    <row r="14" ht="41.25" customHeight="1" s="77">
      <c r="A14" s="108" t="inlineStr">
        <is>
          <t>Aşağıdaki eşik ve çarpanlar AYARLAR sayfasında kaynak=Varsayım olarak işaretlidir; mevzuat zorunluluğu yoktur ve işletmeye göre güncellenmelidir.</t>
        </is>
      </c>
      <c r="B14" s="103" t="n"/>
    </row>
    <row r="15" ht="15" customHeight="1" s="77">
      <c r="A15" s="172" t="inlineStr">
        <is>
          <t>• Devir Hızı Hedef ve Risk Eşikleri</t>
        </is>
      </c>
    </row>
    <row r="16" ht="15" customHeight="1" s="77">
      <c r="A16" s="172" t="inlineStr">
        <is>
          <t>• Stoğa Bağlanan Nakit Eşiği</t>
        </is>
      </c>
    </row>
    <row r="17" ht="15" customHeight="1" s="77">
      <c r="A17" s="172" t="inlineStr">
        <is>
          <t>• Ortalama Maliyet Risk Eşiği</t>
        </is>
      </c>
    </row>
    <row r="18" ht="15" customHeight="1" s="77">
      <c r="A18" s="172" t="inlineStr">
        <is>
          <t>• İyimser, Baz ve Kötümser Senaryo Çarpanları</t>
        </is>
      </c>
    </row>
    <row r="19" ht="15" customHeight="1" s="77">
      <c r="A19" s="172" t="inlineStr">
        <is>
          <t>• Tornado Fiyat ve Adet Etkisi Oranları</t>
        </is>
      </c>
    </row>
    <row r="20" ht="15" customHeight="1" s="77">
      <c r="A20" s="172" t="inlineStr">
        <is>
          <t>• Tahmin Çarpanı (standart sapma katı)</t>
        </is>
      </c>
    </row>
    <row r="21" ht="15" customHeight="1" s="77">
      <c r="A21" s="172" t="inlineStr">
        <is>
          <t>• Kalite Skoru İyi ve Orta Eşikleri</t>
        </is>
      </c>
    </row>
    <row r="22" ht="15" customHeight="1" s="77">
      <c r="A22" s="172" t="inlineStr">
        <is>
          <t>• P90 Yüzdelik Oranı</t>
        </is>
      </c>
    </row>
    <row r="23" ht="15" customHeight="1" s="77">
      <c r="A23" s="172" t="inlineStr">
        <is>
          <t>• Aksiyon Önerisi Açıklamaları</t>
        </is>
      </c>
    </row>
    <row r="24"/>
    <row r="25" ht="24.75" customHeight="1" s="77">
      <c r="A25" s="115" t="inlineStr">
        <is>
          <t>Bu dosya tamamen çevrimdışı çalışır; verileriniz cihazınızdan çıkmaz. Makro ve dış bağlantı yoktur.</t>
        </is>
      </c>
      <c r="B25" s="10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B25:T25"/>
    <mergeCell ref="B5:T5"/>
    <mergeCell ref="B14:T14"/>
    <mergeCell ref="B8:T8"/>
    <mergeCell ref="B9:T9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2026-08-10T09:47:20Z</dcterms:created>
  <dcterms:modified xmlns:dcterms="http://purl.org/dc/terms/" xmlns:xsi="http://www.w3.org/2001/XMLSchema-instance" xsi:type="dcterms:W3CDTF">2026-09-25T21:23:17Z</dcterms:modified>
  <cp:revision>0</cp:revision>
</cp:coreProperties>
</file>