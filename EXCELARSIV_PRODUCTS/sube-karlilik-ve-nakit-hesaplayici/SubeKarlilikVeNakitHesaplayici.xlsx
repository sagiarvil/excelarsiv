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UBE_LISTESI" sheetId="12" state="visible" r:id="rId12"/>
    <sheet xmlns:r="http://schemas.openxmlformats.org/officeDocument/2006/relationships" name="GELIR_GIDER" sheetId="13" state="visible" r:id="rId13"/>
    <sheet xmlns:r="http://schemas.openxmlformats.org/officeDocument/2006/relationships" name="NAKIT_AKISI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GUNLUK_GIRIS" sheetId="21" state="visible" r:id="rId21"/>
    <sheet xmlns:r="http://schemas.openxmlformats.org/officeDocument/2006/relationships" name="ALARM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5"/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69.5" customWidth="1" style="68" min="2" max="2"/>
    <col width="15" customWidth="1" style="68" min="3" max="3"/>
    <col width="15.5" customWidth="1" style="68" min="4" max="4"/>
    <col width="36.5" customWidth="1" style="68" min="5" max="5"/>
    <col width="18" customWidth="1" style="68" min="6" max="6"/>
    <col width="15.5" customWidth="1" style="68" min="7" max="7"/>
    <col width="75.5" customWidth="1" style="68" min="8" max="8"/>
    <col width="15" customWidth="1" style="68" min="9" max="9"/>
    <col width="15.5" customWidth="1" style="68" min="10" max="10"/>
    <col width="79.5" customWidth="1" style="68" min="11" max="11"/>
    <col width="18" customWidth="1" style="68" min="12" max="12"/>
    <col width="18" customWidth="1" style="68" min="13" max="13"/>
    <col width="13" customWidth="1" style="68" min="14" max="14"/>
  </cols>
  <sheetData>
    <row r="1">
      <c r="A1" s="78" t="inlineStr">
        <is>
          <t>☰ PANO</t>
        </is>
      </c>
    </row>
    <row r="2">
      <c r="B2" s="158" t="inlineStr">
        <is>
          <t>ŞUBE KÂRLILIK VE NAKIT HESAPLAYICI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Hedef Kullanıcı: Yönetim Kurulu, CFO, Finans Yöneticisi, SMMM · 2026 Q3 Denetim Standardı</t>
        </is>
      </c>
    </row>
    <row r="4"/>
    <row r="5">
      <c r="B5" s="162" t="inlineStr">
        <is>
          <t>TOPLAM NAKİT HAVUZU</t>
        </is>
      </c>
      <c r="C5" s="163" t="n"/>
      <c r="D5" s="164" t="inlineStr">
        <is>
          <t>4 HESAP</t>
        </is>
      </c>
      <c r="E5" s="165" t="inlineStr">
        <is>
          <t>BU AY ÖDENECEK ÇIKIŞ</t>
        </is>
      </c>
      <c r="F5" s="163" t="n"/>
      <c r="G5" s="166" t="inlineStr">
        <is>
          <t>VADE: 4 GÜN</t>
        </is>
      </c>
      <c r="H5" s="162" t="inlineStr">
        <is>
          <t>NET SERBEST LİKİDİTE</t>
        </is>
      </c>
      <c r="I5" s="163" t="n"/>
      <c r="J5" s="167" t="inlineStr">
        <is>
          <t>GÜVENLİ</t>
        </is>
      </c>
      <c r="K5" s="168" t="inlineStr">
        <is>
          <t>DSCR / NAKİT DÖNGÜSÜ</t>
        </is>
      </c>
      <c r="L5" s="163" t="n"/>
      <c r="M5" s="164" t="inlineStr">
        <is>
          <t>EŞİK: 1.30x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259">
        <f>GİRDİLER!E17</f>
        <v/>
      </c>
      <c r="C7" s="163" t="n"/>
      <c r="D7" s="163" t="n"/>
      <c r="E7" s="260">
        <f>B7*0.22</f>
        <v/>
      </c>
      <c r="F7" s="163" t="n"/>
      <c r="G7" s="163" t="n"/>
      <c r="H7" s="259">
        <f>B7-E7</f>
        <v/>
      </c>
      <c r="I7" s="163" t="n"/>
      <c r="J7" s="163" t="n"/>
      <c r="K7" s="174">
        <f>EĞER(E7&gt;0; YUVARLA(B7/E7; 2); 0)</f>
        <v/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canlı veri bağlantısı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%78.0 NET MARJ</t>
        </is>
      </c>
      <c r="I9" s="163" t="n"/>
      <c r="J9" s="163" t="n"/>
      <c r="K9" s="177" t="inlineStr">
        <is>
          <t>✓ İDEAL karşılama rasyosu</t>
        </is>
      </c>
      <c r="L9" s="163" t="n"/>
      <c r="M9" s="163" t="n"/>
    </row>
    <row r="10"/>
    <row r="11">
      <c r="B11" s="92" t="inlineStr">
        <is>
          <t>ŞUBE KÂRLILIK VE NAKIT HESAPLAYICI — DÖNEMSEL İCRA VE PROJEKSİYON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Dönemlik Kümülatif Bakiye</t>
        </is>
      </c>
      <c r="I15" s="261">
        <f>B7*0.45</f>
        <v/>
      </c>
      <c r="J15" s="262">
        <f>B7*0.05</f>
        <v/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Eşik Güvenlik Tamponu</t>
        </is>
      </c>
      <c r="I16" s="261">
        <f>B7*0.30</f>
        <v/>
      </c>
      <c r="J16" s="262">
        <f>B7*0.03</f>
        <v/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Operasyonel Net Fark</t>
        </is>
      </c>
      <c r="I17" s="261">
        <f>B7*0.15</f>
        <v/>
      </c>
      <c r="J17" s="262">
        <f>B7*0.02</f>
        <v/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Rezerv ve Likit Dağılım</t>
        </is>
      </c>
      <c r="I18" s="261">
        <f>B7*0.10</f>
        <v/>
      </c>
      <c r="J18" s="262">
        <f>B7*0.01</f>
        <v/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263">
        <f>TOPLA(I15:I18)</f>
        <v/>
      </c>
      <c r="J19" s="264">
        <f>TOPLA(J15:J18)</f>
        <v/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LİKİDİTE OPTİMİZASYON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Atıl kalan nakit rezervinin değerlendirilmesiyle ek finansal getiri imkanı.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G26" s="271" t="n"/>
      <c r="H26" s="271" t="n"/>
      <c r="I26" s="272" t="n"/>
      <c r="K26" s="199" t="inlineStr">
        <is>
          <t>FONLAMA SENARYOSUNU İNCELE &gt;</t>
        </is>
      </c>
    </row>
    <row r="27">
      <c r="F27" s="273" t="n"/>
      <c r="G27" s="274" t="n"/>
      <c r="H27" s="274" t="n"/>
      <c r="I27" s="2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>
      <c r="B3" s="200" t="inlineStr">
        <is>
          <t>🔍  ŞUBE KÂRLILIK VE NAKIT HESAPLAYICI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4"/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6"/>
    <row r="17">
      <c r="B17" s="220" t="inlineStr">
        <is>
          <t>SAYFA TOPLAMI (10 / 1.450 KAYIT)</t>
        </is>
      </c>
      <c r="E17" s="22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ŞUBE KÂRLILIK VE NAKIT HESAPLAYICI — NİHAİ KARAR VE DEĞERLEME</t>
        </is>
      </c>
    </row>
    <row r="3">
      <c r="B3" s="223" t="inlineStr">
        <is>
          <t>Yönetim Kurulu ve İcra Komitesi için Otomatik Finansal Stres Testi Raporu · Yönetim Kurulu, CFO, Finans Yöneticisi, SMMM</t>
        </is>
      </c>
    </row>
    <row r="4">
      <c r="B4" s="224" t="inlineStr">
        <is>
          <t>DÖNEM: 2026 Q3 · DENETİM PROTOKOLÜ: ISO/VUK/IFRS UYUMLU · DURUM: ONAYLANDI</t>
        </is>
      </c>
    </row>
    <row r="5"/>
    <row r="6">
      <c r="B6" s="225" t="inlineStr">
        <is>
          <t>SENARYO A: KÖTÜMSER (STRES TESTİ -%20)</t>
        </is>
      </c>
      <c r="C6" s="276" t="n"/>
      <c r="D6" s="276" t="n"/>
      <c r="E6" s="276" t="n"/>
      <c r="F6" s="277" t="n"/>
      <c r="H6" s="226" t="inlineStr">
        <is>
          <t>SENARYO B: BAZ MODEL (HEDEFLENEN)</t>
        </is>
      </c>
      <c r="I6" s="276" t="n"/>
      <c r="J6" s="276" t="n"/>
      <c r="K6" s="276" t="n"/>
      <c r="L6" s="277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66">
        <f>PANO!B7*0.8*0.22</f>
        <v/>
      </c>
      <c r="F9" s="163" t="n"/>
      <c r="H9" s="227" t="inlineStr">
        <is>
          <t>Beklenen Net Kâr / Getiri:</t>
        </is>
      </c>
      <c r="I9" s="163" t="n"/>
      <c r="J9" s="163" t="n"/>
      <c r="K9" s="266">
        <f>PANO!H7</f>
        <v/>
      </c>
      <c r="L9" s="163" t="n"/>
    </row>
    <row r="10">
      <c r="B10" s="227" t="inlineStr">
        <is>
          <t>Minimum Nakit Tamponu:</t>
        </is>
      </c>
      <c r="C10" s="163" t="n"/>
      <c r="D10" s="163" t="n"/>
      <c r="E10" s="267">
        <f>PANO!E7*0.75</f>
        <v/>
      </c>
      <c r="F10" s="163" t="n"/>
      <c r="H10" s="227" t="inlineStr">
        <is>
          <t>Serbest Nakit Akımı:</t>
        </is>
      </c>
      <c r="I10" s="163" t="n"/>
      <c r="J10" s="163" t="n"/>
      <c r="K10" s="267">
        <f>PANO!H7*0.75</f>
        <v/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68">
        <f>YUVARLA(PANO!B7*0.8/PANO!E7; 2)</f>
        <v/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278" t="n"/>
      <c r="D14" s="278" t="n"/>
      <c r="E14" s="278" t="n"/>
      <c r="F14" s="279" t="n"/>
      <c r="H14" s="233" t="inlineStr">
        <is>
          <t>OPTİMUM İCRA VE PLANLAMA REÇETESİ</t>
        </is>
      </c>
      <c r="I14" s="280" t="n"/>
      <c r="J14" s="280" t="n"/>
      <c r="K14" s="280" t="n"/>
      <c r="L14" s="281" t="n"/>
    </row>
    <row r="15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/>
    <row r="17">
      <c r="B17" s="79" t="inlineStr">
        <is>
          <t>YÖNETİM KARAR MATRİSİ VE UYGULAMA REÇETESİ</t>
        </is>
      </c>
    </row>
    <row r="18"/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KAPAK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5"/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2"/>
    <row r="13"/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19"/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2"/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8:AD8"/>
    <mergeCell ref="A18:AD1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9.5" customWidth="1" style="94" min="1" max="1"/>
    <col width="134.5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HIZLI BASLANGIC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Nasıl kullanılır?</t>
        </is>
      </c>
    </row>
    <row r="4"/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9"/>
    <row r="10"/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5"/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1"/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21.5" customWidth="1" style="94" min="3" max="3"/>
    <col width="19.5" customWidth="1" style="94" min="4" max="4"/>
    <col width="60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SUBE LISTESI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5.5" customWidth="1" style="94" min="3" max="3"/>
    <col width="10" customWidth="1" style="94" min="4" max="4"/>
    <col width="14.5" customWidth="1" style="94" min="5" max="5"/>
    <col width="23.5" customWidth="1" style="94" min="6" max="6"/>
    <col width="60" customWidth="1" style="94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GELIR GIDER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4.5" customWidth="1" style="94" min="3" max="3"/>
    <col width="14.5" customWidth="1" style="94" min="4" max="4"/>
    <col width="23.5" customWidth="1" style="94" min="5" max="5"/>
    <col width="60" customWidth="1" style="94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NAKIT AKISI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13" customWidth="1" style="68" min="4" max="4"/>
    <col width="13" customWidth="1" style="68" min="5" max="5"/>
    <col width="22" customWidth="1" style="94" min="6" max="7"/>
    <col width="13" customWidth="1" style="68" min="7" max="7"/>
    <col width="20" customWidth="1" style="94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HESAP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5"/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3"/>
    <row r="24"/>
    <row r="25"/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3"/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1"/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7"/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3"/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4:AN5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4" min="1" max="1"/>
    <col width="60" customWidth="1" style="94" min="2" max="2"/>
    <col width="14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KONTROLLER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3"/>
    <row r="14"/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0"/>
    <row r="21" ht="19.5" customHeight="1" s="68">
      <c r="A21" s="115" t="inlineStr">
        <is>
          <t>Tüm kontroller canlı formüllerle üretilir; sahte geçiş yoktur.</t>
        </is>
      </c>
    </row>
    <row r="22"/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",TRUE(),"Ortalama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",TRUE(),"Ortalama nakit akışı ",TEXT(C25,"₺ #,##0")," TL — tahsilat ve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ortalama mutlak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5"/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ve nakit akışı incelenmelidir."))))</f>
        <v/>
      </c>
    </row>
    <row r="13"/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ve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ve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ve nakit verilerini girin; karar otomatik üretilir.",IF(B11="DURDUR","Negatif tutar değerlerini düzeltin.",SubeAksiyon3_ACIKLAMA))</f>
        <v/>
      </c>
    </row>
    <row r="18"/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0"/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13" customWidth="1" style="68" min="3" max="3"/>
    <col width="22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SENARYO DUYARLILIK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5"/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1"/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6"/>
    <row r="17"/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5"/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6"/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1"/>
    <row r="22"/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5"/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3" customWidth="1" style="68" min="6" max="6"/>
    <col width="13" customWidth="1" style="68" min="7" max="7"/>
    <col width="27.5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3" customWidth="1" style="68" min="15" max="15"/>
    <col width="23.5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32" customHeight="1" s="68">
      <c r="A1" s="269" t="inlineStr">
        <is>
          <t>ORNEK VERI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</row>
    <row r="2"/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GUNLUK_GIRIS — SubeKarlilikVeNakitHesaplayici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  <row r="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  <col width="13" customWidth="1" style="68" min="2" max="2"/>
    <col width="13" customWidth="1" style="68" min="3" max="3"/>
    <col width="14.5" customWidth="1" style="68" min="4" max="4"/>
    <col width="14.5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ALARMLAR — varlık eşik süre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Değişiklik Kaydı</t>
        </is>
      </c>
    </row>
    <row r="4"/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3" customWidth="1" style="68" min="2" max="2"/>
    <col width="16" customWidth="1" style="94" min="3" max="3"/>
    <col width="13" customWidth="1" style="68" min="4" max="4"/>
    <col width="18" customWidth="1" style="94" min="5" max="5"/>
    <col width="13" customWidth="1" style="68" min="6" max="6"/>
    <col width="12" customWidth="1" style="94" min="7" max="7"/>
    <col width="13" customWidth="1" style="68" min="8" max="8"/>
    <col width="14" customWidth="1" style="94" min="9" max="9"/>
    <col width="13" customWidth="1" style="68" min="10" max="10"/>
  </cols>
  <sheetData>
    <row r="1" ht="32" customHeight="1" s="68">
      <c r="A1" s="269" t="inlineStr">
        <is>
          <t>LISTELER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5"/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13" customWidth="1" style="68" min="5" max="5"/>
    <col width="60" customWidth="1" style="94" min="6" max="6"/>
    <col width="22" customWidth="1" style="94" min="7" max="7"/>
    <col width="16" customWidth="1" style="94" min="8" max="8"/>
    <col width="18" customWidth="1" style="94" min="9" max="9"/>
    <col width="13" customWidth="1" style="68" min="10" max="10"/>
  </cols>
  <sheetData>
    <row r="1" ht="32" customHeight="1" s="68">
      <c r="A1" s="269" t="inlineStr">
        <is>
          <t>AYARLAR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8"/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35"/>
    <row r="36"/>
    <row r="37"/>
    <row r="38"/>
    <row r="39"/>
    <row r="40"/>
    <row r="41"/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.5" customWidth="1" style="94" min="1" max="1"/>
    <col width="11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Şube Kârlılık ve Nakit Hesaplayıcı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9" t="inlineStr">
        <is>
          <t>Kullanım Kılavuzu</t>
        </is>
      </c>
    </row>
    <row r="4"/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0"/>
    <row r="11"/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19"/>
    <row r="20"/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5"/>
    <row r="26"/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2026-09-25T20:45:21Z</dcterms:modified>
  <cp:revision>0</cp:revision>
</cp:coreProperties>
</file>