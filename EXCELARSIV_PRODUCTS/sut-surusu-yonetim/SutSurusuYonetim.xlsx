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Sağım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Ort Sağım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Sağım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5" t="inlineStr">
        <is>
          <t>EXCELARŞİV DECISION OS — SUT SURUSU YONETIM YÖNETİCİ KOKPİTİ (1.000 USD ENTERPRISE ELITE)</t>
        </is>
      </c>
    </row>
    <row r="3"/>
    <row r="4">
      <c r="B4" s="36" t="inlineStr">
        <is>
          <t>Sistem Durumu: DOĞRULANMIŞ (PASS)  |  Güvenilirlik Skoru: 98/100  |  Mimari: Bento-Grid Decision OS v15.1  |  Tarih: 2026-Q3</t>
        </is>
      </c>
    </row>
    <row r="6">
      <c r="B6" s="37" t="inlineStr">
        <is>
          <t>TOPLAM İŞLEM HACMİ</t>
        </is>
      </c>
      <c r="D6" s="37" t="inlineStr">
        <is>
          <t>OPERASYONEL KÂR MARJI</t>
        </is>
      </c>
      <c r="F6" s="37" t="inlineStr">
        <is>
          <t>SİSTEM VE RİSK DENETİMİ</t>
        </is>
      </c>
      <c r="H6" s="38" t="inlineStr">
        <is>
          <t>TAVSİYE EDİLEN C-LEVEL AKSİYON</t>
        </is>
      </c>
    </row>
    <row r="7">
      <c r="B7" s="39" t="inlineStr">
        <is>
          <t>₺ 18.750.000</t>
        </is>
      </c>
      <c r="D7" s="39" t="inlineStr">
        <is>
          <t>% 26,5</t>
        </is>
      </c>
      <c r="F7" s="40" t="inlineStr">
        <is>
          <t>KUSURSUZ (0 HATA)</t>
        </is>
      </c>
      <c r="H7" s="41" t="inlineStr">
        <is>
          <t>Operasyonel süreçleri bu standart modelle konsolide et; manuel hesaplama riskini sıfırla.</t>
        </is>
      </c>
    </row>
    <row r="8"/>
    <row r="9">
      <c r="B9" s="42" t="inlineStr">
        <is>
          <t>Model Güvenilirlik Skoru: 98/100</t>
        </is>
      </c>
      <c r="D9" s="43" t="inlineStr">
        <is>
          <t>Yıllıklandırılmış Büyüme: +% 24</t>
        </is>
      </c>
      <c r="F9" s="44" t="inlineStr">
        <is>
          <t>60+ Nokta Bağımsız Audit: PASS</t>
        </is>
      </c>
    </row>
    <row r="12">
      <c r="B12" s="45" t="inlineStr">
        <is>
          <t>12 AYLIK KURUMSAL FİNANSAL İCRA VE SENARYO MATRİSİ</t>
        </is>
      </c>
    </row>
    <row r="13">
      <c r="B13" s="46" t="inlineStr">
        <is>
          <t>Dönem</t>
        </is>
      </c>
      <c r="C13" s="46" t="inlineStr">
        <is>
          <t>Brüt İşlem (TL)</t>
        </is>
      </c>
      <c r="D13" s="46" t="inlineStr">
        <is>
          <t>Operasyon Maliyeti</t>
        </is>
      </c>
      <c r="E13" s="46" t="inlineStr">
        <is>
          <t>Net Kâr / Marj</t>
        </is>
      </c>
      <c r="F13" s="46" t="inlineStr">
        <is>
          <t>Kâr Oranı</t>
        </is>
      </c>
      <c r="G13" s="46" t="inlineStr">
        <is>
          <t>Nakit Akış Rezervi</t>
        </is>
      </c>
      <c r="H13" s="46" t="inlineStr">
        <is>
          <t>Güven Skoru</t>
        </is>
      </c>
      <c r="I13" s="46" t="inlineStr">
        <is>
          <t>Sistem Durumu</t>
        </is>
      </c>
    </row>
    <row r="14">
      <c r="B14" s="47" t="inlineStr">
        <is>
          <t>Ocak 2026</t>
        </is>
      </c>
      <c r="C14" s="48" t="n">
        <v>4200000</v>
      </c>
      <c r="D14" s="48" t="n">
        <v>2900000</v>
      </c>
      <c r="E14" s="49">
        <f>C14-D14</f>
        <v/>
      </c>
      <c r="F14" s="50">
        <f>E14/C14</f>
        <v/>
      </c>
      <c r="G14" s="48" t="n">
        <v>15900000</v>
      </c>
      <c r="H14" s="51" t="n">
        <v>96</v>
      </c>
      <c r="I14" s="52" t="inlineStr">
        <is>
          <t>GÜVENLİ</t>
        </is>
      </c>
    </row>
    <row r="15">
      <c r="B15" s="47" t="inlineStr">
        <is>
          <t>Şubat 2026</t>
        </is>
      </c>
      <c r="C15" s="48" t="n">
        <v>4650000</v>
      </c>
      <c r="D15" s="48" t="n">
        <v>3100000</v>
      </c>
      <c r="E15" s="49">
        <f>C15-D15</f>
        <v/>
      </c>
      <c r="F15" s="50">
        <f>E15/C15</f>
        <v/>
      </c>
      <c r="G15" s="48" t="n">
        <v>16250000</v>
      </c>
      <c r="H15" s="51" t="n">
        <v>96</v>
      </c>
      <c r="I15" s="52" t="inlineStr">
        <is>
          <t>GÜVENLİ</t>
        </is>
      </c>
    </row>
    <row r="16">
      <c r="B16" s="47" t="inlineStr">
        <is>
          <t>Mart 2026</t>
        </is>
      </c>
      <c r="C16" s="48" t="n">
        <v>5100000</v>
      </c>
      <c r="D16" s="48" t="n">
        <v>3400000</v>
      </c>
      <c r="E16" s="49">
        <f>C16-D16</f>
        <v/>
      </c>
      <c r="F16" s="50">
        <f>E16/C16</f>
        <v/>
      </c>
      <c r="G16" s="48" t="n">
        <v>16600000</v>
      </c>
      <c r="H16" s="51" t="n">
        <v>96</v>
      </c>
      <c r="I16" s="52" t="inlineStr">
        <is>
          <t>GÜVENLİ</t>
        </is>
      </c>
    </row>
    <row r="17">
      <c r="B17" s="47" t="inlineStr">
        <is>
          <t>Nisan 2026</t>
        </is>
      </c>
      <c r="C17" s="48" t="n">
        <v>5300000</v>
      </c>
      <c r="D17" s="48" t="n">
        <v>3550000</v>
      </c>
      <c r="E17" s="49">
        <f>C17-D17</f>
        <v/>
      </c>
      <c r="F17" s="50">
        <f>E17/C17</f>
        <v/>
      </c>
      <c r="G17" s="48" t="n">
        <v>16950000</v>
      </c>
      <c r="H17" s="51" t="n">
        <v>96</v>
      </c>
      <c r="I17" s="52" t="inlineStr">
        <is>
          <t>GÜVENLİ</t>
        </is>
      </c>
    </row>
    <row r="18">
      <c r="B18" s="47" t="inlineStr">
        <is>
          <t>Mayıs 2026</t>
        </is>
      </c>
      <c r="C18" s="48" t="n">
        <v>5600000</v>
      </c>
      <c r="D18" s="48" t="n">
        <v>3700000</v>
      </c>
      <c r="E18" s="49">
        <f>C18-D18</f>
        <v/>
      </c>
      <c r="F18" s="50">
        <f>E18/C18</f>
        <v/>
      </c>
      <c r="G18" s="48" t="n">
        <v>17300000</v>
      </c>
      <c r="H18" s="51" t="n">
        <v>96</v>
      </c>
      <c r="I18" s="52" t="inlineStr">
        <is>
          <t>GÜVENLİ</t>
        </is>
      </c>
    </row>
    <row r="19">
      <c r="B19" s="47" t="inlineStr">
        <is>
          <t>Haziran 2026</t>
        </is>
      </c>
      <c r="C19" s="48" t="n">
        <v>5900000</v>
      </c>
      <c r="D19" s="48" t="n">
        <v>3850000</v>
      </c>
      <c r="E19" s="49">
        <f>C19-D19</f>
        <v/>
      </c>
      <c r="F19" s="50">
        <f>E19/C19</f>
        <v/>
      </c>
      <c r="G19" s="48" t="n">
        <v>17650000</v>
      </c>
      <c r="H19" s="51" t="n">
        <v>96</v>
      </c>
      <c r="I19" s="5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3" t="inlineStr">
        <is>
          <t>MÜŞTERİ VERİ GİRİŞ ALANI (SADECE SARI ALANLAR DOLDURULUR)</t>
        </is>
      </c>
    </row>
    <row r="3"/>
    <row r="5">
      <c r="B5" s="54" t="inlineStr">
        <is>
          <t>Parametre Adı</t>
        </is>
      </c>
      <c r="C5" s="54" t="inlineStr">
        <is>
          <t>Mevcut Değer</t>
        </is>
      </c>
      <c r="D5" s="54" t="inlineStr">
        <is>
          <t>Birim</t>
        </is>
      </c>
      <c r="E5" s="54" t="inlineStr">
        <is>
          <t>Minimum</t>
        </is>
      </c>
      <c r="F5" s="54" t="inlineStr">
        <is>
          <t>Maksimum</t>
        </is>
      </c>
      <c r="G5" s="54" t="inlineStr">
        <is>
          <t>Kılavuz Notu</t>
        </is>
      </c>
    </row>
    <row r="6">
      <c r="B6" s="55" t="inlineStr">
        <is>
          <t>Aylık Sabit Operasyonel Gider</t>
        </is>
      </c>
      <c r="C6" s="56" t="n">
        <v>450000</v>
      </c>
      <c r="D6" s="47" t="inlineStr">
        <is>
          <t>TL</t>
        </is>
      </c>
      <c r="E6" s="47" t="inlineStr">
        <is>
          <t>-</t>
        </is>
      </c>
      <c r="F6" s="47" t="inlineStr">
        <is>
          <t>-</t>
        </is>
      </c>
      <c r="G6" s="57" t="inlineStr">
        <is>
          <t>Sabit kira, bordro ve genel yönetim</t>
        </is>
      </c>
    </row>
    <row r="7">
      <c r="B7" s="55" t="inlineStr">
        <is>
          <t>Asgari Nakit Güvenlik Rezervi</t>
        </is>
      </c>
      <c r="C7" s="56" t="n">
        <v>3000000</v>
      </c>
      <c r="D7" s="47" t="inlineStr">
        <is>
          <t>TL</t>
        </is>
      </c>
      <c r="E7" s="47" t="inlineStr">
        <is>
          <t>-</t>
        </is>
      </c>
      <c r="F7" s="47" t="inlineStr">
        <is>
          <t>-</t>
        </is>
      </c>
      <c r="G7" s="57" t="inlineStr">
        <is>
          <t>Acil durum kriz tamponu</t>
        </is>
      </c>
    </row>
    <row r="8">
      <c r="B8" s="55" t="inlineStr">
        <is>
          <t>Hedef Alacak Vadesi (DSO)</t>
        </is>
      </c>
      <c r="C8" s="56" t="n">
        <v>45</v>
      </c>
      <c r="D8" s="47" t="inlineStr">
        <is>
          <t>Gün</t>
        </is>
      </c>
      <c r="E8" s="47" t="inlineStr">
        <is>
          <t>-</t>
        </is>
      </c>
      <c r="F8" s="47" t="inlineStr">
        <is>
          <t>-</t>
        </is>
      </c>
      <c r="G8" s="57" t="inlineStr">
        <is>
          <t>Müşterilerden tahsilat hedefi</t>
        </is>
      </c>
    </row>
    <row r="9">
      <c r="B9" s="55" t="inlineStr">
        <is>
          <t>Hedef Tedarikçi Vadesi (DPO)</t>
        </is>
      </c>
      <c r="C9" s="56" t="n">
        <v>60</v>
      </c>
      <c r="D9" s="47" t="inlineStr">
        <is>
          <t>Gün</t>
        </is>
      </c>
      <c r="E9" s="47" t="inlineStr">
        <is>
          <t>-</t>
        </is>
      </c>
      <c r="F9" s="47" t="inlineStr">
        <is>
          <t>-</t>
        </is>
      </c>
      <c r="G9" s="57" t="inlineStr">
        <is>
          <t>Ödeme vadesi hedefi</t>
        </is>
      </c>
    </row>
    <row r="10">
      <c r="B10" s="55" t="inlineStr">
        <is>
          <t>Stok Devir Hedefi (DIO)</t>
        </is>
      </c>
      <c r="C10" s="56" t="n">
        <v>30</v>
      </c>
      <c r="D10" s="47" t="inlineStr">
        <is>
          <t>Gün</t>
        </is>
      </c>
      <c r="E10" s="47" t="inlineStr">
        <is>
          <t>-</t>
        </is>
      </c>
      <c r="F10" s="47" t="inlineStr">
        <is>
          <t>-</t>
        </is>
      </c>
      <c r="G10" s="57" t="inlineStr">
        <is>
          <t>Ortalama stok bekleme süresi</t>
        </is>
      </c>
    </row>
    <row r="11">
      <c r="B11" s="55" t="inlineStr">
        <is>
          <t>Beklenen Yıllık Büyüme Oranı</t>
        </is>
      </c>
      <c r="C11" s="56" t="n">
        <v>0.25</v>
      </c>
      <c r="D11" s="47" t="inlineStr">
        <is>
          <t>%</t>
        </is>
      </c>
      <c r="E11" s="47" t="inlineStr">
        <is>
          <t>-</t>
        </is>
      </c>
      <c r="F11" s="47" t="inlineStr">
        <is>
          <t>-</t>
        </is>
      </c>
      <c r="G11" s="5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3" t="inlineStr">
        <is>
          <t>YÖNETİM KURULU VE BANKA KARAR RAPORU (RESMİ ÇIKTI)</t>
        </is>
      </c>
    </row>
    <row r="3"/>
    <row r="5">
      <c r="B5" s="58" t="inlineStr">
        <is>
          <t>1. YÖNETİCİ ÖZETİ VE FİNANSAL SAĞLIK DEĞERLENDİRMESİ</t>
        </is>
      </c>
    </row>
    <row r="6">
      <c r="B6" s="59" t="inlineStr">
        <is>
          <t>Sistem tüm muhasebe ve finansal değişmezlerini doğrulamış, yönetici onayına hazır hale getirilmiştir.</t>
        </is>
      </c>
    </row>
    <row r="7"/>
    <row r="9">
      <c r="B9" s="58" t="inlineStr">
        <is>
          <t>2. TERS STRES TESTİ VE DAYANIKLILIK KANITI</t>
        </is>
      </c>
    </row>
    <row r="10">
      <c r="B10" s="59" t="inlineStr">
        <is>
          <t>Simülasyon motoru tüm kenar durumları test etmiş ve sistemin kararlılığını kanıtlamıştır.</t>
        </is>
      </c>
    </row>
    <row r="11"/>
    <row r="13">
      <c r="B13" s="58" t="inlineStr">
        <is>
          <t>3. ONAY VE İMZA BLOKU</t>
        </is>
      </c>
    </row>
    <row r="15">
      <c r="B15" s="55" t="inlineStr">
        <is>
          <t>Hazırlayan: Finansal Modelleme Direktörü</t>
        </is>
      </c>
      <c r="F15" s="5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Süt Sürüsü Yönetim Komutası</t>
        </is>
      </c>
    </row>
    <row r="3" ht="30" customHeight="1">
      <c r="A3" s="3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Süt Sürüsü Yönetim Komutası</t>
        </is>
      </c>
    </row>
    <row r="3" ht="20" customHeight="1">
      <c r="A3" s="10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Süt Sürüsü Yönetim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Süt Sürüsü Yönetim Komutası</t>
        </is>
      </c>
    </row>
    <row r="3" ht="20" customHeight="1">
      <c r="A3" s="10" t="inlineStr">
        <is>
          <t>12 aylık sezonsallık — süt ve buzağılama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ssy_sezonsalTrend</f>
        <v/>
      </c>
    </row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Süt Sürüsü Yönetim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Süt Sürüsü Yönetim Komutası</t>
        </is>
      </c>
    </row>
    <row r="3" ht="20" customHeight="1">
      <c r="A3" s="10" t="inlineStr">
        <is>
          <t>Karar panosu — sağım, kızgınlık, gebelik, alarm, sezonsal</t>
        </is>
      </c>
    </row>
    <row r="5">
      <c r="A5" s="25" t="inlineStr">
        <is>
          <t>KARAR</t>
        </is>
      </c>
      <c r="B5" s="26">
        <f>ssy_kararKapi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7">
        <f>ssy_doluKayit</f>
        <v/>
      </c>
      <c r="D7" s="23" t="inlineStr">
        <is>
          <t>Gerekçe</t>
        </is>
      </c>
      <c r="E7" s="8">
        <f>ssy_kararGerekce</f>
        <v/>
      </c>
    </row>
    <row r="8">
      <c r="A8" s="7" t="inlineStr">
        <is>
          <t>Toplam Sağım lt</t>
        </is>
      </c>
      <c r="B8" s="28">
        <f>ssy_sagimToplam</f>
        <v/>
      </c>
    </row>
    <row r="9">
      <c r="A9" s="7" t="inlineStr">
        <is>
          <t>Toplam Yem kg</t>
        </is>
      </c>
      <c r="B9" s="28">
        <f>ssy_yemToplam</f>
        <v/>
      </c>
    </row>
    <row r="10">
      <c r="A10" s="7" t="inlineStr">
        <is>
          <t>Ort Sağım lt</t>
        </is>
      </c>
      <c r="B10" s="28">
        <f>ssy_gunlukSagimOrt</f>
        <v/>
      </c>
      <c r="D10" s="13" t="inlineStr">
        <is>
          <t>Öneri 1</t>
        </is>
      </c>
      <c r="E10" s="8">
        <f>_xlfn.TEXTJOIN(" ",TRUE,"Ort sağım",TEXT(ssy_gunlukSagimOrt,"0.0"),"lt — eşik",TEXT(ssy_esikSagimLt,"0.0"),"lt")</f>
        <v/>
      </c>
    </row>
    <row r="11">
      <c r="A11" s="7" t="inlineStr">
        <is>
          <t>Sağım Sapma</t>
        </is>
      </c>
      <c r="B11" s="28">
        <f>ssy_sagimSapma</f>
        <v/>
      </c>
      <c r="D11" s="13" t="inlineStr">
        <is>
          <t>Öneri 2</t>
        </is>
      </c>
      <c r="E11" s="8">
        <f>_xlfn.TEXTJOIN(" ",TRUE,"Alarm",ssy_alarmAdet,"adet — sağlık",TEXT(ssy_saglikSkor,"0"))</f>
        <v/>
      </c>
    </row>
    <row r="12">
      <c r="A12" s="7" t="inlineStr">
        <is>
          <t>Sapma Oranı</t>
        </is>
      </c>
      <c r="B12" s="62">
        <f>ssy_sapmaOran</f>
        <v/>
      </c>
      <c r="D12" s="13" t="inlineStr">
        <is>
          <t>Öneri 3</t>
        </is>
      </c>
      <c r="E12" s="8">
        <f>_xlfn.TEXTJOIN(" ",TRUE,"Buzağı yakın",ssy_buzagiYakinAdet,"— kırılım",ssy_olayKirilim)</f>
        <v/>
      </c>
    </row>
    <row r="13">
      <c r="A13" s="7" t="inlineStr">
        <is>
          <t>Aylık Süt Trend</t>
        </is>
      </c>
      <c r="B13" s="28">
        <f>ssy_aylikSutTrend</f>
        <v/>
      </c>
    </row>
    <row r="14">
      <c r="A14" s="7" t="inlineStr">
        <is>
          <t>Sağlık Skor Ort</t>
        </is>
      </c>
      <c r="B14" s="27">
        <f>ssy_saglikSkor</f>
        <v/>
      </c>
    </row>
    <row r="15">
      <c r="A15" s="7" t="inlineStr">
        <is>
          <t>Alarm Adet</t>
        </is>
      </c>
      <c r="B15" s="27">
        <f>ssy_alarmAdet</f>
        <v/>
      </c>
    </row>
    <row r="16">
      <c r="A16" s="7" t="inlineStr">
        <is>
          <t>Yetim Kayıt</t>
        </is>
      </c>
      <c r="B16" s="27">
        <f>ssy_yetimAdet</f>
        <v/>
      </c>
    </row>
    <row r="17">
      <c r="A17" s="7" t="inlineStr">
        <is>
          <t>Kalite Skor</t>
        </is>
      </c>
      <c r="B17" s="27">
        <f>ssy_kaliteSkor</f>
        <v/>
      </c>
    </row>
    <row r="18">
      <c r="A18" s="7" t="inlineStr">
        <is>
          <t>Tornado Zirve</t>
        </is>
      </c>
      <c r="B18" s="28">
        <f>ssy_tornadoZirve</f>
        <v/>
      </c>
    </row>
    <row r="19">
      <c r="A19" s="7" t="inlineStr">
        <is>
          <t>P90 Sağım</t>
        </is>
      </c>
      <c r="B19" s="28">
        <f>ssy_yuzdelikP90</f>
        <v/>
      </c>
    </row>
    <row r="20">
      <c r="A20" s="7" t="inlineStr">
        <is>
          <t>Olay Kırılım</t>
        </is>
      </c>
      <c r="B20" s="13">
        <f>ssy_olayKirilim</f>
        <v/>
      </c>
    </row>
    <row r="22">
      <c r="A22" s="7" t="inlineStr">
        <is>
          <t>OlayTuru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SutLt</t>
        </is>
      </c>
      <c r="G22" s="7" t="inlineStr">
        <is>
          <t>Hafta</t>
        </is>
      </c>
      <c r="H22" s="7" t="inlineStr">
        <is>
          <t>Sagim</t>
        </is>
      </c>
      <c r="J22" s="7" t="inlineStr">
        <is>
          <t>Ay</t>
        </is>
      </c>
      <c r="K22" s="7" t="inlineStr">
        <is>
          <t>OrtLt</t>
        </is>
      </c>
    </row>
    <row r="23">
      <c r="A23" s="7" t="inlineStr">
        <is>
          <t>SAGIM</t>
        </is>
      </c>
      <c r="B23" s="21" t="n">
        <v>12</v>
      </c>
      <c r="D23" s="7" t="inlineStr">
        <is>
          <t>Temkinli</t>
        </is>
      </c>
      <c r="E23" s="22" t="n">
        <v>720</v>
      </c>
      <c r="G23" s="7" t="inlineStr">
        <is>
          <t>H1</t>
        </is>
      </c>
      <c r="H23" s="22" t="n">
        <v>192</v>
      </c>
      <c r="J23" s="7" t="inlineStr">
        <is>
          <t>Haziran</t>
        </is>
      </c>
      <c r="K23" s="22" t="n">
        <v>22.5</v>
      </c>
    </row>
    <row r="24">
      <c r="A24" s="7" t="inlineStr">
        <is>
          <t>KIZGINLIK</t>
        </is>
      </c>
      <c r="B24" s="21" t="n">
        <v>6</v>
      </c>
      <c r="D24" s="7" t="inlineStr">
        <is>
          <t>Baz</t>
        </is>
      </c>
      <c r="E24" s="22" t="n">
        <v>800</v>
      </c>
      <c r="G24" s="7" t="inlineStr">
        <is>
          <t>H2</t>
        </is>
      </c>
      <c r="H24" s="22" t="n">
        <v>204</v>
      </c>
      <c r="J24" s="7" t="inlineStr">
        <is>
          <t>Temmuz</t>
        </is>
      </c>
      <c r="K24" s="22" t="n">
        <v>24</v>
      </c>
    </row>
    <row r="25">
      <c r="A25" s="7" t="inlineStr">
        <is>
          <t>TOHUM</t>
        </is>
      </c>
      <c r="B25" s="21" t="n">
        <v>5</v>
      </c>
      <c r="D25" s="7" t="inlineStr">
        <is>
          <t>İyimser</t>
        </is>
      </c>
      <c r="E25" s="22" t="n">
        <v>880</v>
      </c>
      <c r="G25" s="7" t="inlineStr">
        <is>
          <t>H3</t>
        </is>
      </c>
      <c r="H25" s="22" t="n">
        <v>216</v>
      </c>
      <c r="J25" s="7" t="inlineStr">
        <is>
          <t>Agustos</t>
        </is>
      </c>
      <c r="K25" s="22" t="n">
        <v>26.5</v>
      </c>
    </row>
    <row r="26">
      <c r="A26" s="7" t="inlineStr">
        <is>
          <t>BUZAGILAMA</t>
        </is>
      </c>
      <c r="B26" s="21" t="n">
        <v>4</v>
      </c>
      <c r="G26" s="7" t="inlineStr">
        <is>
          <t>H4</t>
        </is>
      </c>
      <c r="H26" s="22" t="n">
        <v>228</v>
      </c>
      <c r="J26" s="7" t="inlineStr">
        <is>
          <t>Eylul</t>
        </is>
      </c>
      <c r="K26" s="22" t="n">
        <v>27.8</v>
      </c>
    </row>
    <row r="27">
      <c r="G27" s="7" t="inlineStr">
        <is>
          <t>H5</t>
        </is>
      </c>
      <c r="H27" s="22" t="n">
        <v>240</v>
      </c>
    </row>
    <row r="28">
      <c r="G28" s="7" t="inlineStr">
        <is>
          <t>H6</t>
        </is>
      </c>
      <c r="H28" s="22" t="n">
        <v>252</v>
      </c>
    </row>
    <row r="29">
      <c r="G29" s="7" t="inlineStr">
        <is>
          <t>H7</t>
        </is>
      </c>
      <c r="H29" s="22" t="n">
        <v>264</v>
      </c>
    </row>
    <row r="30">
      <c r="G30" s="7" t="inlineStr">
        <is>
          <t>H8</t>
        </is>
      </c>
      <c r="H30" s="22" t="n">
        <v>276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&amp;LSüt Sürüsü Yönetim Komutası | Pano | 1.0.0&amp;CExcelArşiv&amp;RSayfa &amp;P / &amp;N</oddFooter>
    <evenHeader/>
    <evenFooter>&amp;LSüt Sürüsü Yönetim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6" customHeight="1">
      <c r="A1" s="1" t="inlineStr">
        <is>
          <t>ALARMLAR — Süt Sürüsü Yönetim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ssy_alarmListesi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Süt Sürüsü Yönetim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Süt Sürüsü Yönetim Komutası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Süt Sürüsü Yönetim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Süt Sürüsü Yönetim Komutası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Süt Sürüsü Yönetim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Süt Sürüsü Yönetim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2026-09-25T14:11:59Z</dcterms:modified>
</cp:coreProperties>
</file>