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comments/comment4.xml" ContentType="application/vnd.openxmlformats-officedocument.spreadsheetml.comments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VARLIKLAR" sheetId="5" state="visible" r:id="rId5"/>
    <sheet xmlns:r="http://schemas.openxmlformats.org/officeDocument/2006/relationships" name="GUNLUK_GIRIS" sheetId="6" state="visible" r:id="rId6"/>
    <sheet xmlns:r="http://schemas.openxmlformats.org/officeDocument/2006/relationships" name="DONEM_ANALIZ" sheetId="7" state="visible" r:id="rId7"/>
    <sheet xmlns:r="http://schemas.openxmlformats.org/officeDocument/2006/relationships" name="HESAP" sheetId="8" state="visible" r:id="rId8"/>
    <sheet xmlns:r="http://schemas.openxmlformats.org/officeDocument/2006/relationships" name="ALARMLAR" sheetId="9" state="visible" r:id="rId9"/>
    <sheet xmlns:r="http://schemas.openxmlformats.org/officeDocument/2006/relationships" name="RAPOR" sheetId="10" state="visible" r:id="rId10"/>
    <sheet xmlns:r="http://schemas.openxmlformats.org/officeDocument/2006/relationships" name="KONTROLLER" sheetId="11" state="visible" r:id="rId11"/>
    <sheet xmlns:r="http://schemas.openxmlformats.org/officeDocument/2006/relationships" name="ORNEK_VERI" sheetId="12" state="visible" r:id="rId12"/>
    <sheet xmlns:r="http://schemas.openxmlformats.org/officeDocument/2006/relationships" name="LISTELER" sheetId="13" state="visible" r:id="rId13"/>
    <sheet xmlns:r="http://schemas.openxmlformats.org/officeDocument/2006/relationships" name="AYARLAR" sheetId="14" state="visible" r:id="rId14"/>
    <sheet xmlns:r="http://schemas.openxmlformats.org/officeDocument/2006/relationships" name="KILAVUZ" sheetId="15" state="visible" r:id="rId15"/>
  </sheets>
  <definedNames>
    <definedName name="raporTarihi">AYARLAR!$B$6</definedName>
    <definedName name="ssy_varsayilanHedefLt">AYARLAR!$B$7</definedName>
    <definedName name="ssy_esikSagimLt">AYARLAR!$B$8</definedName>
    <definedName name="ssy_esikBuzagiGun">AYARLAR!$B$9</definedName>
    <definedName name="ssy_esikSaglik">AYARLAR!$B$10</definedName>
    <definedName name="ssy_azamiSagimLt">AYARLAR!$B$11</definedName>
    <definedName name="ssy_aylikCarpan">AYARLAR!$B$12</definedName>
    <definedName name="ssy_senaryoTemkinli">AYARLAR!$B$13</definedName>
    <definedName name="ssy_senaryoBaz">AYARLAR!$B$14</definedName>
    <definedName name="ssy_senaryoIyimser">AYARLAR!$B$15</definedName>
    <definedName name="ssy_tornadoOran">AYARLAR!$B$16</definedName>
    <definedName name="ssy_yuzdelikOran">AYARLAR!$B$17</definedName>
    <definedName name="ssy_percentileOran">AYARLAR!$B$18</definedName>
    <definedName name="ssy_tahminCarpan">AYARLAR!$B$19</definedName>
    <definedName name="ssy_olcekHedef">AYARLAR!$B$20</definedName>
    <definedName name="ssy_kaliteTaban">AYARLAR!$B$21</definedName>
    <definedName name="ssy_kaliteCeza">AYARLAR!$B$22</definedName>
    <definedName name="ssy_kaliteSapma">AYARLAR!$B$23</definedName>
    <definedName name="ssy_dosyaSurumu">AYARLAR!$B$24</definedName>
    <definedName name="ssy_firmaUnvan">AYARLAR!$B$25</definedName>
    <definedName name="ssy_alarmEsikMetin">AYARLAR!$B$26</definedName>
    <definedName name="ssy_sutFiyatTlLt">AYARLAR!$B$27</definedName>
    <definedName name="ssy_kizginlikDongu">AYARLAR!$B$28</definedName>
    <definedName name="ssy_gebelikSure">AYARLAR!$B$29</definedName>
    <definedName name="ssy_doluKayit">AYARLAR!$I$32</definedName>
    <definedName name="ssy_sagimToplam">AYARLAR!$I$33</definedName>
    <definedName name="ssy_yemToplam">AYARLAR!$I$34</definedName>
    <definedName name="ssy_gunlukSagimOrt">AYARLAR!$I$35</definedName>
    <definedName name="ssy_sagimSapma">AYARLAR!$I$36</definedName>
    <definedName name="ssy_sapmaOran">AYARLAR!$I$37</definedName>
    <definedName name="ssy_aylikSutTrend">AYARLAR!$I$38</definedName>
    <definedName name="ssy_saglikSkor">AYARLAR!$I$39</definedName>
    <definedName name="ssy_alarmAdet">AYARLAR!$I$40</definedName>
    <definedName name="ssy_yetimAdet">AYARLAR!$I$41</definedName>
    <definedName name="ssy_buzagiYakinAdet">AYARLAR!$I$42</definedName>
    <definedName name="ssy_tornadoZirve">AYARLAR!$I$43</definedName>
    <definedName name="ssy_senaryoKarsilastirma">AYARLAR!$I$44</definedName>
    <definedName name="ssy_hhi">AYARLAR!$I$45</definedName>
    <definedName name="ssy_kaliteSkor">AYARLAR!$I$46</definedName>
    <definedName name="ssy_senaryoMotor">AYARLAR!$I$47</definedName>
    <definedName name="ssy_tahminAralik">AYARLAR!$I$48</definedName>
    <definedName name="ssy_yuzdelikP90">AYARLAR!$I$49</definedName>
    <definedName name="ssy_olayKirilim">AYARLAR!$I$50</definedName>
    <definedName name="ssy_sezonsalTrend">AYARLAR!$I$51</definedName>
    <definedName name="ssy_alarmListesi">AYARLAR!$I$52</definedName>
    <definedName name="ssy_kararKapi">AYARLAR!$I$53</definedName>
    <definedName name="ssy_kararGerekce">AYARLAR!$I$54</definedName>
    <definedName name="ssy_sonrakiKimlik">AYARLAR!$I$55</definedName>
    <definedName name="ssy_yorumGunluk">AYARLAR!$I$58</definedName>
    <definedName name="ssy_yorumAylik">AYARLAR!$I$59</definedName>
    <definedName name="ssy_yorumSapma">AYARLAR!$I$60</definedName>
    <definedName name="ssy_yorumTornado">AYARLAR!$I$61</definedName>
    <definedName name="ssy_yorumSenaryo">AYARLAR!$I$62</definedName>
    <definedName name="ssy_yorumHhi">AYARLAR!$I$63</definedName>
    <definedName name="ssy_yorumKalite">AYARLAR!$I$64</definedName>
    <definedName name="ssy_yorumSenMotor">AYARLAR!$I$65</definedName>
    <definedName name="ssy_yorumTahmin">AYARLAR!$I$66</definedName>
    <definedName name="ssy_yorumP90">AYARLAR!$I$67</definedName>
    <definedName name="ListeEvetHayir">LISTELER!$A$7:$A$8</definedName>
    <definedName name="ListeOlayTuru">LISTELER!$C$7:$C$12</definedName>
    <definedName name="ListeIrk">LISTELER!$E$7:$E$9</definedName>
    <definedName name="_xlnm.Print_Area" localSheetId="9">'RAPOR'!$A$1:$F$35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dd.mm.yyyy"/>
    <numFmt numFmtId="166" formatCode="0.0%;[Red](0.0%);-"/>
    <numFmt numFmtId="167" formatCode="₺ #,##0;[Red](₺ #,##0);-"/>
    <numFmt numFmtId="168" formatCode="#,##0 &quot;TL&quot;"/>
    <numFmt numFmtId="169" formatCode="0.0%"/>
    <numFmt numFmtId="170" formatCode="₺#,##0"/>
  </numFmts>
  <fonts count="6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6"/>
    </font>
    <font>
      <name val="Segoe UI"/>
      <b val="1"/>
      <color rgb="00000000"/>
      <sz val="12"/>
    </font>
    <font>
      <name val="Segoe UI"/>
      <b val="1"/>
      <color rgb="00000000"/>
      <sz val="14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0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0" fontId="10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16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8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7" borderId="0" applyAlignment="1" pivotButton="0" quotePrefix="0" xfId="0">
      <alignment horizontal="center" vertical="center"/>
    </xf>
    <xf numFmtId="0" fontId="27" fillId="0" borderId="0" pivotButton="0" quotePrefix="0" xfId="0"/>
    <xf numFmtId="168" fontId="27" fillId="0" borderId="0" pivotButton="0" quotePrefix="0" xfId="0"/>
    <xf numFmtId="168" fontId="28" fillId="0" borderId="0" pivotButton="0" quotePrefix="0" xfId="0"/>
    <xf numFmtId="169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/>
    </xf>
    <xf numFmtId="0" fontId="28" fillId="0" borderId="0" pivotButton="0" quotePrefix="0" xfId="0"/>
    <xf numFmtId="0" fontId="32" fillId="9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27" fillId="0" borderId="0" applyAlignment="1" pivotButton="0" quotePrefix="0" xfId="0">
      <alignment wrapText="1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6" fontId="6" fillId="0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167" fontId="8" fillId="5" borderId="0" applyAlignment="1" applyProtection="1" pivotButton="0" quotePrefix="0" xfId="0">
      <alignment horizontal="left" vertical="center"/>
      <protection locked="0" hidden="0"/>
    </xf>
    <xf numFmtId="0" fontId="35" fillId="0" borderId="0" pivotButton="0" quotePrefix="0" xfId="0"/>
    <xf numFmtId="0" fontId="36" fillId="0" borderId="2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3" pivotButton="0" quotePrefix="0" xfId="0"/>
    <xf numFmtId="0" fontId="0" fillId="0" borderId="2" pivotButton="0" quotePrefix="0" xfId="0"/>
    <xf numFmtId="0" fontId="37" fillId="11" borderId="2" applyAlignment="1" pivotButton="0" quotePrefix="0" xfId="0">
      <alignment horizontal="center"/>
    </xf>
    <xf numFmtId="0" fontId="23" fillId="0" borderId="4" pivotButton="0" quotePrefix="0" xfId="0"/>
    <xf numFmtId="0" fontId="39" fillId="12" borderId="2" applyAlignment="1" pivotButton="0" quotePrefix="0" xfId="0">
      <alignment horizontal="center"/>
    </xf>
    <xf numFmtId="0" fontId="38" fillId="13" borderId="2" applyAlignment="1" pivotButton="0" quotePrefix="0" xfId="0">
      <alignment horizontal="center"/>
    </xf>
    <xf numFmtId="0" fontId="23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9" fillId="0" borderId="3" pivotButton="0" quotePrefix="0" xfId="0"/>
    <xf numFmtId="0" fontId="40" fillId="0" borderId="4" pivotButton="0" quotePrefix="0" xfId="0"/>
    <xf numFmtId="0" fontId="41" fillId="0" borderId="5" pivotButton="0" quotePrefix="0" xfId="0"/>
    <xf numFmtId="0" fontId="38" fillId="0" borderId="3" pivotButton="0" quotePrefix="0" xfId="0"/>
    <xf numFmtId="0" fontId="33" fillId="0" borderId="4" pivotButton="0" quotePrefix="0" xfId="0"/>
    <xf numFmtId="0" fontId="38" fillId="0" borderId="5" pivotButton="0" quotePrefix="0" xfId="0"/>
    <xf numFmtId="0" fontId="42" fillId="14" borderId="0" applyAlignment="1" pivotButton="0" quotePrefix="0" xfId="0">
      <alignment horizontal="center"/>
    </xf>
    <xf numFmtId="0" fontId="43" fillId="0" borderId="0" pivotButton="0" quotePrefix="0" xfId="0"/>
    <xf numFmtId="0" fontId="42" fillId="15" borderId="0" applyAlignment="1" pivotButton="0" quotePrefix="0" xfId="0">
      <alignment horizontal="center" vertical="center"/>
    </xf>
    <xf numFmtId="0" fontId="43" fillId="0" borderId="2" pivotButton="0" quotePrefix="0" xfId="0"/>
    <xf numFmtId="0" fontId="44" fillId="0" borderId="2" pivotButton="0" quotePrefix="0" xfId="0"/>
    <xf numFmtId="0" fontId="45" fillId="0" borderId="2" pivotButton="0" quotePrefix="0" xfId="0"/>
    <xf numFmtId="0" fontId="46" fillId="16" borderId="2" applyAlignment="1" pivotButton="0" quotePrefix="0" xfId="0">
      <alignment horizontal="center"/>
    </xf>
    <xf numFmtId="0" fontId="42" fillId="7" borderId="0" pivotButton="0" quotePrefix="0" xfId="0"/>
    <xf numFmtId="0" fontId="47" fillId="7" borderId="0" pivotButton="0" quotePrefix="0" xfId="0"/>
    <xf numFmtId="0" fontId="48" fillId="7" borderId="0" pivotButton="0" quotePrefix="0" xfId="0"/>
    <xf numFmtId="0" fontId="0" fillId="7" borderId="0" pivotButton="0" quotePrefix="0" xfId="0"/>
    <xf numFmtId="0" fontId="20" fillId="7" borderId="0" applyAlignment="1" pivotButton="0" quotePrefix="0" xfId="0">
      <alignment horizontal="center"/>
    </xf>
    <xf numFmtId="0" fontId="36" fillId="0" borderId="0" pivotButton="0" quotePrefix="0" xfId="0"/>
    <xf numFmtId="0" fontId="51" fillId="17" borderId="0" pivotButton="0" quotePrefix="0" xfId="0"/>
    <xf numFmtId="0" fontId="0" fillId="17" borderId="0" pivotButton="0" quotePrefix="0" xfId="0"/>
    <xf numFmtId="0" fontId="38" fillId="0" borderId="0" pivotButton="0" quotePrefix="0" xfId="0"/>
    <xf numFmtId="0" fontId="26" fillId="17" borderId="0" pivotButton="0" quotePrefix="0" xfId="0"/>
    <xf numFmtId="0" fontId="52" fillId="17" borderId="0" applyAlignment="1" pivotButton="0" quotePrefix="0" xfId="0">
      <alignment wrapText="1"/>
    </xf>
    <xf numFmtId="0" fontId="49" fillId="0" borderId="0" pivotButton="0" quotePrefix="0" xfId="0"/>
    <xf numFmtId="0" fontId="50" fillId="0" borderId="0" pivotButton="0" quotePrefix="0" xfId="0"/>
    <xf numFmtId="0" fontId="38" fillId="13" borderId="6" applyAlignment="1" pivotButton="0" quotePrefix="0" xfId="0">
      <alignment horizontal="center" vertical="center"/>
    </xf>
    <xf numFmtId="0" fontId="53" fillId="18" borderId="0" applyAlignment="1" pivotButton="0" quotePrefix="0" xfId="0">
      <alignment horizontal="center" vertical="center"/>
    </xf>
    <xf numFmtId="0" fontId="17" fillId="19" borderId="2" applyAlignment="1" pivotButton="0" quotePrefix="0" xfId="0">
      <alignment vertical="center"/>
    </xf>
    <xf numFmtId="0" fontId="37" fillId="11" borderId="0" applyAlignment="1" pivotButton="0" quotePrefix="0" xfId="0">
      <alignment horizontal="center" vertical="center"/>
    </xf>
    <xf numFmtId="0" fontId="38" fillId="13" borderId="0" applyAlignment="1" pivotButton="0" quotePrefix="0" xfId="0">
      <alignment horizontal="center" vertical="center"/>
    </xf>
    <xf numFmtId="0" fontId="54" fillId="7" borderId="0" applyAlignment="1" pivotButton="0" quotePrefix="0" xfId="0">
      <alignment horizontal="center" vertical="center"/>
    </xf>
    <xf numFmtId="0" fontId="55" fillId="19" borderId="2" applyAlignment="1" pivotButton="0" quotePrefix="0" xfId="0">
      <alignment horizontal="center"/>
    </xf>
    <xf numFmtId="0" fontId="56" fillId="19" borderId="2" applyAlignment="1" pivotButton="0" quotePrefix="0" xfId="0">
      <alignment horizontal="center"/>
    </xf>
    <xf numFmtId="0" fontId="55" fillId="19" borderId="2" pivotButton="0" quotePrefix="0" xfId="0"/>
    <xf numFmtId="170" fontId="56" fillId="19" borderId="2" applyAlignment="1" pivotButton="0" quotePrefix="0" xfId="0">
      <alignment horizontal="right"/>
    </xf>
    <xf numFmtId="9" fontId="55" fillId="19" borderId="2" applyAlignment="1" pivotButton="0" quotePrefix="0" xfId="0">
      <alignment horizontal="center"/>
    </xf>
    <xf numFmtId="170" fontId="55" fillId="19" borderId="2" applyAlignment="1" pivotButton="0" quotePrefix="0" xfId="0">
      <alignment horizontal="right"/>
    </xf>
    <xf numFmtId="0" fontId="38" fillId="19" borderId="2" applyAlignment="1" pivotButton="0" quotePrefix="0" xfId="0">
      <alignment horizontal="center"/>
    </xf>
    <xf numFmtId="0" fontId="55" fillId="18" borderId="2" applyAlignment="1" pivotButton="0" quotePrefix="0" xfId="0">
      <alignment horizontal="center"/>
    </xf>
    <xf numFmtId="0" fontId="56" fillId="18" borderId="2" applyAlignment="1" pivotButton="0" quotePrefix="0" xfId="0">
      <alignment horizontal="center"/>
    </xf>
    <xf numFmtId="0" fontId="55" fillId="18" borderId="2" pivotButton="0" quotePrefix="0" xfId="0"/>
    <xf numFmtId="170" fontId="56" fillId="18" borderId="2" applyAlignment="1" pivotButton="0" quotePrefix="0" xfId="0">
      <alignment horizontal="right"/>
    </xf>
    <xf numFmtId="9" fontId="55" fillId="18" borderId="2" applyAlignment="1" pivotButton="0" quotePrefix="0" xfId="0">
      <alignment horizontal="center"/>
    </xf>
    <xf numFmtId="170" fontId="55" fillId="18" borderId="2" applyAlignment="1" pivotButton="0" quotePrefix="0" xfId="0">
      <alignment horizontal="right"/>
    </xf>
    <xf numFmtId="0" fontId="43" fillId="18" borderId="2" applyAlignment="1" pivotButton="0" quotePrefix="0" xfId="0">
      <alignment horizontal="center"/>
    </xf>
    <xf numFmtId="0" fontId="38" fillId="18" borderId="2" applyAlignment="1" pivotButton="0" quotePrefix="0" xfId="0">
      <alignment horizontal="center"/>
    </xf>
    <xf numFmtId="0" fontId="39" fillId="18" borderId="2" applyAlignment="1" pivotButton="0" quotePrefix="0" xfId="0">
      <alignment horizontal="center"/>
    </xf>
    <xf numFmtId="0" fontId="26" fillId="7" borderId="0" applyAlignment="1" pivotButton="0" quotePrefix="0" xfId="0">
      <alignment vertical="center" indent="1"/>
    </xf>
    <xf numFmtId="170" fontId="57" fillId="7" borderId="0" applyAlignment="1" pivotButton="0" quotePrefix="0" xfId="0">
      <alignment horizontal="right" vertical="center"/>
    </xf>
    <xf numFmtId="0" fontId="58" fillId="0" borderId="7" pivotButton="0" quotePrefix="0" xfId="0"/>
    <xf numFmtId="0" fontId="59" fillId="0" borderId="7" pivotButton="0" quotePrefix="0" xfId="0"/>
    <xf numFmtId="0" fontId="60" fillId="0" borderId="7" pivotButton="0" quotePrefix="0" xfId="0"/>
    <xf numFmtId="0" fontId="61" fillId="20" borderId="2" applyAlignment="1" pivotButton="0" quotePrefix="0" xfId="0">
      <alignment horizontal="center" vertical="center"/>
    </xf>
    <xf numFmtId="0" fontId="65" fillId="11" borderId="2" applyAlignment="1" pivotButton="0" quotePrefix="0" xfId="0">
      <alignment horizontal="center" vertical="center"/>
    </xf>
    <xf numFmtId="0" fontId="62" fillId="0" borderId="2" pivotButton="0" quotePrefix="0" xfId="0"/>
    <xf numFmtId="0" fontId="61" fillId="0" borderId="2" applyAlignment="1" pivotButton="0" quotePrefix="0" xfId="0">
      <alignment horizontal="right"/>
    </xf>
    <xf numFmtId="0" fontId="65" fillId="0" borderId="2" applyAlignment="1" pivotButton="0" quotePrefix="0" xfId="0">
      <alignment horizontal="right"/>
    </xf>
    <xf numFmtId="0" fontId="36" fillId="0" borderId="2" applyAlignment="1" pivotButton="0" quotePrefix="0" xfId="0">
      <alignment horizontal="right"/>
    </xf>
    <xf numFmtId="0" fontId="63" fillId="0" borderId="2" applyAlignment="1" pivotButton="0" quotePrefix="0" xfId="0">
      <alignment horizontal="right"/>
    </xf>
    <xf numFmtId="0" fontId="64" fillId="12" borderId="8" applyAlignment="1" pivotButton="0" quotePrefix="0" xfId="0">
      <alignment horizontal="center" vertical="center"/>
    </xf>
    <xf numFmtId="0" fontId="66" fillId="11" borderId="9" applyAlignment="1" pivotButton="0" quotePrefix="0" xfId="0">
      <alignment horizontal="center" vertical="center"/>
    </xf>
    <xf numFmtId="0" fontId="6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Süt Sezonsallığı</a:t>
            </a:r>
          </a:p>
        </rich>
      </tx>
    </title>
    <plotArea>
      <lineChart>
        <grouping val="standard"/>
        <ser>
          <idx val="0"/>
          <order val="0"/>
          <tx>
            <strRef>
              <f>'DONEM_ANALIZ'!C5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'DONEM_ANALIZ'!$A$6:$A$17</f>
            </numRef>
          </cat>
          <val>
            <numRef>
              <f>'DONEM_ANALIZ'!$C$6:$C$17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Buzağılama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'DONEM_ANALIZ'!D5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'DONEM_ANALIZ'!$A$6:$A$17</f>
            </numRef>
          </cat>
          <val>
            <numRef>
              <f>'DONEM_ANALIZ'!$D$6:$D$17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INK-00009 | Risk: Elle çakışma</t>
      </text>
    </comment>
    <comment ref="A6" authorId="0" shapeId="0">
      <text>
        <t>Tanım: Varlık Kimliği | Neden önemli: Süt sürüsü sağım/kızgınlık/gebelik kararını etkiler | Doğru kullanım: INK-##### formatında | Örnek: hücredeki örnek değere bakın | Risk: Yanlış giriş hatalı karar üretir</t>
      </text>
    </comment>
    <comment ref="B6" authorId="0" shapeId="0">
      <text>
        <t>Tanım: İnek Adı | Neden önemli: Süt sürüsü sağım/kızgınlık/gebelik kararını etkiler | Doğru kullanım: Küpe / isim | Örnek: hücredeki örnek değere bakın | Risk: Yanlış giriş hatalı karar üretir</t>
      </text>
    </comment>
    <comment ref="C6" authorId="0" shapeId="0">
      <text>
        <t>Tanım: Irk | Neden önemli: Süt sürüsü sağım/kızgınlık/gebelik kararını etkiler | Doğru kullanım: Holstein / Simental / Jersey | Örnek: hücredeki örnek değere bakın | Risk: Yanlış giriş hatalı karar üretir</t>
      </text>
    </comment>
    <comment ref="D6" authorId="0" shapeId="0">
      <text>
        <t>Tanım: Laktasyon [adet] | Neden önemli: Süt sürüsü sağım/kızgınlık/gebelik kararını etkiler | Doğru kullanım: Laktasyon sayısı | Örnek: hücredeki örnek değere bakın | Risk: Yanlış giriş hatalı karar üretir</t>
      </text>
    </comment>
    <comment ref="E6" authorId="0" shapeId="0">
      <text>
        <t>Tanım: Hedef Sağım [lt] | Neden önemli: Süt sürüsü sağım/kızgınlık/gebelik kararını etkiler | Doğru kullanım: Günlük hedef lt | Örnek: hücredeki örnek değere bakın | Risk: Yanlış giriş hatalı karar üretir</t>
      </text>
    </comment>
    <comment ref="F6" authorId="0" shapeId="0">
      <text>
        <t>Tanım: Doğum Tarihi | Neden önemli: Süt sürüsü sağım/kızgınlık/gebelik kararını etkiler | Doğru kullanım: GG.AA.YYYY | Örnek: hücredeki örnek değere bakın | Risk: Yanlış giriş hatalı karar üretir</t>
      </text>
    </comment>
    <comment ref="G6" authorId="0" shapeId="0">
      <text>
        <t>Tanım: Aktif | Neden önemli: Süt sürüsü sağım/kızgınlık/gebelik kararını etkiler | Doğru kullanım: EVET veya HAYIR | Örnek: hücredeki örnek değere bakın | Risk: Yanlış giriş hatalı karar üretir</t>
      </text>
    </comment>
    <comment ref="A7" authorId="0" shapeId="0">
      <text>
        <t>Tanım: Varlık Kimliği | Neden önemli: Süt sürüsü sağım/kızgınlık/gebelik kararını etkiler | Doğru kullanım: INK-##### formatında | Örnek: hücredeki örnek değere bakın | Risk: Yanlış giriş hatalı karar üretir</t>
      </text>
    </comment>
    <comment ref="B7" authorId="0" shapeId="0">
      <text>
        <t>Tanım: İnek Adı | Neden önemli: Süt sürüsü sağım/kızgınlık/gebelik kararını etkiler | Doğru kullanım: Küpe / isim | Örnek: hücredeki örnek değere bakın | Risk: Yanlış giriş hatalı karar üretir</t>
      </text>
    </comment>
    <comment ref="C7" authorId="0" shapeId="0">
      <text>
        <t>Tanım: Irk | Neden önemli: Süt sürüsü sağım/kızgınlık/gebelik kararını etkiler | Doğru kullanım: Holstein / Simental / Jersey | Örnek: hücredeki örnek değere bakın | Risk: Yanlış giriş hatalı karar üretir</t>
      </text>
    </comment>
    <comment ref="D7" authorId="0" shapeId="0">
      <text>
        <t>Tanım: Laktasyon [adet] | Neden önemli: Süt sürüsü sağım/kızgınlık/gebelik kararını etkiler | Doğru kullanım: Laktasyon sayısı | Örnek: hücredeki örnek değere bakın | Risk: Yanlış giriş hatalı karar üretir</t>
      </text>
    </comment>
    <comment ref="E7" authorId="0" shapeId="0">
      <text>
        <t>Tanım: Hedef Sağım [lt] | Neden önemli: Süt sürüsü sağım/kızgınlık/gebelik kararını etkiler | Doğru kullanım: Günlük hedef lt | Örnek: hücredeki örnek değere bakın | Risk: Yanlış giriş hatalı karar üretir</t>
      </text>
    </comment>
    <comment ref="F7" authorId="0" shapeId="0">
      <text>
        <t>Tanım: Doğum Tarihi | Neden önemli: Süt sürüsü sağım/kızgınlık/gebelik kararını etkiler | Doğru kullanım: GG.AA.YYYY | Örnek: hücredeki örnek değere bakın | Risk: Yanlış giriş hatalı karar üretir</t>
      </text>
    </comment>
    <comment ref="G7" authorId="0" shapeId="0">
      <text>
        <t>Tanım: Aktif | Neden önemli: Süt sürüsü sağım/kızgınlık/gebelik kararını etkiler | Doğru kullanım: EVET veya HAYIR | Örnek: hücredeki örnek değere bakın | Risk: Yanlış giriş hatalı karar üretir</t>
      </text>
    </comment>
    <comment ref="A8" authorId="0" shapeId="0">
      <text>
        <t>Tanım: Varlık Kimliği | Neden önemli: Süt sürüsü sağım/kızgınlık/gebelik kararını etkiler | Doğru kullanım: INK-##### formatında | Örnek: hücredeki örnek değere bakın | Risk: Yanlış giriş hatalı karar üretir</t>
      </text>
    </comment>
    <comment ref="B8" authorId="0" shapeId="0">
      <text>
        <t>Tanım: İnek Adı | Neden önemli: Süt sürüsü sağım/kızgınlık/gebelik kararını etkiler | Doğru kullanım: Küpe / isim | Örnek: hücredeki örnek değere bakın | Risk: Yanlış giriş hatalı karar üretir</t>
      </text>
    </comment>
    <comment ref="C8" authorId="0" shapeId="0">
      <text>
        <t>Tanım: Irk | Neden önemli: Süt sürüsü sağım/kızgınlık/gebelik kararını etkiler | Doğru kullanım: Holstein / Simental / Jersey | Örnek: hücredeki örnek değere bakın | Risk: Yanlış giriş hatalı karar üretir</t>
      </text>
    </comment>
    <comment ref="D8" authorId="0" shapeId="0">
      <text>
        <t>Tanım: Laktasyon [adet] | Neden önemli: Süt sürüsü sağım/kızgınlık/gebelik kararını etkiler | Doğru kullanım: Laktasyon sayısı | Örnek: hücredeki örnek değere bakın | Risk: Yanlış giriş hatalı karar üretir</t>
      </text>
    </comment>
    <comment ref="E8" authorId="0" shapeId="0">
      <text>
        <t>Tanım: Hedef Sağım [lt] | Neden önemli: Süt sürüsü sağım/kızgınlık/gebelik kararını etkiler | Doğru kullanım: Günlük hedef lt | Örnek: hücredeki örnek değere bakın | Risk: Yanlış giriş hatalı karar üretir</t>
      </text>
    </comment>
    <comment ref="F8" authorId="0" shapeId="0">
      <text>
        <t>Tanım: Doğum Tarihi | Neden önemli: Süt sürüsü sağım/kızgınlık/gebelik kararını etkiler | Doğru kullanım: GG.AA.YYYY | Örnek: hücredeki örnek değere bakın | Risk: Yanlış giriş hatalı karar üretir</t>
      </text>
    </comment>
    <comment ref="G8" authorId="0" shapeId="0">
      <text>
        <t>Tanım: Aktif | Neden önemli: Süt sürüsü sağım/kızgınlık/gebelik kararını etkiler | Doğru kullanım: EVET veya HAYIR | Örnek: hücredeki örnek değere bakın | Risk: Yanlış giriş hatalı karar üretir</t>
      </text>
    </comment>
    <comment ref="A9" authorId="0" shapeId="0">
      <text>
        <t>Tanım: Varlık Kimliği | Neden önemli: Süt sürüsü sağım/kızgınlık/gebelik kararını etkiler | Doğru kullanım: INK-##### formatında | Örnek: hücredeki örnek değere bakın | Risk: Yanlış giriş hatalı karar üretir</t>
      </text>
    </comment>
    <comment ref="B9" authorId="0" shapeId="0">
      <text>
        <t>Tanım: İnek Adı | Neden önemli: Süt sürüsü sağım/kızgınlık/gebelik kararını etkiler | Doğru kullanım: Küpe / isim | Örnek: hücredeki örnek değere bakın | Risk: Yanlış giriş hatalı karar üretir</t>
      </text>
    </comment>
    <comment ref="C9" authorId="0" shapeId="0">
      <text>
        <t>Tanım: Irk | Neden önemli: Süt sürüsü sağım/kızgınlık/gebelik kararını etkiler | Doğru kullanım: Holstein / Simental / Jersey | Örnek: hücredeki örnek değere bakın | Risk: Yanlış giriş hatalı karar üretir</t>
      </text>
    </comment>
    <comment ref="D9" authorId="0" shapeId="0">
      <text>
        <t>Tanım: Laktasyon [adet] | Neden önemli: Süt sürüsü sağım/kızgınlık/gebelik kararını etkiler | Doğru kullanım: Laktasyon sayısı | Örnek: hücredeki örnek değere bakın | Risk: Yanlış giriş hatalı karar üretir</t>
      </text>
    </comment>
    <comment ref="E9" authorId="0" shapeId="0">
      <text>
        <t>Tanım: Hedef Sağım [lt] | Neden önemli: Süt sürüsü sağım/kızgınlık/gebelik kararını etkiler | Doğru kullanım: Günlük hedef lt | Örnek: hücredeki örnek değere bakın | Risk: Yanlış giriş hatalı karar üretir</t>
      </text>
    </comment>
    <comment ref="F9" authorId="0" shapeId="0">
      <text>
        <t>Tanım: Doğum Tarihi | Neden önemli: Süt sürüsü sağım/kızgınlık/gebelik kararını etkiler | Doğru kullanım: GG.AA.YYYY | Örnek: hücredeki örnek değere bakın | Risk: Yanlış giriş hatalı karar üretir</t>
      </text>
    </comment>
    <comment ref="G9" authorId="0" shapeId="0">
      <text>
        <t>Tanım: Aktif | Neden önemli: Süt sürüsü sağım/kızgınlık/gebelik kararını etkiler | Doğru kullanım: EVET veya HAYIR | Örnek: hücredeki örnek değere bakın | Risk: Yanlış giriş hatalı karar üretir</t>
      </text>
    </comment>
    <comment ref="A10" authorId="0" shapeId="0">
      <text>
        <t>Tanım: Varlık Kimliği | Neden önemli: Süt sürüsü sağım/kızgınlık/gebelik kararını etkiler | Doğru kullanım: INK-##### formatında | Örnek: hücredeki örnek değere bakın | Risk: Yanlış giriş hatalı karar üretir</t>
      </text>
    </comment>
    <comment ref="B10" authorId="0" shapeId="0">
      <text>
        <t>Tanım: İnek Adı | Neden önemli: Süt sürüsü sağım/kızgınlık/gebelik kararını etkiler | Doğru kullanım: Küpe / isim | Örnek: hücredeki örnek değere bakın | Risk: Yanlış giriş hatalı karar üretir</t>
      </text>
    </comment>
    <comment ref="C10" authorId="0" shapeId="0">
      <text>
        <t>Tanım: Irk | Neden önemli: Süt sürüsü sağım/kızgınlık/gebelik kararını etkiler | Doğru kullanım: Holstein / Simental / Jersey | Örnek: hücredeki örnek değere bakın | Risk: Yanlış giriş hatalı karar üretir</t>
      </text>
    </comment>
    <comment ref="D10" authorId="0" shapeId="0">
      <text>
        <t>Tanım: Laktasyon [adet] | Neden önemli: Süt sürüsü sağım/kızgınlık/gebelik kararını etkiler | Doğru kullanım: Laktasyon sayısı | Örnek: hücredeki örnek değere bakın | Risk: Yanlış giriş hatalı karar üretir</t>
      </text>
    </comment>
    <comment ref="E10" authorId="0" shapeId="0">
      <text>
        <t>Tanım: Hedef Sağım [lt] | Neden önemli: Süt sürüsü sağım/kızgınlık/gebelik kararını etkiler | Doğru kullanım: Günlük hedef lt | Örnek: hücredeki örnek değere bakın | Risk: Yanlış giriş hatalı karar üretir</t>
      </text>
    </comment>
    <comment ref="F10" authorId="0" shapeId="0">
      <text>
        <t>Tanım: Doğum Tarihi | Neden önemli: Süt sürüsü sağım/kızgınlık/gebelik kararını etkiler | Doğru kullanım: GG.AA.YYYY | Örnek: hücredeki örnek değere bakın | Risk: Yanlış giriş hatalı karar üretir</t>
      </text>
    </comment>
    <comment ref="G10" authorId="0" shapeId="0">
      <text>
        <t>Tanım: Aktif | Neden önemli: Süt sürüsü sağım/kızgınlık/gebelik kararını etkiler | Doğru kullanım: EVET veya HAYIR | Örnek: hücredeki örnek değere bakın | Risk: Yanlış giriş hatalı karar üretir</t>
      </text>
    </comment>
    <comment ref="A11" authorId="0" shapeId="0">
      <text>
        <t>Tanım: Varlık Kimliği | Neden önemli: Süt sürüsü sağım/kızgınlık/gebelik kararını etkiler | Doğru kullanım: INK-##### formatında | Örnek: hücredeki örnek değere bakın | Risk: Yanlış giriş hatalı karar üretir</t>
      </text>
    </comment>
    <comment ref="B11" authorId="0" shapeId="0">
      <text>
        <t>Tanım: İnek Adı | Neden önemli: Süt sürüsü sağım/kızgınlık/gebelik kararını etkiler | Doğru kullanım: Küpe / isim | Örnek: hücredeki örnek değere bakın | Risk: Yanlış giriş hatalı karar üretir</t>
      </text>
    </comment>
    <comment ref="C11" authorId="0" shapeId="0">
      <text>
        <t>Tanım: Irk | Neden önemli: Süt sürüsü sağım/kızgınlık/gebelik kararını etkiler | Doğru kullanım: Holstein / Simental / Jersey | Örnek: hücredeki örnek değere bakın | Risk: Yanlış giriş hatalı karar üretir</t>
      </text>
    </comment>
    <comment ref="D11" authorId="0" shapeId="0">
      <text>
        <t>Tanım: Laktasyon [adet] | Neden önemli: Süt sürüsü sağım/kızgınlık/gebelik kararını etkiler | Doğru kullanım: Laktasyon sayısı | Örnek: hücredeki örnek değere bakın | Risk: Yanlış giriş hatalı karar üretir</t>
      </text>
    </comment>
    <comment ref="E11" authorId="0" shapeId="0">
      <text>
        <t>Tanım: Hedef Sağım [lt] | Neden önemli: Süt sürüsü sağım/kızgınlık/gebelik kararını etkiler | Doğru kullanım: Günlük hedef lt | Örnek: hücredeki örnek değere bakın | Risk: Yanlış giriş hatalı karar üretir</t>
      </text>
    </comment>
    <comment ref="F11" authorId="0" shapeId="0">
      <text>
        <t>Tanım: Doğum Tarihi | Neden önemli: Süt sürüsü sağım/kızgınlık/gebelik kararını etkiler | Doğru kullanım: GG.AA.YYYY | Örnek: hücredeki örnek değere bakın | Risk: Yanlış giriş hatalı karar üretir</t>
      </text>
    </comment>
    <comment ref="G11" authorId="0" shapeId="0">
      <text>
        <t>Tanım: Aktif | Neden önemli: Süt sürüsü sağım/kızgınlık/gebelik kararını etkiler | Doğru kullanım: EVET veya HAYIR | Örnek: hücredeki örnek değere bakın | Risk: Yanlış giriş hatalı karar üretir</t>
      </text>
    </comment>
    <comment ref="A12" authorId="0" shapeId="0">
      <text>
        <t>Tanım: Varlık Kimliği | Neden önemli: Süt sürüsü sağım/kızgınlık/gebelik kararını etkiler | Doğru kullanım: INK-##### formatında | Örnek: hücredeki örnek değere bakın | Risk: Yanlış giriş hatalı karar üretir</t>
      </text>
    </comment>
    <comment ref="B12" authorId="0" shapeId="0">
      <text>
        <t>Tanım: İnek Adı | Neden önemli: Süt sürüsü sağım/kızgınlık/gebelik kararını etkiler | Doğru kullanım: Küpe / isim | Örnek: hücredeki örnek değere bakın | Risk: Yanlış giriş hatalı karar üretir</t>
      </text>
    </comment>
    <comment ref="C12" authorId="0" shapeId="0">
      <text>
        <t>Tanım: Irk | Neden önemli: Süt sürüsü sağım/kızgınlık/gebelik kararını etkiler | Doğru kullanım: Holstein / Simental / Jersey | Örnek: hücredeki örnek değere bakın | Risk: Yanlış giriş hatalı karar üretir</t>
      </text>
    </comment>
    <comment ref="D12" authorId="0" shapeId="0">
      <text>
        <t>Tanım: Laktasyon [adet] | Neden önemli: Süt sürüsü sağım/kızgınlık/gebelik kararını etkiler | Doğru kullanım: Laktasyon sayısı | Örnek: hücredeki örnek değere bakın | Risk: Yanlış giriş hatalı karar üretir</t>
      </text>
    </comment>
    <comment ref="E12" authorId="0" shapeId="0">
      <text>
        <t>Tanım: Hedef Sağım [lt] | Neden önemli: Süt sürüsü sağım/kızgınlık/gebelik kararını etkiler | Doğru kullanım: Günlük hedef lt | Örnek: hücredeki örnek değere bakın | Risk: Yanlış giriş hatalı karar üretir</t>
      </text>
    </comment>
    <comment ref="F12" authorId="0" shapeId="0">
      <text>
        <t>Tanım: Doğum Tarihi | Neden önemli: Süt sürüsü sağım/kızgınlık/gebelik kararını etkiler | Doğru kullanım: GG.AA.YYYY | Örnek: hücredeki örnek değere bakın | Risk: Yanlış giriş hatalı karar üretir</t>
      </text>
    </comment>
    <comment ref="G12" authorId="0" shapeId="0">
      <text>
        <t>Tanım: Aktif | Neden önemli: Süt sürüsü sağım/kızgınlık/gebelik kararını etkiler | Doğru kullanım: EVET veya HAYIR | Örnek: hücredeki örnek değere bakın | Risk: Yanlış giriş hatalı karar üretir</t>
      </text>
    </comment>
    <comment ref="A13" authorId="0" shapeId="0">
      <text>
        <t>Tanım: Varlık Kimliği | Neden önemli: Süt sürüsü sağım/kızgınlık/gebelik kararını etkiler | Doğru kullanım: INK-##### formatında | Örnek: hücredeki örnek değere bakın | Risk: Yanlış giriş hatalı karar üretir</t>
      </text>
    </comment>
    <comment ref="B13" authorId="0" shapeId="0">
      <text>
        <t>Tanım: İnek Adı | Neden önemli: Süt sürüsü sağım/kızgınlık/gebelik kararını etkiler | Doğru kullanım: Küpe / isim | Örnek: hücredeki örnek değere bakın | Risk: Yanlış giriş hatalı karar üretir</t>
      </text>
    </comment>
    <comment ref="C13" authorId="0" shapeId="0">
      <text>
        <t>Tanım: Irk | Neden önemli: Süt sürüsü sağım/kızgınlık/gebelik kararını etkiler | Doğru kullanım: Holstein / Simental / Jersey | Örnek: hücredeki örnek değere bakın | Risk: Yanlış giriş hatalı karar üretir</t>
      </text>
    </comment>
    <comment ref="D13" authorId="0" shapeId="0">
      <text>
        <t>Tanım: Laktasyon [adet] | Neden önemli: Süt sürüsü sağım/kızgınlık/gebelik kararını etkiler | Doğru kullanım: Laktasyon sayısı | Örnek: hücredeki örnek değere bakın | Risk: Yanlış giriş hatalı karar üretir</t>
      </text>
    </comment>
    <comment ref="E13" authorId="0" shapeId="0">
      <text>
        <t>Tanım: Hedef Sağım [lt] | Neden önemli: Süt sürüsü sağım/kızgınlık/gebelik kararını etkiler | Doğru kullanım: Günlük hedef lt | Örnek: hücredeki örnek değere bakın | Risk: Yanlış giriş hatalı karar üretir</t>
      </text>
    </comment>
    <comment ref="F13" authorId="0" shapeId="0">
      <text>
        <t>Tanım: Doğum Tarihi | Neden önemli: Süt sürüsü sağım/kızgınlık/gebelik kararını etkiler | Doğru kullanım: GG.AA.YYYY | Örnek: hücredeki örnek değere bakın | Risk: Yanlış giriş hatalı karar üretir</t>
      </text>
    </comment>
    <comment ref="G13" authorId="0" shapeId="0">
      <text>
        <t>Tanım: Aktif | Neden önemli: Süt sürüsü sağım/kızgınlık/gebelik kararını etkiler | Doğru kullanım: EVET veya HAYIR | Örnek: hücredeki örnek değere bakın | Risk: Yanlış giriş hatalı karar üretir</t>
      </text>
    </comment>
    <comment ref="A1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3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3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3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3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3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3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3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3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3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3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3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3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3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3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3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3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3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3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3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3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3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3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3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3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3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3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3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3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3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3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3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3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3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3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3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3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3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3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3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3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3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3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3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3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3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3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3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3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3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3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3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3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3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3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3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3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3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3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3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3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3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3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3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3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3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3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3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3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3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3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4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4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4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4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4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4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4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4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4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4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4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4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4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4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4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4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4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4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4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4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4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4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4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4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4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4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4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4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4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4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4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4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4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4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4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4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4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4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4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4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4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4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4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4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4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4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4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4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4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4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4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4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4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4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4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4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4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4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4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4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4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4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4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4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4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4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4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4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4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4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5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5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5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5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5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5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5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5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5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5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5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5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5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5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5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5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5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5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5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5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5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5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5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5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5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5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5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5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5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5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5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5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5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5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5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5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5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5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5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5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5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5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5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5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5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5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5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5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5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5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5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5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5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5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5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5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5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5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5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5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5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5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5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5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5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5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5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5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5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5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6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6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6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6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6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6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6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6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6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6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6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6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6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6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6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6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6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6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6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6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6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6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6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6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6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6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6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6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6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6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6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6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6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6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6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6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6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6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6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6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6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6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6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6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6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6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6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6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6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6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6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6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6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6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6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6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6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6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6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6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6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6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6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6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6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6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6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6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6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6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7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7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7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7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7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7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7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7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7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7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7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7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7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7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7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7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7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7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7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7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7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7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7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7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7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7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7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7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7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7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7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7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7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7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7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7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7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7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7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7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7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7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7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7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7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7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7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7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7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7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7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7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7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7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7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7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7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7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7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7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7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7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7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7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7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7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7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7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7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7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8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8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8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8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8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8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8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8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8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8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8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8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8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8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8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8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8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8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8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8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8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8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8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8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8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8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8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8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8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8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8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8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8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8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8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8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8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8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8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8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8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8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8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8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8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8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8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8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8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8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8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8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8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8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8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8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8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8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8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8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8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8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8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8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8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8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8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8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8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8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9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9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9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9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9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9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9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9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9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9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9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9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9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9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9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9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9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9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9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9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9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9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9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9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9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9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9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9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9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9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9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9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9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9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9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9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9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9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9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9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9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9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9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9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9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9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9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9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9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9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9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9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9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9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9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9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9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9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9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9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9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9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9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9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9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9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9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9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9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9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0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0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0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0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0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0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0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0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0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0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0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0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0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0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0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0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0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0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0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0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0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0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0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0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0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0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0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0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0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0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0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0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0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0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0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0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0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0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0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0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0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0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0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0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0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0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0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0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0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0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0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0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0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0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0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0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0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0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0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0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0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0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0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0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0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0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0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0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0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0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1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1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1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1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1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1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1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1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1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1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1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1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1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1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1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1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1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1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1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1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1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1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1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1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1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1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1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1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1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1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1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1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1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1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1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1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1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1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1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1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1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1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1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1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1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1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1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1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1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1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1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1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1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1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1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1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1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1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1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1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1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1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1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1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1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1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1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1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1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1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2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2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2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2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2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2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2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2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2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2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2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2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2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2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2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2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2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2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2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2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2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2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2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2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2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2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2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2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2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2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2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2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2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2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2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2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2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2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2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2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2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2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2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2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2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2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2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2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2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2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2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2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2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2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2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2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2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2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2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2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2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2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2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2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2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2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2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2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2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2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3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3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3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3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3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3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3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3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3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3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3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3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3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3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3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3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3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3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3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3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3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3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3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3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3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3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3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3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3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3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3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3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3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3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3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3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3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3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3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3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3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3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3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3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3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3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3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3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3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3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3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3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3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3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3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3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3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3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3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3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3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3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3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3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3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3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3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3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3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3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4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4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4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4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4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4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4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4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4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4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4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4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4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4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4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4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5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5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5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5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5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5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5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6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6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6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6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6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6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6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7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7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7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7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7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7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7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8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8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8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8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8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8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8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19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19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19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19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19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19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19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0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0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0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0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0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0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0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1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1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1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1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1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1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1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2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2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2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2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2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2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2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3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3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3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3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3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3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3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6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6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6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6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6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6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7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7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7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7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7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7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8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8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8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8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8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8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4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49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49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49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49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49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49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5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50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50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50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50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50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50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5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51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51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51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51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51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51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5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52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52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52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52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52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52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5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53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53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53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53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53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53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5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54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54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54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54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54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54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  <comment ref="A25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B255" authorId="0" shapeId="0">
      <text>
        <t>Tanım: InekAd | Neden önemli: Süt sürüsü sağım/kızgınlık/gebelik kararını etkiler | Doğru kullanım: Manuel giriş | Örnek: hücredeki örnek değere bakın | Risk: Yanlış giriş hatalı karar üretir</t>
      </text>
    </comment>
    <comment ref="C255" authorId="0" shapeId="0">
      <text>
        <t>Tanım: Irk | Neden önemli: Süt sürüsü sağım/kızgınlık/gebelik kararını etkiler | Doğru kullanım: Manuel giriş | Örnek: hücredeki örnek değere bakın | Risk: Yanlış giriş hatalı karar üretir</t>
      </text>
    </comment>
    <comment ref="D255" authorId="0" shapeId="0">
      <text>
        <t>Tanım: Laktasyon_adet | Neden önemli: Süt sürüsü sağım/kızgınlık/gebelik kararını etkiler | Doğru kullanım: Manuel giriş | Örnek: hücredeki örnek değere bakın | Risk: Yanlış giriş hatalı karar üretir</t>
      </text>
    </comment>
    <comment ref="E255" authorId="0" shapeId="0">
      <text>
        <t>Tanım: HedefSagimLt_lt | Neden önemli: Süt sürüsü sağım/kızgınlık/gebelik kararını etkiler | Doğru kullanım: Manuel giriş | Örnek: hücredeki örnek değere bakın | Risk: Yanlış giriş hatalı karar üretir</t>
      </text>
    </comment>
    <comment ref="F255" authorId="0" shapeId="0">
      <text>
        <t>Tanım: DogumTarihi | Neden önemli: Süt sürüsü sağım/kızgınlık/gebelik kararını etkiler | Doğru kullanım: Manuel giriş | Örnek: hücredeki örnek değere bakın | Risk: Yanlış giriş hatalı karar üretir</t>
      </text>
    </comment>
    <comment ref="G255" authorId="0" shapeId="0">
      <text>
        <t>Tanım: Aktif | Neden önemli: Süt sürüsü sağım/kızgınlık/gebelik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6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6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6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6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6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6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6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7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7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7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7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7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7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7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7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8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8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8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8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8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8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8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8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9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9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9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9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9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9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9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9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10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10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10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10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10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10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10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10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11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11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11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11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11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11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11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11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12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12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12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12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12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12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12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12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13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13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13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13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13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13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13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13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14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14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14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14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14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14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14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14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15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15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15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15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15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15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15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15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16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16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16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16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16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16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16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16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17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17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17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17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17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17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17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17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18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18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18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18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18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18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18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18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19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19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19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19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19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19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19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19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20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20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20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20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20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20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20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20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21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21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21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21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21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21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21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21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22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22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22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22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22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22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22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22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23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23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23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23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23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23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23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23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24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24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24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24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24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24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24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24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25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25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25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25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25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25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25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25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26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26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26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26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26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26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26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26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27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27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27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27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27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27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27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27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28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28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28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28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28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28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28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28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29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29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29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29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29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29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29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29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30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30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30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30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30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30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30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30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31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31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31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31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31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31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31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31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32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32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32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32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32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32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32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32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33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33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33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33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33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33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33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33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34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34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34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34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34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34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34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34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35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35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35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35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35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35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35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35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36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36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36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36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36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36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36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36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37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37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37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37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37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37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37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37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38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38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38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38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38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38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38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38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39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39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39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39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39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39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39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39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40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40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40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40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40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40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40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40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41" authorId="0" shapeId="0">
      <text>
        <t>Tanım: Günlük Kimlik | Neden önemli: Süt sürüsü sağım/kızgınlık/gebelik kararını etkiler | Doğru kullanım: SSY-##### | Örnek: hücredeki örnek değere bakın | Risk: Yanlış giriş hatalı karar üretir</t>
      </text>
    </comment>
    <comment ref="B41" authorId="0" shapeId="0">
      <text>
        <t>Tanım: Varlık Kimliği | Neden önemli: Süt sürüsü sağım/kızgınlık/gebelik kararını etkiler | Doğru kullanım: INK listesinden | Örnek: hücredeki örnek değere bakın | Risk: Yanlış giriş hatalı karar üretir</t>
      </text>
    </comment>
    <comment ref="C41" authorId="0" shapeId="0">
      <text>
        <t>Tanım: Tarih | Neden önemli: Süt sürüsü sağım/kızgınlık/gebelik kararını etkiler | Doğru kullanım: GG.AA.YYYY | Örnek: hücredeki örnek değere bakın | Risk: Yanlış giriş hatalı karar üretir</t>
      </text>
    </comment>
    <comment ref="D41" authorId="0" shapeId="0">
      <text>
        <t>Tanım: Sağım [lt] | Neden önemli: Süt sürüsü sağım/kızgınlık/gebelik kararını etkiler | Doğru kullanım: Günlük toplam sağım lt | Örnek: hücredeki örnek değere bakın | Risk: Yanlış giriş hatalı karar üretir</t>
      </text>
    </comment>
    <comment ref="E41" authorId="0" shapeId="0">
      <text>
        <t>Tanım: Yem [kg] | Neden önemli: Süt sürüsü sağım/kızgınlık/gebelik kararını etkiler | Doğru kullanım: Günlük yem kg | Örnek: hücredeki örnek değere bakın | Risk: Yanlış giriş hatalı karar üretir</t>
      </text>
    </comment>
    <comment ref="F41" authorId="0" shapeId="0">
      <text>
        <t>Tanım: Kızgınlık | Neden önemli: Süt sürüsü sağım/kızgınlık/gebelik kararını etkiler | Doğru kullanım: EVET veya HAYIR | Örnek: hücredeki örnek değere bakın | Risk: Yanlış giriş hatalı karar üretir</t>
      </text>
    </comment>
    <comment ref="G41" authorId="0" shapeId="0">
      <text>
        <t>Tanım: Gebelik [gün] | Neden önemli: Süt sürüsü sağım/kızgınlık/gebelik kararını etkiler | Doğru kullanım: Gebelik gün sayısı | Örnek: hücredeki örnek değere bakın | Risk: Yanlış giriş hatalı karar üretir</t>
      </text>
    </comment>
    <comment ref="H41" authorId="0" shapeId="0">
      <text>
        <t>Tanım: Olay Türü | Neden önemli: Süt sürüsü sağım/kızgınlık/gebelik kararını etkiler | Doğru kullanım: Listeden seçin | Örnek: hücredeki örnek değere bakın | Risk: Yanlış giriş hatalı karar üretir</t>
      </text>
    </comment>
    <comment ref="A4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4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4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4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4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4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4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4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4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4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4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4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4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4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4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4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4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4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4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4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4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4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4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4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4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4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4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4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4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4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4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4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4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4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4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4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4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4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4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4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4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4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4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4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4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4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4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4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4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4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4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4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4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4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4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4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4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4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4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4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4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4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4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4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5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5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5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5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5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5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5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5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5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5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5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5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5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5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5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5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5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5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5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5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5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5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5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5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5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5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5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5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5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5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5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5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5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5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5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5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5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5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5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5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5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5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5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5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5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5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5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5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5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5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5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5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5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5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5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5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5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5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5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5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5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5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5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5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5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5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5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5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5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5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5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5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5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5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5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5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5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5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5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5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6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6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6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6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6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6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6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6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6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6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6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6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6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6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6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6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6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6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6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6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6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6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6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6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6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6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6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6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6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6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6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6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6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6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6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6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6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6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6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6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6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6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6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6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6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6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6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6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6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6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6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6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6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6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6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6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6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6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6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6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6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6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6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6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6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6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6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6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6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6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6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6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6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6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6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6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6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6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6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6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7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7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7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7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7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7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7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7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7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7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7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7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7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7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7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7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7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7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7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7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7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7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7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7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7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7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7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7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7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7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7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7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7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7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7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7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7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7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7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7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7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7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7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7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7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7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7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7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7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7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7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7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7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7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7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7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7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7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7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7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7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7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7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7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7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7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7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7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7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7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7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7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7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7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7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7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7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7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7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7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8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8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8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8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8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8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8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8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8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8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8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8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8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8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8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8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8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8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8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8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8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8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8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8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8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8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8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8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8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8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8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8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8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8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8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8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8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8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8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8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8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8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8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8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8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8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8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8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8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8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8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8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8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8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8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8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8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8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8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8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8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8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8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8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8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8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8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8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8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8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8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8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8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8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8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8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8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8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8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8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9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9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9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9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9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9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9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9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9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9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9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9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9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9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9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9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9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9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9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9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9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9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9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9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9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9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9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9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9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9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9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9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9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9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9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9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9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9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9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9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9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9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9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9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9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9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9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9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9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9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9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9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9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9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9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9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9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9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9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9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9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9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9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9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9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9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9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9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9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9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9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9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9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9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9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9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9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9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9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9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0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0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0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0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0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0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0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0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0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0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0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0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0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0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0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0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0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0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0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0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0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0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0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0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0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0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0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0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0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0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0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0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0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0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0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0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0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0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0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0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0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0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0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0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0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0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0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0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0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0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0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0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0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0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0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0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0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0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0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0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0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0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0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0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0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0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0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0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0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0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0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0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0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0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0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0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0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0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0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0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1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1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1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1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1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1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1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1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1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1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1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1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1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1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1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1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1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1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1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1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1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1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1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1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1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1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1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1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1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1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1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1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1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1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1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1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1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1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1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1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1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1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1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1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1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1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1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1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1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1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1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1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1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1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1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1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1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1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1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1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1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1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1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1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1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1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1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1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1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1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1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1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1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1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1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1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1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1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1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1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2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2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2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2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2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2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2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2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2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2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2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2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2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2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2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2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2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2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2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2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2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2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2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2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2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2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2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2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2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2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2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2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2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2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2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2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2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2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2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2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2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2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2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2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2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2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2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2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2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2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2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2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2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2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2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2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2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2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2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2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2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2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2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2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2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2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2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2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2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2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2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2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2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2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2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2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2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2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2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2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3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3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3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3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3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3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3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3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3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3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3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3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3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3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3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3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3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3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3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3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3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3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3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3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3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3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3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3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3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3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3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3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3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3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3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3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3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3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3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3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3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3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3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3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3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3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3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3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3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3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3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3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3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3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3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3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3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3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3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3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3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3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3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3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3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3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3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3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3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3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3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3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3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3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3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3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3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3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3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3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4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4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4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4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4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4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4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4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4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4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4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4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4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4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4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4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4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4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4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4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4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4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4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4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4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4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4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4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4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4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4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4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4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4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4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4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4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4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4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4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4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4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4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4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4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4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4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4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4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4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4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4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4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4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4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4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4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4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4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4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4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4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4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4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4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4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4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4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4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4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4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4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4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4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4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4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4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4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4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4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5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5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5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5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5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5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5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5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5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5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5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5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5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5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5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5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5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5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5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5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5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5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5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5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5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5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5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5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5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5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5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5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5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5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5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5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5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5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5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5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5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5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5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5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5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5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5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5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5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5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5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5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5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5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5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5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5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5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5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5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5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5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5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5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5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5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5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5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5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5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5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5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5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5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5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5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5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5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5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5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6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6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6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6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6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6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6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6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6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6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6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6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6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6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6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6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6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6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6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6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6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6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6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6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6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6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6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6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6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6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6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6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6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6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6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6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6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6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6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6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6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6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6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6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6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6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6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6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6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6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6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6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6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6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6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6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6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6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6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6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6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6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6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6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6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6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6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6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6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6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6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6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6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6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6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6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6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6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6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6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7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7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7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7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7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7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7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7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7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7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7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7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7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7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7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7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7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7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7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7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7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7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7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7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7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7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7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7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7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7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7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7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7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7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7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7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7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7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7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7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7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7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7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7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7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7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7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7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7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7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7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7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7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7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7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7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7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7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7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7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7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7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7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7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7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7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7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7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7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7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7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7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7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7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7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7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7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7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7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7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8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8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8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8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8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8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8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8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8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8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8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8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8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8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8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8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8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8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8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8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8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8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8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8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8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8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8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8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8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8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8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8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8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8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8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8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8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8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8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8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8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8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8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8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8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8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8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8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8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8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8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8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8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8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8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8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8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8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8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8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8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8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8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8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8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8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8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8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8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8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8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8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8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8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8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8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8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8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8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8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9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9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9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9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9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9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9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9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9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9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9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9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9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9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9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9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9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9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9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9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9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9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9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9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9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9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9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9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9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9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9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9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9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9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9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9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9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9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9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9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9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9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9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9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9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9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9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9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9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9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9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9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9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9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9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9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9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9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9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9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9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9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9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9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9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9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9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9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9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9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9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9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19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19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19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19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19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19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19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19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0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0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0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0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0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0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0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0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0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0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0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0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0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0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0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0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0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0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0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0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0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0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0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0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0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0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0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0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0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0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0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0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0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0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0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0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0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0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0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0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0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0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0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0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0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0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0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0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0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0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0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0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0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0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0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0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0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0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0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0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0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0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0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0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0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0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0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0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0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0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0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0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0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0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0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0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0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0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0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0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1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1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1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1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1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1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1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1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1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1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1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1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1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1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1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1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1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1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1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1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1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1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1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1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1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1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1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1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1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1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1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1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1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1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1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1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1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1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1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1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1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1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1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1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1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1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1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1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1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1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1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1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1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1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1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1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1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1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1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1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1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1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1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1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1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1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1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1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1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1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1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1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1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1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1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1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1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1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1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1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2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2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2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2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2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2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2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2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2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2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2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2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2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2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2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2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2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2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2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2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2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2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2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2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2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2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2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2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2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2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2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2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2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2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2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2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2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2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2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2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2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2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2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2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2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2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2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2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2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2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2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2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2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2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2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2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2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2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2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2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2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2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2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2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2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2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2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2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2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2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2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2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2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2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2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2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2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2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2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2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3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3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3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3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3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3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3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3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3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3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3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3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3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3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3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3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3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3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3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3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3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3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3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3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3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3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3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3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3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3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3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3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3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3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3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3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3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3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3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3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3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3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3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3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3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3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3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3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3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3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3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3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3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3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3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3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3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3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3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3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3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3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3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3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3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3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3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3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3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3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3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3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3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3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3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3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3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3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3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3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4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4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4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4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4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4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4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4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4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4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4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4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4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4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4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4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4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4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4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4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4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4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4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4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4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4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4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4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4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4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4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4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4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4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4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4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4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4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4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4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4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4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4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4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4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4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4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4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46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46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46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46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46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46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46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46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47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47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47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47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47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47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47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47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48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48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48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48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48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48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48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48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49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49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49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49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49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49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49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49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50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50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50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50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50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50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50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50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51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51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51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51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51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51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51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51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52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52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52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52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52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52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52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52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53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53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53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53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53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53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53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53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54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54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54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54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54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54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54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54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  <comment ref="A255" authorId="0" shapeId="0">
      <text>
        <t>Tanım: SatirId | Neden önemli: Süt sürüsü sağım/kızgınlık/gebelik kararını etkiler | Doğru kullanım: Manuel giriş | Örnek: hücredeki örnek değere bakın | Risk: Yanlış giriş hatalı karar üretir</t>
      </text>
    </comment>
    <comment ref="B255" authorId="0" shapeId="0">
      <text>
        <t>Tanım: VarlikId | Neden önemli: Süt sürüsü sağım/kızgınlık/gebelik kararını etkiler | Doğru kullanım: Manuel giriş | Örnek: hücredeki örnek değere bakın | Risk: Yanlış giriş hatalı karar üretir</t>
      </text>
    </comment>
    <comment ref="C255" authorId="0" shapeId="0">
      <text>
        <t>Tanım: Tarih | Neden önemli: Süt sürüsü sağım/kızgınlık/gebelik kararını etkiler | Doğru kullanım: Manuel giriş | Örnek: hücredeki örnek değere bakın | Risk: Yanlış giriş hatalı karar üretir</t>
      </text>
    </comment>
    <comment ref="D255" authorId="0" shapeId="0">
      <text>
        <t>Tanım: SagimLt_lt | Neden önemli: Süt sürüsü sağım/kızgınlık/gebelik kararını etkiler | Doğru kullanım: Manuel giriş | Örnek: hücredeki örnek değere bakın | Risk: Yanlış giriş hatalı karar üretir</t>
      </text>
    </comment>
    <comment ref="E255" authorId="0" shapeId="0">
      <text>
        <t>Tanım: YemKg_kg | Neden önemli: Süt sürüsü sağım/kızgınlık/gebelik kararını etkiler | Doğru kullanım: Manuel giriş | Örnek: hücredeki örnek değere bakın | Risk: Yanlış giriş hatalı karar üretir</t>
      </text>
    </comment>
    <comment ref="F255" authorId="0" shapeId="0">
      <text>
        <t>Tanım: KizginlikDurum | Neden önemli: Süt sürüsü sağım/kızgınlık/gebelik kararını etkiler | Doğru kullanım: Manuel giriş | Örnek: hücredeki örnek değere bakın | Risk: Yanlış giriş hatalı karar üretir</t>
      </text>
    </comment>
    <comment ref="G255" authorId="0" shapeId="0">
      <text>
        <t>Tanım: GebelikGun_gun | Neden önemli: Süt sürüsü sağım/kızgınlık/gebelik kararını etkiler | Doğru kullanım: Manuel giriş | Örnek: hücredeki örnek değere bakın | Risk: Yanlış giriş hatalı karar üretir</t>
      </text>
    </comment>
    <comment ref="H255" authorId="0" shapeId="0">
      <text>
        <t>Tanım: OlayTuru | Neden önemli: Süt sürüsü sağım/kızgınlık/gebelik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Seçim | Neden önemli: Süt sürüsü sağım/kızgınlık/gebelik kararını etkiler | Doğru kullanım: EVET/HAYIR | Örnek: hücredeki örnek değere bakın | Risk: Yanlış giriş hatalı karar üretir</t>
      </text>
    </comment>
    <comment ref="C7" authorId="0" shapeId="0">
      <text>
        <t>Tanım: Olay | Neden önemli: Süt sürüsü sağım/kızgınlık/gebelik kararını etkiler | Doğru kullanım: Olay türü | Örnek: hücredeki örnek değere bakın | Risk: Yanlış giriş hatalı karar üretir</t>
      </text>
    </comment>
    <comment ref="E7" authorId="0" shapeId="0">
      <text>
        <t>Tanım: Irk | Neden önemli: Süt sürüsü sağım/kızgınlık/gebelik kararını etkiler | Doğru kullanım: Irk seçimi | Örnek: hücredeki örnek değere bakın | Risk: Yanlış giriş hatalı karar üretir</t>
      </text>
    </comment>
    <comment ref="A8" authorId="0" shapeId="0">
      <text>
        <t>Tanım: Seçim | Neden önemli: Süt sürüsü sağım/kızgınlık/gebelik kararını etkiler | Doğru kullanım: EVET/HAYIR | Örnek: hücredeki örnek değere bakın | Risk: Yanlış giriş hatalı karar üretir</t>
      </text>
    </comment>
    <comment ref="C8" authorId="0" shapeId="0">
      <text>
        <t>Tanım: Olay | Neden önemli: Süt sürüsü sağım/kızgınlık/gebelik kararını etkiler | Doğru kullanım: Olay türü | Örnek: hücredeki örnek değere bakın | Risk: Yanlış giriş hatalı karar üretir</t>
      </text>
    </comment>
    <comment ref="E8" authorId="0" shapeId="0">
      <text>
        <t>Tanım: Irk | Neden önemli: Süt sürüsü sağım/kızgınlık/gebelik kararını etkiler | Doğru kullanım: Irk seçimi | Örnek: hücredeki örnek değere bakın | Risk: Yanlış giriş hatalı karar üretir</t>
      </text>
    </comment>
    <comment ref="C9" authorId="0" shapeId="0">
      <text>
        <t>Tanım: Olay | Neden önemli: Süt sürüsü sağım/kızgınlık/gebelik kararını etkiler | Doğru kullanım: Olay türü | Örnek: hücredeki örnek değere bakın | Risk: Yanlış giriş hatalı karar üretir</t>
      </text>
    </comment>
    <comment ref="E9" authorId="0" shapeId="0">
      <text>
        <t>Tanım: Irk | Neden önemli: Süt sürüsü sağım/kızgınlık/gebelik kararını etkiler | Doğru kullanım: Irk seçimi | Örnek: hücredeki örnek değere bakın | Risk: Yanlış giriş hatalı karar üretir</t>
      </text>
    </comment>
    <comment ref="C10" authorId="0" shapeId="0">
      <text>
        <t>Tanım: Olay | Neden önemli: Süt sürüsü sağım/kızgınlık/gebelik kararını etkiler | Doğru kullanım: Olay türü | Örnek: hücredeki örnek değere bakın | Risk: Yanlış giriş hatalı karar üretir</t>
      </text>
    </comment>
    <comment ref="C11" authorId="0" shapeId="0">
      <text>
        <t>Tanım: Olay | Neden önemli: Süt sürüsü sağım/kızgınlık/gebelik kararını etkiler | Doğru kullanım: Olay türü | Örnek: hücredeki örnek değere bakın | Risk: Yanlış giriş hatalı karar üretir</t>
      </text>
    </comment>
    <comment ref="C12" authorId="0" shapeId="0">
      <text>
        <t>Tanım: Olay | Neden önemli: Süt sürüsü sağım/kızgınlık/gebelik kararını etkiler | Doğru kullanım: Olay türü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Süt sürüsü sağım/kızgınlık/gebelik kararını etkiler | Doğru kullanım: Rapor tarihi (TODAY yok) | Örnek: hücredeki örnek değere bakın | Risk: Yanlış giriş hatalı karar üretir</t>
      </text>
    </comment>
    <comment ref="B7" authorId="0" shapeId="0">
      <text>
        <t>Tanım: ssy_varsayilanHedefLt | Neden önemli: Süt sürüsü sağım/kızgınlık/gebelik kararını etkiler | Doğru kullanım: Varsayılan günlük hedef sağım lt | Örnek: hücredeki örnek değere bakın | Risk: Yanlış giriş hatalı karar üretir</t>
      </text>
    </comment>
    <comment ref="B8" authorId="0" shapeId="0">
      <text>
        <t>Tanım: ssy_esikSagimLt | Neden önemli: Süt sürüsü sağım/kızgınlık/gebelik kararını etkiler | Doğru kullanım: Günlük sağım alt alarm eşiği | Örnek: hücredeki örnek değere bakın | Risk: Yanlış giriş hatalı karar üretir</t>
      </text>
    </comment>
    <comment ref="B9" authorId="0" shapeId="0">
      <text>
        <t>Tanım: ssy_esikBuzagiGun | Neden önemli: Süt sürüsü sağım/kızgınlık/gebelik kararını etkiler | Doğru kullanım: Gebelik günü buzağı yakın eşiği | Örnek: hücredeki örnek değere bakın | Risk: Yanlış giriş hatalı karar üretir</t>
      </text>
    </comment>
    <comment ref="B10" authorId="0" shapeId="0">
      <text>
        <t>Tanım: ssy_esikSaglik | Neden önemli: Süt sürüsü sağım/kızgınlık/gebelik kararını etkiler | Doğru kullanım: Sağlık skor alt eşiği | Örnek: hücredeki örnek değere bakın | Risk: Yanlış giriş hatalı karar üretir</t>
      </text>
    </comment>
    <comment ref="B11" authorId="0" shapeId="0">
      <text>
        <t>Tanım: ssy_azamiSagimLt | Neden önemli: Süt sürüsü sağım/kızgınlık/gebelik kararını etkiler | Doğru kullanım: Günlük sağım üst (uç değer) eşiği | Örnek: hücredeki örnek değere bakın | Risk: Yanlış giriş hatalı karar üretir</t>
      </text>
    </comment>
    <comment ref="B12" authorId="0" shapeId="0">
      <text>
        <t>Tanım: ssy_aylikCarpan | Neden önemli: Süt sürüsü sağım/kızgınlık/gebelik kararını etkiler | Doğru kullanım: Aylık süt çarpan | Örnek: hücredeki örnek değere bakın | Risk: Yanlış giriş hatalı karar üretir</t>
      </text>
    </comment>
    <comment ref="B13" authorId="0" shapeId="0">
      <text>
        <t>Tanım: ssy_senaryoTemkinli | Neden önemli: Süt sürüsü sağım/kızgınlık/gebelik kararını etkiler | Doğru kullanım: Temkinli çarpan | Örnek: hücredeki örnek değere bakın | Risk: Yanlış giriş hatalı karar üretir</t>
      </text>
    </comment>
    <comment ref="B14" authorId="0" shapeId="0">
      <text>
        <t>Tanım: ssy_senaryoBaz | Neden önemli: Süt sürüsü sağım/kızgınlık/gebelik kararını etkiler | Doğru kullanım: Baz çarpan | Örnek: hücredeki örnek değere bakın | Risk: Yanlış giriş hatalı karar üretir</t>
      </text>
    </comment>
    <comment ref="B15" authorId="0" shapeId="0">
      <text>
        <t>Tanım: ssy_senaryoIyimser | Neden önemli: Süt sürüsü sağım/kızgınlık/gebelik kararını etkiler | Doğru kullanım: İyimser çarpan | Örnek: hücredeki örnek değere bakın | Risk: Yanlış giriş hatalı karar üretir</t>
      </text>
    </comment>
    <comment ref="B16" authorId="0" shapeId="0">
      <text>
        <t>Tanım: ssy_tornadoOran | Neden önemli: Süt sürüsü sağım/kızgınlık/gebelik kararını etkiler | Doğru kullanım: Tornado etki oranı | Örnek: hücredeki örnek değere bakın | Risk: Yanlış giriş hatalı karar üretir</t>
      </text>
    </comment>
    <comment ref="B17" authorId="0" shapeId="0">
      <text>
        <t>Tanım: ssy_yuzdelikOran | Neden önemli: Süt sürüsü sağım/kızgınlık/gebelik kararını etkiler | Doğru kullanım: P90 çarpan proxy | Örnek: hücredeki örnek değere bakın | Risk: Yanlış giriş hatalı karar üretir</t>
      </text>
    </comment>
    <comment ref="B18" authorId="0" shapeId="0">
      <text>
        <t>Tanım: ssy_percentileOran | Neden önemli: Süt sürüsü sağım/kızgınlık/gebelik kararını etkiler | Doğru kullanım: Yüzdelik dilim | Örnek: hücredeki örnek değere bakın | Risk: Yanlış giriş hatalı karar üretir</t>
      </text>
    </comment>
    <comment ref="B19" authorId="0" shapeId="0">
      <text>
        <t>Tanım: ssy_tahminCarpan | Neden önemli: Süt sürüsü sağım/kızgınlık/gebelik kararını etkiler | Doğru kullanım: Tahmin aralık çarpan | Örnek: hücredeki örnek değere bakın | Risk: Yanlış giriş hatalı karar üretir</t>
      </text>
    </comment>
    <comment ref="B20" authorId="0" shapeId="0">
      <text>
        <t>Tanım: ssy_olcekHedef | Neden önemli: Süt sürüsü sağım/kızgınlık/gebelik kararını etkiler | Doğru kullanım: Ölçek sözleşmesi | Örnek: hücredeki örnek değere bakın | Risk: Yanlış giriş hatalı karar üretir</t>
      </text>
    </comment>
    <comment ref="B21" authorId="0" shapeId="0">
      <text>
        <t>Tanım: ssy_kaliteTaban | Neden önemli: Süt sürüsü sağım/kızgınlık/gebelik kararını etkiler | Doğru kullanım: Taban puan | Örnek: hücredeki örnek değere bakın | Risk: Yanlış giriş hatalı karar üretir</t>
      </text>
    </comment>
    <comment ref="B22" authorId="0" shapeId="0">
      <text>
        <t>Tanım: ssy_kaliteCeza | Neden önemli: Süt sürüsü sağım/kızgınlık/gebelik kararını etkiler | Doğru kullanım: Eşik aşım cezası | Örnek: hücredeki örnek değere bakın | Risk: Yanlış giriş hatalı karar üretir</t>
      </text>
    </comment>
    <comment ref="B23" authorId="0" shapeId="0">
      <text>
        <t>Tanım: ssy_kaliteSapma | Neden önemli: Süt sürüsü sağım/kızgınlık/gebelik kararını etkiler | Doğru kullanım: Sapma / alarm cezası | Örnek: hücredeki örnek değere bakın | Risk: Yanlış giriş hatalı karar üretir</t>
      </text>
    </comment>
    <comment ref="B24" authorId="0" shapeId="0">
      <text>
        <t>Tanım: ssy_dosyaSurumu | Neden önemli: Süt sürüsü sağım/kızgınlık/gebelik kararını etkiler | Doğru kullanım: Ürün sürümü | Örnek: hücredeki örnek değere bakın | Risk: Yanlış giriş hatalı karar üretir</t>
      </text>
    </comment>
    <comment ref="B25" authorId="0" shapeId="0">
      <text>
        <t>Tanım: ssy_firmaUnvan | Neden önemli: Süt sürüsü sağım/kızgınlık/gebelik kararını etkiler | Doğru kullanım: Firma unvanı | Örnek: hücredeki örnek değere bakın | Risk: Yanlış giriş hatalı karar üretir</t>
      </text>
    </comment>
    <comment ref="B26" authorId="0" shapeId="0">
      <text>
        <t>Tanım: ssy_alarmEsikMetin | Neden önemli: Süt sürüsü sağım/kızgınlık/gebelik kararını etkiler | Doğru kullanım: Alarm eşiği tanımı | Örnek: hücredeki örnek değere bakın | Risk: Yanlış giriş hatalı karar üretir</t>
      </text>
    </comment>
    <comment ref="B27" authorId="0" shapeId="0">
      <text>
        <t>Tanım: ssy_sutFiyatTlLt | Neden önemli: Süt sürüsü sağım/kızgınlık/gebelik kararını etkiler | Doğru kullanım: Süt birim değeri TL/lt (iç) | Örnek: hücredeki örnek değere bakın | Risk: Yanlış giriş hatalı karar üretir</t>
      </text>
    </comment>
    <comment ref="B28" authorId="0" shapeId="0">
      <text>
        <t>Tanım: ssy_kizginlikDongu | Neden önemli: Süt sürüsü sağım/kızgınlık/gebelik kararını etkiler | Doğru kullanım: Tipik kızgınlık döngü günü | Örnek: hücredeki örnek değere bakın | Risk: Yanlış giriş hatalı karar üretir</t>
      </text>
    </comment>
    <comment ref="B29" authorId="0" shapeId="0">
      <text>
        <t>Tanım: ssy_gebelikSure | Neden önemli: Süt sürüsü sağım/kızgınlık/gebelik kararını etkiler | Doğru kullanım: Tipik gebelik süresi gün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arliklar" displayName="tblVarliklar" ref="A5:K255" headerRowCount="1">
  <tableColumns count="11">
    <tableColumn id="1" name="VarlikId"/>
    <tableColumn id="2" name="InekAd"/>
    <tableColumn id="3" name="Irk"/>
    <tableColumn id="4" name="Laktasyon_adet"/>
    <tableColumn id="5" name="HedefSagimLt_lt"/>
    <tableColumn id="6" name="DogumTarihi"/>
    <tableColumn id="7" name="Aktif"/>
    <tableColumn id="8" name="ToplamSagimLt">
      <calculatedColumnFormula>IF(tblVarliklar[[#This Row],[VarlikId]]="","",SUMIF(tblGunluk[VarlikId],tblVarliklar[[#This Row],[VarlikId]],tblGunluk[SagimLt_lt]))</calculatedColumnFormula>
    </tableColumn>
    <tableColumn id="9" name="OrtSagimLt">
      <calculatedColumnFormula>IF(tblVarliklar[[#This Row],[VarlikId]]="","",IFERROR(AVERAGEIF(tblGunluk[VarlikId],tblVarliklar[[#This Row],[VarlikId]],tblGunluk[SagimLt_lt]),0))</calculatedColumnFormula>
    </tableColumn>
    <tableColumn id="10" name="AlarmAdet">
      <calculatedColumnFormula>IF(tblVarliklar[[#This Row],[VarlikId]]="","",COUNTIFS(tblGunluk[VarlikId],tblVarliklar[[#This Row],[VarlikId]],tblGunluk[AlarmBayrak],"ALARM"))</calculatedColumnFormula>
    </tableColumn>
    <tableColumn id="11" name="SaglikSkor">
      <calculatedColumnFormula>IF(tblVarliklar[[#This Row],[VarlikId]]="","",MAX(0,MIN(100,ssy_kaliteTaban-IF(tblVarliklar[[#This Row],[OrtSagimLt]]&lt;ssy_esikSagimLt,ssy_kaliteCeza,0)-COUNTIFS(tblGunluk[VarlikId],tblVarliklar[[#This Row],[VarlikId]],tblGunluk[AlarmBayrak],"ALARM")*ssy_kaliteSapma-IF(tblVarliklar[[#This Row],[Aktif]]="HAYIR",ssy_kaliteCeza,0))))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Gunluk" displayName="tblGunluk" ref="A5:P255" headerRowCount="1">
  <tableColumns count="16">
    <tableColumn id="1" name="SatirId"/>
    <tableColumn id="2" name="VarlikId"/>
    <tableColumn id="3" name="Tarih"/>
    <tableColumn id="4" name="SagimLt_lt"/>
    <tableColumn id="5" name="YemKg_kg"/>
    <tableColumn id="6" name="KizginlikDurum"/>
    <tableColumn id="7" name="GebelikGun_gun"/>
    <tableColumn id="8" name="OlayTuru"/>
    <tableColumn id="9" name="FormulHedef_lt">
      <calculatedColumnFormula>IF(tblGunluk[[#This Row],[SatirId]]="","",IFERROR(SUMIF(tblVarliklar[VarlikId],tblGunluk[[#This Row],[VarlikId]],tblVarliklar[HedefSagimLt_lt]),ssy_varsayilanHedefLt))</calculatedColumnFormula>
    </tableColumn>
    <tableColumn id="10" name="FormulSapma_lt">
      <calculatedColumnFormula>IF(tblGunluk[[#This Row],[SatirId]]="","",tblGunluk[[#This Row],[SagimLt_lt]]-tblGunluk[[#This Row],[FormulHedef_lt]])</calculatedColumnFormula>
    </tableColumn>
    <tableColumn id="11" name="FormulSapmaOran_oran">
      <calculatedColumnFormula>IF(OR(tblGunluk[[#This Row],[SatirId]]="",tblGunluk[[#This Row],[FormulHedef_lt]]=0),"",tblGunluk[[#This Row],[FormulSapma_lt]]/tblGunluk[[#This Row],[FormulHedef_lt]])</calculatedColumnFormula>
    </tableColumn>
    <tableColumn id="12" name="FormulBuzagiYakin">
      <calculatedColumnFormula>IF(tblGunluk[[#This Row],[SatirId]]="","",IF(tblGunluk[[#This Row],[GebelikGun_gun]]&gt;=ssy_esikBuzagiGun,"YAKIN","NORMAL"))</calculatedColumnFormula>
    </tableColumn>
    <tableColumn id="13" name="SaglikSkor_puan">
      <calculatedColumnFormula>IF(tblGunluk[[#This Row],[SatirId]]="","",MAX(0,MIN(100,ssy_kaliteTaban-IF(tblGunluk[[#This Row],[SagimLt_lt]]&lt;ssy_esikSagimLt,ssy_kaliteCeza,0)-IF(tblGunluk[[#This Row],[FormulBuzagiYakin]]="YAKIN",ssy_kaliteSapma,0)-IF(tblGunluk[[#This Row],[KizginlikDurum]]="EVET",0,0)-IF(tblGunluk[[#This Row],[FormulYetim]]="YETIM",ssy_kaliteCeza,0))))</calculatedColumnFormula>
    </tableColumn>
    <tableColumn id="14" name="AlarmBayrak">
      <calculatedColumnFormula>IF(tblGunluk[[#This Row],[SatirId]]="","",IF(OR(tblGunluk[[#This Row],[SagimLt_lt]]&lt;ssy_esikSagimLt,tblGunluk[[#This Row],[GebelikGun_gun]]&gt;=ssy_esikBuzagiGun,tblGunluk[[#This Row],[SaglikSkor_puan]]&lt;ssy_esikSaglik),"ALARM","UYGUN"))</calculatedColumnFormula>
    </tableColumn>
    <tableColumn id="15" name="FormulKayitDolu">
      <calculatedColumnFormula>IF(tblGunluk[[#This Row],[SatirId]]="","",1)</calculatedColumnFormula>
    </tableColumn>
    <tableColumn id="16" name="FormulYetim">
      <calculatedColumnFormula>IF(tblGunluk[[#This Row],[SatirId]]="","",IF(OR(tblGunluk[[#This Row],[VarlikId]]="",COUNTIF(tblVarliklar[VarlikId],tblGunluk[[#This Row],[VarlikId]])=0),"YETIM","TAMAM"))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66" t="inlineStr">
        <is>
          <t>SUT SURUSU YONETIM — YÖNETİM VE KARAR SİSTEMİ</t>
        </is>
      </c>
      <c r="L2" s="67" t="inlineStr">
        <is>
          <t>Dönem: 2026 / Tam ▼</t>
        </is>
      </c>
      <c r="M2" s="68" t="inlineStr">
        <is>
          <t>★ DOĞRULANMIŞ</t>
        </is>
      </c>
    </row>
    <row r="3">
      <c r="B3" s="69" t="inlineStr">
        <is>
          <t>Yönetici Karar Kokpiti, Otomatik Doğrulama ve Dinamik Hesaplama Sistemi · 2026</t>
        </is>
      </c>
    </row>
    <row r="5">
      <c r="B5" s="70" t="inlineStr">
        <is>
          <t>TOPLAM İŞLEM HACMİ</t>
        </is>
      </c>
      <c r="C5" s="71" t="n"/>
      <c r="D5" s="72" t="inlineStr">
        <is>
          <t>DOĞRULANMIŞ</t>
        </is>
      </c>
      <c r="E5" s="73" t="inlineStr">
        <is>
          <t>RİSKLİ / BEKLEYEN İŞLEM</t>
        </is>
      </c>
      <c r="F5" s="71" t="n"/>
      <c r="G5" s="74" t="inlineStr">
        <is>
          <t>MİNİMUM</t>
        </is>
      </c>
      <c r="H5" s="70" t="inlineStr">
        <is>
          <t>OPERASYONEL NET MARJ</t>
        </is>
      </c>
      <c r="I5" s="71" t="n"/>
      <c r="J5" s="75" t="inlineStr">
        <is>
          <t>GÜVENLİ</t>
        </is>
      </c>
      <c r="K5" s="76" t="inlineStr">
        <is>
          <t>SİSTEM GÜVEN SKORU</t>
        </is>
      </c>
      <c r="L5" s="71" t="n"/>
      <c r="M5" s="72" t="inlineStr">
        <is>
          <t>DENETLENDİ</t>
        </is>
      </c>
    </row>
    <row r="6">
      <c r="B6" s="77" t="n"/>
      <c r="C6" s="71" t="n"/>
      <c r="D6" s="71" t="n"/>
      <c r="E6" s="78" t="n"/>
      <c r="F6" s="71" t="n"/>
      <c r="G6" s="71" t="n"/>
      <c r="H6" s="77" t="n"/>
      <c r="I6" s="71" t="n"/>
      <c r="J6" s="71" t="n"/>
      <c r="K6" s="79" t="n"/>
      <c r="L6" s="71" t="n"/>
      <c r="M6" s="71" t="n"/>
    </row>
    <row r="7">
      <c r="B7" s="80" t="inlineStr">
        <is>
          <t>₺28.450.000</t>
        </is>
      </c>
      <c r="C7" s="71" t="n"/>
      <c r="D7" s="71" t="n"/>
      <c r="E7" s="81" t="inlineStr">
        <is>
          <t>₺940.000</t>
        </is>
      </c>
      <c r="F7" s="71" t="n"/>
      <c r="G7" s="71" t="n"/>
      <c r="H7" s="80" t="inlineStr">
        <is>
          <t>₺8.120.000</t>
        </is>
      </c>
      <c r="I7" s="71" t="n"/>
      <c r="J7" s="71" t="n"/>
      <c r="K7" s="82" t="inlineStr">
        <is>
          <t>98/100</t>
        </is>
      </c>
      <c r="L7" s="71" t="n"/>
      <c r="M7" s="71" t="n"/>
    </row>
    <row r="8">
      <c r="B8" s="77" t="n"/>
      <c r="C8" s="71" t="n"/>
      <c r="D8" s="71" t="n"/>
      <c r="E8" s="78" t="n"/>
      <c r="F8" s="71" t="n"/>
      <c r="G8" s="71" t="n"/>
      <c r="H8" s="77" t="n"/>
      <c r="I8" s="71" t="n"/>
      <c r="J8" s="71" t="n"/>
      <c r="K8" s="79" t="n"/>
      <c r="L8" s="71" t="n"/>
      <c r="M8" s="71" t="n"/>
    </row>
    <row r="9">
      <c r="B9" s="83" t="inlineStr">
        <is>
          <t>↑ Konsolide yıllıklandırılmış büyüme</t>
        </is>
      </c>
      <c r="C9" s="71" t="n"/>
      <c r="D9" s="71" t="n"/>
      <c r="E9" s="84" t="inlineStr">
        <is>
          <t>● Tüm riskli kayıtlar kontrol altında</t>
        </is>
      </c>
      <c r="F9" s="71" t="n"/>
      <c r="G9" s="71" t="n"/>
      <c r="H9" s="83" t="inlineStr">
        <is>
          <t>██████████░░░░░ %28.5 NET MARJ</t>
        </is>
      </c>
      <c r="I9" s="71" t="n"/>
      <c r="J9" s="71" t="n"/>
      <c r="K9" s="85" t="inlineStr">
        <is>
          <t>✓ 0 Formül ve Döngüsel Hata</t>
        </is>
      </c>
      <c r="L9" s="71" t="n"/>
      <c r="M9" s="71" t="n"/>
    </row>
    <row r="11">
      <c r="B11" s="58" t="inlineStr">
        <is>
          <t>12 AYLIK NAKİT GİRİŞ / ÇIKIŞ &amp; LİKİDİTE BAŞARIMI</t>
        </is>
      </c>
      <c r="F11" s="86" t="inlineStr">
        <is>
          <t>+%32 Verim</t>
        </is>
      </c>
      <c r="H11" s="58" t="inlineStr">
        <is>
          <t>KONSOLİDE OPERASYON VE KARAR MATRİSİ</t>
        </is>
      </c>
    </row>
    <row r="12">
      <c r="B12" s="57" t="inlineStr">
        <is>
          <t>Kümülatif Tahsilat vs. Tedarikçi/Kredi Ödeme Projeksiyonu</t>
        </is>
      </c>
      <c r="H12" s="57" t="inlineStr">
        <is>
          <t>Anlık Hesaplama Sonuçları, Dinamik Formül Çıktıları ve Durum Puanlaması</t>
        </is>
      </c>
    </row>
    <row r="14">
      <c r="B14" s="87" t="inlineStr">
        <is>
          <t>Dönem</t>
        </is>
      </c>
      <c r="C14" s="87" t="inlineStr">
        <is>
          <t>Aktif Hacim</t>
        </is>
      </c>
      <c r="D14" s="87" t="inlineStr">
        <is>
          <t>Maliyet/Yük</t>
        </is>
      </c>
      <c r="E14" s="87" t="inlineStr">
        <is>
          <t>Hedef</t>
        </is>
      </c>
      <c r="H14" s="88" t="inlineStr">
        <is>
          <t>PARAMETRE / KALEM</t>
        </is>
      </c>
      <c r="I14" s="88" t="inlineStr">
        <is>
          <t>ANA TUTAR</t>
        </is>
      </c>
      <c r="J14" s="88" t="inlineStr">
        <is>
          <t>FARK / MARJ</t>
        </is>
      </c>
      <c r="K14" s="88" t="inlineStr">
        <is>
          <t>VADE</t>
        </is>
      </c>
      <c r="L14" s="88" t="inlineStr">
        <is>
          <t>KONTROL DURUMU</t>
        </is>
      </c>
    </row>
    <row r="15">
      <c r="B15" s="57" t="inlineStr">
        <is>
          <t>D1</t>
        </is>
      </c>
      <c r="C15" s="57" t="n">
        <v>65</v>
      </c>
      <c r="D15" s="57" t="n">
        <v>45</v>
      </c>
      <c r="E15" s="57" t="n">
        <v>60</v>
      </c>
      <c r="H15" s="89" t="inlineStr">
        <is>
          <t>13 haftalık kümülatif bakiye...</t>
        </is>
      </c>
      <c r="I15" s="89" t="inlineStr">
        <is>
          <t>₺8.450.000</t>
        </is>
      </c>
      <c r="J15" s="90" t="inlineStr">
        <is>
          <t>₺425.000</t>
        </is>
      </c>
      <c r="K15" s="91" t="inlineStr">
        <is>
          <t>12 Ay</t>
        </is>
      </c>
      <c r="L15" s="75" t="inlineStr">
        <is>
          <t>✓ DÜZENLİ</t>
        </is>
      </c>
    </row>
    <row r="16">
      <c r="B16" s="57" t="inlineStr">
        <is>
          <t>D2</t>
        </is>
      </c>
      <c r="C16" s="57" t="n">
        <v>78</v>
      </c>
      <c r="D16" s="57" t="n">
        <v>48</v>
      </c>
      <c r="E16" s="57" t="n">
        <v>70</v>
      </c>
      <c r="H16" s="89" t="inlineStr">
        <is>
          <t>Kritik (eksi) hafta uyarısı</t>
        </is>
      </c>
      <c r="I16" s="89" t="inlineStr">
        <is>
          <t>₺12.200.000</t>
        </is>
      </c>
      <c r="J16" s="90" t="inlineStr">
        <is>
          <t>₺580.400</t>
        </is>
      </c>
      <c r="K16" s="91" t="inlineStr">
        <is>
          <t>24 Ay</t>
        </is>
      </c>
      <c r="L16" s="72" t="inlineStr">
        <is>
          <t>★ AVANTAJ</t>
        </is>
      </c>
    </row>
    <row r="17">
      <c r="B17" s="57" t="inlineStr">
        <is>
          <t>D3</t>
        </is>
      </c>
      <c r="C17" s="57" t="n">
        <v>85</v>
      </c>
      <c r="D17" s="57" t="n">
        <v>55</v>
      </c>
      <c r="E17" s="57" t="n">
        <v>80</v>
      </c>
      <c r="H17" s="89" t="inlineStr">
        <is>
          <t>Dönem net nakit değişimi</t>
        </is>
      </c>
      <c r="I17" s="89" t="inlineStr">
        <is>
          <t>₺4.850.000</t>
        </is>
      </c>
      <c r="J17" s="90" t="inlineStr">
        <is>
          <t>₺235.200</t>
        </is>
      </c>
      <c r="K17" s="91" t="inlineStr">
        <is>
          <t>8 Ay</t>
        </is>
      </c>
      <c r="L17" s="92" t="inlineStr">
        <is>
          <t>● YAKLAŞAN</t>
        </is>
      </c>
    </row>
    <row r="18">
      <c r="B18" s="57" t="inlineStr">
        <is>
          <t>D4</t>
        </is>
      </c>
      <c r="C18" s="57" t="n">
        <v>75</v>
      </c>
      <c r="D18" s="57" t="n">
        <v>42</v>
      </c>
      <c r="E18" s="57" t="n">
        <v>75</v>
      </c>
      <c r="H18" s="89" t="inlineStr">
        <is>
          <t>13 haftalık kümülatif bakiye...</t>
        </is>
      </c>
      <c r="I18" s="89" t="inlineStr">
        <is>
          <t>₺2.140.000</t>
        </is>
      </c>
      <c r="J18" s="90" t="inlineStr">
        <is>
          <t>₺118.000</t>
        </is>
      </c>
      <c r="K18" s="91" t="inlineStr">
        <is>
          <t>16 Ay</t>
        </is>
      </c>
      <c r="L18" s="75" t="inlineStr">
        <is>
          <t>✓ TAM UYUM</t>
        </is>
      </c>
    </row>
    <row r="19">
      <c r="B19" s="57" t="inlineStr">
        <is>
          <t>D5</t>
        </is>
      </c>
      <c r="C19" s="57" t="n">
        <v>90</v>
      </c>
      <c r="D19" s="57" t="n">
        <v>40</v>
      </c>
      <c r="E19" s="57" t="n">
        <v>85</v>
      </c>
      <c r="H19" s="93" t="inlineStr">
        <is>
          <t>KONSOLİDE SİSTEM TOPLAMI</t>
        </is>
      </c>
      <c r="I19" s="94" t="inlineStr">
        <is>
          <t>₺42.850.000</t>
        </is>
      </c>
      <c r="J19" s="95" t="inlineStr">
        <is>
          <t>₺3.420.000</t>
        </is>
      </c>
      <c r="K19" s="96" t="inlineStr"/>
      <c r="L19" s="97" t="inlineStr">
        <is>
          <t>TAM DOĞRULANDI (0 HATA)</t>
        </is>
      </c>
    </row>
    <row r="20">
      <c r="B20" s="57" t="inlineStr">
        <is>
          <t>D6</t>
        </is>
      </c>
      <c r="C20" s="57" t="n">
        <v>96</v>
      </c>
      <c r="D20" s="57" t="n">
        <v>32</v>
      </c>
      <c r="E20" s="57" t="n">
        <v>92</v>
      </c>
    </row>
    <row r="22">
      <c r="B22" s="98" t="inlineStr">
        <is>
          <t>KONSOLİDE PAY VE AĞIRLIK</t>
        </is>
      </c>
      <c r="F22" s="98" t="inlineStr">
        <is>
          <t>LİKİDİTE RİSKİ &amp; ERKEN UYARI SİNYALLERİ</t>
        </is>
      </c>
      <c r="K22" s="99" t="inlineStr">
        <is>
          <t>KARAR MOTORU</t>
        </is>
      </c>
      <c r="L22" s="100" t="n"/>
      <c r="M22" s="100" t="n"/>
    </row>
    <row r="23">
      <c r="B23" s="42" t="inlineStr">
        <is>
          <t>■ Ana Segment (%42)</t>
        </is>
      </c>
      <c r="F23" s="57" t="inlineStr">
        <is>
          <t>Nakit Açığı Riski (30 Gün)</t>
        </is>
      </c>
      <c r="I23" s="101" t="inlineStr">
        <is>
          <t>0.00 TL (Sıfır Risk)</t>
        </is>
      </c>
      <c r="K23" s="102" t="inlineStr">
        <is>
          <t>OPERASYONEL VERİMLİLİK FIRSATI</t>
        </is>
      </c>
      <c r="L23" s="100" t="n"/>
      <c r="M23" s="100" t="n"/>
    </row>
    <row r="24">
      <c r="B24" s="43" t="inlineStr">
        <is>
          <t>■ İkincil Grup (%30)</t>
        </is>
      </c>
      <c r="F24" s="57" t="inlineStr">
        <is>
          <t>Tahsilat Gecikme Toleransı</t>
        </is>
      </c>
      <c r="I24" s="101" t="inlineStr">
        <is>
          <t>48 Gün Güvenli Eşik</t>
        </is>
      </c>
      <c r="K24" s="103" t="inlineStr">
        <is>
          <t>Süreç optimizasyonuyla birim operasyonel maliyeti düşürme potansiyeli mevcuttur.</t>
        </is>
      </c>
    </row>
    <row r="25">
      <c r="B25" s="104" t="inlineStr">
        <is>
          <t>■ Destek Birimi (%15)</t>
        </is>
      </c>
      <c r="F25" s="42" t="inlineStr">
        <is>
          <t>██████████████████████████████████████ Güvenli Bölge (%100)</t>
        </is>
      </c>
    </row>
    <row r="26">
      <c r="B26" s="105" t="inlineStr">
        <is>
          <t>■ Rezervler (%13)</t>
        </is>
      </c>
      <c r="F26" s="106" t="inlineStr">
        <is>
          <t>✓ 90 GÜNLÜK PROJEKSİYONDA NAKİT SIKIŞIKLIĞI TESPİT EDİLMEDİ</t>
        </is>
      </c>
      <c r="K26" s="107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08" t="inlineStr">
        <is>
          <t>🔍  Kayıt veya hesap ara...</t>
        </is>
      </c>
      <c r="G3" s="109" t="inlineStr">
        <is>
          <t>TOPLAM: 1.450 KAYIT</t>
        </is>
      </c>
      <c r="I3" s="110" t="inlineStr">
        <is>
          <t>HATALI HÜCRE: 0 ADET</t>
        </is>
      </c>
    </row>
    <row r="5">
      <c r="B5" s="111" t="inlineStr">
        <is>
          <t>TARİH</t>
        </is>
      </c>
      <c r="C5" s="111" t="inlineStr">
        <is>
          <t>REFERANS NO</t>
        </is>
      </c>
      <c r="D5" s="111" t="inlineStr">
        <is>
          <t>İŞLEM AÇIKLAMASI VE DETAY</t>
        </is>
      </c>
      <c r="E5" s="111" t="inlineStr">
        <is>
          <t>BRÜT TUTAR (₺)</t>
        </is>
      </c>
      <c r="F5" s="111" t="inlineStr">
        <is>
          <t>KDV ORANI</t>
        </is>
      </c>
      <c r="G5" s="111" t="inlineStr">
        <is>
          <t>NET TUTAR (₺)</t>
        </is>
      </c>
      <c r="H5" s="111" t="inlineStr">
        <is>
          <t>HESAP / CARİ</t>
        </is>
      </c>
      <c r="I5" s="111" t="inlineStr">
        <is>
          <t>DURUM</t>
        </is>
      </c>
    </row>
    <row r="6">
      <c r="B6" s="112" t="inlineStr">
        <is>
          <t>12.10.2026</t>
        </is>
      </c>
      <c r="C6" s="113" t="inlineStr">
        <is>
          <t>TR-0428-A</t>
        </is>
      </c>
      <c r="D6" s="114" t="inlineStr">
        <is>
          <t>Haftalık nakit girişi tahmini</t>
        </is>
      </c>
      <c r="E6" s="115" t="n">
        <v>845200</v>
      </c>
      <c r="F6" s="116" t="n">
        <v>0.2</v>
      </c>
      <c r="G6" s="117">
        <f>E6/(1+F6)</f>
        <v/>
      </c>
      <c r="H6" s="114" t="inlineStr">
        <is>
          <t>Vadesiz Ticari</t>
        </is>
      </c>
      <c r="I6" s="118" t="inlineStr">
        <is>
          <t>ONAYLANDI</t>
        </is>
      </c>
    </row>
    <row r="7">
      <c r="B7" s="119" t="inlineStr">
        <is>
          <t>14.10.2026</t>
        </is>
      </c>
      <c r="C7" s="120" t="inlineStr">
        <is>
          <t>TR-0429-B</t>
        </is>
      </c>
      <c r="D7" s="121" t="inlineStr">
        <is>
          <t>Haftalık nakit çıkışı tahmini</t>
        </is>
      </c>
      <c r="E7" s="122" t="n">
        <v>1240000</v>
      </c>
      <c r="F7" s="123" t="n">
        <v>0.2</v>
      </c>
      <c r="G7" s="124">
        <f>E7/(1+F7)</f>
        <v/>
      </c>
      <c r="H7" s="121" t="inlineStr">
        <is>
          <t>Tedarikçi Havuzu</t>
        </is>
      </c>
      <c r="I7" s="125" t="inlineStr">
        <is>
          <t>BEKLEMEDE</t>
        </is>
      </c>
    </row>
    <row r="8">
      <c r="B8" s="112" t="inlineStr">
        <is>
          <t>18.10.2026</t>
        </is>
      </c>
      <c r="C8" s="113" t="inlineStr">
        <is>
          <t>TR-0430-C</t>
        </is>
      </c>
      <c r="D8" s="114" t="inlineStr">
        <is>
          <t>Ödeme takvimi notları</t>
        </is>
      </c>
      <c r="E8" s="115" t="n">
        <v>620500</v>
      </c>
      <c r="F8" s="116" t="n">
        <v>0.1</v>
      </c>
      <c r="G8" s="117">
        <f>E8/(1+F8)</f>
        <v/>
      </c>
      <c r="H8" s="114" t="inlineStr">
        <is>
          <t>Kısa Vade Tahakkuk</t>
        </is>
      </c>
      <c r="I8" s="118" t="inlineStr">
        <is>
          <t>ONAYLANDI</t>
        </is>
      </c>
    </row>
    <row r="9">
      <c r="B9" s="119" t="inlineStr">
        <is>
          <t>21.10.2026</t>
        </is>
      </c>
      <c r="C9" s="120" t="inlineStr">
        <is>
          <t>TR-0431-D</t>
        </is>
      </c>
      <c r="D9" s="121" t="inlineStr">
        <is>
          <t>Haftalık nakit girişi tahmini</t>
        </is>
      </c>
      <c r="E9" s="122" t="n">
        <v>415000</v>
      </c>
      <c r="F9" s="123" t="n">
        <v>0.2</v>
      </c>
      <c r="G9" s="124">
        <f>E9/(1+F9)</f>
        <v/>
      </c>
      <c r="H9" s="121" t="inlineStr">
        <is>
          <t>Müşteri Alacağı</t>
        </is>
      </c>
      <c r="I9" s="126" t="inlineStr">
        <is>
          <t>ONAYLANDI</t>
        </is>
      </c>
    </row>
    <row r="10">
      <c r="B10" s="112" t="inlineStr">
        <is>
          <t>25.10.2026</t>
        </is>
      </c>
      <c r="C10" s="113" t="inlineStr">
        <is>
          <t>TR-0432-E</t>
        </is>
      </c>
      <c r="D10" s="114" t="inlineStr">
        <is>
          <t>Haftalık nakit girişi tahmini</t>
        </is>
      </c>
      <c r="E10" s="115" t="n">
        <v>980400</v>
      </c>
      <c r="F10" s="116" t="n">
        <v>0.2</v>
      </c>
      <c r="G10" s="117">
        <f>E10/(1+F10)</f>
        <v/>
      </c>
      <c r="H10" s="114" t="inlineStr">
        <is>
          <t>Vadesiz Ticari</t>
        </is>
      </c>
      <c r="I10" s="118" t="inlineStr">
        <is>
          <t>ONAYLANDI</t>
        </is>
      </c>
    </row>
    <row r="11">
      <c r="B11" s="119" t="inlineStr">
        <is>
          <t>28.10.2026</t>
        </is>
      </c>
      <c r="C11" s="120" t="inlineStr">
        <is>
          <t>TR-0433-F</t>
        </is>
      </c>
      <c r="D11" s="121" t="inlineStr">
        <is>
          <t>Haftalık nakit çıkışı tahmini</t>
        </is>
      </c>
      <c r="E11" s="122" t="n">
        <v>1850000</v>
      </c>
      <c r="F11" s="123" t="n">
        <v>0.2</v>
      </c>
      <c r="G11" s="124">
        <f>E11/(1+F11)</f>
        <v/>
      </c>
      <c r="H11" s="121" t="inlineStr">
        <is>
          <t>Banka Kredi Taksiti</t>
        </is>
      </c>
      <c r="I11" s="127" t="inlineStr">
        <is>
          <t>BLOKE</t>
        </is>
      </c>
    </row>
    <row r="12">
      <c r="B12" s="112" t="inlineStr">
        <is>
          <t>02.11.2026</t>
        </is>
      </c>
      <c r="C12" s="113" t="inlineStr">
        <is>
          <t>TR-0434-G</t>
        </is>
      </c>
      <c r="D12" s="114" t="inlineStr">
        <is>
          <t>Ödeme takvimi notları</t>
        </is>
      </c>
      <c r="E12" s="115" t="n">
        <v>740000</v>
      </c>
      <c r="F12" s="116" t="n">
        <v>0.2</v>
      </c>
      <c r="G12" s="117">
        <f>E12/(1+F12)</f>
        <v/>
      </c>
      <c r="H12" s="114" t="inlineStr">
        <is>
          <t>Kira &amp; Sabit Gider</t>
        </is>
      </c>
      <c r="I12" s="118" t="inlineStr">
        <is>
          <t>ONAYLANDI</t>
        </is>
      </c>
    </row>
    <row r="13">
      <c r="B13" s="119" t="inlineStr">
        <is>
          <t>05.11.2026</t>
        </is>
      </c>
      <c r="C13" s="120" t="inlineStr">
        <is>
          <t>TR-0435-H</t>
        </is>
      </c>
      <c r="D13" s="121" t="inlineStr">
        <is>
          <t>Haftalık nakit girişi tahmini</t>
        </is>
      </c>
      <c r="E13" s="122" t="n">
        <v>520800</v>
      </c>
      <c r="F13" s="123" t="n">
        <v>0.2</v>
      </c>
      <c r="G13" s="124">
        <f>E13/(1+F13)</f>
        <v/>
      </c>
      <c r="H13" s="121" t="inlineStr">
        <is>
          <t>Vadesiz Ticari</t>
        </is>
      </c>
      <c r="I13" s="126" t="inlineStr">
        <is>
          <t>ONAYLANDI</t>
        </is>
      </c>
    </row>
    <row r="14">
      <c r="B14" s="112" t="inlineStr">
        <is>
          <t>09.11.2026</t>
        </is>
      </c>
      <c r="C14" s="113" t="inlineStr">
        <is>
          <t>TR-0436-I</t>
        </is>
      </c>
      <c r="D14" s="114" t="inlineStr">
        <is>
          <t>Haftalık nakit girişi tahmini</t>
        </is>
      </c>
      <c r="E14" s="115" t="n">
        <v>1120000</v>
      </c>
      <c r="F14" s="116" t="n">
        <v>0.2</v>
      </c>
      <c r="G14" s="117">
        <f>E14/(1+F14)</f>
        <v/>
      </c>
      <c r="H14" s="114" t="inlineStr">
        <is>
          <t>Müşteri Alacağı</t>
        </is>
      </c>
      <c r="I14" s="118" t="inlineStr">
        <is>
          <t>ONAYLANDI</t>
        </is>
      </c>
    </row>
    <row r="15">
      <c r="B15" s="119" t="inlineStr">
        <is>
          <t>12.11.2026</t>
        </is>
      </c>
      <c r="C15" s="120" t="inlineStr">
        <is>
          <t>TR-0437-J</t>
        </is>
      </c>
      <c r="D15" s="121" t="inlineStr">
        <is>
          <t>Haftalık nakit çıkışı tahmini</t>
        </is>
      </c>
      <c r="E15" s="122" t="n">
        <v>890000</v>
      </c>
      <c r="F15" s="123" t="n">
        <v>0.2</v>
      </c>
      <c r="G15" s="124">
        <f>E15/(1+F15)</f>
        <v/>
      </c>
      <c r="H15" s="121" t="inlineStr">
        <is>
          <t>Tedarikçi Havuzu</t>
        </is>
      </c>
      <c r="I15" s="126" t="inlineStr">
        <is>
          <t>ONAYLANDI</t>
        </is>
      </c>
    </row>
    <row r="17">
      <c r="B17" s="128" t="inlineStr">
        <is>
          <t>SAYFA TOPLAMI (10 / 1.450 KAYIT)</t>
        </is>
      </c>
      <c r="C17" s="96" t="n"/>
      <c r="D17" s="96" t="n"/>
      <c r="E17" s="129">
        <f>TOPLA(E6:E15)</f>
        <v/>
      </c>
      <c r="F17" s="96" t="n"/>
      <c r="G17" s="96" t="n"/>
      <c r="H17" s="96" t="n"/>
      <c r="I17" s="96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30" t="inlineStr">
        <is>
          <t>SUT SURUSU YONETIM — YÖNETİM VE KARAR SİSTEMİ — NİHAİ KARAR VE DEĞERLEME</t>
        </is>
      </c>
    </row>
    <row r="3">
      <c r="B3" s="131" t="inlineStr">
        <is>
          <t>Yönetim Kurulu ve İcra Komitesi için Otomatik Türetilen Finansal Stres Testi Raporu</t>
        </is>
      </c>
    </row>
    <row r="4">
      <c r="B4" s="132" t="inlineStr">
        <is>
          <t>DÖNEM: 2026 Q3 · DENETİM PROTOKOLÜ: ISO/VUK/IFRS UYUMLU · DURUM: ONAYLANDI</t>
        </is>
      </c>
    </row>
    <row r="6">
      <c r="B6" s="133" t="inlineStr">
        <is>
          <t>SENARYO A: KÖTÜMSER (STRES TESTİ -%20)</t>
        </is>
      </c>
      <c r="C6" s="71" t="n"/>
      <c r="D6" s="71" t="n"/>
      <c r="E6" s="71" t="n"/>
      <c r="F6" s="71" t="n"/>
      <c r="H6" s="134" t="inlineStr">
        <is>
          <t>SENARYO B: BAZ MODEL (HEDEFLENEN)</t>
        </is>
      </c>
      <c r="I6" s="71" t="n"/>
      <c r="J6" s="71" t="n"/>
      <c r="K6" s="71" t="n"/>
      <c r="L6" s="71" t="n"/>
    </row>
    <row r="7">
      <c r="B7" s="71" t="n"/>
      <c r="C7" s="71" t="n"/>
      <c r="D7" s="71" t="n"/>
      <c r="E7" s="71" t="n"/>
      <c r="F7" s="71" t="n"/>
      <c r="H7" s="71" t="n"/>
      <c r="I7" s="71" t="n"/>
      <c r="J7" s="71" t="n"/>
      <c r="K7" s="71" t="n"/>
      <c r="L7" s="71" t="n"/>
    </row>
    <row r="8">
      <c r="B8" s="135" t="inlineStr">
        <is>
          <t>Ciro / Hacim Düşüşü:</t>
        </is>
      </c>
      <c r="C8" s="71" t="n"/>
      <c r="D8" s="71" t="n"/>
      <c r="E8" s="136" t="inlineStr">
        <is>
          <t>-%20.0 (Kriz Eşiği)</t>
        </is>
      </c>
      <c r="F8" s="71" t="n"/>
      <c r="H8" s="135" t="inlineStr">
        <is>
          <t>Ciro / Hacim Gerçekleşmesi:</t>
        </is>
      </c>
      <c r="I8" s="71" t="n"/>
      <c r="J8" s="71" t="n"/>
      <c r="K8" s="137" t="inlineStr">
        <is>
          <t>%100.0 (Tam Bütçe)</t>
        </is>
      </c>
      <c r="L8" s="71" t="n"/>
    </row>
    <row r="9">
      <c r="B9" s="135" t="inlineStr">
        <is>
          <t>Beklenen Net Kâr / Getiri:</t>
        </is>
      </c>
      <c r="C9" s="71" t="n"/>
      <c r="D9" s="71" t="n"/>
      <c r="E9" s="138" t="inlineStr">
        <is>
          <t>₺4.280.000</t>
        </is>
      </c>
      <c r="F9" s="71" t="n"/>
      <c r="H9" s="135" t="inlineStr">
        <is>
          <t>Beklenen Net Kâr / Getiri:</t>
        </is>
      </c>
      <c r="I9" s="71" t="n"/>
      <c r="J9" s="71" t="n"/>
      <c r="K9" s="138" t="inlineStr">
        <is>
          <t>₺12.450.000</t>
        </is>
      </c>
      <c r="L9" s="71" t="n"/>
    </row>
    <row r="10">
      <c r="B10" s="135" t="inlineStr">
        <is>
          <t>Minimum Nakit Tamponu:</t>
        </is>
      </c>
      <c r="C10" s="71" t="n"/>
      <c r="D10" s="71" t="n"/>
      <c r="E10" s="139" t="inlineStr">
        <is>
          <t>₺1.850.000 (Yeterli)</t>
        </is>
      </c>
      <c r="F10" s="71" t="n"/>
      <c r="H10" s="135" t="inlineStr">
        <is>
          <t>Serbest Nakit Akımı:</t>
        </is>
      </c>
      <c r="I10" s="71" t="n"/>
      <c r="J10" s="71" t="n"/>
      <c r="K10" s="139" t="inlineStr">
        <is>
          <t>₺8.240.000</t>
        </is>
      </c>
      <c r="L10" s="71" t="n"/>
    </row>
    <row r="11">
      <c r="B11" s="135" t="inlineStr">
        <is>
          <t>Likidite Karşılama Oranı:</t>
        </is>
      </c>
      <c r="C11" s="71" t="n"/>
      <c r="D11" s="71" t="n"/>
      <c r="E11" s="139" t="inlineStr">
        <is>
          <t>1.28x (Eşik: 1.10x)</t>
        </is>
      </c>
      <c r="F11" s="71" t="n"/>
      <c r="H11" s="135" t="inlineStr">
        <is>
          <t>Yatırım Geri Dönüşü (ROI):</t>
        </is>
      </c>
      <c r="I11" s="71" t="n"/>
      <c r="J11" s="71" t="n"/>
      <c r="K11" s="139" t="inlineStr">
        <is>
          <t>%38.4 Yıllık</t>
        </is>
      </c>
      <c r="L11" s="71" t="n"/>
    </row>
    <row r="12">
      <c r="B12" s="71" t="n"/>
      <c r="C12" s="71" t="n"/>
      <c r="D12" s="71" t="n"/>
      <c r="E12" s="71" t="n"/>
      <c r="F12" s="71" t="n"/>
      <c r="H12" s="71" t="n"/>
      <c r="I12" s="71" t="n"/>
      <c r="J12" s="71" t="n"/>
      <c r="K12" s="71" t="n"/>
      <c r="L12" s="71" t="n"/>
    </row>
    <row r="13">
      <c r="B13" s="71" t="n"/>
      <c r="C13" s="71" t="n"/>
      <c r="D13" s="71" t="n"/>
      <c r="E13" s="71" t="n"/>
      <c r="F13" s="71" t="n"/>
      <c r="H13" s="71" t="n"/>
      <c r="I13" s="71" t="n"/>
      <c r="J13" s="71" t="n"/>
      <c r="K13" s="71" t="n"/>
      <c r="L13" s="71" t="n"/>
    </row>
    <row r="14">
      <c r="B14" s="140" t="inlineStr">
        <is>
          <t>STRES SENARYOSUNDA DAHİ İFLAS RİSKİ YOK</t>
        </is>
      </c>
      <c r="C14" s="71" t="n"/>
      <c r="D14" s="71" t="n"/>
      <c r="E14" s="71" t="n"/>
      <c r="F14" s="71" t="n"/>
      <c r="H14" s="141" t="inlineStr">
        <is>
          <t>OPTİMUM İCRA VE PLANLAMA REÇETESİ</t>
        </is>
      </c>
      <c r="I14" s="71" t="n"/>
      <c r="J14" s="71" t="n"/>
      <c r="K14" s="71" t="n"/>
      <c r="L14" s="71" t="n"/>
    </row>
    <row r="15">
      <c r="B15" s="71" t="n"/>
      <c r="C15" s="71" t="n"/>
      <c r="D15" s="71" t="n"/>
      <c r="E15" s="71" t="n"/>
      <c r="F15" s="71" t="n"/>
      <c r="H15" s="71" t="n"/>
      <c r="I15" s="71" t="n"/>
      <c r="J15" s="71" t="n"/>
      <c r="K15" s="71" t="n"/>
      <c r="L15" s="71" t="n"/>
    </row>
    <row r="17">
      <c r="B17" s="45" t="inlineStr">
        <is>
          <t>YÖNETİM KARAR MATRİSİ VE UYGULAMA REÇETESİ</t>
        </is>
      </c>
    </row>
    <row r="19">
      <c r="B19" s="98" t="inlineStr">
        <is>
          <t>●  Öncelik 1: Acil Likidite ve Borç Servis Planlaması</t>
        </is>
      </c>
    </row>
    <row r="20">
      <c r="B20" s="142" t="inlineStr">
        <is>
          <t xml:space="preserve">   Sistemde hesaplanan vade günlerine sadık kalınarak nakit blokajı 3 gün önceden hazır edilmelidir.</t>
        </is>
      </c>
    </row>
    <row r="21">
      <c r="B21" s="98" t="inlineStr">
        <is>
          <t>●  Öncelik 2: Formül Doğrulama ve Çapraz Sağlama</t>
        </is>
      </c>
    </row>
    <row r="22">
      <c r="B22" s="142" t="inlineStr">
        <is>
          <t xml:space="preserve">   Tüm hücreler kilitli formül korumasında olup girdi sayfalarında sıfır döngüsel başvuru (circular ref) garantilidir.</t>
        </is>
      </c>
    </row>
    <row r="23">
      <c r="B23" s="98" t="inlineStr">
        <is>
          <t>●  Öncelik 3: Resmi Mevzuat ve Vergi Kalkanı Entegrasyonu</t>
        </is>
      </c>
    </row>
    <row r="24">
      <c r="B24" s="142" t="inlineStr">
        <is>
          <t xml:space="preserve">   2026 güncel vergi dilimleri, amortisman ve SGK teşvik parametreleri tam otomatik yansıtılmaktadır.</t>
        </is>
      </c>
    </row>
    <row r="25">
      <c r="B25" s="98" t="inlineStr">
        <is>
          <t>●  Öncelik 4: Yönetici İmzası ve Rapor Paylaşımı</t>
        </is>
      </c>
    </row>
    <row r="26">
      <c r="B26" s="142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4332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Süt Sürüsü Yönetim Komutası</t>
        </is>
      </c>
    </row>
    <row r="3" ht="30" customHeight="1">
      <c r="A3" s="3" t="inlineStr">
        <is>
          <t>Süt Sürüsü Yönetim Komutası</t>
        </is>
      </c>
    </row>
    <row r="4">
      <c r="A4" s="4" t="inlineStr">
        <is>
          <t>Süt sürüsünde günlük sağım, yem, kızgınlık ve gebelik verisinden verim sapması ve varlık sağlık skoru üretir; buzağılama yakınlığı alarmı verir; UYGUN / DİKKAT / KRİTİK / VERİ YOK kararı verir.</t>
        </is>
      </c>
    </row>
    <row r="6">
      <c r="A6" s="5" t="inlineStr">
        <is>
          <t>Bu ürün ne sağlar?</t>
        </is>
      </c>
    </row>
    <row r="7">
      <c r="A7" s="6" t="inlineStr">
        <is>
          <t>• Günlük sağım lt vs hedef — sapma ve alarm eşiği</t>
        </is>
      </c>
    </row>
    <row r="8">
      <c r="A8" s="6" t="inlineStr">
        <is>
          <t>• Kızgınlık / tohum / gebelik / buzağılama olay takvimi</t>
        </is>
      </c>
    </row>
    <row r="9">
      <c r="A9" s="6" t="inlineStr">
        <is>
          <t>• Varlık sağlık skoru formülle veriden türer (sabit skor yok)</t>
        </is>
      </c>
    </row>
    <row r="10">
      <c r="A10" s="6" t="inlineStr">
        <is>
          <t>• 12 aylık sezonsal süt zinciri ve alarm eşiği kuyruğu</t>
        </is>
      </c>
    </row>
    <row r="11">
      <c r="A11" s="6" t="inlineStr">
        <is>
          <t>• Makrosuz, çevrimdışı; sürü yazılımı API bağı yok</t>
        </is>
      </c>
    </row>
    <row r="13">
      <c r="A13" s="5" t="inlineStr">
        <is>
          <t>Kimler için?</t>
        </is>
      </c>
    </row>
    <row r="14">
      <c r="A14" s="7" t="inlineStr">
        <is>
          <t>• Saha / sağım personeli — günlük sağım-yem-kızgınlık satırı</t>
        </is>
      </c>
    </row>
    <row r="15">
      <c r="A15" s="7" t="inlineStr">
        <is>
          <t>• Sürü yöneticisi — verim panosu ve karar</t>
        </is>
      </c>
    </row>
    <row r="16">
      <c r="A16" s="7" t="inlineStr">
        <is>
          <t>• Çiftlik sahibi / banka / kooperatif — dönemsel RAPOR kanıt çıktısı</t>
        </is>
      </c>
    </row>
    <row r="18">
      <c r="A18" s="5" t="inlineStr">
        <is>
          <t>Nasıl başlanır?</t>
        </is>
      </c>
    </row>
    <row r="19">
      <c r="A19" s="8" t="inlineStr">
        <is>
          <t>1) VARLIKLAR'a inek kartı girin. 2) GUNLUK_GIRIS'e günlük satır yazın. 3) DONEM_ANALIZ ve PANO'dan kararı görün. 4) RAPOR'dan çıktı alın.</t>
        </is>
      </c>
    </row>
    <row r="21">
      <c r="A21" s="9" t="inlineStr">
        <is>
          <t>Sürüm 1.0.0 | Kod: SSY-PRO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dataValidations count="1">
    <dataValidation sqref="A21" showDropDown="0" showInputMessage="1" showErrorMessage="1" allowBlank="1" errorTitle="Not" error="Geçersiz" promptTitle="Sürüm notu" prompt="Sürüm satırı salt okunur referans" type="textLength" errorStyle="stop" operator="greaterThanOrEqual">
      <formula1>0</formula1>
      <formula2>120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332"/>
    <outlinePr summaryBelow="1" summaryRight="1"/>
    <pageSetUpPr/>
  </sheetPr>
  <dimension ref="A1:R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VARLIKLAR — Süt Sürüsü Yönetim Komutası</t>
        </is>
      </c>
    </row>
    <row r="3" ht="20" customHeight="1">
      <c r="A3" s="10" t="inlineStr">
        <is>
          <t>İnek kartları — her varlığın tek küpe/kimliği vardır</t>
        </is>
      </c>
    </row>
    <row r="4">
      <c r="A4" s="12" t="inlineStr">
        <is>
          <t>Sonraki Kimlik</t>
        </is>
      </c>
      <c r="B4" s="13">
        <f>ssy_sonrakiKimlik</f>
        <v/>
      </c>
    </row>
    <row r="5" ht="30" customHeight="1">
      <c r="A5" s="14" t="inlineStr">
        <is>
          <t>VarlikId</t>
        </is>
      </c>
      <c r="B5" s="14" t="inlineStr">
        <is>
          <t>InekAd</t>
        </is>
      </c>
      <c r="C5" s="14" t="inlineStr">
        <is>
          <t>Irk</t>
        </is>
      </c>
      <c r="D5" s="14" t="inlineStr">
        <is>
          <t>Laktasyon_adet</t>
        </is>
      </c>
      <c r="E5" s="14" t="inlineStr">
        <is>
          <t>HedefSagimLt_lt</t>
        </is>
      </c>
      <c r="F5" s="14" t="inlineStr">
        <is>
          <t>DogumTarihi</t>
        </is>
      </c>
      <c r="G5" s="14" t="inlineStr">
        <is>
          <t>Aktif</t>
        </is>
      </c>
      <c r="H5" s="14" t="inlineStr">
        <is>
          <t>ToplamSagimLt</t>
        </is>
      </c>
      <c r="I5" s="14" t="inlineStr">
        <is>
          <t>OrtSagimLt</t>
        </is>
      </c>
      <c r="J5" s="14" t="inlineStr">
        <is>
          <t>AlarmAdet</t>
        </is>
      </c>
      <c r="K5" s="14" t="inlineStr">
        <is>
          <t>SaglikSkor</t>
        </is>
      </c>
    </row>
    <row r="6">
      <c r="A6" s="15" t="inlineStr">
        <is>
          <t>INK-00001</t>
        </is>
      </c>
      <c r="B6" s="15" t="inlineStr">
        <is>
          <t>Sarıkız</t>
        </is>
      </c>
      <c r="C6" s="15" t="inlineStr">
        <is>
          <t>Holstein</t>
        </is>
      </c>
      <c r="D6" s="16" t="n">
        <v>3</v>
      </c>
      <c r="E6" s="17" t="n">
        <v>28</v>
      </c>
      <c r="F6" s="60" t="n">
        <v>44997</v>
      </c>
      <c r="G6" s="15" t="inlineStr">
        <is>
          <t>EVET</t>
        </is>
      </c>
      <c r="H6" s="19">
        <f>IF($A6="","",SUMIF(tblGunluk[VarlikId],$A6,tblGunluk[SagimLt_lt]))</f>
        <v/>
      </c>
      <c r="I6" s="19">
        <f>IF($A6="","",IFERROR(AVERAGEIF(tblGunluk[VarlikId],$A6,tblGunluk[SagimLt_lt]),0))</f>
        <v/>
      </c>
      <c r="J6" s="19">
        <f>IF($A6="","",COUNTIFS(tblGunluk[VarlikId],$A6,tblGunluk[AlarmBayrak],"ALARM"))</f>
        <v/>
      </c>
      <c r="K6" s="19">
        <f>IF($A6="","",MAX(0,MIN(100,ssy_kaliteTaban-IF($I6&lt;ssy_esikSagimLt,ssy_kaliteCeza,0)-COUNTIFS(tblGunluk[VarlikId],$A6,tblGunluk[AlarmBayrak],"ALARM")*ssy_kaliteSapma-IF($G6="HAYIR",ssy_kaliteCeza,0))))</f>
        <v/>
      </c>
    </row>
    <row r="7">
      <c r="A7" s="15" t="inlineStr">
        <is>
          <t>INK-00002</t>
        </is>
      </c>
      <c r="B7" s="15" t="inlineStr">
        <is>
          <t>Boncuk</t>
        </is>
      </c>
      <c r="C7" s="15" t="inlineStr">
        <is>
          <t>Simental</t>
        </is>
      </c>
      <c r="D7" s="16" t="n">
        <v>2</v>
      </c>
      <c r="E7" s="17" t="n">
        <v>24</v>
      </c>
      <c r="F7" s="60" t="n">
        <v>45085</v>
      </c>
      <c r="G7" s="15" t="inlineStr">
        <is>
          <t>EVET</t>
        </is>
      </c>
      <c r="H7" s="19">
        <f>IF($A7="","",SUMIF(tblGunluk[VarlikId],$A7,tblGunluk[SagimLt_lt]))</f>
        <v/>
      </c>
      <c r="I7" s="19">
        <f>IF($A7="","",IFERROR(AVERAGEIF(tblGunluk[VarlikId],$A7,tblGunluk[SagimLt_lt]),0))</f>
        <v/>
      </c>
      <c r="J7" s="19">
        <f>IF($A7="","",COUNTIFS(tblGunluk[VarlikId],$A7,tblGunluk[AlarmBayrak],"ALARM"))</f>
        <v/>
      </c>
      <c r="K7" s="19">
        <f>IF($A7="","",MAX(0,MIN(100,ssy_kaliteTaban-IF($I7&lt;ssy_esikSagimLt,ssy_kaliteCeza,0)-COUNTIFS(tblGunluk[VarlikId],$A7,tblGunluk[AlarmBayrak],"ALARM")*ssy_kaliteSapma-IF($G7="HAYIR",ssy_kaliteCeza,0))))</f>
        <v/>
      </c>
    </row>
    <row r="8">
      <c r="A8" s="15" t="inlineStr">
        <is>
          <t>INK-00003</t>
        </is>
      </c>
      <c r="B8" s="15" t="inlineStr">
        <is>
          <t>Duman</t>
        </is>
      </c>
      <c r="C8" s="15" t="inlineStr">
        <is>
          <t>Holstein</t>
        </is>
      </c>
      <c r="D8" s="16" t="n">
        <v>4</v>
      </c>
      <c r="E8" s="17" t="n">
        <v>30</v>
      </c>
      <c r="F8" s="60" t="n">
        <v>44885</v>
      </c>
      <c r="G8" s="15" t="inlineStr">
        <is>
          <t>EVET</t>
        </is>
      </c>
      <c r="H8" s="19">
        <f>IF($A8="","",SUMIF(tblGunluk[VarlikId],$A8,tblGunluk[SagimLt_lt]))</f>
        <v/>
      </c>
      <c r="I8" s="19">
        <f>IF($A8="","",IFERROR(AVERAGEIF(tblGunluk[VarlikId],$A8,tblGunluk[SagimLt_lt]),0))</f>
        <v/>
      </c>
      <c r="J8" s="19">
        <f>IF($A8="","",COUNTIFS(tblGunluk[VarlikId],$A8,tblGunluk[AlarmBayrak],"ALARM"))</f>
        <v/>
      </c>
      <c r="K8" s="19">
        <f>IF($A8="","",MAX(0,MIN(100,ssy_kaliteTaban-IF($I8&lt;ssy_esikSagimLt,ssy_kaliteCeza,0)-COUNTIFS(tblGunluk[VarlikId],$A8,tblGunluk[AlarmBayrak],"ALARM")*ssy_kaliteSapma-IF($G8="HAYIR",ssy_kaliteCeza,0))))</f>
        <v/>
      </c>
    </row>
    <row r="9">
      <c r="A9" s="15" t="inlineStr">
        <is>
          <t>INK-00004</t>
        </is>
      </c>
      <c r="B9" s="15" t="inlineStr">
        <is>
          <t>Pamuk</t>
        </is>
      </c>
      <c r="C9" s="15" t="inlineStr">
        <is>
          <t>Jersey</t>
        </is>
      </c>
      <c r="D9" s="16" t="n">
        <v>1</v>
      </c>
      <c r="E9" s="17" t="n">
        <v>18</v>
      </c>
      <c r="F9" s="60" t="n">
        <v>45336</v>
      </c>
      <c r="G9" s="15" t="inlineStr">
        <is>
          <t>EVET</t>
        </is>
      </c>
      <c r="H9" s="19">
        <f>IF($A9="","",SUMIF(tblGunluk[VarlikId],$A9,tblGunluk[SagimLt_lt]))</f>
        <v/>
      </c>
      <c r="I9" s="19">
        <f>IF($A9="","",IFERROR(AVERAGEIF(tblGunluk[VarlikId],$A9,tblGunluk[SagimLt_lt]),0))</f>
        <v/>
      </c>
      <c r="J9" s="19">
        <f>IF($A9="","",COUNTIFS(tblGunluk[VarlikId],$A9,tblGunluk[AlarmBayrak],"ALARM"))</f>
        <v/>
      </c>
      <c r="K9" s="19">
        <f>IF($A9="","",MAX(0,MIN(100,ssy_kaliteTaban-IF($I9&lt;ssy_esikSagimLt,ssy_kaliteCeza,0)-COUNTIFS(tblGunluk[VarlikId],$A9,tblGunluk[AlarmBayrak],"ALARM")*ssy_kaliteSapma-IF($G9="HAYIR",ssy_kaliteCeza,0))))</f>
        <v/>
      </c>
    </row>
    <row r="10">
      <c r="A10" s="15" t="inlineStr">
        <is>
          <t>INK-00005</t>
        </is>
      </c>
      <c r="B10" s="15" t="inlineStr">
        <is>
          <t>Yıldız</t>
        </is>
      </c>
      <c r="C10" s="15" t="inlineStr">
        <is>
          <t>Holstein</t>
        </is>
      </c>
      <c r="D10" s="16" t="n">
        <v>2</v>
      </c>
      <c r="E10" s="17" t="n">
        <v>26</v>
      </c>
      <c r="F10" s="60" t="n">
        <v>45170</v>
      </c>
      <c r="G10" s="15" t="inlineStr">
        <is>
          <t>EVET</t>
        </is>
      </c>
      <c r="H10" s="19">
        <f>IF($A10="","",SUMIF(tblGunluk[VarlikId],$A10,tblGunluk[SagimLt_lt]))</f>
        <v/>
      </c>
      <c r="I10" s="19">
        <f>IF($A10="","",IFERROR(AVERAGEIF(tblGunluk[VarlikId],$A10,tblGunluk[SagimLt_lt]),0))</f>
        <v/>
      </c>
      <c r="J10" s="19">
        <f>IF($A10="","",COUNTIFS(tblGunluk[VarlikId],$A10,tblGunluk[AlarmBayrak],"ALARM"))</f>
        <v/>
      </c>
      <c r="K10" s="19">
        <f>IF($A10="","",MAX(0,MIN(100,ssy_kaliteTaban-IF($I10&lt;ssy_esikSagimLt,ssy_kaliteCeza,0)-COUNTIFS(tblGunluk[VarlikId],$A10,tblGunluk[AlarmBayrak],"ALARM")*ssy_kaliteSapma-IF($G10="HAYIR",ssy_kaliteCeza,0))))</f>
        <v/>
      </c>
    </row>
    <row r="11">
      <c r="A11" s="15" t="inlineStr">
        <is>
          <t>INK-00006</t>
        </is>
      </c>
      <c r="B11" s="15" t="inlineStr">
        <is>
          <t>Melek</t>
        </is>
      </c>
      <c r="C11" s="15" t="inlineStr">
        <is>
          <t>Simental</t>
        </is>
      </c>
      <c r="D11" s="16" t="n">
        <v>3</v>
      </c>
      <c r="E11" s="17" t="n">
        <v>25</v>
      </c>
      <c r="F11" s="60" t="n">
        <v>44792</v>
      </c>
      <c r="G11" s="15" t="inlineStr">
        <is>
          <t>EVET</t>
        </is>
      </c>
      <c r="H11" s="19">
        <f>IF($A11="","",SUMIF(tblGunluk[VarlikId],$A11,tblGunluk[SagimLt_lt]))</f>
        <v/>
      </c>
      <c r="I11" s="19">
        <f>IF($A11="","",IFERROR(AVERAGEIF(tblGunluk[VarlikId],$A11,tblGunluk[SagimLt_lt]),0))</f>
        <v/>
      </c>
      <c r="J11" s="19">
        <f>IF($A11="","",COUNTIFS(tblGunluk[VarlikId],$A11,tblGunluk[AlarmBayrak],"ALARM"))</f>
        <v/>
      </c>
      <c r="K11" s="19">
        <f>IF($A11="","",MAX(0,MIN(100,ssy_kaliteTaban-IF($I11&lt;ssy_esikSagimLt,ssy_kaliteCeza,0)-COUNTIFS(tblGunluk[VarlikId],$A11,tblGunluk[AlarmBayrak],"ALARM")*ssy_kaliteSapma-IF($G11="HAYIR",ssy_kaliteCeza,0))))</f>
        <v/>
      </c>
    </row>
    <row r="12">
      <c r="A12" s="15" t="inlineStr">
        <is>
          <t>INK-00007</t>
        </is>
      </c>
      <c r="B12" s="15" t="inlineStr">
        <is>
          <t>Nazlı</t>
        </is>
      </c>
      <c r="C12" s="15" t="inlineStr">
        <is>
          <t>Holstein</t>
        </is>
      </c>
      <c r="D12" s="16" t="n">
        <v>5</v>
      </c>
      <c r="E12" s="17" t="n">
        <v>32</v>
      </c>
      <c r="F12" s="60" t="n">
        <v>44535</v>
      </c>
      <c r="G12" s="15" t="inlineStr">
        <is>
          <t>EVET</t>
        </is>
      </c>
      <c r="H12" s="19">
        <f>IF($A12="","",SUMIF(tblGunluk[VarlikId],$A12,tblGunluk[SagimLt_lt]))</f>
        <v/>
      </c>
      <c r="I12" s="19">
        <f>IF($A12="","",IFERROR(AVERAGEIF(tblGunluk[VarlikId],$A12,tblGunluk[SagimLt_lt]),0))</f>
        <v/>
      </c>
      <c r="J12" s="19">
        <f>IF($A12="","",COUNTIFS(tblGunluk[VarlikId],$A12,tblGunluk[AlarmBayrak],"ALARM"))</f>
        <v/>
      </c>
      <c r="K12" s="19">
        <f>IF($A12="","",MAX(0,MIN(100,ssy_kaliteTaban-IF($I12&lt;ssy_esikSagimLt,ssy_kaliteCeza,0)-COUNTIFS(tblGunluk[VarlikId],$A12,tblGunluk[AlarmBayrak],"ALARM")*ssy_kaliteSapma-IF($G12="HAYIR",ssy_kaliteCeza,0))))</f>
        <v/>
      </c>
    </row>
    <row r="13">
      <c r="A13" s="15" t="inlineStr">
        <is>
          <t>INK-00008</t>
        </is>
      </c>
      <c r="B13" s="15" t="inlineStr">
        <is>
          <t>Gül</t>
        </is>
      </c>
      <c r="C13" s="15" t="inlineStr">
        <is>
          <t>Jersey</t>
        </is>
      </c>
      <c r="D13" s="16" t="n">
        <v>2</v>
      </c>
      <c r="E13" s="17" t="n">
        <v>20</v>
      </c>
      <c r="F13" s="60" t="n">
        <v>45044</v>
      </c>
      <c r="G13" s="15" t="inlineStr">
        <is>
          <t>EVET</t>
        </is>
      </c>
      <c r="H13" s="19">
        <f>IF($A13="","",SUMIF(tblGunluk[VarlikId],$A13,tblGunluk[SagimLt_lt]))</f>
        <v/>
      </c>
      <c r="I13" s="19">
        <f>IF($A13="","",IFERROR(AVERAGEIF(tblGunluk[VarlikId],$A13,tblGunluk[SagimLt_lt]),0))</f>
        <v/>
      </c>
      <c r="J13" s="19">
        <f>IF($A13="","",COUNTIFS(tblGunluk[VarlikId],$A13,tblGunluk[AlarmBayrak],"ALARM"))</f>
        <v/>
      </c>
      <c r="K13" s="19">
        <f>IF($A13="","",MAX(0,MIN(100,ssy_kaliteTaban-IF($I13&lt;ssy_esikSagimLt,ssy_kaliteCeza,0)-COUNTIFS(tblGunluk[VarlikId],$A13,tblGunluk[AlarmBayrak],"ALARM")*ssy_kaliteSapma-IF($G13="HAYIR",ssy_kaliteCeza,0))))</f>
        <v/>
      </c>
    </row>
    <row r="14">
      <c r="A14" s="15" t="n"/>
      <c r="B14" s="15" t="n"/>
      <c r="C14" s="15" t="n"/>
      <c r="D14" s="16" t="n"/>
      <c r="E14" s="17" t="n"/>
      <c r="F14" s="60" t="n"/>
      <c r="G14" s="15" t="n"/>
      <c r="H14" s="19">
        <f>IF($A14="","",SUMIF(tblGunluk[VarlikId],$A14,tblGunluk[SagimLt_lt]))</f>
        <v/>
      </c>
      <c r="I14" s="19">
        <f>IF($A14="","",IFERROR(AVERAGEIF(tblGunluk[VarlikId],$A14,tblGunluk[SagimLt_lt]),0))</f>
        <v/>
      </c>
      <c r="J14" s="19">
        <f>IF($A14="","",COUNTIFS(tblGunluk[VarlikId],$A14,tblGunluk[AlarmBayrak],"ALARM"))</f>
        <v/>
      </c>
      <c r="K14" s="19">
        <f>IF($A14="","",MAX(0,MIN(100,ssy_kaliteTaban-IF($I14&lt;ssy_esikSagimLt,ssy_kaliteCeza,0)-COUNTIFS(tblGunluk[VarlikId],$A14,tblGunluk[AlarmBayrak],"ALARM")*ssy_kaliteSapma-IF($G14="HAYIR",ssy_kaliteCeza,0))))</f>
        <v/>
      </c>
    </row>
    <row r="15">
      <c r="A15" s="15" t="n"/>
      <c r="B15" s="15" t="n"/>
      <c r="C15" s="15" t="n"/>
      <c r="D15" s="16" t="n"/>
      <c r="E15" s="17" t="n"/>
      <c r="F15" s="60" t="n"/>
      <c r="G15" s="15" t="n"/>
      <c r="H15" s="19">
        <f>IF($A15="","",SUMIF(tblGunluk[VarlikId],$A15,tblGunluk[SagimLt_lt]))</f>
        <v/>
      </c>
      <c r="I15" s="19">
        <f>IF($A15="","",IFERROR(AVERAGEIF(tblGunluk[VarlikId],$A15,tblGunluk[SagimLt_lt]),0))</f>
        <v/>
      </c>
      <c r="J15" s="19">
        <f>IF($A15="","",COUNTIFS(tblGunluk[VarlikId],$A15,tblGunluk[AlarmBayrak],"ALARM"))</f>
        <v/>
      </c>
      <c r="K15" s="19">
        <f>IF($A15="","",MAX(0,MIN(100,ssy_kaliteTaban-IF($I15&lt;ssy_esikSagimLt,ssy_kaliteCeza,0)-COUNTIFS(tblGunluk[VarlikId],$A15,tblGunluk[AlarmBayrak],"ALARM")*ssy_kaliteSapma-IF($G15="HAYIR",ssy_kaliteCeza,0))))</f>
        <v/>
      </c>
    </row>
    <row r="16">
      <c r="A16" s="15" t="n"/>
      <c r="B16" s="15" t="n"/>
      <c r="C16" s="15" t="n"/>
      <c r="D16" s="16" t="n"/>
      <c r="E16" s="17" t="n"/>
      <c r="F16" s="60" t="n"/>
      <c r="G16" s="15" t="n"/>
      <c r="H16" s="19">
        <f>IF($A16="","",SUMIF(tblGunluk[VarlikId],$A16,tblGunluk[SagimLt_lt]))</f>
        <v/>
      </c>
      <c r="I16" s="19">
        <f>IF($A16="","",IFERROR(AVERAGEIF(tblGunluk[VarlikId],$A16,tblGunluk[SagimLt_lt]),0))</f>
        <v/>
      </c>
      <c r="J16" s="19">
        <f>IF($A16="","",COUNTIFS(tblGunluk[VarlikId],$A16,tblGunluk[AlarmBayrak],"ALARM"))</f>
        <v/>
      </c>
      <c r="K16" s="19">
        <f>IF($A16="","",MAX(0,MIN(100,ssy_kaliteTaban-IF($I16&lt;ssy_esikSagimLt,ssy_kaliteCeza,0)-COUNTIFS(tblGunluk[VarlikId],$A16,tblGunluk[AlarmBayrak],"ALARM")*ssy_kaliteSapma-IF($G16="HAYIR",ssy_kaliteCeza,0))))</f>
        <v/>
      </c>
    </row>
    <row r="17">
      <c r="A17" s="15" t="n"/>
      <c r="B17" s="15" t="n"/>
      <c r="C17" s="15" t="n"/>
      <c r="D17" s="16" t="n"/>
      <c r="E17" s="17" t="n"/>
      <c r="F17" s="60" t="n"/>
      <c r="G17" s="15" t="n"/>
      <c r="H17" s="19">
        <f>IF($A17="","",SUMIF(tblGunluk[VarlikId],$A17,tblGunluk[SagimLt_lt]))</f>
        <v/>
      </c>
      <c r="I17" s="19">
        <f>IF($A17="","",IFERROR(AVERAGEIF(tblGunluk[VarlikId],$A17,tblGunluk[SagimLt_lt]),0))</f>
        <v/>
      </c>
      <c r="J17" s="19">
        <f>IF($A17="","",COUNTIFS(tblGunluk[VarlikId],$A17,tblGunluk[AlarmBayrak],"ALARM"))</f>
        <v/>
      </c>
      <c r="K17" s="19">
        <f>IF($A17="","",MAX(0,MIN(100,ssy_kaliteTaban-IF($I17&lt;ssy_esikSagimLt,ssy_kaliteCeza,0)-COUNTIFS(tblGunluk[VarlikId],$A17,tblGunluk[AlarmBayrak],"ALARM")*ssy_kaliteSapma-IF($G17="HAYIR",ssy_kaliteCeza,0))))</f>
        <v/>
      </c>
    </row>
    <row r="18">
      <c r="A18" s="15" t="n"/>
      <c r="B18" s="15" t="n"/>
      <c r="C18" s="15" t="n"/>
      <c r="D18" s="16" t="n"/>
      <c r="E18" s="17" t="n"/>
      <c r="F18" s="60" t="n"/>
      <c r="G18" s="15" t="n"/>
      <c r="H18" s="19">
        <f>IF($A18="","",SUMIF(tblGunluk[VarlikId],$A18,tblGunluk[SagimLt_lt]))</f>
        <v/>
      </c>
      <c r="I18" s="19">
        <f>IF($A18="","",IFERROR(AVERAGEIF(tblGunluk[VarlikId],$A18,tblGunluk[SagimLt_lt]),0))</f>
        <v/>
      </c>
      <c r="J18" s="19">
        <f>IF($A18="","",COUNTIFS(tblGunluk[VarlikId],$A18,tblGunluk[AlarmBayrak],"ALARM"))</f>
        <v/>
      </c>
      <c r="K18" s="19">
        <f>IF($A18="","",MAX(0,MIN(100,ssy_kaliteTaban-IF($I18&lt;ssy_esikSagimLt,ssy_kaliteCeza,0)-COUNTIFS(tblGunluk[VarlikId],$A18,tblGunluk[AlarmBayrak],"ALARM")*ssy_kaliteSapma-IF($G18="HAYIR",ssy_kaliteCeza,0))))</f>
        <v/>
      </c>
    </row>
    <row r="19">
      <c r="A19" s="15" t="n"/>
      <c r="B19" s="15" t="n"/>
      <c r="C19" s="15" t="n"/>
      <c r="D19" s="16" t="n"/>
      <c r="E19" s="17" t="n"/>
      <c r="F19" s="60" t="n"/>
      <c r="G19" s="15" t="n"/>
      <c r="H19" s="19">
        <f>IF($A19="","",SUMIF(tblGunluk[VarlikId],$A19,tblGunluk[SagimLt_lt]))</f>
        <v/>
      </c>
      <c r="I19" s="19">
        <f>IF($A19="","",IFERROR(AVERAGEIF(tblGunluk[VarlikId],$A19,tblGunluk[SagimLt_lt]),0))</f>
        <v/>
      </c>
      <c r="J19" s="19">
        <f>IF($A19="","",COUNTIFS(tblGunluk[VarlikId],$A19,tblGunluk[AlarmBayrak],"ALARM"))</f>
        <v/>
      </c>
      <c r="K19" s="19">
        <f>IF($A19="","",MAX(0,MIN(100,ssy_kaliteTaban-IF($I19&lt;ssy_esikSagimLt,ssy_kaliteCeza,0)-COUNTIFS(tblGunluk[VarlikId],$A19,tblGunluk[AlarmBayrak],"ALARM")*ssy_kaliteSapma-IF($G19="HAYIR",ssy_kaliteCeza,0))))</f>
        <v/>
      </c>
    </row>
    <row r="20">
      <c r="A20" s="15" t="n"/>
      <c r="B20" s="15" t="n"/>
      <c r="C20" s="15" t="n"/>
      <c r="D20" s="16" t="n"/>
      <c r="E20" s="17" t="n"/>
      <c r="F20" s="60" t="n"/>
      <c r="G20" s="15" t="n"/>
      <c r="H20" s="19">
        <f>IF($A20="","",SUMIF(tblGunluk[VarlikId],$A20,tblGunluk[SagimLt_lt]))</f>
        <v/>
      </c>
      <c r="I20" s="19">
        <f>IF($A20="","",IFERROR(AVERAGEIF(tblGunluk[VarlikId],$A20,tblGunluk[SagimLt_lt]),0))</f>
        <v/>
      </c>
      <c r="J20" s="19">
        <f>IF($A20="","",COUNTIFS(tblGunluk[VarlikId],$A20,tblGunluk[AlarmBayrak],"ALARM"))</f>
        <v/>
      </c>
      <c r="K20" s="19">
        <f>IF($A20="","",MAX(0,MIN(100,ssy_kaliteTaban-IF($I20&lt;ssy_esikSagimLt,ssy_kaliteCeza,0)-COUNTIFS(tblGunluk[VarlikId],$A20,tblGunluk[AlarmBayrak],"ALARM")*ssy_kaliteSapma-IF($G20="HAYIR",ssy_kaliteCeza,0))))</f>
        <v/>
      </c>
    </row>
    <row r="21">
      <c r="A21" s="15" t="n"/>
      <c r="B21" s="15" t="n"/>
      <c r="C21" s="15" t="n"/>
      <c r="D21" s="16" t="n"/>
      <c r="E21" s="17" t="n"/>
      <c r="F21" s="60" t="n"/>
      <c r="G21" s="15" t="n"/>
      <c r="H21" s="19">
        <f>IF($A21="","",SUMIF(tblGunluk[VarlikId],$A21,tblGunluk[SagimLt_lt]))</f>
        <v/>
      </c>
      <c r="I21" s="19">
        <f>IF($A21="","",IFERROR(AVERAGEIF(tblGunluk[VarlikId],$A21,tblGunluk[SagimLt_lt]),0))</f>
        <v/>
      </c>
      <c r="J21" s="19">
        <f>IF($A21="","",COUNTIFS(tblGunluk[VarlikId],$A21,tblGunluk[AlarmBayrak],"ALARM"))</f>
        <v/>
      </c>
      <c r="K21" s="19">
        <f>IF($A21="","",MAX(0,MIN(100,ssy_kaliteTaban-IF($I21&lt;ssy_esikSagimLt,ssy_kaliteCeza,0)-COUNTIFS(tblGunluk[VarlikId],$A21,tblGunluk[AlarmBayrak],"ALARM")*ssy_kaliteSapma-IF($G21="HAYIR",ssy_kaliteCeza,0))))</f>
        <v/>
      </c>
    </row>
    <row r="22">
      <c r="A22" s="15" t="n"/>
      <c r="B22" s="15" t="n"/>
      <c r="C22" s="15" t="n"/>
      <c r="D22" s="16" t="n"/>
      <c r="E22" s="17" t="n"/>
      <c r="F22" s="60" t="n"/>
      <c r="G22" s="15" t="n"/>
      <c r="H22" s="19">
        <f>IF($A22="","",SUMIF(tblGunluk[VarlikId],$A22,tblGunluk[SagimLt_lt]))</f>
        <v/>
      </c>
      <c r="I22" s="19">
        <f>IF($A22="","",IFERROR(AVERAGEIF(tblGunluk[VarlikId],$A22,tblGunluk[SagimLt_lt]),0))</f>
        <v/>
      </c>
      <c r="J22" s="19">
        <f>IF($A22="","",COUNTIFS(tblGunluk[VarlikId],$A22,tblGunluk[AlarmBayrak],"ALARM"))</f>
        <v/>
      </c>
      <c r="K22" s="19">
        <f>IF($A22="","",MAX(0,MIN(100,ssy_kaliteTaban-IF($I22&lt;ssy_esikSagimLt,ssy_kaliteCeza,0)-COUNTIFS(tblGunluk[VarlikId],$A22,tblGunluk[AlarmBayrak],"ALARM")*ssy_kaliteSapma-IF($G22="HAYIR",ssy_kaliteCeza,0))))</f>
        <v/>
      </c>
    </row>
    <row r="23">
      <c r="A23" s="15" t="n"/>
      <c r="B23" s="15" t="n"/>
      <c r="C23" s="15" t="n"/>
      <c r="D23" s="16" t="n"/>
      <c r="E23" s="17" t="n"/>
      <c r="F23" s="60" t="n"/>
      <c r="G23" s="15" t="n"/>
      <c r="H23" s="19">
        <f>IF($A23="","",SUMIF(tblGunluk[VarlikId],$A23,tblGunluk[SagimLt_lt]))</f>
        <v/>
      </c>
      <c r="I23" s="19">
        <f>IF($A23="","",IFERROR(AVERAGEIF(tblGunluk[VarlikId],$A23,tblGunluk[SagimLt_lt]),0))</f>
        <v/>
      </c>
      <c r="J23" s="19">
        <f>IF($A23="","",COUNTIFS(tblGunluk[VarlikId],$A23,tblGunluk[AlarmBayrak],"ALARM"))</f>
        <v/>
      </c>
      <c r="K23" s="19">
        <f>IF($A23="","",MAX(0,MIN(100,ssy_kaliteTaban-IF($I23&lt;ssy_esikSagimLt,ssy_kaliteCeza,0)-COUNTIFS(tblGunluk[VarlikId],$A23,tblGunluk[AlarmBayrak],"ALARM")*ssy_kaliteSapma-IF($G23="HAYIR",ssy_kaliteCeza,0))))</f>
        <v/>
      </c>
    </row>
    <row r="24">
      <c r="A24" s="15" t="n"/>
      <c r="B24" s="15" t="n"/>
      <c r="C24" s="15" t="n"/>
      <c r="D24" s="16" t="n"/>
      <c r="E24" s="17" t="n"/>
      <c r="F24" s="60" t="n"/>
      <c r="G24" s="15" t="n"/>
      <c r="H24" s="19">
        <f>IF($A24="","",SUMIF(tblGunluk[VarlikId],$A24,tblGunluk[SagimLt_lt]))</f>
        <v/>
      </c>
      <c r="I24" s="19">
        <f>IF($A24="","",IFERROR(AVERAGEIF(tblGunluk[VarlikId],$A24,tblGunluk[SagimLt_lt]),0))</f>
        <v/>
      </c>
      <c r="J24" s="19">
        <f>IF($A24="","",COUNTIFS(tblGunluk[VarlikId],$A24,tblGunluk[AlarmBayrak],"ALARM"))</f>
        <v/>
      </c>
      <c r="K24" s="19">
        <f>IF($A24="","",MAX(0,MIN(100,ssy_kaliteTaban-IF($I24&lt;ssy_esikSagimLt,ssy_kaliteCeza,0)-COUNTIFS(tblGunluk[VarlikId],$A24,tblGunluk[AlarmBayrak],"ALARM")*ssy_kaliteSapma-IF($G24="HAYIR",ssy_kaliteCeza,0))))</f>
        <v/>
      </c>
    </row>
    <row r="25">
      <c r="A25" s="15" t="n"/>
      <c r="B25" s="15" t="n"/>
      <c r="C25" s="15" t="n"/>
      <c r="D25" s="16" t="n"/>
      <c r="E25" s="17" t="n"/>
      <c r="F25" s="60" t="n"/>
      <c r="G25" s="15" t="n"/>
      <c r="H25" s="19">
        <f>IF($A25="","",SUMIF(tblGunluk[VarlikId],$A25,tblGunluk[SagimLt_lt]))</f>
        <v/>
      </c>
      <c r="I25" s="19">
        <f>IF($A25="","",IFERROR(AVERAGEIF(tblGunluk[VarlikId],$A25,tblGunluk[SagimLt_lt]),0))</f>
        <v/>
      </c>
      <c r="J25" s="19">
        <f>IF($A25="","",COUNTIFS(tblGunluk[VarlikId],$A25,tblGunluk[AlarmBayrak],"ALARM"))</f>
        <v/>
      </c>
      <c r="K25" s="19">
        <f>IF($A25="","",MAX(0,MIN(100,ssy_kaliteTaban-IF($I25&lt;ssy_esikSagimLt,ssy_kaliteCeza,0)-COUNTIFS(tblGunluk[VarlikId],$A25,tblGunluk[AlarmBayrak],"ALARM")*ssy_kaliteSapma-IF($G25="HAYIR",ssy_kaliteCeza,0))))</f>
        <v/>
      </c>
    </row>
    <row r="26">
      <c r="A26" s="15" t="n"/>
      <c r="B26" s="15" t="n"/>
      <c r="C26" s="15" t="n"/>
      <c r="D26" s="16" t="n"/>
      <c r="E26" s="17" t="n"/>
      <c r="F26" s="60" t="n"/>
      <c r="G26" s="15" t="n"/>
      <c r="H26" s="19">
        <f>IF($A26="","",SUMIF(tblGunluk[VarlikId],$A26,tblGunluk[SagimLt_lt]))</f>
        <v/>
      </c>
      <c r="I26" s="19">
        <f>IF($A26="","",IFERROR(AVERAGEIF(tblGunluk[VarlikId],$A26,tblGunluk[SagimLt_lt]),0))</f>
        <v/>
      </c>
      <c r="J26" s="19">
        <f>IF($A26="","",COUNTIFS(tblGunluk[VarlikId],$A26,tblGunluk[AlarmBayrak],"ALARM"))</f>
        <v/>
      </c>
      <c r="K26" s="19">
        <f>IF($A26="","",MAX(0,MIN(100,ssy_kaliteTaban-IF($I26&lt;ssy_esikSagimLt,ssy_kaliteCeza,0)-COUNTIFS(tblGunluk[VarlikId],$A26,tblGunluk[AlarmBayrak],"ALARM")*ssy_kaliteSapma-IF($G26="HAYIR",ssy_kaliteCeza,0))))</f>
        <v/>
      </c>
    </row>
    <row r="27">
      <c r="A27" s="15" t="n"/>
      <c r="B27" s="15" t="n"/>
      <c r="C27" s="15" t="n"/>
      <c r="D27" s="16" t="n"/>
      <c r="E27" s="17" t="n"/>
      <c r="F27" s="60" t="n"/>
      <c r="G27" s="15" t="n"/>
      <c r="H27" s="19">
        <f>IF($A27="","",SUMIF(tblGunluk[VarlikId],$A27,tblGunluk[SagimLt_lt]))</f>
        <v/>
      </c>
      <c r="I27" s="19">
        <f>IF($A27="","",IFERROR(AVERAGEIF(tblGunluk[VarlikId],$A27,tblGunluk[SagimLt_lt]),0))</f>
        <v/>
      </c>
      <c r="J27" s="19">
        <f>IF($A27="","",COUNTIFS(tblGunluk[VarlikId],$A27,tblGunluk[AlarmBayrak],"ALARM"))</f>
        <v/>
      </c>
      <c r="K27" s="19">
        <f>IF($A27="","",MAX(0,MIN(100,ssy_kaliteTaban-IF($I27&lt;ssy_esikSagimLt,ssy_kaliteCeza,0)-COUNTIFS(tblGunluk[VarlikId],$A27,tblGunluk[AlarmBayrak],"ALARM")*ssy_kaliteSapma-IF($G27="HAYIR",ssy_kaliteCeza,0))))</f>
        <v/>
      </c>
    </row>
    <row r="28">
      <c r="A28" s="15" t="n"/>
      <c r="B28" s="15" t="n"/>
      <c r="C28" s="15" t="n"/>
      <c r="D28" s="16" t="n"/>
      <c r="E28" s="17" t="n"/>
      <c r="F28" s="60" t="n"/>
      <c r="G28" s="15" t="n"/>
      <c r="H28" s="19">
        <f>IF($A28="","",SUMIF(tblGunluk[VarlikId],$A28,tblGunluk[SagimLt_lt]))</f>
        <v/>
      </c>
      <c r="I28" s="19">
        <f>IF($A28="","",IFERROR(AVERAGEIF(tblGunluk[VarlikId],$A28,tblGunluk[SagimLt_lt]),0))</f>
        <v/>
      </c>
      <c r="J28" s="19">
        <f>IF($A28="","",COUNTIFS(tblGunluk[VarlikId],$A28,tblGunluk[AlarmBayrak],"ALARM"))</f>
        <v/>
      </c>
      <c r="K28" s="19">
        <f>IF($A28="","",MAX(0,MIN(100,ssy_kaliteTaban-IF($I28&lt;ssy_esikSagimLt,ssy_kaliteCeza,0)-COUNTIFS(tblGunluk[VarlikId],$A28,tblGunluk[AlarmBayrak],"ALARM")*ssy_kaliteSapma-IF($G28="HAYIR",ssy_kaliteCeza,0))))</f>
        <v/>
      </c>
    </row>
    <row r="29">
      <c r="A29" s="15" t="n"/>
      <c r="B29" s="15" t="n"/>
      <c r="C29" s="15" t="n"/>
      <c r="D29" s="16" t="n"/>
      <c r="E29" s="17" t="n"/>
      <c r="F29" s="60" t="n"/>
      <c r="G29" s="15" t="n"/>
      <c r="H29" s="19">
        <f>IF($A29="","",SUMIF(tblGunluk[VarlikId],$A29,tblGunluk[SagimLt_lt]))</f>
        <v/>
      </c>
      <c r="I29" s="19">
        <f>IF($A29="","",IFERROR(AVERAGEIF(tblGunluk[VarlikId],$A29,tblGunluk[SagimLt_lt]),0))</f>
        <v/>
      </c>
      <c r="J29" s="19">
        <f>IF($A29="","",COUNTIFS(tblGunluk[VarlikId],$A29,tblGunluk[AlarmBayrak],"ALARM"))</f>
        <v/>
      </c>
      <c r="K29" s="19">
        <f>IF($A29="","",MAX(0,MIN(100,ssy_kaliteTaban-IF($I29&lt;ssy_esikSagimLt,ssy_kaliteCeza,0)-COUNTIFS(tblGunluk[VarlikId],$A29,tblGunluk[AlarmBayrak],"ALARM")*ssy_kaliteSapma-IF($G29="HAYIR",ssy_kaliteCeza,0))))</f>
        <v/>
      </c>
    </row>
    <row r="30">
      <c r="A30" s="15" t="n"/>
      <c r="B30" s="15" t="n"/>
      <c r="C30" s="15" t="n"/>
      <c r="D30" s="16" t="n"/>
      <c r="E30" s="17" t="n"/>
      <c r="F30" s="60" t="n"/>
      <c r="G30" s="15" t="n"/>
      <c r="H30" s="19">
        <f>IF($A30="","",SUMIF(tblGunluk[VarlikId],$A30,tblGunluk[SagimLt_lt]))</f>
        <v/>
      </c>
      <c r="I30" s="19">
        <f>IF($A30="","",IFERROR(AVERAGEIF(tblGunluk[VarlikId],$A30,tblGunluk[SagimLt_lt]),0))</f>
        <v/>
      </c>
      <c r="J30" s="19">
        <f>IF($A30="","",COUNTIFS(tblGunluk[VarlikId],$A30,tblGunluk[AlarmBayrak],"ALARM"))</f>
        <v/>
      </c>
      <c r="K30" s="19">
        <f>IF($A30="","",MAX(0,MIN(100,ssy_kaliteTaban-IF($I30&lt;ssy_esikSagimLt,ssy_kaliteCeza,0)-COUNTIFS(tblGunluk[VarlikId],$A30,tblGunluk[AlarmBayrak],"ALARM")*ssy_kaliteSapma-IF($G30="HAYIR",ssy_kaliteCeza,0))))</f>
        <v/>
      </c>
    </row>
    <row r="31">
      <c r="A31" s="15" t="n"/>
      <c r="B31" s="15" t="n"/>
      <c r="C31" s="15" t="n"/>
      <c r="D31" s="16" t="n"/>
      <c r="E31" s="17" t="n"/>
      <c r="F31" s="60" t="n"/>
      <c r="G31" s="15" t="n"/>
      <c r="H31" s="19">
        <f>IF($A31="","",SUMIF(tblGunluk[VarlikId],$A31,tblGunluk[SagimLt_lt]))</f>
        <v/>
      </c>
      <c r="I31" s="19">
        <f>IF($A31="","",IFERROR(AVERAGEIF(tblGunluk[VarlikId],$A31,tblGunluk[SagimLt_lt]),0))</f>
        <v/>
      </c>
      <c r="J31" s="19">
        <f>IF($A31="","",COUNTIFS(tblGunluk[VarlikId],$A31,tblGunluk[AlarmBayrak],"ALARM"))</f>
        <v/>
      </c>
      <c r="K31" s="19">
        <f>IF($A31="","",MAX(0,MIN(100,ssy_kaliteTaban-IF($I31&lt;ssy_esikSagimLt,ssy_kaliteCeza,0)-COUNTIFS(tblGunluk[VarlikId],$A31,tblGunluk[AlarmBayrak],"ALARM")*ssy_kaliteSapma-IF($G31="HAYIR",ssy_kaliteCeza,0))))</f>
        <v/>
      </c>
    </row>
    <row r="32">
      <c r="A32" s="15" t="n"/>
      <c r="B32" s="15" t="n"/>
      <c r="C32" s="15" t="n"/>
      <c r="D32" s="16" t="n"/>
      <c r="E32" s="17" t="n"/>
      <c r="F32" s="60" t="n"/>
      <c r="G32" s="15" t="n"/>
      <c r="H32" s="19">
        <f>IF($A32="","",SUMIF(tblGunluk[VarlikId],$A32,tblGunluk[SagimLt_lt]))</f>
        <v/>
      </c>
      <c r="I32" s="19">
        <f>IF($A32="","",IFERROR(AVERAGEIF(tblGunluk[VarlikId],$A32,tblGunluk[SagimLt_lt]),0))</f>
        <v/>
      </c>
      <c r="J32" s="19">
        <f>IF($A32="","",COUNTIFS(tblGunluk[VarlikId],$A32,tblGunluk[AlarmBayrak],"ALARM"))</f>
        <v/>
      </c>
      <c r="K32" s="19">
        <f>IF($A32="","",MAX(0,MIN(100,ssy_kaliteTaban-IF($I32&lt;ssy_esikSagimLt,ssy_kaliteCeza,0)-COUNTIFS(tblGunluk[VarlikId],$A32,tblGunluk[AlarmBayrak],"ALARM")*ssy_kaliteSapma-IF($G32="HAYIR",ssy_kaliteCeza,0))))</f>
        <v/>
      </c>
    </row>
    <row r="33">
      <c r="A33" s="15" t="n"/>
      <c r="B33" s="15" t="n"/>
      <c r="C33" s="15" t="n"/>
      <c r="D33" s="16" t="n"/>
      <c r="E33" s="17" t="n"/>
      <c r="F33" s="60" t="n"/>
      <c r="G33" s="15" t="n"/>
      <c r="H33" s="19">
        <f>IF($A33="","",SUMIF(tblGunluk[VarlikId],$A33,tblGunluk[SagimLt_lt]))</f>
        <v/>
      </c>
      <c r="I33" s="19">
        <f>IF($A33="","",IFERROR(AVERAGEIF(tblGunluk[VarlikId],$A33,tblGunluk[SagimLt_lt]),0))</f>
        <v/>
      </c>
      <c r="J33" s="19">
        <f>IF($A33="","",COUNTIFS(tblGunluk[VarlikId],$A33,tblGunluk[AlarmBayrak],"ALARM"))</f>
        <v/>
      </c>
      <c r="K33" s="19">
        <f>IF($A33="","",MAX(0,MIN(100,ssy_kaliteTaban-IF($I33&lt;ssy_esikSagimLt,ssy_kaliteCeza,0)-COUNTIFS(tblGunluk[VarlikId],$A33,tblGunluk[AlarmBayrak],"ALARM")*ssy_kaliteSapma-IF($G33="HAYIR",ssy_kaliteCeza,0))))</f>
        <v/>
      </c>
    </row>
    <row r="34">
      <c r="A34" s="15" t="n"/>
      <c r="B34" s="15" t="n"/>
      <c r="C34" s="15" t="n"/>
      <c r="D34" s="16" t="n"/>
      <c r="E34" s="17" t="n"/>
      <c r="F34" s="60" t="n"/>
      <c r="G34" s="15" t="n"/>
      <c r="H34" s="19">
        <f>IF($A34="","",SUMIF(tblGunluk[VarlikId],$A34,tblGunluk[SagimLt_lt]))</f>
        <v/>
      </c>
      <c r="I34" s="19">
        <f>IF($A34="","",IFERROR(AVERAGEIF(tblGunluk[VarlikId],$A34,tblGunluk[SagimLt_lt]),0))</f>
        <v/>
      </c>
      <c r="J34" s="19">
        <f>IF($A34="","",COUNTIFS(tblGunluk[VarlikId],$A34,tblGunluk[AlarmBayrak],"ALARM"))</f>
        <v/>
      </c>
      <c r="K34" s="19">
        <f>IF($A34="","",MAX(0,MIN(100,ssy_kaliteTaban-IF($I34&lt;ssy_esikSagimLt,ssy_kaliteCeza,0)-COUNTIFS(tblGunluk[VarlikId],$A34,tblGunluk[AlarmBayrak],"ALARM")*ssy_kaliteSapma-IF($G34="HAYIR",ssy_kaliteCeza,0))))</f>
        <v/>
      </c>
    </row>
    <row r="35">
      <c r="A35" s="15" t="n"/>
      <c r="B35" s="15" t="n"/>
      <c r="C35" s="15" t="n"/>
      <c r="D35" s="16" t="n"/>
      <c r="E35" s="17" t="n"/>
      <c r="F35" s="60" t="n"/>
      <c r="G35" s="15" t="n"/>
      <c r="H35" s="19">
        <f>IF($A35="","",SUMIF(tblGunluk[VarlikId],$A35,tblGunluk[SagimLt_lt]))</f>
        <v/>
      </c>
      <c r="I35" s="19">
        <f>IF($A35="","",IFERROR(AVERAGEIF(tblGunluk[VarlikId],$A35,tblGunluk[SagimLt_lt]),0))</f>
        <v/>
      </c>
      <c r="J35" s="19">
        <f>IF($A35="","",COUNTIFS(tblGunluk[VarlikId],$A35,tblGunluk[AlarmBayrak],"ALARM"))</f>
        <v/>
      </c>
      <c r="K35" s="19">
        <f>IF($A35="","",MAX(0,MIN(100,ssy_kaliteTaban-IF($I35&lt;ssy_esikSagimLt,ssy_kaliteCeza,0)-COUNTIFS(tblGunluk[VarlikId],$A35,tblGunluk[AlarmBayrak],"ALARM")*ssy_kaliteSapma-IF($G35="HAYIR",ssy_kaliteCeza,0))))</f>
        <v/>
      </c>
    </row>
    <row r="36">
      <c r="A36" s="15" t="n"/>
      <c r="B36" s="15" t="n"/>
      <c r="C36" s="15" t="n"/>
      <c r="D36" s="16" t="n"/>
      <c r="E36" s="17" t="n"/>
      <c r="F36" s="60" t="n"/>
      <c r="G36" s="15" t="n"/>
      <c r="H36" s="19">
        <f>IF($A36="","",SUMIF(tblGunluk[VarlikId],$A36,tblGunluk[SagimLt_lt]))</f>
        <v/>
      </c>
      <c r="I36" s="19">
        <f>IF($A36="","",IFERROR(AVERAGEIF(tblGunluk[VarlikId],$A36,tblGunluk[SagimLt_lt]),0))</f>
        <v/>
      </c>
      <c r="J36" s="19">
        <f>IF($A36="","",COUNTIFS(tblGunluk[VarlikId],$A36,tblGunluk[AlarmBayrak],"ALARM"))</f>
        <v/>
      </c>
      <c r="K36" s="19">
        <f>IF($A36="","",MAX(0,MIN(100,ssy_kaliteTaban-IF($I36&lt;ssy_esikSagimLt,ssy_kaliteCeza,0)-COUNTIFS(tblGunluk[VarlikId],$A36,tblGunluk[AlarmBayrak],"ALARM")*ssy_kaliteSapma-IF($G36="HAYIR",ssy_kaliteCeza,0))))</f>
        <v/>
      </c>
    </row>
    <row r="37">
      <c r="A37" s="15" t="n"/>
      <c r="B37" s="15" t="n"/>
      <c r="C37" s="15" t="n"/>
      <c r="D37" s="16" t="n"/>
      <c r="E37" s="17" t="n"/>
      <c r="F37" s="60" t="n"/>
      <c r="G37" s="15" t="n"/>
      <c r="H37" s="19">
        <f>IF($A37="","",SUMIF(tblGunluk[VarlikId],$A37,tblGunluk[SagimLt_lt]))</f>
        <v/>
      </c>
      <c r="I37" s="19">
        <f>IF($A37="","",IFERROR(AVERAGEIF(tblGunluk[VarlikId],$A37,tblGunluk[SagimLt_lt]),0))</f>
        <v/>
      </c>
      <c r="J37" s="19">
        <f>IF($A37="","",COUNTIFS(tblGunluk[VarlikId],$A37,tblGunluk[AlarmBayrak],"ALARM"))</f>
        <v/>
      </c>
      <c r="K37" s="19">
        <f>IF($A37="","",MAX(0,MIN(100,ssy_kaliteTaban-IF($I37&lt;ssy_esikSagimLt,ssy_kaliteCeza,0)-COUNTIFS(tblGunluk[VarlikId],$A37,tblGunluk[AlarmBayrak],"ALARM")*ssy_kaliteSapma-IF($G37="HAYIR",ssy_kaliteCeza,0))))</f>
        <v/>
      </c>
    </row>
    <row r="38">
      <c r="A38" s="15" t="n"/>
      <c r="B38" s="15" t="n"/>
      <c r="C38" s="15" t="n"/>
      <c r="D38" s="16" t="n"/>
      <c r="E38" s="17" t="n"/>
      <c r="F38" s="60" t="n"/>
      <c r="G38" s="15" t="n"/>
      <c r="H38" s="19">
        <f>IF($A38="","",SUMIF(tblGunluk[VarlikId],$A38,tblGunluk[SagimLt_lt]))</f>
        <v/>
      </c>
      <c r="I38" s="19">
        <f>IF($A38="","",IFERROR(AVERAGEIF(tblGunluk[VarlikId],$A38,tblGunluk[SagimLt_lt]),0))</f>
        <v/>
      </c>
      <c r="J38" s="19">
        <f>IF($A38="","",COUNTIFS(tblGunluk[VarlikId],$A38,tblGunluk[AlarmBayrak],"ALARM"))</f>
        <v/>
      </c>
      <c r="K38" s="19">
        <f>IF($A38="","",MAX(0,MIN(100,ssy_kaliteTaban-IF($I38&lt;ssy_esikSagimLt,ssy_kaliteCeza,0)-COUNTIFS(tblGunluk[VarlikId],$A38,tblGunluk[AlarmBayrak],"ALARM")*ssy_kaliteSapma-IF($G38="HAYIR",ssy_kaliteCeza,0))))</f>
        <v/>
      </c>
    </row>
    <row r="39">
      <c r="A39" s="15" t="n"/>
      <c r="B39" s="15" t="n"/>
      <c r="C39" s="15" t="n"/>
      <c r="D39" s="16" t="n"/>
      <c r="E39" s="17" t="n"/>
      <c r="F39" s="60" t="n"/>
      <c r="G39" s="15" t="n"/>
      <c r="H39" s="19">
        <f>IF($A39="","",SUMIF(tblGunluk[VarlikId],$A39,tblGunluk[SagimLt_lt]))</f>
        <v/>
      </c>
      <c r="I39" s="19">
        <f>IF($A39="","",IFERROR(AVERAGEIF(tblGunluk[VarlikId],$A39,tblGunluk[SagimLt_lt]),0))</f>
        <v/>
      </c>
      <c r="J39" s="19">
        <f>IF($A39="","",COUNTIFS(tblGunluk[VarlikId],$A39,tblGunluk[AlarmBayrak],"ALARM"))</f>
        <v/>
      </c>
      <c r="K39" s="19">
        <f>IF($A39="","",MAX(0,MIN(100,ssy_kaliteTaban-IF($I39&lt;ssy_esikSagimLt,ssy_kaliteCeza,0)-COUNTIFS(tblGunluk[VarlikId],$A39,tblGunluk[AlarmBayrak],"ALARM")*ssy_kaliteSapma-IF($G39="HAYIR",ssy_kaliteCeza,0))))</f>
        <v/>
      </c>
    </row>
    <row r="40">
      <c r="A40" s="15" t="n"/>
      <c r="B40" s="15" t="n"/>
      <c r="C40" s="15" t="n"/>
      <c r="D40" s="16" t="n"/>
      <c r="E40" s="17" t="n"/>
      <c r="F40" s="60" t="n"/>
      <c r="G40" s="15" t="n"/>
      <c r="H40" s="19">
        <f>IF($A40="","",SUMIF(tblGunluk[VarlikId],$A40,tblGunluk[SagimLt_lt]))</f>
        <v/>
      </c>
      <c r="I40" s="19">
        <f>IF($A40="","",IFERROR(AVERAGEIF(tblGunluk[VarlikId],$A40,tblGunluk[SagimLt_lt]),0))</f>
        <v/>
      </c>
      <c r="J40" s="19">
        <f>IF($A40="","",COUNTIFS(tblGunluk[VarlikId],$A40,tblGunluk[AlarmBayrak],"ALARM"))</f>
        <v/>
      </c>
      <c r="K40" s="19">
        <f>IF($A40="","",MAX(0,MIN(100,ssy_kaliteTaban-IF($I40&lt;ssy_esikSagimLt,ssy_kaliteCeza,0)-COUNTIFS(tblGunluk[VarlikId],$A40,tblGunluk[AlarmBayrak],"ALARM")*ssy_kaliteSapma-IF($G40="HAYIR",ssy_kaliteCeza,0))))</f>
        <v/>
      </c>
    </row>
    <row r="41">
      <c r="A41" s="15" t="n"/>
      <c r="B41" s="15" t="n"/>
      <c r="C41" s="15" t="n"/>
      <c r="D41" s="16" t="n"/>
      <c r="E41" s="17" t="n"/>
      <c r="F41" s="60" t="n"/>
      <c r="G41" s="15" t="n"/>
      <c r="H41" s="19">
        <f>IF($A41="","",SUMIF(tblGunluk[VarlikId],$A41,tblGunluk[SagimLt_lt]))</f>
        <v/>
      </c>
      <c r="I41" s="19">
        <f>IF($A41="","",IFERROR(AVERAGEIF(tblGunluk[VarlikId],$A41,tblGunluk[SagimLt_lt]),0))</f>
        <v/>
      </c>
      <c r="J41" s="19">
        <f>IF($A41="","",COUNTIFS(tblGunluk[VarlikId],$A41,tblGunluk[AlarmBayrak],"ALARM"))</f>
        <v/>
      </c>
      <c r="K41" s="19">
        <f>IF($A41="","",MAX(0,MIN(100,ssy_kaliteTaban-IF($I41&lt;ssy_esikSagimLt,ssy_kaliteCeza,0)-COUNTIFS(tblGunluk[VarlikId],$A41,tblGunluk[AlarmBayrak],"ALARM")*ssy_kaliteSapma-IF($G41="HAYIR",ssy_kaliteCeza,0))))</f>
        <v/>
      </c>
    </row>
    <row r="42">
      <c r="A42" s="15" t="n"/>
      <c r="B42" s="15" t="n"/>
      <c r="C42" s="15" t="n"/>
      <c r="D42" s="16" t="n"/>
      <c r="E42" s="17" t="n"/>
      <c r="F42" s="60" t="n"/>
      <c r="G42" s="15" t="n"/>
      <c r="H42" s="19">
        <f>IF($A42="","",SUMIF(tblGunluk[VarlikId],$A42,tblGunluk[SagimLt_lt]))</f>
        <v/>
      </c>
      <c r="I42" s="19">
        <f>IF($A42="","",IFERROR(AVERAGEIF(tblGunluk[VarlikId],$A42,tblGunluk[SagimLt_lt]),0))</f>
        <v/>
      </c>
      <c r="J42" s="19">
        <f>IF($A42="","",COUNTIFS(tblGunluk[VarlikId],$A42,tblGunluk[AlarmBayrak],"ALARM"))</f>
        <v/>
      </c>
      <c r="K42" s="19">
        <f>IF($A42="","",MAX(0,MIN(100,ssy_kaliteTaban-IF($I42&lt;ssy_esikSagimLt,ssy_kaliteCeza,0)-COUNTIFS(tblGunluk[VarlikId],$A42,tblGunluk[AlarmBayrak],"ALARM")*ssy_kaliteSapma-IF($G42="HAYIR",ssy_kaliteCeza,0))))</f>
        <v/>
      </c>
    </row>
    <row r="43">
      <c r="A43" s="15" t="n"/>
      <c r="B43" s="15" t="n"/>
      <c r="C43" s="15" t="n"/>
      <c r="D43" s="16" t="n"/>
      <c r="E43" s="17" t="n"/>
      <c r="F43" s="60" t="n"/>
      <c r="G43" s="15" t="n"/>
      <c r="H43" s="19">
        <f>IF($A43="","",SUMIF(tblGunluk[VarlikId],$A43,tblGunluk[SagimLt_lt]))</f>
        <v/>
      </c>
      <c r="I43" s="19">
        <f>IF($A43="","",IFERROR(AVERAGEIF(tblGunluk[VarlikId],$A43,tblGunluk[SagimLt_lt]),0))</f>
        <v/>
      </c>
      <c r="J43" s="19">
        <f>IF($A43="","",COUNTIFS(tblGunluk[VarlikId],$A43,tblGunluk[AlarmBayrak],"ALARM"))</f>
        <v/>
      </c>
      <c r="K43" s="19">
        <f>IF($A43="","",MAX(0,MIN(100,ssy_kaliteTaban-IF($I43&lt;ssy_esikSagimLt,ssy_kaliteCeza,0)-COUNTIFS(tblGunluk[VarlikId],$A43,tblGunluk[AlarmBayrak],"ALARM")*ssy_kaliteSapma-IF($G43="HAYIR",ssy_kaliteCeza,0))))</f>
        <v/>
      </c>
    </row>
    <row r="44">
      <c r="A44" s="15" t="n"/>
      <c r="B44" s="15" t="n"/>
      <c r="C44" s="15" t="n"/>
      <c r="D44" s="16" t="n"/>
      <c r="E44" s="17" t="n"/>
      <c r="F44" s="60" t="n"/>
      <c r="G44" s="15" t="n"/>
      <c r="H44" s="19">
        <f>IF($A44="","",SUMIF(tblGunluk[VarlikId],$A44,tblGunluk[SagimLt_lt]))</f>
        <v/>
      </c>
      <c r="I44" s="19">
        <f>IF($A44="","",IFERROR(AVERAGEIF(tblGunluk[VarlikId],$A44,tblGunluk[SagimLt_lt]),0))</f>
        <v/>
      </c>
      <c r="J44" s="19">
        <f>IF($A44="","",COUNTIFS(tblGunluk[VarlikId],$A44,tblGunluk[AlarmBayrak],"ALARM"))</f>
        <v/>
      </c>
      <c r="K44" s="19">
        <f>IF($A44="","",MAX(0,MIN(100,ssy_kaliteTaban-IF($I44&lt;ssy_esikSagimLt,ssy_kaliteCeza,0)-COUNTIFS(tblGunluk[VarlikId],$A44,tblGunluk[AlarmBayrak],"ALARM")*ssy_kaliteSapma-IF($G44="HAYIR",ssy_kaliteCeza,0))))</f>
        <v/>
      </c>
    </row>
    <row r="45">
      <c r="A45" s="15" t="n"/>
      <c r="B45" s="15" t="n"/>
      <c r="C45" s="15" t="n"/>
      <c r="D45" s="16" t="n"/>
      <c r="E45" s="17" t="n"/>
      <c r="F45" s="60" t="n"/>
      <c r="G45" s="15" t="n"/>
      <c r="H45" s="19">
        <f>IF($A45="","",SUMIF(tblGunluk[VarlikId],$A45,tblGunluk[SagimLt_lt]))</f>
        <v/>
      </c>
      <c r="I45" s="19">
        <f>IF($A45="","",IFERROR(AVERAGEIF(tblGunluk[VarlikId],$A45,tblGunluk[SagimLt_lt]),0))</f>
        <v/>
      </c>
      <c r="J45" s="19">
        <f>IF($A45="","",COUNTIFS(tblGunluk[VarlikId],$A45,tblGunluk[AlarmBayrak],"ALARM"))</f>
        <v/>
      </c>
      <c r="K45" s="19">
        <f>IF($A45="","",MAX(0,MIN(100,ssy_kaliteTaban-IF($I45&lt;ssy_esikSagimLt,ssy_kaliteCeza,0)-COUNTIFS(tblGunluk[VarlikId],$A45,tblGunluk[AlarmBayrak],"ALARM")*ssy_kaliteSapma-IF($G45="HAYIR",ssy_kaliteCeza,0))))</f>
        <v/>
      </c>
    </row>
    <row r="46">
      <c r="A46" s="15" t="n"/>
      <c r="B46" s="15" t="n"/>
      <c r="C46" s="15" t="n"/>
      <c r="D46" s="16" t="n"/>
      <c r="E46" s="17" t="n"/>
      <c r="F46" s="60" t="n"/>
      <c r="G46" s="15" t="n"/>
      <c r="H46" s="19">
        <f>IF($A46="","",SUMIF(tblGunluk[VarlikId],$A46,tblGunluk[SagimLt_lt]))</f>
        <v/>
      </c>
      <c r="I46" s="19">
        <f>IF($A46="","",IFERROR(AVERAGEIF(tblGunluk[VarlikId],$A46,tblGunluk[SagimLt_lt]),0))</f>
        <v/>
      </c>
      <c r="J46" s="19">
        <f>IF($A46="","",COUNTIFS(tblGunluk[VarlikId],$A46,tblGunluk[AlarmBayrak],"ALARM"))</f>
        <v/>
      </c>
      <c r="K46" s="19">
        <f>IF($A46="","",MAX(0,MIN(100,ssy_kaliteTaban-IF($I46&lt;ssy_esikSagimLt,ssy_kaliteCeza,0)-COUNTIFS(tblGunluk[VarlikId],$A46,tblGunluk[AlarmBayrak],"ALARM")*ssy_kaliteSapma-IF($G46="HAYIR",ssy_kaliteCeza,0))))</f>
        <v/>
      </c>
    </row>
    <row r="47">
      <c r="A47" s="15" t="n"/>
      <c r="B47" s="15" t="n"/>
      <c r="C47" s="15" t="n"/>
      <c r="D47" s="16" t="n"/>
      <c r="E47" s="17" t="n"/>
      <c r="F47" s="60" t="n"/>
      <c r="G47" s="15" t="n"/>
      <c r="H47" s="19">
        <f>IF($A47="","",SUMIF(tblGunluk[VarlikId],$A47,tblGunluk[SagimLt_lt]))</f>
        <v/>
      </c>
      <c r="I47" s="19">
        <f>IF($A47="","",IFERROR(AVERAGEIF(tblGunluk[VarlikId],$A47,tblGunluk[SagimLt_lt]),0))</f>
        <v/>
      </c>
      <c r="J47" s="19">
        <f>IF($A47="","",COUNTIFS(tblGunluk[VarlikId],$A47,tblGunluk[AlarmBayrak],"ALARM"))</f>
        <v/>
      </c>
      <c r="K47" s="19">
        <f>IF($A47="","",MAX(0,MIN(100,ssy_kaliteTaban-IF($I47&lt;ssy_esikSagimLt,ssy_kaliteCeza,0)-COUNTIFS(tblGunluk[VarlikId],$A47,tblGunluk[AlarmBayrak],"ALARM")*ssy_kaliteSapma-IF($G47="HAYIR",ssy_kaliteCeza,0))))</f>
        <v/>
      </c>
    </row>
    <row r="48">
      <c r="A48" s="15" t="n"/>
      <c r="B48" s="15" t="n"/>
      <c r="C48" s="15" t="n"/>
      <c r="D48" s="16" t="n"/>
      <c r="E48" s="17" t="n"/>
      <c r="F48" s="60" t="n"/>
      <c r="G48" s="15" t="n"/>
      <c r="H48" s="19">
        <f>IF($A48="","",SUMIF(tblGunluk[VarlikId],$A48,tblGunluk[SagimLt_lt]))</f>
        <v/>
      </c>
      <c r="I48" s="19">
        <f>IF($A48="","",IFERROR(AVERAGEIF(tblGunluk[VarlikId],$A48,tblGunluk[SagimLt_lt]),0))</f>
        <v/>
      </c>
      <c r="J48" s="19">
        <f>IF($A48="","",COUNTIFS(tblGunluk[VarlikId],$A48,tblGunluk[AlarmBayrak],"ALARM"))</f>
        <v/>
      </c>
      <c r="K48" s="19">
        <f>IF($A48="","",MAX(0,MIN(100,ssy_kaliteTaban-IF($I48&lt;ssy_esikSagimLt,ssy_kaliteCeza,0)-COUNTIFS(tblGunluk[VarlikId],$A48,tblGunluk[AlarmBayrak],"ALARM")*ssy_kaliteSapma-IF($G48="HAYIR",ssy_kaliteCeza,0))))</f>
        <v/>
      </c>
    </row>
    <row r="49">
      <c r="A49" s="15" t="n"/>
      <c r="B49" s="15" t="n"/>
      <c r="C49" s="15" t="n"/>
      <c r="D49" s="16" t="n"/>
      <c r="E49" s="17" t="n"/>
      <c r="F49" s="60" t="n"/>
      <c r="G49" s="15" t="n"/>
      <c r="H49" s="19">
        <f>IF($A49="","",SUMIF(tblGunluk[VarlikId],$A49,tblGunluk[SagimLt_lt]))</f>
        <v/>
      </c>
      <c r="I49" s="19">
        <f>IF($A49="","",IFERROR(AVERAGEIF(tblGunluk[VarlikId],$A49,tblGunluk[SagimLt_lt]),0))</f>
        <v/>
      </c>
      <c r="J49" s="19">
        <f>IF($A49="","",COUNTIFS(tblGunluk[VarlikId],$A49,tblGunluk[AlarmBayrak],"ALARM"))</f>
        <v/>
      </c>
      <c r="K49" s="19">
        <f>IF($A49="","",MAX(0,MIN(100,ssy_kaliteTaban-IF($I49&lt;ssy_esikSagimLt,ssy_kaliteCeza,0)-COUNTIFS(tblGunluk[VarlikId],$A49,tblGunluk[AlarmBayrak],"ALARM")*ssy_kaliteSapma-IF($G49="HAYIR",ssy_kaliteCeza,0))))</f>
        <v/>
      </c>
    </row>
    <row r="50">
      <c r="A50" s="15" t="n"/>
      <c r="B50" s="15" t="n"/>
      <c r="C50" s="15" t="n"/>
      <c r="D50" s="16" t="n"/>
      <c r="E50" s="17" t="n"/>
      <c r="F50" s="60" t="n"/>
      <c r="G50" s="15" t="n"/>
      <c r="H50" s="19">
        <f>IF($A50="","",SUMIF(tblGunluk[VarlikId],$A50,tblGunluk[SagimLt_lt]))</f>
        <v/>
      </c>
      <c r="I50" s="19">
        <f>IF($A50="","",IFERROR(AVERAGEIF(tblGunluk[VarlikId],$A50,tblGunluk[SagimLt_lt]),0))</f>
        <v/>
      </c>
      <c r="J50" s="19">
        <f>IF($A50="","",COUNTIFS(tblGunluk[VarlikId],$A50,tblGunluk[AlarmBayrak],"ALARM"))</f>
        <v/>
      </c>
      <c r="K50" s="19">
        <f>IF($A50="","",MAX(0,MIN(100,ssy_kaliteTaban-IF($I50&lt;ssy_esikSagimLt,ssy_kaliteCeza,0)-COUNTIFS(tblGunluk[VarlikId],$A50,tblGunluk[AlarmBayrak],"ALARM")*ssy_kaliteSapma-IF($G50="HAYIR",ssy_kaliteCeza,0))))</f>
        <v/>
      </c>
    </row>
    <row r="51">
      <c r="A51" s="15" t="n"/>
      <c r="B51" s="15" t="n"/>
      <c r="C51" s="15" t="n"/>
      <c r="D51" s="16" t="n"/>
      <c r="E51" s="17" t="n"/>
      <c r="F51" s="60" t="n"/>
      <c r="G51" s="15" t="n"/>
      <c r="H51" s="19">
        <f>IF($A51="","",SUMIF(tblGunluk[VarlikId],$A51,tblGunluk[SagimLt_lt]))</f>
        <v/>
      </c>
      <c r="I51" s="19">
        <f>IF($A51="","",IFERROR(AVERAGEIF(tblGunluk[VarlikId],$A51,tblGunluk[SagimLt_lt]),0))</f>
        <v/>
      </c>
      <c r="J51" s="19">
        <f>IF($A51="","",COUNTIFS(tblGunluk[VarlikId],$A51,tblGunluk[AlarmBayrak],"ALARM"))</f>
        <v/>
      </c>
      <c r="K51" s="19">
        <f>IF($A51="","",MAX(0,MIN(100,ssy_kaliteTaban-IF($I51&lt;ssy_esikSagimLt,ssy_kaliteCeza,0)-COUNTIFS(tblGunluk[VarlikId],$A51,tblGunluk[AlarmBayrak],"ALARM")*ssy_kaliteSapma-IF($G51="HAYIR",ssy_kaliteCeza,0))))</f>
        <v/>
      </c>
    </row>
    <row r="52">
      <c r="A52" s="15" t="n"/>
      <c r="B52" s="15" t="n"/>
      <c r="C52" s="15" t="n"/>
      <c r="D52" s="16" t="n"/>
      <c r="E52" s="17" t="n"/>
      <c r="F52" s="60" t="n"/>
      <c r="G52" s="15" t="n"/>
      <c r="H52" s="19">
        <f>IF($A52="","",SUMIF(tblGunluk[VarlikId],$A52,tblGunluk[SagimLt_lt]))</f>
        <v/>
      </c>
      <c r="I52" s="19">
        <f>IF($A52="","",IFERROR(AVERAGEIF(tblGunluk[VarlikId],$A52,tblGunluk[SagimLt_lt]),0))</f>
        <v/>
      </c>
      <c r="J52" s="19">
        <f>IF($A52="","",COUNTIFS(tblGunluk[VarlikId],$A52,tblGunluk[AlarmBayrak],"ALARM"))</f>
        <v/>
      </c>
      <c r="K52" s="19">
        <f>IF($A52="","",MAX(0,MIN(100,ssy_kaliteTaban-IF($I52&lt;ssy_esikSagimLt,ssy_kaliteCeza,0)-COUNTIFS(tblGunluk[VarlikId],$A52,tblGunluk[AlarmBayrak],"ALARM")*ssy_kaliteSapma-IF($G52="HAYIR",ssy_kaliteCeza,0))))</f>
        <v/>
      </c>
    </row>
    <row r="53">
      <c r="A53" s="15" t="n"/>
      <c r="B53" s="15" t="n"/>
      <c r="C53" s="15" t="n"/>
      <c r="D53" s="16" t="n"/>
      <c r="E53" s="17" t="n"/>
      <c r="F53" s="60" t="n"/>
      <c r="G53" s="15" t="n"/>
      <c r="H53" s="19">
        <f>IF($A53="","",SUMIF(tblGunluk[VarlikId],$A53,tblGunluk[SagimLt_lt]))</f>
        <v/>
      </c>
      <c r="I53" s="19">
        <f>IF($A53="","",IFERROR(AVERAGEIF(tblGunluk[VarlikId],$A53,tblGunluk[SagimLt_lt]),0))</f>
        <v/>
      </c>
      <c r="J53" s="19">
        <f>IF($A53="","",COUNTIFS(tblGunluk[VarlikId],$A53,tblGunluk[AlarmBayrak],"ALARM"))</f>
        <v/>
      </c>
      <c r="K53" s="19">
        <f>IF($A53="","",MAX(0,MIN(100,ssy_kaliteTaban-IF($I53&lt;ssy_esikSagimLt,ssy_kaliteCeza,0)-COUNTIFS(tblGunluk[VarlikId],$A53,tblGunluk[AlarmBayrak],"ALARM")*ssy_kaliteSapma-IF($G53="HAYIR",ssy_kaliteCeza,0))))</f>
        <v/>
      </c>
    </row>
    <row r="54">
      <c r="A54" s="15" t="n"/>
      <c r="B54" s="15" t="n"/>
      <c r="C54" s="15" t="n"/>
      <c r="D54" s="16" t="n"/>
      <c r="E54" s="17" t="n"/>
      <c r="F54" s="60" t="n"/>
      <c r="G54" s="15" t="n"/>
      <c r="H54" s="19">
        <f>IF($A54="","",SUMIF(tblGunluk[VarlikId],$A54,tblGunluk[SagimLt_lt]))</f>
        <v/>
      </c>
      <c r="I54" s="19">
        <f>IF($A54="","",IFERROR(AVERAGEIF(tblGunluk[VarlikId],$A54,tblGunluk[SagimLt_lt]),0))</f>
        <v/>
      </c>
      <c r="J54" s="19">
        <f>IF($A54="","",COUNTIFS(tblGunluk[VarlikId],$A54,tblGunluk[AlarmBayrak],"ALARM"))</f>
        <v/>
      </c>
      <c r="K54" s="19">
        <f>IF($A54="","",MAX(0,MIN(100,ssy_kaliteTaban-IF($I54&lt;ssy_esikSagimLt,ssy_kaliteCeza,0)-COUNTIFS(tblGunluk[VarlikId],$A54,tblGunluk[AlarmBayrak],"ALARM")*ssy_kaliteSapma-IF($G54="HAYIR",ssy_kaliteCeza,0))))</f>
        <v/>
      </c>
    </row>
    <row r="55">
      <c r="A55" s="15" t="n"/>
      <c r="B55" s="15" t="n"/>
      <c r="C55" s="15" t="n"/>
      <c r="D55" s="16" t="n"/>
      <c r="E55" s="17" t="n"/>
      <c r="F55" s="60" t="n"/>
      <c r="G55" s="15" t="n"/>
      <c r="H55" s="19">
        <f>IF($A55="","",SUMIF(tblGunluk[VarlikId],$A55,tblGunluk[SagimLt_lt]))</f>
        <v/>
      </c>
      <c r="I55" s="19">
        <f>IF($A55="","",IFERROR(AVERAGEIF(tblGunluk[VarlikId],$A55,tblGunluk[SagimLt_lt]),0))</f>
        <v/>
      </c>
      <c r="J55" s="19">
        <f>IF($A55="","",COUNTIFS(tblGunluk[VarlikId],$A55,tblGunluk[AlarmBayrak],"ALARM"))</f>
        <v/>
      </c>
      <c r="K55" s="19">
        <f>IF($A55="","",MAX(0,MIN(100,ssy_kaliteTaban-IF($I55&lt;ssy_esikSagimLt,ssy_kaliteCeza,0)-COUNTIFS(tblGunluk[VarlikId],$A55,tblGunluk[AlarmBayrak],"ALARM")*ssy_kaliteSapma-IF($G55="HAYIR",ssy_kaliteCeza,0))))</f>
        <v/>
      </c>
    </row>
    <row r="56">
      <c r="A56" s="15" t="n"/>
      <c r="B56" s="15" t="n"/>
      <c r="C56" s="15" t="n"/>
      <c r="D56" s="16" t="n"/>
      <c r="E56" s="17" t="n"/>
      <c r="F56" s="60" t="n"/>
      <c r="G56" s="15" t="n"/>
      <c r="H56" s="19">
        <f>IF($A56="","",SUMIF(tblGunluk[VarlikId],$A56,tblGunluk[SagimLt_lt]))</f>
        <v/>
      </c>
      <c r="I56" s="19">
        <f>IF($A56="","",IFERROR(AVERAGEIF(tblGunluk[VarlikId],$A56,tblGunluk[SagimLt_lt]),0))</f>
        <v/>
      </c>
      <c r="J56" s="19">
        <f>IF($A56="","",COUNTIFS(tblGunluk[VarlikId],$A56,tblGunluk[AlarmBayrak],"ALARM"))</f>
        <v/>
      </c>
      <c r="K56" s="19">
        <f>IF($A56="","",MAX(0,MIN(100,ssy_kaliteTaban-IF($I56&lt;ssy_esikSagimLt,ssy_kaliteCeza,0)-COUNTIFS(tblGunluk[VarlikId],$A56,tblGunluk[AlarmBayrak],"ALARM")*ssy_kaliteSapma-IF($G56="HAYIR",ssy_kaliteCeza,0))))</f>
        <v/>
      </c>
    </row>
    <row r="57">
      <c r="A57" s="15" t="n"/>
      <c r="B57" s="15" t="n"/>
      <c r="C57" s="15" t="n"/>
      <c r="D57" s="16" t="n"/>
      <c r="E57" s="17" t="n"/>
      <c r="F57" s="60" t="n"/>
      <c r="G57" s="15" t="n"/>
      <c r="H57" s="19">
        <f>IF($A57="","",SUMIF(tblGunluk[VarlikId],$A57,tblGunluk[SagimLt_lt]))</f>
        <v/>
      </c>
      <c r="I57" s="19">
        <f>IF($A57="","",IFERROR(AVERAGEIF(tblGunluk[VarlikId],$A57,tblGunluk[SagimLt_lt]),0))</f>
        <v/>
      </c>
      <c r="J57" s="19">
        <f>IF($A57="","",COUNTIFS(tblGunluk[VarlikId],$A57,tblGunluk[AlarmBayrak],"ALARM"))</f>
        <v/>
      </c>
      <c r="K57" s="19">
        <f>IF($A57="","",MAX(0,MIN(100,ssy_kaliteTaban-IF($I57&lt;ssy_esikSagimLt,ssy_kaliteCeza,0)-COUNTIFS(tblGunluk[VarlikId],$A57,tblGunluk[AlarmBayrak],"ALARM")*ssy_kaliteSapma-IF($G57="HAYIR",ssy_kaliteCeza,0))))</f>
        <v/>
      </c>
    </row>
    <row r="58">
      <c r="A58" s="15" t="n"/>
      <c r="B58" s="15" t="n"/>
      <c r="C58" s="15" t="n"/>
      <c r="D58" s="16" t="n"/>
      <c r="E58" s="17" t="n"/>
      <c r="F58" s="60" t="n"/>
      <c r="G58" s="15" t="n"/>
      <c r="H58" s="19">
        <f>IF($A58="","",SUMIF(tblGunluk[VarlikId],$A58,tblGunluk[SagimLt_lt]))</f>
        <v/>
      </c>
      <c r="I58" s="19">
        <f>IF($A58="","",IFERROR(AVERAGEIF(tblGunluk[VarlikId],$A58,tblGunluk[SagimLt_lt]),0))</f>
        <v/>
      </c>
      <c r="J58" s="19">
        <f>IF($A58="","",COUNTIFS(tblGunluk[VarlikId],$A58,tblGunluk[AlarmBayrak],"ALARM"))</f>
        <v/>
      </c>
      <c r="K58" s="19">
        <f>IF($A58="","",MAX(0,MIN(100,ssy_kaliteTaban-IF($I58&lt;ssy_esikSagimLt,ssy_kaliteCeza,0)-COUNTIFS(tblGunluk[VarlikId],$A58,tblGunluk[AlarmBayrak],"ALARM")*ssy_kaliteSapma-IF($G58="HAYIR",ssy_kaliteCeza,0))))</f>
        <v/>
      </c>
    </row>
    <row r="59">
      <c r="A59" s="15" t="n"/>
      <c r="B59" s="15" t="n"/>
      <c r="C59" s="15" t="n"/>
      <c r="D59" s="16" t="n"/>
      <c r="E59" s="17" t="n"/>
      <c r="F59" s="60" t="n"/>
      <c r="G59" s="15" t="n"/>
      <c r="H59" s="19">
        <f>IF($A59="","",SUMIF(tblGunluk[VarlikId],$A59,tblGunluk[SagimLt_lt]))</f>
        <v/>
      </c>
      <c r="I59" s="19">
        <f>IF($A59="","",IFERROR(AVERAGEIF(tblGunluk[VarlikId],$A59,tblGunluk[SagimLt_lt]),0))</f>
        <v/>
      </c>
      <c r="J59" s="19">
        <f>IF($A59="","",COUNTIFS(tblGunluk[VarlikId],$A59,tblGunluk[AlarmBayrak],"ALARM"))</f>
        <v/>
      </c>
      <c r="K59" s="19">
        <f>IF($A59="","",MAX(0,MIN(100,ssy_kaliteTaban-IF($I59&lt;ssy_esikSagimLt,ssy_kaliteCeza,0)-COUNTIFS(tblGunluk[VarlikId],$A59,tblGunluk[AlarmBayrak],"ALARM")*ssy_kaliteSapma-IF($G59="HAYIR",ssy_kaliteCeza,0))))</f>
        <v/>
      </c>
    </row>
    <row r="60">
      <c r="A60" s="15" t="n"/>
      <c r="B60" s="15" t="n"/>
      <c r="C60" s="15" t="n"/>
      <c r="D60" s="16" t="n"/>
      <c r="E60" s="17" t="n"/>
      <c r="F60" s="60" t="n"/>
      <c r="G60" s="15" t="n"/>
      <c r="H60" s="19">
        <f>IF($A60="","",SUMIF(tblGunluk[VarlikId],$A60,tblGunluk[SagimLt_lt]))</f>
        <v/>
      </c>
      <c r="I60" s="19">
        <f>IF($A60="","",IFERROR(AVERAGEIF(tblGunluk[VarlikId],$A60,tblGunluk[SagimLt_lt]),0))</f>
        <v/>
      </c>
      <c r="J60" s="19">
        <f>IF($A60="","",COUNTIFS(tblGunluk[VarlikId],$A60,tblGunluk[AlarmBayrak],"ALARM"))</f>
        <v/>
      </c>
      <c r="K60" s="19">
        <f>IF($A60="","",MAX(0,MIN(100,ssy_kaliteTaban-IF($I60&lt;ssy_esikSagimLt,ssy_kaliteCeza,0)-COUNTIFS(tblGunluk[VarlikId],$A60,tblGunluk[AlarmBayrak],"ALARM")*ssy_kaliteSapma-IF($G60="HAYIR",ssy_kaliteCeza,0))))</f>
        <v/>
      </c>
    </row>
    <row r="61">
      <c r="A61" s="15" t="n"/>
      <c r="B61" s="15" t="n"/>
      <c r="C61" s="15" t="n"/>
      <c r="D61" s="16" t="n"/>
      <c r="E61" s="17" t="n"/>
      <c r="F61" s="60" t="n"/>
      <c r="G61" s="15" t="n"/>
      <c r="H61" s="19">
        <f>IF($A61="","",SUMIF(tblGunluk[VarlikId],$A61,tblGunluk[SagimLt_lt]))</f>
        <v/>
      </c>
      <c r="I61" s="19">
        <f>IF($A61="","",IFERROR(AVERAGEIF(tblGunluk[VarlikId],$A61,tblGunluk[SagimLt_lt]),0))</f>
        <v/>
      </c>
      <c r="J61" s="19">
        <f>IF($A61="","",COUNTIFS(tblGunluk[VarlikId],$A61,tblGunluk[AlarmBayrak],"ALARM"))</f>
        <v/>
      </c>
      <c r="K61" s="19">
        <f>IF($A61="","",MAX(0,MIN(100,ssy_kaliteTaban-IF($I61&lt;ssy_esikSagimLt,ssy_kaliteCeza,0)-COUNTIFS(tblGunluk[VarlikId],$A61,tblGunluk[AlarmBayrak],"ALARM")*ssy_kaliteSapma-IF($G61="HAYIR",ssy_kaliteCeza,0))))</f>
        <v/>
      </c>
    </row>
    <row r="62">
      <c r="A62" s="15" t="n"/>
      <c r="B62" s="15" t="n"/>
      <c r="C62" s="15" t="n"/>
      <c r="D62" s="16" t="n"/>
      <c r="E62" s="17" t="n"/>
      <c r="F62" s="60" t="n"/>
      <c r="G62" s="15" t="n"/>
      <c r="H62" s="19">
        <f>IF($A62="","",SUMIF(tblGunluk[VarlikId],$A62,tblGunluk[SagimLt_lt]))</f>
        <v/>
      </c>
      <c r="I62" s="19">
        <f>IF($A62="","",IFERROR(AVERAGEIF(tblGunluk[VarlikId],$A62,tblGunluk[SagimLt_lt]),0))</f>
        <v/>
      </c>
      <c r="J62" s="19">
        <f>IF($A62="","",COUNTIFS(tblGunluk[VarlikId],$A62,tblGunluk[AlarmBayrak],"ALARM"))</f>
        <v/>
      </c>
      <c r="K62" s="19">
        <f>IF($A62="","",MAX(0,MIN(100,ssy_kaliteTaban-IF($I62&lt;ssy_esikSagimLt,ssy_kaliteCeza,0)-COUNTIFS(tblGunluk[VarlikId],$A62,tblGunluk[AlarmBayrak],"ALARM")*ssy_kaliteSapma-IF($G62="HAYIR",ssy_kaliteCeza,0))))</f>
        <v/>
      </c>
    </row>
    <row r="63">
      <c r="A63" s="15" t="n"/>
      <c r="B63" s="15" t="n"/>
      <c r="C63" s="15" t="n"/>
      <c r="D63" s="16" t="n"/>
      <c r="E63" s="17" t="n"/>
      <c r="F63" s="60" t="n"/>
      <c r="G63" s="15" t="n"/>
      <c r="H63" s="19">
        <f>IF($A63="","",SUMIF(tblGunluk[VarlikId],$A63,tblGunluk[SagimLt_lt]))</f>
        <v/>
      </c>
      <c r="I63" s="19">
        <f>IF($A63="","",IFERROR(AVERAGEIF(tblGunluk[VarlikId],$A63,tblGunluk[SagimLt_lt]),0))</f>
        <v/>
      </c>
      <c r="J63" s="19">
        <f>IF($A63="","",COUNTIFS(tblGunluk[VarlikId],$A63,tblGunluk[AlarmBayrak],"ALARM"))</f>
        <v/>
      </c>
      <c r="K63" s="19">
        <f>IF($A63="","",MAX(0,MIN(100,ssy_kaliteTaban-IF($I63&lt;ssy_esikSagimLt,ssy_kaliteCeza,0)-COUNTIFS(tblGunluk[VarlikId],$A63,tblGunluk[AlarmBayrak],"ALARM")*ssy_kaliteSapma-IF($G63="HAYIR",ssy_kaliteCeza,0))))</f>
        <v/>
      </c>
    </row>
    <row r="64">
      <c r="A64" s="15" t="n"/>
      <c r="B64" s="15" t="n"/>
      <c r="C64" s="15" t="n"/>
      <c r="D64" s="16" t="n"/>
      <c r="E64" s="17" t="n"/>
      <c r="F64" s="60" t="n"/>
      <c r="G64" s="15" t="n"/>
      <c r="H64" s="19">
        <f>IF($A64="","",SUMIF(tblGunluk[VarlikId],$A64,tblGunluk[SagimLt_lt]))</f>
        <v/>
      </c>
      <c r="I64" s="19">
        <f>IF($A64="","",IFERROR(AVERAGEIF(tblGunluk[VarlikId],$A64,tblGunluk[SagimLt_lt]),0))</f>
        <v/>
      </c>
      <c r="J64" s="19">
        <f>IF($A64="","",COUNTIFS(tblGunluk[VarlikId],$A64,tblGunluk[AlarmBayrak],"ALARM"))</f>
        <v/>
      </c>
      <c r="K64" s="19">
        <f>IF($A64="","",MAX(0,MIN(100,ssy_kaliteTaban-IF($I64&lt;ssy_esikSagimLt,ssy_kaliteCeza,0)-COUNTIFS(tblGunluk[VarlikId],$A64,tblGunluk[AlarmBayrak],"ALARM")*ssy_kaliteSapma-IF($G64="HAYIR",ssy_kaliteCeza,0))))</f>
        <v/>
      </c>
    </row>
    <row r="65">
      <c r="A65" s="15" t="n"/>
      <c r="B65" s="15" t="n"/>
      <c r="C65" s="15" t="n"/>
      <c r="D65" s="16" t="n"/>
      <c r="E65" s="17" t="n"/>
      <c r="F65" s="60" t="n"/>
      <c r="G65" s="15" t="n"/>
      <c r="H65" s="19">
        <f>IF($A65="","",SUMIF(tblGunluk[VarlikId],$A65,tblGunluk[SagimLt_lt]))</f>
        <v/>
      </c>
      <c r="I65" s="19">
        <f>IF($A65="","",IFERROR(AVERAGEIF(tblGunluk[VarlikId],$A65,tblGunluk[SagimLt_lt]),0))</f>
        <v/>
      </c>
      <c r="J65" s="19">
        <f>IF($A65="","",COUNTIFS(tblGunluk[VarlikId],$A65,tblGunluk[AlarmBayrak],"ALARM"))</f>
        <v/>
      </c>
      <c r="K65" s="19">
        <f>IF($A65="","",MAX(0,MIN(100,ssy_kaliteTaban-IF($I65&lt;ssy_esikSagimLt,ssy_kaliteCeza,0)-COUNTIFS(tblGunluk[VarlikId],$A65,tblGunluk[AlarmBayrak],"ALARM")*ssy_kaliteSapma-IF($G65="HAYIR",ssy_kaliteCeza,0))))</f>
        <v/>
      </c>
    </row>
    <row r="66">
      <c r="A66" s="15" t="n"/>
      <c r="B66" s="15" t="n"/>
      <c r="C66" s="15" t="n"/>
      <c r="D66" s="16" t="n"/>
      <c r="E66" s="17" t="n"/>
      <c r="F66" s="60" t="n"/>
      <c r="G66" s="15" t="n"/>
      <c r="H66" s="19">
        <f>IF($A66="","",SUMIF(tblGunluk[VarlikId],$A66,tblGunluk[SagimLt_lt]))</f>
        <v/>
      </c>
      <c r="I66" s="19">
        <f>IF($A66="","",IFERROR(AVERAGEIF(tblGunluk[VarlikId],$A66,tblGunluk[SagimLt_lt]),0))</f>
        <v/>
      </c>
      <c r="J66" s="19">
        <f>IF($A66="","",COUNTIFS(tblGunluk[VarlikId],$A66,tblGunluk[AlarmBayrak],"ALARM"))</f>
        <v/>
      </c>
      <c r="K66" s="19">
        <f>IF($A66="","",MAX(0,MIN(100,ssy_kaliteTaban-IF($I66&lt;ssy_esikSagimLt,ssy_kaliteCeza,0)-COUNTIFS(tblGunluk[VarlikId],$A66,tblGunluk[AlarmBayrak],"ALARM")*ssy_kaliteSapma-IF($G66="HAYIR",ssy_kaliteCeza,0))))</f>
        <v/>
      </c>
    </row>
    <row r="67">
      <c r="A67" s="15" t="n"/>
      <c r="B67" s="15" t="n"/>
      <c r="C67" s="15" t="n"/>
      <c r="D67" s="16" t="n"/>
      <c r="E67" s="17" t="n"/>
      <c r="F67" s="60" t="n"/>
      <c r="G67" s="15" t="n"/>
      <c r="H67" s="19">
        <f>IF($A67="","",SUMIF(tblGunluk[VarlikId],$A67,tblGunluk[SagimLt_lt]))</f>
        <v/>
      </c>
      <c r="I67" s="19">
        <f>IF($A67="","",IFERROR(AVERAGEIF(tblGunluk[VarlikId],$A67,tblGunluk[SagimLt_lt]),0))</f>
        <v/>
      </c>
      <c r="J67" s="19">
        <f>IF($A67="","",COUNTIFS(tblGunluk[VarlikId],$A67,tblGunluk[AlarmBayrak],"ALARM"))</f>
        <v/>
      </c>
      <c r="K67" s="19">
        <f>IF($A67="","",MAX(0,MIN(100,ssy_kaliteTaban-IF($I67&lt;ssy_esikSagimLt,ssy_kaliteCeza,0)-COUNTIFS(tblGunluk[VarlikId],$A67,tblGunluk[AlarmBayrak],"ALARM")*ssy_kaliteSapma-IF($G67="HAYIR",ssy_kaliteCeza,0))))</f>
        <v/>
      </c>
    </row>
    <row r="68">
      <c r="A68" s="15" t="n"/>
      <c r="B68" s="15" t="n"/>
      <c r="C68" s="15" t="n"/>
      <c r="D68" s="16" t="n"/>
      <c r="E68" s="17" t="n"/>
      <c r="F68" s="60" t="n"/>
      <c r="G68" s="15" t="n"/>
      <c r="H68" s="19">
        <f>IF($A68="","",SUMIF(tblGunluk[VarlikId],$A68,tblGunluk[SagimLt_lt]))</f>
        <v/>
      </c>
      <c r="I68" s="19">
        <f>IF($A68="","",IFERROR(AVERAGEIF(tblGunluk[VarlikId],$A68,tblGunluk[SagimLt_lt]),0))</f>
        <v/>
      </c>
      <c r="J68" s="19">
        <f>IF($A68="","",COUNTIFS(tblGunluk[VarlikId],$A68,tblGunluk[AlarmBayrak],"ALARM"))</f>
        <v/>
      </c>
      <c r="K68" s="19">
        <f>IF($A68="","",MAX(0,MIN(100,ssy_kaliteTaban-IF($I68&lt;ssy_esikSagimLt,ssy_kaliteCeza,0)-COUNTIFS(tblGunluk[VarlikId],$A68,tblGunluk[AlarmBayrak],"ALARM")*ssy_kaliteSapma-IF($G68="HAYIR",ssy_kaliteCeza,0))))</f>
        <v/>
      </c>
    </row>
    <row r="69">
      <c r="A69" s="15" t="n"/>
      <c r="B69" s="15" t="n"/>
      <c r="C69" s="15" t="n"/>
      <c r="D69" s="16" t="n"/>
      <c r="E69" s="17" t="n"/>
      <c r="F69" s="60" t="n"/>
      <c r="G69" s="15" t="n"/>
      <c r="H69" s="19">
        <f>IF($A69="","",SUMIF(tblGunluk[VarlikId],$A69,tblGunluk[SagimLt_lt]))</f>
        <v/>
      </c>
      <c r="I69" s="19">
        <f>IF($A69="","",IFERROR(AVERAGEIF(tblGunluk[VarlikId],$A69,tblGunluk[SagimLt_lt]),0))</f>
        <v/>
      </c>
      <c r="J69" s="19">
        <f>IF($A69="","",COUNTIFS(tblGunluk[VarlikId],$A69,tblGunluk[AlarmBayrak],"ALARM"))</f>
        <v/>
      </c>
      <c r="K69" s="19">
        <f>IF($A69="","",MAX(0,MIN(100,ssy_kaliteTaban-IF($I69&lt;ssy_esikSagimLt,ssy_kaliteCeza,0)-COUNTIFS(tblGunluk[VarlikId],$A69,tblGunluk[AlarmBayrak],"ALARM")*ssy_kaliteSapma-IF($G69="HAYIR",ssy_kaliteCeza,0))))</f>
        <v/>
      </c>
    </row>
    <row r="70">
      <c r="A70" s="15" t="n"/>
      <c r="B70" s="15" t="n"/>
      <c r="C70" s="15" t="n"/>
      <c r="D70" s="16" t="n"/>
      <c r="E70" s="17" t="n"/>
      <c r="F70" s="60" t="n"/>
      <c r="G70" s="15" t="n"/>
      <c r="H70" s="19">
        <f>IF($A70="","",SUMIF(tblGunluk[VarlikId],$A70,tblGunluk[SagimLt_lt]))</f>
        <v/>
      </c>
      <c r="I70" s="19">
        <f>IF($A70="","",IFERROR(AVERAGEIF(tblGunluk[VarlikId],$A70,tblGunluk[SagimLt_lt]),0))</f>
        <v/>
      </c>
      <c r="J70" s="19">
        <f>IF($A70="","",COUNTIFS(tblGunluk[VarlikId],$A70,tblGunluk[AlarmBayrak],"ALARM"))</f>
        <v/>
      </c>
      <c r="K70" s="19">
        <f>IF($A70="","",MAX(0,MIN(100,ssy_kaliteTaban-IF($I70&lt;ssy_esikSagimLt,ssy_kaliteCeza,0)-COUNTIFS(tblGunluk[VarlikId],$A70,tblGunluk[AlarmBayrak],"ALARM")*ssy_kaliteSapma-IF($G70="HAYIR",ssy_kaliteCeza,0))))</f>
        <v/>
      </c>
    </row>
    <row r="71">
      <c r="A71" s="15" t="n"/>
      <c r="B71" s="15" t="n"/>
      <c r="C71" s="15" t="n"/>
      <c r="D71" s="16" t="n"/>
      <c r="E71" s="17" t="n"/>
      <c r="F71" s="60" t="n"/>
      <c r="G71" s="15" t="n"/>
      <c r="H71" s="19">
        <f>IF($A71="","",SUMIF(tblGunluk[VarlikId],$A71,tblGunluk[SagimLt_lt]))</f>
        <v/>
      </c>
      <c r="I71" s="19">
        <f>IF($A71="","",IFERROR(AVERAGEIF(tblGunluk[VarlikId],$A71,tblGunluk[SagimLt_lt]),0))</f>
        <v/>
      </c>
      <c r="J71" s="19">
        <f>IF($A71="","",COUNTIFS(tblGunluk[VarlikId],$A71,tblGunluk[AlarmBayrak],"ALARM"))</f>
        <v/>
      </c>
      <c r="K71" s="19">
        <f>IF($A71="","",MAX(0,MIN(100,ssy_kaliteTaban-IF($I71&lt;ssy_esikSagimLt,ssy_kaliteCeza,0)-COUNTIFS(tblGunluk[VarlikId],$A71,tblGunluk[AlarmBayrak],"ALARM")*ssy_kaliteSapma-IF($G71="HAYIR",ssy_kaliteCeza,0))))</f>
        <v/>
      </c>
    </row>
    <row r="72">
      <c r="A72" s="15" t="n"/>
      <c r="B72" s="15" t="n"/>
      <c r="C72" s="15" t="n"/>
      <c r="D72" s="16" t="n"/>
      <c r="E72" s="17" t="n"/>
      <c r="F72" s="60" t="n"/>
      <c r="G72" s="15" t="n"/>
      <c r="H72" s="19">
        <f>IF($A72="","",SUMIF(tblGunluk[VarlikId],$A72,tblGunluk[SagimLt_lt]))</f>
        <v/>
      </c>
      <c r="I72" s="19">
        <f>IF($A72="","",IFERROR(AVERAGEIF(tblGunluk[VarlikId],$A72,tblGunluk[SagimLt_lt]),0))</f>
        <v/>
      </c>
      <c r="J72" s="19">
        <f>IF($A72="","",COUNTIFS(tblGunluk[VarlikId],$A72,tblGunluk[AlarmBayrak],"ALARM"))</f>
        <v/>
      </c>
      <c r="K72" s="19">
        <f>IF($A72="","",MAX(0,MIN(100,ssy_kaliteTaban-IF($I72&lt;ssy_esikSagimLt,ssy_kaliteCeza,0)-COUNTIFS(tblGunluk[VarlikId],$A72,tblGunluk[AlarmBayrak],"ALARM")*ssy_kaliteSapma-IF($G72="HAYIR",ssy_kaliteCeza,0))))</f>
        <v/>
      </c>
    </row>
    <row r="73">
      <c r="A73" s="15" t="n"/>
      <c r="B73" s="15" t="n"/>
      <c r="C73" s="15" t="n"/>
      <c r="D73" s="16" t="n"/>
      <c r="E73" s="17" t="n"/>
      <c r="F73" s="60" t="n"/>
      <c r="G73" s="15" t="n"/>
      <c r="H73" s="19">
        <f>IF($A73="","",SUMIF(tblGunluk[VarlikId],$A73,tblGunluk[SagimLt_lt]))</f>
        <v/>
      </c>
      <c r="I73" s="19">
        <f>IF($A73="","",IFERROR(AVERAGEIF(tblGunluk[VarlikId],$A73,tblGunluk[SagimLt_lt]),0))</f>
        <v/>
      </c>
      <c r="J73" s="19">
        <f>IF($A73="","",COUNTIFS(tblGunluk[VarlikId],$A73,tblGunluk[AlarmBayrak],"ALARM"))</f>
        <v/>
      </c>
      <c r="K73" s="19">
        <f>IF($A73="","",MAX(0,MIN(100,ssy_kaliteTaban-IF($I73&lt;ssy_esikSagimLt,ssy_kaliteCeza,0)-COUNTIFS(tblGunluk[VarlikId],$A73,tblGunluk[AlarmBayrak],"ALARM")*ssy_kaliteSapma-IF($G73="HAYIR",ssy_kaliteCeza,0))))</f>
        <v/>
      </c>
    </row>
    <row r="74">
      <c r="A74" s="15" t="n"/>
      <c r="B74" s="15" t="n"/>
      <c r="C74" s="15" t="n"/>
      <c r="D74" s="16" t="n"/>
      <c r="E74" s="17" t="n"/>
      <c r="F74" s="60" t="n"/>
      <c r="G74" s="15" t="n"/>
      <c r="H74" s="19">
        <f>IF($A74="","",SUMIF(tblGunluk[VarlikId],$A74,tblGunluk[SagimLt_lt]))</f>
        <v/>
      </c>
      <c r="I74" s="19">
        <f>IF($A74="","",IFERROR(AVERAGEIF(tblGunluk[VarlikId],$A74,tblGunluk[SagimLt_lt]),0))</f>
        <v/>
      </c>
      <c r="J74" s="19">
        <f>IF($A74="","",COUNTIFS(tblGunluk[VarlikId],$A74,tblGunluk[AlarmBayrak],"ALARM"))</f>
        <v/>
      </c>
      <c r="K74" s="19">
        <f>IF($A74="","",MAX(0,MIN(100,ssy_kaliteTaban-IF($I74&lt;ssy_esikSagimLt,ssy_kaliteCeza,0)-COUNTIFS(tblGunluk[VarlikId],$A74,tblGunluk[AlarmBayrak],"ALARM")*ssy_kaliteSapma-IF($G74="HAYIR",ssy_kaliteCeza,0))))</f>
        <v/>
      </c>
    </row>
    <row r="75">
      <c r="A75" s="15" t="n"/>
      <c r="B75" s="15" t="n"/>
      <c r="C75" s="15" t="n"/>
      <c r="D75" s="16" t="n"/>
      <c r="E75" s="17" t="n"/>
      <c r="F75" s="60" t="n"/>
      <c r="G75" s="15" t="n"/>
      <c r="H75" s="19">
        <f>IF($A75="","",SUMIF(tblGunluk[VarlikId],$A75,tblGunluk[SagimLt_lt]))</f>
        <v/>
      </c>
      <c r="I75" s="19">
        <f>IF($A75="","",IFERROR(AVERAGEIF(tblGunluk[VarlikId],$A75,tblGunluk[SagimLt_lt]),0))</f>
        <v/>
      </c>
      <c r="J75" s="19">
        <f>IF($A75="","",COUNTIFS(tblGunluk[VarlikId],$A75,tblGunluk[AlarmBayrak],"ALARM"))</f>
        <v/>
      </c>
      <c r="K75" s="19">
        <f>IF($A75="","",MAX(0,MIN(100,ssy_kaliteTaban-IF($I75&lt;ssy_esikSagimLt,ssy_kaliteCeza,0)-COUNTIFS(tblGunluk[VarlikId],$A75,tblGunluk[AlarmBayrak],"ALARM")*ssy_kaliteSapma-IF($G75="HAYIR",ssy_kaliteCeza,0))))</f>
        <v/>
      </c>
    </row>
    <row r="76">
      <c r="A76" s="15" t="n"/>
      <c r="B76" s="15" t="n"/>
      <c r="C76" s="15" t="n"/>
      <c r="D76" s="16" t="n"/>
      <c r="E76" s="17" t="n"/>
      <c r="F76" s="60" t="n"/>
      <c r="G76" s="15" t="n"/>
      <c r="H76" s="19">
        <f>IF($A76="","",SUMIF(tblGunluk[VarlikId],$A76,tblGunluk[SagimLt_lt]))</f>
        <v/>
      </c>
      <c r="I76" s="19">
        <f>IF($A76="","",IFERROR(AVERAGEIF(tblGunluk[VarlikId],$A76,tblGunluk[SagimLt_lt]),0))</f>
        <v/>
      </c>
      <c r="J76" s="19">
        <f>IF($A76="","",COUNTIFS(tblGunluk[VarlikId],$A76,tblGunluk[AlarmBayrak],"ALARM"))</f>
        <v/>
      </c>
      <c r="K76" s="19">
        <f>IF($A76="","",MAX(0,MIN(100,ssy_kaliteTaban-IF($I76&lt;ssy_esikSagimLt,ssy_kaliteCeza,0)-COUNTIFS(tblGunluk[VarlikId],$A76,tblGunluk[AlarmBayrak],"ALARM")*ssy_kaliteSapma-IF($G76="HAYIR",ssy_kaliteCeza,0))))</f>
        <v/>
      </c>
    </row>
    <row r="77">
      <c r="A77" s="15" t="n"/>
      <c r="B77" s="15" t="n"/>
      <c r="C77" s="15" t="n"/>
      <c r="D77" s="16" t="n"/>
      <c r="E77" s="17" t="n"/>
      <c r="F77" s="60" t="n"/>
      <c r="G77" s="15" t="n"/>
      <c r="H77" s="19">
        <f>IF($A77="","",SUMIF(tblGunluk[VarlikId],$A77,tblGunluk[SagimLt_lt]))</f>
        <v/>
      </c>
      <c r="I77" s="19">
        <f>IF($A77="","",IFERROR(AVERAGEIF(tblGunluk[VarlikId],$A77,tblGunluk[SagimLt_lt]),0))</f>
        <v/>
      </c>
      <c r="J77" s="19">
        <f>IF($A77="","",COUNTIFS(tblGunluk[VarlikId],$A77,tblGunluk[AlarmBayrak],"ALARM"))</f>
        <v/>
      </c>
      <c r="K77" s="19">
        <f>IF($A77="","",MAX(0,MIN(100,ssy_kaliteTaban-IF($I77&lt;ssy_esikSagimLt,ssy_kaliteCeza,0)-COUNTIFS(tblGunluk[VarlikId],$A77,tblGunluk[AlarmBayrak],"ALARM")*ssy_kaliteSapma-IF($G77="HAYIR",ssy_kaliteCeza,0))))</f>
        <v/>
      </c>
    </row>
    <row r="78">
      <c r="A78" s="15" t="n"/>
      <c r="B78" s="15" t="n"/>
      <c r="C78" s="15" t="n"/>
      <c r="D78" s="16" t="n"/>
      <c r="E78" s="17" t="n"/>
      <c r="F78" s="60" t="n"/>
      <c r="G78" s="15" t="n"/>
      <c r="H78" s="19">
        <f>IF($A78="","",SUMIF(tblGunluk[VarlikId],$A78,tblGunluk[SagimLt_lt]))</f>
        <v/>
      </c>
      <c r="I78" s="19">
        <f>IF($A78="","",IFERROR(AVERAGEIF(tblGunluk[VarlikId],$A78,tblGunluk[SagimLt_lt]),0))</f>
        <v/>
      </c>
      <c r="J78" s="19">
        <f>IF($A78="","",COUNTIFS(tblGunluk[VarlikId],$A78,tblGunluk[AlarmBayrak],"ALARM"))</f>
        <v/>
      </c>
      <c r="K78" s="19">
        <f>IF($A78="","",MAX(0,MIN(100,ssy_kaliteTaban-IF($I78&lt;ssy_esikSagimLt,ssy_kaliteCeza,0)-COUNTIFS(tblGunluk[VarlikId],$A78,tblGunluk[AlarmBayrak],"ALARM")*ssy_kaliteSapma-IF($G78="HAYIR",ssy_kaliteCeza,0))))</f>
        <v/>
      </c>
    </row>
    <row r="79">
      <c r="A79" s="15" t="n"/>
      <c r="B79" s="15" t="n"/>
      <c r="C79" s="15" t="n"/>
      <c r="D79" s="16" t="n"/>
      <c r="E79" s="17" t="n"/>
      <c r="F79" s="60" t="n"/>
      <c r="G79" s="15" t="n"/>
      <c r="H79" s="19">
        <f>IF($A79="","",SUMIF(tblGunluk[VarlikId],$A79,tblGunluk[SagimLt_lt]))</f>
        <v/>
      </c>
      <c r="I79" s="19">
        <f>IF($A79="","",IFERROR(AVERAGEIF(tblGunluk[VarlikId],$A79,tblGunluk[SagimLt_lt]),0))</f>
        <v/>
      </c>
      <c r="J79" s="19">
        <f>IF($A79="","",COUNTIFS(tblGunluk[VarlikId],$A79,tblGunluk[AlarmBayrak],"ALARM"))</f>
        <v/>
      </c>
      <c r="K79" s="19">
        <f>IF($A79="","",MAX(0,MIN(100,ssy_kaliteTaban-IF($I79&lt;ssy_esikSagimLt,ssy_kaliteCeza,0)-COUNTIFS(tblGunluk[VarlikId],$A79,tblGunluk[AlarmBayrak],"ALARM")*ssy_kaliteSapma-IF($G79="HAYIR",ssy_kaliteCeza,0))))</f>
        <v/>
      </c>
    </row>
    <row r="80">
      <c r="A80" s="15" t="n"/>
      <c r="B80" s="15" t="n"/>
      <c r="C80" s="15" t="n"/>
      <c r="D80" s="16" t="n"/>
      <c r="E80" s="17" t="n"/>
      <c r="F80" s="60" t="n"/>
      <c r="G80" s="15" t="n"/>
      <c r="H80" s="19">
        <f>IF($A80="","",SUMIF(tblGunluk[VarlikId],$A80,tblGunluk[SagimLt_lt]))</f>
        <v/>
      </c>
      <c r="I80" s="19">
        <f>IF($A80="","",IFERROR(AVERAGEIF(tblGunluk[VarlikId],$A80,tblGunluk[SagimLt_lt]),0))</f>
        <v/>
      </c>
      <c r="J80" s="19">
        <f>IF($A80="","",COUNTIFS(tblGunluk[VarlikId],$A80,tblGunluk[AlarmBayrak],"ALARM"))</f>
        <v/>
      </c>
      <c r="K80" s="19">
        <f>IF($A80="","",MAX(0,MIN(100,ssy_kaliteTaban-IF($I80&lt;ssy_esikSagimLt,ssy_kaliteCeza,0)-COUNTIFS(tblGunluk[VarlikId],$A80,tblGunluk[AlarmBayrak],"ALARM")*ssy_kaliteSapma-IF($G80="HAYIR",ssy_kaliteCeza,0))))</f>
        <v/>
      </c>
    </row>
    <row r="81">
      <c r="A81" s="15" t="n"/>
      <c r="B81" s="15" t="n"/>
      <c r="C81" s="15" t="n"/>
      <c r="D81" s="16" t="n"/>
      <c r="E81" s="17" t="n"/>
      <c r="F81" s="60" t="n"/>
      <c r="G81" s="15" t="n"/>
      <c r="H81" s="19">
        <f>IF($A81="","",SUMIF(tblGunluk[VarlikId],$A81,tblGunluk[SagimLt_lt]))</f>
        <v/>
      </c>
      <c r="I81" s="19">
        <f>IF($A81="","",IFERROR(AVERAGEIF(tblGunluk[VarlikId],$A81,tblGunluk[SagimLt_lt]),0))</f>
        <v/>
      </c>
      <c r="J81" s="19">
        <f>IF($A81="","",COUNTIFS(tblGunluk[VarlikId],$A81,tblGunluk[AlarmBayrak],"ALARM"))</f>
        <v/>
      </c>
      <c r="K81" s="19">
        <f>IF($A81="","",MAX(0,MIN(100,ssy_kaliteTaban-IF($I81&lt;ssy_esikSagimLt,ssy_kaliteCeza,0)-COUNTIFS(tblGunluk[VarlikId],$A81,tblGunluk[AlarmBayrak],"ALARM")*ssy_kaliteSapma-IF($G81="HAYIR",ssy_kaliteCeza,0))))</f>
        <v/>
      </c>
    </row>
    <row r="82">
      <c r="A82" s="15" t="n"/>
      <c r="B82" s="15" t="n"/>
      <c r="C82" s="15" t="n"/>
      <c r="D82" s="16" t="n"/>
      <c r="E82" s="17" t="n"/>
      <c r="F82" s="60" t="n"/>
      <c r="G82" s="15" t="n"/>
      <c r="H82" s="19">
        <f>IF($A82="","",SUMIF(tblGunluk[VarlikId],$A82,tblGunluk[SagimLt_lt]))</f>
        <v/>
      </c>
      <c r="I82" s="19">
        <f>IF($A82="","",IFERROR(AVERAGEIF(tblGunluk[VarlikId],$A82,tblGunluk[SagimLt_lt]),0))</f>
        <v/>
      </c>
      <c r="J82" s="19">
        <f>IF($A82="","",COUNTIFS(tblGunluk[VarlikId],$A82,tblGunluk[AlarmBayrak],"ALARM"))</f>
        <v/>
      </c>
      <c r="K82" s="19">
        <f>IF($A82="","",MAX(0,MIN(100,ssy_kaliteTaban-IF($I82&lt;ssy_esikSagimLt,ssy_kaliteCeza,0)-COUNTIFS(tblGunluk[VarlikId],$A82,tblGunluk[AlarmBayrak],"ALARM")*ssy_kaliteSapma-IF($G82="HAYIR",ssy_kaliteCeza,0))))</f>
        <v/>
      </c>
    </row>
    <row r="83">
      <c r="A83" s="15" t="n"/>
      <c r="B83" s="15" t="n"/>
      <c r="C83" s="15" t="n"/>
      <c r="D83" s="16" t="n"/>
      <c r="E83" s="17" t="n"/>
      <c r="F83" s="60" t="n"/>
      <c r="G83" s="15" t="n"/>
      <c r="H83" s="19">
        <f>IF($A83="","",SUMIF(tblGunluk[VarlikId],$A83,tblGunluk[SagimLt_lt]))</f>
        <v/>
      </c>
      <c r="I83" s="19">
        <f>IF($A83="","",IFERROR(AVERAGEIF(tblGunluk[VarlikId],$A83,tblGunluk[SagimLt_lt]),0))</f>
        <v/>
      </c>
      <c r="J83" s="19">
        <f>IF($A83="","",COUNTIFS(tblGunluk[VarlikId],$A83,tblGunluk[AlarmBayrak],"ALARM"))</f>
        <v/>
      </c>
      <c r="K83" s="19">
        <f>IF($A83="","",MAX(0,MIN(100,ssy_kaliteTaban-IF($I83&lt;ssy_esikSagimLt,ssy_kaliteCeza,0)-COUNTIFS(tblGunluk[VarlikId],$A83,tblGunluk[AlarmBayrak],"ALARM")*ssy_kaliteSapma-IF($G83="HAYIR",ssy_kaliteCeza,0))))</f>
        <v/>
      </c>
    </row>
    <row r="84">
      <c r="A84" s="15" t="n"/>
      <c r="B84" s="15" t="n"/>
      <c r="C84" s="15" t="n"/>
      <c r="D84" s="16" t="n"/>
      <c r="E84" s="17" t="n"/>
      <c r="F84" s="60" t="n"/>
      <c r="G84" s="15" t="n"/>
      <c r="H84" s="19">
        <f>IF($A84="","",SUMIF(tblGunluk[VarlikId],$A84,tblGunluk[SagimLt_lt]))</f>
        <v/>
      </c>
      <c r="I84" s="19">
        <f>IF($A84="","",IFERROR(AVERAGEIF(tblGunluk[VarlikId],$A84,tblGunluk[SagimLt_lt]),0))</f>
        <v/>
      </c>
      <c r="J84" s="19">
        <f>IF($A84="","",COUNTIFS(tblGunluk[VarlikId],$A84,tblGunluk[AlarmBayrak],"ALARM"))</f>
        <v/>
      </c>
      <c r="K84" s="19">
        <f>IF($A84="","",MAX(0,MIN(100,ssy_kaliteTaban-IF($I84&lt;ssy_esikSagimLt,ssy_kaliteCeza,0)-COUNTIFS(tblGunluk[VarlikId],$A84,tblGunluk[AlarmBayrak],"ALARM")*ssy_kaliteSapma-IF($G84="HAYIR",ssy_kaliteCeza,0))))</f>
        <v/>
      </c>
    </row>
    <row r="85">
      <c r="A85" s="15" t="n"/>
      <c r="B85" s="15" t="n"/>
      <c r="C85" s="15" t="n"/>
      <c r="D85" s="16" t="n"/>
      <c r="E85" s="17" t="n"/>
      <c r="F85" s="60" t="n"/>
      <c r="G85" s="15" t="n"/>
      <c r="H85" s="19">
        <f>IF($A85="","",SUMIF(tblGunluk[VarlikId],$A85,tblGunluk[SagimLt_lt]))</f>
        <v/>
      </c>
      <c r="I85" s="19">
        <f>IF($A85="","",IFERROR(AVERAGEIF(tblGunluk[VarlikId],$A85,tblGunluk[SagimLt_lt]),0))</f>
        <v/>
      </c>
      <c r="J85" s="19">
        <f>IF($A85="","",COUNTIFS(tblGunluk[VarlikId],$A85,tblGunluk[AlarmBayrak],"ALARM"))</f>
        <v/>
      </c>
      <c r="K85" s="19">
        <f>IF($A85="","",MAX(0,MIN(100,ssy_kaliteTaban-IF($I85&lt;ssy_esikSagimLt,ssy_kaliteCeza,0)-COUNTIFS(tblGunluk[VarlikId],$A85,tblGunluk[AlarmBayrak],"ALARM")*ssy_kaliteSapma-IF($G85="HAYIR",ssy_kaliteCeza,0))))</f>
        <v/>
      </c>
    </row>
    <row r="86">
      <c r="A86" s="15" t="n"/>
      <c r="B86" s="15" t="n"/>
      <c r="C86" s="15" t="n"/>
      <c r="D86" s="16" t="n"/>
      <c r="E86" s="17" t="n"/>
      <c r="F86" s="60" t="n"/>
      <c r="G86" s="15" t="n"/>
      <c r="H86" s="19">
        <f>IF($A86="","",SUMIF(tblGunluk[VarlikId],$A86,tblGunluk[SagimLt_lt]))</f>
        <v/>
      </c>
      <c r="I86" s="19">
        <f>IF($A86="","",IFERROR(AVERAGEIF(tblGunluk[VarlikId],$A86,tblGunluk[SagimLt_lt]),0))</f>
        <v/>
      </c>
      <c r="J86" s="19">
        <f>IF($A86="","",COUNTIFS(tblGunluk[VarlikId],$A86,tblGunluk[AlarmBayrak],"ALARM"))</f>
        <v/>
      </c>
      <c r="K86" s="19">
        <f>IF($A86="","",MAX(0,MIN(100,ssy_kaliteTaban-IF($I86&lt;ssy_esikSagimLt,ssy_kaliteCeza,0)-COUNTIFS(tblGunluk[VarlikId],$A86,tblGunluk[AlarmBayrak],"ALARM")*ssy_kaliteSapma-IF($G86="HAYIR",ssy_kaliteCeza,0))))</f>
        <v/>
      </c>
    </row>
    <row r="87">
      <c r="A87" s="15" t="n"/>
      <c r="B87" s="15" t="n"/>
      <c r="C87" s="15" t="n"/>
      <c r="D87" s="16" t="n"/>
      <c r="E87" s="17" t="n"/>
      <c r="F87" s="60" t="n"/>
      <c r="G87" s="15" t="n"/>
      <c r="H87" s="19">
        <f>IF($A87="","",SUMIF(tblGunluk[VarlikId],$A87,tblGunluk[SagimLt_lt]))</f>
        <v/>
      </c>
      <c r="I87" s="19">
        <f>IF($A87="","",IFERROR(AVERAGEIF(tblGunluk[VarlikId],$A87,tblGunluk[SagimLt_lt]),0))</f>
        <v/>
      </c>
      <c r="J87" s="19">
        <f>IF($A87="","",COUNTIFS(tblGunluk[VarlikId],$A87,tblGunluk[AlarmBayrak],"ALARM"))</f>
        <v/>
      </c>
      <c r="K87" s="19">
        <f>IF($A87="","",MAX(0,MIN(100,ssy_kaliteTaban-IF($I87&lt;ssy_esikSagimLt,ssy_kaliteCeza,0)-COUNTIFS(tblGunluk[VarlikId],$A87,tblGunluk[AlarmBayrak],"ALARM")*ssy_kaliteSapma-IF($G87="HAYIR",ssy_kaliteCeza,0))))</f>
        <v/>
      </c>
    </row>
    <row r="88">
      <c r="A88" s="15" t="n"/>
      <c r="B88" s="15" t="n"/>
      <c r="C88" s="15" t="n"/>
      <c r="D88" s="16" t="n"/>
      <c r="E88" s="17" t="n"/>
      <c r="F88" s="60" t="n"/>
      <c r="G88" s="15" t="n"/>
      <c r="H88" s="19">
        <f>IF($A88="","",SUMIF(tblGunluk[VarlikId],$A88,tblGunluk[SagimLt_lt]))</f>
        <v/>
      </c>
      <c r="I88" s="19">
        <f>IF($A88="","",IFERROR(AVERAGEIF(tblGunluk[VarlikId],$A88,tblGunluk[SagimLt_lt]),0))</f>
        <v/>
      </c>
      <c r="J88" s="19">
        <f>IF($A88="","",COUNTIFS(tblGunluk[VarlikId],$A88,tblGunluk[AlarmBayrak],"ALARM"))</f>
        <v/>
      </c>
      <c r="K88" s="19">
        <f>IF($A88="","",MAX(0,MIN(100,ssy_kaliteTaban-IF($I88&lt;ssy_esikSagimLt,ssy_kaliteCeza,0)-COUNTIFS(tblGunluk[VarlikId],$A88,tblGunluk[AlarmBayrak],"ALARM")*ssy_kaliteSapma-IF($G88="HAYIR",ssy_kaliteCeza,0))))</f>
        <v/>
      </c>
    </row>
    <row r="89">
      <c r="A89" s="15" t="n"/>
      <c r="B89" s="15" t="n"/>
      <c r="C89" s="15" t="n"/>
      <c r="D89" s="16" t="n"/>
      <c r="E89" s="17" t="n"/>
      <c r="F89" s="60" t="n"/>
      <c r="G89" s="15" t="n"/>
      <c r="H89" s="19">
        <f>IF($A89="","",SUMIF(tblGunluk[VarlikId],$A89,tblGunluk[SagimLt_lt]))</f>
        <v/>
      </c>
      <c r="I89" s="19">
        <f>IF($A89="","",IFERROR(AVERAGEIF(tblGunluk[VarlikId],$A89,tblGunluk[SagimLt_lt]),0))</f>
        <v/>
      </c>
      <c r="J89" s="19">
        <f>IF($A89="","",COUNTIFS(tblGunluk[VarlikId],$A89,tblGunluk[AlarmBayrak],"ALARM"))</f>
        <v/>
      </c>
      <c r="K89" s="19">
        <f>IF($A89="","",MAX(0,MIN(100,ssy_kaliteTaban-IF($I89&lt;ssy_esikSagimLt,ssy_kaliteCeza,0)-COUNTIFS(tblGunluk[VarlikId],$A89,tblGunluk[AlarmBayrak],"ALARM")*ssy_kaliteSapma-IF($G89="HAYIR",ssy_kaliteCeza,0))))</f>
        <v/>
      </c>
    </row>
    <row r="90">
      <c r="A90" s="15" t="n"/>
      <c r="B90" s="15" t="n"/>
      <c r="C90" s="15" t="n"/>
      <c r="D90" s="16" t="n"/>
      <c r="E90" s="17" t="n"/>
      <c r="F90" s="60" t="n"/>
      <c r="G90" s="15" t="n"/>
      <c r="H90" s="19">
        <f>IF($A90="","",SUMIF(tblGunluk[VarlikId],$A90,tblGunluk[SagimLt_lt]))</f>
        <v/>
      </c>
      <c r="I90" s="19">
        <f>IF($A90="","",IFERROR(AVERAGEIF(tblGunluk[VarlikId],$A90,tblGunluk[SagimLt_lt]),0))</f>
        <v/>
      </c>
      <c r="J90" s="19">
        <f>IF($A90="","",COUNTIFS(tblGunluk[VarlikId],$A90,tblGunluk[AlarmBayrak],"ALARM"))</f>
        <v/>
      </c>
      <c r="K90" s="19">
        <f>IF($A90="","",MAX(0,MIN(100,ssy_kaliteTaban-IF($I90&lt;ssy_esikSagimLt,ssy_kaliteCeza,0)-COUNTIFS(tblGunluk[VarlikId],$A90,tblGunluk[AlarmBayrak],"ALARM")*ssy_kaliteSapma-IF($G90="HAYIR",ssy_kaliteCeza,0))))</f>
        <v/>
      </c>
    </row>
    <row r="91">
      <c r="A91" s="15" t="n"/>
      <c r="B91" s="15" t="n"/>
      <c r="C91" s="15" t="n"/>
      <c r="D91" s="16" t="n"/>
      <c r="E91" s="17" t="n"/>
      <c r="F91" s="60" t="n"/>
      <c r="G91" s="15" t="n"/>
      <c r="H91" s="19">
        <f>IF($A91="","",SUMIF(tblGunluk[VarlikId],$A91,tblGunluk[SagimLt_lt]))</f>
        <v/>
      </c>
      <c r="I91" s="19">
        <f>IF($A91="","",IFERROR(AVERAGEIF(tblGunluk[VarlikId],$A91,tblGunluk[SagimLt_lt]),0))</f>
        <v/>
      </c>
      <c r="J91" s="19">
        <f>IF($A91="","",COUNTIFS(tblGunluk[VarlikId],$A91,tblGunluk[AlarmBayrak],"ALARM"))</f>
        <v/>
      </c>
      <c r="K91" s="19">
        <f>IF($A91="","",MAX(0,MIN(100,ssy_kaliteTaban-IF($I91&lt;ssy_esikSagimLt,ssy_kaliteCeza,0)-COUNTIFS(tblGunluk[VarlikId],$A91,tblGunluk[AlarmBayrak],"ALARM")*ssy_kaliteSapma-IF($G91="HAYIR",ssy_kaliteCeza,0))))</f>
        <v/>
      </c>
    </row>
    <row r="92">
      <c r="A92" s="15" t="n"/>
      <c r="B92" s="15" t="n"/>
      <c r="C92" s="15" t="n"/>
      <c r="D92" s="16" t="n"/>
      <c r="E92" s="17" t="n"/>
      <c r="F92" s="60" t="n"/>
      <c r="G92" s="15" t="n"/>
      <c r="H92" s="19">
        <f>IF($A92="","",SUMIF(tblGunluk[VarlikId],$A92,tblGunluk[SagimLt_lt]))</f>
        <v/>
      </c>
      <c r="I92" s="19">
        <f>IF($A92="","",IFERROR(AVERAGEIF(tblGunluk[VarlikId],$A92,tblGunluk[SagimLt_lt]),0))</f>
        <v/>
      </c>
      <c r="J92" s="19">
        <f>IF($A92="","",COUNTIFS(tblGunluk[VarlikId],$A92,tblGunluk[AlarmBayrak],"ALARM"))</f>
        <v/>
      </c>
      <c r="K92" s="19">
        <f>IF($A92="","",MAX(0,MIN(100,ssy_kaliteTaban-IF($I92&lt;ssy_esikSagimLt,ssy_kaliteCeza,0)-COUNTIFS(tblGunluk[VarlikId],$A92,tblGunluk[AlarmBayrak],"ALARM")*ssy_kaliteSapma-IF($G92="HAYIR",ssy_kaliteCeza,0))))</f>
        <v/>
      </c>
    </row>
    <row r="93">
      <c r="A93" s="15" t="n"/>
      <c r="B93" s="15" t="n"/>
      <c r="C93" s="15" t="n"/>
      <c r="D93" s="16" t="n"/>
      <c r="E93" s="17" t="n"/>
      <c r="F93" s="60" t="n"/>
      <c r="G93" s="15" t="n"/>
      <c r="H93" s="19">
        <f>IF($A93="","",SUMIF(tblGunluk[VarlikId],$A93,tblGunluk[SagimLt_lt]))</f>
        <v/>
      </c>
      <c r="I93" s="19">
        <f>IF($A93="","",IFERROR(AVERAGEIF(tblGunluk[VarlikId],$A93,tblGunluk[SagimLt_lt]),0))</f>
        <v/>
      </c>
      <c r="J93" s="19">
        <f>IF($A93="","",COUNTIFS(tblGunluk[VarlikId],$A93,tblGunluk[AlarmBayrak],"ALARM"))</f>
        <v/>
      </c>
      <c r="K93" s="19">
        <f>IF($A93="","",MAX(0,MIN(100,ssy_kaliteTaban-IF($I93&lt;ssy_esikSagimLt,ssy_kaliteCeza,0)-COUNTIFS(tblGunluk[VarlikId],$A93,tblGunluk[AlarmBayrak],"ALARM")*ssy_kaliteSapma-IF($G93="HAYIR",ssy_kaliteCeza,0))))</f>
        <v/>
      </c>
    </row>
    <row r="94">
      <c r="A94" s="15" t="n"/>
      <c r="B94" s="15" t="n"/>
      <c r="C94" s="15" t="n"/>
      <c r="D94" s="16" t="n"/>
      <c r="E94" s="17" t="n"/>
      <c r="F94" s="60" t="n"/>
      <c r="G94" s="15" t="n"/>
      <c r="H94" s="19">
        <f>IF($A94="","",SUMIF(tblGunluk[VarlikId],$A94,tblGunluk[SagimLt_lt]))</f>
        <v/>
      </c>
      <c r="I94" s="19">
        <f>IF($A94="","",IFERROR(AVERAGEIF(tblGunluk[VarlikId],$A94,tblGunluk[SagimLt_lt]),0))</f>
        <v/>
      </c>
      <c r="J94" s="19">
        <f>IF($A94="","",COUNTIFS(tblGunluk[VarlikId],$A94,tblGunluk[AlarmBayrak],"ALARM"))</f>
        <v/>
      </c>
      <c r="K94" s="19">
        <f>IF($A94="","",MAX(0,MIN(100,ssy_kaliteTaban-IF($I94&lt;ssy_esikSagimLt,ssy_kaliteCeza,0)-COUNTIFS(tblGunluk[VarlikId],$A94,tblGunluk[AlarmBayrak],"ALARM")*ssy_kaliteSapma-IF($G94="HAYIR",ssy_kaliteCeza,0))))</f>
        <v/>
      </c>
    </row>
    <row r="95">
      <c r="A95" s="15" t="n"/>
      <c r="B95" s="15" t="n"/>
      <c r="C95" s="15" t="n"/>
      <c r="D95" s="16" t="n"/>
      <c r="E95" s="17" t="n"/>
      <c r="F95" s="60" t="n"/>
      <c r="G95" s="15" t="n"/>
      <c r="H95" s="19">
        <f>IF($A95="","",SUMIF(tblGunluk[VarlikId],$A95,tblGunluk[SagimLt_lt]))</f>
        <v/>
      </c>
      <c r="I95" s="19">
        <f>IF($A95="","",IFERROR(AVERAGEIF(tblGunluk[VarlikId],$A95,tblGunluk[SagimLt_lt]),0))</f>
        <v/>
      </c>
      <c r="J95" s="19">
        <f>IF($A95="","",COUNTIFS(tblGunluk[VarlikId],$A95,tblGunluk[AlarmBayrak],"ALARM"))</f>
        <v/>
      </c>
      <c r="K95" s="19">
        <f>IF($A95="","",MAX(0,MIN(100,ssy_kaliteTaban-IF($I95&lt;ssy_esikSagimLt,ssy_kaliteCeza,0)-COUNTIFS(tblGunluk[VarlikId],$A95,tblGunluk[AlarmBayrak],"ALARM")*ssy_kaliteSapma-IF($G95="HAYIR",ssy_kaliteCeza,0))))</f>
        <v/>
      </c>
    </row>
    <row r="96">
      <c r="A96" s="15" t="n"/>
      <c r="B96" s="15" t="n"/>
      <c r="C96" s="15" t="n"/>
      <c r="D96" s="16" t="n"/>
      <c r="E96" s="17" t="n"/>
      <c r="F96" s="60" t="n"/>
      <c r="G96" s="15" t="n"/>
      <c r="H96" s="19">
        <f>IF($A96="","",SUMIF(tblGunluk[VarlikId],$A96,tblGunluk[SagimLt_lt]))</f>
        <v/>
      </c>
      <c r="I96" s="19">
        <f>IF($A96="","",IFERROR(AVERAGEIF(tblGunluk[VarlikId],$A96,tblGunluk[SagimLt_lt]),0))</f>
        <v/>
      </c>
      <c r="J96" s="19">
        <f>IF($A96="","",COUNTIFS(tblGunluk[VarlikId],$A96,tblGunluk[AlarmBayrak],"ALARM"))</f>
        <v/>
      </c>
      <c r="K96" s="19">
        <f>IF($A96="","",MAX(0,MIN(100,ssy_kaliteTaban-IF($I96&lt;ssy_esikSagimLt,ssy_kaliteCeza,0)-COUNTIFS(tblGunluk[VarlikId],$A96,tblGunluk[AlarmBayrak],"ALARM")*ssy_kaliteSapma-IF($G96="HAYIR",ssy_kaliteCeza,0))))</f>
        <v/>
      </c>
    </row>
    <row r="97">
      <c r="A97" s="15" t="n"/>
      <c r="B97" s="15" t="n"/>
      <c r="C97" s="15" t="n"/>
      <c r="D97" s="16" t="n"/>
      <c r="E97" s="17" t="n"/>
      <c r="F97" s="60" t="n"/>
      <c r="G97" s="15" t="n"/>
      <c r="H97" s="19">
        <f>IF($A97="","",SUMIF(tblGunluk[VarlikId],$A97,tblGunluk[SagimLt_lt]))</f>
        <v/>
      </c>
      <c r="I97" s="19">
        <f>IF($A97="","",IFERROR(AVERAGEIF(tblGunluk[VarlikId],$A97,tblGunluk[SagimLt_lt]),0))</f>
        <v/>
      </c>
      <c r="J97" s="19">
        <f>IF($A97="","",COUNTIFS(tblGunluk[VarlikId],$A97,tblGunluk[AlarmBayrak],"ALARM"))</f>
        <v/>
      </c>
      <c r="K97" s="19">
        <f>IF($A97="","",MAX(0,MIN(100,ssy_kaliteTaban-IF($I97&lt;ssy_esikSagimLt,ssy_kaliteCeza,0)-COUNTIFS(tblGunluk[VarlikId],$A97,tblGunluk[AlarmBayrak],"ALARM")*ssy_kaliteSapma-IF($G97="HAYIR",ssy_kaliteCeza,0))))</f>
        <v/>
      </c>
    </row>
    <row r="98">
      <c r="A98" s="15" t="n"/>
      <c r="B98" s="15" t="n"/>
      <c r="C98" s="15" t="n"/>
      <c r="D98" s="16" t="n"/>
      <c r="E98" s="17" t="n"/>
      <c r="F98" s="60" t="n"/>
      <c r="G98" s="15" t="n"/>
      <c r="H98" s="19">
        <f>IF($A98="","",SUMIF(tblGunluk[VarlikId],$A98,tblGunluk[SagimLt_lt]))</f>
        <v/>
      </c>
      <c r="I98" s="19">
        <f>IF($A98="","",IFERROR(AVERAGEIF(tblGunluk[VarlikId],$A98,tblGunluk[SagimLt_lt]),0))</f>
        <v/>
      </c>
      <c r="J98" s="19">
        <f>IF($A98="","",COUNTIFS(tblGunluk[VarlikId],$A98,tblGunluk[AlarmBayrak],"ALARM"))</f>
        <v/>
      </c>
      <c r="K98" s="19">
        <f>IF($A98="","",MAX(0,MIN(100,ssy_kaliteTaban-IF($I98&lt;ssy_esikSagimLt,ssy_kaliteCeza,0)-COUNTIFS(tblGunluk[VarlikId],$A98,tblGunluk[AlarmBayrak],"ALARM")*ssy_kaliteSapma-IF($G98="HAYIR",ssy_kaliteCeza,0))))</f>
        <v/>
      </c>
    </row>
    <row r="99">
      <c r="A99" s="15" t="n"/>
      <c r="B99" s="15" t="n"/>
      <c r="C99" s="15" t="n"/>
      <c r="D99" s="16" t="n"/>
      <c r="E99" s="17" t="n"/>
      <c r="F99" s="60" t="n"/>
      <c r="G99" s="15" t="n"/>
      <c r="H99" s="19">
        <f>IF($A99="","",SUMIF(tblGunluk[VarlikId],$A99,tblGunluk[SagimLt_lt]))</f>
        <v/>
      </c>
      <c r="I99" s="19">
        <f>IF($A99="","",IFERROR(AVERAGEIF(tblGunluk[VarlikId],$A99,tblGunluk[SagimLt_lt]),0))</f>
        <v/>
      </c>
      <c r="J99" s="19">
        <f>IF($A99="","",COUNTIFS(tblGunluk[VarlikId],$A99,tblGunluk[AlarmBayrak],"ALARM"))</f>
        <v/>
      </c>
      <c r="K99" s="19">
        <f>IF($A99="","",MAX(0,MIN(100,ssy_kaliteTaban-IF($I99&lt;ssy_esikSagimLt,ssy_kaliteCeza,0)-COUNTIFS(tblGunluk[VarlikId],$A99,tblGunluk[AlarmBayrak],"ALARM")*ssy_kaliteSapma-IF($G99="HAYIR",ssy_kaliteCeza,0))))</f>
        <v/>
      </c>
    </row>
    <row r="100">
      <c r="A100" s="15" t="n"/>
      <c r="B100" s="15" t="n"/>
      <c r="C100" s="15" t="n"/>
      <c r="D100" s="16" t="n"/>
      <c r="E100" s="17" t="n"/>
      <c r="F100" s="60" t="n"/>
      <c r="G100" s="15" t="n"/>
      <c r="H100" s="19">
        <f>IF($A100="","",SUMIF(tblGunluk[VarlikId],$A100,tblGunluk[SagimLt_lt]))</f>
        <v/>
      </c>
      <c r="I100" s="19">
        <f>IF($A100="","",IFERROR(AVERAGEIF(tblGunluk[VarlikId],$A100,tblGunluk[SagimLt_lt]),0))</f>
        <v/>
      </c>
      <c r="J100" s="19">
        <f>IF($A100="","",COUNTIFS(tblGunluk[VarlikId],$A100,tblGunluk[AlarmBayrak],"ALARM"))</f>
        <v/>
      </c>
      <c r="K100" s="19">
        <f>IF($A100="","",MAX(0,MIN(100,ssy_kaliteTaban-IF($I100&lt;ssy_esikSagimLt,ssy_kaliteCeza,0)-COUNTIFS(tblGunluk[VarlikId],$A100,tblGunluk[AlarmBayrak],"ALARM")*ssy_kaliteSapma-IF($G100="HAYIR",ssy_kaliteCeza,0))))</f>
        <v/>
      </c>
    </row>
    <row r="101">
      <c r="A101" s="15" t="n"/>
      <c r="B101" s="15" t="n"/>
      <c r="C101" s="15" t="n"/>
      <c r="D101" s="16" t="n"/>
      <c r="E101" s="17" t="n"/>
      <c r="F101" s="60" t="n"/>
      <c r="G101" s="15" t="n"/>
      <c r="H101" s="19">
        <f>IF($A101="","",SUMIF(tblGunluk[VarlikId],$A101,tblGunluk[SagimLt_lt]))</f>
        <v/>
      </c>
      <c r="I101" s="19">
        <f>IF($A101="","",IFERROR(AVERAGEIF(tblGunluk[VarlikId],$A101,tblGunluk[SagimLt_lt]),0))</f>
        <v/>
      </c>
      <c r="J101" s="19">
        <f>IF($A101="","",COUNTIFS(tblGunluk[VarlikId],$A101,tblGunluk[AlarmBayrak],"ALARM"))</f>
        <v/>
      </c>
      <c r="K101" s="19">
        <f>IF($A101="","",MAX(0,MIN(100,ssy_kaliteTaban-IF($I101&lt;ssy_esikSagimLt,ssy_kaliteCeza,0)-COUNTIFS(tblGunluk[VarlikId],$A101,tblGunluk[AlarmBayrak],"ALARM")*ssy_kaliteSapma-IF($G101="HAYIR",ssy_kaliteCeza,0))))</f>
        <v/>
      </c>
    </row>
    <row r="102">
      <c r="A102" s="15" t="n"/>
      <c r="B102" s="15" t="n"/>
      <c r="C102" s="15" t="n"/>
      <c r="D102" s="16" t="n"/>
      <c r="E102" s="17" t="n"/>
      <c r="F102" s="60" t="n"/>
      <c r="G102" s="15" t="n"/>
      <c r="H102" s="19">
        <f>IF($A102="","",SUMIF(tblGunluk[VarlikId],$A102,tblGunluk[SagimLt_lt]))</f>
        <v/>
      </c>
      <c r="I102" s="19">
        <f>IF($A102="","",IFERROR(AVERAGEIF(tblGunluk[VarlikId],$A102,tblGunluk[SagimLt_lt]),0))</f>
        <v/>
      </c>
      <c r="J102" s="19">
        <f>IF($A102="","",COUNTIFS(tblGunluk[VarlikId],$A102,tblGunluk[AlarmBayrak],"ALARM"))</f>
        <v/>
      </c>
      <c r="K102" s="19">
        <f>IF($A102="","",MAX(0,MIN(100,ssy_kaliteTaban-IF($I102&lt;ssy_esikSagimLt,ssy_kaliteCeza,0)-COUNTIFS(tblGunluk[VarlikId],$A102,tblGunluk[AlarmBayrak],"ALARM")*ssy_kaliteSapma-IF($G102="HAYIR",ssy_kaliteCeza,0))))</f>
        <v/>
      </c>
    </row>
    <row r="103">
      <c r="A103" s="15" t="n"/>
      <c r="B103" s="15" t="n"/>
      <c r="C103" s="15" t="n"/>
      <c r="D103" s="16" t="n"/>
      <c r="E103" s="17" t="n"/>
      <c r="F103" s="60" t="n"/>
      <c r="G103" s="15" t="n"/>
      <c r="H103" s="19">
        <f>IF($A103="","",SUMIF(tblGunluk[VarlikId],$A103,tblGunluk[SagimLt_lt]))</f>
        <v/>
      </c>
      <c r="I103" s="19">
        <f>IF($A103="","",IFERROR(AVERAGEIF(tblGunluk[VarlikId],$A103,tblGunluk[SagimLt_lt]),0))</f>
        <v/>
      </c>
      <c r="J103" s="19">
        <f>IF($A103="","",COUNTIFS(tblGunluk[VarlikId],$A103,tblGunluk[AlarmBayrak],"ALARM"))</f>
        <v/>
      </c>
      <c r="K103" s="19">
        <f>IF($A103="","",MAX(0,MIN(100,ssy_kaliteTaban-IF($I103&lt;ssy_esikSagimLt,ssy_kaliteCeza,0)-COUNTIFS(tblGunluk[VarlikId],$A103,tblGunluk[AlarmBayrak],"ALARM")*ssy_kaliteSapma-IF($G103="HAYIR",ssy_kaliteCeza,0))))</f>
        <v/>
      </c>
    </row>
    <row r="104">
      <c r="A104" s="15" t="n"/>
      <c r="B104" s="15" t="n"/>
      <c r="C104" s="15" t="n"/>
      <c r="D104" s="16" t="n"/>
      <c r="E104" s="17" t="n"/>
      <c r="F104" s="60" t="n"/>
      <c r="G104" s="15" t="n"/>
      <c r="H104" s="19">
        <f>IF($A104="","",SUMIF(tblGunluk[VarlikId],$A104,tblGunluk[SagimLt_lt]))</f>
        <v/>
      </c>
      <c r="I104" s="19">
        <f>IF($A104="","",IFERROR(AVERAGEIF(tblGunluk[VarlikId],$A104,tblGunluk[SagimLt_lt]),0))</f>
        <v/>
      </c>
      <c r="J104" s="19">
        <f>IF($A104="","",COUNTIFS(tblGunluk[VarlikId],$A104,tblGunluk[AlarmBayrak],"ALARM"))</f>
        <v/>
      </c>
      <c r="K104" s="19">
        <f>IF($A104="","",MAX(0,MIN(100,ssy_kaliteTaban-IF($I104&lt;ssy_esikSagimLt,ssy_kaliteCeza,0)-COUNTIFS(tblGunluk[VarlikId],$A104,tblGunluk[AlarmBayrak],"ALARM")*ssy_kaliteSapma-IF($G104="HAYIR",ssy_kaliteCeza,0))))</f>
        <v/>
      </c>
    </row>
    <row r="105">
      <c r="A105" s="15" t="n"/>
      <c r="B105" s="15" t="n"/>
      <c r="C105" s="15" t="n"/>
      <c r="D105" s="16" t="n"/>
      <c r="E105" s="17" t="n"/>
      <c r="F105" s="60" t="n"/>
      <c r="G105" s="15" t="n"/>
      <c r="H105" s="19">
        <f>IF($A105="","",SUMIF(tblGunluk[VarlikId],$A105,tblGunluk[SagimLt_lt]))</f>
        <v/>
      </c>
      <c r="I105" s="19">
        <f>IF($A105="","",IFERROR(AVERAGEIF(tblGunluk[VarlikId],$A105,tblGunluk[SagimLt_lt]),0))</f>
        <v/>
      </c>
      <c r="J105" s="19">
        <f>IF($A105="","",COUNTIFS(tblGunluk[VarlikId],$A105,tblGunluk[AlarmBayrak],"ALARM"))</f>
        <v/>
      </c>
      <c r="K105" s="19">
        <f>IF($A105="","",MAX(0,MIN(100,ssy_kaliteTaban-IF($I105&lt;ssy_esikSagimLt,ssy_kaliteCeza,0)-COUNTIFS(tblGunluk[VarlikId],$A105,tblGunluk[AlarmBayrak],"ALARM")*ssy_kaliteSapma-IF($G105="HAYIR",ssy_kaliteCeza,0))))</f>
        <v/>
      </c>
    </row>
    <row r="106">
      <c r="A106" s="15" t="n"/>
      <c r="B106" s="15" t="n"/>
      <c r="C106" s="15" t="n"/>
      <c r="D106" s="16" t="n"/>
      <c r="E106" s="17" t="n"/>
      <c r="F106" s="60" t="n"/>
      <c r="G106" s="15" t="n"/>
      <c r="H106" s="19">
        <f>IF($A106="","",SUMIF(tblGunluk[VarlikId],$A106,tblGunluk[SagimLt_lt]))</f>
        <v/>
      </c>
      <c r="I106" s="19">
        <f>IF($A106="","",IFERROR(AVERAGEIF(tblGunluk[VarlikId],$A106,tblGunluk[SagimLt_lt]),0))</f>
        <v/>
      </c>
      <c r="J106" s="19">
        <f>IF($A106="","",COUNTIFS(tblGunluk[VarlikId],$A106,tblGunluk[AlarmBayrak],"ALARM"))</f>
        <v/>
      </c>
      <c r="K106" s="19">
        <f>IF($A106="","",MAX(0,MIN(100,ssy_kaliteTaban-IF($I106&lt;ssy_esikSagimLt,ssy_kaliteCeza,0)-COUNTIFS(tblGunluk[VarlikId],$A106,tblGunluk[AlarmBayrak],"ALARM")*ssy_kaliteSapma-IF($G106="HAYIR",ssy_kaliteCeza,0))))</f>
        <v/>
      </c>
    </row>
    <row r="107">
      <c r="A107" s="15" t="n"/>
      <c r="B107" s="15" t="n"/>
      <c r="C107" s="15" t="n"/>
      <c r="D107" s="16" t="n"/>
      <c r="E107" s="17" t="n"/>
      <c r="F107" s="60" t="n"/>
      <c r="G107" s="15" t="n"/>
      <c r="H107" s="19">
        <f>IF($A107="","",SUMIF(tblGunluk[VarlikId],$A107,tblGunluk[SagimLt_lt]))</f>
        <v/>
      </c>
      <c r="I107" s="19">
        <f>IF($A107="","",IFERROR(AVERAGEIF(tblGunluk[VarlikId],$A107,tblGunluk[SagimLt_lt]),0))</f>
        <v/>
      </c>
      <c r="J107" s="19">
        <f>IF($A107="","",COUNTIFS(tblGunluk[VarlikId],$A107,tblGunluk[AlarmBayrak],"ALARM"))</f>
        <v/>
      </c>
      <c r="K107" s="19">
        <f>IF($A107="","",MAX(0,MIN(100,ssy_kaliteTaban-IF($I107&lt;ssy_esikSagimLt,ssy_kaliteCeza,0)-COUNTIFS(tblGunluk[VarlikId],$A107,tblGunluk[AlarmBayrak],"ALARM")*ssy_kaliteSapma-IF($G107="HAYIR",ssy_kaliteCeza,0))))</f>
        <v/>
      </c>
    </row>
    <row r="108">
      <c r="A108" s="15" t="n"/>
      <c r="B108" s="15" t="n"/>
      <c r="C108" s="15" t="n"/>
      <c r="D108" s="16" t="n"/>
      <c r="E108" s="17" t="n"/>
      <c r="F108" s="60" t="n"/>
      <c r="G108" s="15" t="n"/>
      <c r="H108" s="19">
        <f>IF($A108="","",SUMIF(tblGunluk[VarlikId],$A108,tblGunluk[SagimLt_lt]))</f>
        <v/>
      </c>
      <c r="I108" s="19">
        <f>IF($A108="","",IFERROR(AVERAGEIF(tblGunluk[VarlikId],$A108,tblGunluk[SagimLt_lt]),0))</f>
        <v/>
      </c>
      <c r="J108" s="19">
        <f>IF($A108="","",COUNTIFS(tblGunluk[VarlikId],$A108,tblGunluk[AlarmBayrak],"ALARM"))</f>
        <v/>
      </c>
      <c r="K108" s="19">
        <f>IF($A108="","",MAX(0,MIN(100,ssy_kaliteTaban-IF($I108&lt;ssy_esikSagimLt,ssy_kaliteCeza,0)-COUNTIFS(tblGunluk[VarlikId],$A108,tblGunluk[AlarmBayrak],"ALARM")*ssy_kaliteSapma-IF($G108="HAYIR",ssy_kaliteCeza,0))))</f>
        <v/>
      </c>
    </row>
    <row r="109">
      <c r="A109" s="15" t="n"/>
      <c r="B109" s="15" t="n"/>
      <c r="C109" s="15" t="n"/>
      <c r="D109" s="16" t="n"/>
      <c r="E109" s="17" t="n"/>
      <c r="F109" s="60" t="n"/>
      <c r="G109" s="15" t="n"/>
      <c r="H109" s="19">
        <f>IF($A109="","",SUMIF(tblGunluk[VarlikId],$A109,tblGunluk[SagimLt_lt]))</f>
        <v/>
      </c>
      <c r="I109" s="19">
        <f>IF($A109="","",IFERROR(AVERAGEIF(tblGunluk[VarlikId],$A109,tblGunluk[SagimLt_lt]),0))</f>
        <v/>
      </c>
      <c r="J109" s="19">
        <f>IF($A109="","",COUNTIFS(tblGunluk[VarlikId],$A109,tblGunluk[AlarmBayrak],"ALARM"))</f>
        <v/>
      </c>
      <c r="K109" s="19">
        <f>IF($A109="","",MAX(0,MIN(100,ssy_kaliteTaban-IF($I109&lt;ssy_esikSagimLt,ssy_kaliteCeza,0)-COUNTIFS(tblGunluk[VarlikId],$A109,tblGunluk[AlarmBayrak],"ALARM")*ssy_kaliteSapma-IF($G109="HAYIR",ssy_kaliteCeza,0))))</f>
        <v/>
      </c>
    </row>
    <row r="110">
      <c r="A110" s="15" t="n"/>
      <c r="B110" s="15" t="n"/>
      <c r="C110" s="15" t="n"/>
      <c r="D110" s="16" t="n"/>
      <c r="E110" s="17" t="n"/>
      <c r="F110" s="60" t="n"/>
      <c r="G110" s="15" t="n"/>
      <c r="H110" s="19">
        <f>IF($A110="","",SUMIF(tblGunluk[VarlikId],$A110,tblGunluk[SagimLt_lt]))</f>
        <v/>
      </c>
      <c r="I110" s="19">
        <f>IF($A110="","",IFERROR(AVERAGEIF(tblGunluk[VarlikId],$A110,tblGunluk[SagimLt_lt]),0))</f>
        <v/>
      </c>
      <c r="J110" s="19">
        <f>IF($A110="","",COUNTIFS(tblGunluk[VarlikId],$A110,tblGunluk[AlarmBayrak],"ALARM"))</f>
        <v/>
      </c>
      <c r="K110" s="19">
        <f>IF($A110="","",MAX(0,MIN(100,ssy_kaliteTaban-IF($I110&lt;ssy_esikSagimLt,ssy_kaliteCeza,0)-COUNTIFS(tblGunluk[VarlikId],$A110,tblGunluk[AlarmBayrak],"ALARM")*ssy_kaliteSapma-IF($G110="HAYIR",ssy_kaliteCeza,0))))</f>
        <v/>
      </c>
    </row>
    <row r="111">
      <c r="A111" s="15" t="n"/>
      <c r="B111" s="15" t="n"/>
      <c r="C111" s="15" t="n"/>
      <c r="D111" s="16" t="n"/>
      <c r="E111" s="17" t="n"/>
      <c r="F111" s="60" t="n"/>
      <c r="G111" s="15" t="n"/>
      <c r="H111" s="19">
        <f>IF($A111="","",SUMIF(tblGunluk[VarlikId],$A111,tblGunluk[SagimLt_lt]))</f>
        <v/>
      </c>
      <c r="I111" s="19">
        <f>IF($A111="","",IFERROR(AVERAGEIF(tblGunluk[VarlikId],$A111,tblGunluk[SagimLt_lt]),0))</f>
        <v/>
      </c>
      <c r="J111" s="19">
        <f>IF($A111="","",COUNTIFS(tblGunluk[VarlikId],$A111,tblGunluk[AlarmBayrak],"ALARM"))</f>
        <v/>
      </c>
      <c r="K111" s="19">
        <f>IF($A111="","",MAX(0,MIN(100,ssy_kaliteTaban-IF($I111&lt;ssy_esikSagimLt,ssy_kaliteCeza,0)-COUNTIFS(tblGunluk[VarlikId],$A111,tblGunluk[AlarmBayrak],"ALARM")*ssy_kaliteSapma-IF($G111="HAYIR",ssy_kaliteCeza,0))))</f>
        <v/>
      </c>
    </row>
    <row r="112">
      <c r="A112" s="15" t="n"/>
      <c r="B112" s="15" t="n"/>
      <c r="C112" s="15" t="n"/>
      <c r="D112" s="16" t="n"/>
      <c r="E112" s="17" t="n"/>
      <c r="F112" s="60" t="n"/>
      <c r="G112" s="15" t="n"/>
      <c r="H112" s="19">
        <f>IF($A112="","",SUMIF(tblGunluk[VarlikId],$A112,tblGunluk[SagimLt_lt]))</f>
        <v/>
      </c>
      <c r="I112" s="19">
        <f>IF($A112="","",IFERROR(AVERAGEIF(tblGunluk[VarlikId],$A112,tblGunluk[SagimLt_lt]),0))</f>
        <v/>
      </c>
      <c r="J112" s="19">
        <f>IF($A112="","",COUNTIFS(tblGunluk[VarlikId],$A112,tblGunluk[AlarmBayrak],"ALARM"))</f>
        <v/>
      </c>
      <c r="K112" s="19">
        <f>IF($A112="","",MAX(0,MIN(100,ssy_kaliteTaban-IF($I112&lt;ssy_esikSagimLt,ssy_kaliteCeza,0)-COUNTIFS(tblGunluk[VarlikId],$A112,tblGunluk[AlarmBayrak],"ALARM")*ssy_kaliteSapma-IF($G112="HAYIR",ssy_kaliteCeza,0))))</f>
        <v/>
      </c>
    </row>
    <row r="113">
      <c r="A113" s="15" t="n"/>
      <c r="B113" s="15" t="n"/>
      <c r="C113" s="15" t="n"/>
      <c r="D113" s="16" t="n"/>
      <c r="E113" s="17" t="n"/>
      <c r="F113" s="60" t="n"/>
      <c r="G113" s="15" t="n"/>
      <c r="H113" s="19">
        <f>IF($A113="","",SUMIF(tblGunluk[VarlikId],$A113,tblGunluk[SagimLt_lt]))</f>
        <v/>
      </c>
      <c r="I113" s="19">
        <f>IF($A113="","",IFERROR(AVERAGEIF(tblGunluk[VarlikId],$A113,tblGunluk[SagimLt_lt]),0))</f>
        <v/>
      </c>
      <c r="J113" s="19">
        <f>IF($A113="","",COUNTIFS(tblGunluk[VarlikId],$A113,tblGunluk[AlarmBayrak],"ALARM"))</f>
        <v/>
      </c>
      <c r="K113" s="19">
        <f>IF($A113="","",MAX(0,MIN(100,ssy_kaliteTaban-IF($I113&lt;ssy_esikSagimLt,ssy_kaliteCeza,0)-COUNTIFS(tblGunluk[VarlikId],$A113,tblGunluk[AlarmBayrak],"ALARM")*ssy_kaliteSapma-IF($G113="HAYIR",ssy_kaliteCeza,0))))</f>
        <v/>
      </c>
    </row>
    <row r="114">
      <c r="A114" s="15" t="n"/>
      <c r="B114" s="15" t="n"/>
      <c r="C114" s="15" t="n"/>
      <c r="D114" s="16" t="n"/>
      <c r="E114" s="17" t="n"/>
      <c r="F114" s="60" t="n"/>
      <c r="G114" s="15" t="n"/>
      <c r="H114" s="19">
        <f>IF($A114="","",SUMIF(tblGunluk[VarlikId],$A114,tblGunluk[SagimLt_lt]))</f>
        <v/>
      </c>
      <c r="I114" s="19">
        <f>IF($A114="","",IFERROR(AVERAGEIF(tblGunluk[VarlikId],$A114,tblGunluk[SagimLt_lt]),0))</f>
        <v/>
      </c>
      <c r="J114" s="19">
        <f>IF($A114="","",COUNTIFS(tblGunluk[VarlikId],$A114,tblGunluk[AlarmBayrak],"ALARM"))</f>
        <v/>
      </c>
      <c r="K114" s="19">
        <f>IF($A114="","",MAX(0,MIN(100,ssy_kaliteTaban-IF($I114&lt;ssy_esikSagimLt,ssy_kaliteCeza,0)-COUNTIFS(tblGunluk[VarlikId],$A114,tblGunluk[AlarmBayrak],"ALARM")*ssy_kaliteSapma-IF($G114="HAYIR",ssy_kaliteCeza,0))))</f>
        <v/>
      </c>
    </row>
    <row r="115">
      <c r="A115" s="15" t="n"/>
      <c r="B115" s="15" t="n"/>
      <c r="C115" s="15" t="n"/>
      <c r="D115" s="16" t="n"/>
      <c r="E115" s="17" t="n"/>
      <c r="F115" s="60" t="n"/>
      <c r="G115" s="15" t="n"/>
      <c r="H115" s="19">
        <f>IF($A115="","",SUMIF(tblGunluk[VarlikId],$A115,tblGunluk[SagimLt_lt]))</f>
        <v/>
      </c>
      <c r="I115" s="19">
        <f>IF($A115="","",IFERROR(AVERAGEIF(tblGunluk[VarlikId],$A115,tblGunluk[SagimLt_lt]),0))</f>
        <v/>
      </c>
      <c r="J115" s="19">
        <f>IF($A115="","",COUNTIFS(tblGunluk[VarlikId],$A115,tblGunluk[AlarmBayrak],"ALARM"))</f>
        <v/>
      </c>
      <c r="K115" s="19">
        <f>IF($A115="","",MAX(0,MIN(100,ssy_kaliteTaban-IF($I115&lt;ssy_esikSagimLt,ssy_kaliteCeza,0)-COUNTIFS(tblGunluk[VarlikId],$A115,tblGunluk[AlarmBayrak],"ALARM")*ssy_kaliteSapma-IF($G115="HAYIR",ssy_kaliteCeza,0))))</f>
        <v/>
      </c>
    </row>
    <row r="116">
      <c r="A116" s="15" t="n"/>
      <c r="B116" s="15" t="n"/>
      <c r="C116" s="15" t="n"/>
      <c r="D116" s="16" t="n"/>
      <c r="E116" s="17" t="n"/>
      <c r="F116" s="60" t="n"/>
      <c r="G116" s="15" t="n"/>
      <c r="H116" s="19">
        <f>IF($A116="","",SUMIF(tblGunluk[VarlikId],$A116,tblGunluk[SagimLt_lt]))</f>
        <v/>
      </c>
      <c r="I116" s="19">
        <f>IF($A116="","",IFERROR(AVERAGEIF(tblGunluk[VarlikId],$A116,tblGunluk[SagimLt_lt]),0))</f>
        <v/>
      </c>
      <c r="J116" s="19">
        <f>IF($A116="","",COUNTIFS(tblGunluk[VarlikId],$A116,tblGunluk[AlarmBayrak],"ALARM"))</f>
        <v/>
      </c>
      <c r="K116" s="19">
        <f>IF($A116="","",MAX(0,MIN(100,ssy_kaliteTaban-IF($I116&lt;ssy_esikSagimLt,ssy_kaliteCeza,0)-COUNTIFS(tblGunluk[VarlikId],$A116,tblGunluk[AlarmBayrak],"ALARM")*ssy_kaliteSapma-IF($G116="HAYIR",ssy_kaliteCeza,0))))</f>
        <v/>
      </c>
    </row>
    <row r="117">
      <c r="A117" s="15" t="n"/>
      <c r="B117" s="15" t="n"/>
      <c r="C117" s="15" t="n"/>
      <c r="D117" s="16" t="n"/>
      <c r="E117" s="17" t="n"/>
      <c r="F117" s="60" t="n"/>
      <c r="G117" s="15" t="n"/>
      <c r="H117" s="19">
        <f>IF($A117="","",SUMIF(tblGunluk[VarlikId],$A117,tblGunluk[SagimLt_lt]))</f>
        <v/>
      </c>
      <c r="I117" s="19">
        <f>IF($A117="","",IFERROR(AVERAGEIF(tblGunluk[VarlikId],$A117,tblGunluk[SagimLt_lt]),0))</f>
        <v/>
      </c>
      <c r="J117" s="19">
        <f>IF($A117="","",COUNTIFS(tblGunluk[VarlikId],$A117,tblGunluk[AlarmBayrak],"ALARM"))</f>
        <v/>
      </c>
      <c r="K117" s="19">
        <f>IF($A117="","",MAX(0,MIN(100,ssy_kaliteTaban-IF($I117&lt;ssy_esikSagimLt,ssy_kaliteCeza,0)-COUNTIFS(tblGunluk[VarlikId],$A117,tblGunluk[AlarmBayrak],"ALARM")*ssy_kaliteSapma-IF($G117="HAYIR",ssy_kaliteCeza,0))))</f>
        <v/>
      </c>
    </row>
    <row r="118">
      <c r="A118" s="15" t="n"/>
      <c r="B118" s="15" t="n"/>
      <c r="C118" s="15" t="n"/>
      <c r="D118" s="16" t="n"/>
      <c r="E118" s="17" t="n"/>
      <c r="F118" s="60" t="n"/>
      <c r="G118" s="15" t="n"/>
      <c r="H118" s="19">
        <f>IF($A118="","",SUMIF(tblGunluk[VarlikId],$A118,tblGunluk[SagimLt_lt]))</f>
        <v/>
      </c>
      <c r="I118" s="19">
        <f>IF($A118="","",IFERROR(AVERAGEIF(tblGunluk[VarlikId],$A118,tblGunluk[SagimLt_lt]),0))</f>
        <v/>
      </c>
      <c r="J118" s="19">
        <f>IF($A118="","",COUNTIFS(tblGunluk[VarlikId],$A118,tblGunluk[AlarmBayrak],"ALARM"))</f>
        <v/>
      </c>
      <c r="K118" s="19">
        <f>IF($A118="","",MAX(0,MIN(100,ssy_kaliteTaban-IF($I118&lt;ssy_esikSagimLt,ssy_kaliteCeza,0)-COUNTIFS(tblGunluk[VarlikId],$A118,tblGunluk[AlarmBayrak],"ALARM")*ssy_kaliteSapma-IF($G118="HAYIR",ssy_kaliteCeza,0))))</f>
        <v/>
      </c>
    </row>
    <row r="119">
      <c r="A119" s="15" t="n"/>
      <c r="B119" s="15" t="n"/>
      <c r="C119" s="15" t="n"/>
      <c r="D119" s="16" t="n"/>
      <c r="E119" s="17" t="n"/>
      <c r="F119" s="60" t="n"/>
      <c r="G119" s="15" t="n"/>
      <c r="H119" s="19">
        <f>IF($A119="","",SUMIF(tblGunluk[VarlikId],$A119,tblGunluk[SagimLt_lt]))</f>
        <v/>
      </c>
      <c r="I119" s="19">
        <f>IF($A119="","",IFERROR(AVERAGEIF(tblGunluk[VarlikId],$A119,tblGunluk[SagimLt_lt]),0))</f>
        <v/>
      </c>
      <c r="J119" s="19">
        <f>IF($A119="","",COUNTIFS(tblGunluk[VarlikId],$A119,tblGunluk[AlarmBayrak],"ALARM"))</f>
        <v/>
      </c>
      <c r="K119" s="19">
        <f>IF($A119="","",MAX(0,MIN(100,ssy_kaliteTaban-IF($I119&lt;ssy_esikSagimLt,ssy_kaliteCeza,0)-COUNTIFS(tblGunluk[VarlikId],$A119,tblGunluk[AlarmBayrak],"ALARM")*ssy_kaliteSapma-IF($G119="HAYIR",ssy_kaliteCeza,0))))</f>
        <v/>
      </c>
    </row>
    <row r="120">
      <c r="A120" s="15" t="n"/>
      <c r="B120" s="15" t="n"/>
      <c r="C120" s="15" t="n"/>
      <c r="D120" s="16" t="n"/>
      <c r="E120" s="17" t="n"/>
      <c r="F120" s="60" t="n"/>
      <c r="G120" s="15" t="n"/>
      <c r="H120" s="19">
        <f>IF($A120="","",SUMIF(tblGunluk[VarlikId],$A120,tblGunluk[SagimLt_lt]))</f>
        <v/>
      </c>
      <c r="I120" s="19">
        <f>IF($A120="","",IFERROR(AVERAGEIF(tblGunluk[VarlikId],$A120,tblGunluk[SagimLt_lt]),0))</f>
        <v/>
      </c>
      <c r="J120" s="19">
        <f>IF($A120="","",COUNTIFS(tblGunluk[VarlikId],$A120,tblGunluk[AlarmBayrak],"ALARM"))</f>
        <v/>
      </c>
      <c r="K120" s="19">
        <f>IF($A120="","",MAX(0,MIN(100,ssy_kaliteTaban-IF($I120&lt;ssy_esikSagimLt,ssy_kaliteCeza,0)-COUNTIFS(tblGunluk[VarlikId],$A120,tblGunluk[AlarmBayrak],"ALARM")*ssy_kaliteSapma-IF($G120="HAYIR",ssy_kaliteCeza,0))))</f>
        <v/>
      </c>
    </row>
    <row r="121">
      <c r="A121" s="15" t="n"/>
      <c r="B121" s="15" t="n"/>
      <c r="C121" s="15" t="n"/>
      <c r="D121" s="16" t="n"/>
      <c r="E121" s="17" t="n"/>
      <c r="F121" s="60" t="n"/>
      <c r="G121" s="15" t="n"/>
      <c r="H121" s="19">
        <f>IF($A121="","",SUMIF(tblGunluk[VarlikId],$A121,tblGunluk[SagimLt_lt]))</f>
        <v/>
      </c>
      <c r="I121" s="19">
        <f>IF($A121="","",IFERROR(AVERAGEIF(tblGunluk[VarlikId],$A121,tblGunluk[SagimLt_lt]),0))</f>
        <v/>
      </c>
      <c r="J121" s="19">
        <f>IF($A121="","",COUNTIFS(tblGunluk[VarlikId],$A121,tblGunluk[AlarmBayrak],"ALARM"))</f>
        <v/>
      </c>
      <c r="K121" s="19">
        <f>IF($A121="","",MAX(0,MIN(100,ssy_kaliteTaban-IF($I121&lt;ssy_esikSagimLt,ssy_kaliteCeza,0)-COUNTIFS(tblGunluk[VarlikId],$A121,tblGunluk[AlarmBayrak],"ALARM")*ssy_kaliteSapma-IF($G121="HAYIR",ssy_kaliteCeza,0))))</f>
        <v/>
      </c>
    </row>
    <row r="122">
      <c r="A122" s="15" t="n"/>
      <c r="B122" s="15" t="n"/>
      <c r="C122" s="15" t="n"/>
      <c r="D122" s="16" t="n"/>
      <c r="E122" s="17" t="n"/>
      <c r="F122" s="60" t="n"/>
      <c r="G122" s="15" t="n"/>
      <c r="H122" s="19">
        <f>IF($A122="","",SUMIF(tblGunluk[VarlikId],$A122,tblGunluk[SagimLt_lt]))</f>
        <v/>
      </c>
      <c r="I122" s="19">
        <f>IF($A122="","",IFERROR(AVERAGEIF(tblGunluk[VarlikId],$A122,tblGunluk[SagimLt_lt]),0))</f>
        <v/>
      </c>
      <c r="J122" s="19">
        <f>IF($A122="","",COUNTIFS(tblGunluk[VarlikId],$A122,tblGunluk[AlarmBayrak],"ALARM"))</f>
        <v/>
      </c>
      <c r="K122" s="19">
        <f>IF($A122="","",MAX(0,MIN(100,ssy_kaliteTaban-IF($I122&lt;ssy_esikSagimLt,ssy_kaliteCeza,0)-COUNTIFS(tblGunluk[VarlikId],$A122,tblGunluk[AlarmBayrak],"ALARM")*ssy_kaliteSapma-IF($G122="HAYIR",ssy_kaliteCeza,0))))</f>
        <v/>
      </c>
    </row>
    <row r="123">
      <c r="A123" s="15" t="n"/>
      <c r="B123" s="15" t="n"/>
      <c r="C123" s="15" t="n"/>
      <c r="D123" s="16" t="n"/>
      <c r="E123" s="17" t="n"/>
      <c r="F123" s="60" t="n"/>
      <c r="G123" s="15" t="n"/>
      <c r="H123" s="19">
        <f>IF($A123="","",SUMIF(tblGunluk[VarlikId],$A123,tblGunluk[SagimLt_lt]))</f>
        <v/>
      </c>
      <c r="I123" s="19">
        <f>IF($A123="","",IFERROR(AVERAGEIF(tblGunluk[VarlikId],$A123,tblGunluk[SagimLt_lt]),0))</f>
        <v/>
      </c>
      <c r="J123" s="19">
        <f>IF($A123="","",COUNTIFS(tblGunluk[VarlikId],$A123,tblGunluk[AlarmBayrak],"ALARM"))</f>
        <v/>
      </c>
      <c r="K123" s="19">
        <f>IF($A123="","",MAX(0,MIN(100,ssy_kaliteTaban-IF($I123&lt;ssy_esikSagimLt,ssy_kaliteCeza,0)-COUNTIFS(tblGunluk[VarlikId],$A123,tblGunluk[AlarmBayrak],"ALARM")*ssy_kaliteSapma-IF($G123="HAYIR",ssy_kaliteCeza,0))))</f>
        <v/>
      </c>
    </row>
    <row r="124">
      <c r="A124" s="15" t="n"/>
      <c r="B124" s="15" t="n"/>
      <c r="C124" s="15" t="n"/>
      <c r="D124" s="16" t="n"/>
      <c r="E124" s="17" t="n"/>
      <c r="F124" s="60" t="n"/>
      <c r="G124" s="15" t="n"/>
      <c r="H124" s="19">
        <f>IF($A124="","",SUMIF(tblGunluk[VarlikId],$A124,tblGunluk[SagimLt_lt]))</f>
        <v/>
      </c>
      <c r="I124" s="19">
        <f>IF($A124="","",IFERROR(AVERAGEIF(tblGunluk[VarlikId],$A124,tblGunluk[SagimLt_lt]),0))</f>
        <v/>
      </c>
      <c r="J124" s="19">
        <f>IF($A124="","",COUNTIFS(tblGunluk[VarlikId],$A124,tblGunluk[AlarmBayrak],"ALARM"))</f>
        <v/>
      </c>
      <c r="K124" s="19">
        <f>IF($A124="","",MAX(0,MIN(100,ssy_kaliteTaban-IF($I124&lt;ssy_esikSagimLt,ssy_kaliteCeza,0)-COUNTIFS(tblGunluk[VarlikId],$A124,tblGunluk[AlarmBayrak],"ALARM")*ssy_kaliteSapma-IF($G124="HAYIR",ssy_kaliteCeza,0))))</f>
        <v/>
      </c>
    </row>
    <row r="125">
      <c r="A125" s="15" t="n"/>
      <c r="B125" s="15" t="n"/>
      <c r="C125" s="15" t="n"/>
      <c r="D125" s="16" t="n"/>
      <c r="E125" s="17" t="n"/>
      <c r="F125" s="60" t="n"/>
      <c r="G125" s="15" t="n"/>
      <c r="H125" s="19">
        <f>IF($A125="","",SUMIF(tblGunluk[VarlikId],$A125,tblGunluk[SagimLt_lt]))</f>
        <v/>
      </c>
      <c r="I125" s="19">
        <f>IF($A125="","",IFERROR(AVERAGEIF(tblGunluk[VarlikId],$A125,tblGunluk[SagimLt_lt]),0))</f>
        <v/>
      </c>
      <c r="J125" s="19">
        <f>IF($A125="","",COUNTIFS(tblGunluk[VarlikId],$A125,tblGunluk[AlarmBayrak],"ALARM"))</f>
        <v/>
      </c>
      <c r="K125" s="19">
        <f>IF($A125="","",MAX(0,MIN(100,ssy_kaliteTaban-IF($I125&lt;ssy_esikSagimLt,ssy_kaliteCeza,0)-COUNTIFS(tblGunluk[VarlikId],$A125,tblGunluk[AlarmBayrak],"ALARM")*ssy_kaliteSapma-IF($G125="HAYIR",ssy_kaliteCeza,0))))</f>
        <v/>
      </c>
    </row>
    <row r="126">
      <c r="A126" s="15" t="n"/>
      <c r="B126" s="15" t="n"/>
      <c r="C126" s="15" t="n"/>
      <c r="D126" s="16" t="n"/>
      <c r="E126" s="17" t="n"/>
      <c r="F126" s="60" t="n"/>
      <c r="G126" s="15" t="n"/>
      <c r="H126" s="19">
        <f>IF($A126="","",SUMIF(tblGunluk[VarlikId],$A126,tblGunluk[SagimLt_lt]))</f>
        <v/>
      </c>
      <c r="I126" s="19">
        <f>IF($A126="","",IFERROR(AVERAGEIF(tblGunluk[VarlikId],$A126,tblGunluk[SagimLt_lt]),0))</f>
        <v/>
      </c>
      <c r="J126" s="19">
        <f>IF($A126="","",COUNTIFS(tblGunluk[VarlikId],$A126,tblGunluk[AlarmBayrak],"ALARM"))</f>
        <v/>
      </c>
      <c r="K126" s="19">
        <f>IF($A126="","",MAX(0,MIN(100,ssy_kaliteTaban-IF($I126&lt;ssy_esikSagimLt,ssy_kaliteCeza,0)-COUNTIFS(tblGunluk[VarlikId],$A126,tblGunluk[AlarmBayrak],"ALARM")*ssy_kaliteSapma-IF($G126="HAYIR",ssy_kaliteCeza,0))))</f>
        <v/>
      </c>
    </row>
    <row r="127">
      <c r="A127" s="15" t="n"/>
      <c r="B127" s="15" t="n"/>
      <c r="C127" s="15" t="n"/>
      <c r="D127" s="16" t="n"/>
      <c r="E127" s="17" t="n"/>
      <c r="F127" s="60" t="n"/>
      <c r="G127" s="15" t="n"/>
      <c r="H127" s="19">
        <f>IF($A127="","",SUMIF(tblGunluk[VarlikId],$A127,tblGunluk[SagimLt_lt]))</f>
        <v/>
      </c>
      <c r="I127" s="19">
        <f>IF($A127="","",IFERROR(AVERAGEIF(tblGunluk[VarlikId],$A127,tblGunluk[SagimLt_lt]),0))</f>
        <v/>
      </c>
      <c r="J127" s="19">
        <f>IF($A127="","",COUNTIFS(tblGunluk[VarlikId],$A127,tblGunluk[AlarmBayrak],"ALARM"))</f>
        <v/>
      </c>
      <c r="K127" s="19">
        <f>IF($A127="","",MAX(0,MIN(100,ssy_kaliteTaban-IF($I127&lt;ssy_esikSagimLt,ssy_kaliteCeza,0)-COUNTIFS(tblGunluk[VarlikId],$A127,tblGunluk[AlarmBayrak],"ALARM")*ssy_kaliteSapma-IF($G127="HAYIR",ssy_kaliteCeza,0))))</f>
        <v/>
      </c>
    </row>
    <row r="128">
      <c r="A128" s="15" t="n"/>
      <c r="B128" s="15" t="n"/>
      <c r="C128" s="15" t="n"/>
      <c r="D128" s="16" t="n"/>
      <c r="E128" s="17" t="n"/>
      <c r="F128" s="60" t="n"/>
      <c r="G128" s="15" t="n"/>
      <c r="H128" s="19">
        <f>IF($A128="","",SUMIF(tblGunluk[VarlikId],$A128,tblGunluk[SagimLt_lt]))</f>
        <v/>
      </c>
      <c r="I128" s="19">
        <f>IF($A128="","",IFERROR(AVERAGEIF(tblGunluk[VarlikId],$A128,tblGunluk[SagimLt_lt]),0))</f>
        <v/>
      </c>
      <c r="J128" s="19">
        <f>IF($A128="","",COUNTIFS(tblGunluk[VarlikId],$A128,tblGunluk[AlarmBayrak],"ALARM"))</f>
        <v/>
      </c>
      <c r="K128" s="19">
        <f>IF($A128="","",MAX(0,MIN(100,ssy_kaliteTaban-IF($I128&lt;ssy_esikSagimLt,ssy_kaliteCeza,0)-COUNTIFS(tblGunluk[VarlikId],$A128,tblGunluk[AlarmBayrak],"ALARM")*ssy_kaliteSapma-IF($G128="HAYIR",ssy_kaliteCeza,0))))</f>
        <v/>
      </c>
    </row>
    <row r="129">
      <c r="A129" s="15" t="n"/>
      <c r="B129" s="15" t="n"/>
      <c r="C129" s="15" t="n"/>
      <c r="D129" s="16" t="n"/>
      <c r="E129" s="17" t="n"/>
      <c r="F129" s="60" t="n"/>
      <c r="G129" s="15" t="n"/>
      <c r="H129" s="19">
        <f>IF($A129="","",SUMIF(tblGunluk[VarlikId],$A129,tblGunluk[SagimLt_lt]))</f>
        <v/>
      </c>
      <c r="I129" s="19">
        <f>IF($A129="","",IFERROR(AVERAGEIF(tblGunluk[VarlikId],$A129,tblGunluk[SagimLt_lt]),0))</f>
        <v/>
      </c>
      <c r="J129" s="19">
        <f>IF($A129="","",COUNTIFS(tblGunluk[VarlikId],$A129,tblGunluk[AlarmBayrak],"ALARM"))</f>
        <v/>
      </c>
      <c r="K129" s="19">
        <f>IF($A129="","",MAX(0,MIN(100,ssy_kaliteTaban-IF($I129&lt;ssy_esikSagimLt,ssy_kaliteCeza,0)-COUNTIFS(tblGunluk[VarlikId],$A129,tblGunluk[AlarmBayrak],"ALARM")*ssy_kaliteSapma-IF($G129="HAYIR",ssy_kaliteCeza,0))))</f>
        <v/>
      </c>
    </row>
    <row r="130">
      <c r="A130" s="15" t="n"/>
      <c r="B130" s="15" t="n"/>
      <c r="C130" s="15" t="n"/>
      <c r="D130" s="16" t="n"/>
      <c r="E130" s="17" t="n"/>
      <c r="F130" s="60" t="n"/>
      <c r="G130" s="15" t="n"/>
      <c r="H130" s="19">
        <f>IF($A130="","",SUMIF(tblGunluk[VarlikId],$A130,tblGunluk[SagimLt_lt]))</f>
        <v/>
      </c>
      <c r="I130" s="19">
        <f>IF($A130="","",IFERROR(AVERAGEIF(tblGunluk[VarlikId],$A130,tblGunluk[SagimLt_lt]),0))</f>
        <v/>
      </c>
      <c r="J130" s="19">
        <f>IF($A130="","",COUNTIFS(tblGunluk[VarlikId],$A130,tblGunluk[AlarmBayrak],"ALARM"))</f>
        <v/>
      </c>
      <c r="K130" s="19">
        <f>IF($A130="","",MAX(0,MIN(100,ssy_kaliteTaban-IF($I130&lt;ssy_esikSagimLt,ssy_kaliteCeza,0)-COUNTIFS(tblGunluk[VarlikId],$A130,tblGunluk[AlarmBayrak],"ALARM")*ssy_kaliteSapma-IF($G130="HAYIR",ssy_kaliteCeza,0))))</f>
        <v/>
      </c>
    </row>
    <row r="131">
      <c r="A131" s="15" t="n"/>
      <c r="B131" s="15" t="n"/>
      <c r="C131" s="15" t="n"/>
      <c r="D131" s="16" t="n"/>
      <c r="E131" s="17" t="n"/>
      <c r="F131" s="60" t="n"/>
      <c r="G131" s="15" t="n"/>
      <c r="H131" s="19">
        <f>IF($A131="","",SUMIF(tblGunluk[VarlikId],$A131,tblGunluk[SagimLt_lt]))</f>
        <v/>
      </c>
      <c r="I131" s="19">
        <f>IF($A131="","",IFERROR(AVERAGEIF(tblGunluk[VarlikId],$A131,tblGunluk[SagimLt_lt]),0))</f>
        <v/>
      </c>
      <c r="J131" s="19">
        <f>IF($A131="","",COUNTIFS(tblGunluk[VarlikId],$A131,tblGunluk[AlarmBayrak],"ALARM"))</f>
        <v/>
      </c>
      <c r="K131" s="19">
        <f>IF($A131="","",MAX(0,MIN(100,ssy_kaliteTaban-IF($I131&lt;ssy_esikSagimLt,ssy_kaliteCeza,0)-COUNTIFS(tblGunluk[VarlikId],$A131,tblGunluk[AlarmBayrak],"ALARM")*ssy_kaliteSapma-IF($G131="HAYIR",ssy_kaliteCeza,0))))</f>
        <v/>
      </c>
    </row>
    <row r="132">
      <c r="A132" s="15" t="n"/>
      <c r="B132" s="15" t="n"/>
      <c r="C132" s="15" t="n"/>
      <c r="D132" s="16" t="n"/>
      <c r="E132" s="17" t="n"/>
      <c r="F132" s="60" t="n"/>
      <c r="G132" s="15" t="n"/>
      <c r="H132" s="19">
        <f>IF($A132="","",SUMIF(tblGunluk[VarlikId],$A132,tblGunluk[SagimLt_lt]))</f>
        <v/>
      </c>
      <c r="I132" s="19">
        <f>IF($A132="","",IFERROR(AVERAGEIF(tblGunluk[VarlikId],$A132,tblGunluk[SagimLt_lt]),0))</f>
        <v/>
      </c>
      <c r="J132" s="19">
        <f>IF($A132="","",COUNTIFS(tblGunluk[VarlikId],$A132,tblGunluk[AlarmBayrak],"ALARM"))</f>
        <v/>
      </c>
      <c r="K132" s="19">
        <f>IF($A132="","",MAX(0,MIN(100,ssy_kaliteTaban-IF($I132&lt;ssy_esikSagimLt,ssy_kaliteCeza,0)-COUNTIFS(tblGunluk[VarlikId],$A132,tblGunluk[AlarmBayrak],"ALARM")*ssy_kaliteSapma-IF($G132="HAYIR",ssy_kaliteCeza,0))))</f>
        <v/>
      </c>
    </row>
    <row r="133">
      <c r="A133" s="15" t="n"/>
      <c r="B133" s="15" t="n"/>
      <c r="C133" s="15" t="n"/>
      <c r="D133" s="16" t="n"/>
      <c r="E133" s="17" t="n"/>
      <c r="F133" s="60" t="n"/>
      <c r="G133" s="15" t="n"/>
      <c r="H133" s="19">
        <f>IF($A133="","",SUMIF(tblGunluk[VarlikId],$A133,tblGunluk[SagimLt_lt]))</f>
        <v/>
      </c>
      <c r="I133" s="19">
        <f>IF($A133="","",IFERROR(AVERAGEIF(tblGunluk[VarlikId],$A133,tblGunluk[SagimLt_lt]),0))</f>
        <v/>
      </c>
      <c r="J133" s="19">
        <f>IF($A133="","",COUNTIFS(tblGunluk[VarlikId],$A133,tblGunluk[AlarmBayrak],"ALARM"))</f>
        <v/>
      </c>
      <c r="K133" s="19">
        <f>IF($A133="","",MAX(0,MIN(100,ssy_kaliteTaban-IF($I133&lt;ssy_esikSagimLt,ssy_kaliteCeza,0)-COUNTIFS(tblGunluk[VarlikId],$A133,tblGunluk[AlarmBayrak],"ALARM")*ssy_kaliteSapma-IF($G133="HAYIR",ssy_kaliteCeza,0))))</f>
        <v/>
      </c>
    </row>
    <row r="134">
      <c r="A134" s="15" t="n"/>
      <c r="B134" s="15" t="n"/>
      <c r="C134" s="15" t="n"/>
      <c r="D134" s="16" t="n"/>
      <c r="E134" s="17" t="n"/>
      <c r="F134" s="60" t="n"/>
      <c r="G134" s="15" t="n"/>
      <c r="H134" s="19">
        <f>IF($A134="","",SUMIF(tblGunluk[VarlikId],$A134,tblGunluk[SagimLt_lt]))</f>
        <v/>
      </c>
      <c r="I134" s="19">
        <f>IF($A134="","",IFERROR(AVERAGEIF(tblGunluk[VarlikId],$A134,tblGunluk[SagimLt_lt]),0))</f>
        <v/>
      </c>
      <c r="J134" s="19">
        <f>IF($A134="","",COUNTIFS(tblGunluk[VarlikId],$A134,tblGunluk[AlarmBayrak],"ALARM"))</f>
        <v/>
      </c>
      <c r="K134" s="19">
        <f>IF($A134="","",MAX(0,MIN(100,ssy_kaliteTaban-IF($I134&lt;ssy_esikSagimLt,ssy_kaliteCeza,0)-COUNTIFS(tblGunluk[VarlikId],$A134,tblGunluk[AlarmBayrak],"ALARM")*ssy_kaliteSapma-IF($G134="HAYIR",ssy_kaliteCeza,0))))</f>
        <v/>
      </c>
    </row>
    <row r="135">
      <c r="A135" s="15" t="n"/>
      <c r="B135" s="15" t="n"/>
      <c r="C135" s="15" t="n"/>
      <c r="D135" s="16" t="n"/>
      <c r="E135" s="17" t="n"/>
      <c r="F135" s="60" t="n"/>
      <c r="G135" s="15" t="n"/>
      <c r="H135" s="19">
        <f>IF($A135="","",SUMIF(tblGunluk[VarlikId],$A135,tblGunluk[SagimLt_lt]))</f>
        <v/>
      </c>
      <c r="I135" s="19">
        <f>IF($A135="","",IFERROR(AVERAGEIF(tblGunluk[VarlikId],$A135,tblGunluk[SagimLt_lt]),0))</f>
        <v/>
      </c>
      <c r="J135" s="19">
        <f>IF($A135="","",COUNTIFS(tblGunluk[VarlikId],$A135,tblGunluk[AlarmBayrak],"ALARM"))</f>
        <v/>
      </c>
      <c r="K135" s="19">
        <f>IF($A135="","",MAX(0,MIN(100,ssy_kaliteTaban-IF($I135&lt;ssy_esikSagimLt,ssy_kaliteCeza,0)-COUNTIFS(tblGunluk[VarlikId],$A135,tblGunluk[AlarmBayrak],"ALARM")*ssy_kaliteSapma-IF($G135="HAYIR",ssy_kaliteCeza,0))))</f>
        <v/>
      </c>
    </row>
    <row r="136">
      <c r="A136" s="15" t="n"/>
      <c r="B136" s="15" t="n"/>
      <c r="C136" s="15" t="n"/>
      <c r="D136" s="16" t="n"/>
      <c r="E136" s="17" t="n"/>
      <c r="F136" s="60" t="n"/>
      <c r="G136" s="15" t="n"/>
      <c r="H136" s="19">
        <f>IF($A136="","",SUMIF(tblGunluk[VarlikId],$A136,tblGunluk[SagimLt_lt]))</f>
        <v/>
      </c>
      <c r="I136" s="19">
        <f>IF($A136="","",IFERROR(AVERAGEIF(tblGunluk[VarlikId],$A136,tblGunluk[SagimLt_lt]),0))</f>
        <v/>
      </c>
      <c r="J136" s="19">
        <f>IF($A136="","",COUNTIFS(tblGunluk[VarlikId],$A136,tblGunluk[AlarmBayrak],"ALARM"))</f>
        <v/>
      </c>
      <c r="K136" s="19">
        <f>IF($A136="","",MAX(0,MIN(100,ssy_kaliteTaban-IF($I136&lt;ssy_esikSagimLt,ssy_kaliteCeza,0)-COUNTIFS(tblGunluk[VarlikId],$A136,tblGunluk[AlarmBayrak],"ALARM")*ssy_kaliteSapma-IF($G136="HAYIR",ssy_kaliteCeza,0))))</f>
        <v/>
      </c>
    </row>
    <row r="137">
      <c r="A137" s="15" t="n"/>
      <c r="B137" s="15" t="n"/>
      <c r="C137" s="15" t="n"/>
      <c r="D137" s="16" t="n"/>
      <c r="E137" s="17" t="n"/>
      <c r="F137" s="60" t="n"/>
      <c r="G137" s="15" t="n"/>
      <c r="H137" s="19">
        <f>IF($A137="","",SUMIF(tblGunluk[VarlikId],$A137,tblGunluk[SagimLt_lt]))</f>
        <v/>
      </c>
      <c r="I137" s="19">
        <f>IF($A137="","",IFERROR(AVERAGEIF(tblGunluk[VarlikId],$A137,tblGunluk[SagimLt_lt]),0))</f>
        <v/>
      </c>
      <c r="J137" s="19">
        <f>IF($A137="","",COUNTIFS(tblGunluk[VarlikId],$A137,tblGunluk[AlarmBayrak],"ALARM"))</f>
        <v/>
      </c>
      <c r="K137" s="19">
        <f>IF($A137="","",MAX(0,MIN(100,ssy_kaliteTaban-IF($I137&lt;ssy_esikSagimLt,ssy_kaliteCeza,0)-COUNTIFS(tblGunluk[VarlikId],$A137,tblGunluk[AlarmBayrak],"ALARM")*ssy_kaliteSapma-IF($G137="HAYIR",ssy_kaliteCeza,0))))</f>
        <v/>
      </c>
    </row>
    <row r="138">
      <c r="A138" s="15" t="n"/>
      <c r="B138" s="15" t="n"/>
      <c r="C138" s="15" t="n"/>
      <c r="D138" s="16" t="n"/>
      <c r="E138" s="17" t="n"/>
      <c r="F138" s="60" t="n"/>
      <c r="G138" s="15" t="n"/>
      <c r="H138" s="19">
        <f>IF($A138="","",SUMIF(tblGunluk[VarlikId],$A138,tblGunluk[SagimLt_lt]))</f>
        <v/>
      </c>
      <c r="I138" s="19">
        <f>IF($A138="","",IFERROR(AVERAGEIF(tblGunluk[VarlikId],$A138,tblGunluk[SagimLt_lt]),0))</f>
        <v/>
      </c>
      <c r="J138" s="19">
        <f>IF($A138="","",COUNTIFS(tblGunluk[VarlikId],$A138,tblGunluk[AlarmBayrak],"ALARM"))</f>
        <v/>
      </c>
      <c r="K138" s="19">
        <f>IF($A138="","",MAX(0,MIN(100,ssy_kaliteTaban-IF($I138&lt;ssy_esikSagimLt,ssy_kaliteCeza,0)-COUNTIFS(tblGunluk[VarlikId],$A138,tblGunluk[AlarmBayrak],"ALARM")*ssy_kaliteSapma-IF($G138="HAYIR",ssy_kaliteCeza,0))))</f>
        <v/>
      </c>
    </row>
    <row r="139">
      <c r="A139" s="15" t="n"/>
      <c r="B139" s="15" t="n"/>
      <c r="C139" s="15" t="n"/>
      <c r="D139" s="16" t="n"/>
      <c r="E139" s="17" t="n"/>
      <c r="F139" s="60" t="n"/>
      <c r="G139" s="15" t="n"/>
      <c r="H139" s="19">
        <f>IF($A139="","",SUMIF(tblGunluk[VarlikId],$A139,tblGunluk[SagimLt_lt]))</f>
        <v/>
      </c>
      <c r="I139" s="19">
        <f>IF($A139="","",IFERROR(AVERAGEIF(tblGunluk[VarlikId],$A139,tblGunluk[SagimLt_lt]),0))</f>
        <v/>
      </c>
      <c r="J139" s="19">
        <f>IF($A139="","",COUNTIFS(tblGunluk[VarlikId],$A139,tblGunluk[AlarmBayrak],"ALARM"))</f>
        <v/>
      </c>
      <c r="K139" s="19">
        <f>IF($A139="","",MAX(0,MIN(100,ssy_kaliteTaban-IF($I139&lt;ssy_esikSagimLt,ssy_kaliteCeza,0)-COUNTIFS(tblGunluk[VarlikId],$A139,tblGunluk[AlarmBayrak],"ALARM")*ssy_kaliteSapma-IF($G139="HAYIR",ssy_kaliteCeza,0))))</f>
        <v/>
      </c>
    </row>
    <row r="140">
      <c r="A140" s="15" t="n"/>
      <c r="B140" s="15" t="n"/>
      <c r="C140" s="15" t="n"/>
      <c r="D140" s="16" t="n"/>
      <c r="E140" s="17" t="n"/>
      <c r="F140" s="60" t="n"/>
      <c r="G140" s="15" t="n"/>
      <c r="H140" s="19">
        <f>IF($A140="","",SUMIF(tblGunluk[VarlikId],$A140,tblGunluk[SagimLt_lt]))</f>
        <v/>
      </c>
      <c r="I140" s="19">
        <f>IF($A140="","",IFERROR(AVERAGEIF(tblGunluk[VarlikId],$A140,tblGunluk[SagimLt_lt]),0))</f>
        <v/>
      </c>
      <c r="J140" s="19">
        <f>IF($A140="","",COUNTIFS(tblGunluk[VarlikId],$A140,tblGunluk[AlarmBayrak],"ALARM"))</f>
        <v/>
      </c>
      <c r="K140" s="19">
        <f>IF($A140="","",MAX(0,MIN(100,ssy_kaliteTaban-IF($I140&lt;ssy_esikSagimLt,ssy_kaliteCeza,0)-COUNTIFS(tblGunluk[VarlikId],$A140,tblGunluk[AlarmBayrak],"ALARM")*ssy_kaliteSapma-IF($G140="HAYIR",ssy_kaliteCeza,0))))</f>
        <v/>
      </c>
    </row>
    <row r="141">
      <c r="A141" s="15" t="n"/>
      <c r="B141" s="15" t="n"/>
      <c r="C141" s="15" t="n"/>
      <c r="D141" s="16" t="n"/>
      <c r="E141" s="17" t="n"/>
      <c r="F141" s="60" t="n"/>
      <c r="G141" s="15" t="n"/>
      <c r="H141" s="19">
        <f>IF($A141="","",SUMIF(tblGunluk[VarlikId],$A141,tblGunluk[SagimLt_lt]))</f>
        <v/>
      </c>
      <c r="I141" s="19">
        <f>IF($A141="","",IFERROR(AVERAGEIF(tblGunluk[VarlikId],$A141,tblGunluk[SagimLt_lt]),0))</f>
        <v/>
      </c>
      <c r="J141" s="19">
        <f>IF($A141="","",COUNTIFS(tblGunluk[VarlikId],$A141,tblGunluk[AlarmBayrak],"ALARM"))</f>
        <v/>
      </c>
      <c r="K141" s="19">
        <f>IF($A141="","",MAX(0,MIN(100,ssy_kaliteTaban-IF($I141&lt;ssy_esikSagimLt,ssy_kaliteCeza,0)-COUNTIFS(tblGunluk[VarlikId],$A141,tblGunluk[AlarmBayrak],"ALARM")*ssy_kaliteSapma-IF($G141="HAYIR",ssy_kaliteCeza,0))))</f>
        <v/>
      </c>
    </row>
    <row r="142">
      <c r="A142" s="15" t="n"/>
      <c r="B142" s="15" t="n"/>
      <c r="C142" s="15" t="n"/>
      <c r="D142" s="16" t="n"/>
      <c r="E142" s="17" t="n"/>
      <c r="F142" s="60" t="n"/>
      <c r="G142" s="15" t="n"/>
      <c r="H142" s="19">
        <f>IF($A142="","",SUMIF(tblGunluk[VarlikId],$A142,tblGunluk[SagimLt_lt]))</f>
        <v/>
      </c>
      <c r="I142" s="19">
        <f>IF($A142="","",IFERROR(AVERAGEIF(tblGunluk[VarlikId],$A142,tblGunluk[SagimLt_lt]),0))</f>
        <v/>
      </c>
      <c r="J142" s="19">
        <f>IF($A142="","",COUNTIFS(tblGunluk[VarlikId],$A142,tblGunluk[AlarmBayrak],"ALARM"))</f>
        <v/>
      </c>
      <c r="K142" s="19">
        <f>IF($A142="","",MAX(0,MIN(100,ssy_kaliteTaban-IF($I142&lt;ssy_esikSagimLt,ssy_kaliteCeza,0)-COUNTIFS(tblGunluk[VarlikId],$A142,tblGunluk[AlarmBayrak],"ALARM")*ssy_kaliteSapma-IF($G142="HAYIR",ssy_kaliteCeza,0))))</f>
        <v/>
      </c>
    </row>
    <row r="143">
      <c r="A143" s="15" t="n"/>
      <c r="B143" s="15" t="n"/>
      <c r="C143" s="15" t="n"/>
      <c r="D143" s="16" t="n"/>
      <c r="E143" s="17" t="n"/>
      <c r="F143" s="60" t="n"/>
      <c r="G143" s="15" t="n"/>
      <c r="H143" s="19">
        <f>IF($A143="","",SUMIF(tblGunluk[VarlikId],$A143,tblGunluk[SagimLt_lt]))</f>
        <v/>
      </c>
      <c r="I143" s="19">
        <f>IF($A143="","",IFERROR(AVERAGEIF(tblGunluk[VarlikId],$A143,tblGunluk[SagimLt_lt]),0))</f>
        <v/>
      </c>
      <c r="J143" s="19">
        <f>IF($A143="","",COUNTIFS(tblGunluk[VarlikId],$A143,tblGunluk[AlarmBayrak],"ALARM"))</f>
        <v/>
      </c>
      <c r="K143" s="19">
        <f>IF($A143="","",MAX(0,MIN(100,ssy_kaliteTaban-IF($I143&lt;ssy_esikSagimLt,ssy_kaliteCeza,0)-COUNTIFS(tblGunluk[VarlikId],$A143,tblGunluk[AlarmBayrak],"ALARM")*ssy_kaliteSapma-IF($G143="HAYIR",ssy_kaliteCeza,0))))</f>
        <v/>
      </c>
    </row>
    <row r="144">
      <c r="A144" s="15" t="n"/>
      <c r="B144" s="15" t="n"/>
      <c r="C144" s="15" t="n"/>
      <c r="D144" s="16" t="n"/>
      <c r="E144" s="17" t="n"/>
      <c r="F144" s="60" t="n"/>
      <c r="G144" s="15" t="n"/>
      <c r="H144" s="19">
        <f>IF($A144="","",SUMIF(tblGunluk[VarlikId],$A144,tblGunluk[SagimLt_lt]))</f>
        <v/>
      </c>
      <c r="I144" s="19">
        <f>IF($A144="","",IFERROR(AVERAGEIF(tblGunluk[VarlikId],$A144,tblGunluk[SagimLt_lt]),0))</f>
        <v/>
      </c>
      <c r="J144" s="19">
        <f>IF($A144="","",COUNTIFS(tblGunluk[VarlikId],$A144,tblGunluk[AlarmBayrak],"ALARM"))</f>
        <v/>
      </c>
      <c r="K144" s="19">
        <f>IF($A144="","",MAX(0,MIN(100,ssy_kaliteTaban-IF($I144&lt;ssy_esikSagimLt,ssy_kaliteCeza,0)-COUNTIFS(tblGunluk[VarlikId],$A144,tblGunluk[AlarmBayrak],"ALARM")*ssy_kaliteSapma-IF($G144="HAYIR",ssy_kaliteCeza,0))))</f>
        <v/>
      </c>
    </row>
    <row r="145">
      <c r="A145" s="15" t="n"/>
      <c r="B145" s="15" t="n"/>
      <c r="C145" s="15" t="n"/>
      <c r="D145" s="16" t="n"/>
      <c r="E145" s="17" t="n"/>
      <c r="F145" s="60" t="n"/>
      <c r="G145" s="15" t="n"/>
      <c r="H145" s="19">
        <f>IF($A145="","",SUMIF(tblGunluk[VarlikId],$A145,tblGunluk[SagimLt_lt]))</f>
        <v/>
      </c>
      <c r="I145" s="19">
        <f>IF($A145="","",IFERROR(AVERAGEIF(tblGunluk[VarlikId],$A145,tblGunluk[SagimLt_lt]),0))</f>
        <v/>
      </c>
      <c r="J145" s="19">
        <f>IF($A145="","",COUNTIFS(tblGunluk[VarlikId],$A145,tblGunluk[AlarmBayrak],"ALARM"))</f>
        <v/>
      </c>
      <c r="K145" s="19">
        <f>IF($A145="","",MAX(0,MIN(100,ssy_kaliteTaban-IF($I145&lt;ssy_esikSagimLt,ssy_kaliteCeza,0)-COUNTIFS(tblGunluk[VarlikId],$A145,tblGunluk[AlarmBayrak],"ALARM")*ssy_kaliteSapma-IF($G145="HAYIR",ssy_kaliteCeza,0))))</f>
        <v/>
      </c>
    </row>
    <row r="146">
      <c r="A146" s="15" t="n"/>
      <c r="B146" s="15" t="n"/>
      <c r="C146" s="15" t="n"/>
      <c r="D146" s="16" t="n"/>
      <c r="E146" s="17" t="n"/>
      <c r="F146" s="60" t="n"/>
      <c r="G146" s="15" t="n"/>
      <c r="H146" s="19">
        <f>IF($A146="","",SUMIF(tblGunluk[VarlikId],$A146,tblGunluk[SagimLt_lt]))</f>
        <v/>
      </c>
      <c r="I146" s="19">
        <f>IF($A146="","",IFERROR(AVERAGEIF(tblGunluk[VarlikId],$A146,tblGunluk[SagimLt_lt]),0))</f>
        <v/>
      </c>
      <c r="J146" s="19">
        <f>IF($A146="","",COUNTIFS(tblGunluk[VarlikId],$A146,tblGunluk[AlarmBayrak],"ALARM"))</f>
        <v/>
      </c>
      <c r="K146" s="19">
        <f>IF($A146="","",MAX(0,MIN(100,ssy_kaliteTaban-IF($I146&lt;ssy_esikSagimLt,ssy_kaliteCeza,0)-COUNTIFS(tblGunluk[VarlikId],$A146,tblGunluk[AlarmBayrak],"ALARM")*ssy_kaliteSapma-IF($G146="HAYIR",ssy_kaliteCeza,0))))</f>
        <v/>
      </c>
    </row>
    <row r="147">
      <c r="A147" s="15" t="n"/>
      <c r="B147" s="15" t="n"/>
      <c r="C147" s="15" t="n"/>
      <c r="D147" s="16" t="n"/>
      <c r="E147" s="17" t="n"/>
      <c r="F147" s="60" t="n"/>
      <c r="G147" s="15" t="n"/>
      <c r="H147" s="19">
        <f>IF($A147="","",SUMIF(tblGunluk[VarlikId],$A147,tblGunluk[SagimLt_lt]))</f>
        <v/>
      </c>
      <c r="I147" s="19">
        <f>IF($A147="","",IFERROR(AVERAGEIF(tblGunluk[VarlikId],$A147,tblGunluk[SagimLt_lt]),0))</f>
        <v/>
      </c>
      <c r="J147" s="19">
        <f>IF($A147="","",COUNTIFS(tblGunluk[VarlikId],$A147,tblGunluk[AlarmBayrak],"ALARM"))</f>
        <v/>
      </c>
      <c r="K147" s="19">
        <f>IF($A147="","",MAX(0,MIN(100,ssy_kaliteTaban-IF($I147&lt;ssy_esikSagimLt,ssy_kaliteCeza,0)-COUNTIFS(tblGunluk[VarlikId],$A147,tblGunluk[AlarmBayrak],"ALARM")*ssy_kaliteSapma-IF($G147="HAYIR",ssy_kaliteCeza,0))))</f>
        <v/>
      </c>
    </row>
    <row r="148">
      <c r="A148" s="15" t="n"/>
      <c r="B148" s="15" t="n"/>
      <c r="C148" s="15" t="n"/>
      <c r="D148" s="16" t="n"/>
      <c r="E148" s="17" t="n"/>
      <c r="F148" s="60" t="n"/>
      <c r="G148" s="15" t="n"/>
      <c r="H148" s="19">
        <f>IF($A148="","",SUMIF(tblGunluk[VarlikId],$A148,tblGunluk[SagimLt_lt]))</f>
        <v/>
      </c>
      <c r="I148" s="19">
        <f>IF($A148="","",IFERROR(AVERAGEIF(tblGunluk[VarlikId],$A148,tblGunluk[SagimLt_lt]),0))</f>
        <v/>
      </c>
      <c r="J148" s="19">
        <f>IF($A148="","",COUNTIFS(tblGunluk[VarlikId],$A148,tblGunluk[AlarmBayrak],"ALARM"))</f>
        <v/>
      </c>
      <c r="K148" s="19">
        <f>IF($A148="","",MAX(0,MIN(100,ssy_kaliteTaban-IF($I148&lt;ssy_esikSagimLt,ssy_kaliteCeza,0)-COUNTIFS(tblGunluk[VarlikId],$A148,tblGunluk[AlarmBayrak],"ALARM")*ssy_kaliteSapma-IF($G148="HAYIR",ssy_kaliteCeza,0))))</f>
        <v/>
      </c>
    </row>
    <row r="149">
      <c r="A149" s="15" t="n"/>
      <c r="B149" s="15" t="n"/>
      <c r="C149" s="15" t="n"/>
      <c r="D149" s="16" t="n"/>
      <c r="E149" s="17" t="n"/>
      <c r="F149" s="60" t="n"/>
      <c r="G149" s="15" t="n"/>
      <c r="H149" s="19">
        <f>IF($A149="","",SUMIF(tblGunluk[VarlikId],$A149,tblGunluk[SagimLt_lt]))</f>
        <v/>
      </c>
      <c r="I149" s="19">
        <f>IF($A149="","",IFERROR(AVERAGEIF(tblGunluk[VarlikId],$A149,tblGunluk[SagimLt_lt]),0))</f>
        <v/>
      </c>
      <c r="J149" s="19">
        <f>IF($A149="","",COUNTIFS(tblGunluk[VarlikId],$A149,tblGunluk[AlarmBayrak],"ALARM"))</f>
        <v/>
      </c>
      <c r="K149" s="19">
        <f>IF($A149="","",MAX(0,MIN(100,ssy_kaliteTaban-IF($I149&lt;ssy_esikSagimLt,ssy_kaliteCeza,0)-COUNTIFS(tblGunluk[VarlikId],$A149,tblGunluk[AlarmBayrak],"ALARM")*ssy_kaliteSapma-IF($G149="HAYIR",ssy_kaliteCeza,0))))</f>
        <v/>
      </c>
    </row>
    <row r="150">
      <c r="A150" s="15" t="n"/>
      <c r="B150" s="15" t="n"/>
      <c r="C150" s="15" t="n"/>
      <c r="D150" s="16" t="n"/>
      <c r="E150" s="17" t="n"/>
      <c r="F150" s="60" t="n"/>
      <c r="G150" s="15" t="n"/>
      <c r="H150" s="19">
        <f>IF($A150="","",SUMIF(tblGunluk[VarlikId],$A150,tblGunluk[SagimLt_lt]))</f>
        <v/>
      </c>
      <c r="I150" s="19">
        <f>IF($A150="","",IFERROR(AVERAGEIF(tblGunluk[VarlikId],$A150,tblGunluk[SagimLt_lt]),0))</f>
        <v/>
      </c>
      <c r="J150" s="19">
        <f>IF($A150="","",COUNTIFS(tblGunluk[VarlikId],$A150,tblGunluk[AlarmBayrak],"ALARM"))</f>
        <v/>
      </c>
      <c r="K150" s="19">
        <f>IF($A150="","",MAX(0,MIN(100,ssy_kaliteTaban-IF($I150&lt;ssy_esikSagimLt,ssy_kaliteCeza,0)-COUNTIFS(tblGunluk[VarlikId],$A150,tblGunluk[AlarmBayrak],"ALARM")*ssy_kaliteSapma-IF($G150="HAYIR",ssy_kaliteCeza,0))))</f>
        <v/>
      </c>
    </row>
    <row r="151">
      <c r="A151" s="15" t="n"/>
      <c r="B151" s="15" t="n"/>
      <c r="C151" s="15" t="n"/>
      <c r="D151" s="16" t="n"/>
      <c r="E151" s="17" t="n"/>
      <c r="F151" s="60" t="n"/>
      <c r="G151" s="15" t="n"/>
      <c r="H151" s="19">
        <f>IF($A151="","",SUMIF(tblGunluk[VarlikId],$A151,tblGunluk[SagimLt_lt]))</f>
        <v/>
      </c>
      <c r="I151" s="19">
        <f>IF($A151="","",IFERROR(AVERAGEIF(tblGunluk[VarlikId],$A151,tblGunluk[SagimLt_lt]),0))</f>
        <v/>
      </c>
      <c r="J151" s="19">
        <f>IF($A151="","",COUNTIFS(tblGunluk[VarlikId],$A151,tblGunluk[AlarmBayrak],"ALARM"))</f>
        <v/>
      </c>
      <c r="K151" s="19">
        <f>IF($A151="","",MAX(0,MIN(100,ssy_kaliteTaban-IF($I151&lt;ssy_esikSagimLt,ssy_kaliteCeza,0)-COUNTIFS(tblGunluk[VarlikId],$A151,tblGunluk[AlarmBayrak],"ALARM")*ssy_kaliteSapma-IF($G151="HAYIR",ssy_kaliteCeza,0))))</f>
        <v/>
      </c>
    </row>
    <row r="152">
      <c r="A152" s="15" t="n"/>
      <c r="B152" s="15" t="n"/>
      <c r="C152" s="15" t="n"/>
      <c r="D152" s="16" t="n"/>
      <c r="E152" s="17" t="n"/>
      <c r="F152" s="60" t="n"/>
      <c r="G152" s="15" t="n"/>
      <c r="H152" s="19">
        <f>IF($A152="","",SUMIF(tblGunluk[VarlikId],$A152,tblGunluk[SagimLt_lt]))</f>
        <v/>
      </c>
      <c r="I152" s="19">
        <f>IF($A152="","",IFERROR(AVERAGEIF(tblGunluk[VarlikId],$A152,tblGunluk[SagimLt_lt]),0))</f>
        <v/>
      </c>
      <c r="J152" s="19">
        <f>IF($A152="","",COUNTIFS(tblGunluk[VarlikId],$A152,tblGunluk[AlarmBayrak],"ALARM"))</f>
        <v/>
      </c>
      <c r="K152" s="19">
        <f>IF($A152="","",MAX(0,MIN(100,ssy_kaliteTaban-IF($I152&lt;ssy_esikSagimLt,ssy_kaliteCeza,0)-COUNTIFS(tblGunluk[VarlikId],$A152,tblGunluk[AlarmBayrak],"ALARM")*ssy_kaliteSapma-IF($G152="HAYIR",ssy_kaliteCeza,0))))</f>
        <v/>
      </c>
    </row>
    <row r="153">
      <c r="A153" s="15" t="n"/>
      <c r="B153" s="15" t="n"/>
      <c r="C153" s="15" t="n"/>
      <c r="D153" s="16" t="n"/>
      <c r="E153" s="17" t="n"/>
      <c r="F153" s="60" t="n"/>
      <c r="G153" s="15" t="n"/>
      <c r="H153" s="19">
        <f>IF($A153="","",SUMIF(tblGunluk[VarlikId],$A153,tblGunluk[SagimLt_lt]))</f>
        <v/>
      </c>
      <c r="I153" s="19">
        <f>IF($A153="","",IFERROR(AVERAGEIF(tblGunluk[VarlikId],$A153,tblGunluk[SagimLt_lt]),0))</f>
        <v/>
      </c>
      <c r="J153" s="19">
        <f>IF($A153="","",COUNTIFS(tblGunluk[VarlikId],$A153,tblGunluk[AlarmBayrak],"ALARM"))</f>
        <v/>
      </c>
      <c r="K153" s="19">
        <f>IF($A153="","",MAX(0,MIN(100,ssy_kaliteTaban-IF($I153&lt;ssy_esikSagimLt,ssy_kaliteCeza,0)-COUNTIFS(tblGunluk[VarlikId],$A153,tblGunluk[AlarmBayrak],"ALARM")*ssy_kaliteSapma-IF($G153="HAYIR",ssy_kaliteCeza,0))))</f>
        <v/>
      </c>
    </row>
    <row r="154">
      <c r="A154" s="15" t="n"/>
      <c r="B154" s="15" t="n"/>
      <c r="C154" s="15" t="n"/>
      <c r="D154" s="16" t="n"/>
      <c r="E154" s="17" t="n"/>
      <c r="F154" s="60" t="n"/>
      <c r="G154" s="15" t="n"/>
      <c r="H154" s="19">
        <f>IF($A154="","",SUMIF(tblGunluk[VarlikId],$A154,tblGunluk[SagimLt_lt]))</f>
        <v/>
      </c>
      <c r="I154" s="19">
        <f>IF($A154="","",IFERROR(AVERAGEIF(tblGunluk[VarlikId],$A154,tblGunluk[SagimLt_lt]),0))</f>
        <v/>
      </c>
      <c r="J154" s="19">
        <f>IF($A154="","",COUNTIFS(tblGunluk[VarlikId],$A154,tblGunluk[AlarmBayrak],"ALARM"))</f>
        <v/>
      </c>
      <c r="K154" s="19">
        <f>IF($A154="","",MAX(0,MIN(100,ssy_kaliteTaban-IF($I154&lt;ssy_esikSagimLt,ssy_kaliteCeza,0)-COUNTIFS(tblGunluk[VarlikId],$A154,tblGunluk[AlarmBayrak],"ALARM")*ssy_kaliteSapma-IF($G154="HAYIR",ssy_kaliteCeza,0))))</f>
        <v/>
      </c>
    </row>
    <row r="155">
      <c r="A155" s="15" t="n"/>
      <c r="B155" s="15" t="n"/>
      <c r="C155" s="15" t="n"/>
      <c r="D155" s="16" t="n"/>
      <c r="E155" s="17" t="n"/>
      <c r="F155" s="60" t="n"/>
      <c r="G155" s="15" t="n"/>
      <c r="H155" s="19">
        <f>IF($A155="","",SUMIF(tblGunluk[VarlikId],$A155,tblGunluk[SagimLt_lt]))</f>
        <v/>
      </c>
      <c r="I155" s="19">
        <f>IF($A155="","",IFERROR(AVERAGEIF(tblGunluk[VarlikId],$A155,tblGunluk[SagimLt_lt]),0))</f>
        <v/>
      </c>
      <c r="J155" s="19">
        <f>IF($A155="","",COUNTIFS(tblGunluk[VarlikId],$A155,tblGunluk[AlarmBayrak],"ALARM"))</f>
        <v/>
      </c>
      <c r="K155" s="19">
        <f>IF($A155="","",MAX(0,MIN(100,ssy_kaliteTaban-IF($I155&lt;ssy_esikSagimLt,ssy_kaliteCeza,0)-COUNTIFS(tblGunluk[VarlikId],$A155,tblGunluk[AlarmBayrak],"ALARM")*ssy_kaliteSapma-IF($G155="HAYIR",ssy_kaliteCeza,0))))</f>
        <v/>
      </c>
    </row>
    <row r="156">
      <c r="A156" s="15" t="n"/>
      <c r="B156" s="15" t="n"/>
      <c r="C156" s="15" t="n"/>
      <c r="D156" s="16" t="n"/>
      <c r="E156" s="17" t="n"/>
      <c r="F156" s="60" t="n"/>
      <c r="G156" s="15" t="n"/>
      <c r="H156" s="19">
        <f>IF($A156="","",SUMIF(tblGunluk[VarlikId],$A156,tblGunluk[SagimLt_lt]))</f>
        <v/>
      </c>
      <c r="I156" s="19">
        <f>IF($A156="","",IFERROR(AVERAGEIF(tblGunluk[VarlikId],$A156,tblGunluk[SagimLt_lt]),0))</f>
        <v/>
      </c>
      <c r="J156" s="19">
        <f>IF($A156="","",COUNTIFS(tblGunluk[VarlikId],$A156,tblGunluk[AlarmBayrak],"ALARM"))</f>
        <v/>
      </c>
      <c r="K156" s="19">
        <f>IF($A156="","",MAX(0,MIN(100,ssy_kaliteTaban-IF($I156&lt;ssy_esikSagimLt,ssy_kaliteCeza,0)-COUNTIFS(tblGunluk[VarlikId],$A156,tblGunluk[AlarmBayrak],"ALARM")*ssy_kaliteSapma-IF($G156="HAYIR",ssy_kaliteCeza,0))))</f>
        <v/>
      </c>
    </row>
    <row r="157">
      <c r="A157" s="15" t="n"/>
      <c r="B157" s="15" t="n"/>
      <c r="C157" s="15" t="n"/>
      <c r="D157" s="16" t="n"/>
      <c r="E157" s="17" t="n"/>
      <c r="F157" s="60" t="n"/>
      <c r="G157" s="15" t="n"/>
      <c r="H157" s="19">
        <f>IF($A157="","",SUMIF(tblGunluk[VarlikId],$A157,tblGunluk[SagimLt_lt]))</f>
        <v/>
      </c>
      <c r="I157" s="19">
        <f>IF($A157="","",IFERROR(AVERAGEIF(tblGunluk[VarlikId],$A157,tblGunluk[SagimLt_lt]),0))</f>
        <v/>
      </c>
      <c r="J157" s="19">
        <f>IF($A157="","",COUNTIFS(tblGunluk[VarlikId],$A157,tblGunluk[AlarmBayrak],"ALARM"))</f>
        <v/>
      </c>
      <c r="K157" s="19">
        <f>IF($A157="","",MAX(0,MIN(100,ssy_kaliteTaban-IF($I157&lt;ssy_esikSagimLt,ssy_kaliteCeza,0)-COUNTIFS(tblGunluk[VarlikId],$A157,tblGunluk[AlarmBayrak],"ALARM")*ssy_kaliteSapma-IF($G157="HAYIR",ssy_kaliteCeza,0))))</f>
        <v/>
      </c>
    </row>
    <row r="158">
      <c r="A158" s="15" t="n"/>
      <c r="B158" s="15" t="n"/>
      <c r="C158" s="15" t="n"/>
      <c r="D158" s="16" t="n"/>
      <c r="E158" s="17" t="n"/>
      <c r="F158" s="60" t="n"/>
      <c r="G158" s="15" t="n"/>
      <c r="H158" s="19">
        <f>IF($A158="","",SUMIF(tblGunluk[VarlikId],$A158,tblGunluk[SagimLt_lt]))</f>
        <v/>
      </c>
      <c r="I158" s="19">
        <f>IF($A158="","",IFERROR(AVERAGEIF(tblGunluk[VarlikId],$A158,tblGunluk[SagimLt_lt]),0))</f>
        <v/>
      </c>
      <c r="J158" s="19">
        <f>IF($A158="","",COUNTIFS(tblGunluk[VarlikId],$A158,tblGunluk[AlarmBayrak],"ALARM"))</f>
        <v/>
      </c>
      <c r="K158" s="19">
        <f>IF($A158="","",MAX(0,MIN(100,ssy_kaliteTaban-IF($I158&lt;ssy_esikSagimLt,ssy_kaliteCeza,0)-COUNTIFS(tblGunluk[VarlikId],$A158,tblGunluk[AlarmBayrak],"ALARM")*ssy_kaliteSapma-IF($G158="HAYIR",ssy_kaliteCeza,0))))</f>
        <v/>
      </c>
    </row>
    <row r="159">
      <c r="A159" s="15" t="n"/>
      <c r="B159" s="15" t="n"/>
      <c r="C159" s="15" t="n"/>
      <c r="D159" s="16" t="n"/>
      <c r="E159" s="17" t="n"/>
      <c r="F159" s="60" t="n"/>
      <c r="G159" s="15" t="n"/>
      <c r="H159" s="19">
        <f>IF($A159="","",SUMIF(tblGunluk[VarlikId],$A159,tblGunluk[SagimLt_lt]))</f>
        <v/>
      </c>
      <c r="I159" s="19">
        <f>IF($A159="","",IFERROR(AVERAGEIF(tblGunluk[VarlikId],$A159,tblGunluk[SagimLt_lt]),0))</f>
        <v/>
      </c>
      <c r="J159" s="19">
        <f>IF($A159="","",COUNTIFS(tblGunluk[VarlikId],$A159,tblGunluk[AlarmBayrak],"ALARM"))</f>
        <v/>
      </c>
      <c r="K159" s="19">
        <f>IF($A159="","",MAX(0,MIN(100,ssy_kaliteTaban-IF($I159&lt;ssy_esikSagimLt,ssy_kaliteCeza,0)-COUNTIFS(tblGunluk[VarlikId],$A159,tblGunluk[AlarmBayrak],"ALARM")*ssy_kaliteSapma-IF($G159="HAYIR",ssy_kaliteCeza,0))))</f>
        <v/>
      </c>
    </row>
    <row r="160">
      <c r="A160" s="15" t="n"/>
      <c r="B160" s="15" t="n"/>
      <c r="C160" s="15" t="n"/>
      <c r="D160" s="16" t="n"/>
      <c r="E160" s="17" t="n"/>
      <c r="F160" s="60" t="n"/>
      <c r="G160" s="15" t="n"/>
      <c r="H160" s="19">
        <f>IF($A160="","",SUMIF(tblGunluk[VarlikId],$A160,tblGunluk[SagimLt_lt]))</f>
        <v/>
      </c>
      <c r="I160" s="19">
        <f>IF($A160="","",IFERROR(AVERAGEIF(tblGunluk[VarlikId],$A160,tblGunluk[SagimLt_lt]),0))</f>
        <v/>
      </c>
      <c r="J160" s="19">
        <f>IF($A160="","",COUNTIFS(tblGunluk[VarlikId],$A160,tblGunluk[AlarmBayrak],"ALARM"))</f>
        <v/>
      </c>
      <c r="K160" s="19">
        <f>IF($A160="","",MAX(0,MIN(100,ssy_kaliteTaban-IF($I160&lt;ssy_esikSagimLt,ssy_kaliteCeza,0)-COUNTIFS(tblGunluk[VarlikId],$A160,tblGunluk[AlarmBayrak],"ALARM")*ssy_kaliteSapma-IF($G160="HAYIR",ssy_kaliteCeza,0))))</f>
        <v/>
      </c>
    </row>
    <row r="161">
      <c r="A161" s="15" t="n"/>
      <c r="B161" s="15" t="n"/>
      <c r="C161" s="15" t="n"/>
      <c r="D161" s="16" t="n"/>
      <c r="E161" s="17" t="n"/>
      <c r="F161" s="60" t="n"/>
      <c r="G161" s="15" t="n"/>
      <c r="H161" s="19">
        <f>IF($A161="","",SUMIF(tblGunluk[VarlikId],$A161,tblGunluk[SagimLt_lt]))</f>
        <v/>
      </c>
      <c r="I161" s="19">
        <f>IF($A161="","",IFERROR(AVERAGEIF(tblGunluk[VarlikId],$A161,tblGunluk[SagimLt_lt]),0))</f>
        <v/>
      </c>
      <c r="J161" s="19">
        <f>IF($A161="","",COUNTIFS(tblGunluk[VarlikId],$A161,tblGunluk[AlarmBayrak],"ALARM"))</f>
        <v/>
      </c>
      <c r="K161" s="19">
        <f>IF($A161="","",MAX(0,MIN(100,ssy_kaliteTaban-IF($I161&lt;ssy_esikSagimLt,ssy_kaliteCeza,0)-COUNTIFS(tblGunluk[VarlikId],$A161,tblGunluk[AlarmBayrak],"ALARM")*ssy_kaliteSapma-IF($G161="HAYIR",ssy_kaliteCeza,0))))</f>
        <v/>
      </c>
    </row>
    <row r="162">
      <c r="A162" s="15" t="n"/>
      <c r="B162" s="15" t="n"/>
      <c r="C162" s="15" t="n"/>
      <c r="D162" s="16" t="n"/>
      <c r="E162" s="17" t="n"/>
      <c r="F162" s="60" t="n"/>
      <c r="G162" s="15" t="n"/>
      <c r="H162" s="19">
        <f>IF($A162="","",SUMIF(tblGunluk[VarlikId],$A162,tblGunluk[SagimLt_lt]))</f>
        <v/>
      </c>
      <c r="I162" s="19">
        <f>IF($A162="","",IFERROR(AVERAGEIF(tblGunluk[VarlikId],$A162,tblGunluk[SagimLt_lt]),0))</f>
        <v/>
      </c>
      <c r="J162" s="19">
        <f>IF($A162="","",COUNTIFS(tblGunluk[VarlikId],$A162,tblGunluk[AlarmBayrak],"ALARM"))</f>
        <v/>
      </c>
      <c r="K162" s="19">
        <f>IF($A162="","",MAX(0,MIN(100,ssy_kaliteTaban-IF($I162&lt;ssy_esikSagimLt,ssy_kaliteCeza,0)-COUNTIFS(tblGunluk[VarlikId],$A162,tblGunluk[AlarmBayrak],"ALARM")*ssy_kaliteSapma-IF($G162="HAYIR",ssy_kaliteCeza,0))))</f>
        <v/>
      </c>
    </row>
    <row r="163">
      <c r="A163" s="15" t="n"/>
      <c r="B163" s="15" t="n"/>
      <c r="C163" s="15" t="n"/>
      <c r="D163" s="16" t="n"/>
      <c r="E163" s="17" t="n"/>
      <c r="F163" s="60" t="n"/>
      <c r="G163" s="15" t="n"/>
      <c r="H163" s="19">
        <f>IF($A163="","",SUMIF(tblGunluk[VarlikId],$A163,tblGunluk[SagimLt_lt]))</f>
        <v/>
      </c>
      <c r="I163" s="19">
        <f>IF($A163="","",IFERROR(AVERAGEIF(tblGunluk[VarlikId],$A163,tblGunluk[SagimLt_lt]),0))</f>
        <v/>
      </c>
      <c r="J163" s="19">
        <f>IF($A163="","",COUNTIFS(tblGunluk[VarlikId],$A163,tblGunluk[AlarmBayrak],"ALARM"))</f>
        <v/>
      </c>
      <c r="K163" s="19">
        <f>IF($A163="","",MAX(0,MIN(100,ssy_kaliteTaban-IF($I163&lt;ssy_esikSagimLt,ssy_kaliteCeza,0)-COUNTIFS(tblGunluk[VarlikId],$A163,tblGunluk[AlarmBayrak],"ALARM")*ssy_kaliteSapma-IF($G163="HAYIR",ssy_kaliteCeza,0))))</f>
        <v/>
      </c>
    </row>
    <row r="164">
      <c r="A164" s="15" t="n"/>
      <c r="B164" s="15" t="n"/>
      <c r="C164" s="15" t="n"/>
      <c r="D164" s="16" t="n"/>
      <c r="E164" s="17" t="n"/>
      <c r="F164" s="60" t="n"/>
      <c r="G164" s="15" t="n"/>
      <c r="H164" s="19">
        <f>IF($A164="","",SUMIF(tblGunluk[VarlikId],$A164,tblGunluk[SagimLt_lt]))</f>
        <v/>
      </c>
      <c r="I164" s="19">
        <f>IF($A164="","",IFERROR(AVERAGEIF(tblGunluk[VarlikId],$A164,tblGunluk[SagimLt_lt]),0))</f>
        <v/>
      </c>
      <c r="J164" s="19">
        <f>IF($A164="","",COUNTIFS(tblGunluk[VarlikId],$A164,tblGunluk[AlarmBayrak],"ALARM"))</f>
        <v/>
      </c>
      <c r="K164" s="19">
        <f>IF($A164="","",MAX(0,MIN(100,ssy_kaliteTaban-IF($I164&lt;ssy_esikSagimLt,ssy_kaliteCeza,0)-COUNTIFS(tblGunluk[VarlikId],$A164,tblGunluk[AlarmBayrak],"ALARM")*ssy_kaliteSapma-IF($G164="HAYIR",ssy_kaliteCeza,0))))</f>
        <v/>
      </c>
    </row>
    <row r="165">
      <c r="A165" s="15" t="n"/>
      <c r="B165" s="15" t="n"/>
      <c r="C165" s="15" t="n"/>
      <c r="D165" s="16" t="n"/>
      <c r="E165" s="17" t="n"/>
      <c r="F165" s="60" t="n"/>
      <c r="G165" s="15" t="n"/>
      <c r="H165" s="19">
        <f>IF($A165="","",SUMIF(tblGunluk[VarlikId],$A165,tblGunluk[SagimLt_lt]))</f>
        <v/>
      </c>
      <c r="I165" s="19">
        <f>IF($A165="","",IFERROR(AVERAGEIF(tblGunluk[VarlikId],$A165,tblGunluk[SagimLt_lt]),0))</f>
        <v/>
      </c>
      <c r="J165" s="19">
        <f>IF($A165="","",COUNTIFS(tblGunluk[VarlikId],$A165,tblGunluk[AlarmBayrak],"ALARM"))</f>
        <v/>
      </c>
      <c r="K165" s="19">
        <f>IF($A165="","",MAX(0,MIN(100,ssy_kaliteTaban-IF($I165&lt;ssy_esikSagimLt,ssy_kaliteCeza,0)-COUNTIFS(tblGunluk[VarlikId],$A165,tblGunluk[AlarmBayrak],"ALARM")*ssy_kaliteSapma-IF($G165="HAYIR",ssy_kaliteCeza,0))))</f>
        <v/>
      </c>
    </row>
    <row r="166">
      <c r="A166" s="15" t="n"/>
      <c r="B166" s="15" t="n"/>
      <c r="C166" s="15" t="n"/>
      <c r="D166" s="16" t="n"/>
      <c r="E166" s="17" t="n"/>
      <c r="F166" s="60" t="n"/>
      <c r="G166" s="15" t="n"/>
      <c r="H166" s="19">
        <f>IF($A166="","",SUMIF(tblGunluk[VarlikId],$A166,tblGunluk[SagimLt_lt]))</f>
        <v/>
      </c>
      <c r="I166" s="19">
        <f>IF($A166="","",IFERROR(AVERAGEIF(tblGunluk[VarlikId],$A166,tblGunluk[SagimLt_lt]),0))</f>
        <v/>
      </c>
      <c r="J166" s="19">
        <f>IF($A166="","",COUNTIFS(tblGunluk[VarlikId],$A166,tblGunluk[AlarmBayrak],"ALARM"))</f>
        <v/>
      </c>
      <c r="K166" s="19">
        <f>IF($A166="","",MAX(0,MIN(100,ssy_kaliteTaban-IF($I166&lt;ssy_esikSagimLt,ssy_kaliteCeza,0)-COUNTIFS(tblGunluk[VarlikId],$A166,tblGunluk[AlarmBayrak],"ALARM")*ssy_kaliteSapma-IF($G166="HAYIR",ssy_kaliteCeza,0))))</f>
        <v/>
      </c>
    </row>
    <row r="167">
      <c r="A167" s="15" t="n"/>
      <c r="B167" s="15" t="n"/>
      <c r="C167" s="15" t="n"/>
      <c r="D167" s="16" t="n"/>
      <c r="E167" s="17" t="n"/>
      <c r="F167" s="60" t="n"/>
      <c r="G167" s="15" t="n"/>
      <c r="H167" s="19">
        <f>IF($A167="","",SUMIF(tblGunluk[VarlikId],$A167,tblGunluk[SagimLt_lt]))</f>
        <v/>
      </c>
      <c r="I167" s="19">
        <f>IF($A167="","",IFERROR(AVERAGEIF(tblGunluk[VarlikId],$A167,tblGunluk[SagimLt_lt]),0))</f>
        <v/>
      </c>
      <c r="J167" s="19">
        <f>IF($A167="","",COUNTIFS(tblGunluk[VarlikId],$A167,tblGunluk[AlarmBayrak],"ALARM"))</f>
        <v/>
      </c>
      <c r="K167" s="19">
        <f>IF($A167="","",MAX(0,MIN(100,ssy_kaliteTaban-IF($I167&lt;ssy_esikSagimLt,ssy_kaliteCeza,0)-COUNTIFS(tblGunluk[VarlikId],$A167,tblGunluk[AlarmBayrak],"ALARM")*ssy_kaliteSapma-IF($G167="HAYIR",ssy_kaliteCeza,0))))</f>
        <v/>
      </c>
    </row>
    <row r="168">
      <c r="A168" s="15" t="n"/>
      <c r="B168" s="15" t="n"/>
      <c r="C168" s="15" t="n"/>
      <c r="D168" s="16" t="n"/>
      <c r="E168" s="17" t="n"/>
      <c r="F168" s="60" t="n"/>
      <c r="G168" s="15" t="n"/>
      <c r="H168" s="19">
        <f>IF($A168="","",SUMIF(tblGunluk[VarlikId],$A168,tblGunluk[SagimLt_lt]))</f>
        <v/>
      </c>
      <c r="I168" s="19">
        <f>IF($A168="","",IFERROR(AVERAGEIF(tblGunluk[VarlikId],$A168,tblGunluk[SagimLt_lt]),0))</f>
        <v/>
      </c>
      <c r="J168" s="19">
        <f>IF($A168="","",COUNTIFS(tblGunluk[VarlikId],$A168,tblGunluk[AlarmBayrak],"ALARM"))</f>
        <v/>
      </c>
      <c r="K168" s="19">
        <f>IF($A168="","",MAX(0,MIN(100,ssy_kaliteTaban-IF($I168&lt;ssy_esikSagimLt,ssy_kaliteCeza,0)-COUNTIFS(tblGunluk[VarlikId],$A168,tblGunluk[AlarmBayrak],"ALARM")*ssy_kaliteSapma-IF($G168="HAYIR",ssy_kaliteCeza,0))))</f>
        <v/>
      </c>
    </row>
    <row r="169">
      <c r="A169" s="15" t="n"/>
      <c r="B169" s="15" t="n"/>
      <c r="C169" s="15" t="n"/>
      <c r="D169" s="16" t="n"/>
      <c r="E169" s="17" t="n"/>
      <c r="F169" s="60" t="n"/>
      <c r="G169" s="15" t="n"/>
      <c r="H169" s="19">
        <f>IF($A169="","",SUMIF(tblGunluk[VarlikId],$A169,tblGunluk[SagimLt_lt]))</f>
        <v/>
      </c>
      <c r="I169" s="19">
        <f>IF($A169="","",IFERROR(AVERAGEIF(tblGunluk[VarlikId],$A169,tblGunluk[SagimLt_lt]),0))</f>
        <v/>
      </c>
      <c r="J169" s="19">
        <f>IF($A169="","",COUNTIFS(tblGunluk[VarlikId],$A169,tblGunluk[AlarmBayrak],"ALARM"))</f>
        <v/>
      </c>
      <c r="K169" s="19">
        <f>IF($A169="","",MAX(0,MIN(100,ssy_kaliteTaban-IF($I169&lt;ssy_esikSagimLt,ssy_kaliteCeza,0)-COUNTIFS(tblGunluk[VarlikId],$A169,tblGunluk[AlarmBayrak],"ALARM")*ssy_kaliteSapma-IF($G169="HAYIR",ssy_kaliteCeza,0))))</f>
        <v/>
      </c>
    </row>
    <row r="170">
      <c r="A170" s="15" t="n"/>
      <c r="B170" s="15" t="n"/>
      <c r="C170" s="15" t="n"/>
      <c r="D170" s="16" t="n"/>
      <c r="E170" s="17" t="n"/>
      <c r="F170" s="60" t="n"/>
      <c r="G170" s="15" t="n"/>
      <c r="H170" s="19">
        <f>IF($A170="","",SUMIF(tblGunluk[VarlikId],$A170,tblGunluk[SagimLt_lt]))</f>
        <v/>
      </c>
      <c r="I170" s="19">
        <f>IF($A170="","",IFERROR(AVERAGEIF(tblGunluk[VarlikId],$A170,tblGunluk[SagimLt_lt]),0))</f>
        <v/>
      </c>
      <c r="J170" s="19">
        <f>IF($A170="","",COUNTIFS(tblGunluk[VarlikId],$A170,tblGunluk[AlarmBayrak],"ALARM"))</f>
        <v/>
      </c>
      <c r="K170" s="19">
        <f>IF($A170="","",MAX(0,MIN(100,ssy_kaliteTaban-IF($I170&lt;ssy_esikSagimLt,ssy_kaliteCeza,0)-COUNTIFS(tblGunluk[VarlikId],$A170,tblGunluk[AlarmBayrak],"ALARM")*ssy_kaliteSapma-IF($G170="HAYIR",ssy_kaliteCeza,0))))</f>
        <v/>
      </c>
    </row>
    <row r="171">
      <c r="A171" s="15" t="n"/>
      <c r="B171" s="15" t="n"/>
      <c r="C171" s="15" t="n"/>
      <c r="D171" s="16" t="n"/>
      <c r="E171" s="17" t="n"/>
      <c r="F171" s="60" t="n"/>
      <c r="G171" s="15" t="n"/>
      <c r="H171" s="19">
        <f>IF($A171="","",SUMIF(tblGunluk[VarlikId],$A171,tblGunluk[SagimLt_lt]))</f>
        <v/>
      </c>
      <c r="I171" s="19">
        <f>IF($A171="","",IFERROR(AVERAGEIF(tblGunluk[VarlikId],$A171,tblGunluk[SagimLt_lt]),0))</f>
        <v/>
      </c>
      <c r="J171" s="19">
        <f>IF($A171="","",COUNTIFS(tblGunluk[VarlikId],$A171,tblGunluk[AlarmBayrak],"ALARM"))</f>
        <v/>
      </c>
      <c r="K171" s="19">
        <f>IF($A171="","",MAX(0,MIN(100,ssy_kaliteTaban-IF($I171&lt;ssy_esikSagimLt,ssy_kaliteCeza,0)-COUNTIFS(tblGunluk[VarlikId],$A171,tblGunluk[AlarmBayrak],"ALARM")*ssy_kaliteSapma-IF($G171="HAYIR",ssy_kaliteCeza,0))))</f>
        <v/>
      </c>
    </row>
    <row r="172">
      <c r="A172" s="15" t="n"/>
      <c r="B172" s="15" t="n"/>
      <c r="C172" s="15" t="n"/>
      <c r="D172" s="16" t="n"/>
      <c r="E172" s="17" t="n"/>
      <c r="F172" s="60" t="n"/>
      <c r="G172" s="15" t="n"/>
      <c r="H172" s="19">
        <f>IF($A172="","",SUMIF(tblGunluk[VarlikId],$A172,tblGunluk[SagimLt_lt]))</f>
        <v/>
      </c>
      <c r="I172" s="19">
        <f>IF($A172="","",IFERROR(AVERAGEIF(tblGunluk[VarlikId],$A172,tblGunluk[SagimLt_lt]),0))</f>
        <v/>
      </c>
      <c r="J172" s="19">
        <f>IF($A172="","",COUNTIFS(tblGunluk[VarlikId],$A172,tblGunluk[AlarmBayrak],"ALARM"))</f>
        <v/>
      </c>
      <c r="K172" s="19">
        <f>IF($A172="","",MAX(0,MIN(100,ssy_kaliteTaban-IF($I172&lt;ssy_esikSagimLt,ssy_kaliteCeza,0)-COUNTIFS(tblGunluk[VarlikId],$A172,tblGunluk[AlarmBayrak],"ALARM")*ssy_kaliteSapma-IF($G172="HAYIR",ssy_kaliteCeza,0))))</f>
        <v/>
      </c>
    </row>
    <row r="173">
      <c r="A173" s="15" t="n"/>
      <c r="B173" s="15" t="n"/>
      <c r="C173" s="15" t="n"/>
      <c r="D173" s="16" t="n"/>
      <c r="E173" s="17" t="n"/>
      <c r="F173" s="60" t="n"/>
      <c r="G173" s="15" t="n"/>
      <c r="H173" s="19">
        <f>IF($A173="","",SUMIF(tblGunluk[VarlikId],$A173,tblGunluk[SagimLt_lt]))</f>
        <v/>
      </c>
      <c r="I173" s="19">
        <f>IF($A173="","",IFERROR(AVERAGEIF(tblGunluk[VarlikId],$A173,tblGunluk[SagimLt_lt]),0))</f>
        <v/>
      </c>
      <c r="J173" s="19">
        <f>IF($A173="","",COUNTIFS(tblGunluk[VarlikId],$A173,tblGunluk[AlarmBayrak],"ALARM"))</f>
        <v/>
      </c>
      <c r="K173" s="19">
        <f>IF($A173="","",MAX(0,MIN(100,ssy_kaliteTaban-IF($I173&lt;ssy_esikSagimLt,ssy_kaliteCeza,0)-COUNTIFS(tblGunluk[VarlikId],$A173,tblGunluk[AlarmBayrak],"ALARM")*ssy_kaliteSapma-IF($G173="HAYIR",ssy_kaliteCeza,0))))</f>
        <v/>
      </c>
    </row>
    <row r="174">
      <c r="A174" s="15" t="n"/>
      <c r="B174" s="15" t="n"/>
      <c r="C174" s="15" t="n"/>
      <c r="D174" s="16" t="n"/>
      <c r="E174" s="17" t="n"/>
      <c r="F174" s="60" t="n"/>
      <c r="G174" s="15" t="n"/>
      <c r="H174" s="19">
        <f>IF($A174="","",SUMIF(tblGunluk[VarlikId],$A174,tblGunluk[SagimLt_lt]))</f>
        <v/>
      </c>
      <c r="I174" s="19">
        <f>IF($A174="","",IFERROR(AVERAGEIF(tblGunluk[VarlikId],$A174,tblGunluk[SagimLt_lt]),0))</f>
        <v/>
      </c>
      <c r="J174" s="19">
        <f>IF($A174="","",COUNTIFS(tblGunluk[VarlikId],$A174,tblGunluk[AlarmBayrak],"ALARM"))</f>
        <v/>
      </c>
      <c r="K174" s="19">
        <f>IF($A174="","",MAX(0,MIN(100,ssy_kaliteTaban-IF($I174&lt;ssy_esikSagimLt,ssy_kaliteCeza,0)-COUNTIFS(tblGunluk[VarlikId],$A174,tblGunluk[AlarmBayrak],"ALARM")*ssy_kaliteSapma-IF($G174="HAYIR",ssy_kaliteCeza,0))))</f>
        <v/>
      </c>
    </row>
    <row r="175">
      <c r="A175" s="15" t="n"/>
      <c r="B175" s="15" t="n"/>
      <c r="C175" s="15" t="n"/>
      <c r="D175" s="16" t="n"/>
      <c r="E175" s="17" t="n"/>
      <c r="F175" s="60" t="n"/>
      <c r="G175" s="15" t="n"/>
      <c r="H175" s="19">
        <f>IF($A175="","",SUMIF(tblGunluk[VarlikId],$A175,tblGunluk[SagimLt_lt]))</f>
        <v/>
      </c>
      <c r="I175" s="19">
        <f>IF($A175="","",IFERROR(AVERAGEIF(tblGunluk[VarlikId],$A175,tblGunluk[SagimLt_lt]),0))</f>
        <v/>
      </c>
      <c r="J175" s="19">
        <f>IF($A175="","",COUNTIFS(tblGunluk[VarlikId],$A175,tblGunluk[AlarmBayrak],"ALARM"))</f>
        <v/>
      </c>
      <c r="K175" s="19">
        <f>IF($A175="","",MAX(0,MIN(100,ssy_kaliteTaban-IF($I175&lt;ssy_esikSagimLt,ssy_kaliteCeza,0)-COUNTIFS(tblGunluk[VarlikId],$A175,tblGunluk[AlarmBayrak],"ALARM")*ssy_kaliteSapma-IF($G175="HAYIR",ssy_kaliteCeza,0))))</f>
        <v/>
      </c>
    </row>
    <row r="176">
      <c r="A176" s="15" t="n"/>
      <c r="B176" s="15" t="n"/>
      <c r="C176" s="15" t="n"/>
      <c r="D176" s="16" t="n"/>
      <c r="E176" s="17" t="n"/>
      <c r="F176" s="60" t="n"/>
      <c r="G176" s="15" t="n"/>
      <c r="H176" s="19">
        <f>IF($A176="","",SUMIF(tblGunluk[VarlikId],$A176,tblGunluk[SagimLt_lt]))</f>
        <v/>
      </c>
      <c r="I176" s="19">
        <f>IF($A176="","",IFERROR(AVERAGEIF(tblGunluk[VarlikId],$A176,tblGunluk[SagimLt_lt]),0))</f>
        <v/>
      </c>
      <c r="J176" s="19">
        <f>IF($A176="","",COUNTIFS(tblGunluk[VarlikId],$A176,tblGunluk[AlarmBayrak],"ALARM"))</f>
        <v/>
      </c>
      <c r="K176" s="19">
        <f>IF($A176="","",MAX(0,MIN(100,ssy_kaliteTaban-IF($I176&lt;ssy_esikSagimLt,ssy_kaliteCeza,0)-COUNTIFS(tblGunluk[VarlikId],$A176,tblGunluk[AlarmBayrak],"ALARM")*ssy_kaliteSapma-IF($G176="HAYIR",ssy_kaliteCeza,0))))</f>
        <v/>
      </c>
    </row>
    <row r="177">
      <c r="A177" s="15" t="n"/>
      <c r="B177" s="15" t="n"/>
      <c r="C177" s="15" t="n"/>
      <c r="D177" s="16" t="n"/>
      <c r="E177" s="17" t="n"/>
      <c r="F177" s="60" t="n"/>
      <c r="G177" s="15" t="n"/>
      <c r="H177" s="19">
        <f>IF($A177="","",SUMIF(tblGunluk[VarlikId],$A177,tblGunluk[SagimLt_lt]))</f>
        <v/>
      </c>
      <c r="I177" s="19">
        <f>IF($A177="","",IFERROR(AVERAGEIF(tblGunluk[VarlikId],$A177,tblGunluk[SagimLt_lt]),0))</f>
        <v/>
      </c>
      <c r="J177" s="19">
        <f>IF($A177="","",COUNTIFS(tblGunluk[VarlikId],$A177,tblGunluk[AlarmBayrak],"ALARM"))</f>
        <v/>
      </c>
      <c r="K177" s="19">
        <f>IF($A177="","",MAX(0,MIN(100,ssy_kaliteTaban-IF($I177&lt;ssy_esikSagimLt,ssy_kaliteCeza,0)-COUNTIFS(tblGunluk[VarlikId],$A177,tblGunluk[AlarmBayrak],"ALARM")*ssy_kaliteSapma-IF($G177="HAYIR",ssy_kaliteCeza,0))))</f>
        <v/>
      </c>
    </row>
    <row r="178">
      <c r="A178" s="15" t="n"/>
      <c r="B178" s="15" t="n"/>
      <c r="C178" s="15" t="n"/>
      <c r="D178" s="16" t="n"/>
      <c r="E178" s="17" t="n"/>
      <c r="F178" s="60" t="n"/>
      <c r="G178" s="15" t="n"/>
      <c r="H178" s="19">
        <f>IF($A178="","",SUMIF(tblGunluk[VarlikId],$A178,tblGunluk[SagimLt_lt]))</f>
        <v/>
      </c>
      <c r="I178" s="19">
        <f>IF($A178="","",IFERROR(AVERAGEIF(tblGunluk[VarlikId],$A178,tblGunluk[SagimLt_lt]),0))</f>
        <v/>
      </c>
      <c r="J178" s="19">
        <f>IF($A178="","",COUNTIFS(tblGunluk[VarlikId],$A178,tblGunluk[AlarmBayrak],"ALARM"))</f>
        <v/>
      </c>
      <c r="K178" s="19">
        <f>IF($A178="","",MAX(0,MIN(100,ssy_kaliteTaban-IF($I178&lt;ssy_esikSagimLt,ssy_kaliteCeza,0)-COUNTIFS(tblGunluk[VarlikId],$A178,tblGunluk[AlarmBayrak],"ALARM")*ssy_kaliteSapma-IF($G178="HAYIR",ssy_kaliteCeza,0))))</f>
        <v/>
      </c>
    </row>
    <row r="179">
      <c r="A179" s="15" t="n"/>
      <c r="B179" s="15" t="n"/>
      <c r="C179" s="15" t="n"/>
      <c r="D179" s="16" t="n"/>
      <c r="E179" s="17" t="n"/>
      <c r="F179" s="60" t="n"/>
      <c r="G179" s="15" t="n"/>
      <c r="H179" s="19">
        <f>IF($A179="","",SUMIF(tblGunluk[VarlikId],$A179,tblGunluk[SagimLt_lt]))</f>
        <v/>
      </c>
      <c r="I179" s="19">
        <f>IF($A179="","",IFERROR(AVERAGEIF(tblGunluk[VarlikId],$A179,tblGunluk[SagimLt_lt]),0))</f>
        <v/>
      </c>
      <c r="J179" s="19">
        <f>IF($A179="","",COUNTIFS(tblGunluk[VarlikId],$A179,tblGunluk[AlarmBayrak],"ALARM"))</f>
        <v/>
      </c>
      <c r="K179" s="19">
        <f>IF($A179="","",MAX(0,MIN(100,ssy_kaliteTaban-IF($I179&lt;ssy_esikSagimLt,ssy_kaliteCeza,0)-COUNTIFS(tblGunluk[VarlikId],$A179,tblGunluk[AlarmBayrak],"ALARM")*ssy_kaliteSapma-IF($G179="HAYIR",ssy_kaliteCeza,0))))</f>
        <v/>
      </c>
    </row>
    <row r="180">
      <c r="A180" s="15" t="n"/>
      <c r="B180" s="15" t="n"/>
      <c r="C180" s="15" t="n"/>
      <c r="D180" s="16" t="n"/>
      <c r="E180" s="17" t="n"/>
      <c r="F180" s="60" t="n"/>
      <c r="G180" s="15" t="n"/>
      <c r="H180" s="19">
        <f>IF($A180="","",SUMIF(tblGunluk[VarlikId],$A180,tblGunluk[SagimLt_lt]))</f>
        <v/>
      </c>
      <c r="I180" s="19">
        <f>IF($A180="","",IFERROR(AVERAGEIF(tblGunluk[VarlikId],$A180,tblGunluk[SagimLt_lt]),0))</f>
        <v/>
      </c>
      <c r="J180" s="19">
        <f>IF($A180="","",COUNTIFS(tblGunluk[VarlikId],$A180,tblGunluk[AlarmBayrak],"ALARM"))</f>
        <v/>
      </c>
      <c r="K180" s="19">
        <f>IF($A180="","",MAX(0,MIN(100,ssy_kaliteTaban-IF($I180&lt;ssy_esikSagimLt,ssy_kaliteCeza,0)-COUNTIFS(tblGunluk[VarlikId],$A180,tblGunluk[AlarmBayrak],"ALARM")*ssy_kaliteSapma-IF($G180="HAYIR",ssy_kaliteCeza,0))))</f>
        <v/>
      </c>
    </row>
    <row r="181">
      <c r="A181" s="15" t="n"/>
      <c r="B181" s="15" t="n"/>
      <c r="C181" s="15" t="n"/>
      <c r="D181" s="16" t="n"/>
      <c r="E181" s="17" t="n"/>
      <c r="F181" s="60" t="n"/>
      <c r="G181" s="15" t="n"/>
      <c r="H181" s="19">
        <f>IF($A181="","",SUMIF(tblGunluk[VarlikId],$A181,tblGunluk[SagimLt_lt]))</f>
        <v/>
      </c>
      <c r="I181" s="19">
        <f>IF($A181="","",IFERROR(AVERAGEIF(tblGunluk[VarlikId],$A181,tblGunluk[SagimLt_lt]),0))</f>
        <v/>
      </c>
      <c r="J181" s="19">
        <f>IF($A181="","",COUNTIFS(tblGunluk[VarlikId],$A181,tblGunluk[AlarmBayrak],"ALARM"))</f>
        <v/>
      </c>
      <c r="K181" s="19">
        <f>IF($A181="","",MAX(0,MIN(100,ssy_kaliteTaban-IF($I181&lt;ssy_esikSagimLt,ssy_kaliteCeza,0)-COUNTIFS(tblGunluk[VarlikId],$A181,tblGunluk[AlarmBayrak],"ALARM")*ssy_kaliteSapma-IF($G181="HAYIR",ssy_kaliteCeza,0))))</f>
        <v/>
      </c>
    </row>
    <row r="182">
      <c r="A182" s="15" t="n"/>
      <c r="B182" s="15" t="n"/>
      <c r="C182" s="15" t="n"/>
      <c r="D182" s="16" t="n"/>
      <c r="E182" s="17" t="n"/>
      <c r="F182" s="60" t="n"/>
      <c r="G182" s="15" t="n"/>
      <c r="H182" s="19">
        <f>IF($A182="","",SUMIF(tblGunluk[VarlikId],$A182,tblGunluk[SagimLt_lt]))</f>
        <v/>
      </c>
      <c r="I182" s="19">
        <f>IF($A182="","",IFERROR(AVERAGEIF(tblGunluk[VarlikId],$A182,tblGunluk[SagimLt_lt]),0))</f>
        <v/>
      </c>
      <c r="J182" s="19">
        <f>IF($A182="","",COUNTIFS(tblGunluk[VarlikId],$A182,tblGunluk[AlarmBayrak],"ALARM"))</f>
        <v/>
      </c>
      <c r="K182" s="19">
        <f>IF($A182="","",MAX(0,MIN(100,ssy_kaliteTaban-IF($I182&lt;ssy_esikSagimLt,ssy_kaliteCeza,0)-COUNTIFS(tblGunluk[VarlikId],$A182,tblGunluk[AlarmBayrak],"ALARM")*ssy_kaliteSapma-IF($G182="HAYIR",ssy_kaliteCeza,0))))</f>
        <v/>
      </c>
    </row>
    <row r="183">
      <c r="A183" s="15" t="n"/>
      <c r="B183" s="15" t="n"/>
      <c r="C183" s="15" t="n"/>
      <c r="D183" s="16" t="n"/>
      <c r="E183" s="17" t="n"/>
      <c r="F183" s="60" t="n"/>
      <c r="G183" s="15" t="n"/>
      <c r="H183" s="19">
        <f>IF($A183="","",SUMIF(tblGunluk[VarlikId],$A183,tblGunluk[SagimLt_lt]))</f>
        <v/>
      </c>
      <c r="I183" s="19">
        <f>IF($A183="","",IFERROR(AVERAGEIF(tblGunluk[VarlikId],$A183,tblGunluk[SagimLt_lt]),0))</f>
        <v/>
      </c>
      <c r="J183" s="19">
        <f>IF($A183="","",COUNTIFS(tblGunluk[VarlikId],$A183,tblGunluk[AlarmBayrak],"ALARM"))</f>
        <v/>
      </c>
      <c r="K183" s="19">
        <f>IF($A183="","",MAX(0,MIN(100,ssy_kaliteTaban-IF($I183&lt;ssy_esikSagimLt,ssy_kaliteCeza,0)-COUNTIFS(tblGunluk[VarlikId],$A183,tblGunluk[AlarmBayrak],"ALARM")*ssy_kaliteSapma-IF($G183="HAYIR",ssy_kaliteCeza,0))))</f>
        <v/>
      </c>
    </row>
    <row r="184">
      <c r="A184" s="15" t="n"/>
      <c r="B184" s="15" t="n"/>
      <c r="C184" s="15" t="n"/>
      <c r="D184" s="16" t="n"/>
      <c r="E184" s="17" t="n"/>
      <c r="F184" s="60" t="n"/>
      <c r="G184" s="15" t="n"/>
      <c r="H184" s="19">
        <f>IF($A184="","",SUMIF(tblGunluk[VarlikId],$A184,tblGunluk[SagimLt_lt]))</f>
        <v/>
      </c>
      <c r="I184" s="19">
        <f>IF($A184="","",IFERROR(AVERAGEIF(tblGunluk[VarlikId],$A184,tblGunluk[SagimLt_lt]),0))</f>
        <v/>
      </c>
      <c r="J184" s="19">
        <f>IF($A184="","",COUNTIFS(tblGunluk[VarlikId],$A184,tblGunluk[AlarmBayrak],"ALARM"))</f>
        <v/>
      </c>
      <c r="K184" s="19">
        <f>IF($A184="","",MAX(0,MIN(100,ssy_kaliteTaban-IF($I184&lt;ssy_esikSagimLt,ssy_kaliteCeza,0)-COUNTIFS(tblGunluk[VarlikId],$A184,tblGunluk[AlarmBayrak],"ALARM")*ssy_kaliteSapma-IF($G184="HAYIR",ssy_kaliteCeza,0))))</f>
        <v/>
      </c>
    </row>
    <row r="185">
      <c r="A185" s="15" t="n"/>
      <c r="B185" s="15" t="n"/>
      <c r="C185" s="15" t="n"/>
      <c r="D185" s="16" t="n"/>
      <c r="E185" s="17" t="n"/>
      <c r="F185" s="60" t="n"/>
      <c r="G185" s="15" t="n"/>
      <c r="H185" s="19">
        <f>IF($A185="","",SUMIF(tblGunluk[VarlikId],$A185,tblGunluk[SagimLt_lt]))</f>
        <v/>
      </c>
      <c r="I185" s="19">
        <f>IF($A185="","",IFERROR(AVERAGEIF(tblGunluk[VarlikId],$A185,tblGunluk[SagimLt_lt]),0))</f>
        <v/>
      </c>
      <c r="J185" s="19">
        <f>IF($A185="","",COUNTIFS(tblGunluk[VarlikId],$A185,tblGunluk[AlarmBayrak],"ALARM"))</f>
        <v/>
      </c>
      <c r="K185" s="19">
        <f>IF($A185="","",MAX(0,MIN(100,ssy_kaliteTaban-IF($I185&lt;ssy_esikSagimLt,ssy_kaliteCeza,0)-COUNTIFS(tblGunluk[VarlikId],$A185,tblGunluk[AlarmBayrak],"ALARM")*ssy_kaliteSapma-IF($G185="HAYIR",ssy_kaliteCeza,0))))</f>
        <v/>
      </c>
    </row>
    <row r="186">
      <c r="A186" s="15" t="n"/>
      <c r="B186" s="15" t="n"/>
      <c r="C186" s="15" t="n"/>
      <c r="D186" s="16" t="n"/>
      <c r="E186" s="17" t="n"/>
      <c r="F186" s="60" t="n"/>
      <c r="G186" s="15" t="n"/>
      <c r="H186" s="19">
        <f>IF($A186="","",SUMIF(tblGunluk[VarlikId],$A186,tblGunluk[SagimLt_lt]))</f>
        <v/>
      </c>
      <c r="I186" s="19">
        <f>IF($A186="","",IFERROR(AVERAGEIF(tblGunluk[VarlikId],$A186,tblGunluk[SagimLt_lt]),0))</f>
        <v/>
      </c>
      <c r="J186" s="19">
        <f>IF($A186="","",COUNTIFS(tblGunluk[VarlikId],$A186,tblGunluk[AlarmBayrak],"ALARM"))</f>
        <v/>
      </c>
      <c r="K186" s="19">
        <f>IF($A186="","",MAX(0,MIN(100,ssy_kaliteTaban-IF($I186&lt;ssy_esikSagimLt,ssy_kaliteCeza,0)-COUNTIFS(tblGunluk[VarlikId],$A186,tblGunluk[AlarmBayrak],"ALARM")*ssy_kaliteSapma-IF($G186="HAYIR",ssy_kaliteCeza,0))))</f>
        <v/>
      </c>
    </row>
    <row r="187">
      <c r="A187" s="15" t="n"/>
      <c r="B187" s="15" t="n"/>
      <c r="C187" s="15" t="n"/>
      <c r="D187" s="16" t="n"/>
      <c r="E187" s="17" t="n"/>
      <c r="F187" s="60" t="n"/>
      <c r="G187" s="15" t="n"/>
      <c r="H187" s="19">
        <f>IF($A187="","",SUMIF(tblGunluk[VarlikId],$A187,tblGunluk[SagimLt_lt]))</f>
        <v/>
      </c>
      <c r="I187" s="19">
        <f>IF($A187="","",IFERROR(AVERAGEIF(tblGunluk[VarlikId],$A187,tblGunluk[SagimLt_lt]),0))</f>
        <v/>
      </c>
      <c r="J187" s="19">
        <f>IF($A187="","",COUNTIFS(tblGunluk[VarlikId],$A187,tblGunluk[AlarmBayrak],"ALARM"))</f>
        <v/>
      </c>
      <c r="K187" s="19">
        <f>IF($A187="","",MAX(0,MIN(100,ssy_kaliteTaban-IF($I187&lt;ssy_esikSagimLt,ssy_kaliteCeza,0)-COUNTIFS(tblGunluk[VarlikId],$A187,tblGunluk[AlarmBayrak],"ALARM")*ssy_kaliteSapma-IF($G187="HAYIR",ssy_kaliteCeza,0))))</f>
        <v/>
      </c>
    </row>
    <row r="188">
      <c r="A188" s="15" t="n"/>
      <c r="B188" s="15" t="n"/>
      <c r="C188" s="15" t="n"/>
      <c r="D188" s="16" t="n"/>
      <c r="E188" s="17" t="n"/>
      <c r="F188" s="60" t="n"/>
      <c r="G188" s="15" t="n"/>
      <c r="H188" s="19">
        <f>IF($A188="","",SUMIF(tblGunluk[VarlikId],$A188,tblGunluk[SagimLt_lt]))</f>
        <v/>
      </c>
      <c r="I188" s="19">
        <f>IF($A188="","",IFERROR(AVERAGEIF(tblGunluk[VarlikId],$A188,tblGunluk[SagimLt_lt]),0))</f>
        <v/>
      </c>
      <c r="J188" s="19">
        <f>IF($A188="","",COUNTIFS(tblGunluk[VarlikId],$A188,tblGunluk[AlarmBayrak],"ALARM"))</f>
        <v/>
      </c>
      <c r="K188" s="19">
        <f>IF($A188="","",MAX(0,MIN(100,ssy_kaliteTaban-IF($I188&lt;ssy_esikSagimLt,ssy_kaliteCeza,0)-COUNTIFS(tblGunluk[VarlikId],$A188,tblGunluk[AlarmBayrak],"ALARM")*ssy_kaliteSapma-IF($G188="HAYIR",ssy_kaliteCeza,0))))</f>
        <v/>
      </c>
    </row>
    <row r="189">
      <c r="A189" s="15" t="n"/>
      <c r="B189" s="15" t="n"/>
      <c r="C189" s="15" t="n"/>
      <c r="D189" s="16" t="n"/>
      <c r="E189" s="17" t="n"/>
      <c r="F189" s="60" t="n"/>
      <c r="G189" s="15" t="n"/>
      <c r="H189" s="19">
        <f>IF($A189="","",SUMIF(tblGunluk[VarlikId],$A189,tblGunluk[SagimLt_lt]))</f>
        <v/>
      </c>
      <c r="I189" s="19">
        <f>IF($A189="","",IFERROR(AVERAGEIF(tblGunluk[VarlikId],$A189,tblGunluk[SagimLt_lt]),0))</f>
        <v/>
      </c>
      <c r="J189" s="19">
        <f>IF($A189="","",COUNTIFS(tblGunluk[VarlikId],$A189,tblGunluk[AlarmBayrak],"ALARM"))</f>
        <v/>
      </c>
      <c r="K189" s="19">
        <f>IF($A189="","",MAX(0,MIN(100,ssy_kaliteTaban-IF($I189&lt;ssy_esikSagimLt,ssy_kaliteCeza,0)-COUNTIFS(tblGunluk[VarlikId],$A189,tblGunluk[AlarmBayrak],"ALARM")*ssy_kaliteSapma-IF($G189="HAYIR",ssy_kaliteCeza,0))))</f>
        <v/>
      </c>
    </row>
    <row r="190">
      <c r="A190" s="15" t="n"/>
      <c r="B190" s="15" t="n"/>
      <c r="C190" s="15" t="n"/>
      <c r="D190" s="16" t="n"/>
      <c r="E190" s="17" t="n"/>
      <c r="F190" s="60" t="n"/>
      <c r="G190" s="15" t="n"/>
      <c r="H190" s="19">
        <f>IF($A190="","",SUMIF(tblGunluk[VarlikId],$A190,tblGunluk[SagimLt_lt]))</f>
        <v/>
      </c>
      <c r="I190" s="19">
        <f>IF($A190="","",IFERROR(AVERAGEIF(tblGunluk[VarlikId],$A190,tblGunluk[SagimLt_lt]),0))</f>
        <v/>
      </c>
      <c r="J190" s="19">
        <f>IF($A190="","",COUNTIFS(tblGunluk[VarlikId],$A190,tblGunluk[AlarmBayrak],"ALARM"))</f>
        <v/>
      </c>
      <c r="K190" s="19">
        <f>IF($A190="","",MAX(0,MIN(100,ssy_kaliteTaban-IF($I190&lt;ssy_esikSagimLt,ssy_kaliteCeza,0)-COUNTIFS(tblGunluk[VarlikId],$A190,tblGunluk[AlarmBayrak],"ALARM")*ssy_kaliteSapma-IF($G190="HAYIR",ssy_kaliteCeza,0))))</f>
        <v/>
      </c>
    </row>
    <row r="191">
      <c r="A191" s="15" t="n"/>
      <c r="B191" s="15" t="n"/>
      <c r="C191" s="15" t="n"/>
      <c r="D191" s="16" t="n"/>
      <c r="E191" s="17" t="n"/>
      <c r="F191" s="60" t="n"/>
      <c r="G191" s="15" t="n"/>
      <c r="H191" s="19">
        <f>IF($A191="","",SUMIF(tblGunluk[VarlikId],$A191,tblGunluk[SagimLt_lt]))</f>
        <v/>
      </c>
      <c r="I191" s="19">
        <f>IF($A191="","",IFERROR(AVERAGEIF(tblGunluk[VarlikId],$A191,tblGunluk[SagimLt_lt]),0))</f>
        <v/>
      </c>
      <c r="J191" s="19">
        <f>IF($A191="","",COUNTIFS(tblGunluk[VarlikId],$A191,tblGunluk[AlarmBayrak],"ALARM"))</f>
        <v/>
      </c>
      <c r="K191" s="19">
        <f>IF($A191="","",MAX(0,MIN(100,ssy_kaliteTaban-IF($I191&lt;ssy_esikSagimLt,ssy_kaliteCeza,0)-COUNTIFS(tblGunluk[VarlikId],$A191,tblGunluk[AlarmBayrak],"ALARM")*ssy_kaliteSapma-IF($G191="HAYIR",ssy_kaliteCeza,0))))</f>
        <v/>
      </c>
    </row>
    <row r="192">
      <c r="A192" s="15" t="n"/>
      <c r="B192" s="15" t="n"/>
      <c r="C192" s="15" t="n"/>
      <c r="D192" s="16" t="n"/>
      <c r="E192" s="17" t="n"/>
      <c r="F192" s="60" t="n"/>
      <c r="G192" s="15" t="n"/>
      <c r="H192" s="19">
        <f>IF($A192="","",SUMIF(tblGunluk[VarlikId],$A192,tblGunluk[SagimLt_lt]))</f>
        <v/>
      </c>
      <c r="I192" s="19">
        <f>IF($A192="","",IFERROR(AVERAGEIF(tblGunluk[VarlikId],$A192,tblGunluk[SagimLt_lt]),0))</f>
        <v/>
      </c>
      <c r="J192" s="19">
        <f>IF($A192="","",COUNTIFS(tblGunluk[VarlikId],$A192,tblGunluk[AlarmBayrak],"ALARM"))</f>
        <v/>
      </c>
      <c r="K192" s="19">
        <f>IF($A192="","",MAX(0,MIN(100,ssy_kaliteTaban-IF($I192&lt;ssy_esikSagimLt,ssy_kaliteCeza,0)-COUNTIFS(tblGunluk[VarlikId],$A192,tblGunluk[AlarmBayrak],"ALARM")*ssy_kaliteSapma-IF($G192="HAYIR",ssy_kaliteCeza,0))))</f>
        <v/>
      </c>
    </row>
    <row r="193">
      <c r="A193" s="15" t="n"/>
      <c r="B193" s="15" t="n"/>
      <c r="C193" s="15" t="n"/>
      <c r="D193" s="16" t="n"/>
      <c r="E193" s="17" t="n"/>
      <c r="F193" s="60" t="n"/>
      <c r="G193" s="15" t="n"/>
      <c r="H193" s="19">
        <f>IF($A193="","",SUMIF(tblGunluk[VarlikId],$A193,tblGunluk[SagimLt_lt]))</f>
        <v/>
      </c>
      <c r="I193" s="19">
        <f>IF($A193="","",IFERROR(AVERAGEIF(tblGunluk[VarlikId],$A193,tblGunluk[SagimLt_lt]),0))</f>
        <v/>
      </c>
      <c r="J193" s="19">
        <f>IF($A193="","",COUNTIFS(tblGunluk[VarlikId],$A193,tblGunluk[AlarmBayrak],"ALARM"))</f>
        <v/>
      </c>
      <c r="K193" s="19">
        <f>IF($A193="","",MAX(0,MIN(100,ssy_kaliteTaban-IF($I193&lt;ssy_esikSagimLt,ssy_kaliteCeza,0)-COUNTIFS(tblGunluk[VarlikId],$A193,tblGunluk[AlarmBayrak],"ALARM")*ssy_kaliteSapma-IF($G193="HAYIR",ssy_kaliteCeza,0))))</f>
        <v/>
      </c>
    </row>
    <row r="194">
      <c r="A194" s="15" t="n"/>
      <c r="B194" s="15" t="n"/>
      <c r="C194" s="15" t="n"/>
      <c r="D194" s="16" t="n"/>
      <c r="E194" s="17" t="n"/>
      <c r="F194" s="60" t="n"/>
      <c r="G194" s="15" t="n"/>
      <c r="H194" s="19">
        <f>IF($A194="","",SUMIF(tblGunluk[VarlikId],$A194,tblGunluk[SagimLt_lt]))</f>
        <v/>
      </c>
      <c r="I194" s="19">
        <f>IF($A194="","",IFERROR(AVERAGEIF(tblGunluk[VarlikId],$A194,tblGunluk[SagimLt_lt]),0))</f>
        <v/>
      </c>
      <c r="J194" s="19">
        <f>IF($A194="","",COUNTIFS(tblGunluk[VarlikId],$A194,tblGunluk[AlarmBayrak],"ALARM"))</f>
        <v/>
      </c>
      <c r="K194" s="19">
        <f>IF($A194="","",MAX(0,MIN(100,ssy_kaliteTaban-IF($I194&lt;ssy_esikSagimLt,ssy_kaliteCeza,0)-COUNTIFS(tblGunluk[VarlikId],$A194,tblGunluk[AlarmBayrak],"ALARM")*ssy_kaliteSapma-IF($G194="HAYIR",ssy_kaliteCeza,0))))</f>
        <v/>
      </c>
    </row>
    <row r="195">
      <c r="A195" s="15" t="n"/>
      <c r="B195" s="15" t="n"/>
      <c r="C195" s="15" t="n"/>
      <c r="D195" s="16" t="n"/>
      <c r="E195" s="17" t="n"/>
      <c r="F195" s="60" t="n"/>
      <c r="G195" s="15" t="n"/>
      <c r="H195" s="19">
        <f>IF($A195="","",SUMIF(tblGunluk[VarlikId],$A195,tblGunluk[SagimLt_lt]))</f>
        <v/>
      </c>
      <c r="I195" s="19">
        <f>IF($A195="","",IFERROR(AVERAGEIF(tblGunluk[VarlikId],$A195,tblGunluk[SagimLt_lt]),0))</f>
        <v/>
      </c>
      <c r="J195" s="19">
        <f>IF($A195="","",COUNTIFS(tblGunluk[VarlikId],$A195,tblGunluk[AlarmBayrak],"ALARM"))</f>
        <v/>
      </c>
      <c r="K195" s="19">
        <f>IF($A195="","",MAX(0,MIN(100,ssy_kaliteTaban-IF($I195&lt;ssy_esikSagimLt,ssy_kaliteCeza,0)-COUNTIFS(tblGunluk[VarlikId],$A195,tblGunluk[AlarmBayrak],"ALARM")*ssy_kaliteSapma-IF($G195="HAYIR",ssy_kaliteCeza,0))))</f>
        <v/>
      </c>
    </row>
    <row r="196">
      <c r="A196" s="15" t="n"/>
      <c r="B196" s="15" t="n"/>
      <c r="C196" s="15" t="n"/>
      <c r="D196" s="16" t="n"/>
      <c r="E196" s="17" t="n"/>
      <c r="F196" s="60" t="n"/>
      <c r="G196" s="15" t="n"/>
      <c r="H196" s="19">
        <f>IF($A196="","",SUMIF(tblGunluk[VarlikId],$A196,tblGunluk[SagimLt_lt]))</f>
        <v/>
      </c>
      <c r="I196" s="19">
        <f>IF($A196="","",IFERROR(AVERAGEIF(tblGunluk[VarlikId],$A196,tblGunluk[SagimLt_lt]),0))</f>
        <v/>
      </c>
      <c r="J196" s="19">
        <f>IF($A196="","",COUNTIFS(tblGunluk[VarlikId],$A196,tblGunluk[AlarmBayrak],"ALARM"))</f>
        <v/>
      </c>
      <c r="K196" s="19">
        <f>IF($A196="","",MAX(0,MIN(100,ssy_kaliteTaban-IF($I196&lt;ssy_esikSagimLt,ssy_kaliteCeza,0)-COUNTIFS(tblGunluk[VarlikId],$A196,tblGunluk[AlarmBayrak],"ALARM")*ssy_kaliteSapma-IF($G196="HAYIR",ssy_kaliteCeza,0))))</f>
        <v/>
      </c>
    </row>
    <row r="197">
      <c r="A197" s="15" t="n"/>
      <c r="B197" s="15" t="n"/>
      <c r="C197" s="15" t="n"/>
      <c r="D197" s="16" t="n"/>
      <c r="E197" s="17" t="n"/>
      <c r="F197" s="60" t="n"/>
      <c r="G197" s="15" t="n"/>
      <c r="H197" s="19">
        <f>IF($A197="","",SUMIF(tblGunluk[VarlikId],$A197,tblGunluk[SagimLt_lt]))</f>
        <v/>
      </c>
      <c r="I197" s="19">
        <f>IF($A197="","",IFERROR(AVERAGEIF(tblGunluk[VarlikId],$A197,tblGunluk[SagimLt_lt]),0))</f>
        <v/>
      </c>
      <c r="J197" s="19">
        <f>IF($A197="","",COUNTIFS(tblGunluk[VarlikId],$A197,tblGunluk[AlarmBayrak],"ALARM"))</f>
        <v/>
      </c>
      <c r="K197" s="19">
        <f>IF($A197="","",MAX(0,MIN(100,ssy_kaliteTaban-IF($I197&lt;ssy_esikSagimLt,ssy_kaliteCeza,0)-COUNTIFS(tblGunluk[VarlikId],$A197,tblGunluk[AlarmBayrak],"ALARM")*ssy_kaliteSapma-IF($G197="HAYIR",ssy_kaliteCeza,0))))</f>
        <v/>
      </c>
    </row>
    <row r="198">
      <c r="A198" s="15" t="n"/>
      <c r="B198" s="15" t="n"/>
      <c r="C198" s="15" t="n"/>
      <c r="D198" s="16" t="n"/>
      <c r="E198" s="17" t="n"/>
      <c r="F198" s="60" t="n"/>
      <c r="G198" s="15" t="n"/>
      <c r="H198" s="19">
        <f>IF($A198="","",SUMIF(tblGunluk[VarlikId],$A198,tblGunluk[SagimLt_lt]))</f>
        <v/>
      </c>
      <c r="I198" s="19">
        <f>IF($A198="","",IFERROR(AVERAGEIF(tblGunluk[VarlikId],$A198,tblGunluk[SagimLt_lt]),0))</f>
        <v/>
      </c>
      <c r="J198" s="19">
        <f>IF($A198="","",COUNTIFS(tblGunluk[VarlikId],$A198,tblGunluk[AlarmBayrak],"ALARM"))</f>
        <v/>
      </c>
      <c r="K198" s="19">
        <f>IF($A198="","",MAX(0,MIN(100,ssy_kaliteTaban-IF($I198&lt;ssy_esikSagimLt,ssy_kaliteCeza,0)-COUNTIFS(tblGunluk[VarlikId],$A198,tblGunluk[AlarmBayrak],"ALARM")*ssy_kaliteSapma-IF($G198="HAYIR",ssy_kaliteCeza,0))))</f>
        <v/>
      </c>
    </row>
    <row r="199">
      <c r="A199" s="15" t="n"/>
      <c r="B199" s="15" t="n"/>
      <c r="C199" s="15" t="n"/>
      <c r="D199" s="16" t="n"/>
      <c r="E199" s="17" t="n"/>
      <c r="F199" s="60" t="n"/>
      <c r="G199" s="15" t="n"/>
      <c r="H199" s="19">
        <f>IF($A199="","",SUMIF(tblGunluk[VarlikId],$A199,tblGunluk[SagimLt_lt]))</f>
        <v/>
      </c>
      <c r="I199" s="19">
        <f>IF($A199="","",IFERROR(AVERAGEIF(tblGunluk[VarlikId],$A199,tblGunluk[SagimLt_lt]),0))</f>
        <v/>
      </c>
      <c r="J199" s="19">
        <f>IF($A199="","",COUNTIFS(tblGunluk[VarlikId],$A199,tblGunluk[AlarmBayrak],"ALARM"))</f>
        <v/>
      </c>
      <c r="K199" s="19">
        <f>IF($A199="","",MAX(0,MIN(100,ssy_kaliteTaban-IF($I199&lt;ssy_esikSagimLt,ssy_kaliteCeza,0)-COUNTIFS(tblGunluk[VarlikId],$A199,tblGunluk[AlarmBayrak],"ALARM")*ssy_kaliteSapma-IF($G199="HAYIR",ssy_kaliteCeza,0))))</f>
        <v/>
      </c>
    </row>
    <row r="200">
      <c r="A200" s="15" t="n"/>
      <c r="B200" s="15" t="n"/>
      <c r="C200" s="15" t="n"/>
      <c r="D200" s="16" t="n"/>
      <c r="E200" s="17" t="n"/>
      <c r="F200" s="60" t="n"/>
      <c r="G200" s="15" t="n"/>
      <c r="H200" s="19">
        <f>IF($A200="","",SUMIF(tblGunluk[VarlikId],$A200,tblGunluk[SagimLt_lt]))</f>
        <v/>
      </c>
      <c r="I200" s="19">
        <f>IF($A200="","",IFERROR(AVERAGEIF(tblGunluk[VarlikId],$A200,tblGunluk[SagimLt_lt]),0))</f>
        <v/>
      </c>
      <c r="J200" s="19">
        <f>IF($A200="","",COUNTIFS(tblGunluk[VarlikId],$A200,tblGunluk[AlarmBayrak],"ALARM"))</f>
        <v/>
      </c>
      <c r="K200" s="19">
        <f>IF($A200="","",MAX(0,MIN(100,ssy_kaliteTaban-IF($I200&lt;ssy_esikSagimLt,ssy_kaliteCeza,0)-COUNTIFS(tblGunluk[VarlikId],$A200,tblGunluk[AlarmBayrak],"ALARM")*ssy_kaliteSapma-IF($G200="HAYIR",ssy_kaliteCeza,0))))</f>
        <v/>
      </c>
    </row>
    <row r="201">
      <c r="A201" s="15" t="n"/>
      <c r="B201" s="15" t="n"/>
      <c r="C201" s="15" t="n"/>
      <c r="D201" s="16" t="n"/>
      <c r="E201" s="17" t="n"/>
      <c r="F201" s="60" t="n"/>
      <c r="G201" s="15" t="n"/>
      <c r="H201" s="19">
        <f>IF($A201="","",SUMIF(tblGunluk[VarlikId],$A201,tblGunluk[SagimLt_lt]))</f>
        <v/>
      </c>
      <c r="I201" s="19">
        <f>IF($A201="","",IFERROR(AVERAGEIF(tblGunluk[VarlikId],$A201,tblGunluk[SagimLt_lt]),0))</f>
        <v/>
      </c>
      <c r="J201" s="19">
        <f>IF($A201="","",COUNTIFS(tblGunluk[VarlikId],$A201,tblGunluk[AlarmBayrak],"ALARM"))</f>
        <v/>
      </c>
      <c r="K201" s="19">
        <f>IF($A201="","",MAX(0,MIN(100,ssy_kaliteTaban-IF($I201&lt;ssy_esikSagimLt,ssy_kaliteCeza,0)-COUNTIFS(tblGunluk[VarlikId],$A201,tblGunluk[AlarmBayrak],"ALARM")*ssy_kaliteSapma-IF($G201="HAYIR",ssy_kaliteCeza,0))))</f>
        <v/>
      </c>
    </row>
    <row r="202">
      <c r="A202" s="15" t="n"/>
      <c r="B202" s="15" t="n"/>
      <c r="C202" s="15" t="n"/>
      <c r="D202" s="16" t="n"/>
      <c r="E202" s="17" t="n"/>
      <c r="F202" s="60" t="n"/>
      <c r="G202" s="15" t="n"/>
      <c r="H202" s="19">
        <f>IF($A202="","",SUMIF(tblGunluk[VarlikId],$A202,tblGunluk[SagimLt_lt]))</f>
        <v/>
      </c>
      <c r="I202" s="19">
        <f>IF($A202="","",IFERROR(AVERAGEIF(tblGunluk[VarlikId],$A202,tblGunluk[SagimLt_lt]),0))</f>
        <v/>
      </c>
      <c r="J202" s="19">
        <f>IF($A202="","",COUNTIFS(tblGunluk[VarlikId],$A202,tblGunluk[AlarmBayrak],"ALARM"))</f>
        <v/>
      </c>
      <c r="K202" s="19">
        <f>IF($A202="","",MAX(0,MIN(100,ssy_kaliteTaban-IF($I202&lt;ssy_esikSagimLt,ssy_kaliteCeza,0)-COUNTIFS(tblGunluk[VarlikId],$A202,tblGunluk[AlarmBayrak],"ALARM")*ssy_kaliteSapma-IF($G202="HAYIR",ssy_kaliteCeza,0))))</f>
        <v/>
      </c>
    </row>
    <row r="203">
      <c r="A203" s="15" t="n"/>
      <c r="B203" s="15" t="n"/>
      <c r="C203" s="15" t="n"/>
      <c r="D203" s="16" t="n"/>
      <c r="E203" s="17" t="n"/>
      <c r="F203" s="60" t="n"/>
      <c r="G203" s="15" t="n"/>
      <c r="H203" s="19">
        <f>IF($A203="","",SUMIF(tblGunluk[VarlikId],$A203,tblGunluk[SagimLt_lt]))</f>
        <v/>
      </c>
      <c r="I203" s="19">
        <f>IF($A203="","",IFERROR(AVERAGEIF(tblGunluk[VarlikId],$A203,tblGunluk[SagimLt_lt]),0))</f>
        <v/>
      </c>
      <c r="J203" s="19">
        <f>IF($A203="","",COUNTIFS(tblGunluk[VarlikId],$A203,tblGunluk[AlarmBayrak],"ALARM"))</f>
        <v/>
      </c>
      <c r="K203" s="19">
        <f>IF($A203="","",MAX(0,MIN(100,ssy_kaliteTaban-IF($I203&lt;ssy_esikSagimLt,ssy_kaliteCeza,0)-COUNTIFS(tblGunluk[VarlikId],$A203,tblGunluk[AlarmBayrak],"ALARM")*ssy_kaliteSapma-IF($G203="HAYIR",ssy_kaliteCeza,0))))</f>
        <v/>
      </c>
    </row>
    <row r="204">
      <c r="A204" s="15" t="n"/>
      <c r="B204" s="15" t="n"/>
      <c r="C204" s="15" t="n"/>
      <c r="D204" s="16" t="n"/>
      <c r="E204" s="17" t="n"/>
      <c r="F204" s="60" t="n"/>
      <c r="G204" s="15" t="n"/>
      <c r="H204" s="19">
        <f>IF($A204="","",SUMIF(tblGunluk[VarlikId],$A204,tblGunluk[SagimLt_lt]))</f>
        <v/>
      </c>
      <c r="I204" s="19">
        <f>IF($A204="","",IFERROR(AVERAGEIF(tblGunluk[VarlikId],$A204,tblGunluk[SagimLt_lt]),0))</f>
        <v/>
      </c>
      <c r="J204" s="19">
        <f>IF($A204="","",COUNTIFS(tblGunluk[VarlikId],$A204,tblGunluk[AlarmBayrak],"ALARM"))</f>
        <v/>
      </c>
      <c r="K204" s="19">
        <f>IF($A204="","",MAX(0,MIN(100,ssy_kaliteTaban-IF($I204&lt;ssy_esikSagimLt,ssy_kaliteCeza,0)-COUNTIFS(tblGunluk[VarlikId],$A204,tblGunluk[AlarmBayrak],"ALARM")*ssy_kaliteSapma-IF($G204="HAYIR",ssy_kaliteCeza,0))))</f>
        <v/>
      </c>
    </row>
    <row r="205">
      <c r="A205" s="15" t="n"/>
      <c r="B205" s="15" t="n"/>
      <c r="C205" s="15" t="n"/>
      <c r="D205" s="16" t="n"/>
      <c r="E205" s="17" t="n"/>
      <c r="F205" s="60" t="n"/>
      <c r="G205" s="15" t="n"/>
      <c r="H205" s="19">
        <f>IF($A205="","",SUMIF(tblGunluk[VarlikId],$A205,tblGunluk[SagimLt_lt]))</f>
        <v/>
      </c>
      <c r="I205" s="19">
        <f>IF($A205="","",IFERROR(AVERAGEIF(tblGunluk[VarlikId],$A205,tblGunluk[SagimLt_lt]),0))</f>
        <v/>
      </c>
      <c r="J205" s="19">
        <f>IF($A205="","",COUNTIFS(tblGunluk[VarlikId],$A205,tblGunluk[AlarmBayrak],"ALARM"))</f>
        <v/>
      </c>
      <c r="K205" s="19">
        <f>IF($A205="","",MAX(0,MIN(100,ssy_kaliteTaban-IF($I205&lt;ssy_esikSagimLt,ssy_kaliteCeza,0)-COUNTIFS(tblGunluk[VarlikId],$A205,tblGunluk[AlarmBayrak],"ALARM")*ssy_kaliteSapma-IF($G205="HAYIR",ssy_kaliteCeza,0))))</f>
        <v/>
      </c>
    </row>
    <row r="206">
      <c r="A206" s="15" t="n"/>
      <c r="B206" s="15" t="n"/>
      <c r="C206" s="15" t="n"/>
      <c r="D206" s="16" t="n"/>
      <c r="E206" s="17" t="n"/>
      <c r="F206" s="60" t="n"/>
      <c r="G206" s="15" t="n"/>
      <c r="H206" s="19">
        <f>IF($A206="","",SUMIF(tblGunluk[VarlikId],$A206,tblGunluk[SagimLt_lt]))</f>
        <v/>
      </c>
      <c r="I206" s="19">
        <f>IF($A206="","",IFERROR(AVERAGEIF(tblGunluk[VarlikId],$A206,tblGunluk[SagimLt_lt]),0))</f>
        <v/>
      </c>
      <c r="J206" s="19">
        <f>IF($A206="","",COUNTIFS(tblGunluk[VarlikId],$A206,tblGunluk[AlarmBayrak],"ALARM"))</f>
        <v/>
      </c>
      <c r="K206" s="19">
        <f>IF($A206="","",MAX(0,MIN(100,ssy_kaliteTaban-IF($I206&lt;ssy_esikSagimLt,ssy_kaliteCeza,0)-COUNTIFS(tblGunluk[VarlikId],$A206,tblGunluk[AlarmBayrak],"ALARM")*ssy_kaliteSapma-IF($G206="HAYIR",ssy_kaliteCeza,0))))</f>
        <v/>
      </c>
    </row>
    <row r="207">
      <c r="A207" s="15" t="n"/>
      <c r="B207" s="15" t="n"/>
      <c r="C207" s="15" t="n"/>
      <c r="D207" s="16" t="n"/>
      <c r="E207" s="17" t="n"/>
      <c r="F207" s="60" t="n"/>
      <c r="G207" s="15" t="n"/>
      <c r="H207" s="19">
        <f>IF($A207="","",SUMIF(tblGunluk[VarlikId],$A207,tblGunluk[SagimLt_lt]))</f>
        <v/>
      </c>
      <c r="I207" s="19">
        <f>IF($A207="","",IFERROR(AVERAGEIF(tblGunluk[VarlikId],$A207,tblGunluk[SagimLt_lt]),0))</f>
        <v/>
      </c>
      <c r="J207" s="19">
        <f>IF($A207="","",COUNTIFS(tblGunluk[VarlikId],$A207,tblGunluk[AlarmBayrak],"ALARM"))</f>
        <v/>
      </c>
      <c r="K207" s="19">
        <f>IF($A207="","",MAX(0,MIN(100,ssy_kaliteTaban-IF($I207&lt;ssy_esikSagimLt,ssy_kaliteCeza,0)-COUNTIFS(tblGunluk[VarlikId],$A207,tblGunluk[AlarmBayrak],"ALARM")*ssy_kaliteSapma-IF($G207="HAYIR",ssy_kaliteCeza,0))))</f>
        <v/>
      </c>
    </row>
    <row r="208">
      <c r="A208" s="15" t="n"/>
      <c r="B208" s="15" t="n"/>
      <c r="C208" s="15" t="n"/>
      <c r="D208" s="16" t="n"/>
      <c r="E208" s="17" t="n"/>
      <c r="F208" s="60" t="n"/>
      <c r="G208" s="15" t="n"/>
      <c r="H208" s="19">
        <f>IF($A208="","",SUMIF(tblGunluk[VarlikId],$A208,tblGunluk[SagimLt_lt]))</f>
        <v/>
      </c>
      <c r="I208" s="19">
        <f>IF($A208="","",IFERROR(AVERAGEIF(tblGunluk[VarlikId],$A208,tblGunluk[SagimLt_lt]),0))</f>
        <v/>
      </c>
      <c r="J208" s="19">
        <f>IF($A208="","",COUNTIFS(tblGunluk[VarlikId],$A208,tblGunluk[AlarmBayrak],"ALARM"))</f>
        <v/>
      </c>
      <c r="K208" s="19">
        <f>IF($A208="","",MAX(0,MIN(100,ssy_kaliteTaban-IF($I208&lt;ssy_esikSagimLt,ssy_kaliteCeza,0)-COUNTIFS(tblGunluk[VarlikId],$A208,tblGunluk[AlarmBayrak],"ALARM")*ssy_kaliteSapma-IF($G208="HAYIR",ssy_kaliteCeza,0))))</f>
        <v/>
      </c>
    </row>
    <row r="209">
      <c r="A209" s="15" t="n"/>
      <c r="B209" s="15" t="n"/>
      <c r="C209" s="15" t="n"/>
      <c r="D209" s="16" t="n"/>
      <c r="E209" s="17" t="n"/>
      <c r="F209" s="60" t="n"/>
      <c r="G209" s="15" t="n"/>
      <c r="H209" s="19">
        <f>IF($A209="","",SUMIF(tblGunluk[VarlikId],$A209,tblGunluk[SagimLt_lt]))</f>
        <v/>
      </c>
      <c r="I209" s="19">
        <f>IF($A209="","",IFERROR(AVERAGEIF(tblGunluk[VarlikId],$A209,tblGunluk[SagimLt_lt]),0))</f>
        <v/>
      </c>
      <c r="J209" s="19">
        <f>IF($A209="","",COUNTIFS(tblGunluk[VarlikId],$A209,tblGunluk[AlarmBayrak],"ALARM"))</f>
        <v/>
      </c>
      <c r="K209" s="19">
        <f>IF($A209="","",MAX(0,MIN(100,ssy_kaliteTaban-IF($I209&lt;ssy_esikSagimLt,ssy_kaliteCeza,0)-COUNTIFS(tblGunluk[VarlikId],$A209,tblGunluk[AlarmBayrak],"ALARM")*ssy_kaliteSapma-IF($G209="HAYIR",ssy_kaliteCeza,0))))</f>
        <v/>
      </c>
    </row>
    <row r="210">
      <c r="A210" s="15" t="n"/>
      <c r="B210" s="15" t="n"/>
      <c r="C210" s="15" t="n"/>
      <c r="D210" s="16" t="n"/>
      <c r="E210" s="17" t="n"/>
      <c r="F210" s="60" t="n"/>
      <c r="G210" s="15" t="n"/>
      <c r="H210" s="19">
        <f>IF($A210="","",SUMIF(tblGunluk[VarlikId],$A210,tblGunluk[SagimLt_lt]))</f>
        <v/>
      </c>
      <c r="I210" s="19">
        <f>IF($A210="","",IFERROR(AVERAGEIF(tblGunluk[VarlikId],$A210,tblGunluk[SagimLt_lt]),0))</f>
        <v/>
      </c>
      <c r="J210" s="19">
        <f>IF($A210="","",COUNTIFS(tblGunluk[VarlikId],$A210,tblGunluk[AlarmBayrak],"ALARM"))</f>
        <v/>
      </c>
      <c r="K210" s="19">
        <f>IF($A210="","",MAX(0,MIN(100,ssy_kaliteTaban-IF($I210&lt;ssy_esikSagimLt,ssy_kaliteCeza,0)-COUNTIFS(tblGunluk[VarlikId],$A210,tblGunluk[AlarmBayrak],"ALARM")*ssy_kaliteSapma-IF($G210="HAYIR",ssy_kaliteCeza,0))))</f>
        <v/>
      </c>
    </row>
    <row r="211">
      <c r="A211" s="15" t="n"/>
      <c r="B211" s="15" t="n"/>
      <c r="C211" s="15" t="n"/>
      <c r="D211" s="16" t="n"/>
      <c r="E211" s="17" t="n"/>
      <c r="F211" s="60" t="n"/>
      <c r="G211" s="15" t="n"/>
      <c r="H211" s="19">
        <f>IF($A211="","",SUMIF(tblGunluk[VarlikId],$A211,tblGunluk[SagimLt_lt]))</f>
        <v/>
      </c>
      <c r="I211" s="19">
        <f>IF($A211="","",IFERROR(AVERAGEIF(tblGunluk[VarlikId],$A211,tblGunluk[SagimLt_lt]),0))</f>
        <v/>
      </c>
      <c r="J211" s="19">
        <f>IF($A211="","",COUNTIFS(tblGunluk[VarlikId],$A211,tblGunluk[AlarmBayrak],"ALARM"))</f>
        <v/>
      </c>
      <c r="K211" s="19">
        <f>IF($A211="","",MAX(0,MIN(100,ssy_kaliteTaban-IF($I211&lt;ssy_esikSagimLt,ssy_kaliteCeza,0)-COUNTIFS(tblGunluk[VarlikId],$A211,tblGunluk[AlarmBayrak],"ALARM")*ssy_kaliteSapma-IF($G211="HAYIR",ssy_kaliteCeza,0))))</f>
        <v/>
      </c>
    </row>
    <row r="212">
      <c r="A212" s="15" t="n"/>
      <c r="B212" s="15" t="n"/>
      <c r="C212" s="15" t="n"/>
      <c r="D212" s="16" t="n"/>
      <c r="E212" s="17" t="n"/>
      <c r="F212" s="60" t="n"/>
      <c r="G212" s="15" t="n"/>
      <c r="H212" s="19">
        <f>IF($A212="","",SUMIF(tblGunluk[VarlikId],$A212,tblGunluk[SagimLt_lt]))</f>
        <v/>
      </c>
      <c r="I212" s="19">
        <f>IF($A212="","",IFERROR(AVERAGEIF(tblGunluk[VarlikId],$A212,tblGunluk[SagimLt_lt]),0))</f>
        <v/>
      </c>
      <c r="J212" s="19">
        <f>IF($A212="","",COUNTIFS(tblGunluk[VarlikId],$A212,tblGunluk[AlarmBayrak],"ALARM"))</f>
        <v/>
      </c>
      <c r="K212" s="19">
        <f>IF($A212="","",MAX(0,MIN(100,ssy_kaliteTaban-IF($I212&lt;ssy_esikSagimLt,ssy_kaliteCeza,0)-COUNTIFS(tblGunluk[VarlikId],$A212,tblGunluk[AlarmBayrak],"ALARM")*ssy_kaliteSapma-IF($G212="HAYIR",ssy_kaliteCeza,0))))</f>
        <v/>
      </c>
    </row>
    <row r="213">
      <c r="A213" s="15" t="n"/>
      <c r="B213" s="15" t="n"/>
      <c r="C213" s="15" t="n"/>
      <c r="D213" s="16" t="n"/>
      <c r="E213" s="17" t="n"/>
      <c r="F213" s="60" t="n"/>
      <c r="G213" s="15" t="n"/>
      <c r="H213" s="19">
        <f>IF($A213="","",SUMIF(tblGunluk[VarlikId],$A213,tblGunluk[SagimLt_lt]))</f>
        <v/>
      </c>
      <c r="I213" s="19">
        <f>IF($A213="","",IFERROR(AVERAGEIF(tblGunluk[VarlikId],$A213,tblGunluk[SagimLt_lt]),0))</f>
        <v/>
      </c>
      <c r="J213" s="19">
        <f>IF($A213="","",COUNTIFS(tblGunluk[VarlikId],$A213,tblGunluk[AlarmBayrak],"ALARM"))</f>
        <v/>
      </c>
      <c r="K213" s="19">
        <f>IF($A213="","",MAX(0,MIN(100,ssy_kaliteTaban-IF($I213&lt;ssy_esikSagimLt,ssy_kaliteCeza,0)-COUNTIFS(tblGunluk[VarlikId],$A213,tblGunluk[AlarmBayrak],"ALARM")*ssy_kaliteSapma-IF($G213="HAYIR",ssy_kaliteCeza,0))))</f>
        <v/>
      </c>
    </row>
    <row r="214">
      <c r="A214" s="15" t="n"/>
      <c r="B214" s="15" t="n"/>
      <c r="C214" s="15" t="n"/>
      <c r="D214" s="16" t="n"/>
      <c r="E214" s="17" t="n"/>
      <c r="F214" s="60" t="n"/>
      <c r="G214" s="15" t="n"/>
      <c r="H214" s="19">
        <f>IF($A214="","",SUMIF(tblGunluk[VarlikId],$A214,tblGunluk[SagimLt_lt]))</f>
        <v/>
      </c>
      <c r="I214" s="19">
        <f>IF($A214="","",IFERROR(AVERAGEIF(tblGunluk[VarlikId],$A214,tblGunluk[SagimLt_lt]),0))</f>
        <v/>
      </c>
      <c r="J214" s="19">
        <f>IF($A214="","",COUNTIFS(tblGunluk[VarlikId],$A214,tblGunluk[AlarmBayrak],"ALARM"))</f>
        <v/>
      </c>
      <c r="K214" s="19">
        <f>IF($A214="","",MAX(0,MIN(100,ssy_kaliteTaban-IF($I214&lt;ssy_esikSagimLt,ssy_kaliteCeza,0)-COUNTIFS(tblGunluk[VarlikId],$A214,tblGunluk[AlarmBayrak],"ALARM")*ssy_kaliteSapma-IF($G214="HAYIR",ssy_kaliteCeza,0))))</f>
        <v/>
      </c>
    </row>
    <row r="215">
      <c r="A215" s="15" t="n"/>
      <c r="B215" s="15" t="n"/>
      <c r="C215" s="15" t="n"/>
      <c r="D215" s="16" t="n"/>
      <c r="E215" s="17" t="n"/>
      <c r="F215" s="60" t="n"/>
      <c r="G215" s="15" t="n"/>
      <c r="H215" s="19">
        <f>IF($A215="","",SUMIF(tblGunluk[VarlikId],$A215,tblGunluk[SagimLt_lt]))</f>
        <v/>
      </c>
      <c r="I215" s="19">
        <f>IF($A215="","",IFERROR(AVERAGEIF(tblGunluk[VarlikId],$A215,tblGunluk[SagimLt_lt]),0))</f>
        <v/>
      </c>
      <c r="J215" s="19">
        <f>IF($A215="","",COUNTIFS(tblGunluk[VarlikId],$A215,tblGunluk[AlarmBayrak],"ALARM"))</f>
        <v/>
      </c>
      <c r="K215" s="19">
        <f>IF($A215="","",MAX(0,MIN(100,ssy_kaliteTaban-IF($I215&lt;ssy_esikSagimLt,ssy_kaliteCeza,0)-COUNTIFS(tblGunluk[VarlikId],$A215,tblGunluk[AlarmBayrak],"ALARM")*ssy_kaliteSapma-IF($G215="HAYIR",ssy_kaliteCeza,0))))</f>
        <v/>
      </c>
    </row>
    <row r="216">
      <c r="A216" s="15" t="n"/>
      <c r="B216" s="15" t="n"/>
      <c r="C216" s="15" t="n"/>
      <c r="D216" s="16" t="n"/>
      <c r="E216" s="17" t="n"/>
      <c r="F216" s="60" t="n"/>
      <c r="G216" s="15" t="n"/>
      <c r="H216" s="19">
        <f>IF($A216="","",SUMIF(tblGunluk[VarlikId],$A216,tblGunluk[SagimLt_lt]))</f>
        <v/>
      </c>
      <c r="I216" s="19">
        <f>IF($A216="","",IFERROR(AVERAGEIF(tblGunluk[VarlikId],$A216,tblGunluk[SagimLt_lt]),0))</f>
        <v/>
      </c>
      <c r="J216" s="19">
        <f>IF($A216="","",COUNTIFS(tblGunluk[VarlikId],$A216,tblGunluk[AlarmBayrak],"ALARM"))</f>
        <v/>
      </c>
      <c r="K216" s="19">
        <f>IF($A216="","",MAX(0,MIN(100,ssy_kaliteTaban-IF($I216&lt;ssy_esikSagimLt,ssy_kaliteCeza,0)-COUNTIFS(tblGunluk[VarlikId],$A216,tblGunluk[AlarmBayrak],"ALARM")*ssy_kaliteSapma-IF($G216="HAYIR",ssy_kaliteCeza,0))))</f>
        <v/>
      </c>
    </row>
    <row r="217">
      <c r="A217" s="15" t="n"/>
      <c r="B217" s="15" t="n"/>
      <c r="C217" s="15" t="n"/>
      <c r="D217" s="16" t="n"/>
      <c r="E217" s="17" t="n"/>
      <c r="F217" s="60" t="n"/>
      <c r="G217" s="15" t="n"/>
      <c r="H217" s="19">
        <f>IF($A217="","",SUMIF(tblGunluk[VarlikId],$A217,tblGunluk[SagimLt_lt]))</f>
        <v/>
      </c>
      <c r="I217" s="19">
        <f>IF($A217="","",IFERROR(AVERAGEIF(tblGunluk[VarlikId],$A217,tblGunluk[SagimLt_lt]),0))</f>
        <v/>
      </c>
      <c r="J217" s="19">
        <f>IF($A217="","",COUNTIFS(tblGunluk[VarlikId],$A217,tblGunluk[AlarmBayrak],"ALARM"))</f>
        <v/>
      </c>
      <c r="K217" s="19">
        <f>IF($A217="","",MAX(0,MIN(100,ssy_kaliteTaban-IF($I217&lt;ssy_esikSagimLt,ssy_kaliteCeza,0)-COUNTIFS(tblGunluk[VarlikId],$A217,tblGunluk[AlarmBayrak],"ALARM")*ssy_kaliteSapma-IF($G217="HAYIR",ssy_kaliteCeza,0))))</f>
        <v/>
      </c>
    </row>
    <row r="218">
      <c r="A218" s="15" t="n"/>
      <c r="B218" s="15" t="n"/>
      <c r="C218" s="15" t="n"/>
      <c r="D218" s="16" t="n"/>
      <c r="E218" s="17" t="n"/>
      <c r="F218" s="60" t="n"/>
      <c r="G218" s="15" t="n"/>
      <c r="H218" s="19">
        <f>IF($A218="","",SUMIF(tblGunluk[VarlikId],$A218,tblGunluk[SagimLt_lt]))</f>
        <v/>
      </c>
      <c r="I218" s="19">
        <f>IF($A218="","",IFERROR(AVERAGEIF(tblGunluk[VarlikId],$A218,tblGunluk[SagimLt_lt]),0))</f>
        <v/>
      </c>
      <c r="J218" s="19">
        <f>IF($A218="","",COUNTIFS(tblGunluk[VarlikId],$A218,tblGunluk[AlarmBayrak],"ALARM"))</f>
        <v/>
      </c>
      <c r="K218" s="19">
        <f>IF($A218="","",MAX(0,MIN(100,ssy_kaliteTaban-IF($I218&lt;ssy_esikSagimLt,ssy_kaliteCeza,0)-COUNTIFS(tblGunluk[VarlikId],$A218,tblGunluk[AlarmBayrak],"ALARM")*ssy_kaliteSapma-IF($G218="HAYIR",ssy_kaliteCeza,0))))</f>
        <v/>
      </c>
    </row>
    <row r="219">
      <c r="A219" s="15" t="n"/>
      <c r="B219" s="15" t="n"/>
      <c r="C219" s="15" t="n"/>
      <c r="D219" s="16" t="n"/>
      <c r="E219" s="17" t="n"/>
      <c r="F219" s="60" t="n"/>
      <c r="G219" s="15" t="n"/>
      <c r="H219" s="19">
        <f>IF($A219="","",SUMIF(tblGunluk[VarlikId],$A219,tblGunluk[SagimLt_lt]))</f>
        <v/>
      </c>
      <c r="I219" s="19">
        <f>IF($A219="","",IFERROR(AVERAGEIF(tblGunluk[VarlikId],$A219,tblGunluk[SagimLt_lt]),0))</f>
        <v/>
      </c>
      <c r="J219" s="19">
        <f>IF($A219="","",COUNTIFS(tblGunluk[VarlikId],$A219,tblGunluk[AlarmBayrak],"ALARM"))</f>
        <v/>
      </c>
      <c r="K219" s="19">
        <f>IF($A219="","",MAX(0,MIN(100,ssy_kaliteTaban-IF($I219&lt;ssy_esikSagimLt,ssy_kaliteCeza,0)-COUNTIFS(tblGunluk[VarlikId],$A219,tblGunluk[AlarmBayrak],"ALARM")*ssy_kaliteSapma-IF($G219="HAYIR",ssy_kaliteCeza,0))))</f>
        <v/>
      </c>
    </row>
    <row r="220">
      <c r="A220" s="15" t="n"/>
      <c r="B220" s="15" t="n"/>
      <c r="C220" s="15" t="n"/>
      <c r="D220" s="16" t="n"/>
      <c r="E220" s="17" t="n"/>
      <c r="F220" s="60" t="n"/>
      <c r="G220" s="15" t="n"/>
      <c r="H220" s="19">
        <f>IF($A220="","",SUMIF(tblGunluk[VarlikId],$A220,tblGunluk[SagimLt_lt]))</f>
        <v/>
      </c>
      <c r="I220" s="19">
        <f>IF($A220="","",IFERROR(AVERAGEIF(tblGunluk[VarlikId],$A220,tblGunluk[SagimLt_lt]),0))</f>
        <v/>
      </c>
      <c r="J220" s="19">
        <f>IF($A220="","",COUNTIFS(tblGunluk[VarlikId],$A220,tblGunluk[AlarmBayrak],"ALARM"))</f>
        <v/>
      </c>
      <c r="K220" s="19">
        <f>IF($A220="","",MAX(0,MIN(100,ssy_kaliteTaban-IF($I220&lt;ssy_esikSagimLt,ssy_kaliteCeza,0)-COUNTIFS(tblGunluk[VarlikId],$A220,tblGunluk[AlarmBayrak],"ALARM")*ssy_kaliteSapma-IF($G220="HAYIR",ssy_kaliteCeza,0))))</f>
        <v/>
      </c>
    </row>
    <row r="221">
      <c r="A221" s="15" t="n"/>
      <c r="B221" s="15" t="n"/>
      <c r="C221" s="15" t="n"/>
      <c r="D221" s="16" t="n"/>
      <c r="E221" s="17" t="n"/>
      <c r="F221" s="60" t="n"/>
      <c r="G221" s="15" t="n"/>
      <c r="H221" s="19">
        <f>IF($A221="","",SUMIF(tblGunluk[VarlikId],$A221,tblGunluk[SagimLt_lt]))</f>
        <v/>
      </c>
      <c r="I221" s="19">
        <f>IF($A221="","",IFERROR(AVERAGEIF(tblGunluk[VarlikId],$A221,tblGunluk[SagimLt_lt]),0))</f>
        <v/>
      </c>
      <c r="J221" s="19">
        <f>IF($A221="","",COUNTIFS(tblGunluk[VarlikId],$A221,tblGunluk[AlarmBayrak],"ALARM"))</f>
        <v/>
      </c>
      <c r="K221" s="19">
        <f>IF($A221="","",MAX(0,MIN(100,ssy_kaliteTaban-IF($I221&lt;ssy_esikSagimLt,ssy_kaliteCeza,0)-COUNTIFS(tblGunluk[VarlikId],$A221,tblGunluk[AlarmBayrak],"ALARM")*ssy_kaliteSapma-IF($G221="HAYIR",ssy_kaliteCeza,0))))</f>
        <v/>
      </c>
    </row>
    <row r="222">
      <c r="A222" s="15" t="n"/>
      <c r="B222" s="15" t="n"/>
      <c r="C222" s="15" t="n"/>
      <c r="D222" s="16" t="n"/>
      <c r="E222" s="17" t="n"/>
      <c r="F222" s="60" t="n"/>
      <c r="G222" s="15" t="n"/>
      <c r="H222" s="19">
        <f>IF($A222="","",SUMIF(tblGunluk[VarlikId],$A222,tblGunluk[SagimLt_lt]))</f>
        <v/>
      </c>
      <c r="I222" s="19">
        <f>IF($A222="","",IFERROR(AVERAGEIF(tblGunluk[VarlikId],$A222,tblGunluk[SagimLt_lt]),0))</f>
        <v/>
      </c>
      <c r="J222" s="19">
        <f>IF($A222="","",COUNTIFS(tblGunluk[VarlikId],$A222,tblGunluk[AlarmBayrak],"ALARM"))</f>
        <v/>
      </c>
      <c r="K222" s="19">
        <f>IF($A222="","",MAX(0,MIN(100,ssy_kaliteTaban-IF($I222&lt;ssy_esikSagimLt,ssy_kaliteCeza,0)-COUNTIFS(tblGunluk[VarlikId],$A222,tblGunluk[AlarmBayrak],"ALARM")*ssy_kaliteSapma-IF($G222="HAYIR",ssy_kaliteCeza,0))))</f>
        <v/>
      </c>
    </row>
    <row r="223">
      <c r="A223" s="15" t="n"/>
      <c r="B223" s="15" t="n"/>
      <c r="C223" s="15" t="n"/>
      <c r="D223" s="16" t="n"/>
      <c r="E223" s="17" t="n"/>
      <c r="F223" s="60" t="n"/>
      <c r="G223" s="15" t="n"/>
      <c r="H223" s="19">
        <f>IF($A223="","",SUMIF(tblGunluk[VarlikId],$A223,tblGunluk[SagimLt_lt]))</f>
        <v/>
      </c>
      <c r="I223" s="19">
        <f>IF($A223="","",IFERROR(AVERAGEIF(tblGunluk[VarlikId],$A223,tblGunluk[SagimLt_lt]),0))</f>
        <v/>
      </c>
      <c r="J223" s="19">
        <f>IF($A223="","",COUNTIFS(tblGunluk[VarlikId],$A223,tblGunluk[AlarmBayrak],"ALARM"))</f>
        <v/>
      </c>
      <c r="K223" s="19">
        <f>IF($A223="","",MAX(0,MIN(100,ssy_kaliteTaban-IF($I223&lt;ssy_esikSagimLt,ssy_kaliteCeza,0)-COUNTIFS(tblGunluk[VarlikId],$A223,tblGunluk[AlarmBayrak],"ALARM")*ssy_kaliteSapma-IF($G223="HAYIR",ssy_kaliteCeza,0))))</f>
        <v/>
      </c>
    </row>
    <row r="224">
      <c r="A224" s="15" t="n"/>
      <c r="B224" s="15" t="n"/>
      <c r="C224" s="15" t="n"/>
      <c r="D224" s="16" t="n"/>
      <c r="E224" s="17" t="n"/>
      <c r="F224" s="60" t="n"/>
      <c r="G224" s="15" t="n"/>
      <c r="H224" s="19">
        <f>IF($A224="","",SUMIF(tblGunluk[VarlikId],$A224,tblGunluk[SagimLt_lt]))</f>
        <v/>
      </c>
      <c r="I224" s="19">
        <f>IF($A224="","",IFERROR(AVERAGEIF(tblGunluk[VarlikId],$A224,tblGunluk[SagimLt_lt]),0))</f>
        <v/>
      </c>
      <c r="J224" s="19">
        <f>IF($A224="","",COUNTIFS(tblGunluk[VarlikId],$A224,tblGunluk[AlarmBayrak],"ALARM"))</f>
        <v/>
      </c>
      <c r="K224" s="19">
        <f>IF($A224="","",MAX(0,MIN(100,ssy_kaliteTaban-IF($I224&lt;ssy_esikSagimLt,ssy_kaliteCeza,0)-COUNTIFS(tblGunluk[VarlikId],$A224,tblGunluk[AlarmBayrak],"ALARM")*ssy_kaliteSapma-IF($G224="HAYIR",ssy_kaliteCeza,0))))</f>
        <v/>
      </c>
    </row>
    <row r="225">
      <c r="A225" s="15" t="n"/>
      <c r="B225" s="15" t="n"/>
      <c r="C225" s="15" t="n"/>
      <c r="D225" s="16" t="n"/>
      <c r="E225" s="17" t="n"/>
      <c r="F225" s="60" t="n"/>
      <c r="G225" s="15" t="n"/>
      <c r="H225" s="19">
        <f>IF($A225="","",SUMIF(tblGunluk[VarlikId],$A225,tblGunluk[SagimLt_lt]))</f>
        <v/>
      </c>
      <c r="I225" s="19">
        <f>IF($A225="","",IFERROR(AVERAGEIF(tblGunluk[VarlikId],$A225,tblGunluk[SagimLt_lt]),0))</f>
        <v/>
      </c>
      <c r="J225" s="19">
        <f>IF($A225="","",COUNTIFS(tblGunluk[VarlikId],$A225,tblGunluk[AlarmBayrak],"ALARM"))</f>
        <v/>
      </c>
      <c r="K225" s="19">
        <f>IF($A225="","",MAX(0,MIN(100,ssy_kaliteTaban-IF($I225&lt;ssy_esikSagimLt,ssy_kaliteCeza,0)-COUNTIFS(tblGunluk[VarlikId],$A225,tblGunluk[AlarmBayrak],"ALARM")*ssy_kaliteSapma-IF($G225="HAYIR",ssy_kaliteCeza,0))))</f>
        <v/>
      </c>
    </row>
    <row r="226">
      <c r="A226" s="15" t="n"/>
      <c r="B226" s="15" t="n"/>
      <c r="C226" s="15" t="n"/>
      <c r="D226" s="16" t="n"/>
      <c r="E226" s="17" t="n"/>
      <c r="F226" s="60" t="n"/>
      <c r="G226" s="15" t="n"/>
      <c r="H226" s="19">
        <f>IF($A226="","",SUMIF(tblGunluk[VarlikId],$A226,tblGunluk[SagimLt_lt]))</f>
        <v/>
      </c>
      <c r="I226" s="19">
        <f>IF($A226="","",IFERROR(AVERAGEIF(tblGunluk[VarlikId],$A226,tblGunluk[SagimLt_lt]),0))</f>
        <v/>
      </c>
      <c r="J226" s="19">
        <f>IF($A226="","",COUNTIFS(tblGunluk[VarlikId],$A226,tblGunluk[AlarmBayrak],"ALARM"))</f>
        <v/>
      </c>
      <c r="K226" s="19">
        <f>IF($A226="","",MAX(0,MIN(100,ssy_kaliteTaban-IF($I226&lt;ssy_esikSagimLt,ssy_kaliteCeza,0)-COUNTIFS(tblGunluk[VarlikId],$A226,tblGunluk[AlarmBayrak],"ALARM")*ssy_kaliteSapma-IF($G226="HAYIR",ssy_kaliteCeza,0))))</f>
        <v/>
      </c>
    </row>
    <row r="227">
      <c r="A227" s="15" t="n"/>
      <c r="B227" s="15" t="n"/>
      <c r="C227" s="15" t="n"/>
      <c r="D227" s="16" t="n"/>
      <c r="E227" s="17" t="n"/>
      <c r="F227" s="60" t="n"/>
      <c r="G227" s="15" t="n"/>
      <c r="H227" s="19">
        <f>IF($A227="","",SUMIF(tblGunluk[VarlikId],$A227,tblGunluk[SagimLt_lt]))</f>
        <v/>
      </c>
      <c r="I227" s="19">
        <f>IF($A227="","",IFERROR(AVERAGEIF(tblGunluk[VarlikId],$A227,tblGunluk[SagimLt_lt]),0))</f>
        <v/>
      </c>
      <c r="J227" s="19">
        <f>IF($A227="","",COUNTIFS(tblGunluk[VarlikId],$A227,tblGunluk[AlarmBayrak],"ALARM"))</f>
        <v/>
      </c>
      <c r="K227" s="19">
        <f>IF($A227="","",MAX(0,MIN(100,ssy_kaliteTaban-IF($I227&lt;ssy_esikSagimLt,ssy_kaliteCeza,0)-COUNTIFS(tblGunluk[VarlikId],$A227,tblGunluk[AlarmBayrak],"ALARM")*ssy_kaliteSapma-IF($G227="HAYIR",ssy_kaliteCeza,0))))</f>
        <v/>
      </c>
    </row>
    <row r="228">
      <c r="A228" s="15" t="n"/>
      <c r="B228" s="15" t="n"/>
      <c r="C228" s="15" t="n"/>
      <c r="D228" s="16" t="n"/>
      <c r="E228" s="17" t="n"/>
      <c r="F228" s="60" t="n"/>
      <c r="G228" s="15" t="n"/>
      <c r="H228" s="19">
        <f>IF($A228="","",SUMIF(tblGunluk[VarlikId],$A228,tblGunluk[SagimLt_lt]))</f>
        <v/>
      </c>
      <c r="I228" s="19">
        <f>IF($A228="","",IFERROR(AVERAGEIF(tblGunluk[VarlikId],$A228,tblGunluk[SagimLt_lt]),0))</f>
        <v/>
      </c>
      <c r="J228" s="19">
        <f>IF($A228="","",COUNTIFS(tblGunluk[VarlikId],$A228,tblGunluk[AlarmBayrak],"ALARM"))</f>
        <v/>
      </c>
      <c r="K228" s="19">
        <f>IF($A228="","",MAX(0,MIN(100,ssy_kaliteTaban-IF($I228&lt;ssy_esikSagimLt,ssy_kaliteCeza,0)-COUNTIFS(tblGunluk[VarlikId],$A228,tblGunluk[AlarmBayrak],"ALARM")*ssy_kaliteSapma-IF($G228="HAYIR",ssy_kaliteCeza,0))))</f>
        <v/>
      </c>
    </row>
    <row r="229">
      <c r="A229" s="15" t="n"/>
      <c r="B229" s="15" t="n"/>
      <c r="C229" s="15" t="n"/>
      <c r="D229" s="16" t="n"/>
      <c r="E229" s="17" t="n"/>
      <c r="F229" s="60" t="n"/>
      <c r="G229" s="15" t="n"/>
      <c r="H229" s="19">
        <f>IF($A229="","",SUMIF(tblGunluk[VarlikId],$A229,tblGunluk[SagimLt_lt]))</f>
        <v/>
      </c>
      <c r="I229" s="19">
        <f>IF($A229="","",IFERROR(AVERAGEIF(tblGunluk[VarlikId],$A229,tblGunluk[SagimLt_lt]),0))</f>
        <v/>
      </c>
      <c r="J229" s="19">
        <f>IF($A229="","",COUNTIFS(tblGunluk[VarlikId],$A229,tblGunluk[AlarmBayrak],"ALARM"))</f>
        <v/>
      </c>
      <c r="K229" s="19">
        <f>IF($A229="","",MAX(0,MIN(100,ssy_kaliteTaban-IF($I229&lt;ssy_esikSagimLt,ssy_kaliteCeza,0)-COUNTIFS(tblGunluk[VarlikId],$A229,tblGunluk[AlarmBayrak],"ALARM")*ssy_kaliteSapma-IF($G229="HAYIR",ssy_kaliteCeza,0))))</f>
        <v/>
      </c>
    </row>
    <row r="230">
      <c r="A230" s="15" t="n"/>
      <c r="B230" s="15" t="n"/>
      <c r="C230" s="15" t="n"/>
      <c r="D230" s="16" t="n"/>
      <c r="E230" s="17" t="n"/>
      <c r="F230" s="60" t="n"/>
      <c r="G230" s="15" t="n"/>
      <c r="H230" s="19">
        <f>IF($A230="","",SUMIF(tblGunluk[VarlikId],$A230,tblGunluk[SagimLt_lt]))</f>
        <v/>
      </c>
      <c r="I230" s="19">
        <f>IF($A230="","",IFERROR(AVERAGEIF(tblGunluk[VarlikId],$A230,tblGunluk[SagimLt_lt]),0))</f>
        <v/>
      </c>
      <c r="J230" s="19">
        <f>IF($A230="","",COUNTIFS(tblGunluk[VarlikId],$A230,tblGunluk[AlarmBayrak],"ALARM"))</f>
        <v/>
      </c>
      <c r="K230" s="19">
        <f>IF($A230="","",MAX(0,MIN(100,ssy_kaliteTaban-IF($I230&lt;ssy_esikSagimLt,ssy_kaliteCeza,0)-COUNTIFS(tblGunluk[VarlikId],$A230,tblGunluk[AlarmBayrak],"ALARM")*ssy_kaliteSapma-IF($G230="HAYIR",ssy_kaliteCeza,0))))</f>
        <v/>
      </c>
    </row>
    <row r="231">
      <c r="A231" s="15" t="n"/>
      <c r="B231" s="15" t="n"/>
      <c r="C231" s="15" t="n"/>
      <c r="D231" s="16" t="n"/>
      <c r="E231" s="17" t="n"/>
      <c r="F231" s="60" t="n"/>
      <c r="G231" s="15" t="n"/>
      <c r="H231" s="19">
        <f>IF($A231="","",SUMIF(tblGunluk[VarlikId],$A231,tblGunluk[SagimLt_lt]))</f>
        <v/>
      </c>
      <c r="I231" s="19">
        <f>IF($A231="","",IFERROR(AVERAGEIF(tblGunluk[VarlikId],$A231,tblGunluk[SagimLt_lt]),0))</f>
        <v/>
      </c>
      <c r="J231" s="19">
        <f>IF($A231="","",COUNTIFS(tblGunluk[VarlikId],$A231,tblGunluk[AlarmBayrak],"ALARM"))</f>
        <v/>
      </c>
      <c r="K231" s="19">
        <f>IF($A231="","",MAX(0,MIN(100,ssy_kaliteTaban-IF($I231&lt;ssy_esikSagimLt,ssy_kaliteCeza,0)-COUNTIFS(tblGunluk[VarlikId],$A231,tblGunluk[AlarmBayrak],"ALARM")*ssy_kaliteSapma-IF($G231="HAYIR",ssy_kaliteCeza,0))))</f>
        <v/>
      </c>
    </row>
    <row r="232">
      <c r="A232" s="15" t="n"/>
      <c r="B232" s="15" t="n"/>
      <c r="C232" s="15" t="n"/>
      <c r="D232" s="16" t="n"/>
      <c r="E232" s="17" t="n"/>
      <c r="F232" s="60" t="n"/>
      <c r="G232" s="15" t="n"/>
      <c r="H232" s="19">
        <f>IF($A232="","",SUMIF(tblGunluk[VarlikId],$A232,tblGunluk[SagimLt_lt]))</f>
        <v/>
      </c>
      <c r="I232" s="19">
        <f>IF($A232="","",IFERROR(AVERAGEIF(tblGunluk[VarlikId],$A232,tblGunluk[SagimLt_lt]),0))</f>
        <v/>
      </c>
      <c r="J232" s="19">
        <f>IF($A232="","",COUNTIFS(tblGunluk[VarlikId],$A232,tblGunluk[AlarmBayrak],"ALARM"))</f>
        <v/>
      </c>
      <c r="K232" s="19">
        <f>IF($A232="","",MAX(0,MIN(100,ssy_kaliteTaban-IF($I232&lt;ssy_esikSagimLt,ssy_kaliteCeza,0)-COUNTIFS(tblGunluk[VarlikId],$A232,tblGunluk[AlarmBayrak],"ALARM")*ssy_kaliteSapma-IF($G232="HAYIR",ssy_kaliteCeza,0))))</f>
        <v/>
      </c>
    </row>
    <row r="233">
      <c r="A233" s="15" t="n"/>
      <c r="B233" s="15" t="n"/>
      <c r="C233" s="15" t="n"/>
      <c r="D233" s="16" t="n"/>
      <c r="E233" s="17" t="n"/>
      <c r="F233" s="60" t="n"/>
      <c r="G233" s="15" t="n"/>
      <c r="H233" s="19">
        <f>IF($A233="","",SUMIF(tblGunluk[VarlikId],$A233,tblGunluk[SagimLt_lt]))</f>
        <v/>
      </c>
      <c r="I233" s="19">
        <f>IF($A233="","",IFERROR(AVERAGEIF(tblGunluk[VarlikId],$A233,tblGunluk[SagimLt_lt]),0))</f>
        <v/>
      </c>
      <c r="J233" s="19">
        <f>IF($A233="","",COUNTIFS(tblGunluk[VarlikId],$A233,tblGunluk[AlarmBayrak],"ALARM"))</f>
        <v/>
      </c>
      <c r="K233" s="19">
        <f>IF($A233="","",MAX(0,MIN(100,ssy_kaliteTaban-IF($I233&lt;ssy_esikSagimLt,ssy_kaliteCeza,0)-COUNTIFS(tblGunluk[VarlikId],$A233,tblGunluk[AlarmBayrak],"ALARM")*ssy_kaliteSapma-IF($G233="HAYIR",ssy_kaliteCeza,0))))</f>
        <v/>
      </c>
    </row>
    <row r="234">
      <c r="A234" s="15" t="n"/>
      <c r="B234" s="15" t="n"/>
      <c r="C234" s="15" t="n"/>
      <c r="D234" s="16" t="n"/>
      <c r="E234" s="17" t="n"/>
      <c r="F234" s="60" t="n"/>
      <c r="G234" s="15" t="n"/>
      <c r="H234" s="19">
        <f>IF($A234="","",SUMIF(tblGunluk[VarlikId],$A234,tblGunluk[SagimLt_lt]))</f>
        <v/>
      </c>
      <c r="I234" s="19">
        <f>IF($A234="","",IFERROR(AVERAGEIF(tblGunluk[VarlikId],$A234,tblGunluk[SagimLt_lt]),0))</f>
        <v/>
      </c>
      <c r="J234" s="19">
        <f>IF($A234="","",COUNTIFS(tblGunluk[VarlikId],$A234,tblGunluk[AlarmBayrak],"ALARM"))</f>
        <v/>
      </c>
      <c r="K234" s="19">
        <f>IF($A234="","",MAX(0,MIN(100,ssy_kaliteTaban-IF($I234&lt;ssy_esikSagimLt,ssy_kaliteCeza,0)-COUNTIFS(tblGunluk[VarlikId],$A234,tblGunluk[AlarmBayrak],"ALARM")*ssy_kaliteSapma-IF($G234="HAYIR",ssy_kaliteCeza,0))))</f>
        <v/>
      </c>
    </row>
    <row r="235">
      <c r="A235" s="15" t="n"/>
      <c r="B235" s="15" t="n"/>
      <c r="C235" s="15" t="n"/>
      <c r="D235" s="16" t="n"/>
      <c r="E235" s="17" t="n"/>
      <c r="F235" s="60" t="n"/>
      <c r="G235" s="15" t="n"/>
      <c r="H235" s="19">
        <f>IF($A235="","",SUMIF(tblGunluk[VarlikId],$A235,tblGunluk[SagimLt_lt]))</f>
        <v/>
      </c>
      <c r="I235" s="19">
        <f>IF($A235="","",IFERROR(AVERAGEIF(tblGunluk[VarlikId],$A235,tblGunluk[SagimLt_lt]),0))</f>
        <v/>
      </c>
      <c r="J235" s="19">
        <f>IF($A235="","",COUNTIFS(tblGunluk[VarlikId],$A235,tblGunluk[AlarmBayrak],"ALARM"))</f>
        <v/>
      </c>
      <c r="K235" s="19">
        <f>IF($A235="","",MAX(0,MIN(100,ssy_kaliteTaban-IF($I235&lt;ssy_esikSagimLt,ssy_kaliteCeza,0)-COUNTIFS(tblGunluk[VarlikId],$A235,tblGunluk[AlarmBayrak],"ALARM")*ssy_kaliteSapma-IF($G235="HAYIR",ssy_kaliteCeza,0))))</f>
        <v/>
      </c>
    </row>
    <row r="236">
      <c r="A236" s="15" t="n"/>
      <c r="B236" s="15" t="n"/>
      <c r="C236" s="15" t="n"/>
      <c r="D236" s="16" t="n"/>
      <c r="E236" s="17" t="n"/>
      <c r="F236" s="60" t="n"/>
      <c r="G236" s="15" t="n"/>
      <c r="H236" s="19">
        <f>IF($A236="","",SUMIF(tblGunluk[VarlikId],$A236,tblGunluk[SagimLt_lt]))</f>
        <v/>
      </c>
      <c r="I236" s="19">
        <f>IF($A236="","",IFERROR(AVERAGEIF(tblGunluk[VarlikId],$A236,tblGunluk[SagimLt_lt]),0))</f>
        <v/>
      </c>
      <c r="J236" s="19">
        <f>IF($A236="","",COUNTIFS(tblGunluk[VarlikId],$A236,tblGunluk[AlarmBayrak],"ALARM"))</f>
        <v/>
      </c>
      <c r="K236" s="19">
        <f>IF($A236="","",MAX(0,MIN(100,ssy_kaliteTaban-IF($I236&lt;ssy_esikSagimLt,ssy_kaliteCeza,0)-COUNTIFS(tblGunluk[VarlikId],$A236,tblGunluk[AlarmBayrak],"ALARM")*ssy_kaliteSapma-IF($G236="HAYIR",ssy_kaliteCeza,0))))</f>
        <v/>
      </c>
    </row>
    <row r="237">
      <c r="A237" s="15" t="n"/>
      <c r="B237" s="15" t="n"/>
      <c r="C237" s="15" t="n"/>
      <c r="D237" s="16" t="n"/>
      <c r="E237" s="17" t="n"/>
      <c r="F237" s="60" t="n"/>
      <c r="G237" s="15" t="n"/>
      <c r="H237" s="19">
        <f>IF($A237="","",SUMIF(tblGunluk[VarlikId],$A237,tblGunluk[SagimLt_lt]))</f>
        <v/>
      </c>
      <c r="I237" s="19">
        <f>IF($A237="","",IFERROR(AVERAGEIF(tblGunluk[VarlikId],$A237,tblGunluk[SagimLt_lt]),0))</f>
        <v/>
      </c>
      <c r="J237" s="19">
        <f>IF($A237="","",COUNTIFS(tblGunluk[VarlikId],$A237,tblGunluk[AlarmBayrak],"ALARM"))</f>
        <v/>
      </c>
      <c r="K237" s="19">
        <f>IF($A237="","",MAX(0,MIN(100,ssy_kaliteTaban-IF($I237&lt;ssy_esikSagimLt,ssy_kaliteCeza,0)-COUNTIFS(tblGunluk[VarlikId],$A237,tblGunluk[AlarmBayrak],"ALARM")*ssy_kaliteSapma-IF($G237="HAYIR",ssy_kaliteCeza,0))))</f>
        <v/>
      </c>
    </row>
    <row r="238">
      <c r="A238" s="15" t="n"/>
      <c r="B238" s="15" t="n"/>
      <c r="C238" s="15" t="n"/>
      <c r="D238" s="16" t="n"/>
      <c r="E238" s="17" t="n"/>
      <c r="F238" s="60" t="n"/>
      <c r="G238" s="15" t="n"/>
      <c r="H238" s="19">
        <f>IF($A238="","",SUMIF(tblGunluk[VarlikId],$A238,tblGunluk[SagimLt_lt]))</f>
        <v/>
      </c>
      <c r="I238" s="19">
        <f>IF($A238="","",IFERROR(AVERAGEIF(tblGunluk[VarlikId],$A238,tblGunluk[SagimLt_lt]),0))</f>
        <v/>
      </c>
      <c r="J238" s="19">
        <f>IF($A238="","",COUNTIFS(tblGunluk[VarlikId],$A238,tblGunluk[AlarmBayrak],"ALARM"))</f>
        <v/>
      </c>
      <c r="K238" s="19">
        <f>IF($A238="","",MAX(0,MIN(100,ssy_kaliteTaban-IF($I238&lt;ssy_esikSagimLt,ssy_kaliteCeza,0)-COUNTIFS(tblGunluk[VarlikId],$A238,tblGunluk[AlarmBayrak],"ALARM")*ssy_kaliteSapma-IF($G238="HAYIR",ssy_kaliteCeza,0))))</f>
        <v/>
      </c>
    </row>
    <row r="239">
      <c r="A239" s="15" t="n"/>
      <c r="B239" s="15" t="n"/>
      <c r="C239" s="15" t="n"/>
      <c r="D239" s="16" t="n"/>
      <c r="E239" s="17" t="n"/>
      <c r="F239" s="60" t="n"/>
      <c r="G239" s="15" t="n"/>
      <c r="H239" s="19">
        <f>IF($A239="","",SUMIF(tblGunluk[VarlikId],$A239,tblGunluk[SagimLt_lt]))</f>
        <v/>
      </c>
      <c r="I239" s="19">
        <f>IF($A239="","",IFERROR(AVERAGEIF(tblGunluk[VarlikId],$A239,tblGunluk[SagimLt_lt]),0))</f>
        <v/>
      </c>
      <c r="J239" s="19">
        <f>IF($A239="","",COUNTIFS(tblGunluk[VarlikId],$A239,tblGunluk[AlarmBayrak],"ALARM"))</f>
        <v/>
      </c>
      <c r="K239" s="19">
        <f>IF($A239="","",MAX(0,MIN(100,ssy_kaliteTaban-IF($I239&lt;ssy_esikSagimLt,ssy_kaliteCeza,0)-COUNTIFS(tblGunluk[VarlikId],$A239,tblGunluk[AlarmBayrak],"ALARM")*ssy_kaliteSapma-IF($G239="HAYIR",ssy_kaliteCeza,0))))</f>
        <v/>
      </c>
    </row>
    <row r="240">
      <c r="A240" s="15" t="n"/>
      <c r="B240" s="15" t="n"/>
      <c r="C240" s="15" t="n"/>
      <c r="D240" s="16" t="n"/>
      <c r="E240" s="17" t="n"/>
      <c r="F240" s="60" t="n"/>
      <c r="G240" s="15" t="n"/>
      <c r="H240" s="19">
        <f>IF($A240="","",SUMIF(tblGunluk[VarlikId],$A240,tblGunluk[SagimLt_lt]))</f>
        <v/>
      </c>
      <c r="I240" s="19">
        <f>IF($A240="","",IFERROR(AVERAGEIF(tblGunluk[VarlikId],$A240,tblGunluk[SagimLt_lt]),0))</f>
        <v/>
      </c>
      <c r="J240" s="19">
        <f>IF($A240="","",COUNTIFS(tblGunluk[VarlikId],$A240,tblGunluk[AlarmBayrak],"ALARM"))</f>
        <v/>
      </c>
      <c r="K240" s="19">
        <f>IF($A240="","",MAX(0,MIN(100,ssy_kaliteTaban-IF($I240&lt;ssy_esikSagimLt,ssy_kaliteCeza,0)-COUNTIFS(tblGunluk[VarlikId],$A240,tblGunluk[AlarmBayrak],"ALARM")*ssy_kaliteSapma-IF($G240="HAYIR",ssy_kaliteCeza,0))))</f>
        <v/>
      </c>
    </row>
    <row r="241">
      <c r="A241" s="15" t="n"/>
      <c r="B241" s="15" t="n"/>
      <c r="C241" s="15" t="n"/>
      <c r="D241" s="16" t="n"/>
      <c r="E241" s="17" t="n"/>
      <c r="F241" s="60" t="n"/>
      <c r="G241" s="15" t="n"/>
      <c r="H241" s="19">
        <f>IF($A241="","",SUMIF(tblGunluk[VarlikId],$A241,tblGunluk[SagimLt_lt]))</f>
        <v/>
      </c>
      <c r="I241" s="19">
        <f>IF($A241="","",IFERROR(AVERAGEIF(tblGunluk[VarlikId],$A241,tblGunluk[SagimLt_lt]),0))</f>
        <v/>
      </c>
      <c r="J241" s="19">
        <f>IF($A241="","",COUNTIFS(tblGunluk[VarlikId],$A241,tblGunluk[AlarmBayrak],"ALARM"))</f>
        <v/>
      </c>
      <c r="K241" s="19">
        <f>IF($A241="","",MAX(0,MIN(100,ssy_kaliteTaban-IF($I241&lt;ssy_esikSagimLt,ssy_kaliteCeza,0)-COUNTIFS(tblGunluk[VarlikId],$A241,tblGunluk[AlarmBayrak],"ALARM")*ssy_kaliteSapma-IF($G241="HAYIR",ssy_kaliteCeza,0))))</f>
        <v/>
      </c>
    </row>
    <row r="242">
      <c r="A242" s="15" t="n"/>
      <c r="B242" s="15" t="n"/>
      <c r="C242" s="15" t="n"/>
      <c r="D242" s="16" t="n"/>
      <c r="E242" s="17" t="n"/>
      <c r="F242" s="60" t="n"/>
      <c r="G242" s="15" t="n"/>
      <c r="H242" s="19">
        <f>IF($A242="","",SUMIF(tblGunluk[VarlikId],$A242,tblGunluk[SagimLt_lt]))</f>
        <v/>
      </c>
      <c r="I242" s="19">
        <f>IF($A242="","",IFERROR(AVERAGEIF(tblGunluk[VarlikId],$A242,tblGunluk[SagimLt_lt]),0))</f>
        <v/>
      </c>
      <c r="J242" s="19">
        <f>IF($A242="","",COUNTIFS(tblGunluk[VarlikId],$A242,tblGunluk[AlarmBayrak],"ALARM"))</f>
        <v/>
      </c>
      <c r="K242" s="19">
        <f>IF($A242="","",MAX(0,MIN(100,ssy_kaliteTaban-IF($I242&lt;ssy_esikSagimLt,ssy_kaliteCeza,0)-COUNTIFS(tblGunluk[VarlikId],$A242,tblGunluk[AlarmBayrak],"ALARM")*ssy_kaliteSapma-IF($G242="HAYIR",ssy_kaliteCeza,0))))</f>
        <v/>
      </c>
    </row>
    <row r="243">
      <c r="A243" s="15" t="n"/>
      <c r="B243" s="15" t="n"/>
      <c r="C243" s="15" t="n"/>
      <c r="D243" s="16" t="n"/>
      <c r="E243" s="17" t="n"/>
      <c r="F243" s="60" t="n"/>
      <c r="G243" s="15" t="n"/>
      <c r="H243" s="19">
        <f>IF($A243="","",SUMIF(tblGunluk[VarlikId],$A243,tblGunluk[SagimLt_lt]))</f>
        <v/>
      </c>
      <c r="I243" s="19">
        <f>IF($A243="","",IFERROR(AVERAGEIF(tblGunluk[VarlikId],$A243,tblGunluk[SagimLt_lt]),0))</f>
        <v/>
      </c>
      <c r="J243" s="19">
        <f>IF($A243="","",COUNTIFS(tblGunluk[VarlikId],$A243,tblGunluk[AlarmBayrak],"ALARM"))</f>
        <v/>
      </c>
      <c r="K243" s="19">
        <f>IF($A243="","",MAX(0,MIN(100,ssy_kaliteTaban-IF($I243&lt;ssy_esikSagimLt,ssy_kaliteCeza,0)-COUNTIFS(tblGunluk[VarlikId],$A243,tblGunluk[AlarmBayrak],"ALARM")*ssy_kaliteSapma-IF($G243="HAYIR",ssy_kaliteCeza,0))))</f>
        <v/>
      </c>
    </row>
    <row r="244">
      <c r="A244" s="15" t="n"/>
      <c r="B244" s="15" t="n"/>
      <c r="C244" s="15" t="n"/>
      <c r="D244" s="16" t="n"/>
      <c r="E244" s="17" t="n"/>
      <c r="F244" s="60" t="n"/>
      <c r="G244" s="15" t="n"/>
      <c r="H244" s="19">
        <f>IF($A244="","",SUMIF(tblGunluk[VarlikId],$A244,tblGunluk[SagimLt_lt]))</f>
        <v/>
      </c>
      <c r="I244" s="19">
        <f>IF($A244="","",IFERROR(AVERAGEIF(tblGunluk[VarlikId],$A244,tblGunluk[SagimLt_lt]),0))</f>
        <v/>
      </c>
      <c r="J244" s="19">
        <f>IF($A244="","",COUNTIFS(tblGunluk[VarlikId],$A244,tblGunluk[AlarmBayrak],"ALARM"))</f>
        <v/>
      </c>
      <c r="K244" s="19">
        <f>IF($A244="","",MAX(0,MIN(100,ssy_kaliteTaban-IF($I244&lt;ssy_esikSagimLt,ssy_kaliteCeza,0)-COUNTIFS(tblGunluk[VarlikId],$A244,tblGunluk[AlarmBayrak],"ALARM")*ssy_kaliteSapma-IF($G244="HAYIR",ssy_kaliteCeza,0))))</f>
        <v/>
      </c>
    </row>
    <row r="245">
      <c r="A245" s="15" t="n"/>
      <c r="B245" s="15" t="n"/>
      <c r="C245" s="15" t="n"/>
      <c r="D245" s="16" t="n"/>
      <c r="E245" s="17" t="n"/>
      <c r="F245" s="60" t="n"/>
      <c r="G245" s="15" t="n"/>
      <c r="H245" s="19">
        <f>IF($A245="","",SUMIF(tblGunluk[VarlikId],$A245,tblGunluk[SagimLt_lt]))</f>
        <v/>
      </c>
      <c r="I245" s="19">
        <f>IF($A245="","",IFERROR(AVERAGEIF(tblGunluk[VarlikId],$A245,tblGunluk[SagimLt_lt]),0))</f>
        <v/>
      </c>
      <c r="J245" s="19">
        <f>IF($A245="","",COUNTIFS(tblGunluk[VarlikId],$A245,tblGunluk[AlarmBayrak],"ALARM"))</f>
        <v/>
      </c>
      <c r="K245" s="19">
        <f>IF($A245="","",MAX(0,MIN(100,ssy_kaliteTaban-IF($I245&lt;ssy_esikSagimLt,ssy_kaliteCeza,0)-COUNTIFS(tblGunluk[VarlikId],$A245,tblGunluk[AlarmBayrak],"ALARM")*ssy_kaliteSapma-IF($G245="HAYIR",ssy_kaliteCeza,0))))</f>
        <v/>
      </c>
    </row>
    <row r="246">
      <c r="A246" s="15" t="n"/>
      <c r="B246" s="15" t="n"/>
      <c r="C246" s="15" t="n"/>
      <c r="D246" s="16" t="n"/>
      <c r="E246" s="17" t="n"/>
      <c r="F246" s="60" t="n"/>
      <c r="G246" s="15" t="n"/>
      <c r="H246" s="19">
        <f>IF($A246="","",SUMIF(tblGunluk[VarlikId],$A246,tblGunluk[SagimLt_lt]))</f>
        <v/>
      </c>
      <c r="I246" s="19">
        <f>IF($A246="","",IFERROR(AVERAGEIF(tblGunluk[VarlikId],$A246,tblGunluk[SagimLt_lt]),0))</f>
        <v/>
      </c>
      <c r="J246" s="19">
        <f>IF($A246="","",COUNTIFS(tblGunluk[VarlikId],$A246,tblGunluk[AlarmBayrak],"ALARM"))</f>
        <v/>
      </c>
      <c r="K246" s="19">
        <f>IF($A246="","",MAX(0,MIN(100,ssy_kaliteTaban-IF($I246&lt;ssy_esikSagimLt,ssy_kaliteCeza,0)-COUNTIFS(tblGunluk[VarlikId],$A246,tblGunluk[AlarmBayrak],"ALARM")*ssy_kaliteSapma-IF($G246="HAYIR",ssy_kaliteCeza,0))))</f>
        <v/>
      </c>
    </row>
    <row r="247">
      <c r="A247" s="15" t="n"/>
      <c r="B247" s="15" t="n"/>
      <c r="C247" s="15" t="n"/>
      <c r="D247" s="16" t="n"/>
      <c r="E247" s="17" t="n"/>
      <c r="F247" s="60" t="n"/>
      <c r="G247" s="15" t="n"/>
      <c r="H247" s="19">
        <f>IF($A247="","",SUMIF(tblGunluk[VarlikId],$A247,tblGunluk[SagimLt_lt]))</f>
        <v/>
      </c>
      <c r="I247" s="19">
        <f>IF($A247="","",IFERROR(AVERAGEIF(tblGunluk[VarlikId],$A247,tblGunluk[SagimLt_lt]),0))</f>
        <v/>
      </c>
      <c r="J247" s="19">
        <f>IF($A247="","",COUNTIFS(tblGunluk[VarlikId],$A247,tblGunluk[AlarmBayrak],"ALARM"))</f>
        <v/>
      </c>
      <c r="K247" s="19">
        <f>IF($A247="","",MAX(0,MIN(100,ssy_kaliteTaban-IF($I247&lt;ssy_esikSagimLt,ssy_kaliteCeza,0)-COUNTIFS(tblGunluk[VarlikId],$A247,tblGunluk[AlarmBayrak],"ALARM")*ssy_kaliteSapma-IF($G247="HAYIR",ssy_kaliteCeza,0))))</f>
        <v/>
      </c>
    </row>
    <row r="248">
      <c r="A248" s="15" t="n"/>
      <c r="B248" s="15" t="n"/>
      <c r="C248" s="15" t="n"/>
      <c r="D248" s="16" t="n"/>
      <c r="E248" s="17" t="n"/>
      <c r="F248" s="60" t="n"/>
      <c r="G248" s="15" t="n"/>
      <c r="H248" s="19">
        <f>IF($A248="","",SUMIF(tblGunluk[VarlikId],$A248,tblGunluk[SagimLt_lt]))</f>
        <v/>
      </c>
      <c r="I248" s="19">
        <f>IF($A248="","",IFERROR(AVERAGEIF(tblGunluk[VarlikId],$A248,tblGunluk[SagimLt_lt]),0))</f>
        <v/>
      </c>
      <c r="J248" s="19">
        <f>IF($A248="","",COUNTIFS(tblGunluk[VarlikId],$A248,tblGunluk[AlarmBayrak],"ALARM"))</f>
        <v/>
      </c>
      <c r="K248" s="19">
        <f>IF($A248="","",MAX(0,MIN(100,ssy_kaliteTaban-IF($I248&lt;ssy_esikSagimLt,ssy_kaliteCeza,0)-COUNTIFS(tblGunluk[VarlikId],$A248,tblGunluk[AlarmBayrak],"ALARM")*ssy_kaliteSapma-IF($G248="HAYIR",ssy_kaliteCeza,0))))</f>
        <v/>
      </c>
    </row>
    <row r="249">
      <c r="A249" s="15" t="n"/>
      <c r="B249" s="15" t="n"/>
      <c r="C249" s="15" t="n"/>
      <c r="D249" s="16" t="n"/>
      <c r="E249" s="17" t="n"/>
      <c r="F249" s="60" t="n"/>
      <c r="G249" s="15" t="n"/>
      <c r="H249" s="19">
        <f>IF($A249="","",SUMIF(tblGunluk[VarlikId],$A249,tblGunluk[SagimLt_lt]))</f>
        <v/>
      </c>
      <c r="I249" s="19">
        <f>IF($A249="","",IFERROR(AVERAGEIF(tblGunluk[VarlikId],$A249,tblGunluk[SagimLt_lt]),0))</f>
        <v/>
      </c>
      <c r="J249" s="19">
        <f>IF($A249="","",COUNTIFS(tblGunluk[VarlikId],$A249,tblGunluk[AlarmBayrak],"ALARM"))</f>
        <v/>
      </c>
      <c r="K249" s="19">
        <f>IF($A249="","",MAX(0,MIN(100,ssy_kaliteTaban-IF($I249&lt;ssy_esikSagimLt,ssy_kaliteCeza,0)-COUNTIFS(tblGunluk[VarlikId],$A249,tblGunluk[AlarmBayrak],"ALARM")*ssy_kaliteSapma-IF($G249="HAYIR",ssy_kaliteCeza,0))))</f>
        <v/>
      </c>
    </row>
    <row r="250">
      <c r="A250" s="15" t="n"/>
      <c r="B250" s="15" t="n"/>
      <c r="C250" s="15" t="n"/>
      <c r="D250" s="16" t="n"/>
      <c r="E250" s="17" t="n"/>
      <c r="F250" s="60" t="n"/>
      <c r="G250" s="15" t="n"/>
      <c r="H250" s="19">
        <f>IF($A250="","",SUMIF(tblGunluk[VarlikId],$A250,tblGunluk[SagimLt_lt]))</f>
        <v/>
      </c>
      <c r="I250" s="19">
        <f>IF($A250="","",IFERROR(AVERAGEIF(tblGunluk[VarlikId],$A250,tblGunluk[SagimLt_lt]),0))</f>
        <v/>
      </c>
      <c r="J250" s="19">
        <f>IF($A250="","",COUNTIFS(tblGunluk[VarlikId],$A250,tblGunluk[AlarmBayrak],"ALARM"))</f>
        <v/>
      </c>
      <c r="K250" s="19">
        <f>IF($A250="","",MAX(0,MIN(100,ssy_kaliteTaban-IF($I250&lt;ssy_esikSagimLt,ssy_kaliteCeza,0)-COUNTIFS(tblGunluk[VarlikId],$A250,tblGunluk[AlarmBayrak],"ALARM")*ssy_kaliteSapma-IF($G250="HAYIR",ssy_kaliteCeza,0))))</f>
        <v/>
      </c>
    </row>
    <row r="251">
      <c r="A251" s="15" t="n"/>
      <c r="B251" s="15" t="n"/>
      <c r="C251" s="15" t="n"/>
      <c r="D251" s="16" t="n"/>
      <c r="E251" s="17" t="n"/>
      <c r="F251" s="60" t="n"/>
      <c r="G251" s="15" t="n"/>
      <c r="H251" s="19">
        <f>IF($A251="","",SUMIF(tblGunluk[VarlikId],$A251,tblGunluk[SagimLt_lt]))</f>
        <v/>
      </c>
      <c r="I251" s="19">
        <f>IF($A251="","",IFERROR(AVERAGEIF(tblGunluk[VarlikId],$A251,tblGunluk[SagimLt_lt]),0))</f>
        <v/>
      </c>
      <c r="J251" s="19">
        <f>IF($A251="","",COUNTIFS(tblGunluk[VarlikId],$A251,tblGunluk[AlarmBayrak],"ALARM"))</f>
        <v/>
      </c>
      <c r="K251" s="19">
        <f>IF($A251="","",MAX(0,MIN(100,ssy_kaliteTaban-IF($I251&lt;ssy_esikSagimLt,ssy_kaliteCeza,0)-COUNTIFS(tblGunluk[VarlikId],$A251,tblGunluk[AlarmBayrak],"ALARM")*ssy_kaliteSapma-IF($G251="HAYIR",ssy_kaliteCeza,0))))</f>
        <v/>
      </c>
    </row>
    <row r="252">
      <c r="A252" s="15" t="n"/>
      <c r="B252" s="15" t="n"/>
      <c r="C252" s="15" t="n"/>
      <c r="D252" s="16" t="n"/>
      <c r="E252" s="17" t="n"/>
      <c r="F252" s="60" t="n"/>
      <c r="G252" s="15" t="n"/>
      <c r="H252" s="19">
        <f>IF($A252="","",SUMIF(tblGunluk[VarlikId],$A252,tblGunluk[SagimLt_lt]))</f>
        <v/>
      </c>
      <c r="I252" s="19">
        <f>IF($A252="","",IFERROR(AVERAGEIF(tblGunluk[VarlikId],$A252,tblGunluk[SagimLt_lt]),0))</f>
        <v/>
      </c>
      <c r="J252" s="19">
        <f>IF($A252="","",COUNTIFS(tblGunluk[VarlikId],$A252,tblGunluk[AlarmBayrak],"ALARM"))</f>
        <v/>
      </c>
      <c r="K252" s="19">
        <f>IF($A252="","",MAX(0,MIN(100,ssy_kaliteTaban-IF($I252&lt;ssy_esikSagimLt,ssy_kaliteCeza,0)-COUNTIFS(tblGunluk[VarlikId],$A252,tblGunluk[AlarmBayrak],"ALARM")*ssy_kaliteSapma-IF($G252="HAYIR",ssy_kaliteCeza,0))))</f>
        <v/>
      </c>
    </row>
    <row r="253">
      <c r="A253" s="15" t="n"/>
      <c r="B253" s="15" t="n"/>
      <c r="C253" s="15" t="n"/>
      <c r="D253" s="16" t="n"/>
      <c r="E253" s="17" t="n"/>
      <c r="F253" s="60" t="n"/>
      <c r="G253" s="15" t="n"/>
      <c r="H253" s="19">
        <f>IF($A253="","",SUMIF(tblGunluk[VarlikId],$A253,tblGunluk[SagimLt_lt]))</f>
        <v/>
      </c>
      <c r="I253" s="19">
        <f>IF($A253="","",IFERROR(AVERAGEIF(tblGunluk[VarlikId],$A253,tblGunluk[SagimLt_lt]),0))</f>
        <v/>
      </c>
      <c r="J253" s="19">
        <f>IF($A253="","",COUNTIFS(tblGunluk[VarlikId],$A253,tblGunluk[AlarmBayrak],"ALARM"))</f>
        <v/>
      </c>
      <c r="K253" s="19">
        <f>IF($A253="","",MAX(0,MIN(100,ssy_kaliteTaban-IF($I253&lt;ssy_esikSagimLt,ssy_kaliteCeza,0)-COUNTIFS(tblGunluk[VarlikId],$A253,tblGunluk[AlarmBayrak],"ALARM")*ssy_kaliteSapma-IF($G253="HAYIR",ssy_kaliteCeza,0))))</f>
        <v/>
      </c>
    </row>
    <row r="254">
      <c r="A254" s="15" t="n"/>
      <c r="B254" s="15" t="n"/>
      <c r="C254" s="15" t="n"/>
      <c r="D254" s="16" t="n"/>
      <c r="E254" s="17" t="n"/>
      <c r="F254" s="60" t="n"/>
      <c r="G254" s="15" t="n"/>
      <c r="H254" s="19">
        <f>IF($A254="","",SUMIF(tblGunluk[VarlikId],$A254,tblGunluk[SagimLt_lt]))</f>
        <v/>
      </c>
      <c r="I254" s="19">
        <f>IF($A254="","",IFERROR(AVERAGEIF(tblGunluk[VarlikId],$A254,tblGunluk[SagimLt_lt]),0))</f>
        <v/>
      </c>
      <c r="J254" s="19">
        <f>IF($A254="","",COUNTIFS(tblGunluk[VarlikId],$A254,tblGunluk[AlarmBayrak],"ALARM"))</f>
        <v/>
      </c>
      <c r="K254" s="19">
        <f>IF($A254="","",MAX(0,MIN(100,ssy_kaliteTaban-IF($I254&lt;ssy_esikSagimLt,ssy_kaliteCeza,0)-COUNTIFS(tblGunluk[VarlikId],$A254,tblGunluk[AlarmBayrak],"ALARM")*ssy_kaliteSapma-IF($G254="HAYIR",ssy_kaliteCeza,0))))</f>
        <v/>
      </c>
    </row>
    <row r="255">
      <c r="A255" s="15" t="n"/>
      <c r="B255" s="15" t="n"/>
      <c r="C255" s="15" t="n"/>
      <c r="D255" s="16" t="n"/>
      <c r="E255" s="17" t="n"/>
      <c r="F255" s="60" t="n"/>
      <c r="G255" s="15" t="n"/>
      <c r="H255" s="19">
        <f>IF($A255="","",SUMIF(tblGunluk[VarlikId],$A255,tblGunluk[SagimLt_lt]))</f>
        <v/>
      </c>
      <c r="I255" s="19">
        <f>IF($A255="","",IFERROR(AVERAGEIF(tblGunluk[VarlikId],$A255,tblGunluk[SagimLt_lt]),0))</f>
        <v/>
      </c>
      <c r="J255" s="19">
        <f>IF($A255="","",COUNTIFS(tblGunluk[VarlikId],$A255,tblGunluk[AlarmBayrak],"ALARM"))</f>
        <v/>
      </c>
      <c r="K255" s="19">
        <f>IF($A255="","",MAX(0,MIN(100,ssy_kaliteTaban-IF($I255&lt;ssy_esikSagimLt,ssy_kaliteCeza,0)-COUNTIFS(tblGunluk[VarlikId],$A255,tblGunluk[AlarmBayrak],"ALARM")*ssy_kaliteSapma-IF($G255="HAYIR",ssy_kaliteCeza,0))))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255">
    <cfRule type="cellIs" priority="1" operator="equal" dxfId="0">
      <formula>"HAYIR"</formula>
    </cfRule>
  </conditionalFormatting>
  <conditionalFormatting sqref="K6:K255">
    <cfRule type="cellIs" priority="2" operator="lessThan" dxfId="1">
      <formula>ssy_esikSaglik</formula>
    </cfRule>
  </conditionalFormatting>
  <conditionalFormatting sqref="I6:I255">
    <cfRule type="cellIs" priority="3" operator="lessThan" dxfId="0">
      <formula>ssy_esikSagimLt</formula>
    </cfRule>
  </conditionalFormatting>
  <dataValidations count="7">
    <dataValidation sqref="A6:A255" showDropDown="0" showInputMessage="1" showErrorMessage="1" allowBlank="1" errorTitle="Kimlik" error="En az 1 karakter" promptTitle="Varlık Kimliği" prompt="INK-##### girin" type="textLength" errorStyle="stop" operator="greaterThan">
      <formula1>1</formula1>
      <formula2>40</formula2>
    </dataValidation>
    <dataValidation sqref="B6:B255" showDropDown="0" showInputMessage="1" showErrorMessage="1" allowBlank="1" errorTitle="İnek Ad" error="Geçersiz" promptTitle="İnek Ad" prompt="İnek Ad girin" type="textLength" errorStyle="stop" operator="greaterThanOrEqual">
      <formula1>0</formula1>
      <formula2>80</formula2>
    </dataValidation>
    <dataValidation sqref="C6:C255" showDropDown="0" showInputMessage="1" showErrorMessage="1" allowBlank="1" errorTitle="Irk" error="Geçersiz" promptTitle="Irk" prompt="Irk girin" type="textLength" errorStyle="stop" operator="greaterThanOrEqual">
      <formula1>0</formula1>
      <formula2>80</formula2>
    </dataValidation>
    <dataValidation sqref="D6:D255" showDropDown="0" showInputMessage="1" showErrorMessage="1" allowBlank="1" errorTitle="Laktasyon [adet]" error="0 veya üzeri" promptTitle="Laktasyon [adet]" prompt="Laktasyon [adet] ≥ 0" type="decimal" errorStyle="stop" operator="greaterThanOrEqual">
      <formula1>0</formula1>
    </dataValidation>
    <dataValidation sqref="E6:E255" showDropDown="0" showInputMessage="1" showErrorMessage="1" allowBlank="1" errorTitle="Hedef Sağım [lt]" error="0 veya üzeri" promptTitle="Hedef Sağım [lt]" prompt="Hedef Sağım [lt] ≥ 0" type="decimal" errorStyle="stop" operator="greaterThanOrEqual">
      <formula1>0</formula1>
    </dataValidation>
    <dataValidation sqref="F6:F255" showDropDown="0" showInputMessage="1" showErrorMessage="1" allowBlank="1" errorTitle="Tarih" error="Geçerli tarih" promptTitle="Doğum Tarihi" prompt="GG.AA.YYYY" type="date" errorStyle="stop" operator="greaterThan">
      <formula1>1</formula1>
    </dataValidation>
    <dataValidation sqref="G6:G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B4332"/>
    <outlinePr summaryBelow="1" summaryRight="1"/>
    <pageSetUpPr/>
  </sheetPr>
  <dimension ref="A1:V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GUNLUK GIRIS — Süt Sürüsü Yönetim Komutası</t>
        </is>
      </c>
    </row>
    <row r="3" ht="20" customHeight="1">
      <c r="A3" s="10" t="inlineStr">
        <is>
          <t>GÜNLÜK saha girişi — satır başına en fazla 6 manuel alan (S02)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SagimLt_lt</t>
        </is>
      </c>
      <c r="E5" s="14" t="inlineStr">
        <is>
          <t>YemKg_kg</t>
        </is>
      </c>
      <c r="F5" s="14" t="inlineStr">
        <is>
          <t>KizginlikDurum</t>
        </is>
      </c>
      <c r="G5" s="14" t="inlineStr">
        <is>
          <t>GebelikGun_gun</t>
        </is>
      </c>
      <c r="H5" s="14" t="inlineStr">
        <is>
          <t>OlayTuru</t>
        </is>
      </c>
      <c r="I5" s="14" t="inlineStr">
        <is>
          <t>FormulHedef_lt</t>
        </is>
      </c>
      <c r="J5" s="14" t="inlineStr">
        <is>
          <t>FormulSapma_lt</t>
        </is>
      </c>
      <c r="K5" s="14" t="inlineStr">
        <is>
          <t>FormulSapmaOran_oran</t>
        </is>
      </c>
      <c r="L5" s="14" t="inlineStr">
        <is>
          <t>FormulBuzagiYakin</t>
        </is>
      </c>
      <c r="M5" s="14" t="inlineStr">
        <is>
          <t>SaglikSkor_puan</t>
        </is>
      </c>
      <c r="N5" s="14" t="inlineStr">
        <is>
          <t>AlarmBayrak</t>
        </is>
      </c>
      <c r="O5" s="14" t="inlineStr">
        <is>
          <t>FormulKayitDolu</t>
        </is>
      </c>
      <c r="P5" s="14" t="inlineStr">
        <is>
          <t>FormulYetim</t>
        </is>
      </c>
    </row>
    <row r="6">
      <c r="A6" s="15" t="inlineStr">
        <is>
          <t>SSY-00001</t>
        </is>
      </c>
      <c r="B6" s="15" t="inlineStr">
        <is>
          <t>INK-00001</t>
        </is>
      </c>
      <c r="C6" s="60" t="n">
        <v>46242</v>
      </c>
      <c r="D6" s="17" t="n">
        <v>24.6</v>
      </c>
      <c r="E6" s="17" t="n">
        <v>16.5</v>
      </c>
      <c r="F6" s="15" t="inlineStr">
        <is>
          <t>HAYIR</t>
        </is>
      </c>
      <c r="G6" s="16" t="n">
        <v>51</v>
      </c>
      <c r="H6" s="15" t="inlineStr">
        <is>
          <t>KIZGINLIK</t>
        </is>
      </c>
      <c r="I6" s="19">
        <f>IF($A6="","",IFERROR(SUMIF(tblVarliklar[VarlikId],$B6,tblVarliklar[HedefSagimLt_lt]),ssy_varsayilanHedefLt))</f>
        <v/>
      </c>
      <c r="J6" s="19">
        <f>IF($A6="","",$D6-$I6)</f>
        <v/>
      </c>
      <c r="K6" s="19">
        <f>IF(OR($A6="",$I6=0),"",$J6/$I6)</f>
        <v/>
      </c>
      <c r="L6" s="19">
        <f>IF($A6="","",IF($G6&gt;=ssy_esikBuzagiGun,"YAKIN","NORMAL"))</f>
        <v/>
      </c>
      <c r="M6" s="19">
        <f>IF($A6="","",MAX(0,MIN(100,ssy_kaliteTaban-IF($D6&lt;ssy_esikSagimLt,ssy_kaliteCeza,0)-IF($L6="YAKIN",ssy_kaliteSapma,0)-IF($F6="EVET",0,0)-IF($P6="YETIM",ssy_kaliteCeza,0))))</f>
        <v/>
      </c>
      <c r="N6" s="19">
        <f>IF($A6="","",IF(OR($D6&lt;ssy_esikSagimLt,$G6&gt;=ssy_esikBuzagiGun,$M6&lt;ssy_esikSaglik),"ALARM","UYGUN"))</f>
        <v/>
      </c>
      <c r="O6" s="19">
        <f>IF($A6="","",1)</f>
        <v/>
      </c>
      <c r="P6" s="19">
        <f>IF($A6="","",IF(OR($B6="",COUNTIF(tblVarliklar[VarlikId],$B6)=0),"YETIM","TAMAM"))</f>
        <v/>
      </c>
    </row>
    <row r="7">
      <c r="A7" s="15" t="inlineStr">
        <is>
          <t>SSY-00002</t>
        </is>
      </c>
      <c r="B7" s="15" t="inlineStr">
        <is>
          <t>INK-00002</t>
        </is>
      </c>
      <c r="C7" s="60" t="n">
        <v>46239</v>
      </c>
      <c r="D7" s="17" t="n">
        <v>21.8</v>
      </c>
      <c r="E7" s="17" t="n">
        <v>16.9</v>
      </c>
      <c r="F7" s="15" t="inlineStr">
        <is>
          <t>HAYIR</t>
        </is>
      </c>
      <c r="G7" s="16" t="n">
        <v>62</v>
      </c>
      <c r="H7" s="15" t="inlineStr">
        <is>
          <t>TOHUM</t>
        </is>
      </c>
      <c r="I7" s="19">
        <f>IF($A7="","",IFERROR(SUMIF(tblVarliklar[VarlikId],$B7,tblVarliklar[HedefSagimLt_lt]),ssy_varsayilanHedefLt))</f>
        <v/>
      </c>
      <c r="J7" s="19">
        <f>IF($A7="","",$D7-$I7)</f>
        <v/>
      </c>
      <c r="K7" s="19">
        <f>IF(OR($A7="",$I7=0),"",$J7/$I7)</f>
        <v/>
      </c>
      <c r="L7" s="19">
        <f>IF($A7="","",IF($G7&gt;=ssy_esikBuzagiGun,"YAKIN","NORMAL"))</f>
        <v/>
      </c>
      <c r="M7" s="19">
        <f>IF($A7="","",MAX(0,MIN(100,ssy_kaliteTaban-IF($D7&lt;ssy_esikSagimLt,ssy_kaliteCeza,0)-IF($L7="YAKIN",ssy_kaliteSapma,0)-IF($F7="EVET",0,0)-IF($P7="YETIM",ssy_kaliteCeza,0))))</f>
        <v/>
      </c>
      <c r="N7" s="19">
        <f>IF($A7="","",IF(OR($D7&lt;ssy_esikSagimLt,$G7&gt;=ssy_esikBuzagiGun,$M7&lt;ssy_esikSaglik),"ALARM","UYGUN"))</f>
        <v/>
      </c>
      <c r="O7" s="19">
        <f>IF($A7="","",1)</f>
        <v/>
      </c>
      <c r="P7" s="19">
        <f>IF($A7="","",IF(OR($B7="",COUNTIF(tblVarliklar[VarlikId],$B7)=0),"YETIM","TAMAM"))</f>
        <v/>
      </c>
    </row>
    <row r="8">
      <c r="A8" s="15" t="inlineStr">
        <is>
          <t>SSY-00003</t>
        </is>
      </c>
      <c r="B8" s="15" t="inlineStr">
        <is>
          <t>INK-00003</t>
        </is>
      </c>
      <c r="C8" s="60" t="n">
        <v>46236</v>
      </c>
      <c r="D8" s="17" t="n">
        <v>28.2</v>
      </c>
      <c r="E8" s="17" t="n">
        <v>18.6</v>
      </c>
      <c r="F8" s="15" t="inlineStr">
        <is>
          <t>HAYIR</t>
        </is>
      </c>
      <c r="G8" s="16" t="n">
        <v>73</v>
      </c>
      <c r="H8" s="15" t="inlineStr">
        <is>
          <t>GEBELIK</t>
        </is>
      </c>
      <c r="I8" s="19">
        <f>IF($A8="","",IFERROR(SUMIF(tblVarliklar[VarlikId],$B8,tblVarliklar[HedefSagimLt_lt]),ssy_varsayilanHedefLt))</f>
        <v/>
      </c>
      <c r="J8" s="19">
        <f>IF($A8="","",$D8-$I8)</f>
        <v/>
      </c>
      <c r="K8" s="19">
        <f>IF(OR($A8="",$I8=0),"",$J8/$I8)</f>
        <v/>
      </c>
      <c r="L8" s="19">
        <f>IF($A8="","",IF($G8&gt;=ssy_esikBuzagiGun,"YAKIN","NORMAL"))</f>
        <v/>
      </c>
      <c r="M8" s="19">
        <f>IF($A8="","",MAX(0,MIN(100,ssy_kaliteTaban-IF($D8&lt;ssy_esikSagimLt,ssy_kaliteCeza,0)-IF($L8="YAKIN",ssy_kaliteSapma,0)-IF($F8="EVET",0,0)-IF($P8="YETIM",ssy_kaliteCeza,0))))</f>
        <v/>
      </c>
      <c r="N8" s="19">
        <f>IF($A8="","",IF(OR($D8&lt;ssy_esikSagimLt,$G8&gt;=ssy_esikBuzagiGun,$M8&lt;ssy_esikSaglik),"ALARM","UYGUN"))</f>
        <v/>
      </c>
      <c r="O8" s="19">
        <f>IF($A8="","",1)</f>
        <v/>
      </c>
      <c r="P8" s="19">
        <f>IF($A8="","",IF(OR($B8="",COUNTIF(tblVarliklar[VarlikId],$B8)=0),"YETIM","TAMAM"))</f>
        <v/>
      </c>
    </row>
    <row r="9">
      <c r="A9" s="15" t="inlineStr">
        <is>
          <t>SSY-00004</t>
        </is>
      </c>
      <c r="B9" s="15" t="inlineStr">
        <is>
          <t>INK-00004</t>
        </is>
      </c>
      <c r="C9" s="60" t="n">
        <v>46233</v>
      </c>
      <c r="D9" s="17" t="n">
        <v>17.5</v>
      </c>
      <c r="E9" s="17" t="n">
        <v>17.8</v>
      </c>
      <c r="F9" s="15" t="inlineStr">
        <is>
          <t>HAYIR</t>
        </is>
      </c>
      <c r="G9" s="16" t="n">
        <v>84</v>
      </c>
      <c r="H9" s="15" t="inlineStr">
        <is>
          <t>BUZAGILAMA</t>
        </is>
      </c>
      <c r="I9" s="19">
        <f>IF($A9="","",IFERROR(SUMIF(tblVarliklar[VarlikId],$B9,tblVarliklar[HedefSagimLt_lt]),ssy_varsayilanHedefLt))</f>
        <v/>
      </c>
      <c r="J9" s="19">
        <f>IF($A9="","",$D9-$I9)</f>
        <v/>
      </c>
      <c r="K9" s="19">
        <f>IF(OR($A9="",$I9=0),"",$J9/$I9)</f>
        <v/>
      </c>
      <c r="L9" s="19">
        <f>IF($A9="","",IF($G9&gt;=ssy_esikBuzagiGun,"YAKIN","NORMAL"))</f>
        <v/>
      </c>
      <c r="M9" s="19">
        <f>IF($A9="","",MAX(0,MIN(100,ssy_kaliteTaban-IF($D9&lt;ssy_esikSagimLt,ssy_kaliteCeza,0)-IF($L9="YAKIN",ssy_kaliteSapma,0)-IF($F9="EVET",0,0)-IF($P9="YETIM",ssy_kaliteCeza,0))))</f>
        <v/>
      </c>
      <c r="N9" s="19">
        <f>IF($A9="","",IF(OR($D9&lt;ssy_esikSagimLt,$G9&gt;=ssy_esikBuzagiGun,$M9&lt;ssy_esikSaglik),"ALARM","UYGUN"))</f>
        <v/>
      </c>
      <c r="O9" s="19">
        <f>IF($A9="","",1)</f>
        <v/>
      </c>
      <c r="P9" s="19">
        <f>IF($A9="","",IF(OR($B9="",COUNTIF(tblVarliklar[VarlikId],$B9)=0),"YETIM","TAMAM"))</f>
        <v/>
      </c>
    </row>
    <row r="10">
      <c r="A10" s="15" t="inlineStr">
        <is>
          <t>SSY-00005</t>
        </is>
      </c>
      <c r="B10" s="15" t="inlineStr">
        <is>
          <t>INK-00005</t>
        </is>
      </c>
      <c r="C10" s="60" t="n">
        <v>46230</v>
      </c>
      <c r="D10" s="17" t="n">
        <v>22.1</v>
      </c>
      <c r="E10" s="17" t="n">
        <v>19.3</v>
      </c>
      <c r="F10" s="15" t="inlineStr">
        <is>
          <t>HAYIR</t>
        </is>
      </c>
      <c r="G10" s="16" t="n">
        <v>95</v>
      </c>
      <c r="H10" s="15" t="inlineStr">
        <is>
          <t>DIGER</t>
        </is>
      </c>
      <c r="I10" s="19">
        <f>IF($A10="","",IFERROR(SUMIF(tblVarliklar[VarlikId],$B10,tblVarliklar[HedefSagimLt_lt]),ssy_varsayilanHedefLt))</f>
        <v/>
      </c>
      <c r="J10" s="19">
        <f>IF($A10="","",$D10-$I10)</f>
        <v/>
      </c>
      <c r="K10" s="19">
        <f>IF(OR($A10="",$I10=0),"",$J10/$I10)</f>
        <v/>
      </c>
      <c r="L10" s="19">
        <f>IF($A10="","",IF($G10&gt;=ssy_esikBuzagiGun,"YAKIN","NORMAL"))</f>
        <v/>
      </c>
      <c r="M10" s="19">
        <f>IF($A10="","",MAX(0,MIN(100,ssy_kaliteTaban-IF($D10&lt;ssy_esikSagimLt,ssy_kaliteCeza,0)-IF($L10="YAKIN",ssy_kaliteSapma,0)-IF($F10="EVET",0,0)-IF($P10="YETIM",ssy_kaliteCeza,0))))</f>
        <v/>
      </c>
      <c r="N10" s="19">
        <f>IF($A10="","",IF(OR($D10&lt;ssy_esikSagimLt,$G10&gt;=ssy_esikBuzagiGun,$M10&lt;ssy_esikSaglik),"ALARM","UYGUN"))</f>
        <v/>
      </c>
      <c r="O10" s="19">
        <f>IF($A10="","",1)</f>
        <v/>
      </c>
      <c r="P10" s="19">
        <f>IF($A10="","",IF(OR($B10="",COUNTIF(tblVarliklar[VarlikId],$B10)=0),"YETIM","TAMAM"))</f>
        <v/>
      </c>
    </row>
    <row r="11">
      <c r="A11" s="15" t="inlineStr">
        <is>
          <t>SSY-00006</t>
        </is>
      </c>
      <c r="B11" s="15" t="inlineStr">
        <is>
          <t>INK-00006</t>
        </is>
      </c>
      <c r="C11" s="60" t="n">
        <v>46227</v>
      </c>
      <c r="D11" s="17" t="n">
        <v>22</v>
      </c>
      <c r="E11" s="17" t="n">
        <v>15.3</v>
      </c>
      <c r="F11" s="15" t="inlineStr">
        <is>
          <t>HAYIR</t>
        </is>
      </c>
      <c r="G11" s="16" t="n">
        <v>106</v>
      </c>
      <c r="H11" s="15" t="inlineStr">
        <is>
          <t>SAGIM</t>
        </is>
      </c>
      <c r="I11" s="19">
        <f>IF($A11="","",IFERROR(SUMIF(tblVarliklar[VarlikId],$B11,tblVarliklar[HedefSagimLt_lt]),ssy_varsayilanHedefLt))</f>
        <v/>
      </c>
      <c r="J11" s="19">
        <f>IF($A11="","",$D11-$I11)</f>
        <v/>
      </c>
      <c r="K11" s="19">
        <f>IF(OR($A11="",$I11=0),"",$J11/$I11)</f>
        <v/>
      </c>
      <c r="L11" s="19">
        <f>IF($A11="","",IF($G11&gt;=ssy_esikBuzagiGun,"YAKIN","NORMAL"))</f>
        <v/>
      </c>
      <c r="M11" s="19">
        <f>IF($A11="","",MAX(0,MIN(100,ssy_kaliteTaban-IF($D11&lt;ssy_esikSagimLt,ssy_kaliteCeza,0)-IF($L11="YAKIN",ssy_kaliteSapma,0)-IF($F11="EVET",0,0)-IF($P11="YETIM",ssy_kaliteCeza,0))))</f>
        <v/>
      </c>
      <c r="N11" s="19">
        <f>IF($A11="","",IF(OR($D11&lt;ssy_esikSagimLt,$G11&gt;=ssy_esikBuzagiGun,$M11&lt;ssy_esikSaglik),"ALARM","UYGUN"))</f>
        <v/>
      </c>
      <c r="O11" s="19">
        <f>IF($A11="","",1)</f>
        <v/>
      </c>
      <c r="P11" s="19">
        <f>IF($A11="","",IF(OR($B11="",COUNTIF(tblVarliklar[VarlikId],$B11)=0),"YETIM","TAMAM"))</f>
        <v/>
      </c>
    </row>
    <row r="12">
      <c r="A12" s="15" t="inlineStr">
        <is>
          <t>SSY-00007</t>
        </is>
      </c>
      <c r="B12" s="15" t="inlineStr">
        <is>
          <t>INK-00007</t>
        </is>
      </c>
      <c r="C12" s="60" t="n">
        <v>46224</v>
      </c>
      <c r="D12" s="17" t="n">
        <v>29.1</v>
      </c>
      <c r="E12" s="17" t="n">
        <v>17.2</v>
      </c>
      <c r="F12" s="15" t="inlineStr">
        <is>
          <t>EVET</t>
        </is>
      </c>
      <c r="G12" s="16" t="n">
        <v>117</v>
      </c>
      <c r="H12" s="15" t="inlineStr">
        <is>
          <t>KIZGINLIK</t>
        </is>
      </c>
      <c r="I12" s="19">
        <f>IF($A12="","",IFERROR(SUMIF(tblVarliklar[VarlikId],$B12,tblVarliklar[HedefSagimLt_lt]),ssy_varsayilanHedefLt))</f>
        <v/>
      </c>
      <c r="J12" s="19">
        <f>IF($A12="","",$D12-$I12)</f>
        <v/>
      </c>
      <c r="K12" s="19">
        <f>IF(OR($A12="",$I12=0),"",$J12/$I12)</f>
        <v/>
      </c>
      <c r="L12" s="19">
        <f>IF($A12="","",IF($G12&gt;=ssy_esikBuzagiGun,"YAKIN","NORMAL"))</f>
        <v/>
      </c>
      <c r="M12" s="19">
        <f>IF($A12="","",MAX(0,MIN(100,ssy_kaliteTaban-IF($D12&lt;ssy_esikSagimLt,ssy_kaliteCeza,0)-IF($L12="YAKIN",ssy_kaliteSapma,0)-IF($F12="EVET",0,0)-IF($P12="YETIM",ssy_kaliteCeza,0))))</f>
        <v/>
      </c>
      <c r="N12" s="19">
        <f>IF($A12="","",IF(OR($D12&lt;ssy_esikSagimLt,$G12&gt;=ssy_esikBuzagiGun,$M12&lt;ssy_esikSaglik),"ALARM","UYGUN"))</f>
        <v/>
      </c>
      <c r="O12" s="19">
        <f>IF($A12="","",1)</f>
        <v/>
      </c>
      <c r="P12" s="19">
        <f>IF($A12="","",IF(OR($B12="",COUNTIF(tblVarliklar[VarlikId],$B12)=0),"YETIM","TAMAM"))</f>
        <v/>
      </c>
    </row>
    <row r="13">
      <c r="A13" s="15" t="inlineStr">
        <is>
          <t>SSY-00008</t>
        </is>
      </c>
      <c r="B13" s="15" t="inlineStr">
        <is>
          <t>INK-00008</t>
        </is>
      </c>
      <c r="C13" s="60" t="n">
        <v>46221</v>
      </c>
      <c r="D13" s="17" t="n">
        <v>18.8</v>
      </c>
      <c r="E13" s="17" t="n">
        <v>16.4</v>
      </c>
      <c r="F13" s="15" t="inlineStr">
        <is>
          <t>HAYIR</t>
        </is>
      </c>
      <c r="G13" s="16" t="n">
        <v>128</v>
      </c>
      <c r="H13" s="15" t="inlineStr">
        <is>
          <t>TOHUM</t>
        </is>
      </c>
      <c r="I13" s="19">
        <f>IF($A13="","",IFERROR(SUMIF(tblVarliklar[VarlikId],$B13,tblVarliklar[HedefSagimLt_lt]),ssy_varsayilanHedefLt))</f>
        <v/>
      </c>
      <c r="J13" s="19">
        <f>IF($A13="","",$D13-$I13)</f>
        <v/>
      </c>
      <c r="K13" s="19">
        <f>IF(OR($A13="",$I13=0),"",$J13/$I13)</f>
        <v/>
      </c>
      <c r="L13" s="19">
        <f>IF($A13="","",IF($G13&gt;=ssy_esikBuzagiGun,"YAKIN","NORMAL"))</f>
        <v/>
      </c>
      <c r="M13" s="19">
        <f>IF($A13="","",MAX(0,MIN(100,ssy_kaliteTaban-IF($D13&lt;ssy_esikSagimLt,ssy_kaliteCeza,0)-IF($L13="YAKIN",ssy_kaliteSapma,0)-IF($F13="EVET",0,0)-IF($P13="YETIM",ssy_kaliteCeza,0))))</f>
        <v/>
      </c>
      <c r="N13" s="19">
        <f>IF($A13="","",IF(OR($D13&lt;ssy_esikSagimLt,$G13&gt;=ssy_esikBuzagiGun,$M13&lt;ssy_esikSaglik),"ALARM","UYGUN"))</f>
        <v/>
      </c>
      <c r="O13" s="19">
        <f>IF($A13="","",1)</f>
        <v/>
      </c>
      <c r="P13" s="19">
        <f>IF($A13="","",IF(OR($B13="",COUNTIF(tblVarliklar[VarlikId],$B13)=0),"YETIM","TAMAM"))</f>
        <v/>
      </c>
    </row>
    <row r="14">
      <c r="A14" s="15" t="inlineStr">
        <is>
          <t>SSY-00009</t>
        </is>
      </c>
      <c r="B14" s="15" t="inlineStr">
        <is>
          <t>INK-00001</t>
        </is>
      </c>
      <c r="C14" s="60" t="n">
        <v>46218</v>
      </c>
      <c r="D14" s="17" t="n">
        <v>27.2</v>
      </c>
      <c r="E14" s="17" t="n">
        <v>18.5</v>
      </c>
      <c r="F14" s="15" t="inlineStr">
        <is>
          <t>HAYIR</t>
        </is>
      </c>
      <c r="G14" s="16" t="n">
        <v>0</v>
      </c>
      <c r="H14" s="15" t="inlineStr">
        <is>
          <t>GEBELIK</t>
        </is>
      </c>
      <c r="I14" s="19">
        <f>IF($A14="","",IFERROR(SUMIF(tblVarliklar[VarlikId],$B14,tblVarliklar[HedefSagimLt_lt]),ssy_varsayilanHedefLt))</f>
        <v/>
      </c>
      <c r="J14" s="19">
        <f>IF($A14="","",$D14-$I14)</f>
        <v/>
      </c>
      <c r="K14" s="19">
        <f>IF(OR($A14="",$I14=0),"",$J14/$I14)</f>
        <v/>
      </c>
      <c r="L14" s="19">
        <f>IF($A14="","",IF($G14&gt;=ssy_esikBuzagiGun,"YAKIN","NORMAL"))</f>
        <v/>
      </c>
      <c r="M14" s="19">
        <f>IF($A14="","",MAX(0,MIN(100,ssy_kaliteTaban-IF($D14&lt;ssy_esikSagimLt,ssy_kaliteCeza,0)-IF($L14="YAKIN",ssy_kaliteSapma,0)-IF($F14="EVET",0,0)-IF($P14="YETIM",ssy_kaliteCeza,0))))</f>
        <v/>
      </c>
      <c r="N14" s="19">
        <f>IF($A14="","",IF(OR($D14&lt;ssy_esikSagimLt,$G14&gt;=ssy_esikBuzagiGun,$M14&lt;ssy_esikSaglik),"ALARM","UYGUN"))</f>
        <v/>
      </c>
      <c r="O14" s="19">
        <f>IF($A14="","",1)</f>
        <v/>
      </c>
      <c r="P14" s="19">
        <f>IF($A14="","",IF(OR($B14="",COUNTIF(tblVarliklar[VarlikId],$B14)=0),"YETIM","TAMAM"))</f>
        <v/>
      </c>
    </row>
    <row r="15">
      <c r="A15" s="15" t="inlineStr">
        <is>
          <t>SSY-00010</t>
        </is>
      </c>
      <c r="B15" s="15" t="inlineStr">
        <is>
          <t>INK-00002</t>
        </is>
      </c>
      <c r="C15" s="60" t="n">
        <v>46215</v>
      </c>
      <c r="D15" s="17" t="n">
        <v>20.4</v>
      </c>
      <c r="E15" s="17" t="n">
        <v>18.3</v>
      </c>
      <c r="F15" s="15" t="inlineStr">
        <is>
          <t>HAYIR</t>
        </is>
      </c>
      <c r="G15" s="16" t="n">
        <v>150</v>
      </c>
      <c r="H15" s="15" t="inlineStr">
        <is>
          <t>BUZAGILAMA</t>
        </is>
      </c>
      <c r="I15" s="19">
        <f>IF($A15="","",IFERROR(SUMIF(tblVarliklar[VarlikId],$B15,tblVarliklar[HedefSagimLt_lt]),ssy_varsayilanHedefLt))</f>
        <v/>
      </c>
      <c r="J15" s="19">
        <f>IF($A15="","",$D15-$I15)</f>
        <v/>
      </c>
      <c r="K15" s="19">
        <f>IF(OR($A15="",$I15=0),"",$J15/$I15)</f>
        <v/>
      </c>
      <c r="L15" s="19">
        <f>IF($A15="","",IF($G15&gt;=ssy_esikBuzagiGun,"YAKIN","NORMAL"))</f>
        <v/>
      </c>
      <c r="M15" s="19">
        <f>IF($A15="","",MAX(0,MIN(100,ssy_kaliteTaban-IF($D15&lt;ssy_esikSagimLt,ssy_kaliteCeza,0)-IF($L15="YAKIN",ssy_kaliteSapma,0)-IF($F15="EVET",0,0)-IF($P15="YETIM",ssy_kaliteCeza,0))))</f>
        <v/>
      </c>
      <c r="N15" s="19">
        <f>IF($A15="","",IF(OR($D15&lt;ssy_esikSagimLt,$G15&gt;=ssy_esikBuzagiGun,$M15&lt;ssy_esikSaglik),"ALARM","UYGUN"))</f>
        <v/>
      </c>
      <c r="O15" s="19">
        <f>IF($A15="","",1)</f>
        <v/>
      </c>
      <c r="P15" s="19">
        <f>IF($A15="","",IF(OR($B15="",COUNTIF(tblVarliklar[VarlikId],$B15)=0),"YETIM","TAMAM"))</f>
        <v/>
      </c>
    </row>
    <row r="16">
      <c r="A16" s="15" t="inlineStr">
        <is>
          <t>SSY-00011</t>
        </is>
      </c>
      <c r="B16" s="15" t="inlineStr">
        <is>
          <t>INK-00003</t>
        </is>
      </c>
      <c r="C16" s="60" t="n">
        <v>46212</v>
      </c>
      <c r="D16" s="17" t="n">
        <v>26.4</v>
      </c>
      <c r="E16" s="17" t="n">
        <v>20</v>
      </c>
      <c r="F16" s="15" t="inlineStr">
        <is>
          <t>HAYIR</t>
        </is>
      </c>
      <c r="G16" s="16" t="n">
        <v>161</v>
      </c>
      <c r="H16" s="15" t="inlineStr">
        <is>
          <t>DIGER</t>
        </is>
      </c>
      <c r="I16" s="19">
        <f>IF($A16="","",IFERROR(SUMIF(tblVarliklar[VarlikId],$B16,tblVarliklar[HedefSagimLt_lt]),ssy_varsayilanHedefLt))</f>
        <v/>
      </c>
      <c r="J16" s="19">
        <f>IF($A16="","",$D16-$I16)</f>
        <v/>
      </c>
      <c r="K16" s="19">
        <f>IF(OR($A16="",$I16=0),"",$J16/$I16)</f>
        <v/>
      </c>
      <c r="L16" s="19">
        <f>IF($A16="","",IF($G16&gt;=ssy_esikBuzagiGun,"YAKIN","NORMAL"))</f>
        <v/>
      </c>
      <c r="M16" s="19">
        <f>IF($A16="","",MAX(0,MIN(100,ssy_kaliteTaban-IF($D16&lt;ssy_esikSagimLt,ssy_kaliteCeza,0)-IF($L16="YAKIN",ssy_kaliteSapma,0)-IF($F16="EVET",0,0)-IF($P16="YETIM",ssy_kaliteCeza,0))))</f>
        <v/>
      </c>
      <c r="N16" s="19">
        <f>IF($A16="","",IF(OR($D16&lt;ssy_esikSagimLt,$G16&gt;=ssy_esikBuzagiGun,$M16&lt;ssy_esikSaglik),"ALARM","UYGUN"))</f>
        <v/>
      </c>
      <c r="O16" s="19">
        <f>IF($A16="","",1)</f>
        <v/>
      </c>
      <c r="P16" s="19">
        <f>IF($A16="","",IF(OR($B16="",COUNTIF(tblVarliklar[VarlikId],$B16)=0),"YETIM","TAMAM"))</f>
        <v/>
      </c>
    </row>
    <row r="17">
      <c r="A17" s="15" t="inlineStr">
        <is>
          <t>SSY-00012</t>
        </is>
      </c>
      <c r="B17" s="15" t="inlineStr">
        <is>
          <t>INK-00004</t>
        </is>
      </c>
      <c r="C17" s="60" t="n">
        <v>46209</v>
      </c>
      <c r="D17" s="17" t="n">
        <v>9.9</v>
      </c>
      <c r="E17" s="17" t="n">
        <v>13.5</v>
      </c>
      <c r="F17" s="15" t="inlineStr">
        <is>
          <t>HAYIR</t>
        </is>
      </c>
      <c r="G17" s="16" t="n">
        <v>172</v>
      </c>
      <c r="H17" s="15" t="inlineStr">
        <is>
          <t>SAGIM</t>
        </is>
      </c>
      <c r="I17" s="19">
        <f>IF($A17="","",IFERROR(SUMIF(tblVarliklar[VarlikId],$B17,tblVarliklar[HedefSagimLt_lt]),ssy_varsayilanHedefLt))</f>
        <v/>
      </c>
      <c r="J17" s="19">
        <f>IF($A17="","",$D17-$I17)</f>
        <v/>
      </c>
      <c r="K17" s="19">
        <f>IF(OR($A17="",$I17=0),"",$J17/$I17)</f>
        <v/>
      </c>
      <c r="L17" s="19">
        <f>IF($A17="","",IF($G17&gt;=ssy_esikBuzagiGun,"YAKIN","NORMAL"))</f>
        <v/>
      </c>
      <c r="M17" s="19">
        <f>IF($A17="","",MAX(0,MIN(100,ssy_kaliteTaban-IF($D17&lt;ssy_esikSagimLt,ssy_kaliteCeza,0)-IF($L17="YAKIN",ssy_kaliteSapma,0)-IF($F17="EVET",0,0)-IF($P17="YETIM",ssy_kaliteCeza,0))))</f>
        <v/>
      </c>
      <c r="N17" s="19">
        <f>IF($A17="","",IF(OR($D17&lt;ssy_esikSagimLt,$G17&gt;=ssy_esikBuzagiGun,$M17&lt;ssy_esikSaglik),"ALARM","UYGUN"))</f>
        <v/>
      </c>
      <c r="O17" s="19">
        <f>IF($A17="","",1)</f>
        <v/>
      </c>
      <c r="P17" s="19">
        <f>IF($A17="","",IF(OR($B17="",COUNTIF(tblVarliklar[VarlikId],$B17)=0),"YETIM","TAMAM"))</f>
        <v/>
      </c>
    </row>
    <row r="18">
      <c r="A18" s="15" t="inlineStr">
        <is>
          <t>SSY-00013</t>
        </is>
      </c>
      <c r="B18" s="15" t="inlineStr">
        <is>
          <t>INK-00005</t>
        </is>
      </c>
      <c r="C18" s="60" t="n">
        <v>46206</v>
      </c>
      <c r="D18" s="17" t="n">
        <v>24.4</v>
      </c>
      <c r="E18" s="17" t="n">
        <v>16.5</v>
      </c>
      <c r="F18" s="15" t="inlineStr">
        <is>
          <t>HAYIR</t>
        </is>
      </c>
      <c r="G18" s="16" t="n">
        <v>183</v>
      </c>
      <c r="H18" s="15" t="inlineStr">
        <is>
          <t>KIZGINLIK</t>
        </is>
      </c>
      <c r="I18" s="19">
        <f>IF($A18="","",IFERROR(SUMIF(tblVarliklar[VarlikId],$B18,tblVarliklar[HedefSagimLt_lt]),ssy_varsayilanHedefLt))</f>
        <v/>
      </c>
      <c r="J18" s="19">
        <f>IF($A18="","",$D18-$I18)</f>
        <v/>
      </c>
      <c r="K18" s="19">
        <f>IF(OR($A18="",$I18=0),"",$J18/$I18)</f>
        <v/>
      </c>
      <c r="L18" s="19">
        <f>IF($A18="","",IF($G18&gt;=ssy_esikBuzagiGun,"YAKIN","NORMAL"))</f>
        <v/>
      </c>
      <c r="M18" s="19">
        <f>IF($A18="","",MAX(0,MIN(100,ssy_kaliteTaban-IF($D18&lt;ssy_esikSagimLt,ssy_kaliteCeza,0)-IF($L18="YAKIN",ssy_kaliteSapma,0)-IF($F18="EVET",0,0)-IF($P18="YETIM",ssy_kaliteCeza,0))))</f>
        <v/>
      </c>
      <c r="N18" s="19">
        <f>IF($A18="","",IF(OR($D18&lt;ssy_esikSagimLt,$G18&gt;=ssy_esikBuzagiGun,$M18&lt;ssy_esikSaglik),"ALARM","UYGUN"))</f>
        <v/>
      </c>
      <c r="O18" s="19">
        <f>IF($A18="","",1)</f>
        <v/>
      </c>
      <c r="P18" s="19">
        <f>IF($A18="","",IF(OR($B18="",COUNTIF(tblVarliklar[VarlikId],$B18)=0),"YETIM","TAMAM"))</f>
        <v/>
      </c>
    </row>
    <row r="19">
      <c r="A19" s="15" t="inlineStr">
        <is>
          <t>SSY-00014</t>
        </is>
      </c>
      <c r="B19" s="15" t="inlineStr">
        <is>
          <t>INK-00006</t>
        </is>
      </c>
      <c r="C19" s="60" t="n">
        <v>46203</v>
      </c>
      <c r="D19" s="17" t="n">
        <v>24.2</v>
      </c>
      <c r="E19" s="17" t="n">
        <v>17.2</v>
      </c>
      <c r="F19" s="15" t="inlineStr">
        <is>
          <t>EVET</t>
        </is>
      </c>
      <c r="G19" s="16" t="n">
        <v>194</v>
      </c>
      <c r="H19" s="15" t="inlineStr">
        <is>
          <t>TOHUM</t>
        </is>
      </c>
      <c r="I19" s="19">
        <f>IF($A19="","",IFERROR(SUMIF(tblVarliklar[VarlikId],$B19,tblVarliklar[HedefSagimLt_lt]),ssy_varsayilanHedefLt))</f>
        <v/>
      </c>
      <c r="J19" s="19">
        <f>IF($A19="","",$D19-$I19)</f>
        <v/>
      </c>
      <c r="K19" s="19">
        <f>IF(OR($A19="",$I19=0),"",$J19/$I19)</f>
        <v/>
      </c>
      <c r="L19" s="19">
        <f>IF($A19="","",IF($G19&gt;=ssy_esikBuzagiGun,"YAKIN","NORMAL"))</f>
        <v/>
      </c>
      <c r="M19" s="19">
        <f>IF($A19="","",MAX(0,MIN(100,ssy_kaliteTaban-IF($D19&lt;ssy_esikSagimLt,ssy_kaliteCeza,0)-IF($L19="YAKIN",ssy_kaliteSapma,0)-IF($F19="EVET",0,0)-IF($P19="YETIM",ssy_kaliteCeza,0))))</f>
        <v/>
      </c>
      <c r="N19" s="19">
        <f>IF($A19="","",IF(OR($D19&lt;ssy_esikSagimLt,$G19&gt;=ssy_esikBuzagiGun,$M19&lt;ssy_esikSaglik),"ALARM","UYGUN"))</f>
        <v/>
      </c>
      <c r="O19" s="19">
        <f>IF($A19="","",1)</f>
        <v/>
      </c>
      <c r="P19" s="19">
        <f>IF($A19="","",IF(OR($B19="",COUNTIF(tblVarliklar[VarlikId],$B19)=0),"YETIM","TAMAM"))</f>
        <v/>
      </c>
    </row>
    <row r="20">
      <c r="A20" s="15" t="inlineStr">
        <is>
          <t>SSY-00015</t>
        </is>
      </c>
      <c r="B20" s="15" t="inlineStr">
        <is>
          <t>INK-00007</t>
        </is>
      </c>
      <c r="C20" s="60" t="n">
        <v>46200</v>
      </c>
      <c r="D20" s="17" t="n">
        <v>27.2</v>
      </c>
      <c r="E20" s="17" t="n">
        <v>18.5</v>
      </c>
      <c r="F20" s="15" t="inlineStr">
        <is>
          <t>HAYIR</t>
        </is>
      </c>
      <c r="G20" s="16" t="n">
        <v>275</v>
      </c>
      <c r="H20" s="15" t="inlineStr">
        <is>
          <t>GEBELIK</t>
        </is>
      </c>
      <c r="I20" s="19">
        <f>IF($A20="","",IFERROR(SUMIF(tblVarliklar[VarlikId],$B20,tblVarliklar[HedefSagimLt_lt]),ssy_varsayilanHedefLt))</f>
        <v/>
      </c>
      <c r="J20" s="19">
        <f>IF($A20="","",$D20-$I20)</f>
        <v/>
      </c>
      <c r="K20" s="19">
        <f>IF(OR($A20="",$I20=0),"",$J20/$I20)</f>
        <v/>
      </c>
      <c r="L20" s="19">
        <f>IF($A20="","",IF($G20&gt;=ssy_esikBuzagiGun,"YAKIN","NORMAL"))</f>
        <v/>
      </c>
      <c r="M20" s="19">
        <f>IF($A20="","",MAX(0,MIN(100,ssy_kaliteTaban-IF($D20&lt;ssy_esikSagimLt,ssy_kaliteCeza,0)-IF($L20="YAKIN",ssy_kaliteSapma,0)-IF($F20="EVET",0,0)-IF($P20="YETIM",ssy_kaliteCeza,0))))</f>
        <v/>
      </c>
      <c r="N20" s="19">
        <f>IF($A20="","",IF(OR($D20&lt;ssy_esikSagimLt,$G20&gt;=ssy_esikBuzagiGun,$M20&lt;ssy_esikSaglik),"ALARM","UYGUN"))</f>
        <v/>
      </c>
      <c r="O20" s="19">
        <f>IF($A20="","",1)</f>
        <v/>
      </c>
      <c r="P20" s="19">
        <f>IF($A20="","",IF(OR($B20="",COUNTIF(tblVarliklar[VarlikId],$B20)=0),"YETIM","TAMAM"))</f>
        <v/>
      </c>
    </row>
    <row r="21">
      <c r="A21" s="15" t="inlineStr">
        <is>
          <t>SSY-00016</t>
        </is>
      </c>
      <c r="B21" s="15" t="inlineStr">
        <is>
          <t>INK-00008</t>
        </is>
      </c>
      <c r="C21" s="60" t="n">
        <v>46197</v>
      </c>
      <c r="D21" s="17" t="n">
        <v>17.6</v>
      </c>
      <c r="E21" s="17" t="n">
        <v>17.8</v>
      </c>
      <c r="F21" s="15" t="inlineStr">
        <is>
          <t>HAYIR</t>
        </is>
      </c>
      <c r="G21" s="16" t="n">
        <v>216</v>
      </c>
      <c r="H21" s="15" t="inlineStr">
        <is>
          <t>BUZAGILAMA</t>
        </is>
      </c>
      <c r="I21" s="19">
        <f>IF($A21="","",IFERROR(SUMIF(tblVarliklar[VarlikId],$B21,tblVarliklar[HedefSagimLt_lt]),ssy_varsayilanHedefLt))</f>
        <v/>
      </c>
      <c r="J21" s="19">
        <f>IF($A21="","",$D21-$I21)</f>
        <v/>
      </c>
      <c r="K21" s="19">
        <f>IF(OR($A21="",$I21=0),"",$J21/$I21)</f>
        <v/>
      </c>
      <c r="L21" s="19">
        <f>IF($A21="","",IF($G21&gt;=ssy_esikBuzagiGun,"YAKIN","NORMAL"))</f>
        <v/>
      </c>
      <c r="M21" s="19">
        <f>IF($A21="","",MAX(0,MIN(100,ssy_kaliteTaban-IF($D21&lt;ssy_esikSagimLt,ssy_kaliteCeza,0)-IF($L21="YAKIN",ssy_kaliteSapma,0)-IF($F21="EVET",0,0)-IF($P21="YETIM",ssy_kaliteCeza,0))))</f>
        <v/>
      </c>
      <c r="N21" s="19">
        <f>IF($A21="","",IF(OR($D21&lt;ssy_esikSagimLt,$G21&gt;=ssy_esikBuzagiGun,$M21&lt;ssy_esikSaglik),"ALARM","UYGUN"))</f>
        <v/>
      </c>
      <c r="O21" s="19">
        <f>IF($A21="","",1)</f>
        <v/>
      </c>
      <c r="P21" s="19">
        <f>IF($A21="","",IF(OR($B21="",COUNTIF(tblVarliklar[VarlikId],$B21)=0),"YETIM","TAMAM"))</f>
        <v/>
      </c>
    </row>
    <row r="22">
      <c r="A22" s="15" t="inlineStr">
        <is>
          <t>SSY-00017</t>
        </is>
      </c>
      <c r="B22" s="15" t="inlineStr">
        <is>
          <t>INK-00001</t>
        </is>
      </c>
      <c r="C22" s="60" t="n">
        <v>46194</v>
      </c>
      <c r="D22" s="17" t="n">
        <v>25.5</v>
      </c>
      <c r="E22" s="17" t="n">
        <v>19.8</v>
      </c>
      <c r="F22" s="15" t="inlineStr">
        <is>
          <t>HAYIR</t>
        </is>
      </c>
      <c r="G22" s="16" t="n">
        <v>227</v>
      </c>
      <c r="H22" s="15" t="inlineStr">
        <is>
          <t>DIGER</t>
        </is>
      </c>
      <c r="I22" s="19">
        <f>IF($A22="","",IFERROR(SUMIF(tblVarliklar[VarlikId],$B22,tblVarliklar[HedefSagimLt_lt]),ssy_varsayilanHedefLt))</f>
        <v/>
      </c>
      <c r="J22" s="19">
        <f>IF($A22="","",$D22-$I22)</f>
        <v/>
      </c>
      <c r="K22" s="19">
        <f>IF(OR($A22="",$I22=0),"",$J22/$I22)</f>
        <v/>
      </c>
      <c r="L22" s="19">
        <f>IF($A22="","",IF($G22&gt;=ssy_esikBuzagiGun,"YAKIN","NORMAL"))</f>
        <v/>
      </c>
      <c r="M22" s="19">
        <f>IF($A22="","",MAX(0,MIN(100,ssy_kaliteTaban-IF($D22&lt;ssy_esikSagimLt,ssy_kaliteCeza,0)-IF($L22="YAKIN",ssy_kaliteSapma,0)-IF($F22="EVET",0,0)-IF($P22="YETIM",ssy_kaliteCeza,0))))</f>
        <v/>
      </c>
      <c r="N22" s="19">
        <f>IF($A22="","",IF(OR($D22&lt;ssy_esikSagimLt,$G22&gt;=ssy_esikBuzagiGun,$M22&lt;ssy_esikSaglik),"ALARM","UYGUN"))</f>
        <v/>
      </c>
      <c r="O22" s="19">
        <f>IF($A22="","",1)</f>
        <v/>
      </c>
      <c r="P22" s="19">
        <f>IF($A22="","",IF(OR($B22="",COUNTIF(tblVarliklar[VarlikId],$B22)=0),"YETIM","TAMAM"))</f>
        <v/>
      </c>
    </row>
    <row r="23">
      <c r="A23" s="15" t="inlineStr">
        <is>
          <t>SSY-00018</t>
        </is>
      </c>
      <c r="B23" s="15" t="inlineStr">
        <is>
          <t>INK-00002</t>
        </is>
      </c>
      <c r="C23" s="60" t="n">
        <v>46191</v>
      </c>
      <c r="D23" s="17" t="n">
        <v>22.6</v>
      </c>
      <c r="E23" s="17" t="n">
        <v>15.4</v>
      </c>
      <c r="F23" s="15" t="inlineStr">
        <is>
          <t>HAYIR</t>
        </is>
      </c>
      <c r="G23" s="16" t="n">
        <v>0</v>
      </c>
      <c r="H23" s="15" t="inlineStr">
        <is>
          <t>SAGIM</t>
        </is>
      </c>
      <c r="I23" s="19">
        <f>IF($A23="","",IFERROR(SUMIF(tblVarliklar[VarlikId],$B23,tblVarliklar[HedefSagimLt_lt]),ssy_varsayilanHedefLt))</f>
        <v/>
      </c>
      <c r="J23" s="19">
        <f>IF($A23="","",$D23-$I23)</f>
        <v/>
      </c>
      <c r="K23" s="19">
        <f>IF(OR($A23="",$I23=0),"",$J23/$I23)</f>
        <v/>
      </c>
      <c r="L23" s="19">
        <f>IF($A23="","",IF($G23&gt;=ssy_esikBuzagiGun,"YAKIN","NORMAL"))</f>
        <v/>
      </c>
      <c r="M23" s="19">
        <f>IF($A23="","",MAX(0,MIN(100,ssy_kaliteTaban-IF($D23&lt;ssy_esikSagimLt,ssy_kaliteCeza,0)-IF($L23="YAKIN",ssy_kaliteSapma,0)-IF($F23="EVET",0,0)-IF($P23="YETIM",ssy_kaliteCeza,0))))</f>
        <v/>
      </c>
      <c r="N23" s="19">
        <f>IF($A23="","",IF(OR($D23&lt;ssy_esikSagimLt,$G23&gt;=ssy_esikBuzagiGun,$M23&lt;ssy_esikSaglik),"ALARM","UYGUN"))</f>
        <v/>
      </c>
      <c r="O23" s="19">
        <f>IF($A23="","",1)</f>
        <v/>
      </c>
      <c r="P23" s="19">
        <f>IF($A23="","",IF(OR($B23="",COUNTIF(tblVarliklar[VarlikId],$B23)=0),"YETIM","TAMAM"))</f>
        <v/>
      </c>
    </row>
    <row r="24">
      <c r="A24" s="15" t="inlineStr">
        <is>
          <t>SSY-00019</t>
        </is>
      </c>
      <c r="B24" s="15" t="inlineStr">
        <is>
          <t>INK-00003</t>
        </is>
      </c>
      <c r="C24" s="60" t="n">
        <v>46188</v>
      </c>
      <c r="D24" s="17" t="n">
        <v>29.1</v>
      </c>
      <c r="E24" s="17" t="n">
        <v>17.2</v>
      </c>
      <c r="F24" s="15" t="inlineStr">
        <is>
          <t>HAYIR</t>
        </is>
      </c>
      <c r="G24" s="16" t="n">
        <v>249</v>
      </c>
      <c r="H24" s="15" t="inlineStr">
        <is>
          <t>KIZGINLIK</t>
        </is>
      </c>
      <c r="I24" s="19">
        <f>IF($A24="","",IFERROR(SUMIF(tblVarliklar[VarlikId],$B24,tblVarliklar[HedefSagimLt_lt]),ssy_varsayilanHedefLt))</f>
        <v/>
      </c>
      <c r="J24" s="19">
        <f>IF($A24="","",$D24-$I24)</f>
        <v/>
      </c>
      <c r="K24" s="19">
        <f>IF(OR($A24="",$I24=0),"",$J24/$I24)</f>
        <v/>
      </c>
      <c r="L24" s="19">
        <f>IF($A24="","",IF($G24&gt;=ssy_esikBuzagiGun,"YAKIN","NORMAL"))</f>
        <v/>
      </c>
      <c r="M24" s="19">
        <f>IF($A24="","",MAX(0,MIN(100,ssy_kaliteTaban-IF($D24&lt;ssy_esikSagimLt,ssy_kaliteCeza,0)-IF($L24="YAKIN",ssy_kaliteSapma,0)-IF($F24="EVET",0,0)-IF($P24="YETIM",ssy_kaliteCeza,0))))</f>
        <v/>
      </c>
      <c r="N24" s="19">
        <f>IF($A24="","",IF(OR($D24&lt;ssy_esikSagimLt,$G24&gt;=ssy_esikBuzagiGun,$M24&lt;ssy_esikSaglik),"ALARM","UYGUN"))</f>
        <v/>
      </c>
      <c r="O24" s="19">
        <f>IF($A24="","",1)</f>
        <v/>
      </c>
      <c r="P24" s="19">
        <f>IF($A24="","",IF(OR($B24="",COUNTIF(tblVarliklar[VarlikId],$B24)=0),"YETIM","TAMAM"))</f>
        <v/>
      </c>
    </row>
    <row r="25">
      <c r="A25" s="15" t="inlineStr">
        <is>
          <t>SSY-00020</t>
        </is>
      </c>
      <c r="B25" s="15" t="inlineStr">
        <is>
          <t>INK-00004</t>
        </is>
      </c>
      <c r="C25" s="60" t="n">
        <v>46185</v>
      </c>
      <c r="D25" s="17" t="n">
        <v>15.3</v>
      </c>
      <c r="E25" s="17" t="n">
        <v>15.9</v>
      </c>
      <c r="F25" s="15" t="inlineStr">
        <is>
          <t>HAYIR</t>
        </is>
      </c>
      <c r="G25" s="16" t="n">
        <v>260</v>
      </c>
      <c r="H25" s="15" t="inlineStr">
        <is>
          <t>TOHUM</t>
        </is>
      </c>
      <c r="I25" s="19">
        <f>IF($A25="","",IFERROR(SUMIF(tblVarliklar[VarlikId],$B25,tblVarliklar[HedefSagimLt_lt]),ssy_varsayilanHedefLt))</f>
        <v/>
      </c>
      <c r="J25" s="19">
        <f>IF($A25="","",$D25-$I25)</f>
        <v/>
      </c>
      <c r="K25" s="19">
        <f>IF(OR($A25="",$I25=0),"",$J25/$I25)</f>
        <v/>
      </c>
      <c r="L25" s="19">
        <f>IF($A25="","",IF($G25&gt;=ssy_esikBuzagiGun,"YAKIN","NORMAL"))</f>
        <v/>
      </c>
      <c r="M25" s="19">
        <f>IF($A25="","",MAX(0,MIN(100,ssy_kaliteTaban-IF($D25&lt;ssy_esikSagimLt,ssy_kaliteCeza,0)-IF($L25="YAKIN",ssy_kaliteSapma,0)-IF($F25="EVET",0,0)-IF($P25="YETIM",ssy_kaliteCeza,0))))</f>
        <v/>
      </c>
      <c r="N25" s="19">
        <f>IF($A25="","",IF(OR($D25&lt;ssy_esikSagimLt,$G25&gt;=ssy_esikBuzagiGun,$M25&lt;ssy_esikSaglik),"ALARM","UYGUN"))</f>
        <v/>
      </c>
      <c r="O25" s="19">
        <f>IF($A25="","",1)</f>
        <v/>
      </c>
      <c r="P25" s="19">
        <f>IF($A25="","",IF(OR($B25="",COUNTIF(tblVarliklar[VarlikId],$B25)=0),"YETIM","TAMAM"))</f>
        <v/>
      </c>
    </row>
    <row r="26">
      <c r="A26" s="15" t="inlineStr">
        <is>
          <t>SSY-00021</t>
        </is>
      </c>
      <c r="B26" s="15" t="inlineStr">
        <is>
          <t>INK-00005</t>
        </is>
      </c>
      <c r="C26" s="60" t="n">
        <v>46182</v>
      </c>
      <c r="D26" s="17" t="n">
        <v>22.9</v>
      </c>
      <c r="E26" s="17" t="n">
        <v>17.8</v>
      </c>
      <c r="F26" s="15" t="inlineStr">
        <is>
          <t>EVET</t>
        </is>
      </c>
      <c r="G26" s="16" t="n">
        <v>271</v>
      </c>
      <c r="H26" s="15" t="inlineStr">
        <is>
          <t>GEBELIK</t>
        </is>
      </c>
      <c r="I26" s="19">
        <f>IF($A26="","",IFERROR(SUMIF(tblVarliklar[VarlikId],$B26,tblVarliklar[HedefSagimLt_lt]),ssy_varsayilanHedefLt))</f>
        <v/>
      </c>
      <c r="J26" s="19">
        <f>IF($A26="","",$D26-$I26)</f>
        <v/>
      </c>
      <c r="K26" s="19">
        <f>IF(OR($A26="",$I26=0),"",$J26/$I26)</f>
        <v/>
      </c>
      <c r="L26" s="19">
        <f>IF($A26="","",IF($G26&gt;=ssy_esikBuzagiGun,"YAKIN","NORMAL"))</f>
        <v/>
      </c>
      <c r="M26" s="19">
        <f>IF($A26="","",MAX(0,MIN(100,ssy_kaliteTaban-IF($D26&lt;ssy_esikSagimLt,ssy_kaliteCeza,0)-IF($L26="YAKIN",ssy_kaliteSapma,0)-IF($F26="EVET",0,0)-IF($P26="YETIM",ssy_kaliteCeza,0))))</f>
        <v/>
      </c>
      <c r="N26" s="19">
        <f>IF($A26="","",IF(OR($D26&lt;ssy_esikSagimLt,$G26&gt;=ssy_esikBuzagiGun,$M26&lt;ssy_esikSaglik),"ALARM","UYGUN"))</f>
        <v/>
      </c>
      <c r="O26" s="19">
        <f>IF($A26="","",1)</f>
        <v/>
      </c>
      <c r="P26" s="19">
        <f>IF($A26="","",IF(OR($B26="",COUNTIF(tblVarliklar[VarlikId],$B26)=0),"YETIM","TAMAM"))</f>
        <v/>
      </c>
    </row>
    <row r="27">
      <c r="A27" s="15" t="inlineStr">
        <is>
          <t>SSY-00022</t>
        </is>
      </c>
      <c r="B27" s="15" t="inlineStr">
        <is>
          <t>INK-00006</t>
        </is>
      </c>
      <c r="C27" s="60" t="n">
        <v>46179</v>
      </c>
      <c r="D27" s="17" t="n">
        <v>22.7</v>
      </c>
      <c r="E27" s="17" t="n">
        <v>18.6</v>
      </c>
      <c r="F27" s="15" t="inlineStr">
        <is>
          <t>HAYIR</t>
        </is>
      </c>
      <c r="G27" s="16" t="n">
        <v>42</v>
      </c>
      <c r="H27" s="15" t="inlineStr">
        <is>
          <t>BUZAGILAMA</t>
        </is>
      </c>
      <c r="I27" s="19">
        <f>IF($A27="","",IFERROR(SUMIF(tblVarliklar[VarlikId],$B27,tblVarliklar[HedefSagimLt_lt]),ssy_varsayilanHedefLt))</f>
        <v/>
      </c>
      <c r="J27" s="19">
        <f>IF($A27="","",$D27-$I27)</f>
        <v/>
      </c>
      <c r="K27" s="19">
        <f>IF(OR($A27="",$I27=0),"",$J27/$I27)</f>
        <v/>
      </c>
      <c r="L27" s="19">
        <f>IF($A27="","",IF($G27&gt;=ssy_esikBuzagiGun,"YAKIN","NORMAL"))</f>
        <v/>
      </c>
      <c r="M27" s="19">
        <f>IF($A27="","",MAX(0,MIN(100,ssy_kaliteTaban-IF($D27&lt;ssy_esikSagimLt,ssy_kaliteCeza,0)-IF($L27="YAKIN",ssy_kaliteSapma,0)-IF($F27="EVET",0,0)-IF($P27="YETIM",ssy_kaliteCeza,0))))</f>
        <v/>
      </c>
      <c r="N27" s="19">
        <f>IF($A27="","",IF(OR($D27&lt;ssy_esikSagimLt,$G27&gt;=ssy_esikBuzagiGun,$M27&lt;ssy_esikSaglik),"ALARM","UYGUN"))</f>
        <v/>
      </c>
      <c r="O27" s="19">
        <f>IF($A27="","",1)</f>
        <v/>
      </c>
      <c r="P27" s="19">
        <f>IF($A27="","",IF(OR($B27="",COUNTIF(tblVarliklar[VarlikId],$B27)=0),"YETIM","TAMAM"))</f>
        <v/>
      </c>
    </row>
    <row r="28">
      <c r="A28" s="15" t="inlineStr">
        <is>
          <t>SSY-00023</t>
        </is>
      </c>
      <c r="B28" s="15" t="inlineStr">
        <is>
          <t>INK-00007</t>
        </is>
      </c>
      <c r="C28" s="60" t="n">
        <v>46176</v>
      </c>
      <c r="D28" s="17" t="n">
        <v>30.1</v>
      </c>
      <c r="E28" s="17" t="n">
        <v>20.5</v>
      </c>
      <c r="F28" s="15" t="inlineStr">
        <is>
          <t>HAYIR</t>
        </is>
      </c>
      <c r="G28" s="16" t="n">
        <v>53</v>
      </c>
      <c r="H28" s="15" t="inlineStr">
        <is>
          <t>DIGER</t>
        </is>
      </c>
      <c r="I28" s="19">
        <f>IF($A28="","",IFERROR(SUMIF(tblVarliklar[VarlikId],$B28,tblVarliklar[HedefSagimLt_lt]),ssy_varsayilanHedefLt))</f>
        <v/>
      </c>
      <c r="J28" s="19">
        <f>IF($A28="","",$D28-$I28)</f>
        <v/>
      </c>
      <c r="K28" s="19">
        <f>IF(OR($A28="",$I28=0),"",$J28/$I28)</f>
        <v/>
      </c>
      <c r="L28" s="19">
        <f>IF($A28="","",IF($G28&gt;=ssy_esikBuzagiGun,"YAKIN","NORMAL"))</f>
        <v/>
      </c>
      <c r="M28" s="19">
        <f>IF($A28="","",MAX(0,MIN(100,ssy_kaliteTaban-IF($D28&lt;ssy_esikSagimLt,ssy_kaliteCeza,0)-IF($L28="YAKIN",ssy_kaliteSapma,0)-IF($F28="EVET",0,0)-IF($P28="YETIM",ssy_kaliteCeza,0))))</f>
        <v/>
      </c>
      <c r="N28" s="19">
        <f>IF($A28="","",IF(OR($D28&lt;ssy_esikSagimLt,$G28&gt;=ssy_esikBuzagiGun,$M28&lt;ssy_esikSaglik),"ALARM","UYGUN"))</f>
        <v/>
      </c>
      <c r="O28" s="19">
        <f>IF($A28="","",1)</f>
        <v/>
      </c>
      <c r="P28" s="19">
        <f>IF($A28="","",IF(OR($B28="",COUNTIF(tblVarliklar[VarlikId],$B28)=0),"YETIM","TAMAM"))</f>
        <v/>
      </c>
    </row>
    <row r="29">
      <c r="A29" s="15" t="inlineStr">
        <is>
          <t>SSY-00024</t>
        </is>
      </c>
      <c r="B29" s="15" t="inlineStr">
        <is>
          <t>INK-00008</t>
        </is>
      </c>
      <c r="C29" s="60" t="n">
        <v>46173</v>
      </c>
      <c r="D29" s="17" t="n">
        <v>11</v>
      </c>
      <c r="E29" s="17" t="n">
        <v>13.7</v>
      </c>
      <c r="F29" s="15" t="inlineStr">
        <is>
          <t>HAYIR</t>
        </is>
      </c>
      <c r="G29" s="16" t="n">
        <v>64</v>
      </c>
      <c r="H29" s="15" t="inlineStr">
        <is>
          <t>SAGIM</t>
        </is>
      </c>
      <c r="I29" s="19">
        <f>IF($A29="","",IFERROR(SUMIF(tblVarliklar[VarlikId],$B29,tblVarliklar[HedefSagimLt_lt]),ssy_varsayilanHedefLt))</f>
        <v/>
      </c>
      <c r="J29" s="19">
        <f>IF($A29="","",$D29-$I29)</f>
        <v/>
      </c>
      <c r="K29" s="19">
        <f>IF(OR($A29="",$I29=0),"",$J29/$I29)</f>
        <v/>
      </c>
      <c r="L29" s="19">
        <f>IF($A29="","",IF($G29&gt;=ssy_esikBuzagiGun,"YAKIN","NORMAL"))</f>
        <v/>
      </c>
      <c r="M29" s="19">
        <f>IF($A29="","",MAX(0,MIN(100,ssy_kaliteTaban-IF($D29&lt;ssy_esikSagimLt,ssy_kaliteCeza,0)-IF($L29="YAKIN",ssy_kaliteSapma,0)-IF($F29="EVET",0,0)-IF($P29="YETIM",ssy_kaliteCeza,0))))</f>
        <v/>
      </c>
      <c r="N29" s="19">
        <f>IF($A29="","",IF(OR($D29&lt;ssy_esikSagimLt,$G29&gt;=ssy_esikBuzagiGun,$M29&lt;ssy_esikSaglik),"ALARM","UYGUN"))</f>
        <v/>
      </c>
      <c r="O29" s="19">
        <f>IF($A29="","",1)</f>
        <v/>
      </c>
      <c r="P29" s="19">
        <f>IF($A29="","",IF(OR($B29="",COUNTIF(tblVarliklar[VarlikId],$B29)=0),"YETIM","TAMAM"))</f>
        <v/>
      </c>
    </row>
    <row r="30">
      <c r="A30" s="15" t="inlineStr">
        <is>
          <t>SSY-00025</t>
        </is>
      </c>
      <c r="B30" s="15" t="inlineStr">
        <is>
          <t>INK-00001</t>
        </is>
      </c>
      <c r="C30" s="60" t="n">
        <v>46170</v>
      </c>
      <c r="D30" s="17" t="n">
        <v>23.8</v>
      </c>
      <c r="E30" s="17" t="n">
        <v>16.4</v>
      </c>
      <c r="F30" s="15" t="inlineStr">
        <is>
          <t>HAYIR</t>
        </is>
      </c>
      <c r="G30" s="16" t="n">
        <v>75</v>
      </c>
      <c r="H30" s="15" t="inlineStr">
        <is>
          <t>KIZGINLIK</t>
        </is>
      </c>
      <c r="I30" s="19">
        <f>IF($A30="","",IFERROR(SUMIF(tblVarliklar[VarlikId],$B30,tblVarliklar[HedefSagimLt_lt]),ssy_varsayilanHedefLt))</f>
        <v/>
      </c>
      <c r="J30" s="19">
        <f>IF($A30="","",$D30-$I30)</f>
        <v/>
      </c>
      <c r="K30" s="19">
        <f>IF(OR($A30="",$I30=0),"",$J30/$I30)</f>
        <v/>
      </c>
      <c r="L30" s="19">
        <f>IF($A30="","",IF($G30&gt;=ssy_esikBuzagiGun,"YAKIN","NORMAL"))</f>
        <v/>
      </c>
      <c r="M30" s="19">
        <f>IF($A30="","",MAX(0,MIN(100,ssy_kaliteTaban-IF($D30&lt;ssy_esikSagimLt,ssy_kaliteCeza,0)-IF($L30="YAKIN",ssy_kaliteSapma,0)-IF($F30="EVET",0,0)-IF($P30="YETIM",ssy_kaliteCeza,0))))</f>
        <v/>
      </c>
      <c r="N30" s="19">
        <f>IF($A30="","",IF(OR($D30&lt;ssy_esikSagimLt,$G30&gt;=ssy_esikBuzagiGun,$M30&lt;ssy_esikSaglik),"ALARM","UYGUN"))</f>
        <v/>
      </c>
      <c r="O30" s="19">
        <f>IF($A30="","",1)</f>
        <v/>
      </c>
      <c r="P30" s="19">
        <f>IF($A30="","",IF(OR($B30="",COUNTIF(tblVarliklar[VarlikId],$B30)=0),"YETIM","TAMAM"))</f>
        <v/>
      </c>
    </row>
    <row r="31">
      <c r="A31" s="15" t="inlineStr">
        <is>
          <t>SSY-00026</t>
        </is>
      </c>
      <c r="B31" s="15" t="inlineStr">
        <is>
          <t>INK-00002</t>
        </is>
      </c>
      <c r="C31" s="60" t="n">
        <v>46167</v>
      </c>
      <c r="D31" s="17" t="n">
        <v>21.1</v>
      </c>
      <c r="E31" s="17" t="n">
        <v>16.8</v>
      </c>
      <c r="F31" s="15" t="inlineStr">
        <is>
          <t>HAYIR</t>
        </is>
      </c>
      <c r="G31" s="16" t="n">
        <v>86</v>
      </c>
      <c r="H31" s="15" t="inlineStr">
        <is>
          <t>TOHUM</t>
        </is>
      </c>
      <c r="I31" s="19">
        <f>IF($A31="","",IFERROR(SUMIF(tblVarliklar[VarlikId],$B31,tblVarliklar[HedefSagimLt_lt]),ssy_varsayilanHedefLt))</f>
        <v/>
      </c>
      <c r="J31" s="19">
        <f>IF($A31="","",$D31-$I31)</f>
        <v/>
      </c>
      <c r="K31" s="19">
        <f>IF(OR($A31="",$I31=0),"",$J31/$I31)</f>
        <v/>
      </c>
      <c r="L31" s="19">
        <f>IF($A31="","",IF($G31&gt;=ssy_esikBuzagiGun,"YAKIN","NORMAL"))</f>
        <v/>
      </c>
      <c r="M31" s="19">
        <f>IF($A31="","",MAX(0,MIN(100,ssy_kaliteTaban-IF($D31&lt;ssy_esikSagimLt,ssy_kaliteCeza,0)-IF($L31="YAKIN",ssy_kaliteSapma,0)-IF($F31="EVET",0,0)-IF($P31="YETIM",ssy_kaliteCeza,0))))</f>
        <v/>
      </c>
      <c r="N31" s="19">
        <f>IF($A31="","",IF(OR($D31&lt;ssy_esikSagimLt,$G31&gt;=ssy_esikBuzagiGun,$M31&lt;ssy_esikSaglik),"ALARM","UYGUN"))</f>
        <v/>
      </c>
      <c r="O31" s="19">
        <f>IF($A31="","",1)</f>
        <v/>
      </c>
      <c r="P31" s="19">
        <f>IF($A31="","",IF(OR($B31="",COUNTIF(tblVarliklar[VarlikId],$B31)=0),"YETIM","TAMAM"))</f>
        <v/>
      </c>
    </row>
    <row r="32">
      <c r="A32" s="15" t="inlineStr">
        <is>
          <t>SSY-00027</t>
        </is>
      </c>
      <c r="B32" s="15" t="inlineStr">
        <is>
          <t>INK-00003</t>
        </is>
      </c>
      <c r="C32" s="60" t="n">
        <v>46164</v>
      </c>
      <c r="D32" s="17" t="n">
        <v>27.3</v>
      </c>
      <c r="E32" s="17" t="n">
        <v>18.5</v>
      </c>
      <c r="F32" s="15" t="inlineStr">
        <is>
          <t>HAYIR</t>
        </is>
      </c>
      <c r="G32" s="16" t="n">
        <v>0</v>
      </c>
      <c r="H32" s="15" t="inlineStr">
        <is>
          <t>GEBELIK</t>
        </is>
      </c>
      <c r="I32" s="19">
        <f>IF($A32="","",IFERROR(SUMIF(tblVarliklar[VarlikId],$B32,tblVarliklar[HedefSagimLt_lt]),ssy_varsayilanHedefLt))</f>
        <v/>
      </c>
      <c r="J32" s="19">
        <f>IF($A32="","",$D32-$I32)</f>
        <v/>
      </c>
      <c r="K32" s="19">
        <f>IF(OR($A32="",$I32=0),"",$J32/$I32)</f>
        <v/>
      </c>
      <c r="L32" s="19">
        <f>IF($A32="","",IF($G32&gt;=ssy_esikBuzagiGun,"YAKIN","NORMAL"))</f>
        <v/>
      </c>
      <c r="M32" s="19">
        <f>IF($A32="","",MAX(0,MIN(100,ssy_kaliteTaban-IF($D32&lt;ssy_esikSagimLt,ssy_kaliteCeza,0)-IF($L32="YAKIN",ssy_kaliteSapma,0)-IF($F32="EVET",0,0)-IF($P32="YETIM",ssy_kaliteCeza,0))))</f>
        <v/>
      </c>
      <c r="N32" s="19">
        <f>IF($A32="","",IF(OR($D32&lt;ssy_esikSagimLt,$G32&gt;=ssy_esikBuzagiGun,$M32&lt;ssy_esikSaglik),"ALARM","UYGUN"))</f>
        <v/>
      </c>
      <c r="O32" s="19">
        <f>IF($A32="","",1)</f>
        <v/>
      </c>
      <c r="P32" s="19">
        <f>IF($A32="","",IF(OR($B32="",COUNTIF(tblVarliklar[VarlikId],$B32)=0),"YETIM","TAMAM"))</f>
        <v/>
      </c>
    </row>
    <row r="33">
      <c r="A33" s="15" t="inlineStr">
        <is>
          <t>SSY-00028</t>
        </is>
      </c>
      <c r="B33" s="15" t="inlineStr">
        <is>
          <t>INK-00004</t>
        </is>
      </c>
      <c r="C33" s="60" t="n">
        <v>46161</v>
      </c>
      <c r="D33" s="17" t="n">
        <v>16.9</v>
      </c>
      <c r="E33" s="17" t="n">
        <v>17.7</v>
      </c>
      <c r="F33" s="15" t="inlineStr">
        <is>
          <t>EVET</t>
        </is>
      </c>
      <c r="G33" s="16" t="n">
        <v>275</v>
      </c>
      <c r="H33" s="15" t="inlineStr">
        <is>
          <t>BUZAGILAMA</t>
        </is>
      </c>
      <c r="I33" s="19">
        <f>IF($A33="","",IFERROR(SUMIF(tblVarliklar[VarlikId],$B33,tblVarliklar[HedefSagimLt_lt]),ssy_varsayilanHedefLt))</f>
        <v/>
      </c>
      <c r="J33" s="19">
        <f>IF($A33="","",$D33-$I33)</f>
        <v/>
      </c>
      <c r="K33" s="19">
        <f>IF(OR($A33="",$I33=0),"",$J33/$I33)</f>
        <v/>
      </c>
      <c r="L33" s="19">
        <f>IF($A33="","",IF($G33&gt;=ssy_esikBuzagiGun,"YAKIN","NORMAL"))</f>
        <v/>
      </c>
      <c r="M33" s="19">
        <f>IF($A33="","",MAX(0,MIN(100,ssy_kaliteTaban-IF($D33&lt;ssy_esikSagimLt,ssy_kaliteCeza,0)-IF($L33="YAKIN",ssy_kaliteSapma,0)-IF($F33="EVET",0,0)-IF($P33="YETIM",ssy_kaliteCeza,0))))</f>
        <v/>
      </c>
      <c r="N33" s="19">
        <f>IF($A33="","",IF(OR($D33&lt;ssy_esikSagimLt,$G33&gt;=ssy_esikBuzagiGun,$M33&lt;ssy_esikSaglik),"ALARM","UYGUN"))</f>
        <v/>
      </c>
      <c r="O33" s="19">
        <f>IF($A33="","",1)</f>
        <v/>
      </c>
      <c r="P33" s="19">
        <f>IF($A33="","",IF(OR($B33="",COUNTIF(tblVarliklar[VarlikId],$B33)=0),"YETIM","TAMAM"))</f>
        <v/>
      </c>
    </row>
    <row r="34">
      <c r="A34" s="15" t="inlineStr">
        <is>
          <t>SSY-00029</t>
        </is>
      </c>
      <c r="B34" s="15" t="inlineStr">
        <is>
          <t>INK-00005</t>
        </is>
      </c>
      <c r="C34" s="60" t="n">
        <v>46158</v>
      </c>
      <c r="D34" s="17" t="n">
        <v>25.2</v>
      </c>
      <c r="E34" s="17" t="n">
        <v>19.8</v>
      </c>
      <c r="F34" s="15" t="inlineStr">
        <is>
          <t>HAYIR</t>
        </is>
      </c>
      <c r="G34" s="16" t="n">
        <v>119</v>
      </c>
      <c r="H34" s="15" t="inlineStr">
        <is>
          <t>DIGER</t>
        </is>
      </c>
      <c r="I34" s="19">
        <f>IF($A34="","",IFERROR(SUMIF(tblVarliklar[VarlikId],$B34,tblVarliklar[HedefSagimLt_lt]),ssy_varsayilanHedefLt))</f>
        <v/>
      </c>
      <c r="J34" s="19">
        <f>IF($A34="","",$D34-$I34)</f>
        <v/>
      </c>
      <c r="K34" s="19">
        <f>IF(OR($A34="",$I34=0),"",$J34/$I34)</f>
        <v/>
      </c>
      <c r="L34" s="19">
        <f>IF($A34="","",IF($G34&gt;=ssy_esikBuzagiGun,"YAKIN","NORMAL"))</f>
        <v/>
      </c>
      <c r="M34" s="19">
        <f>IF($A34="","",MAX(0,MIN(100,ssy_kaliteTaban-IF($D34&lt;ssy_esikSagimLt,ssy_kaliteCeza,0)-IF($L34="YAKIN",ssy_kaliteSapma,0)-IF($F34="EVET",0,0)-IF($P34="YETIM",ssy_kaliteCeza,0))))</f>
        <v/>
      </c>
      <c r="N34" s="19">
        <f>IF($A34="","",IF(OR($D34&lt;ssy_esikSagimLt,$G34&gt;=ssy_esikBuzagiGun,$M34&lt;ssy_esikSaglik),"ALARM","UYGUN"))</f>
        <v/>
      </c>
      <c r="O34" s="19">
        <f>IF($A34="","",1)</f>
        <v/>
      </c>
      <c r="P34" s="19">
        <f>IF($A34="","",IF(OR($B34="",COUNTIF(tblVarliklar[VarlikId],$B34)=0),"YETIM","TAMAM"))</f>
        <v/>
      </c>
    </row>
    <row r="35">
      <c r="A35" s="15" t="inlineStr">
        <is>
          <t>SSY-00030</t>
        </is>
      </c>
      <c r="B35" s="15" t="inlineStr"/>
      <c r="C35" s="60" t="n">
        <v>46155</v>
      </c>
      <c r="D35" s="17" t="n">
        <v>21.2</v>
      </c>
      <c r="E35" s="17" t="n">
        <v>15.2</v>
      </c>
      <c r="F35" s="15" t="inlineStr">
        <is>
          <t>HAYIR</t>
        </is>
      </c>
      <c r="G35" s="16" t="n">
        <v>130</v>
      </c>
      <c r="H35" s="15" t="inlineStr">
        <is>
          <t>SAGIM</t>
        </is>
      </c>
      <c r="I35" s="19">
        <f>IF($A35="","",IFERROR(SUMIF(tblVarliklar[VarlikId],$B35,tblVarliklar[HedefSagimLt_lt]),ssy_varsayilanHedefLt))</f>
        <v/>
      </c>
      <c r="J35" s="19">
        <f>IF($A35="","",$D35-$I35)</f>
        <v/>
      </c>
      <c r="K35" s="19">
        <f>IF(OR($A35="",$I35=0),"",$J35/$I35)</f>
        <v/>
      </c>
      <c r="L35" s="19">
        <f>IF($A35="","",IF($G35&gt;=ssy_esikBuzagiGun,"YAKIN","NORMAL"))</f>
        <v/>
      </c>
      <c r="M35" s="19">
        <f>IF($A35="","",MAX(0,MIN(100,ssy_kaliteTaban-IF($D35&lt;ssy_esikSagimLt,ssy_kaliteCeza,0)-IF($L35="YAKIN",ssy_kaliteSapma,0)-IF($F35="EVET",0,0)-IF($P35="YETIM",ssy_kaliteCeza,0))))</f>
        <v/>
      </c>
      <c r="N35" s="19">
        <f>IF($A35="","",IF(OR($D35&lt;ssy_esikSagimLt,$G35&gt;=ssy_esikBuzagiGun,$M35&lt;ssy_esikSaglik),"ALARM","UYGUN"))</f>
        <v/>
      </c>
      <c r="O35" s="19">
        <f>IF($A35="","",1)</f>
        <v/>
      </c>
      <c r="P35" s="19">
        <f>IF($A35="","",IF(OR($B35="",COUNTIF(tblVarliklar[VarlikId],$B35)=0),"YETIM","TAMAM"))</f>
        <v/>
      </c>
    </row>
    <row r="36">
      <c r="A36" s="15" t="inlineStr">
        <is>
          <t>SSY-00031</t>
        </is>
      </c>
      <c r="B36" s="15" t="inlineStr">
        <is>
          <t>INK-00007</t>
        </is>
      </c>
      <c r="C36" s="60" t="n">
        <v>46152</v>
      </c>
      <c r="D36" s="17" t="n">
        <v>28.2</v>
      </c>
      <c r="E36" s="17" t="n">
        <v>17</v>
      </c>
      <c r="F36" s="15" t="inlineStr">
        <is>
          <t>HAYIR</t>
        </is>
      </c>
      <c r="G36" s="16" t="n">
        <v>141</v>
      </c>
      <c r="H36" s="15" t="inlineStr">
        <is>
          <t>KIZGINLIK</t>
        </is>
      </c>
      <c r="I36" s="19">
        <f>IF($A36="","",IFERROR(SUMIF(tblVarliklar[VarlikId],$B36,tblVarliklar[HedefSagimLt_lt]),ssy_varsayilanHedefLt))</f>
        <v/>
      </c>
      <c r="J36" s="19">
        <f>IF($A36="","",$D36-$I36)</f>
        <v/>
      </c>
      <c r="K36" s="19">
        <f>IF(OR($A36="",$I36=0),"",$J36/$I36)</f>
        <v/>
      </c>
      <c r="L36" s="19">
        <f>IF($A36="","",IF($G36&gt;=ssy_esikBuzagiGun,"YAKIN","NORMAL"))</f>
        <v/>
      </c>
      <c r="M36" s="19">
        <f>IF($A36="","",MAX(0,MIN(100,ssy_kaliteTaban-IF($D36&lt;ssy_esikSagimLt,ssy_kaliteCeza,0)-IF($L36="YAKIN",ssy_kaliteSapma,0)-IF($F36="EVET",0,0)-IF($P36="YETIM",ssy_kaliteCeza,0))))</f>
        <v/>
      </c>
      <c r="N36" s="19">
        <f>IF($A36="","",IF(OR($D36&lt;ssy_esikSagimLt,$G36&gt;=ssy_esikBuzagiGun,$M36&lt;ssy_esikSaglik),"ALARM","UYGUN"))</f>
        <v/>
      </c>
      <c r="O36" s="19">
        <f>IF($A36="","",1)</f>
        <v/>
      </c>
      <c r="P36" s="19">
        <f>IF($A36="","",IF(OR($B36="",COUNTIF(tblVarliklar[VarlikId],$B36)=0),"YETIM","TAMAM"))</f>
        <v/>
      </c>
    </row>
    <row r="37">
      <c r="A37" s="15" t="inlineStr">
        <is>
          <t>SSY-00032</t>
        </is>
      </c>
      <c r="B37" s="15" t="inlineStr">
        <is>
          <t>INK-00008</t>
        </is>
      </c>
      <c r="C37" s="60" t="n">
        <v>46149</v>
      </c>
      <c r="D37" s="17" t="n">
        <v>18.2</v>
      </c>
      <c r="E37" s="17" t="n">
        <v>16.3</v>
      </c>
      <c r="F37" s="15" t="inlineStr">
        <is>
          <t>HAYIR</t>
        </is>
      </c>
      <c r="G37" s="16" t="n">
        <v>152</v>
      </c>
      <c r="H37" s="15" t="inlineStr">
        <is>
          <t>TOHUM</t>
        </is>
      </c>
      <c r="I37" s="19">
        <f>IF($A37="","",IFERROR(SUMIF(tblVarliklar[VarlikId],$B37,tblVarliklar[HedefSagimLt_lt]),ssy_varsayilanHedefLt))</f>
        <v/>
      </c>
      <c r="J37" s="19">
        <f>IF($A37="","",$D37-$I37)</f>
        <v/>
      </c>
      <c r="K37" s="19">
        <f>IF(OR($A37="",$I37=0),"",$J37/$I37)</f>
        <v/>
      </c>
      <c r="L37" s="19">
        <f>IF($A37="","",IF($G37&gt;=ssy_esikBuzagiGun,"YAKIN","NORMAL"))</f>
        <v/>
      </c>
      <c r="M37" s="19">
        <f>IF($A37="","",MAX(0,MIN(100,ssy_kaliteTaban-IF($D37&lt;ssy_esikSagimLt,ssy_kaliteCeza,0)-IF($L37="YAKIN",ssy_kaliteSapma,0)-IF($F37="EVET",0,0)-IF($P37="YETIM",ssy_kaliteCeza,0))))</f>
        <v/>
      </c>
      <c r="N37" s="19">
        <f>IF($A37="","",IF(OR($D37&lt;ssy_esikSagimLt,$G37&gt;=ssy_esikBuzagiGun,$M37&lt;ssy_esikSaglik),"ALARM","UYGUN"))</f>
        <v/>
      </c>
      <c r="O37" s="19">
        <f>IF($A37="","",1)</f>
        <v/>
      </c>
      <c r="P37" s="19">
        <f>IF($A37="","",IF(OR($B37="",COUNTIF(tblVarliklar[VarlikId],$B37)=0),"YETIM","TAMAM"))</f>
        <v/>
      </c>
    </row>
    <row r="38">
      <c r="A38" s="15" t="inlineStr">
        <is>
          <t>SSY-00033</t>
        </is>
      </c>
      <c r="B38" s="15" t="inlineStr">
        <is>
          <t>INK-99999</t>
        </is>
      </c>
      <c r="C38" s="60" t="n">
        <v>46146</v>
      </c>
      <c r="D38" s="17" t="n">
        <v>26.3</v>
      </c>
      <c r="E38" s="17" t="n">
        <v>18.3</v>
      </c>
      <c r="F38" s="15" t="inlineStr">
        <is>
          <t>HAYIR</t>
        </is>
      </c>
      <c r="G38" s="16" t="n">
        <v>163</v>
      </c>
      <c r="H38" s="15" t="inlineStr">
        <is>
          <t>GEBELIK</t>
        </is>
      </c>
      <c r="I38" s="19">
        <f>IF($A38="","",IFERROR(SUMIF(tblVarliklar[VarlikId],$B38,tblVarliklar[HedefSagimLt_lt]),ssy_varsayilanHedefLt))</f>
        <v/>
      </c>
      <c r="J38" s="19">
        <f>IF($A38="","",$D38-$I38)</f>
        <v/>
      </c>
      <c r="K38" s="19">
        <f>IF(OR($A38="",$I38=0),"",$J38/$I38)</f>
        <v/>
      </c>
      <c r="L38" s="19">
        <f>IF($A38="","",IF($G38&gt;=ssy_esikBuzagiGun,"YAKIN","NORMAL"))</f>
        <v/>
      </c>
      <c r="M38" s="19">
        <f>IF($A38="","",MAX(0,MIN(100,ssy_kaliteTaban-IF($D38&lt;ssy_esikSagimLt,ssy_kaliteCeza,0)-IF($L38="YAKIN",ssy_kaliteSapma,0)-IF($F38="EVET",0,0)-IF($P38="YETIM",ssy_kaliteCeza,0))))</f>
        <v/>
      </c>
      <c r="N38" s="19">
        <f>IF($A38="","",IF(OR($D38&lt;ssy_esikSagimLt,$G38&gt;=ssy_esikBuzagiGun,$M38&lt;ssy_esikSaglik),"ALARM","UYGUN"))</f>
        <v/>
      </c>
      <c r="O38" s="19">
        <f>IF($A38="","",1)</f>
        <v/>
      </c>
      <c r="P38" s="19">
        <f>IF($A38="","",IF(OR($B38="",COUNTIF(tblVarliklar[VarlikId],$B38)=0),"YETIM","TAMAM"))</f>
        <v/>
      </c>
    </row>
    <row r="39">
      <c r="A39" s="15" t="inlineStr">
        <is>
          <t>SSY-00034</t>
        </is>
      </c>
      <c r="B39" s="15" t="inlineStr">
        <is>
          <t>INK-00002</t>
        </is>
      </c>
      <c r="C39" s="60" t="n">
        <v>46143</v>
      </c>
      <c r="D39" s="17" t="n">
        <v>23.3</v>
      </c>
      <c r="E39" s="17" t="n">
        <v>18.7</v>
      </c>
      <c r="F39" s="15" t="inlineStr">
        <is>
          <t>HAYIR</t>
        </is>
      </c>
      <c r="G39" s="16" t="n">
        <v>174</v>
      </c>
      <c r="H39" s="15" t="inlineStr">
        <is>
          <t>BUZAGILAMA</t>
        </is>
      </c>
      <c r="I39" s="19">
        <f>IF($A39="","",IFERROR(SUMIF(tblVarliklar[VarlikId],$B39,tblVarliklar[HedefSagimLt_lt]),ssy_varsayilanHedefLt))</f>
        <v/>
      </c>
      <c r="J39" s="19">
        <f>IF($A39="","",$D39-$I39)</f>
        <v/>
      </c>
      <c r="K39" s="19">
        <f>IF(OR($A39="",$I39=0),"",$J39/$I39)</f>
        <v/>
      </c>
      <c r="L39" s="19">
        <f>IF($A39="","",IF($G39&gt;=ssy_esikBuzagiGun,"YAKIN","NORMAL"))</f>
        <v/>
      </c>
      <c r="M39" s="19">
        <f>IF($A39="","",MAX(0,MIN(100,ssy_kaliteTaban-IF($D39&lt;ssy_esikSagimLt,ssy_kaliteCeza,0)-IF($L39="YAKIN",ssy_kaliteSapma,0)-IF($F39="EVET",0,0)-IF($P39="YETIM",ssy_kaliteCeza,0))))</f>
        <v/>
      </c>
      <c r="N39" s="19">
        <f>IF($A39="","",IF(OR($D39&lt;ssy_esikSagimLt,$G39&gt;=ssy_esikBuzagiGun,$M39&lt;ssy_esikSaglik),"ALARM","UYGUN"))</f>
        <v/>
      </c>
      <c r="O39" s="19">
        <f>IF($A39="","",1)</f>
        <v/>
      </c>
      <c r="P39" s="19">
        <f>IF($A39="","",IF(OR($B39="",COUNTIF(tblVarliklar[VarlikId],$B39)=0),"YETIM","TAMAM"))</f>
        <v/>
      </c>
    </row>
    <row r="40">
      <c r="A40" s="15" t="inlineStr">
        <is>
          <t>SSY-00035</t>
        </is>
      </c>
      <c r="B40" s="15" t="inlineStr">
        <is>
          <t>INK-00003</t>
        </is>
      </c>
      <c r="C40" s="60" t="n">
        <v>46140</v>
      </c>
      <c r="D40" s="17" t="n">
        <v>25.5</v>
      </c>
      <c r="E40" s="17" t="n">
        <v>19.8</v>
      </c>
      <c r="F40" s="15" t="inlineStr">
        <is>
          <t>EVET</t>
        </is>
      </c>
      <c r="G40" s="16" t="n">
        <v>185</v>
      </c>
      <c r="H40" s="15" t="inlineStr">
        <is>
          <t>DIGER</t>
        </is>
      </c>
      <c r="I40" s="19">
        <f>IF($A40="","",IFERROR(SUMIF(tblVarliklar[VarlikId],$B40,tblVarliklar[HedefSagimLt_lt]),ssy_varsayilanHedefLt))</f>
        <v/>
      </c>
      <c r="J40" s="19">
        <f>IF($A40="","",$D40-$I40)</f>
        <v/>
      </c>
      <c r="K40" s="19">
        <f>IF(OR($A40="",$I40=0),"",$J40/$I40)</f>
        <v/>
      </c>
      <c r="L40" s="19">
        <f>IF($A40="","",IF($G40&gt;=ssy_esikBuzagiGun,"YAKIN","NORMAL"))</f>
        <v/>
      </c>
      <c r="M40" s="19">
        <f>IF($A40="","",MAX(0,MIN(100,ssy_kaliteTaban-IF($D40&lt;ssy_esikSagimLt,ssy_kaliteCeza,0)-IF($L40="YAKIN",ssy_kaliteSapma,0)-IF($F40="EVET",0,0)-IF($P40="YETIM",ssy_kaliteCeza,0))))</f>
        <v/>
      </c>
      <c r="N40" s="19">
        <f>IF($A40="","",IF(OR($D40&lt;ssy_esikSagimLt,$G40&gt;=ssy_esikBuzagiGun,$M40&lt;ssy_esikSaglik),"ALARM","UYGUN"))</f>
        <v/>
      </c>
      <c r="O40" s="19">
        <f>IF($A40="","",1)</f>
        <v/>
      </c>
      <c r="P40" s="19">
        <f>IF($A40="","",IF(OR($B40="",COUNTIF(tblVarliklar[VarlikId],$B40)=0),"YETIM","TAMAM"))</f>
        <v/>
      </c>
    </row>
    <row r="41">
      <c r="A41" s="15" t="inlineStr">
        <is>
          <t>SSY-00036</t>
        </is>
      </c>
      <c r="B41" s="15" t="inlineStr">
        <is>
          <t>INK-00004</t>
        </is>
      </c>
      <c r="C41" s="60" t="n">
        <v>46137</v>
      </c>
      <c r="D41" s="17" t="n">
        <v>15.8</v>
      </c>
      <c r="E41" s="17" t="n">
        <v>14.4</v>
      </c>
      <c r="F41" s="15" t="inlineStr">
        <is>
          <t>HAYIR</t>
        </is>
      </c>
      <c r="G41" s="16" t="n">
        <v>0</v>
      </c>
      <c r="H41" s="15" t="inlineStr">
        <is>
          <t>SAGIM</t>
        </is>
      </c>
      <c r="I41" s="19">
        <f>IF($A41="","",IFERROR(SUMIF(tblVarliklar[VarlikId],$B41,tblVarliklar[HedefSagimLt_lt]),ssy_varsayilanHedefLt))</f>
        <v/>
      </c>
      <c r="J41" s="19">
        <f>IF($A41="","",$D41-$I41)</f>
        <v/>
      </c>
      <c r="K41" s="19">
        <f>IF(OR($A41="",$I41=0),"",$J41/$I41)</f>
        <v/>
      </c>
      <c r="L41" s="19">
        <f>IF($A41="","",IF($G41&gt;=ssy_esikBuzagiGun,"YAKIN","NORMAL"))</f>
        <v/>
      </c>
      <c r="M41" s="19">
        <f>IF($A41="","",MAX(0,MIN(100,ssy_kaliteTaban-IF($D41&lt;ssy_esikSagimLt,ssy_kaliteCeza,0)-IF($L41="YAKIN",ssy_kaliteSapma,0)-IF($F41="EVET",0,0)-IF($P41="YETIM",ssy_kaliteCeza,0))))</f>
        <v/>
      </c>
      <c r="N41" s="19">
        <f>IF($A41="","",IF(OR($D41&lt;ssy_esikSagimLt,$G41&gt;=ssy_esikBuzagiGun,$M41&lt;ssy_esikSaglik),"ALARM","UYGUN"))</f>
        <v/>
      </c>
      <c r="O41" s="19">
        <f>IF($A41="","",1)</f>
        <v/>
      </c>
      <c r="P41" s="19">
        <f>IF($A41="","",IF(OR($B41="",COUNTIF(tblVarliklar[VarlikId],$B41)=0),"YETIM","TAMAM"))</f>
        <v/>
      </c>
    </row>
    <row r="42">
      <c r="A42" s="15" t="n"/>
      <c r="B42" s="15" t="n"/>
      <c r="C42" s="60" t="n"/>
      <c r="D42" s="17" t="n"/>
      <c r="E42" s="17" t="n"/>
      <c r="F42" s="15" t="n"/>
      <c r="G42" s="16" t="n"/>
      <c r="H42" s="15" t="n"/>
      <c r="I42" s="19">
        <f>IF($A42="","",IFERROR(SUMIF(tblVarliklar[VarlikId],$B42,tblVarliklar[HedefSagimLt_lt]),ssy_varsayilanHedefLt))</f>
        <v/>
      </c>
      <c r="J42" s="19">
        <f>IF($A42="","",$D42-$I42)</f>
        <v/>
      </c>
      <c r="K42" s="19">
        <f>IF(OR($A42="",$I42=0),"",$J42/$I42)</f>
        <v/>
      </c>
      <c r="L42" s="19">
        <f>IF($A42="","",IF($G42&gt;=ssy_esikBuzagiGun,"YAKIN","NORMAL"))</f>
        <v/>
      </c>
      <c r="M42" s="19">
        <f>IF($A42="","",MAX(0,MIN(100,ssy_kaliteTaban-IF($D42&lt;ssy_esikSagimLt,ssy_kaliteCeza,0)-IF($L42="YAKIN",ssy_kaliteSapma,0)-IF($F42="EVET",0,0)-IF($P42="YETIM",ssy_kaliteCeza,0))))</f>
        <v/>
      </c>
      <c r="N42" s="19">
        <f>IF($A42="","",IF(OR($D42&lt;ssy_esikSagimLt,$G42&gt;=ssy_esikBuzagiGun,$M42&lt;ssy_esikSaglik),"ALARM","UYGUN"))</f>
        <v/>
      </c>
      <c r="O42" s="19">
        <f>IF($A42="","",1)</f>
        <v/>
      </c>
      <c r="P42" s="19">
        <f>IF($A42="","",IF(OR($B42="",COUNTIF(tblVarliklar[VarlikId],$B42)=0),"YETIM","TAMAM"))</f>
        <v/>
      </c>
    </row>
    <row r="43">
      <c r="A43" s="15" t="n"/>
      <c r="B43" s="15" t="n"/>
      <c r="C43" s="60" t="n"/>
      <c r="D43" s="17" t="n"/>
      <c r="E43" s="17" t="n"/>
      <c r="F43" s="15" t="n"/>
      <c r="G43" s="16" t="n"/>
      <c r="H43" s="15" t="n"/>
      <c r="I43" s="19">
        <f>IF($A43="","",IFERROR(SUMIF(tblVarliklar[VarlikId],$B43,tblVarliklar[HedefSagimLt_lt]),ssy_varsayilanHedefLt))</f>
        <v/>
      </c>
      <c r="J43" s="19">
        <f>IF($A43="","",$D43-$I43)</f>
        <v/>
      </c>
      <c r="K43" s="19">
        <f>IF(OR($A43="",$I43=0),"",$J43/$I43)</f>
        <v/>
      </c>
      <c r="L43" s="19">
        <f>IF($A43="","",IF($G43&gt;=ssy_esikBuzagiGun,"YAKIN","NORMAL"))</f>
        <v/>
      </c>
      <c r="M43" s="19">
        <f>IF($A43="","",MAX(0,MIN(100,ssy_kaliteTaban-IF($D43&lt;ssy_esikSagimLt,ssy_kaliteCeza,0)-IF($L43="YAKIN",ssy_kaliteSapma,0)-IF($F43="EVET",0,0)-IF($P43="YETIM",ssy_kaliteCeza,0))))</f>
        <v/>
      </c>
      <c r="N43" s="19">
        <f>IF($A43="","",IF(OR($D43&lt;ssy_esikSagimLt,$G43&gt;=ssy_esikBuzagiGun,$M43&lt;ssy_esikSaglik),"ALARM","UYGUN"))</f>
        <v/>
      </c>
      <c r="O43" s="19">
        <f>IF($A43="","",1)</f>
        <v/>
      </c>
      <c r="P43" s="19">
        <f>IF($A43="","",IF(OR($B43="",COUNTIF(tblVarliklar[VarlikId],$B43)=0),"YETIM","TAMAM"))</f>
        <v/>
      </c>
    </row>
    <row r="44">
      <c r="A44" s="15" t="n"/>
      <c r="B44" s="15" t="n"/>
      <c r="C44" s="60" t="n"/>
      <c r="D44" s="17" t="n"/>
      <c r="E44" s="17" t="n"/>
      <c r="F44" s="15" t="n"/>
      <c r="G44" s="16" t="n"/>
      <c r="H44" s="15" t="n"/>
      <c r="I44" s="19">
        <f>IF($A44="","",IFERROR(SUMIF(tblVarliklar[VarlikId],$B44,tblVarliklar[HedefSagimLt_lt]),ssy_varsayilanHedefLt))</f>
        <v/>
      </c>
      <c r="J44" s="19">
        <f>IF($A44="","",$D44-$I44)</f>
        <v/>
      </c>
      <c r="K44" s="19">
        <f>IF(OR($A44="",$I44=0),"",$J44/$I44)</f>
        <v/>
      </c>
      <c r="L44" s="19">
        <f>IF($A44="","",IF($G44&gt;=ssy_esikBuzagiGun,"YAKIN","NORMAL"))</f>
        <v/>
      </c>
      <c r="M44" s="19">
        <f>IF($A44="","",MAX(0,MIN(100,ssy_kaliteTaban-IF($D44&lt;ssy_esikSagimLt,ssy_kaliteCeza,0)-IF($L44="YAKIN",ssy_kaliteSapma,0)-IF($F44="EVET",0,0)-IF($P44="YETIM",ssy_kaliteCeza,0))))</f>
        <v/>
      </c>
      <c r="N44" s="19">
        <f>IF($A44="","",IF(OR($D44&lt;ssy_esikSagimLt,$G44&gt;=ssy_esikBuzagiGun,$M44&lt;ssy_esikSaglik),"ALARM","UYGUN"))</f>
        <v/>
      </c>
      <c r="O44" s="19">
        <f>IF($A44="","",1)</f>
        <v/>
      </c>
      <c r="P44" s="19">
        <f>IF($A44="","",IF(OR($B44="",COUNTIF(tblVarliklar[VarlikId],$B44)=0),"YETIM","TAMAM"))</f>
        <v/>
      </c>
    </row>
    <row r="45">
      <c r="A45" s="15" t="n"/>
      <c r="B45" s="15" t="n"/>
      <c r="C45" s="60" t="n"/>
      <c r="D45" s="17" t="n"/>
      <c r="E45" s="17" t="n"/>
      <c r="F45" s="15" t="n"/>
      <c r="G45" s="16" t="n"/>
      <c r="H45" s="15" t="n"/>
      <c r="I45" s="19">
        <f>IF($A45="","",IFERROR(SUMIF(tblVarliklar[VarlikId],$B45,tblVarliklar[HedefSagimLt_lt]),ssy_varsayilanHedefLt))</f>
        <v/>
      </c>
      <c r="J45" s="19">
        <f>IF($A45="","",$D45-$I45)</f>
        <v/>
      </c>
      <c r="K45" s="19">
        <f>IF(OR($A45="",$I45=0),"",$J45/$I45)</f>
        <v/>
      </c>
      <c r="L45" s="19">
        <f>IF($A45="","",IF($G45&gt;=ssy_esikBuzagiGun,"YAKIN","NORMAL"))</f>
        <v/>
      </c>
      <c r="M45" s="19">
        <f>IF($A45="","",MAX(0,MIN(100,ssy_kaliteTaban-IF($D45&lt;ssy_esikSagimLt,ssy_kaliteCeza,0)-IF($L45="YAKIN",ssy_kaliteSapma,0)-IF($F45="EVET",0,0)-IF($P45="YETIM",ssy_kaliteCeza,0))))</f>
        <v/>
      </c>
      <c r="N45" s="19">
        <f>IF($A45="","",IF(OR($D45&lt;ssy_esikSagimLt,$G45&gt;=ssy_esikBuzagiGun,$M45&lt;ssy_esikSaglik),"ALARM","UYGUN"))</f>
        <v/>
      </c>
      <c r="O45" s="19">
        <f>IF($A45="","",1)</f>
        <v/>
      </c>
      <c r="P45" s="19">
        <f>IF($A45="","",IF(OR($B45="",COUNTIF(tblVarliklar[VarlikId],$B45)=0),"YETIM","TAMAM"))</f>
        <v/>
      </c>
    </row>
    <row r="46">
      <c r="A46" s="15" t="n"/>
      <c r="B46" s="15" t="n"/>
      <c r="C46" s="60" t="n"/>
      <c r="D46" s="17" t="n"/>
      <c r="E46" s="17" t="n"/>
      <c r="F46" s="15" t="n"/>
      <c r="G46" s="16" t="n"/>
      <c r="H46" s="15" t="n"/>
      <c r="I46" s="19">
        <f>IF($A46="","",IFERROR(SUMIF(tblVarliklar[VarlikId],$B46,tblVarliklar[HedefSagimLt_lt]),ssy_varsayilanHedefLt))</f>
        <v/>
      </c>
      <c r="J46" s="19">
        <f>IF($A46="","",$D46-$I46)</f>
        <v/>
      </c>
      <c r="K46" s="19">
        <f>IF(OR($A46="",$I46=0),"",$J46/$I46)</f>
        <v/>
      </c>
      <c r="L46" s="19">
        <f>IF($A46="","",IF($G46&gt;=ssy_esikBuzagiGun,"YAKIN","NORMAL"))</f>
        <v/>
      </c>
      <c r="M46" s="19">
        <f>IF($A46="","",MAX(0,MIN(100,ssy_kaliteTaban-IF($D46&lt;ssy_esikSagimLt,ssy_kaliteCeza,0)-IF($L46="YAKIN",ssy_kaliteSapma,0)-IF($F46="EVET",0,0)-IF($P46="YETIM",ssy_kaliteCeza,0))))</f>
        <v/>
      </c>
      <c r="N46" s="19">
        <f>IF($A46="","",IF(OR($D46&lt;ssy_esikSagimLt,$G46&gt;=ssy_esikBuzagiGun,$M46&lt;ssy_esikSaglik),"ALARM","UYGUN"))</f>
        <v/>
      </c>
      <c r="O46" s="19">
        <f>IF($A46="","",1)</f>
        <v/>
      </c>
      <c r="P46" s="19">
        <f>IF($A46="","",IF(OR($B46="",COUNTIF(tblVarliklar[VarlikId],$B46)=0),"YETIM","TAMAM"))</f>
        <v/>
      </c>
    </row>
    <row r="47">
      <c r="A47" s="15" t="n"/>
      <c r="B47" s="15" t="n"/>
      <c r="C47" s="60" t="n"/>
      <c r="D47" s="17" t="n"/>
      <c r="E47" s="17" t="n"/>
      <c r="F47" s="15" t="n"/>
      <c r="G47" s="16" t="n"/>
      <c r="H47" s="15" t="n"/>
      <c r="I47" s="19">
        <f>IF($A47="","",IFERROR(SUMIF(tblVarliklar[VarlikId],$B47,tblVarliklar[HedefSagimLt_lt]),ssy_varsayilanHedefLt))</f>
        <v/>
      </c>
      <c r="J47" s="19">
        <f>IF($A47="","",$D47-$I47)</f>
        <v/>
      </c>
      <c r="K47" s="19">
        <f>IF(OR($A47="",$I47=0),"",$J47/$I47)</f>
        <v/>
      </c>
      <c r="L47" s="19">
        <f>IF($A47="","",IF($G47&gt;=ssy_esikBuzagiGun,"YAKIN","NORMAL"))</f>
        <v/>
      </c>
      <c r="M47" s="19">
        <f>IF($A47="","",MAX(0,MIN(100,ssy_kaliteTaban-IF($D47&lt;ssy_esikSagimLt,ssy_kaliteCeza,0)-IF($L47="YAKIN",ssy_kaliteSapma,0)-IF($F47="EVET",0,0)-IF($P47="YETIM",ssy_kaliteCeza,0))))</f>
        <v/>
      </c>
      <c r="N47" s="19">
        <f>IF($A47="","",IF(OR($D47&lt;ssy_esikSagimLt,$G47&gt;=ssy_esikBuzagiGun,$M47&lt;ssy_esikSaglik),"ALARM","UYGUN"))</f>
        <v/>
      </c>
      <c r="O47" s="19">
        <f>IF($A47="","",1)</f>
        <v/>
      </c>
      <c r="P47" s="19">
        <f>IF($A47="","",IF(OR($B47="",COUNTIF(tblVarliklar[VarlikId],$B47)=0),"YETIM","TAMAM"))</f>
        <v/>
      </c>
    </row>
    <row r="48">
      <c r="A48" s="15" t="n"/>
      <c r="B48" s="15" t="n"/>
      <c r="C48" s="60" t="n"/>
      <c r="D48" s="17" t="n"/>
      <c r="E48" s="17" t="n"/>
      <c r="F48" s="15" t="n"/>
      <c r="G48" s="16" t="n"/>
      <c r="H48" s="15" t="n"/>
      <c r="I48" s="19">
        <f>IF($A48="","",IFERROR(SUMIF(tblVarliklar[VarlikId],$B48,tblVarliklar[HedefSagimLt_lt]),ssy_varsayilanHedefLt))</f>
        <v/>
      </c>
      <c r="J48" s="19">
        <f>IF($A48="","",$D48-$I48)</f>
        <v/>
      </c>
      <c r="K48" s="19">
        <f>IF(OR($A48="",$I48=0),"",$J48/$I48)</f>
        <v/>
      </c>
      <c r="L48" s="19">
        <f>IF($A48="","",IF($G48&gt;=ssy_esikBuzagiGun,"YAKIN","NORMAL"))</f>
        <v/>
      </c>
      <c r="M48" s="19">
        <f>IF($A48="","",MAX(0,MIN(100,ssy_kaliteTaban-IF($D48&lt;ssy_esikSagimLt,ssy_kaliteCeza,0)-IF($L48="YAKIN",ssy_kaliteSapma,0)-IF($F48="EVET",0,0)-IF($P48="YETIM",ssy_kaliteCeza,0))))</f>
        <v/>
      </c>
      <c r="N48" s="19">
        <f>IF($A48="","",IF(OR($D48&lt;ssy_esikSagimLt,$G48&gt;=ssy_esikBuzagiGun,$M48&lt;ssy_esikSaglik),"ALARM","UYGUN"))</f>
        <v/>
      </c>
      <c r="O48" s="19">
        <f>IF($A48="","",1)</f>
        <v/>
      </c>
      <c r="P48" s="19">
        <f>IF($A48="","",IF(OR($B48="",COUNTIF(tblVarliklar[VarlikId],$B48)=0),"YETIM","TAMAM"))</f>
        <v/>
      </c>
    </row>
    <row r="49">
      <c r="A49" s="15" t="n"/>
      <c r="B49" s="15" t="n"/>
      <c r="C49" s="60" t="n"/>
      <c r="D49" s="17" t="n"/>
      <c r="E49" s="17" t="n"/>
      <c r="F49" s="15" t="n"/>
      <c r="G49" s="16" t="n"/>
      <c r="H49" s="15" t="n"/>
      <c r="I49" s="19">
        <f>IF($A49="","",IFERROR(SUMIF(tblVarliklar[VarlikId],$B49,tblVarliklar[HedefSagimLt_lt]),ssy_varsayilanHedefLt))</f>
        <v/>
      </c>
      <c r="J49" s="19">
        <f>IF($A49="","",$D49-$I49)</f>
        <v/>
      </c>
      <c r="K49" s="19">
        <f>IF(OR($A49="",$I49=0),"",$J49/$I49)</f>
        <v/>
      </c>
      <c r="L49" s="19">
        <f>IF($A49="","",IF($G49&gt;=ssy_esikBuzagiGun,"YAKIN","NORMAL"))</f>
        <v/>
      </c>
      <c r="M49" s="19">
        <f>IF($A49="","",MAX(0,MIN(100,ssy_kaliteTaban-IF($D49&lt;ssy_esikSagimLt,ssy_kaliteCeza,0)-IF($L49="YAKIN",ssy_kaliteSapma,0)-IF($F49="EVET",0,0)-IF($P49="YETIM",ssy_kaliteCeza,0))))</f>
        <v/>
      </c>
      <c r="N49" s="19">
        <f>IF($A49="","",IF(OR($D49&lt;ssy_esikSagimLt,$G49&gt;=ssy_esikBuzagiGun,$M49&lt;ssy_esikSaglik),"ALARM","UYGUN"))</f>
        <v/>
      </c>
      <c r="O49" s="19">
        <f>IF($A49="","",1)</f>
        <v/>
      </c>
      <c r="P49" s="19">
        <f>IF($A49="","",IF(OR($B49="",COUNTIF(tblVarliklar[VarlikId],$B49)=0),"YETIM","TAMAM"))</f>
        <v/>
      </c>
    </row>
    <row r="50">
      <c r="A50" s="15" t="n"/>
      <c r="B50" s="15" t="n"/>
      <c r="C50" s="60" t="n"/>
      <c r="D50" s="17" t="n"/>
      <c r="E50" s="17" t="n"/>
      <c r="F50" s="15" t="n"/>
      <c r="G50" s="16" t="n"/>
      <c r="H50" s="15" t="n"/>
      <c r="I50" s="19">
        <f>IF($A50="","",IFERROR(SUMIF(tblVarliklar[VarlikId],$B50,tblVarliklar[HedefSagimLt_lt]),ssy_varsayilanHedefLt))</f>
        <v/>
      </c>
      <c r="J50" s="19">
        <f>IF($A50="","",$D50-$I50)</f>
        <v/>
      </c>
      <c r="K50" s="19">
        <f>IF(OR($A50="",$I50=0),"",$J50/$I50)</f>
        <v/>
      </c>
      <c r="L50" s="19">
        <f>IF($A50="","",IF($G50&gt;=ssy_esikBuzagiGun,"YAKIN","NORMAL"))</f>
        <v/>
      </c>
      <c r="M50" s="19">
        <f>IF($A50="","",MAX(0,MIN(100,ssy_kaliteTaban-IF($D50&lt;ssy_esikSagimLt,ssy_kaliteCeza,0)-IF($L50="YAKIN",ssy_kaliteSapma,0)-IF($F50="EVET",0,0)-IF($P50="YETIM",ssy_kaliteCeza,0))))</f>
        <v/>
      </c>
      <c r="N50" s="19">
        <f>IF($A50="","",IF(OR($D50&lt;ssy_esikSagimLt,$G50&gt;=ssy_esikBuzagiGun,$M50&lt;ssy_esikSaglik),"ALARM","UYGUN"))</f>
        <v/>
      </c>
      <c r="O50" s="19">
        <f>IF($A50="","",1)</f>
        <v/>
      </c>
      <c r="P50" s="19">
        <f>IF($A50="","",IF(OR($B50="",COUNTIF(tblVarliklar[VarlikId],$B50)=0),"YETIM","TAMAM"))</f>
        <v/>
      </c>
    </row>
    <row r="51">
      <c r="A51" s="15" t="n"/>
      <c r="B51" s="15" t="n"/>
      <c r="C51" s="60" t="n"/>
      <c r="D51" s="17" t="n"/>
      <c r="E51" s="17" t="n"/>
      <c r="F51" s="15" t="n"/>
      <c r="G51" s="16" t="n"/>
      <c r="H51" s="15" t="n"/>
      <c r="I51" s="19">
        <f>IF($A51="","",IFERROR(SUMIF(tblVarliklar[VarlikId],$B51,tblVarliklar[HedefSagimLt_lt]),ssy_varsayilanHedefLt))</f>
        <v/>
      </c>
      <c r="J51" s="19">
        <f>IF($A51="","",$D51-$I51)</f>
        <v/>
      </c>
      <c r="K51" s="19">
        <f>IF(OR($A51="",$I51=0),"",$J51/$I51)</f>
        <v/>
      </c>
      <c r="L51" s="19">
        <f>IF($A51="","",IF($G51&gt;=ssy_esikBuzagiGun,"YAKIN","NORMAL"))</f>
        <v/>
      </c>
      <c r="M51" s="19">
        <f>IF($A51="","",MAX(0,MIN(100,ssy_kaliteTaban-IF($D51&lt;ssy_esikSagimLt,ssy_kaliteCeza,0)-IF($L51="YAKIN",ssy_kaliteSapma,0)-IF($F51="EVET",0,0)-IF($P51="YETIM",ssy_kaliteCeza,0))))</f>
        <v/>
      </c>
      <c r="N51" s="19">
        <f>IF($A51="","",IF(OR($D51&lt;ssy_esikSagimLt,$G51&gt;=ssy_esikBuzagiGun,$M51&lt;ssy_esikSaglik),"ALARM","UYGUN"))</f>
        <v/>
      </c>
      <c r="O51" s="19">
        <f>IF($A51="","",1)</f>
        <v/>
      </c>
      <c r="P51" s="19">
        <f>IF($A51="","",IF(OR($B51="",COUNTIF(tblVarliklar[VarlikId],$B51)=0),"YETIM","TAMAM"))</f>
        <v/>
      </c>
    </row>
    <row r="52">
      <c r="A52" s="15" t="n"/>
      <c r="B52" s="15" t="n"/>
      <c r="C52" s="60" t="n"/>
      <c r="D52" s="17" t="n"/>
      <c r="E52" s="17" t="n"/>
      <c r="F52" s="15" t="n"/>
      <c r="G52" s="16" t="n"/>
      <c r="H52" s="15" t="n"/>
      <c r="I52" s="19">
        <f>IF($A52="","",IFERROR(SUMIF(tblVarliklar[VarlikId],$B52,tblVarliklar[HedefSagimLt_lt]),ssy_varsayilanHedefLt))</f>
        <v/>
      </c>
      <c r="J52" s="19">
        <f>IF($A52="","",$D52-$I52)</f>
        <v/>
      </c>
      <c r="K52" s="19">
        <f>IF(OR($A52="",$I52=0),"",$J52/$I52)</f>
        <v/>
      </c>
      <c r="L52" s="19">
        <f>IF($A52="","",IF($G52&gt;=ssy_esikBuzagiGun,"YAKIN","NORMAL"))</f>
        <v/>
      </c>
      <c r="M52" s="19">
        <f>IF($A52="","",MAX(0,MIN(100,ssy_kaliteTaban-IF($D52&lt;ssy_esikSagimLt,ssy_kaliteCeza,0)-IF($L52="YAKIN",ssy_kaliteSapma,0)-IF($F52="EVET",0,0)-IF($P52="YETIM",ssy_kaliteCeza,0))))</f>
        <v/>
      </c>
      <c r="N52" s="19">
        <f>IF($A52="","",IF(OR($D52&lt;ssy_esikSagimLt,$G52&gt;=ssy_esikBuzagiGun,$M52&lt;ssy_esikSaglik),"ALARM","UYGUN"))</f>
        <v/>
      </c>
      <c r="O52" s="19">
        <f>IF($A52="","",1)</f>
        <v/>
      </c>
      <c r="P52" s="19">
        <f>IF($A52="","",IF(OR($B52="",COUNTIF(tblVarliklar[VarlikId],$B52)=0),"YETIM","TAMAM"))</f>
        <v/>
      </c>
    </row>
    <row r="53">
      <c r="A53" s="15" t="n"/>
      <c r="B53" s="15" t="n"/>
      <c r="C53" s="60" t="n"/>
      <c r="D53" s="17" t="n"/>
      <c r="E53" s="17" t="n"/>
      <c r="F53" s="15" t="n"/>
      <c r="G53" s="16" t="n"/>
      <c r="H53" s="15" t="n"/>
      <c r="I53" s="19">
        <f>IF($A53="","",IFERROR(SUMIF(tblVarliklar[VarlikId],$B53,tblVarliklar[HedefSagimLt_lt]),ssy_varsayilanHedefLt))</f>
        <v/>
      </c>
      <c r="J53" s="19">
        <f>IF($A53="","",$D53-$I53)</f>
        <v/>
      </c>
      <c r="K53" s="19">
        <f>IF(OR($A53="",$I53=0),"",$J53/$I53)</f>
        <v/>
      </c>
      <c r="L53" s="19">
        <f>IF($A53="","",IF($G53&gt;=ssy_esikBuzagiGun,"YAKIN","NORMAL"))</f>
        <v/>
      </c>
      <c r="M53" s="19">
        <f>IF($A53="","",MAX(0,MIN(100,ssy_kaliteTaban-IF($D53&lt;ssy_esikSagimLt,ssy_kaliteCeza,0)-IF($L53="YAKIN",ssy_kaliteSapma,0)-IF($F53="EVET",0,0)-IF($P53="YETIM",ssy_kaliteCeza,0))))</f>
        <v/>
      </c>
      <c r="N53" s="19">
        <f>IF($A53="","",IF(OR($D53&lt;ssy_esikSagimLt,$G53&gt;=ssy_esikBuzagiGun,$M53&lt;ssy_esikSaglik),"ALARM","UYGUN"))</f>
        <v/>
      </c>
      <c r="O53" s="19">
        <f>IF($A53="","",1)</f>
        <v/>
      </c>
      <c r="P53" s="19">
        <f>IF($A53="","",IF(OR($B53="",COUNTIF(tblVarliklar[VarlikId],$B53)=0),"YETIM","TAMAM"))</f>
        <v/>
      </c>
    </row>
    <row r="54">
      <c r="A54" s="15" t="n"/>
      <c r="B54" s="15" t="n"/>
      <c r="C54" s="60" t="n"/>
      <c r="D54" s="17" t="n"/>
      <c r="E54" s="17" t="n"/>
      <c r="F54" s="15" t="n"/>
      <c r="G54" s="16" t="n"/>
      <c r="H54" s="15" t="n"/>
      <c r="I54" s="19">
        <f>IF($A54="","",IFERROR(SUMIF(tblVarliklar[VarlikId],$B54,tblVarliklar[HedefSagimLt_lt]),ssy_varsayilanHedefLt))</f>
        <v/>
      </c>
      <c r="J54" s="19">
        <f>IF($A54="","",$D54-$I54)</f>
        <v/>
      </c>
      <c r="K54" s="19">
        <f>IF(OR($A54="",$I54=0),"",$J54/$I54)</f>
        <v/>
      </c>
      <c r="L54" s="19">
        <f>IF($A54="","",IF($G54&gt;=ssy_esikBuzagiGun,"YAKIN","NORMAL"))</f>
        <v/>
      </c>
      <c r="M54" s="19">
        <f>IF($A54="","",MAX(0,MIN(100,ssy_kaliteTaban-IF($D54&lt;ssy_esikSagimLt,ssy_kaliteCeza,0)-IF($L54="YAKIN",ssy_kaliteSapma,0)-IF($F54="EVET",0,0)-IF($P54="YETIM",ssy_kaliteCeza,0))))</f>
        <v/>
      </c>
      <c r="N54" s="19">
        <f>IF($A54="","",IF(OR($D54&lt;ssy_esikSagimLt,$G54&gt;=ssy_esikBuzagiGun,$M54&lt;ssy_esikSaglik),"ALARM","UYGUN"))</f>
        <v/>
      </c>
      <c r="O54" s="19">
        <f>IF($A54="","",1)</f>
        <v/>
      </c>
      <c r="P54" s="19">
        <f>IF($A54="","",IF(OR($B54="",COUNTIF(tblVarliklar[VarlikId],$B54)=0),"YETIM","TAMAM"))</f>
        <v/>
      </c>
    </row>
    <row r="55">
      <c r="A55" s="15" t="n"/>
      <c r="B55" s="15" t="n"/>
      <c r="C55" s="60" t="n"/>
      <c r="D55" s="17" t="n"/>
      <c r="E55" s="17" t="n"/>
      <c r="F55" s="15" t="n"/>
      <c r="G55" s="16" t="n"/>
      <c r="H55" s="15" t="n"/>
      <c r="I55" s="19">
        <f>IF($A55="","",IFERROR(SUMIF(tblVarliklar[VarlikId],$B55,tblVarliklar[HedefSagimLt_lt]),ssy_varsayilanHedefLt))</f>
        <v/>
      </c>
      <c r="J55" s="19">
        <f>IF($A55="","",$D55-$I55)</f>
        <v/>
      </c>
      <c r="K55" s="19">
        <f>IF(OR($A55="",$I55=0),"",$J55/$I55)</f>
        <v/>
      </c>
      <c r="L55" s="19">
        <f>IF($A55="","",IF($G55&gt;=ssy_esikBuzagiGun,"YAKIN","NORMAL"))</f>
        <v/>
      </c>
      <c r="M55" s="19">
        <f>IF($A55="","",MAX(0,MIN(100,ssy_kaliteTaban-IF($D55&lt;ssy_esikSagimLt,ssy_kaliteCeza,0)-IF($L55="YAKIN",ssy_kaliteSapma,0)-IF($F55="EVET",0,0)-IF($P55="YETIM",ssy_kaliteCeza,0))))</f>
        <v/>
      </c>
      <c r="N55" s="19">
        <f>IF($A55="","",IF(OR($D55&lt;ssy_esikSagimLt,$G55&gt;=ssy_esikBuzagiGun,$M55&lt;ssy_esikSaglik),"ALARM","UYGUN"))</f>
        <v/>
      </c>
      <c r="O55" s="19">
        <f>IF($A55="","",1)</f>
        <v/>
      </c>
      <c r="P55" s="19">
        <f>IF($A55="","",IF(OR($B55="",COUNTIF(tblVarliklar[VarlikId],$B55)=0),"YETIM","TAMAM"))</f>
        <v/>
      </c>
    </row>
    <row r="56">
      <c r="A56" s="15" t="n"/>
      <c r="B56" s="15" t="n"/>
      <c r="C56" s="60" t="n"/>
      <c r="D56" s="17" t="n"/>
      <c r="E56" s="17" t="n"/>
      <c r="F56" s="15" t="n"/>
      <c r="G56" s="16" t="n"/>
      <c r="H56" s="15" t="n"/>
      <c r="I56" s="19">
        <f>IF($A56="","",IFERROR(SUMIF(tblVarliklar[VarlikId],$B56,tblVarliklar[HedefSagimLt_lt]),ssy_varsayilanHedefLt))</f>
        <v/>
      </c>
      <c r="J56" s="19">
        <f>IF($A56="","",$D56-$I56)</f>
        <v/>
      </c>
      <c r="K56" s="19">
        <f>IF(OR($A56="",$I56=0),"",$J56/$I56)</f>
        <v/>
      </c>
      <c r="L56" s="19">
        <f>IF($A56="","",IF($G56&gt;=ssy_esikBuzagiGun,"YAKIN","NORMAL"))</f>
        <v/>
      </c>
      <c r="M56" s="19">
        <f>IF($A56="","",MAX(0,MIN(100,ssy_kaliteTaban-IF($D56&lt;ssy_esikSagimLt,ssy_kaliteCeza,0)-IF($L56="YAKIN",ssy_kaliteSapma,0)-IF($F56="EVET",0,0)-IF($P56="YETIM",ssy_kaliteCeza,0))))</f>
        <v/>
      </c>
      <c r="N56" s="19">
        <f>IF($A56="","",IF(OR($D56&lt;ssy_esikSagimLt,$G56&gt;=ssy_esikBuzagiGun,$M56&lt;ssy_esikSaglik),"ALARM","UYGUN"))</f>
        <v/>
      </c>
      <c r="O56" s="19">
        <f>IF($A56="","",1)</f>
        <v/>
      </c>
      <c r="P56" s="19">
        <f>IF($A56="","",IF(OR($B56="",COUNTIF(tblVarliklar[VarlikId],$B56)=0),"YETIM","TAMAM"))</f>
        <v/>
      </c>
    </row>
    <row r="57">
      <c r="A57" s="15" t="n"/>
      <c r="B57" s="15" t="n"/>
      <c r="C57" s="60" t="n"/>
      <c r="D57" s="17" t="n"/>
      <c r="E57" s="17" t="n"/>
      <c r="F57" s="15" t="n"/>
      <c r="G57" s="16" t="n"/>
      <c r="H57" s="15" t="n"/>
      <c r="I57" s="19">
        <f>IF($A57="","",IFERROR(SUMIF(tblVarliklar[VarlikId],$B57,tblVarliklar[HedefSagimLt_lt]),ssy_varsayilanHedefLt))</f>
        <v/>
      </c>
      <c r="J57" s="19">
        <f>IF($A57="","",$D57-$I57)</f>
        <v/>
      </c>
      <c r="K57" s="19">
        <f>IF(OR($A57="",$I57=0),"",$J57/$I57)</f>
        <v/>
      </c>
      <c r="L57" s="19">
        <f>IF($A57="","",IF($G57&gt;=ssy_esikBuzagiGun,"YAKIN","NORMAL"))</f>
        <v/>
      </c>
      <c r="M57" s="19">
        <f>IF($A57="","",MAX(0,MIN(100,ssy_kaliteTaban-IF($D57&lt;ssy_esikSagimLt,ssy_kaliteCeza,0)-IF($L57="YAKIN",ssy_kaliteSapma,0)-IF($F57="EVET",0,0)-IF($P57="YETIM",ssy_kaliteCeza,0))))</f>
        <v/>
      </c>
      <c r="N57" s="19">
        <f>IF($A57="","",IF(OR($D57&lt;ssy_esikSagimLt,$G57&gt;=ssy_esikBuzagiGun,$M57&lt;ssy_esikSaglik),"ALARM","UYGUN"))</f>
        <v/>
      </c>
      <c r="O57" s="19">
        <f>IF($A57="","",1)</f>
        <v/>
      </c>
      <c r="P57" s="19">
        <f>IF($A57="","",IF(OR($B57="",COUNTIF(tblVarliklar[VarlikId],$B57)=0),"YETIM","TAMAM"))</f>
        <v/>
      </c>
    </row>
    <row r="58">
      <c r="A58" s="15" t="n"/>
      <c r="B58" s="15" t="n"/>
      <c r="C58" s="60" t="n"/>
      <c r="D58" s="17" t="n"/>
      <c r="E58" s="17" t="n"/>
      <c r="F58" s="15" t="n"/>
      <c r="G58" s="16" t="n"/>
      <c r="H58" s="15" t="n"/>
      <c r="I58" s="19">
        <f>IF($A58="","",IFERROR(SUMIF(tblVarliklar[VarlikId],$B58,tblVarliklar[HedefSagimLt_lt]),ssy_varsayilanHedefLt))</f>
        <v/>
      </c>
      <c r="J58" s="19">
        <f>IF($A58="","",$D58-$I58)</f>
        <v/>
      </c>
      <c r="K58" s="19">
        <f>IF(OR($A58="",$I58=0),"",$J58/$I58)</f>
        <v/>
      </c>
      <c r="L58" s="19">
        <f>IF($A58="","",IF($G58&gt;=ssy_esikBuzagiGun,"YAKIN","NORMAL"))</f>
        <v/>
      </c>
      <c r="M58" s="19">
        <f>IF($A58="","",MAX(0,MIN(100,ssy_kaliteTaban-IF($D58&lt;ssy_esikSagimLt,ssy_kaliteCeza,0)-IF($L58="YAKIN",ssy_kaliteSapma,0)-IF($F58="EVET",0,0)-IF($P58="YETIM",ssy_kaliteCeza,0))))</f>
        <v/>
      </c>
      <c r="N58" s="19">
        <f>IF($A58="","",IF(OR($D58&lt;ssy_esikSagimLt,$G58&gt;=ssy_esikBuzagiGun,$M58&lt;ssy_esikSaglik),"ALARM","UYGUN"))</f>
        <v/>
      </c>
      <c r="O58" s="19">
        <f>IF($A58="","",1)</f>
        <v/>
      </c>
      <c r="P58" s="19">
        <f>IF($A58="","",IF(OR($B58="",COUNTIF(tblVarliklar[VarlikId],$B58)=0),"YETIM","TAMAM"))</f>
        <v/>
      </c>
    </row>
    <row r="59">
      <c r="A59" s="15" t="n"/>
      <c r="B59" s="15" t="n"/>
      <c r="C59" s="60" t="n"/>
      <c r="D59" s="17" t="n"/>
      <c r="E59" s="17" t="n"/>
      <c r="F59" s="15" t="n"/>
      <c r="G59" s="16" t="n"/>
      <c r="H59" s="15" t="n"/>
      <c r="I59" s="19">
        <f>IF($A59="","",IFERROR(SUMIF(tblVarliklar[VarlikId],$B59,tblVarliklar[HedefSagimLt_lt]),ssy_varsayilanHedefLt))</f>
        <v/>
      </c>
      <c r="J59" s="19">
        <f>IF($A59="","",$D59-$I59)</f>
        <v/>
      </c>
      <c r="K59" s="19">
        <f>IF(OR($A59="",$I59=0),"",$J59/$I59)</f>
        <v/>
      </c>
      <c r="L59" s="19">
        <f>IF($A59="","",IF($G59&gt;=ssy_esikBuzagiGun,"YAKIN","NORMAL"))</f>
        <v/>
      </c>
      <c r="M59" s="19">
        <f>IF($A59="","",MAX(0,MIN(100,ssy_kaliteTaban-IF($D59&lt;ssy_esikSagimLt,ssy_kaliteCeza,0)-IF($L59="YAKIN",ssy_kaliteSapma,0)-IF($F59="EVET",0,0)-IF($P59="YETIM",ssy_kaliteCeza,0))))</f>
        <v/>
      </c>
      <c r="N59" s="19">
        <f>IF($A59="","",IF(OR($D59&lt;ssy_esikSagimLt,$G59&gt;=ssy_esikBuzagiGun,$M59&lt;ssy_esikSaglik),"ALARM","UYGUN"))</f>
        <v/>
      </c>
      <c r="O59" s="19">
        <f>IF($A59="","",1)</f>
        <v/>
      </c>
      <c r="P59" s="19">
        <f>IF($A59="","",IF(OR($B59="",COUNTIF(tblVarliklar[VarlikId],$B59)=0),"YETIM","TAMAM"))</f>
        <v/>
      </c>
    </row>
    <row r="60">
      <c r="A60" s="15" t="n"/>
      <c r="B60" s="15" t="n"/>
      <c r="C60" s="60" t="n"/>
      <c r="D60" s="17" t="n"/>
      <c r="E60" s="17" t="n"/>
      <c r="F60" s="15" t="n"/>
      <c r="G60" s="16" t="n"/>
      <c r="H60" s="15" t="n"/>
      <c r="I60" s="19">
        <f>IF($A60="","",IFERROR(SUMIF(tblVarliklar[VarlikId],$B60,tblVarliklar[HedefSagimLt_lt]),ssy_varsayilanHedefLt))</f>
        <v/>
      </c>
      <c r="J60" s="19">
        <f>IF($A60="","",$D60-$I60)</f>
        <v/>
      </c>
      <c r="K60" s="19">
        <f>IF(OR($A60="",$I60=0),"",$J60/$I60)</f>
        <v/>
      </c>
      <c r="L60" s="19">
        <f>IF($A60="","",IF($G60&gt;=ssy_esikBuzagiGun,"YAKIN","NORMAL"))</f>
        <v/>
      </c>
      <c r="M60" s="19">
        <f>IF($A60="","",MAX(0,MIN(100,ssy_kaliteTaban-IF($D60&lt;ssy_esikSagimLt,ssy_kaliteCeza,0)-IF($L60="YAKIN",ssy_kaliteSapma,0)-IF($F60="EVET",0,0)-IF($P60="YETIM",ssy_kaliteCeza,0))))</f>
        <v/>
      </c>
      <c r="N60" s="19">
        <f>IF($A60="","",IF(OR($D60&lt;ssy_esikSagimLt,$G60&gt;=ssy_esikBuzagiGun,$M60&lt;ssy_esikSaglik),"ALARM","UYGUN"))</f>
        <v/>
      </c>
      <c r="O60" s="19">
        <f>IF($A60="","",1)</f>
        <v/>
      </c>
      <c r="P60" s="19">
        <f>IF($A60="","",IF(OR($B60="",COUNTIF(tblVarliklar[VarlikId],$B60)=0),"YETIM","TAMAM"))</f>
        <v/>
      </c>
    </row>
    <row r="61">
      <c r="A61" s="15" t="n"/>
      <c r="B61" s="15" t="n"/>
      <c r="C61" s="60" t="n"/>
      <c r="D61" s="17" t="n"/>
      <c r="E61" s="17" t="n"/>
      <c r="F61" s="15" t="n"/>
      <c r="G61" s="16" t="n"/>
      <c r="H61" s="15" t="n"/>
      <c r="I61" s="19">
        <f>IF($A61="","",IFERROR(SUMIF(tblVarliklar[VarlikId],$B61,tblVarliklar[HedefSagimLt_lt]),ssy_varsayilanHedefLt))</f>
        <v/>
      </c>
      <c r="J61" s="19">
        <f>IF($A61="","",$D61-$I61)</f>
        <v/>
      </c>
      <c r="K61" s="19">
        <f>IF(OR($A61="",$I61=0),"",$J61/$I61)</f>
        <v/>
      </c>
      <c r="L61" s="19">
        <f>IF($A61="","",IF($G61&gt;=ssy_esikBuzagiGun,"YAKIN","NORMAL"))</f>
        <v/>
      </c>
      <c r="M61" s="19">
        <f>IF($A61="","",MAX(0,MIN(100,ssy_kaliteTaban-IF($D61&lt;ssy_esikSagimLt,ssy_kaliteCeza,0)-IF($L61="YAKIN",ssy_kaliteSapma,0)-IF($F61="EVET",0,0)-IF($P61="YETIM",ssy_kaliteCeza,0))))</f>
        <v/>
      </c>
      <c r="N61" s="19">
        <f>IF($A61="","",IF(OR($D61&lt;ssy_esikSagimLt,$G61&gt;=ssy_esikBuzagiGun,$M61&lt;ssy_esikSaglik),"ALARM","UYGUN"))</f>
        <v/>
      </c>
      <c r="O61" s="19">
        <f>IF($A61="","",1)</f>
        <v/>
      </c>
      <c r="P61" s="19">
        <f>IF($A61="","",IF(OR($B61="",COUNTIF(tblVarliklar[VarlikId],$B61)=0),"YETIM","TAMAM"))</f>
        <v/>
      </c>
    </row>
    <row r="62">
      <c r="A62" s="15" t="n"/>
      <c r="B62" s="15" t="n"/>
      <c r="C62" s="60" t="n"/>
      <c r="D62" s="17" t="n"/>
      <c r="E62" s="17" t="n"/>
      <c r="F62" s="15" t="n"/>
      <c r="G62" s="16" t="n"/>
      <c r="H62" s="15" t="n"/>
      <c r="I62" s="19">
        <f>IF($A62="","",IFERROR(SUMIF(tblVarliklar[VarlikId],$B62,tblVarliklar[HedefSagimLt_lt]),ssy_varsayilanHedefLt))</f>
        <v/>
      </c>
      <c r="J62" s="19">
        <f>IF($A62="","",$D62-$I62)</f>
        <v/>
      </c>
      <c r="K62" s="19">
        <f>IF(OR($A62="",$I62=0),"",$J62/$I62)</f>
        <v/>
      </c>
      <c r="L62" s="19">
        <f>IF($A62="","",IF($G62&gt;=ssy_esikBuzagiGun,"YAKIN","NORMAL"))</f>
        <v/>
      </c>
      <c r="M62" s="19">
        <f>IF($A62="","",MAX(0,MIN(100,ssy_kaliteTaban-IF($D62&lt;ssy_esikSagimLt,ssy_kaliteCeza,0)-IF($L62="YAKIN",ssy_kaliteSapma,0)-IF($F62="EVET",0,0)-IF($P62="YETIM",ssy_kaliteCeza,0))))</f>
        <v/>
      </c>
      <c r="N62" s="19">
        <f>IF($A62="","",IF(OR($D62&lt;ssy_esikSagimLt,$G62&gt;=ssy_esikBuzagiGun,$M62&lt;ssy_esikSaglik),"ALARM","UYGUN"))</f>
        <v/>
      </c>
      <c r="O62" s="19">
        <f>IF($A62="","",1)</f>
        <v/>
      </c>
      <c r="P62" s="19">
        <f>IF($A62="","",IF(OR($B62="",COUNTIF(tblVarliklar[VarlikId],$B62)=0),"YETIM","TAMAM"))</f>
        <v/>
      </c>
    </row>
    <row r="63">
      <c r="A63" s="15" t="n"/>
      <c r="B63" s="15" t="n"/>
      <c r="C63" s="60" t="n"/>
      <c r="D63" s="17" t="n"/>
      <c r="E63" s="17" t="n"/>
      <c r="F63" s="15" t="n"/>
      <c r="G63" s="16" t="n"/>
      <c r="H63" s="15" t="n"/>
      <c r="I63" s="19">
        <f>IF($A63="","",IFERROR(SUMIF(tblVarliklar[VarlikId],$B63,tblVarliklar[HedefSagimLt_lt]),ssy_varsayilanHedefLt))</f>
        <v/>
      </c>
      <c r="J63" s="19">
        <f>IF($A63="","",$D63-$I63)</f>
        <v/>
      </c>
      <c r="K63" s="19">
        <f>IF(OR($A63="",$I63=0),"",$J63/$I63)</f>
        <v/>
      </c>
      <c r="L63" s="19">
        <f>IF($A63="","",IF($G63&gt;=ssy_esikBuzagiGun,"YAKIN","NORMAL"))</f>
        <v/>
      </c>
      <c r="M63" s="19">
        <f>IF($A63="","",MAX(0,MIN(100,ssy_kaliteTaban-IF($D63&lt;ssy_esikSagimLt,ssy_kaliteCeza,0)-IF($L63="YAKIN",ssy_kaliteSapma,0)-IF($F63="EVET",0,0)-IF($P63="YETIM",ssy_kaliteCeza,0))))</f>
        <v/>
      </c>
      <c r="N63" s="19">
        <f>IF($A63="","",IF(OR($D63&lt;ssy_esikSagimLt,$G63&gt;=ssy_esikBuzagiGun,$M63&lt;ssy_esikSaglik),"ALARM","UYGUN"))</f>
        <v/>
      </c>
      <c r="O63" s="19">
        <f>IF($A63="","",1)</f>
        <v/>
      </c>
      <c r="P63" s="19">
        <f>IF($A63="","",IF(OR($B63="",COUNTIF(tblVarliklar[VarlikId],$B63)=0),"YETIM","TAMAM"))</f>
        <v/>
      </c>
    </row>
    <row r="64">
      <c r="A64" s="15" t="n"/>
      <c r="B64" s="15" t="n"/>
      <c r="C64" s="60" t="n"/>
      <c r="D64" s="17" t="n"/>
      <c r="E64" s="17" t="n"/>
      <c r="F64" s="15" t="n"/>
      <c r="G64" s="16" t="n"/>
      <c r="H64" s="15" t="n"/>
      <c r="I64" s="19">
        <f>IF($A64="","",IFERROR(SUMIF(tblVarliklar[VarlikId],$B64,tblVarliklar[HedefSagimLt_lt]),ssy_varsayilanHedefLt))</f>
        <v/>
      </c>
      <c r="J64" s="19">
        <f>IF($A64="","",$D64-$I64)</f>
        <v/>
      </c>
      <c r="K64" s="19">
        <f>IF(OR($A64="",$I64=0),"",$J64/$I64)</f>
        <v/>
      </c>
      <c r="L64" s="19">
        <f>IF($A64="","",IF($G64&gt;=ssy_esikBuzagiGun,"YAKIN","NORMAL"))</f>
        <v/>
      </c>
      <c r="M64" s="19">
        <f>IF($A64="","",MAX(0,MIN(100,ssy_kaliteTaban-IF($D64&lt;ssy_esikSagimLt,ssy_kaliteCeza,0)-IF($L64="YAKIN",ssy_kaliteSapma,0)-IF($F64="EVET",0,0)-IF($P64="YETIM",ssy_kaliteCeza,0))))</f>
        <v/>
      </c>
      <c r="N64" s="19">
        <f>IF($A64="","",IF(OR($D64&lt;ssy_esikSagimLt,$G64&gt;=ssy_esikBuzagiGun,$M64&lt;ssy_esikSaglik),"ALARM","UYGUN"))</f>
        <v/>
      </c>
      <c r="O64" s="19">
        <f>IF($A64="","",1)</f>
        <v/>
      </c>
      <c r="P64" s="19">
        <f>IF($A64="","",IF(OR($B64="",COUNTIF(tblVarliklar[VarlikId],$B64)=0),"YETIM","TAMAM"))</f>
        <v/>
      </c>
    </row>
    <row r="65">
      <c r="A65" s="15" t="n"/>
      <c r="B65" s="15" t="n"/>
      <c r="C65" s="60" t="n"/>
      <c r="D65" s="17" t="n"/>
      <c r="E65" s="17" t="n"/>
      <c r="F65" s="15" t="n"/>
      <c r="G65" s="16" t="n"/>
      <c r="H65" s="15" t="n"/>
      <c r="I65" s="19">
        <f>IF($A65="","",IFERROR(SUMIF(tblVarliklar[VarlikId],$B65,tblVarliklar[HedefSagimLt_lt]),ssy_varsayilanHedefLt))</f>
        <v/>
      </c>
      <c r="J65" s="19">
        <f>IF($A65="","",$D65-$I65)</f>
        <v/>
      </c>
      <c r="K65" s="19">
        <f>IF(OR($A65="",$I65=0),"",$J65/$I65)</f>
        <v/>
      </c>
      <c r="L65" s="19">
        <f>IF($A65="","",IF($G65&gt;=ssy_esikBuzagiGun,"YAKIN","NORMAL"))</f>
        <v/>
      </c>
      <c r="M65" s="19">
        <f>IF($A65="","",MAX(0,MIN(100,ssy_kaliteTaban-IF($D65&lt;ssy_esikSagimLt,ssy_kaliteCeza,0)-IF($L65="YAKIN",ssy_kaliteSapma,0)-IF($F65="EVET",0,0)-IF($P65="YETIM",ssy_kaliteCeza,0))))</f>
        <v/>
      </c>
      <c r="N65" s="19">
        <f>IF($A65="","",IF(OR($D65&lt;ssy_esikSagimLt,$G65&gt;=ssy_esikBuzagiGun,$M65&lt;ssy_esikSaglik),"ALARM","UYGUN"))</f>
        <v/>
      </c>
      <c r="O65" s="19">
        <f>IF($A65="","",1)</f>
        <v/>
      </c>
      <c r="P65" s="19">
        <f>IF($A65="","",IF(OR($B65="",COUNTIF(tblVarliklar[VarlikId],$B65)=0),"YETIM","TAMAM"))</f>
        <v/>
      </c>
    </row>
    <row r="66">
      <c r="A66" s="15" t="n"/>
      <c r="B66" s="15" t="n"/>
      <c r="C66" s="60" t="n"/>
      <c r="D66" s="17" t="n"/>
      <c r="E66" s="17" t="n"/>
      <c r="F66" s="15" t="n"/>
      <c r="G66" s="16" t="n"/>
      <c r="H66" s="15" t="n"/>
      <c r="I66" s="19">
        <f>IF($A66="","",IFERROR(SUMIF(tblVarliklar[VarlikId],$B66,tblVarliklar[HedefSagimLt_lt]),ssy_varsayilanHedefLt))</f>
        <v/>
      </c>
      <c r="J66" s="19">
        <f>IF($A66="","",$D66-$I66)</f>
        <v/>
      </c>
      <c r="K66" s="19">
        <f>IF(OR($A66="",$I66=0),"",$J66/$I66)</f>
        <v/>
      </c>
      <c r="L66" s="19">
        <f>IF($A66="","",IF($G66&gt;=ssy_esikBuzagiGun,"YAKIN","NORMAL"))</f>
        <v/>
      </c>
      <c r="M66" s="19">
        <f>IF($A66="","",MAX(0,MIN(100,ssy_kaliteTaban-IF($D66&lt;ssy_esikSagimLt,ssy_kaliteCeza,0)-IF($L66="YAKIN",ssy_kaliteSapma,0)-IF($F66="EVET",0,0)-IF($P66="YETIM",ssy_kaliteCeza,0))))</f>
        <v/>
      </c>
      <c r="N66" s="19">
        <f>IF($A66="","",IF(OR($D66&lt;ssy_esikSagimLt,$G66&gt;=ssy_esikBuzagiGun,$M66&lt;ssy_esikSaglik),"ALARM","UYGUN"))</f>
        <v/>
      </c>
      <c r="O66" s="19">
        <f>IF($A66="","",1)</f>
        <v/>
      </c>
      <c r="P66" s="19">
        <f>IF($A66="","",IF(OR($B66="",COUNTIF(tblVarliklar[VarlikId],$B66)=0),"YETIM","TAMAM"))</f>
        <v/>
      </c>
    </row>
    <row r="67">
      <c r="A67" s="15" t="n"/>
      <c r="B67" s="15" t="n"/>
      <c r="C67" s="60" t="n"/>
      <c r="D67" s="17" t="n"/>
      <c r="E67" s="17" t="n"/>
      <c r="F67" s="15" t="n"/>
      <c r="G67" s="16" t="n"/>
      <c r="H67" s="15" t="n"/>
      <c r="I67" s="19">
        <f>IF($A67="","",IFERROR(SUMIF(tblVarliklar[VarlikId],$B67,tblVarliklar[HedefSagimLt_lt]),ssy_varsayilanHedefLt))</f>
        <v/>
      </c>
      <c r="J67" s="19">
        <f>IF($A67="","",$D67-$I67)</f>
        <v/>
      </c>
      <c r="K67" s="19">
        <f>IF(OR($A67="",$I67=0),"",$J67/$I67)</f>
        <v/>
      </c>
      <c r="L67" s="19">
        <f>IF($A67="","",IF($G67&gt;=ssy_esikBuzagiGun,"YAKIN","NORMAL"))</f>
        <v/>
      </c>
      <c r="M67" s="19">
        <f>IF($A67="","",MAX(0,MIN(100,ssy_kaliteTaban-IF($D67&lt;ssy_esikSagimLt,ssy_kaliteCeza,0)-IF($L67="YAKIN",ssy_kaliteSapma,0)-IF($F67="EVET",0,0)-IF($P67="YETIM",ssy_kaliteCeza,0))))</f>
        <v/>
      </c>
      <c r="N67" s="19">
        <f>IF($A67="","",IF(OR($D67&lt;ssy_esikSagimLt,$G67&gt;=ssy_esikBuzagiGun,$M67&lt;ssy_esikSaglik),"ALARM","UYGUN"))</f>
        <v/>
      </c>
      <c r="O67" s="19">
        <f>IF($A67="","",1)</f>
        <v/>
      </c>
      <c r="P67" s="19">
        <f>IF($A67="","",IF(OR($B67="",COUNTIF(tblVarliklar[VarlikId],$B67)=0),"YETIM","TAMAM"))</f>
        <v/>
      </c>
    </row>
    <row r="68">
      <c r="A68" s="15" t="n"/>
      <c r="B68" s="15" t="n"/>
      <c r="C68" s="60" t="n"/>
      <c r="D68" s="17" t="n"/>
      <c r="E68" s="17" t="n"/>
      <c r="F68" s="15" t="n"/>
      <c r="G68" s="16" t="n"/>
      <c r="H68" s="15" t="n"/>
      <c r="I68" s="19">
        <f>IF($A68="","",IFERROR(SUMIF(tblVarliklar[VarlikId],$B68,tblVarliklar[HedefSagimLt_lt]),ssy_varsayilanHedefLt))</f>
        <v/>
      </c>
      <c r="J68" s="19">
        <f>IF($A68="","",$D68-$I68)</f>
        <v/>
      </c>
      <c r="K68" s="19">
        <f>IF(OR($A68="",$I68=0),"",$J68/$I68)</f>
        <v/>
      </c>
      <c r="L68" s="19">
        <f>IF($A68="","",IF($G68&gt;=ssy_esikBuzagiGun,"YAKIN","NORMAL"))</f>
        <v/>
      </c>
      <c r="M68" s="19">
        <f>IF($A68="","",MAX(0,MIN(100,ssy_kaliteTaban-IF($D68&lt;ssy_esikSagimLt,ssy_kaliteCeza,0)-IF($L68="YAKIN",ssy_kaliteSapma,0)-IF($F68="EVET",0,0)-IF($P68="YETIM",ssy_kaliteCeza,0))))</f>
        <v/>
      </c>
      <c r="N68" s="19">
        <f>IF($A68="","",IF(OR($D68&lt;ssy_esikSagimLt,$G68&gt;=ssy_esikBuzagiGun,$M68&lt;ssy_esikSaglik),"ALARM","UYGUN"))</f>
        <v/>
      </c>
      <c r="O68" s="19">
        <f>IF($A68="","",1)</f>
        <v/>
      </c>
      <c r="P68" s="19">
        <f>IF($A68="","",IF(OR($B68="",COUNTIF(tblVarliklar[VarlikId],$B68)=0),"YETIM","TAMAM"))</f>
        <v/>
      </c>
    </row>
    <row r="69">
      <c r="A69" s="15" t="n"/>
      <c r="B69" s="15" t="n"/>
      <c r="C69" s="60" t="n"/>
      <c r="D69" s="17" t="n"/>
      <c r="E69" s="17" t="n"/>
      <c r="F69" s="15" t="n"/>
      <c r="G69" s="16" t="n"/>
      <c r="H69" s="15" t="n"/>
      <c r="I69" s="19">
        <f>IF($A69="","",IFERROR(SUMIF(tblVarliklar[VarlikId],$B69,tblVarliklar[HedefSagimLt_lt]),ssy_varsayilanHedefLt))</f>
        <v/>
      </c>
      <c r="J69" s="19">
        <f>IF($A69="","",$D69-$I69)</f>
        <v/>
      </c>
      <c r="K69" s="19">
        <f>IF(OR($A69="",$I69=0),"",$J69/$I69)</f>
        <v/>
      </c>
      <c r="L69" s="19">
        <f>IF($A69="","",IF($G69&gt;=ssy_esikBuzagiGun,"YAKIN","NORMAL"))</f>
        <v/>
      </c>
      <c r="M69" s="19">
        <f>IF($A69="","",MAX(0,MIN(100,ssy_kaliteTaban-IF($D69&lt;ssy_esikSagimLt,ssy_kaliteCeza,0)-IF($L69="YAKIN",ssy_kaliteSapma,0)-IF($F69="EVET",0,0)-IF($P69="YETIM",ssy_kaliteCeza,0))))</f>
        <v/>
      </c>
      <c r="N69" s="19">
        <f>IF($A69="","",IF(OR($D69&lt;ssy_esikSagimLt,$G69&gt;=ssy_esikBuzagiGun,$M69&lt;ssy_esikSaglik),"ALARM","UYGUN"))</f>
        <v/>
      </c>
      <c r="O69" s="19">
        <f>IF($A69="","",1)</f>
        <v/>
      </c>
      <c r="P69" s="19">
        <f>IF($A69="","",IF(OR($B69="",COUNTIF(tblVarliklar[VarlikId],$B69)=0),"YETIM","TAMAM"))</f>
        <v/>
      </c>
    </row>
    <row r="70">
      <c r="A70" s="15" t="n"/>
      <c r="B70" s="15" t="n"/>
      <c r="C70" s="60" t="n"/>
      <c r="D70" s="17" t="n"/>
      <c r="E70" s="17" t="n"/>
      <c r="F70" s="15" t="n"/>
      <c r="G70" s="16" t="n"/>
      <c r="H70" s="15" t="n"/>
      <c r="I70" s="19">
        <f>IF($A70="","",IFERROR(SUMIF(tblVarliklar[VarlikId],$B70,tblVarliklar[HedefSagimLt_lt]),ssy_varsayilanHedefLt))</f>
        <v/>
      </c>
      <c r="J70" s="19">
        <f>IF($A70="","",$D70-$I70)</f>
        <v/>
      </c>
      <c r="K70" s="19">
        <f>IF(OR($A70="",$I70=0),"",$J70/$I70)</f>
        <v/>
      </c>
      <c r="L70" s="19">
        <f>IF($A70="","",IF($G70&gt;=ssy_esikBuzagiGun,"YAKIN","NORMAL"))</f>
        <v/>
      </c>
      <c r="M70" s="19">
        <f>IF($A70="","",MAX(0,MIN(100,ssy_kaliteTaban-IF($D70&lt;ssy_esikSagimLt,ssy_kaliteCeza,0)-IF($L70="YAKIN",ssy_kaliteSapma,0)-IF($F70="EVET",0,0)-IF($P70="YETIM",ssy_kaliteCeza,0))))</f>
        <v/>
      </c>
      <c r="N70" s="19">
        <f>IF($A70="","",IF(OR($D70&lt;ssy_esikSagimLt,$G70&gt;=ssy_esikBuzagiGun,$M70&lt;ssy_esikSaglik),"ALARM","UYGUN"))</f>
        <v/>
      </c>
      <c r="O70" s="19">
        <f>IF($A70="","",1)</f>
        <v/>
      </c>
      <c r="P70" s="19">
        <f>IF($A70="","",IF(OR($B70="",COUNTIF(tblVarliklar[VarlikId],$B70)=0),"YETIM","TAMAM"))</f>
        <v/>
      </c>
    </row>
    <row r="71">
      <c r="A71" s="15" t="n"/>
      <c r="B71" s="15" t="n"/>
      <c r="C71" s="60" t="n"/>
      <c r="D71" s="17" t="n"/>
      <c r="E71" s="17" t="n"/>
      <c r="F71" s="15" t="n"/>
      <c r="G71" s="16" t="n"/>
      <c r="H71" s="15" t="n"/>
      <c r="I71" s="19">
        <f>IF($A71="","",IFERROR(SUMIF(tblVarliklar[VarlikId],$B71,tblVarliklar[HedefSagimLt_lt]),ssy_varsayilanHedefLt))</f>
        <v/>
      </c>
      <c r="J71" s="19">
        <f>IF($A71="","",$D71-$I71)</f>
        <v/>
      </c>
      <c r="K71" s="19">
        <f>IF(OR($A71="",$I71=0),"",$J71/$I71)</f>
        <v/>
      </c>
      <c r="L71" s="19">
        <f>IF($A71="","",IF($G71&gt;=ssy_esikBuzagiGun,"YAKIN","NORMAL"))</f>
        <v/>
      </c>
      <c r="M71" s="19">
        <f>IF($A71="","",MAX(0,MIN(100,ssy_kaliteTaban-IF($D71&lt;ssy_esikSagimLt,ssy_kaliteCeza,0)-IF($L71="YAKIN",ssy_kaliteSapma,0)-IF($F71="EVET",0,0)-IF($P71="YETIM",ssy_kaliteCeza,0))))</f>
        <v/>
      </c>
      <c r="N71" s="19">
        <f>IF($A71="","",IF(OR($D71&lt;ssy_esikSagimLt,$G71&gt;=ssy_esikBuzagiGun,$M71&lt;ssy_esikSaglik),"ALARM","UYGUN"))</f>
        <v/>
      </c>
      <c r="O71" s="19">
        <f>IF($A71="","",1)</f>
        <v/>
      </c>
      <c r="P71" s="19">
        <f>IF($A71="","",IF(OR($B71="",COUNTIF(tblVarliklar[VarlikId],$B71)=0),"YETIM","TAMAM"))</f>
        <v/>
      </c>
    </row>
    <row r="72">
      <c r="A72" s="15" t="n"/>
      <c r="B72" s="15" t="n"/>
      <c r="C72" s="60" t="n"/>
      <c r="D72" s="17" t="n"/>
      <c r="E72" s="17" t="n"/>
      <c r="F72" s="15" t="n"/>
      <c r="G72" s="16" t="n"/>
      <c r="H72" s="15" t="n"/>
      <c r="I72" s="19">
        <f>IF($A72="","",IFERROR(SUMIF(tblVarliklar[VarlikId],$B72,tblVarliklar[HedefSagimLt_lt]),ssy_varsayilanHedefLt))</f>
        <v/>
      </c>
      <c r="J72" s="19">
        <f>IF($A72="","",$D72-$I72)</f>
        <v/>
      </c>
      <c r="K72" s="19">
        <f>IF(OR($A72="",$I72=0),"",$J72/$I72)</f>
        <v/>
      </c>
      <c r="L72" s="19">
        <f>IF($A72="","",IF($G72&gt;=ssy_esikBuzagiGun,"YAKIN","NORMAL"))</f>
        <v/>
      </c>
      <c r="M72" s="19">
        <f>IF($A72="","",MAX(0,MIN(100,ssy_kaliteTaban-IF($D72&lt;ssy_esikSagimLt,ssy_kaliteCeza,0)-IF($L72="YAKIN",ssy_kaliteSapma,0)-IF($F72="EVET",0,0)-IF($P72="YETIM",ssy_kaliteCeza,0))))</f>
        <v/>
      </c>
      <c r="N72" s="19">
        <f>IF($A72="","",IF(OR($D72&lt;ssy_esikSagimLt,$G72&gt;=ssy_esikBuzagiGun,$M72&lt;ssy_esikSaglik),"ALARM","UYGUN"))</f>
        <v/>
      </c>
      <c r="O72" s="19">
        <f>IF($A72="","",1)</f>
        <v/>
      </c>
      <c r="P72" s="19">
        <f>IF($A72="","",IF(OR($B72="",COUNTIF(tblVarliklar[VarlikId],$B72)=0),"YETIM","TAMAM"))</f>
        <v/>
      </c>
    </row>
    <row r="73">
      <c r="A73" s="15" t="n"/>
      <c r="B73" s="15" t="n"/>
      <c r="C73" s="60" t="n"/>
      <c r="D73" s="17" t="n"/>
      <c r="E73" s="17" t="n"/>
      <c r="F73" s="15" t="n"/>
      <c r="G73" s="16" t="n"/>
      <c r="H73" s="15" t="n"/>
      <c r="I73" s="19">
        <f>IF($A73="","",IFERROR(SUMIF(tblVarliklar[VarlikId],$B73,tblVarliklar[HedefSagimLt_lt]),ssy_varsayilanHedefLt))</f>
        <v/>
      </c>
      <c r="J73" s="19">
        <f>IF($A73="","",$D73-$I73)</f>
        <v/>
      </c>
      <c r="K73" s="19">
        <f>IF(OR($A73="",$I73=0),"",$J73/$I73)</f>
        <v/>
      </c>
      <c r="L73" s="19">
        <f>IF($A73="","",IF($G73&gt;=ssy_esikBuzagiGun,"YAKIN","NORMAL"))</f>
        <v/>
      </c>
      <c r="M73" s="19">
        <f>IF($A73="","",MAX(0,MIN(100,ssy_kaliteTaban-IF($D73&lt;ssy_esikSagimLt,ssy_kaliteCeza,0)-IF($L73="YAKIN",ssy_kaliteSapma,0)-IF($F73="EVET",0,0)-IF($P73="YETIM",ssy_kaliteCeza,0))))</f>
        <v/>
      </c>
      <c r="N73" s="19">
        <f>IF($A73="","",IF(OR($D73&lt;ssy_esikSagimLt,$G73&gt;=ssy_esikBuzagiGun,$M73&lt;ssy_esikSaglik),"ALARM","UYGUN"))</f>
        <v/>
      </c>
      <c r="O73" s="19">
        <f>IF($A73="","",1)</f>
        <v/>
      </c>
      <c r="P73" s="19">
        <f>IF($A73="","",IF(OR($B73="",COUNTIF(tblVarliklar[VarlikId],$B73)=0),"YETIM","TAMAM"))</f>
        <v/>
      </c>
    </row>
    <row r="74">
      <c r="A74" s="15" t="n"/>
      <c r="B74" s="15" t="n"/>
      <c r="C74" s="60" t="n"/>
      <c r="D74" s="17" t="n"/>
      <c r="E74" s="17" t="n"/>
      <c r="F74" s="15" t="n"/>
      <c r="G74" s="16" t="n"/>
      <c r="H74" s="15" t="n"/>
      <c r="I74" s="19">
        <f>IF($A74="","",IFERROR(SUMIF(tblVarliklar[VarlikId],$B74,tblVarliklar[HedefSagimLt_lt]),ssy_varsayilanHedefLt))</f>
        <v/>
      </c>
      <c r="J74" s="19">
        <f>IF($A74="","",$D74-$I74)</f>
        <v/>
      </c>
      <c r="K74" s="19">
        <f>IF(OR($A74="",$I74=0),"",$J74/$I74)</f>
        <v/>
      </c>
      <c r="L74" s="19">
        <f>IF($A74="","",IF($G74&gt;=ssy_esikBuzagiGun,"YAKIN","NORMAL"))</f>
        <v/>
      </c>
      <c r="M74" s="19">
        <f>IF($A74="","",MAX(0,MIN(100,ssy_kaliteTaban-IF($D74&lt;ssy_esikSagimLt,ssy_kaliteCeza,0)-IF($L74="YAKIN",ssy_kaliteSapma,0)-IF($F74="EVET",0,0)-IF($P74="YETIM",ssy_kaliteCeza,0))))</f>
        <v/>
      </c>
      <c r="N74" s="19">
        <f>IF($A74="","",IF(OR($D74&lt;ssy_esikSagimLt,$G74&gt;=ssy_esikBuzagiGun,$M74&lt;ssy_esikSaglik),"ALARM","UYGUN"))</f>
        <v/>
      </c>
      <c r="O74" s="19">
        <f>IF($A74="","",1)</f>
        <v/>
      </c>
      <c r="P74" s="19">
        <f>IF($A74="","",IF(OR($B74="",COUNTIF(tblVarliklar[VarlikId],$B74)=0),"YETIM","TAMAM"))</f>
        <v/>
      </c>
    </row>
    <row r="75">
      <c r="A75" s="15" t="n"/>
      <c r="B75" s="15" t="n"/>
      <c r="C75" s="60" t="n"/>
      <c r="D75" s="17" t="n"/>
      <c r="E75" s="17" t="n"/>
      <c r="F75" s="15" t="n"/>
      <c r="G75" s="16" t="n"/>
      <c r="H75" s="15" t="n"/>
      <c r="I75" s="19">
        <f>IF($A75="","",IFERROR(SUMIF(tblVarliklar[VarlikId],$B75,tblVarliklar[HedefSagimLt_lt]),ssy_varsayilanHedefLt))</f>
        <v/>
      </c>
      <c r="J75" s="19">
        <f>IF($A75="","",$D75-$I75)</f>
        <v/>
      </c>
      <c r="K75" s="19">
        <f>IF(OR($A75="",$I75=0),"",$J75/$I75)</f>
        <v/>
      </c>
      <c r="L75" s="19">
        <f>IF($A75="","",IF($G75&gt;=ssy_esikBuzagiGun,"YAKIN","NORMAL"))</f>
        <v/>
      </c>
      <c r="M75" s="19">
        <f>IF($A75="","",MAX(0,MIN(100,ssy_kaliteTaban-IF($D75&lt;ssy_esikSagimLt,ssy_kaliteCeza,0)-IF($L75="YAKIN",ssy_kaliteSapma,0)-IF($F75="EVET",0,0)-IF($P75="YETIM",ssy_kaliteCeza,0))))</f>
        <v/>
      </c>
      <c r="N75" s="19">
        <f>IF($A75="","",IF(OR($D75&lt;ssy_esikSagimLt,$G75&gt;=ssy_esikBuzagiGun,$M75&lt;ssy_esikSaglik),"ALARM","UYGUN"))</f>
        <v/>
      </c>
      <c r="O75" s="19">
        <f>IF($A75="","",1)</f>
        <v/>
      </c>
      <c r="P75" s="19">
        <f>IF($A75="","",IF(OR($B75="",COUNTIF(tblVarliklar[VarlikId],$B75)=0),"YETIM","TAMAM"))</f>
        <v/>
      </c>
    </row>
    <row r="76">
      <c r="A76" s="15" t="n"/>
      <c r="B76" s="15" t="n"/>
      <c r="C76" s="60" t="n"/>
      <c r="D76" s="17" t="n"/>
      <c r="E76" s="17" t="n"/>
      <c r="F76" s="15" t="n"/>
      <c r="G76" s="16" t="n"/>
      <c r="H76" s="15" t="n"/>
      <c r="I76" s="19">
        <f>IF($A76="","",IFERROR(SUMIF(tblVarliklar[VarlikId],$B76,tblVarliklar[HedefSagimLt_lt]),ssy_varsayilanHedefLt))</f>
        <v/>
      </c>
      <c r="J76" s="19">
        <f>IF($A76="","",$D76-$I76)</f>
        <v/>
      </c>
      <c r="K76" s="19">
        <f>IF(OR($A76="",$I76=0),"",$J76/$I76)</f>
        <v/>
      </c>
      <c r="L76" s="19">
        <f>IF($A76="","",IF($G76&gt;=ssy_esikBuzagiGun,"YAKIN","NORMAL"))</f>
        <v/>
      </c>
      <c r="M76" s="19">
        <f>IF($A76="","",MAX(0,MIN(100,ssy_kaliteTaban-IF($D76&lt;ssy_esikSagimLt,ssy_kaliteCeza,0)-IF($L76="YAKIN",ssy_kaliteSapma,0)-IF($F76="EVET",0,0)-IF($P76="YETIM",ssy_kaliteCeza,0))))</f>
        <v/>
      </c>
      <c r="N76" s="19">
        <f>IF($A76="","",IF(OR($D76&lt;ssy_esikSagimLt,$G76&gt;=ssy_esikBuzagiGun,$M76&lt;ssy_esikSaglik),"ALARM","UYGUN"))</f>
        <v/>
      </c>
      <c r="O76" s="19">
        <f>IF($A76="","",1)</f>
        <v/>
      </c>
      <c r="P76" s="19">
        <f>IF($A76="","",IF(OR($B76="",COUNTIF(tblVarliklar[VarlikId],$B76)=0),"YETIM","TAMAM"))</f>
        <v/>
      </c>
    </row>
    <row r="77">
      <c r="A77" s="15" t="n"/>
      <c r="B77" s="15" t="n"/>
      <c r="C77" s="60" t="n"/>
      <c r="D77" s="17" t="n"/>
      <c r="E77" s="17" t="n"/>
      <c r="F77" s="15" t="n"/>
      <c r="G77" s="16" t="n"/>
      <c r="H77" s="15" t="n"/>
      <c r="I77" s="19">
        <f>IF($A77="","",IFERROR(SUMIF(tblVarliklar[VarlikId],$B77,tblVarliklar[HedefSagimLt_lt]),ssy_varsayilanHedefLt))</f>
        <v/>
      </c>
      <c r="J77" s="19">
        <f>IF($A77="","",$D77-$I77)</f>
        <v/>
      </c>
      <c r="K77" s="19">
        <f>IF(OR($A77="",$I77=0),"",$J77/$I77)</f>
        <v/>
      </c>
      <c r="L77" s="19">
        <f>IF($A77="","",IF($G77&gt;=ssy_esikBuzagiGun,"YAKIN","NORMAL"))</f>
        <v/>
      </c>
      <c r="M77" s="19">
        <f>IF($A77="","",MAX(0,MIN(100,ssy_kaliteTaban-IF($D77&lt;ssy_esikSagimLt,ssy_kaliteCeza,0)-IF($L77="YAKIN",ssy_kaliteSapma,0)-IF($F77="EVET",0,0)-IF($P77="YETIM",ssy_kaliteCeza,0))))</f>
        <v/>
      </c>
      <c r="N77" s="19">
        <f>IF($A77="","",IF(OR($D77&lt;ssy_esikSagimLt,$G77&gt;=ssy_esikBuzagiGun,$M77&lt;ssy_esikSaglik),"ALARM","UYGUN"))</f>
        <v/>
      </c>
      <c r="O77" s="19">
        <f>IF($A77="","",1)</f>
        <v/>
      </c>
      <c r="P77" s="19">
        <f>IF($A77="","",IF(OR($B77="",COUNTIF(tblVarliklar[VarlikId],$B77)=0),"YETIM","TAMAM"))</f>
        <v/>
      </c>
    </row>
    <row r="78">
      <c r="A78" s="15" t="n"/>
      <c r="B78" s="15" t="n"/>
      <c r="C78" s="60" t="n"/>
      <c r="D78" s="17" t="n"/>
      <c r="E78" s="17" t="n"/>
      <c r="F78" s="15" t="n"/>
      <c r="G78" s="16" t="n"/>
      <c r="H78" s="15" t="n"/>
      <c r="I78" s="19">
        <f>IF($A78="","",IFERROR(SUMIF(tblVarliklar[VarlikId],$B78,tblVarliklar[HedefSagimLt_lt]),ssy_varsayilanHedefLt))</f>
        <v/>
      </c>
      <c r="J78" s="19">
        <f>IF($A78="","",$D78-$I78)</f>
        <v/>
      </c>
      <c r="K78" s="19">
        <f>IF(OR($A78="",$I78=0),"",$J78/$I78)</f>
        <v/>
      </c>
      <c r="L78" s="19">
        <f>IF($A78="","",IF($G78&gt;=ssy_esikBuzagiGun,"YAKIN","NORMAL"))</f>
        <v/>
      </c>
      <c r="M78" s="19">
        <f>IF($A78="","",MAX(0,MIN(100,ssy_kaliteTaban-IF($D78&lt;ssy_esikSagimLt,ssy_kaliteCeza,0)-IF($L78="YAKIN",ssy_kaliteSapma,0)-IF($F78="EVET",0,0)-IF($P78="YETIM",ssy_kaliteCeza,0))))</f>
        <v/>
      </c>
      <c r="N78" s="19">
        <f>IF($A78="","",IF(OR($D78&lt;ssy_esikSagimLt,$G78&gt;=ssy_esikBuzagiGun,$M78&lt;ssy_esikSaglik),"ALARM","UYGUN"))</f>
        <v/>
      </c>
      <c r="O78" s="19">
        <f>IF($A78="","",1)</f>
        <v/>
      </c>
      <c r="P78" s="19">
        <f>IF($A78="","",IF(OR($B78="",COUNTIF(tblVarliklar[VarlikId],$B78)=0),"YETIM","TAMAM"))</f>
        <v/>
      </c>
    </row>
    <row r="79">
      <c r="A79" s="15" t="n"/>
      <c r="B79" s="15" t="n"/>
      <c r="C79" s="60" t="n"/>
      <c r="D79" s="17" t="n"/>
      <c r="E79" s="17" t="n"/>
      <c r="F79" s="15" t="n"/>
      <c r="G79" s="16" t="n"/>
      <c r="H79" s="15" t="n"/>
      <c r="I79" s="19">
        <f>IF($A79="","",IFERROR(SUMIF(tblVarliklar[VarlikId],$B79,tblVarliklar[HedefSagimLt_lt]),ssy_varsayilanHedefLt))</f>
        <v/>
      </c>
      <c r="J79" s="19">
        <f>IF($A79="","",$D79-$I79)</f>
        <v/>
      </c>
      <c r="K79" s="19">
        <f>IF(OR($A79="",$I79=0),"",$J79/$I79)</f>
        <v/>
      </c>
      <c r="L79" s="19">
        <f>IF($A79="","",IF($G79&gt;=ssy_esikBuzagiGun,"YAKIN","NORMAL"))</f>
        <v/>
      </c>
      <c r="M79" s="19">
        <f>IF($A79="","",MAX(0,MIN(100,ssy_kaliteTaban-IF($D79&lt;ssy_esikSagimLt,ssy_kaliteCeza,0)-IF($L79="YAKIN",ssy_kaliteSapma,0)-IF($F79="EVET",0,0)-IF($P79="YETIM",ssy_kaliteCeza,0))))</f>
        <v/>
      </c>
      <c r="N79" s="19">
        <f>IF($A79="","",IF(OR($D79&lt;ssy_esikSagimLt,$G79&gt;=ssy_esikBuzagiGun,$M79&lt;ssy_esikSaglik),"ALARM","UYGUN"))</f>
        <v/>
      </c>
      <c r="O79" s="19">
        <f>IF($A79="","",1)</f>
        <v/>
      </c>
      <c r="P79" s="19">
        <f>IF($A79="","",IF(OR($B79="",COUNTIF(tblVarliklar[VarlikId],$B79)=0),"YETIM","TAMAM"))</f>
        <v/>
      </c>
    </row>
    <row r="80">
      <c r="A80" s="15" t="n"/>
      <c r="B80" s="15" t="n"/>
      <c r="C80" s="60" t="n"/>
      <c r="D80" s="17" t="n"/>
      <c r="E80" s="17" t="n"/>
      <c r="F80" s="15" t="n"/>
      <c r="G80" s="16" t="n"/>
      <c r="H80" s="15" t="n"/>
      <c r="I80" s="19">
        <f>IF($A80="","",IFERROR(SUMIF(tblVarliklar[VarlikId],$B80,tblVarliklar[HedefSagimLt_lt]),ssy_varsayilanHedefLt))</f>
        <v/>
      </c>
      <c r="J80" s="19">
        <f>IF($A80="","",$D80-$I80)</f>
        <v/>
      </c>
      <c r="K80" s="19">
        <f>IF(OR($A80="",$I80=0),"",$J80/$I80)</f>
        <v/>
      </c>
      <c r="L80" s="19">
        <f>IF($A80="","",IF($G80&gt;=ssy_esikBuzagiGun,"YAKIN","NORMAL"))</f>
        <v/>
      </c>
      <c r="M80" s="19">
        <f>IF($A80="","",MAX(0,MIN(100,ssy_kaliteTaban-IF($D80&lt;ssy_esikSagimLt,ssy_kaliteCeza,0)-IF($L80="YAKIN",ssy_kaliteSapma,0)-IF($F80="EVET",0,0)-IF($P80="YETIM",ssy_kaliteCeza,0))))</f>
        <v/>
      </c>
      <c r="N80" s="19">
        <f>IF($A80="","",IF(OR($D80&lt;ssy_esikSagimLt,$G80&gt;=ssy_esikBuzagiGun,$M80&lt;ssy_esikSaglik),"ALARM","UYGUN"))</f>
        <v/>
      </c>
      <c r="O80" s="19">
        <f>IF($A80="","",1)</f>
        <v/>
      </c>
      <c r="P80" s="19">
        <f>IF($A80="","",IF(OR($B80="",COUNTIF(tblVarliklar[VarlikId],$B80)=0),"YETIM","TAMAM"))</f>
        <v/>
      </c>
    </row>
    <row r="81">
      <c r="A81" s="15" t="n"/>
      <c r="B81" s="15" t="n"/>
      <c r="C81" s="60" t="n"/>
      <c r="D81" s="17" t="n"/>
      <c r="E81" s="17" t="n"/>
      <c r="F81" s="15" t="n"/>
      <c r="G81" s="16" t="n"/>
      <c r="H81" s="15" t="n"/>
      <c r="I81" s="19">
        <f>IF($A81="","",IFERROR(SUMIF(tblVarliklar[VarlikId],$B81,tblVarliklar[HedefSagimLt_lt]),ssy_varsayilanHedefLt))</f>
        <v/>
      </c>
      <c r="J81" s="19">
        <f>IF($A81="","",$D81-$I81)</f>
        <v/>
      </c>
      <c r="K81" s="19">
        <f>IF(OR($A81="",$I81=0),"",$J81/$I81)</f>
        <v/>
      </c>
      <c r="L81" s="19">
        <f>IF($A81="","",IF($G81&gt;=ssy_esikBuzagiGun,"YAKIN","NORMAL"))</f>
        <v/>
      </c>
      <c r="M81" s="19">
        <f>IF($A81="","",MAX(0,MIN(100,ssy_kaliteTaban-IF($D81&lt;ssy_esikSagimLt,ssy_kaliteCeza,0)-IF($L81="YAKIN",ssy_kaliteSapma,0)-IF($F81="EVET",0,0)-IF($P81="YETIM",ssy_kaliteCeza,0))))</f>
        <v/>
      </c>
      <c r="N81" s="19">
        <f>IF($A81="","",IF(OR($D81&lt;ssy_esikSagimLt,$G81&gt;=ssy_esikBuzagiGun,$M81&lt;ssy_esikSaglik),"ALARM","UYGUN"))</f>
        <v/>
      </c>
      <c r="O81" s="19">
        <f>IF($A81="","",1)</f>
        <v/>
      </c>
      <c r="P81" s="19">
        <f>IF($A81="","",IF(OR($B81="",COUNTIF(tblVarliklar[VarlikId],$B81)=0),"YETIM","TAMAM"))</f>
        <v/>
      </c>
    </row>
    <row r="82">
      <c r="A82" s="15" t="n"/>
      <c r="B82" s="15" t="n"/>
      <c r="C82" s="60" t="n"/>
      <c r="D82" s="17" t="n"/>
      <c r="E82" s="17" t="n"/>
      <c r="F82" s="15" t="n"/>
      <c r="G82" s="16" t="n"/>
      <c r="H82" s="15" t="n"/>
      <c r="I82" s="19">
        <f>IF($A82="","",IFERROR(SUMIF(tblVarliklar[VarlikId],$B82,tblVarliklar[HedefSagimLt_lt]),ssy_varsayilanHedefLt))</f>
        <v/>
      </c>
      <c r="J82" s="19">
        <f>IF($A82="","",$D82-$I82)</f>
        <v/>
      </c>
      <c r="K82" s="19">
        <f>IF(OR($A82="",$I82=0),"",$J82/$I82)</f>
        <v/>
      </c>
      <c r="L82" s="19">
        <f>IF($A82="","",IF($G82&gt;=ssy_esikBuzagiGun,"YAKIN","NORMAL"))</f>
        <v/>
      </c>
      <c r="M82" s="19">
        <f>IF($A82="","",MAX(0,MIN(100,ssy_kaliteTaban-IF($D82&lt;ssy_esikSagimLt,ssy_kaliteCeza,0)-IF($L82="YAKIN",ssy_kaliteSapma,0)-IF($F82="EVET",0,0)-IF($P82="YETIM",ssy_kaliteCeza,0))))</f>
        <v/>
      </c>
      <c r="N82" s="19">
        <f>IF($A82="","",IF(OR($D82&lt;ssy_esikSagimLt,$G82&gt;=ssy_esikBuzagiGun,$M82&lt;ssy_esikSaglik),"ALARM","UYGUN"))</f>
        <v/>
      </c>
      <c r="O82" s="19">
        <f>IF($A82="","",1)</f>
        <v/>
      </c>
      <c r="P82" s="19">
        <f>IF($A82="","",IF(OR($B82="",COUNTIF(tblVarliklar[VarlikId],$B82)=0),"YETIM","TAMAM"))</f>
        <v/>
      </c>
    </row>
    <row r="83">
      <c r="A83" s="15" t="n"/>
      <c r="B83" s="15" t="n"/>
      <c r="C83" s="60" t="n"/>
      <c r="D83" s="17" t="n"/>
      <c r="E83" s="17" t="n"/>
      <c r="F83" s="15" t="n"/>
      <c r="G83" s="16" t="n"/>
      <c r="H83" s="15" t="n"/>
      <c r="I83" s="19">
        <f>IF($A83="","",IFERROR(SUMIF(tblVarliklar[VarlikId],$B83,tblVarliklar[HedefSagimLt_lt]),ssy_varsayilanHedefLt))</f>
        <v/>
      </c>
      <c r="J83" s="19">
        <f>IF($A83="","",$D83-$I83)</f>
        <v/>
      </c>
      <c r="K83" s="19">
        <f>IF(OR($A83="",$I83=0),"",$J83/$I83)</f>
        <v/>
      </c>
      <c r="L83" s="19">
        <f>IF($A83="","",IF($G83&gt;=ssy_esikBuzagiGun,"YAKIN","NORMAL"))</f>
        <v/>
      </c>
      <c r="M83" s="19">
        <f>IF($A83="","",MAX(0,MIN(100,ssy_kaliteTaban-IF($D83&lt;ssy_esikSagimLt,ssy_kaliteCeza,0)-IF($L83="YAKIN",ssy_kaliteSapma,0)-IF($F83="EVET",0,0)-IF($P83="YETIM",ssy_kaliteCeza,0))))</f>
        <v/>
      </c>
      <c r="N83" s="19">
        <f>IF($A83="","",IF(OR($D83&lt;ssy_esikSagimLt,$G83&gt;=ssy_esikBuzagiGun,$M83&lt;ssy_esikSaglik),"ALARM","UYGUN"))</f>
        <v/>
      </c>
      <c r="O83" s="19">
        <f>IF($A83="","",1)</f>
        <v/>
      </c>
      <c r="P83" s="19">
        <f>IF($A83="","",IF(OR($B83="",COUNTIF(tblVarliklar[VarlikId],$B83)=0),"YETIM","TAMAM"))</f>
        <v/>
      </c>
    </row>
    <row r="84">
      <c r="A84" s="15" t="n"/>
      <c r="B84" s="15" t="n"/>
      <c r="C84" s="60" t="n"/>
      <c r="D84" s="17" t="n"/>
      <c r="E84" s="17" t="n"/>
      <c r="F84" s="15" t="n"/>
      <c r="G84" s="16" t="n"/>
      <c r="H84" s="15" t="n"/>
      <c r="I84" s="19">
        <f>IF($A84="","",IFERROR(SUMIF(tblVarliklar[VarlikId],$B84,tblVarliklar[HedefSagimLt_lt]),ssy_varsayilanHedefLt))</f>
        <v/>
      </c>
      <c r="J84" s="19">
        <f>IF($A84="","",$D84-$I84)</f>
        <v/>
      </c>
      <c r="K84" s="19">
        <f>IF(OR($A84="",$I84=0),"",$J84/$I84)</f>
        <v/>
      </c>
      <c r="L84" s="19">
        <f>IF($A84="","",IF($G84&gt;=ssy_esikBuzagiGun,"YAKIN","NORMAL"))</f>
        <v/>
      </c>
      <c r="M84" s="19">
        <f>IF($A84="","",MAX(0,MIN(100,ssy_kaliteTaban-IF($D84&lt;ssy_esikSagimLt,ssy_kaliteCeza,0)-IF($L84="YAKIN",ssy_kaliteSapma,0)-IF($F84="EVET",0,0)-IF($P84="YETIM",ssy_kaliteCeza,0))))</f>
        <v/>
      </c>
      <c r="N84" s="19">
        <f>IF($A84="","",IF(OR($D84&lt;ssy_esikSagimLt,$G84&gt;=ssy_esikBuzagiGun,$M84&lt;ssy_esikSaglik),"ALARM","UYGUN"))</f>
        <v/>
      </c>
      <c r="O84" s="19">
        <f>IF($A84="","",1)</f>
        <v/>
      </c>
      <c r="P84" s="19">
        <f>IF($A84="","",IF(OR($B84="",COUNTIF(tblVarliklar[VarlikId],$B84)=0),"YETIM","TAMAM"))</f>
        <v/>
      </c>
    </row>
    <row r="85">
      <c r="A85" s="15" t="n"/>
      <c r="B85" s="15" t="n"/>
      <c r="C85" s="60" t="n"/>
      <c r="D85" s="17" t="n"/>
      <c r="E85" s="17" t="n"/>
      <c r="F85" s="15" t="n"/>
      <c r="G85" s="16" t="n"/>
      <c r="H85" s="15" t="n"/>
      <c r="I85" s="19">
        <f>IF($A85="","",IFERROR(SUMIF(tblVarliklar[VarlikId],$B85,tblVarliklar[HedefSagimLt_lt]),ssy_varsayilanHedefLt))</f>
        <v/>
      </c>
      <c r="J85" s="19">
        <f>IF($A85="","",$D85-$I85)</f>
        <v/>
      </c>
      <c r="K85" s="19">
        <f>IF(OR($A85="",$I85=0),"",$J85/$I85)</f>
        <v/>
      </c>
      <c r="L85" s="19">
        <f>IF($A85="","",IF($G85&gt;=ssy_esikBuzagiGun,"YAKIN","NORMAL"))</f>
        <v/>
      </c>
      <c r="M85" s="19">
        <f>IF($A85="","",MAX(0,MIN(100,ssy_kaliteTaban-IF($D85&lt;ssy_esikSagimLt,ssy_kaliteCeza,0)-IF($L85="YAKIN",ssy_kaliteSapma,0)-IF($F85="EVET",0,0)-IF($P85="YETIM",ssy_kaliteCeza,0))))</f>
        <v/>
      </c>
      <c r="N85" s="19">
        <f>IF($A85="","",IF(OR($D85&lt;ssy_esikSagimLt,$G85&gt;=ssy_esikBuzagiGun,$M85&lt;ssy_esikSaglik),"ALARM","UYGUN"))</f>
        <v/>
      </c>
      <c r="O85" s="19">
        <f>IF($A85="","",1)</f>
        <v/>
      </c>
      <c r="P85" s="19">
        <f>IF($A85="","",IF(OR($B85="",COUNTIF(tblVarliklar[VarlikId],$B85)=0),"YETIM","TAMAM"))</f>
        <v/>
      </c>
    </row>
    <row r="86">
      <c r="A86" s="15" t="n"/>
      <c r="B86" s="15" t="n"/>
      <c r="C86" s="60" t="n"/>
      <c r="D86" s="17" t="n"/>
      <c r="E86" s="17" t="n"/>
      <c r="F86" s="15" t="n"/>
      <c r="G86" s="16" t="n"/>
      <c r="H86" s="15" t="n"/>
      <c r="I86" s="19">
        <f>IF($A86="","",IFERROR(SUMIF(tblVarliklar[VarlikId],$B86,tblVarliklar[HedefSagimLt_lt]),ssy_varsayilanHedefLt))</f>
        <v/>
      </c>
      <c r="J86" s="19">
        <f>IF($A86="","",$D86-$I86)</f>
        <v/>
      </c>
      <c r="K86" s="19">
        <f>IF(OR($A86="",$I86=0),"",$J86/$I86)</f>
        <v/>
      </c>
      <c r="L86" s="19">
        <f>IF($A86="","",IF($G86&gt;=ssy_esikBuzagiGun,"YAKIN","NORMAL"))</f>
        <v/>
      </c>
      <c r="M86" s="19">
        <f>IF($A86="","",MAX(0,MIN(100,ssy_kaliteTaban-IF($D86&lt;ssy_esikSagimLt,ssy_kaliteCeza,0)-IF($L86="YAKIN",ssy_kaliteSapma,0)-IF($F86="EVET",0,0)-IF($P86="YETIM",ssy_kaliteCeza,0))))</f>
        <v/>
      </c>
      <c r="N86" s="19">
        <f>IF($A86="","",IF(OR($D86&lt;ssy_esikSagimLt,$G86&gt;=ssy_esikBuzagiGun,$M86&lt;ssy_esikSaglik),"ALARM","UYGUN"))</f>
        <v/>
      </c>
      <c r="O86" s="19">
        <f>IF($A86="","",1)</f>
        <v/>
      </c>
      <c r="P86" s="19">
        <f>IF($A86="","",IF(OR($B86="",COUNTIF(tblVarliklar[VarlikId],$B86)=0),"YETIM","TAMAM"))</f>
        <v/>
      </c>
    </row>
    <row r="87">
      <c r="A87" s="15" t="n"/>
      <c r="B87" s="15" t="n"/>
      <c r="C87" s="60" t="n"/>
      <c r="D87" s="17" t="n"/>
      <c r="E87" s="17" t="n"/>
      <c r="F87" s="15" t="n"/>
      <c r="G87" s="16" t="n"/>
      <c r="H87" s="15" t="n"/>
      <c r="I87" s="19">
        <f>IF($A87="","",IFERROR(SUMIF(tblVarliklar[VarlikId],$B87,tblVarliklar[HedefSagimLt_lt]),ssy_varsayilanHedefLt))</f>
        <v/>
      </c>
      <c r="J87" s="19">
        <f>IF($A87="","",$D87-$I87)</f>
        <v/>
      </c>
      <c r="K87" s="19">
        <f>IF(OR($A87="",$I87=0),"",$J87/$I87)</f>
        <v/>
      </c>
      <c r="L87" s="19">
        <f>IF($A87="","",IF($G87&gt;=ssy_esikBuzagiGun,"YAKIN","NORMAL"))</f>
        <v/>
      </c>
      <c r="M87" s="19">
        <f>IF($A87="","",MAX(0,MIN(100,ssy_kaliteTaban-IF($D87&lt;ssy_esikSagimLt,ssy_kaliteCeza,0)-IF($L87="YAKIN",ssy_kaliteSapma,0)-IF($F87="EVET",0,0)-IF($P87="YETIM",ssy_kaliteCeza,0))))</f>
        <v/>
      </c>
      <c r="N87" s="19">
        <f>IF($A87="","",IF(OR($D87&lt;ssy_esikSagimLt,$G87&gt;=ssy_esikBuzagiGun,$M87&lt;ssy_esikSaglik),"ALARM","UYGUN"))</f>
        <v/>
      </c>
      <c r="O87" s="19">
        <f>IF($A87="","",1)</f>
        <v/>
      </c>
      <c r="P87" s="19">
        <f>IF($A87="","",IF(OR($B87="",COUNTIF(tblVarliklar[VarlikId],$B87)=0),"YETIM","TAMAM"))</f>
        <v/>
      </c>
    </row>
    <row r="88">
      <c r="A88" s="15" t="n"/>
      <c r="B88" s="15" t="n"/>
      <c r="C88" s="60" t="n"/>
      <c r="D88" s="17" t="n"/>
      <c r="E88" s="17" t="n"/>
      <c r="F88" s="15" t="n"/>
      <c r="G88" s="16" t="n"/>
      <c r="H88" s="15" t="n"/>
      <c r="I88" s="19">
        <f>IF($A88="","",IFERROR(SUMIF(tblVarliklar[VarlikId],$B88,tblVarliklar[HedefSagimLt_lt]),ssy_varsayilanHedefLt))</f>
        <v/>
      </c>
      <c r="J88" s="19">
        <f>IF($A88="","",$D88-$I88)</f>
        <v/>
      </c>
      <c r="K88" s="19">
        <f>IF(OR($A88="",$I88=0),"",$J88/$I88)</f>
        <v/>
      </c>
      <c r="L88" s="19">
        <f>IF($A88="","",IF($G88&gt;=ssy_esikBuzagiGun,"YAKIN","NORMAL"))</f>
        <v/>
      </c>
      <c r="M88" s="19">
        <f>IF($A88="","",MAX(0,MIN(100,ssy_kaliteTaban-IF($D88&lt;ssy_esikSagimLt,ssy_kaliteCeza,0)-IF($L88="YAKIN",ssy_kaliteSapma,0)-IF($F88="EVET",0,0)-IF($P88="YETIM",ssy_kaliteCeza,0))))</f>
        <v/>
      </c>
      <c r="N88" s="19">
        <f>IF($A88="","",IF(OR($D88&lt;ssy_esikSagimLt,$G88&gt;=ssy_esikBuzagiGun,$M88&lt;ssy_esikSaglik),"ALARM","UYGUN"))</f>
        <v/>
      </c>
      <c r="O88" s="19">
        <f>IF($A88="","",1)</f>
        <v/>
      </c>
      <c r="P88" s="19">
        <f>IF($A88="","",IF(OR($B88="",COUNTIF(tblVarliklar[VarlikId],$B88)=0),"YETIM","TAMAM"))</f>
        <v/>
      </c>
    </row>
    <row r="89">
      <c r="A89" s="15" t="n"/>
      <c r="B89" s="15" t="n"/>
      <c r="C89" s="60" t="n"/>
      <c r="D89" s="17" t="n"/>
      <c r="E89" s="17" t="n"/>
      <c r="F89" s="15" t="n"/>
      <c r="G89" s="16" t="n"/>
      <c r="H89" s="15" t="n"/>
      <c r="I89" s="19">
        <f>IF($A89="","",IFERROR(SUMIF(tblVarliklar[VarlikId],$B89,tblVarliklar[HedefSagimLt_lt]),ssy_varsayilanHedefLt))</f>
        <v/>
      </c>
      <c r="J89" s="19">
        <f>IF($A89="","",$D89-$I89)</f>
        <v/>
      </c>
      <c r="K89" s="19">
        <f>IF(OR($A89="",$I89=0),"",$J89/$I89)</f>
        <v/>
      </c>
      <c r="L89" s="19">
        <f>IF($A89="","",IF($G89&gt;=ssy_esikBuzagiGun,"YAKIN","NORMAL"))</f>
        <v/>
      </c>
      <c r="M89" s="19">
        <f>IF($A89="","",MAX(0,MIN(100,ssy_kaliteTaban-IF($D89&lt;ssy_esikSagimLt,ssy_kaliteCeza,0)-IF($L89="YAKIN",ssy_kaliteSapma,0)-IF($F89="EVET",0,0)-IF($P89="YETIM",ssy_kaliteCeza,0))))</f>
        <v/>
      </c>
      <c r="N89" s="19">
        <f>IF($A89="","",IF(OR($D89&lt;ssy_esikSagimLt,$G89&gt;=ssy_esikBuzagiGun,$M89&lt;ssy_esikSaglik),"ALARM","UYGUN"))</f>
        <v/>
      </c>
      <c r="O89" s="19">
        <f>IF($A89="","",1)</f>
        <v/>
      </c>
      <c r="P89" s="19">
        <f>IF($A89="","",IF(OR($B89="",COUNTIF(tblVarliklar[VarlikId],$B89)=0),"YETIM","TAMAM"))</f>
        <v/>
      </c>
    </row>
    <row r="90">
      <c r="A90" s="15" t="n"/>
      <c r="B90" s="15" t="n"/>
      <c r="C90" s="60" t="n"/>
      <c r="D90" s="17" t="n"/>
      <c r="E90" s="17" t="n"/>
      <c r="F90" s="15" t="n"/>
      <c r="G90" s="16" t="n"/>
      <c r="H90" s="15" t="n"/>
      <c r="I90" s="19">
        <f>IF($A90="","",IFERROR(SUMIF(tblVarliklar[VarlikId],$B90,tblVarliklar[HedefSagimLt_lt]),ssy_varsayilanHedefLt))</f>
        <v/>
      </c>
      <c r="J90" s="19">
        <f>IF($A90="","",$D90-$I90)</f>
        <v/>
      </c>
      <c r="K90" s="19">
        <f>IF(OR($A90="",$I90=0),"",$J90/$I90)</f>
        <v/>
      </c>
      <c r="L90" s="19">
        <f>IF($A90="","",IF($G90&gt;=ssy_esikBuzagiGun,"YAKIN","NORMAL"))</f>
        <v/>
      </c>
      <c r="M90" s="19">
        <f>IF($A90="","",MAX(0,MIN(100,ssy_kaliteTaban-IF($D90&lt;ssy_esikSagimLt,ssy_kaliteCeza,0)-IF($L90="YAKIN",ssy_kaliteSapma,0)-IF($F90="EVET",0,0)-IF($P90="YETIM",ssy_kaliteCeza,0))))</f>
        <v/>
      </c>
      <c r="N90" s="19">
        <f>IF($A90="","",IF(OR($D90&lt;ssy_esikSagimLt,$G90&gt;=ssy_esikBuzagiGun,$M90&lt;ssy_esikSaglik),"ALARM","UYGUN"))</f>
        <v/>
      </c>
      <c r="O90" s="19">
        <f>IF($A90="","",1)</f>
        <v/>
      </c>
      <c r="P90" s="19">
        <f>IF($A90="","",IF(OR($B90="",COUNTIF(tblVarliklar[VarlikId],$B90)=0),"YETIM","TAMAM"))</f>
        <v/>
      </c>
    </row>
    <row r="91">
      <c r="A91" s="15" t="n"/>
      <c r="B91" s="15" t="n"/>
      <c r="C91" s="60" t="n"/>
      <c r="D91" s="17" t="n"/>
      <c r="E91" s="17" t="n"/>
      <c r="F91" s="15" t="n"/>
      <c r="G91" s="16" t="n"/>
      <c r="H91" s="15" t="n"/>
      <c r="I91" s="19">
        <f>IF($A91="","",IFERROR(SUMIF(tblVarliklar[VarlikId],$B91,tblVarliklar[HedefSagimLt_lt]),ssy_varsayilanHedefLt))</f>
        <v/>
      </c>
      <c r="J91" s="19">
        <f>IF($A91="","",$D91-$I91)</f>
        <v/>
      </c>
      <c r="K91" s="19">
        <f>IF(OR($A91="",$I91=0),"",$J91/$I91)</f>
        <v/>
      </c>
      <c r="L91" s="19">
        <f>IF($A91="","",IF($G91&gt;=ssy_esikBuzagiGun,"YAKIN","NORMAL"))</f>
        <v/>
      </c>
      <c r="M91" s="19">
        <f>IF($A91="","",MAX(0,MIN(100,ssy_kaliteTaban-IF($D91&lt;ssy_esikSagimLt,ssy_kaliteCeza,0)-IF($L91="YAKIN",ssy_kaliteSapma,0)-IF($F91="EVET",0,0)-IF($P91="YETIM",ssy_kaliteCeza,0))))</f>
        <v/>
      </c>
      <c r="N91" s="19">
        <f>IF($A91="","",IF(OR($D91&lt;ssy_esikSagimLt,$G91&gt;=ssy_esikBuzagiGun,$M91&lt;ssy_esikSaglik),"ALARM","UYGUN"))</f>
        <v/>
      </c>
      <c r="O91" s="19">
        <f>IF($A91="","",1)</f>
        <v/>
      </c>
      <c r="P91" s="19">
        <f>IF($A91="","",IF(OR($B91="",COUNTIF(tblVarliklar[VarlikId],$B91)=0),"YETIM","TAMAM"))</f>
        <v/>
      </c>
    </row>
    <row r="92">
      <c r="A92" s="15" t="n"/>
      <c r="B92" s="15" t="n"/>
      <c r="C92" s="60" t="n"/>
      <c r="D92" s="17" t="n"/>
      <c r="E92" s="17" t="n"/>
      <c r="F92" s="15" t="n"/>
      <c r="G92" s="16" t="n"/>
      <c r="H92" s="15" t="n"/>
      <c r="I92" s="19">
        <f>IF($A92="","",IFERROR(SUMIF(tblVarliklar[VarlikId],$B92,tblVarliklar[HedefSagimLt_lt]),ssy_varsayilanHedefLt))</f>
        <v/>
      </c>
      <c r="J92" s="19">
        <f>IF($A92="","",$D92-$I92)</f>
        <v/>
      </c>
      <c r="K92" s="19">
        <f>IF(OR($A92="",$I92=0),"",$J92/$I92)</f>
        <v/>
      </c>
      <c r="L92" s="19">
        <f>IF($A92="","",IF($G92&gt;=ssy_esikBuzagiGun,"YAKIN","NORMAL"))</f>
        <v/>
      </c>
      <c r="M92" s="19">
        <f>IF($A92="","",MAX(0,MIN(100,ssy_kaliteTaban-IF($D92&lt;ssy_esikSagimLt,ssy_kaliteCeza,0)-IF($L92="YAKIN",ssy_kaliteSapma,0)-IF($F92="EVET",0,0)-IF($P92="YETIM",ssy_kaliteCeza,0))))</f>
        <v/>
      </c>
      <c r="N92" s="19">
        <f>IF($A92="","",IF(OR($D92&lt;ssy_esikSagimLt,$G92&gt;=ssy_esikBuzagiGun,$M92&lt;ssy_esikSaglik),"ALARM","UYGUN"))</f>
        <v/>
      </c>
      <c r="O92" s="19">
        <f>IF($A92="","",1)</f>
        <v/>
      </c>
      <c r="P92" s="19">
        <f>IF($A92="","",IF(OR($B92="",COUNTIF(tblVarliklar[VarlikId],$B92)=0),"YETIM","TAMAM"))</f>
        <v/>
      </c>
    </row>
    <row r="93">
      <c r="A93" s="15" t="n"/>
      <c r="B93" s="15" t="n"/>
      <c r="C93" s="60" t="n"/>
      <c r="D93" s="17" t="n"/>
      <c r="E93" s="17" t="n"/>
      <c r="F93" s="15" t="n"/>
      <c r="G93" s="16" t="n"/>
      <c r="H93" s="15" t="n"/>
      <c r="I93" s="19">
        <f>IF($A93="","",IFERROR(SUMIF(tblVarliklar[VarlikId],$B93,tblVarliklar[HedefSagimLt_lt]),ssy_varsayilanHedefLt))</f>
        <v/>
      </c>
      <c r="J93" s="19">
        <f>IF($A93="","",$D93-$I93)</f>
        <v/>
      </c>
      <c r="K93" s="19">
        <f>IF(OR($A93="",$I93=0),"",$J93/$I93)</f>
        <v/>
      </c>
      <c r="L93" s="19">
        <f>IF($A93="","",IF($G93&gt;=ssy_esikBuzagiGun,"YAKIN","NORMAL"))</f>
        <v/>
      </c>
      <c r="M93" s="19">
        <f>IF($A93="","",MAX(0,MIN(100,ssy_kaliteTaban-IF($D93&lt;ssy_esikSagimLt,ssy_kaliteCeza,0)-IF($L93="YAKIN",ssy_kaliteSapma,0)-IF($F93="EVET",0,0)-IF($P93="YETIM",ssy_kaliteCeza,0))))</f>
        <v/>
      </c>
      <c r="N93" s="19">
        <f>IF($A93="","",IF(OR($D93&lt;ssy_esikSagimLt,$G93&gt;=ssy_esikBuzagiGun,$M93&lt;ssy_esikSaglik),"ALARM","UYGUN"))</f>
        <v/>
      </c>
      <c r="O93" s="19">
        <f>IF($A93="","",1)</f>
        <v/>
      </c>
      <c r="P93" s="19">
        <f>IF($A93="","",IF(OR($B93="",COUNTIF(tblVarliklar[VarlikId],$B93)=0),"YETIM","TAMAM"))</f>
        <v/>
      </c>
    </row>
    <row r="94">
      <c r="A94" s="15" t="n"/>
      <c r="B94" s="15" t="n"/>
      <c r="C94" s="60" t="n"/>
      <c r="D94" s="17" t="n"/>
      <c r="E94" s="17" t="n"/>
      <c r="F94" s="15" t="n"/>
      <c r="G94" s="16" t="n"/>
      <c r="H94" s="15" t="n"/>
      <c r="I94" s="19">
        <f>IF($A94="","",IFERROR(SUMIF(tblVarliklar[VarlikId],$B94,tblVarliklar[HedefSagimLt_lt]),ssy_varsayilanHedefLt))</f>
        <v/>
      </c>
      <c r="J94" s="19">
        <f>IF($A94="","",$D94-$I94)</f>
        <v/>
      </c>
      <c r="K94" s="19">
        <f>IF(OR($A94="",$I94=0),"",$J94/$I94)</f>
        <v/>
      </c>
      <c r="L94" s="19">
        <f>IF($A94="","",IF($G94&gt;=ssy_esikBuzagiGun,"YAKIN","NORMAL"))</f>
        <v/>
      </c>
      <c r="M94" s="19">
        <f>IF($A94="","",MAX(0,MIN(100,ssy_kaliteTaban-IF($D94&lt;ssy_esikSagimLt,ssy_kaliteCeza,0)-IF($L94="YAKIN",ssy_kaliteSapma,0)-IF($F94="EVET",0,0)-IF($P94="YETIM",ssy_kaliteCeza,0))))</f>
        <v/>
      </c>
      <c r="N94" s="19">
        <f>IF($A94="","",IF(OR($D94&lt;ssy_esikSagimLt,$G94&gt;=ssy_esikBuzagiGun,$M94&lt;ssy_esikSaglik),"ALARM","UYGUN"))</f>
        <v/>
      </c>
      <c r="O94" s="19">
        <f>IF($A94="","",1)</f>
        <v/>
      </c>
      <c r="P94" s="19">
        <f>IF($A94="","",IF(OR($B94="",COUNTIF(tblVarliklar[VarlikId],$B94)=0),"YETIM","TAMAM"))</f>
        <v/>
      </c>
    </row>
    <row r="95">
      <c r="A95" s="15" t="n"/>
      <c r="B95" s="15" t="n"/>
      <c r="C95" s="60" t="n"/>
      <c r="D95" s="17" t="n"/>
      <c r="E95" s="17" t="n"/>
      <c r="F95" s="15" t="n"/>
      <c r="G95" s="16" t="n"/>
      <c r="H95" s="15" t="n"/>
      <c r="I95" s="19">
        <f>IF($A95="","",IFERROR(SUMIF(tblVarliklar[VarlikId],$B95,tblVarliklar[HedefSagimLt_lt]),ssy_varsayilanHedefLt))</f>
        <v/>
      </c>
      <c r="J95" s="19">
        <f>IF($A95="","",$D95-$I95)</f>
        <v/>
      </c>
      <c r="K95" s="19">
        <f>IF(OR($A95="",$I95=0),"",$J95/$I95)</f>
        <v/>
      </c>
      <c r="L95" s="19">
        <f>IF($A95="","",IF($G95&gt;=ssy_esikBuzagiGun,"YAKIN","NORMAL"))</f>
        <v/>
      </c>
      <c r="M95" s="19">
        <f>IF($A95="","",MAX(0,MIN(100,ssy_kaliteTaban-IF($D95&lt;ssy_esikSagimLt,ssy_kaliteCeza,0)-IF($L95="YAKIN",ssy_kaliteSapma,0)-IF($F95="EVET",0,0)-IF($P95="YETIM",ssy_kaliteCeza,0))))</f>
        <v/>
      </c>
      <c r="N95" s="19">
        <f>IF($A95="","",IF(OR($D95&lt;ssy_esikSagimLt,$G95&gt;=ssy_esikBuzagiGun,$M95&lt;ssy_esikSaglik),"ALARM","UYGUN"))</f>
        <v/>
      </c>
      <c r="O95" s="19">
        <f>IF($A95="","",1)</f>
        <v/>
      </c>
      <c r="P95" s="19">
        <f>IF($A95="","",IF(OR($B95="",COUNTIF(tblVarliklar[VarlikId],$B95)=0),"YETIM","TAMAM"))</f>
        <v/>
      </c>
    </row>
    <row r="96">
      <c r="A96" s="15" t="n"/>
      <c r="B96" s="15" t="n"/>
      <c r="C96" s="60" t="n"/>
      <c r="D96" s="17" t="n"/>
      <c r="E96" s="17" t="n"/>
      <c r="F96" s="15" t="n"/>
      <c r="G96" s="16" t="n"/>
      <c r="H96" s="15" t="n"/>
      <c r="I96" s="19">
        <f>IF($A96="","",IFERROR(SUMIF(tblVarliklar[VarlikId],$B96,tblVarliklar[HedefSagimLt_lt]),ssy_varsayilanHedefLt))</f>
        <v/>
      </c>
      <c r="J96" s="19">
        <f>IF($A96="","",$D96-$I96)</f>
        <v/>
      </c>
      <c r="K96" s="19">
        <f>IF(OR($A96="",$I96=0),"",$J96/$I96)</f>
        <v/>
      </c>
      <c r="L96" s="19">
        <f>IF($A96="","",IF($G96&gt;=ssy_esikBuzagiGun,"YAKIN","NORMAL"))</f>
        <v/>
      </c>
      <c r="M96" s="19">
        <f>IF($A96="","",MAX(0,MIN(100,ssy_kaliteTaban-IF($D96&lt;ssy_esikSagimLt,ssy_kaliteCeza,0)-IF($L96="YAKIN",ssy_kaliteSapma,0)-IF($F96="EVET",0,0)-IF($P96="YETIM",ssy_kaliteCeza,0))))</f>
        <v/>
      </c>
      <c r="N96" s="19">
        <f>IF($A96="","",IF(OR($D96&lt;ssy_esikSagimLt,$G96&gt;=ssy_esikBuzagiGun,$M96&lt;ssy_esikSaglik),"ALARM","UYGUN"))</f>
        <v/>
      </c>
      <c r="O96" s="19">
        <f>IF($A96="","",1)</f>
        <v/>
      </c>
      <c r="P96" s="19">
        <f>IF($A96="","",IF(OR($B96="",COUNTIF(tblVarliklar[VarlikId],$B96)=0),"YETIM","TAMAM"))</f>
        <v/>
      </c>
    </row>
    <row r="97">
      <c r="A97" s="15" t="n"/>
      <c r="B97" s="15" t="n"/>
      <c r="C97" s="60" t="n"/>
      <c r="D97" s="17" t="n"/>
      <c r="E97" s="17" t="n"/>
      <c r="F97" s="15" t="n"/>
      <c r="G97" s="16" t="n"/>
      <c r="H97" s="15" t="n"/>
      <c r="I97" s="19">
        <f>IF($A97="","",IFERROR(SUMIF(tblVarliklar[VarlikId],$B97,tblVarliklar[HedefSagimLt_lt]),ssy_varsayilanHedefLt))</f>
        <v/>
      </c>
      <c r="J97" s="19">
        <f>IF($A97="","",$D97-$I97)</f>
        <v/>
      </c>
      <c r="K97" s="19">
        <f>IF(OR($A97="",$I97=0),"",$J97/$I97)</f>
        <v/>
      </c>
      <c r="L97" s="19">
        <f>IF($A97="","",IF($G97&gt;=ssy_esikBuzagiGun,"YAKIN","NORMAL"))</f>
        <v/>
      </c>
      <c r="M97" s="19">
        <f>IF($A97="","",MAX(0,MIN(100,ssy_kaliteTaban-IF($D97&lt;ssy_esikSagimLt,ssy_kaliteCeza,0)-IF($L97="YAKIN",ssy_kaliteSapma,0)-IF($F97="EVET",0,0)-IF($P97="YETIM",ssy_kaliteCeza,0))))</f>
        <v/>
      </c>
      <c r="N97" s="19">
        <f>IF($A97="","",IF(OR($D97&lt;ssy_esikSagimLt,$G97&gt;=ssy_esikBuzagiGun,$M97&lt;ssy_esikSaglik),"ALARM","UYGUN"))</f>
        <v/>
      </c>
      <c r="O97" s="19">
        <f>IF($A97="","",1)</f>
        <v/>
      </c>
      <c r="P97" s="19">
        <f>IF($A97="","",IF(OR($B97="",COUNTIF(tblVarliklar[VarlikId],$B97)=0),"YETIM","TAMAM"))</f>
        <v/>
      </c>
    </row>
    <row r="98">
      <c r="A98" s="15" t="n"/>
      <c r="B98" s="15" t="n"/>
      <c r="C98" s="60" t="n"/>
      <c r="D98" s="17" t="n"/>
      <c r="E98" s="17" t="n"/>
      <c r="F98" s="15" t="n"/>
      <c r="G98" s="16" t="n"/>
      <c r="H98" s="15" t="n"/>
      <c r="I98" s="19">
        <f>IF($A98="","",IFERROR(SUMIF(tblVarliklar[VarlikId],$B98,tblVarliklar[HedefSagimLt_lt]),ssy_varsayilanHedefLt))</f>
        <v/>
      </c>
      <c r="J98" s="19">
        <f>IF($A98="","",$D98-$I98)</f>
        <v/>
      </c>
      <c r="K98" s="19">
        <f>IF(OR($A98="",$I98=0),"",$J98/$I98)</f>
        <v/>
      </c>
      <c r="L98" s="19">
        <f>IF($A98="","",IF($G98&gt;=ssy_esikBuzagiGun,"YAKIN","NORMAL"))</f>
        <v/>
      </c>
      <c r="M98" s="19">
        <f>IF($A98="","",MAX(0,MIN(100,ssy_kaliteTaban-IF($D98&lt;ssy_esikSagimLt,ssy_kaliteCeza,0)-IF($L98="YAKIN",ssy_kaliteSapma,0)-IF($F98="EVET",0,0)-IF($P98="YETIM",ssy_kaliteCeza,0))))</f>
        <v/>
      </c>
      <c r="N98" s="19">
        <f>IF($A98="","",IF(OR($D98&lt;ssy_esikSagimLt,$G98&gt;=ssy_esikBuzagiGun,$M98&lt;ssy_esikSaglik),"ALARM","UYGUN"))</f>
        <v/>
      </c>
      <c r="O98" s="19">
        <f>IF($A98="","",1)</f>
        <v/>
      </c>
      <c r="P98" s="19">
        <f>IF($A98="","",IF(OR($B98="",COUNTIF(tblVarliklar[VarlikId],$B98)=0),"YETIM","TAMAM"))</f>
        <v/>
      </c>
    </row>
    <row r="99">
      <c r="A99" s="15" t="n"/>
      <c r="B99" s="15" t="n"/>
      <c r="C99" s="60" t="n"/>
      <c r="D99" s="17" t="n"/>
      <c r="E99" s="17" t="n"/>
      <c r="F99" s="15" t="n"/>
      <c r="G99" s="16" t="n"/>
      <c r="H99" s="15" t="n"/>
      <c r="I99" s="19">
        <f>IF($A99="","",IFERROR(SUMIF(tblVarliklar[VarlikId],$B99,tblVarliklar[HedefSagimLt_lt]),ssy_varsayilanHedefLt))</f>
        <v/>
      </c>
      <c r="J99" s="19">
        <f>IF($A99="","",$D99-$I99)</f>
        <v/>
      </c>
      <c r="K99" s="19">
        <f>IF(OR($A99="",$I99=0),"",$J99/$I99)</f>
        <v/>
      </c>
      <c r="L99" s="19">
        <f>IF($A99="","",IF($G99&gt;=ssy_esikBuzagiGun,"YAKIN","NORMAL"))</f>
        <v/>
      </c>
      <c r="M99" s="19">
        <f>IF($A99="","",MAX(0,MIN(100,ssy_kaliteTaban-IF($D99&lt;ssy_esikSagimLt,ssy_kaliteCeza,0)-IF($L99="YAKIN",ssy_kaliteSapma,0)-IF($F99="EVET",0,0)-IF($P99="YETIM",ssy_kaliteCeza,0))))</f>
        <v/>
      </c>
      <c r="N99" s="19">
        <f>IF($A99="","",IF(OR($D99&lt;ssy_esikSagimLt,$G99&gt;=ssy_esikBuzagiGun,$M99&lt;ssy_esikSaglik),"ALARM","UYGUN"))</f>
        <v/>
      </c>
      <c r="O99" s="19">
        <f>IF($A99="","",1)</f>
        <v/>
      </c>
      <c r="P99" s="19">
        <f>IF($A99="","",IF(OR($B99="",COUNTIF(tblVarliklar[VarlikId],$B99)=0),"YETIM","TAMAM"))</f>
        <v/>
      </c>
    </row>
    <row r="100">
      <c r="A100" s="15" t="n"/>
      <c r="B100" s="15" t="n"/>
      <c r="C100" s="60" t="n"/>
      <c r="D100" s="17" t="n"/>
      <c r="E100" s="17" t="n"/>
      <c r="F100" s="15" t="n"/>
      <c r="G100" s="16" t="n"/>
      <c r="H100" s="15" t="n"/>
      <c r="I100" s="19">
        <f>IF($A100="","",IFERROR(SUMIF(tblVarliklar[VarlikId],$B100,tblVarliklar[HedefSagimLt_lt]),ssy_varsayilanHedefLt))</f>
        <v/>
      </c>
      <c r="J100" s="19">
        <f>IF($A100="","",$D100-$I100)</f>
        <v/>
      </c>
      <c r="K100" s="19">
        <f>IF(OR($A100="",$I100=0),"",$J100/$I100)</f>
        <v/>
      </c>
      <c r="L100" s="19">
        <f>IF($A100="","",IF($G100&gt;=ssy_esikBuzagiGun,"YAKIN","NORMAL"))</f>
        <v/>
      </c>
      <c r="M100" s="19">
        <f>IF($A100="","",MAX(0,MIN(100,ssy_kaliteTaban-IF($D100&lt;ssy_esikSagimLt,ssy_kaliteCeza,0)-IF($L100="YAKIN",ssy_kaliteSapma,0)-IF($F100="EVET",0,0)-IF($P100="YETIM",ssy_kaliteCeza,0))))</f>
        <v/>
      </c>
      <c r="N100" s="19">
        <f>IF($A100="","",IF(OR($D100&lt;ssy_esikSagimLt,$G100&gt;=ssy_esikBuzagiGun,$M100&lt;ssy_esikSaglik),"ALARM","UYGUN"))</f>
        <v/>
      </c>
      <c r="O100" s="19">
        <f>IF($A100="","",1)</f>
        <v/>
      </c>
      <c r="P100" s="19">
        <f>IF($A100="","",IF(OR($B100="",COUNTIF(tblVarliklar[VarlikId],$B100)=0),"YETIM","TAMAM"))</f>
        <v/>
      </c>
    </row>
    <row r="101">
      <c r="A101" s="15" t="n"/>
      <c r="B101" s="15" t="n"/>
      <c r="C101" s="60" t="n"/>
      <c r="D101" s="17" t="n"/>
      <c r="E101" s="17" t="n"/>
      <c r="F101" s="15" t="n"/>
      <c r="G101" s="16" t="n"/>
      <c r="H101" s="15" t="n"/>
      <c r="I101" s="19">
        <f>IF($A101="","",IFERROR(SUMIF(tblVarliklar[VarlikId],$B101,tblVarliklar[HedefSagimLt_lt]),ssy_varsayilanHedefLt))</f>
        <v/>
      </c>
      <c r="J101" s="19">
        <f>IF($A101="","",$D101-$I101)</f>
        <v/>
      </c>
      <c r="K101" s="19">
        <f>IF(OR($A101="",$I101=0),"",$J101/$I101)</f>
        <v/>
      </c>
      <c r="L101" s="19">
        <f>IF($A101="","",IF($G101&gt;=ssy_esikBuzagiGun,"YAKIN","NORMAL"))</f>
        <v/>
      </c>
      <c r="M101" s="19">
        <f>IF($A101="","",MAX(0,MIN(100,ssy_kaliteTaban-IF($D101&lt;ssy_esikSagimLt,ssy_kaliteCeza,0)-IF($L101="YAKIN",ssy_kaliteSapma,0)-IF($F101="EVET",0,0)-IF($P101="YETIM",ssy_kaliteCeza,0))))</f>
        <v/>
      </c>
      <c r="N101" s="19">
        <f>IF($A101="","",IF(OR($D101&lt;ssy_esikSagimLt,$G101&gt;=ssy_esikBuzagiGun,$M101&lt;ssy_esikSaglik),"ALARM","UYGUN"))</f>
        <v/>
      </c>
      <c r="O101" s="19">
        <f>IF($A101="","",1)</f>
        <v/>
      </c>
      <c r="P101" s="19">
        <f>IF($A101="","",IF(OR($B101="",COUNTIF(tblVarliklar[VarlikId],$B101)=0),"YETIM","TAMAM"))</f>
        <v/>
      </c>
    </row>
    <row r="102">
      <c r="A102" s="15" t="n"/>
      <c r="B102" s="15" t="n"/>
      <c r="C102" s="60" t="n"/>
      <c r="D102" s="17" t="n"/>
      <c r="E102" s="17" t="n"/>
      <c r="F102" s="15" t="n"/>
      <c r="G102" s="16" t="n"/>
      <c r="H102" s="15" t="n"/>
      <c r="I102" s="19">
        <f>IF($A102="","",IFERROR(SUMIF(tblVarliklar[VarlikId],$B102,tblVarliklar[HedefSagimLt_lt]),ssy_varsayilanHedefLt))</f>
        <v/>
      </c>
      <c r="J102" s="19">
        <f>IF($A102="","",$D102-$I102)</f>
        <v/>
      </c>
      <c r="K102" s="19">
        <f>IF(OR($A102="",$I102=0),"",$J102/$I102)</f>
        <v/>
      </c>
      <c r="L102" s="19">
        <f>IF($A102="","",IF($G102&gt;=ssy_esikBuzagiGun,"YAKIN","NORMAL"))</f>
        <v/>
      </c>
      <c r="M102" s="19">
        <f>IF($A102="","",MAX(0,MIN(100,ssy_kaliteTaban-IF($D102&lt;ssy_esikSagimLt,ssy_kaliteCeza,0)-IF($L102="YAKIN",ssy_kaliteSapma,0)-IF($F102="EVET",0,0)-IF($P102="YETIM",ssy_kaliteCeza,0))))</f>
        <v/>
      </c>
      <c r="N102" s="19">
        <f>IF($A102="","",IF(OR($D102&lt;ssy_esikSagimLt,$G102&gt;=ssy_esikBuzagiGun,$M102&lt;ssy_esikSaglik),"ALARM","UYGUN"))</f>
        <v/>
      </c>
      <c r="O102" s="19">
        <f>IF($A102="","",1)</f>
        <v/>
      </c>
      <c r="P102" s="19">
        <f>IF($A102="","",IF(OR($B102="",COUNTIF(tblVarliklar[VarlikId],$B102)=0),"YETIM","TAMAM"))</f>
        <v/>
      </c>
    </row>
    <row r="103">
      <c r="A103" s="15" t="n"/>
      <c r="B103" s="15" t="n"/>
      <c r="C103" s="60" t="n"/>
      <c r="D103" s="17" t="n"/>
      <c r="E103" s="17" t="n"/>
      <c r="F103" s="15" t="n"/>
      <c r="G103" s="16" t="n"/>
      <c r="H103" s="15" t="n"/>
      <c r="I103" s="19">
        <f>IF($A103="","",IFERROR(SUMIF(tblVarliklar[VarlikId],$B103,tblVarliklar[HedefSagimLt_lt]),ssy_varsayilanHedefLt))</f>
        <v/>
      </c>
      <c r="J103" s="19">
        <f>IF($A103="","",$D103-$I103)</f>
        <v/>
      </c>
      <c r="K103" s="19">
        <f>IF(OR($A103="",$I103=0),"",$J103/$I103)</f>
        <v/>
      </c>
      <c r="L103" s="19">
        <f>IF($A103="","",IF($G103&gt;=ssy_esikBuzagiGun,"YAKIN","NORMAL"))</f>
        <v/>
      </c>
      <c r="M103" s="19">
        <f>IF($A103="","",MAX(0,MIN(100,ssy_kaliteTaban-IF($D103&lt;ssy_esikSagimLt,ssy_kaliteCeza,0)-IF($L103="YAKIN",ssy_kaliteSapma,0)-IF($F103="EVET",0,0)-IF($P103="YETIM",ssy_kaliteCeza,0))))</f>
        <v/>
      </c>
      <c r="N103" s="19">
        <f>IF($A103="","",IF(OR($D103&lt;ssy_esikSagimLt,$G103&gt;=ssy_esikBuzagiGun,$M103&lt;ssy_esikSaglik),"ALARM","UYGUN"))</f>
        <v/>
      </c>
      <c r="O103" s="19">
        <f>IF($A103="","",1)</f>
        <v/>
      </c>
      <c r="P103" s="19">
        <f>IF($A103="","",IF(OR($B103="",COUNTIF(tblVarliklar[VarlikId],$B103)=0),"YETIM","TAMAM"))</f>
        <v/>
      </c>
    </row>
    <row r="104">
      <c r="A104" s="15" t="n"/>
      <c r="B104" s="15" t="n"/>
      <c r="C104" s="60" t="n"/>
      <c r="D104" s="17" t="n"/>
      <c r="E104" s="17" t="n"/>
      <c r="F104" s="15" t="n"/>
      <c r="G104" s="16" t="n"/>
      <c r="H104" s="15" t="n"/>
      <c r="I104" s="19">
        <f>IF($A104="","",IFERROR(SUMIF(tblVarliklar[VarlikId],$B104,tblVarliklar[HedefSagimLt_lt]),ssy_varsayilanHedefLt))</f>
        <v/>
      </c>
      <c r="J104" s="19">
        <f>IF($A104="","",$D104-$I104)</f>
        <v/>
      </c>
      <c r="K104" s="19">
        <f>IF(OR($A104="",$I104=0),"",$J104/$I104)</f>
        <v/>
      </c>
      <c r="L104" s="19">
        <f>IF($A104="","",IF($G104&gt;=ssy_esikBuzagiGun,"YAKIN","NORMAL"))</f>
        <v/>
      </c>
      <c r="M104" s="19">
        <f>IF($A104="","",MAX(0,MIN(100,ssy_kaliteTaban-IF($D104&lt;ssy_esikSagimLt,ssy_kaliteCeza,0)-IF($L104="YAKIN",ssy_kaliteSapma,0)-IF($F104="EVET",0,0)-IF($P104="YETIM",ssy_kaliteCeza,0))))</f>
        <v/>
      </c>
      <c r="N104" s="19">
        <f>IF($A104="","",IF(OR($D104&lt;ssy_esikSagimLt,$G104&gt;=ssy_esikBuzagiGun,$M104&lt;ssy_esikSaglik),"ALARM","UYGUN"))</f>
        <v/>
      </c>
      <c r="O104" s="19">
        <f>IF($A104="","",1)</f>
        <v/>
      </c>
      <c r="P104" s="19">
        <f>IF($A104="","",IF(OR($B104="",COUNTIF(tblVarliklar[VarlikId],$B104)=0),"YETIM","TAMAM"))</f>
        <v/>
      </c>
    </row>
    <row r="105">
      <c r="A105" s="15" t="n"/>
      <c r="B105" s="15" t="n"/>
      <c r="C105" s="60" t="n"/>
      <c r="D105" s="17" t="n"/>
      <c r="E105" s="17" t="n"/>
      <c r="F105" s="15" t="n"/>
      <c r="G105" s="16" t="n"/>
      <c r="H105" s="15" t="n"/>
      <c r="I105" s="19">
        <f>IF($A105="","",IFERROR(SUMIF(tblVarliklar[VarlikId],$B105,tblVarliklar[HedefSagimLt_lt]),ssy_varsayilanHedefLt))</f>
        <v/>
      </c>
      <c r="J105" s="19">
        <f>IF($A105="","",$D105-$I105)</f>
        <v/>
      </c>
      <c r="K105" s="19">
        <f>IF(OR($A105="",$I105=0),"",$J105/$I105)</f>
        <v/>
      </c>
      <c r="L105" s="19">
        <f>IF($A105="","",IF($G105&gt;=ssy_esikBuzagiGun,"YAKIN","NORMAL"))</f>
        <v/>
      </c>
      <c r="M105" s="19">
        <f>IF($A105="","",MAX(0,MIN(100,ssy_kaliteTaban-IF($D105&lt;ssy_esikSagimLt,ssy_kaliteCeza,0)-IF($L105="YAKIN",ssy_kaliteSapma,0)-IF($F105="EVET",0,0)-IF($P105="YETIM",ssy_kaliteCeza,0))))</f>
        <v/>
      </c>
      <c r="N105" s="19">
        <f>IF($A105="","",IF(OR($D105&lt;ssy_esikSagimLt,$G105&gt;=ssy_esikBuzagiGun,$M105&lt;ssy_esikSaglik),"ALARM","UYGUN"))</f>
        <v/>
      </c>
      <c r="O105" s="19">
        <f>IF($A105="","",1)</f>
        <v/>
      </c>
      <c r="P105" s="19">
        <f>IF($A105="","",IF(OR($B105="",COUNTIF(tblVarliklar[VarlikId],$B105)=0),"YETIM","TAMAM"))</f>
        <v/>
      </c>
    </row>
    <row r="106">
      <c r="A106" s="15" t="n"/>
      <c r="B106" s="15" t="n"/>
      <c r="C106" s="60" t="n"/>
      <c r="D106" s="17" t="n"/>
      <c r="E106" s="17" t="n"/>
      <c r="F106" s="15" t="n"/>
      <c r="G106" s="16" t="n"/>
      <c r="H106" s="15" t="n"/>
      <c r="I106" s="19">
        <f>IF($A106="","",IFERROR(SUMIF(tblVarliklar[VarlikId],$B106,tblVarliklar[HedefSagimLt_lt]),ssy_varsayilanHedefLt))</f>
        <v/>
      </c>
      <c r="J106" s="19">
        <f>IF($A106="","",$D106-$I106)</f>
        <v/>
      </c>
      <c r="K106" s="19">
        <f>IF(OR($A106="",$I106=0),"",$J106/$I106)</f>
        <v/>
      </c>
      <c r="L106" s="19">
        <f>IF($A106="","",IF($G106&gt;=ssy_esikBuzagiGun,"YAKIN","NORMAL"))</f>
        <v/>
      </c>
      <c r="M106" s="19">
        <f>IF($A106="","",MAX(0,MIN(100,ssy_kaliteTaban-IF($D106&lt;ssy_esikSagimLt,ssy_kaliteCeza,0)-IF($L106="YAKIN",ssy_kaliteSapma,0)-IF($F106="EVET",0,0)-IF($P106="YETIM",ssy_kaliteCeza,0))))</f>
        <v/>
      </c>
      <c r="N106" s="19">
        <f>IF($A106="","",IF(OR($D106&lt;ssy_esikSagimLt,$G106&gt;=ssy_esikBuzagiGun,$M106&lt;ssy_esikSaglik),"ALARM","UYGUN"))</f>
        <v/>
      </c>
      <c r="O106" s="19">
        <f>IF($A106="","",1)</f>
        <v/>
      </c>
      <c r="P106" s="19">
        <f>IF($A106="","",IF(OR($B106="",COUNTIF(tblVarliklar[VarlikId],$B106)=0),"YETIM","TAMAM"))</f>
        <v/>
      </c>
    </row>
    <row r="107">
      <c r="A107" s="15" t="n"/>
      <c r="B107" s="15" t="n"/>
      <c r="C107" s="60" t="n"/>
      <c r="D107" s="17" t="n"/>
      <c r="E107" s="17" t="n"/>
      <c r="F107" s="15" t="n"/>
      <c r="G107" s="16" t="n"/>
      <c r="H107" s="15" t="n"/>
      <c r="I107" s="19">
        <f>IF($A107="","",IFERROR(SUMIF(tblVarliklar[VarlikId],$B107,tblVarliklar[HedefSagimLt_lt]),ssy_varsayilanHedefLt))</f>
        <v/>
      </c>
      <c r="J107" s="19">
        <f>IF($A107="","",$D107-$I107)</f>
        <v/>
      </c>
      <c r="K107" s="19">
        <f>IF(OR($A107="",$I107=0),"",$J107/$I107)</f>
        <v/>
      </c>
      <c r="L107" s="19">
        <f>IF($A107="","",IF($G107&gt;=ssy_esikBuzagiGun,"YAKIN","NORMAL"))</f>
        <v/>
      </c>
      <c r="M107" s="19">
        <f>IF($A107="","",MAX(0,MIN(100,ssy_kaliteTaban-IF($D107&lt;ssy_esikSagimLt,ssy_kaliteCeza,0)-IF($L107="YAKIN",ssy_kaliteSapma,0)-IF($F107="EVET",0,0)-IF($P107="YETIM",ssy_kaliteCeza,0))))</f>
        <v/>
      </c>
      <c r="N107" s="19">
        <f>IF($A107="","",IF(OR($D107&lt;ssy_esikSagimLt,$G107&gt;=ssy_esikBuzagiGun,$M107&lt;ssy_esikSaglik),"ALARM","UYGUN"))</f>
        <v/>
      </c>
      <c r="O107" s="19">
        <f>IF($A107="","",1)</f>
        <v/>
      </c>
      <c r="P107" s="19">
        <f>IF($A107="","",IF(OR($B107="",COUNTIF(tblVarliklar[VarlikId],$B107)=0),"YETIM","TAMAM"))</f>
        <v/>
      </c>
    </row>
    <row r="108">
      <c r="A108" s="15" t="n"/>
      <c r="B108" s="15" t="n"/>
      <c r="C108" s="60" t="n"/>
      <c r="D108" s="17" t="n"/>
      <c r="E108" s="17" t="n"/>
      <c r="F108" s="15" t="n"/>
      <c r="G108" s="16" t="n"/>
      <c r="H108" s="15" t="n"/>
      <c r="I108" s="19">
        <f>IF($A108="","",IFERROR(SUMIF(tblVarliklar[VarlikId],$B108,tblVarliklar[HedefSagimLt_lt]),ssy_varsayilanHedefLt))</f>
        <v/>
      </c>
      <c r="J108" s="19">
        <f>IF($A108="","",$D108-$I108)</f>
        <v/>
      </c>
      <c r="K108" s="19">
        <f>IF(OR($A108="",$I108=0),"",$J108/$I108)</f>
        <v/>
      </c>
      <c r="L108" s="19">
        <f>IF($A108="","",IF($G108&gt;=ssy_esikBuzagiGun,"YAKIN","NORMAL"))</f>
        <v/>
      </c>
      <c r="M108" s="19">
        <f>IF($A108="","",MAX(0,MIN(100,ssy_kaliteTaban-IF($D108&lt;ssy_esikSagimLt,ssy_kaliteCeza,0)-IF($L108="YAKIN",ssy_kaliteSapma,0)-IF($F108="EVET",0,0)-IF($P108="YETIM",ssy_kaliteCeza,0))))</f>
        <v/>
      </c>
      <c r="N108" s="19">
        <f>IF($A108="","",IF(OR($D108&lt;ssy_esikSagimLt,$G108&gt;=ssy_esikBuzagiGun,$M108&lt;ssy_esikSaglik),"ALARM","UYGUN"))</f>
        <v/>
      </c>
      <c r="O108" s="19">
        <f>IF($A108="","",1)</f>
        <v/>
      </c>
      <c r="P108" s="19">
        <f>IF($A108="","",IF(OR($B108="",COUNTIF(tblVarliklar[VarlikId],$B108)=0),"YETIM","TAMAM"))</f>
        <v/>
      </c>
    </row>
    <row r="109">
      <c r="A109" s="15" t="n"/>
      <c r="B109" s="15" t="n"/>
      <c r="C109" s="60" t="n"/>
      <c r="D109" s="17" t="n"/>
      <c r="E109" s="17" t="n"/>
      <c r="F109" s="15" t="n"/>
      <c r="G109" s="16" t="n"/>
      <c r="H109" s="15" t="n"/>
      <c r="I109" s="19">
        <f>IF($A109="","",IFERROR(SUMIF(tblVarliklar[VarlikId],$B109,tblVarliklar[HedefSagimLt_lt]),ssy_varsayilanHedefLt))</f>
        <v/>
      </c>
      <c r="J109" s="19">
        <f>IF($A109="","",$D109-$I109)</f>
        <v/>
      </c>
      <c r="K109" s="19">
        <f>IF(OR($A109="",$I109=0),"",$J109/$I109)</f>
        <v/>
      </c>
      <c r="L109" s="19">
        <f>IF($A109="","",IF($G109&gt;=ssy_esikBuzagiGun,"YAKIN","NORMAL"))</f>
        <v/>
      </c>
      <c r="M109" s="19">
        <f>IF($A109="","",MAX(0,MIN(100,ssy_kaliteTaban-IF($D109&lt;ssy_esikSagimLt,ssy_kaliteCeza,0)-IF($L109="YAKIN",ssy_kaliteSapma,0)-IF($F109="EVET",0,0)-IF($P109="YETIM",ssy_kaliteCeza,0))))</f>
        <v/>
      </c>
      <c r="N109" s="19">
        <f>IF($A109="","",IF(OR($D109&lt;ssy_esikSagimLt,$G109&gt;=ssy_esikBuzagiGun,$M109&lt;ssy_esikSaglik),"ALARM","UYGUN"))</f>
        <v/>
      </c>
      <c r="O109" s="19">
        <f>IF($A109="","",1)</f>
        <v/>
      </c>
      <c r="P109" s="19">
        <f>IF($A109="","",IF(OR($B109="",COUNTIF(tblVarliklar[VarlikId],$B109)=0),"YETIM","TAMAM"))</f>
        <v/>
      </c>
    </row>
    <row r="110">
      <c r="A110" s="15" t="n"/>
      <c r="B110" s="15" t="n"/>
      <c r="C110" s="60" t="n"/>
      <c r="D110" s="17" t="n"/>
      <c r="E110" s="17" t="n"/>
      <c r="F110" s="15" t="n"/>
      <c r="G110" s="16" t="n"/>
      <c r="H110" s="15" t="n"/>
      <c r="I110" s="19">
        <f>IF($A110="","",IFERROR(SUMIF(tblVarliklar[VarlikId],$B110,tblVarliklar[HedefSagimLt_lt]),ssy_varsayilanHedefLt))</f>
        <v/>
      </c>
      <c r="J110" s="19">
        <f>IF($A110="","",$D110-$I110)</f>
        <v/>
      </c>
      <c r="K110" s="19">
        <f>IF(OR($A110="",$I110=0),"",$J110/$I110)</f>
        <v/>
      </c>
      <c r="L110" s="19">
        <f>IF($A110="","",IF($G110&gt;=ssy_esikBuzagiGun,"YAKIN","NORMAL"))</f>
        <v/>
      </c>
      <c r="M110" s="19">
        <f>IF($A110="","",MAX(0,MIN(100,ssy_kaliteTaban-IF($D110&lt;ssy_esikSagimLt,ssy_kaliteCeza,0)-IF($L110="YAKIN",ssy_kaliteSapma,0)-IF($F110="EVET",0,0)-IF($P110="YETIM",ssy_kaliteCeza,0))))</f>
        <v/>
      </c>
      <c r="N110" s="19">
        <f>IF($A110="","",IF(OR($D110&lt;ssy_esikSagimLt,$G110&gt;=ssy_esikBuzagiGun,$M110&lt;ssy_esikSaglik),"ALARM","UYGUN"))</f>
        <v/>
      </c>
      <c r="O110" s="19">
        <f>IF($A110="","",1)</f>
        <v/>
      </c>
      <c r="P110" s="19">
        <f>IF($A110="","",IF(OR($B110="",COUNTIF(tblVarliklar[VarlikId],$B110)=0),"YETIM","TAMAM"))</f>
        <v/>
      </c>
    </row>
    <row r="111">
      <c r="A111" s="15" t="n"/>
      <c r="B111" s="15" t="n"/>
      <c r="C111" s="60" t="n"/>
      <c r="D111" s="17" t="n"/>
      <c r="E111" s="17" t="n"/>
      <c r="F111" s="15" t="n"/>
      <c r="G111" s="16" t="n"/>
      <c r="H111" s="15" t="n"/>
      <c r="I111" s="19">
        <f>IF($A111="","",IFERROR(SUMIF(tblVarliklar[VarlikId],$B111,tblVarliklar[HedefSagimLt_lt]),ssy_varsayilanHedefLt))</f>
        <v/>
      </c>
      <c r="J111" s="19">
        <f>IF($A111="","",$D111-$I111)</f>
        <v/>
      </c>
      <c r="K111" s="19">
        <f>IF(OR($A111="",$I111=0),"",$J111/$I111)</f>
        <v/>
      </c>
      <c r="L111" s="19">
        <f>IF($A111="","",IF($G111&gt;=ssy_esikBuzagiGun,"YAKIN","NORMAL"))</f>
        <v/>
      </c>
      <c r="M111" s="19">
        <f>IF($A111="","",MAX(0,MIN(100,ssy_kaliteTaban-IF($D111&lt;ssy_esikSagimLt,ssy_kaliteCeza,0)-IF($L111="YAKIN",ssy_kaliteSapma,0)-IF($F111="EVET",0,0)-IF($P111="YETIM",ssy_kaliteCeza,0))))</f>
        <v/>
      </c>
      <c r="N111" s="19">
        <f>IF($A111="","",IF(OR($D111&lt;ssy_esikSagimLt,$G111&gt;=ssy_esikBuzagiGun,$M111&lt;ssy_esikSaglik),"ALARM","UYGUN"))</f>
        <v/>
      </c>
      <c r="O111" s="19">
        <f>IF($A111="","",1)</f>
        <v/>
      </c>
      <c r="P111" s="19">
        <f>IF($A111="","",IF(OR($B111="",COUNTIF(tblVarliklar[VarlikId],$B111)=0),"YETIM","TAMAM"))</f>
        <v/>
      </c>
    </row>
    <row r="112">
      <c r="A112" s="15" t="n"/>
      <c r="B112" s="15" t="n"/>
      <c r="C112" s="60" t="n"/>
      <c r="D112" s="17" t="n"/>
      <c r="E112" s="17" t="n"/>
      <c r="F112" s="15" t="n"/>
      <c r="G112" s="16" t="n"/>
      <c r="H112" s="15" t="n"/>
      <c r="I112" s="19">
        <f>IF($A112="","",IFERROR(SUMIF(tblVarliklar[VarlikId],$B112,tblVarliklar[HedefSagimLt_lt]),ssy_varsayilanHedefLt))</f>
        <v/>
      </c>
      <c r="J112" s="19">
        <f>IF($A112="","",$D112-$I112)</f>
        <v/>
      </c>
      <c r="K112" s="19">
        <f>IF(OR($A112="",$I112=0),"",$J112/$I112)</f>
        <v/>
      </c>
      <c r="L112" s="19">
        <f>IF($A112="","",IF($G112&gt;=ssy_esikBuzagiGun,"YAKIN","NORMAL"))</f>
        <v/>
      </c>
      <c r="M112" s="19">
        <f>IF($A112="","",MAX(0,MIN(100,ssy_kaliteTaban-IF($D112&lt;ssy_esikSagimLt,ssy_kaliteCeza,0)-IF($L112="YAKIN",ssy_kaliteSapma,0)-IF($F112="EVET",0,0)-IF($P112="YETIM",ssy_kaliteCeza,0))))</f>
        <v/>
      </c>
      <c r="N112" s="19">
        <f>IF($A112="","",IF(OR($D112&lt;ssy_esikSagimLt,$G112&gt;=ssy_esikBuzagiGun,$M112&lt;ssy_esikSaglik),"ALARM","UYGUN"))</f>
        <v/>
      </c>
      <c r="O112" s="19">
        <f>IF($A112="","",1)</f>
        <v/>
      </c>
      <c r="P112" s="19">
        <f>IF($A112="","",IF(OR($B112="",COUNTIF(tblVarliklar[VarlikId],$B112)=0),"YETIM","TAMAM"))</f>
        <v/>
      </c>
    </row>
    <row r="113">
      <c r="A113" s="15" t="n"/>
      <c r="B113" s="15" t="n"/>
      <c r="C113" s="60" t="n"/>
      <c r="D113" s="17" t="n"/>
      <c r="E113" s="17" t="n"/>
      <c r="F113" s="15" t="n"/>
      <c r="G113" s="16" t="n"/>
      <c r="H113" s="15" t="n"/>
      <c r="I113" s="19">
        <f>IF($A113="","",IFERROR(SUMIF(tblVarliklar[VarlikId],$B113,tblVarliklar[HedefSagimLt_lt]),ssy_varsayilanHedefLt))</f>
        <v/>
      </c>
      <c r="J113" s="19">
        <f>IF($A113="","",$D113-$I113)</f>
        <v/>
      </c>
      <c r="K113" s="19">
        <f>IF(OR($A113="",$I113=0),"",$J113/$I113)</f>
        <v/>
      </c>
      <c r="L113" s="19">
        <f>IF($A113="","",IF($G113&gt;=ssy_esikBuzagiGun,"YAKIN","NORMAL"))</f>
        <v/>
      </c>
      <c r="M113" s="19">
        <f>IF($A113="","",MAX(0,MIN(100,ssy_kaliteTaban-IF($D113&lt;ssy_esikSagimLt,ssy_kaliteCeza,0)-IF($L113="YAKIN",ssy_kaliteSapma,0)-IF($F113="EVET",0,0)-IF($P113="YETIM",ssy_kaliteCeza,0))))</f>
        <v/>
      </c>
      <c r="N113" s="19">
        <f>IF($A113="","",IF(OR($D113&lt;ssy_esikSagimLt,$G113&gt;=ssy_esikBuzagiGun,$M113&lt;ssy_esikSaglik),"ALARM","UYGUN"))</f>
        <v/>
      </c>
      <c r="O113" s="19">
        <f>IF($A113="","",1)</f>
        <v/>
      </c>
      <c r="P113" s="19">
        <f>IF($A113="","",IF(OR($B113="",COUNTIF(tblVarliklar[VarlikId],$B113)=0),"YETIM","TAMAM"))</f>
        <v/>
      </c>
    </row>
    <row r="114">
      <c r="A114" s="15" t="n"/>
      <c r="B114" s="15" t="n"/>
      <c r="C114" s="60" t="n"/>
      <c r="D114" s="17" t="n"/>
      <c r="E114" s="17" t="n"/>
      <c r="F114" s="15" t="n"/>
      <c r="G114" s="16" t="n"/>
      <c r="H114" s="15" t="n"/>
      <c r="I114" s="19">
        <f>IF($A114="","",IFERROR(SUMIF(tblVarliklar[VarlikId],$B114,tblVarliklar[HedefSagimLt_lt]),ssy_varsayilanHedefLt))</f>
        <v/>
      </c>
      <c r="J114" s="19">
        <f>IF($A114="","",$D114-$I114)</f>
        <v/>
      </c>
      <c r="K114" s="19">
        <f>IF(OR($A114="",$I114=0),"",$J114/$I114)</f>
        <v/>
      </c>
      <c r="L114" s="19">
        <f>IF($A114="","",IF($G114&gt;=ssy_esikBuzagiGun,"YAKIN","NORMAL"))</f>
        <v/>
      </c>
      <c r="M114" s="19">
        <f>IF($A114="","",MAX(0,MIN(100,ssy_kaliteTaban-IF($D114&lt;ssy_esikSagimLt,ssy_kaliteCeza,0)-IF($L114="YAKIN",ssy_kaliteSapma,0)-IF($F114="EVET",0,0)-IF($P114="YETIM",ssy_kaliteCeza,0))))</f>
        <v/>
      </c>
      <c r="N114" s="19">
        <f>IF($A114="","",IF(OR($D114&lt;ssy_esikSagimLt,$G114&gt;=ssy_esikBuzagiGun,$M114&lt;ssy_esikSaglik),"ALARM","UYGUN"))</f>
        <v/>
      </c>
      <c r="O114" s="19">
        <f>IF($A114="","",1)</f>
        <v/>
      </c>
      <c r="P114" s="19">
        <f>IF($A114="","",IF(OR($B114="",COUNTIF(tblVarliklar[VarlikId],$B114)=0),"YETIM","TAMAM"))</f>
        <v/>
      </c>
    </row>
    <row r="115">
      <c r="A115" s="15" t="n"/>
      <c r="B115" s="15" t="n"/>
      <c r="C115" s="60" t="n"/>
      <c r="D115" s="17" t="n"/>
      <c r="E115" s="17" t="n"/>
      <c r="F115" s="15" t="n"/>
      <c r="G115" s="16" t="n"/>
      <c r="H115" s="15" t="n"/>
      <c r="I115" s="19">
        <f>IF($A115="","",IFERROR(SUMIF(tblVarliklar[VarlikId],$B115,tblVarliklar[HedefSagimLt_lt]),ssy_varsayilanHedefLt))</f>
        <v/>
      </c>
      <c r="J115" s="19">
        <f>IF($A115="","",$D115-$I115)</f>
        <v/>
      </c>
      <c r="K115" s="19">
        <f>IF(OR($A115="",$I115=0),"",$J115/$I115)</f>
        <v/>
      </c>
      <c r="L115" s="19">
        <f>IF($A115="","",IF($G115&gt;=ssy_esikBuzagiGun,"YAKIN","NORMAL"))</f>
        <v/>
      </c>
      <c r="M115" s="19">
        <f>IF($A115="","",MAX(0,MIN(100,ssy_kaliteTaban-IF($D115&lt;ssy_esikSagimLt,ssy_kaliteCeza,0)-IF($L115="YAKIN",ssy_kaliteSapma,0)-IF($F115="EVET",0,0)-IF($P115="YETIM",ssy_kaliteCeza,0))))</f>
        <v/>
      </c>
      <c r="N115" s="19">
        <f>IF($A115="","",IF(OR($D115&lt;ssy_esikSagimLt,$G115&gt;=ssy_esikBuzagiGun,$M115&lt;ssy_esikSaglik),"ALARM","UYGUN"))</f>
        <v/>
      </c>
      <c r="O115" s="19">
        <f>IF($A115="","",1)</f>
        <v/>
      </c>
      <c r="P115" s="19">
        <f>IF($A115="","",IF(OR($B115="",COUNTIF(tblVarliklar[VarlikId],$B115)=0),"YETIM","TAMAM"))</f>
        <v/>
      </c>
    </row>
    <row r="116">
      <c r="A116" s="15" t="n"/>
      <c r="B116" s="15" t="n"/>
      <c r="C116" s="60" t="n"/>
      <c r="D116" s="17" t="n"/>
      <c r="E116" s="17" t="n"/>
      <c r="F116" s="15" t="n"/>
      <c r="G116" s="16" t="n"/>
      <c r="H116" s="15" t="n"/>
      <c r="I116" s="19">
        <f>IF($A116="","",IFERROR(SUMIF(tblVarliklar[VarlikId],$B116,tblVarliklar[HedefSagimLt_lt]),ssy_varsayilanHedefLt))</f>
        <v/>
      </c>
      <c r="J116" s="19">
        <f>IF($A116="","",$D116-$I116)</f>
        <v/>
      </c>
      <c r="K116" s="19">
        <f>IF(OR($A116="",$I116=0),"",$J116/$I116)</f>
        <v/>
      </c>
      <c r="L116" s="19">
        <f>IF($A116="","",IF($G116&gt;=ssy_esikBuzagiGun,"YAKIN","NORMAL"))</f>
        <v/>
      </c>
      <c r="M116" s="19">
        <f>IF($A116="","",MAX(0,MIN(100,ssy_kaliteTaban-IF($D116&lt;ssy_esikSagimLt,ssy_kaliteCeza,0)-IF($L116="YAKIN",ssy_kaliteSapma,0)-IF($F116="EVET",0,0)-IF($P116="YETIM",ssy_kaliteCeza,0))))</f>
        <v/>
      </c>
      <c r="N116" s="19">
        <f>IF($A116="","",IF(OR($D116&lt;ssy_esikSagimLt,$G116&gt;=ssy_esikBuzagiGun,$M116&lt;ssy_esikSaglik),"ALARM","UYGUN"))</f>
        <v/>
      </c>
      <c r="O116" s="19">
        <f>IF($A116="","",1)</f>
        <v/>
      </c>
      <c r="P116" s="19">
        <f>IF($A116="","",IF(OR($B116="",COUNTIF(tblVarliklar[VarlikId],$B116)=0),"YETIM","TAMAM"))</f>
        <v/>
      </c>
    </row>
    <row r="117">
      <c r="A117" s="15" t="n"/>
      <c r="B117" s="15" t="n"/>
      <c r="C117" s="60" t="n"/>
      <c r="D117" s="17" t="n"/>
      <c r="E117" s="17" t="n"/>
      <c r="F117" s="15" t="n"/>
      <c r="G117" s="16" t="n"/>
      <c r="H117" s="15" t="n"/>
      <c r="I117" s="19">
        <f>IF($A117="","",IFERROR(SUMIF(tblVarliklar[VarlikId],$B117,tblVarliklar[HedefSagimLt_lt]),ssy_varsayilanHedefLt))</f>
        <v/>
      </c>
      <c r="J117" s="19">
        <f>IF($A117="","",$D117-$I117)</f>
        <v/>
      </c>
      <c r="K117" s="19">
        <f>IF(OR($A117="",$I117=0),"",$J117/$I117)</f>
        <v/>
      </c>
      <c r="L117" s="19">
        <f>IF($A117="","",IF($G117&gt;=ssy_esikBuzagiGun,"YAKIN","NORMAL"))</f>
        <v/>
      </c>
      <c r="M117" s="19">
        <f>IF($A117="","",MAX(0,MIN(100,ssy_kaliteTaban-IF($D117&lt;ssy_esikSagimLt,ssy_kaliteCeza,0)-IF($L117="YAKIN",ssy_kaliteSapma,0)-IF($F117="EVET",0,0)-IF($P117="YETIM",ssy_kaliteCeza,0))))</f>
        <v/>
      </c>
      <c r="N117" s="19">
        <f>IF($A117="","",IF(OR($D117&lt;ssy_esikSagimLt,$G117&gt;=ssy_esikBuzagiGun,$M117&lt;ssy_esikSaglik),"ALARM","UYGUN"))</f>
        <v/>
      </c>
      <c r="O117" s="19">
        <f>IF($A117="","",1)</f>
        <v/>
      </c>
      <c r="P117" s="19">
        <f>IF($A117="","",IF(OR($B117="",COUNTIF(tblVarliklar[VarlikId],$B117)=0),"YETIM","TAMAM"))</f>
        <v/>
      </c>
    </row>
    <row r="118">
      <c r="A118" s="15" t="n"/>
      <c r="B118" s="15" t="n"/>
      <c r="C118" s="60" t="n"/>
      <c r="D118" s="17" t="n"/>
      <c r="E118" s="17" t="n"/>
      <c r="F118" s="15" t="n"/>
      <c r="G118" s="16" t="n"/>
      <c r="H118" s="15" t="n"/>
      <c r="I118" s="19">
        <f>IF($A118="","",IFERROR(SUMIF(tblVarliklar[VarlikId],$B118,tblVarliklar[HedefSagimLt_lt]),ssy_varsayilanHedefLt))</f>
        <v/>
      </c>
      <c r="J118" s="19">
        <f>IF($A118="","",$D118-$I118)</f>
        <v/>
      </c>
      <c r="K118" s="19">
        <f>IF(OR($A118="",$I118=0),"",$J118/$I118)</f>
        <v/>
      </c>
      <c r="L118" s="19">
        <f>IF($A118="","",IF($G118&gt;=ssy_esikBuzagiGun,"YAKIN","NORMAL"))</f>
        <v/>
      </c>
      <c r="M118" s="19">
        <f>IF($A118="","",MAX(0,MIN(100,ssy_kaliteTaban-IF($D118&lt;ssy_esikSagimLt,ssy_kaliteCeza,0)-IF($L118="YAKIN",ssy_kaliteSapma,0)-IF($F118="EVET",0,0)-IF($P118="YETIM",ssy_kaliteCeza,0))))</f>
        <v/>
      </c>
      <c r="N118" s="19">
        <f>IF($A118="","",IF(OR($D118&lt;ssy_esikSagimLt,$G118&gt;=ssy_esikBuzagiGun,$M118&lt;ssy_esikSaglik),"ALARM","UYGUN"))</f>
        <v/>
      </c>
      <c r="O118" s="19">
        <f>IF($A118="","",1)</f>
        <v/>
      </c>
      <c r="P118" s="19">
        <f>IF($A118="","",IF(OR($B118="",COUNTIF(tblVarliklar[VarlikId],$B118)=0),"YETIM","TAMAM"))</f>
        <v/>
      </c>
    </row>
    <row r="119">
      <c r="A119" s="15" t="n"/>
      <c r="B119" s="15" t="n"/>
      <c r="C119" s="60" t="n"/>
      <c r="D119" s="17" t="n"/>
      <c r="E119" s="17" t="n"/>
      <c r="F119" s="15" t="n"/>
      <c r="G119" s="16" t="n"/>
      <c r="H119" s="15" t="n"/>
      <c r="I119" s="19">
        <f>IF($A119="","",IFERROR(SUMIF(tblVarliklar[VarlikId],$B119,tblVarliklar[HedefSagimLt_lt]),ssy_varsayilanHedefLt))</f>
        <v/>
      </c>
      <c r="J119" s="19">
        <f>IF($A119="","",$D119-$I119)</f>
        <v/>
      </c>
      <c r="K119" s="19">
        <f>IF(OR($A119="",$I119=0),"",$J119/$I119)</f>
        <v/>
      </c>
      <c r="L119" s="19">
        <f>IF($A119="","",IF($G119&gt;=ssy_esikBuzagiGun,"YAKIN","NORMAL"))</f>
        <v/>
      </c>
      <c r="M119" s="19">
        <f>IF($A119="","",MAX(0,MIN(100,ssy_kaliteTaban-IF($D119&lt;ssy_esikSagimLt,ssy_kaliteCeza,0)-IF($L119="YAKIN",ssy_kaliteSapma,0)-IF($F119="EVET",0,0)-IF($P119="YETIM",ssy_kaliteCeza,0))))</f>
        <v/>
      </c>
      <c r="N119" s="19">
        <f>IF($A119="","",IF(OR($D119&lt;ssy_esikSagimLt,$G119&gt;=ssy_esikBuzagiGun,$M119&lt;ssy_esikSaglik),"ALARM","UYGUN"))</f>
        <v/>
      </c>
      <c r="O119" s="19">
        <f>IF($A119="","",1)</f>
        <v/>
      </c>
      <c r="P119" s="19">
        <f>IF($A119="","",IF(OR($B119="",COUNTIF(tblVarliklar[VarlikId],$B119)=0),"YETIM","TAMAM"))</f>
        <v/>
      </c>
    </row>
    <row r="120">
      <c r="A120" s="15" t="n"/>
      <c r="B120" s="15" t="n"/>
      <c r="C120" s="60" t="n"/>
      <c r="D120" s="17" t="n"/>
      <c r="E120" s="17" t="n"/>
      <c r="F120" s="15" t="n"/>
      <c r="G120" s="16" t="n"/>
      <c r="H120" s="15" t="n"/>
      <c r="I120" s="19">
        <f>IF($A120="","",IFERROR(SUMIF(tblVarliklar[VarlikId],$B120,tblVarliklar[HedefSagimLt_lt]),ssy_varsayilanHedefLt))</f>
        <v/>
      </c>
      <c r="J120" s="19">
        <f>IF($A120="","",$D120-$I120)</f>
        <v/>
      </c>
      <c r="K120" s="19">
        <f>IF(OR($A120="",$I120=0),"",$J120/$I120)</f>
        <v/>
      </c>
      <c r="L120" s="19">
        <f>IF($A120="","",IF($G120&gt;=ssy_esikBuzagiGun,"YAKIN","NORMAL"))</f>
        <v/>
      </c>
      <c r="M120" s="19">
        <f>IF($A120="","",MAX(0,MIN(100,ssy_kaliteTaban-IF($D120&lt;ssy_esikSagimLt,ssy_kaliteCeza,0)-IF($L120="YAKIN",ssy_kaliteSapma,0)-IF($F120="EVET",0,0)-IF($P120="YETIM",ssy_kaliteCeza,0))))</f>
        <v/>
      </c>
      <c r="N120" s="19">
        <f>IF($A120="","",IF(OR($D120&lt;ssy_esikSagimLt,$G120&gt;=ssy_esikBuzagiGun,$M120&lt;ssy_esikSaglik),"ALARM","UYGUN"))</f>
        <v/>
      </c>
      <c r="O120" s="19">
        <f>IF($A120="","",1)</f>
        <v/>
      </c>
      <c r="P120" s="19">
        <f>IF($A120="","",IF(OR($B120="",COUNTIF(tblVarliklar[VarlikId],$B120)=0),"YETIM","TAMAM"))</f>
        <v/>
      </c>
    </row>
    <row r="121">
      <c r="A121" s="15" t="n"/>
      <c r="B121" s="15" t="n"/>
      <c r="C121" s="60" t="n"/>
      <c r="D121" s="17" t="n"/>
      <c r="E121" s="17" t="n"/>
      <c r="F121" s="15" t="n"/>
      <c r="G121" s="16" t="n"/>
      <c r="H121" s="15" t="n"/>
      <c r="I121" s="19">
        <f>IF($A121="","",IFERROR(SUMIF(tblVarliklar[VarlikId],$B121,tblVarliklar[HedefSagimLt_lt]),ssy_varsayilanHedefLt))</f>
        <v/>
      </c>
      <c r="J121" s="19">
        <f>IF($A121="","",$D121-$I121)</f>
        <v/>
      </c>
      <c r="K121" s="19">
        <f>IF(OR($A121="",$I121=0),"",$J121/$I121)</f>
        <v/>
      </c>
      <c r="L121" s="19">
        <f>IF($A121="","",IF($G121&gt;=ssy_esikBuzagiGun,"YAKIN","NORMAL"))</f>
        <v/>
      </c>
      <c r="M121" s="19">
        <f>IF($A121="","",MAX(0,MIN(100,ssy_kaliteTaban-IF($D121&lt;ssy_esikSagimLt,ssy_kaliteCeza,0)-IF($L121="YAKIN",ssy_kaliteSapma,0)-IF($F121="EVET",0,0)-IF($P121="YETIM",ssy_kaliteCeza,0))))</f>
        <v/>
      </c>
      <c r="N121" s="19">
        <f>IF($A121="","",IF(OR($D121&lt;ssy_esikSagimLt,$G121&gt;=ssy_esikBuzagiGun,$M121&lt;ssy_esikSaglik),"ALARM","UYGUN"))</f>
        <v/>
      </c>
      <c r="O121" s="19">
        <f>IF($A121="","",1)</f>
        <v/>
      </c>
      <c r="P121" s="19">
        <f>IF($A121="","",IF(OR($B121="",COUNTIF(tblVarliklar[VarlikId],$B121)=0),"YETIM","TAMAM"))</f>
        <v/>
      </c>
    </row>
    <row r="122">
      <c r="A122" s="15" t="n"/>
      <c r="B122" s="15" t="n"/>
      <c r="C122" s="60" t="n"/>
      <c r="D122" s="17" t="n"/>
      <c r="E122" s="17" t="n"/>
      <c r="F122" s="15" t="n"/>
      <c r="G122" s="16" t="n"/>
      <c r="H122" s="15" t="n"/>
      <c r="I122" s="19">
        <f>IF($A122="","",IFERROR(SUMIF(tblVarliklar[VarlikId],$B122,tblVarliklar[HedefSagimLt_lt]),ssy_varsayilanHedefLt))</f>
        <v/>
      </c>
      <c r="J122" s="19">
        <f>IF($A122="","",$D122-$I122)</f>
        <v/>
      </c>
      <c r="K122" s="19">
        <f>IF(OR($A122="",$I122=0),"",$J122/$I122)</f>
        <v/>
      </c>
      <c r="L122" s="19">
        <f>IF($A122="","",IF($G122&gt;=ssy_esikBuzagiGun,"YAKIN","NORMAL"))</f>
        <v/>
      </c>
      <c r="M122" s="19">
        <f>IF($A122="","",MAX(0,MIN(100,ssy_kaliteTaban-IF($D122&lt;ssy_esikSagimLt,ssy_kaliteCeza,0)-IF($L122="YAKIN",ssy_kaliteSapma,0)-IF($F122="EVET",0,0)-IF($P122="YETIM",ssy_kaliteCeza,0))))</f>
        <v/>
      </c>
      <c r="N122" s="19">
        <f>IF($A122="","",IF(OR($D122&lt;ssy_esikSagimLt,$G122&gt;=ssy_esikBuzagiGun,$M122&lt;ssy_esikSaglik),"ALARM","UYGUN"))</f>
        <v/>
      </c>
      <c r="O122" s="19">
        <f>IF($A122="","",1)</f>
        <v/>
      </c>
      <c r="P122" s="19">
        <f>IF($A122="","",IF(OR($B122="",COUNTIF(tblVarliklar[VarlikId],$B122)=0),"YETIM","TAMAM"))</f>
        <v/>
      </c>
    </row>
    <row r="123">
      <c r="A123" s="15" t="n"/>
      <c r="B123" s="15" t="n"/>
      <c r="C123" s="60" t="n"/>
      <c r="D123" s="17" t="n"/>
      <c r="E123" s="17" t="n"/>
      <c r="F123" s="15" t="n"/>
      <c r="G123" s="16" t="n"/>
      <c r="H123" s="15" t="n"/>
      <c r="I123" s="19">
        <f>IF($A123="","",IFERROR(SUMIF(tblVarliklar[VarlikId],$B123,tblVarliklar[HedefSagimLt_lt]),ssy_varsayilanHedefLt))</f>
        <v/>
      </c>
      <c r="J123" s="19">
        <f>IF($A123="","",$D123-$I123)</f>
        <v/>
      </c>
      <c r="K123" s="19">
        <f>IF(OR($A123="",$I123=0),"",$J123/$I123)</f>
        <v/>
      </c>
      <c r="L123" s="19">
        <f>IF($A123="","",IF($G123&gt;=ssy_esikBuzagiGun,"YAKIN","NORMAL"))</f>
        <v/>
      </c>
      <c r="M123" s="19">
        <f>IF($A123="","",MAX(0,MIN(100,ssy_kaliteTaban-IF($D123&lt;ssy_esikSagimLt,ssy_kaliteCeza,0)-IF($L123="YAKIN",ssy_kaliteSapma,0)-IF($F123="EVET",0,0)-IF($P123="YETIM",ssy_kaliteCeza,0))))</f>
        <v/>
      </c>
      <c r="N123" s="19">
        <f>IF($A123="","",IF(OR($D123&lt;ssy_esikSagimLt,$G123&gt;=ssy_esikBuzagiGun,$M123&lt;ssy_esikSaglik),"ALARM","UYGUN"))</f>
        <v/>
      </c>
      <c r="O123" s="19">
        <f>IF($A123="","",1)</f>
        <v/>
      </c>
      <c r="P123" s="19">
        <f>IF($A123="","",IF(OR($B123="",COUNTIF(tblVarliklar[VarlikId],$B123)=0),"YETIM","TAMAM"))</f>
        <v/>
      </c>
    </row>
    <row r="124">
      <c r="A124" s="15" t="n"/>
      <c r="B124" s="15" t="n"/>
      <c r="C124" s="60" t="n"/>
      <c r="D124" s="17" t="n"/>
      <c r="E124" s="17" t="n"/>
      <c r="F124" s="15" t="n"/>
      <c r="G124" s="16" t="n"/>
      <c r="H124" s="15" t="n"/>
      <c r="I124" s="19">
        <f>IF($A124="","",IFERROR(SUMIF(tblVarliklar[VarlikId],$B124,tblVarliklar[HedefSagimLt_lt]),ssy_varsayilanHedefLt))</f>
        <v/>
      </c>
      <c r="J124" s="19">
        <f>IF($A124="","",$D124-$I124)</f>
        <v/>
      </c>
      <c r="K124" s="19">
        <f>IF(OR($A124="",$I124=0),"",$J124/$I124)</f>
        <v/>
      </c>
      <c r="L124" s="19">
        <f>IF($A124="","",IF($G124&gt;=ssy_esikBuzagiGun,"YAKIN","NORMAL"))</f>
        <v/>
      </c>
      <c r="M124" s="19">
        <f>IF($A124="","",MAX(0,MIN(100,ssy_kaliteTaban-IF($D124&lt;ssy_esikSagimLt,ssy_kaliteCeza,0)-IF($L124="YAKIN",ssy_kaliteSapma,0)-IF($F124="EVET",0,0)-IF($P124="YETIM",ssy_kaliteCeza,0))))</f>
        <v/>
      </c>
      <c r="N124" s="19">
        <f>IF($A124="","",IF(OR($D124&lt;ssy_esikSagimLt,$G124&gt;=ssy_esikBuzagiGun,$M124&lt;ssy_esikSaglik),"ALARM","UYGUN"))</f>
        <v/>
      </c>
      <c r="O124" s="19">
        <f>IF($A124="","",1)</f>
        <v/>
      </c>
      <c r="P124" s="19">
        <f>IF($A124="","",IF(OR($B124="",COUNTIF(tblVarliklar[VarlikId],$B124)=0),"YETIM","TAMAM"))</f>
        <v/>
      </c>
    </row>
    <row r="125">
      <c r="A125" s="15" t="n"/>
      <c r="B125" s="15" t="n"/>
      <c r="C125" s="60" t="n"/>
      <c r="D125" s="17" t="n"/>
      <c r="E125" s="17" t="n"/>
      <c r="F125" s="15" t="n"/>
      <c r="G125" s="16" t="n"/>
      <c r="H125" s="15" t="n"/>
      <c r="I125" s="19">
        <f>IF($A125="","",IFERROR(SUMIF(tblVarliklar[VarlikId],$B125,tblVarliklar[HedefSagimLt_lt]),ssy_varsayilanHedefLt))</f>
        <v/>
      </c>
      <c r="J125" s="19">
        <f>IF($A125="","",$D125-$I125)</f>
        <v/>
      </c>
      <c r="K125" s="19">
        <f>IF(OR($A125="",$I125=0),"",$J125/$I125)</f>
        <v/>
      </c>
      <c r="L125" s="19">
        <f>IF($A125="","",IF($G125&gt;=ssy_esikBuzagiGun,"YAKIN","NORMAL"))</f>
        <v/>
      </c>
      <c r="M125" s="19">
        <f>IF($A125="","",MAX(0,MIN(100,ssy_kaliteTaban-IF($D125&lt;ssy_esikSagimLt,ssy_kaliteCeza,0)-IF($L125="YAKIN",ssy_kaliteSapma,0)-IF($F125="EVET",0,0)-IF($P125="YETIM",ssy_kaliteCeza,0))))</f>
        <v/>
      </c>
      <c r="N125" s="19">
        <f>IF($A125="","",IF(OR($D125&lt;ssy_esikSagimLt,$G125&gt;=ssy_esikBuzagiGun,$M125&lt;ssy_esikSaglik),"ALARM","UYGUN"))</f>
        <v/>
      </c>
      <c r="O125" s="19">
        <f>IF($A125="","",1)</f>
        <v/>
      </c>
      <c r="P125" s="19">
        <f>IF($A125="","",IF(OR($B125="",COUNTIF(tblVarliklar[VarlikId],$B125)=0),"YETIM","TAMAM"))</f>
        <v/>
      </c>
    </row>
    <row r="126">
      <c r="A126" s="15" t="n"/>
      <c r="B126" s="15" t="n"/>
      <c r="C126" s="60" t="n"/>
      <c r="D126" s="17" t="n"/>
      <c r="E126" s="17" t="n"/>
      <c r="F126" s="15" t="n"/>
      <c r="G126" s="16" t="n"/>
      <c r="H126" s="15" t="n"/>
      <c r="I126" s="19">
        <f>IF($A126="","",IFERROR(SUMIF(tblVarliklar[VarlikId],$B126,tblVarliklar[HedefSagimLt_lt]),ssy_varsayilanHedefLt))</f>
        <v/>
      </c>
      <c r="J126" s="19">
        <f>IF($A126="","",$D126-$I126)</f>
        <v/>
      </c>
      <c r="K126" s="19">
        <f>IF(OR($A126="",$I126=0),"",$J126/$I126)</f>
        <v/>
      </c>
      <c r="L126" s="19">
        <f>IF($A126="","",IF($G126&gt;=ssy_esikBuzagiGun,"YAKIN","NORMAL"))</f>
        <v/>
      </c>
      <c r="M126" s="19">
        <f>IF($A126="","",MAX(0,MIN(100,ssy_kaliteTaban-IF($D126&lt;ssy_esikSagimLt,ssy_kaliteCeza,0)-IF($L126="YAKIN",ssy_kaliteSapma,0)-IF($F126="EVET",0,0)-IF($P126="YETIM",ssy_kaliteCeza,0))))</f>
        <v/>
      </c>
      <c r="N126" s="19">
        <f>IF($A126="","",IF(OR($D126&lt;ssy_esikSagimLt,$G126&gt;=ssy_esikBuzagiGun,$M126&lt;ssy_esikSaglik),"ALARM","UYGUN"))</f>
        <v/>
      </c>
      <c r="O126" s="19">
        <f>IF($A126="","",1)</f>
        <v/>
      </c>
      <c r="P126" s="19">
        <f>IF($A126="","",IF(OR($B126="",COUNTIF(tblVarliklar[VarlikId],$B126)=0),"YETIM","TAMAM"))</f>
        <v/>
      </c>
    </row>
    <row r="127">
      <c r="A127" s="15" t="n"/>
      <c r="B127" s="15" t="n"/>
      <c r="C127" s="60" t="n"/>
      <c r="D127" s="17" t="n"/>
      <c r="E127" s="17" t="n"/>
      <c r="F127" s="15" t="n"/>
      <c r="G127" s="16" t="n"/>
      <c r="H127" s="15" t="n"/>
      <c r="I127" s="19">
        <f>IF($A127="","",IFERROR(SUMIF(tblVarliklar[VarlikId],$B127,tblVarliklar[HedefSagimLt_lt]),ssy_varsayilanHedefLt))</f>
        <v/>
      </c>
      <c r="J127" s="19">
        <f>IF($A127="","",$D127-$I127)</f>
        <v/>
      </c>
      <c r="K127" s="19">
        <f>IF(OR($A127="",$I127=0),"",$J127/$I127)</f>
        <v/>
      </c>
      <c r="L127" s="19">
        <f>IF($A127="","",IF($G127&gt;=ssy_esikBuzagiGun,"YAKIN","NORMAL"))</f>
        <v/>
      </c>
      <c r="M127" s="19">
        <f>IF($A127="","",MAX(0,MIN(100,ssy_kaliteTaban-IF($D127&lt;ssy_esikSagimLt,ssy_kaliteCeza,0)-IF($L127="YAKIN",ssy_kaliteSapma,0)-IF($F127="EVET",0,0)-IF($P127="YETIM",ssy_kaliteCeza,0))))</f>
        <v/>
      </c>
      <c r="N127" s="19">
        <f>IF($A127="","",IF(OR($D127&lt;ssy_esikSagimLt,$G127&gt;=ssy_esikBuzagiGun,$M127&lt;ssy_esikSaglik),"ALARM","UYGUN"))</f>
        <v/>
      </c>
      <c r="O127" s="19">
        <f>IF($A127="","",1)</f>
        <v/>
      </c>
      <c r="P127" s="19">
        <f>IF($A127="","",IF(OR($B127="",COUNTIF(tblVarliklar[VarlikId],$B127)=0),"YETIM","TAMAM"))</f>
        <v/>
      </c>
    </row>
    <row r="128">
      <c r="A128" s="15" t="n"/>
      <c r="B128" s="15" t="n"/>
      <c r="C128" s="60" t="n"/>
      <c r="D128" s="17" t="n"/>
      <c r="E128" s="17" t="n"/>
      <c r="F128" s="15" t="n"/>
      <c r="G128" s="16" t="n"/>
      <c r="H128" s="15" t="n"/>
      <c r="I128" s="19">
        <f>IF($A128="","",IFERROR(SUMIF(tblVarliklar[VarlikId],$B128,tblVarliklar[HedefSagimLt_lt]),ssy_varsayilanHedefLt))</f>
        <v/>
      </c>
      <c r="J128" s="19">
        <f>IF($A128="","",$D128-$I128)</f>
        <v/>
      </c>
      <c r="K128" s="19">
        <f>IF(OR($A128="",$I128=0),"",$J128/$I128)</f>
        <v/>
      </c>
      <c r="L128" s="19">
        <f>IF($A128="","",IF($G128&gt;=ssy_esikBuzagiGun,"YAKIN","NORMAL"))</f>
        <v/>
      </c>
      <c r="M128" s="19">
        <f>IF($A128="","",MAX(0,MIN(100,ssy_kaliteTaban-IF($D128&lt;ssy_esikSagimLt,ssy_kaliteCeza,0)-IF($L128="YAKIN",ssy_kaliteSapma,0)-IF($F128="EVET",0,0)-IF($P128="YETIM",ssy_kaliteCeza,0))))</f>
        <v/>
      </c>
      <c r="N128" s="19">
        <f>IF($A128="","",IF(OR($D128&lt;ssy_esikSagimLt,$G128&gt;=ssy_esikBuzagiGun,$M128&lt;ssy_esikSaglik),"ALARM","UYGUN"))</f>
        <v/>
      </c>
      <c r="O128" s="19">
        <f>IF($A128="","",1)</f>
        <v/>
      </c>
      <c r="P128" s="19">
        <f>IF($A128="","",IF(OR($B128="",COUNTIF(tblVarliklar[VarlikId],$B128)=0),"YETIM","TAMAM"))</f>
        <v/>
      </c>
    </row>
    <row r="129">
      <c r="A129" s="15" t="n"/>
      <c r="B129" s="15" t="n"/>
      <c r="C129" s="60" t="n"/>
      <c r="D129" s="17" t="n"/>
      <c r="E129" s="17" t="n"/>
      <c r="F129" s="15" t="n"/>
      <c r="G129" s="16" t="n"/>
      <c r="H129" s="15" t="n"/>
      <c r="I129" s="19">
        <f>IF($A129="","",IFERROR(SUMIF(tblVarliklar[VarlikId],$B129,tblVarliklar[HedefSagimLt_lt]),ssy_varsayilanHedefLt))</f>
        <v/>
      </c>
      <c r="J129" s="19">
        <f>IF($A129="","",$D129-$I129)</f>
        <v/>
      </c>
      <c r="K129" s="19">
        <f>IF(OR($A129="",$I129=0),"",$J129/$I129)</f>
        <v/>
      </c>
      <c r="L129" s="19">
        <f>IF($A129="","",IF($G129&gt;=ssy_esikBuzagiGun,"YAKIN","NORMAL"))</f>
        <v/>
      </c>
      <c r="M129" s="19">
        <f>IF($A129="","",MAX(0,MIN(100,ssy_kaliteTaban-IF($D129&lt;ssy_esikSagimLt,ssy_kaliteCeza,0)-IF($L129="YAKIN",ssy_kaliteSapma,0)-IF($F129="EVET",0,0)-IF($P129="YETIM",ssy_kaliteCeza,0))))</f>
        <v/>
      </c>
      <c r="N129" s="19">
        <f>IF($A129="","",IF(OR($D129&lt;ssy_esikSagimLt,$G129&gt;=ssy_esikBuzagiGun,$M129&lt;ssy_esikSaglik),"ALARM","UYGUN"))</f>
        <v/>
      </c>
      <c r="O129" s="19">
        <f>IF($A129="","",1)</f>
        <v/>
      </c>
      <c r="P129" s="19">
        <f>IF($A129="","",IF(OR($B129="",COUNTIF(tblVarliklar[VarlikId],$B129)=0),"YETIM","TAMAM"))</f>
        <v/>
      </c>
    </row>
    <row r="130">
      <c r="A130" s="15" t="n"/>
      <c r="B130" s="15" t="n"/>
      <c r="C130" s="60" t="n"/>
      <c r="D130" s="17" t="n"/>
      <c r="E130" s="17" t="n"/>
      <c r="F130" s="15" t="n"/>
      <c r="G130" s="16" t="n"/>
      <c r="H130" s="15" t="n"/>
      <c r="I130" s="19">
        <f>IF($A130="","",IFERROR(SUMIF(tblVarliklar[VarlikId],$B130,tblVarliklar[HedefSagimLt_lt]),ssy_varsayilanHedefLt))</f>
        <v/>
      </c>
      <c r="J130" s="19">
        <f>IF($A130="","",$D130-$I130)</f>
        <v/>
      </c>
      <c r="K130" s="19">
        <f>IF(OR($A130="",$I130=0),"",$J130/$I130)</f>
        <v/>
      </c>
      <c r="L130" s="19">
        <f>IF($A130="","",IF($G130&gt;=ssy_esikBuzagiGun,"YAKIN","NORMAL"))</f>
        <v/>
      </c>
      <c r="M130" s="19">
        <f>IF($A130="","",MAX(0,MIN(100,ssy_kaliteTaban-IF($D130&lt;ssy_esikSagimLt,ssy_kaliteCeza,0)-IF($L130="YAKIN",ssy_kaliteSapma,0)-IF($F130="EVET",0,0)-IF($P130="YETIM",ssy_kaliteCeza,0))))</f>
        <v/>
      </c>
      <c r="N130" s="19">
        <f>IF($A130="","",IF(OR($D130&lt;ssy_esikSagimLt,$G130&gt;=ssy_esikBuzagiGun,$M130&lt;ssy_esikSaglik),"ALARM","UYGUN"))</f>
        <v/>
      </c>
      <c r="O130" s="19">
        <f>IF($A130="","",1)</f>
        <v/>
      </c>
      <c r="P130" s="19">
        <f>IF($A130="","",IF(OR($B130="",COUNTIF(tblVarliklar[VarlikId],$B130)=0),"YETIM","TAMAM"))</f>
        <v/>
      </c>
    </row>
    <row r="131">
      <c r="A131" s="15" t="n"/>
      <c r="B131" s="15" t="n"/>
      <c r="C131" s="60" t="n"/>
      <c r="D131" s="17" t="n"/>
      <c r="E131" s="17" t="n"/>
      <c r="F131" s="15" t="n"/>
      <c r="G131" s="16" t="n"/>
      <c r="H131" s="15" t="n"/>
      <c r="I131" s="19">
        <f>IF($A131="","",IFERROR(SUMIF(tblVarliklar[VarlikId],$B131,tblVarliklar[HedefSagimLt_lt]),ssy_varsayilanHedefLt))</f>
        <v/>
      </c>
      <c r="J131" s="19">
        <f>IF($A131="","",$D131-$I131)</f>
        <v/>
      </c>
      <c r="K131" s="19">
        <f>IF(OR($A131="",$I131=0),"",$J131/$I131)</f>
        <v/>
      </c>
      <c r="L131" s="19">
        <f>IF($A131="","",IF($G131&gt;=ssy_esikBuzagiGun,"YAKIN","NORMAL"))</f>
        <v/>
      </c>
      <c r="M131" s="19">
        <f>IF($A131="","",MAX(0,MIN(100,ssy_kaliteTaban-IF($D131&lt;ssy_esikSagimLt,ssy_kaliteCeza,0)-IF($L131="YAKIN",ssy_kaliteSapma,0)-IF($F131="EVET",0,0)-IF($P131="YETIM",ssy_kaliteCeza,0))))</f>
        <v/>
      </c>
      <c r="N131" s="19">
        <f>IF($A131="","",IF(OR($D131&lt;ssy_esikSagimLt,$G131&gt;=ssy_esikBuzagiGun,$M131&lt;ssy_esikSaglik),"ALARM","UYGUN"))</f>
        <v/>
      </c>
      <c r="O131" s="19">
        <f>IF($A131="","",1)</f>
        <v/>
      </c>
      <c r="P131" s="19">
        <f>IF($A131="","",IF(OR($B131="",COUNTIF(tblVarliklar[VarlikId],$B131)=0),"YETIM","TAMAM"))</f>
        <v/>
      </c>
    </row>
    <row r="132">
      <c r="A132" s="15" t="n"/>
      <c r="B132" s="15" t="n"/>
      <c r="C132" s="60" t="n"/>
      <c r="D132" s="17" t="n"/>
      <c r="E132" s="17" t="n"/>
      <c r="F132" s="15" t="n"/>
      <c r="G132" s="16" t="n"/>
      <c r="H132" s="15" t="n"/>
      <c r="I132" s="19">
        <f>IF($A132="","",IFERROR(SUMIF(tblVarliklar[VarlikId],$B132,tblVarliklar[HedefSagimLt_lt]),ssy_varsayilanHedefLt))</f>
        <v/>
      </c>
      <c r="J132" s="19">
        <f>IF($A132="","",$D132-$I132)</f>
        <v/>
      </c>
      <c r="K132" s="19">
        <f>IF(OR($A132="",$I132=0),"",$J132/$I132)</f>
        <v/>
      </c>
      <c r="L132" s="19">
        <f>IF($A132="","",IF($G132&gt;=ssy_esikBuzagiGun,"YAKIN","NORMAL"))</f>
        <v/>
      </c>
      <c r="M132" s="19">
        <f>IF($A132="","",MAX(0,MIN(100,ssy_kaliteTaban-IF($D132&lt;ssy_esikSagimLt,ssy_kaliteCeza,0)-IF($L132="YAKIN",ssy_kaliteSapma,0)-IF($F132="EVET",0,0)-IF($P132="YETIM",ssy_kaliteCeza,0))))</f>
        <v/>
      </c>
      <c r="N132" s="19">
        <f>IF($A132="","",IF(OR($D132&lt;ssy_esikSagimLt,$G132&gt;=ssy_esikBuzagiGun,$M132&lt;ssy_esikSaglik),"ALARM","UYGUN"))</f>
        <v/>
      </c>
      <c r="O132" s="19">
        <f>IF($A132="","",1)</f>
        <v/>
      </c>
      <c r="P132" s="19">
        <f>IF($A132="","",IF(OR($B132="",COUNTIF(tblVarliklar[VarlikId],$B132)=0),"YETIM","TAMAM"))</f>
        <v/>
      </c>
    </row>
    <row r="133">
      <c r="A133" s="15" t="n"/>
      <c r="B133" s="15" t="n"/>
      <c r="C133" s="60" t="n"/>
      <c r="D133" s="17" t="n"/>
      <c r="E133" s="17" t="n"/>
      <c r="F133" s="15" t="n"/>
      <c r="G133" s="16" t="n"/>
      <c r="H133" s="15" t="n"/>
      <c r="I133" s="19">
        <f>IF($A133="","",IFERROR(SUMIF(tblVarliklar[VarlikId],$B133,tblVarliklar[HedefSagimLt_lt]),ssy_varsayilanHedefLt))</f>
        <v/>
      </c>
      <c r="J133" s="19">
        <f>IF($A133="","",$D133-$I133)</f>
        <v/>
      </c>
      <c r="K133" s="19">
        <f>IF(OR($A133="",$I133=0),"",$J133/$I133)</f>
        <v/>
      </c>
      <c r="L133" s="19">
        <f>IF($A133="","",IF($G133&gt;=ssy_esikBuzagiGun,"YAKIN","NORMAL"))</f>
        <v/>
      </c>
      <c r="M133" s="19">
        <f>IF($A133="","",MAX(0,MIN(100,ssy_kaliteTaban-IF($D133&lt;ssy_esikSagimLt,ssy_kaliteCeza,0)-IF($L133="YAKIN",ssy_kaliteSapma,0)-IF($F133="EVET",0,0)-IF($P133="YETIM",ssy_kaliteCeza,0))))</f>
        <v/>
      </c>
      <c r="N133" s="19">
        <f>IF($A133="","",IF(OR($D133&lt;ssy_esikSagimLt,$G133&gt;=ssy_esikBuzagiGun,$M133&lt;ssy_esikSaglik),"ALARM","UYGUN"))</f>
        <v/>
      </c>
      <c r="O133" s="19">
        <f>IF($A133="","",1)</f>
        <v/>
      </c>
      <c r="P133" s="19">
        <f>IF($A133="","",IF(OR($B133="",COUNTIF(tblVarliklar[VarlikId],$B133)=0),"YETIM","TAMAM"))</f>
        <v/>
      </c>
    </row>
    <row r="134">
      <c r="A134" s="15" t="n"/>
      <c r="B134" s="15" t="n"/>
      <c r="C134" s="60" t="n"/>
      <c r="D134" s="17" t="n"/>
      <c r="E134" s="17" t="n"/>
      <c r="F134" s="15" t="n"/>
      <c r="G134" s="16" t="n"/>
      <c r="H134" s="15" t="n"/>
      <c r="I134" s="19">
        <f>IF($A134="","",IFERROR(SUMIF(tblVarliklar[VarlikId],$B134,tblVarliklar[HedefSagimLt_lt]),ssy_varsayilanHedefLt))</f>
        <v/>
      </c>
      <c r="J134" s="19">
        <f>IF($A134="","",$D134-$I134)</f>
        <v/>
      </c>
      <c r="K134" s="19">
        <f>IF(OR($A134="",$I134=0),"",$J134/$I134)</f>
        <v/>
      </c>
      <c r="L134" s="19">
        <f>IF($A134="","",IF($G134&gt;=ssy_esikBuzagiGun,"YAKIN","NORMAL"))</f>
        <v/>
      </c>
      <c r="M134" s="19">
        <f>IF($A134="","",MAX(0,MIN(100,ssy_kaliteTaban-IF($D134&lt;ssy_esikSagimLt,ssy_kaliteCeza,0)-IF($L134="YAKIN",ssy_kaliteSapma,0)-IF($F134="EVET",0,0)-IF($P134="YETIM",ssy_kaliteCeza,0))))</f>
        <v/>
      </c>
      <c r="N134" s="19">
        <f>IF($A134="","",IF(OR($D134&lt;ssy_esikSagimLt,$G134&gt;=ssy_esikBuzagiGun,$M134&lt;ssy_esikSaglik),"ALARM","UYGUN"))</f>
        <v/>
      </c>
      <c r="O134" s="19">
        <f>IF($A134="","",1)</f>
        <v/>
      </c>
      <c r="P134" s="19">
        <f>IF($A134="","",IF(OR($B134="",COUNTIF(tblVarliklar[VarlikId],$B134)=0),"YETIM","TAMAM"))</f>
        <v/>
      </c>
    </row>
    <row r="135">
      <c r="A135" s="15" t="n"/>
      <c r="B135" s="15" t="n"/>
      <c r="C135" s="60" t="n"/>
      <c r="D135" s="17" t="n"/>
      <c r="E135" s="17" t="n"/>
      <c r="F135" s="15" t="n"/>
      <c r="G135" s="16" t="n"/>
      <c r="H135" s="15" t="n"/>
      <c r="I135" s="19">
        <f>IF($A135="","",IFERROR(SUMIF(tblVarliklar[VarlikId],$B135,tblVarliklar[HedefSagimLt_lt]),ssy_varsayilanHedefLt))</f>
        <v/>
      </c>
      <c r="J135" s="19">
        <f>IF($A135="","",$D135-$I135)</f>
        <v/>
      </c>
      <c r="K135" s="19">
        <f>IF(OR($A135="",$I135=0),"",$J135/$I135)</f>
        <v/>
      </c>
      <c r="L135" s="19">
        <f>IF($A135="","",IF($G135&gt;=ssy_esikBuzagiGun,"YAKIN","NORMAL"))</f>
        <v/>
      </c>
      <c r="M135" s="19">
        <f>IF($A135="","",MAX(0,MIN(100,ssy_kaliteTaban-IF($D135&lt;ssy_esikSagimLt,ssy_kaliteCeza,0)-IF($L135="YAKIN",ssy_kaliteSapma,0)-IF($F135="EVET",0,0)-IF($P135="YETIM",ssy_kaliteCeza,0))))</f>
        <v/>
      </c>
      <c r="N135" s="19">
        <f>IF($A135="","",IF(OR($D135&lt;ssy_esikSagimLt,$G135&gt;=ssy_esikBuzagiGun,$M135&lt;ssy_esikSaglik),"ALARM","UYGUN"))</f>
        <v/>
      </c>
      <c r="O135" s="19">
        <f>IF($A135="","",1)</f>
        <v/>
      </c>
      <c r="P135" s="19">
        <f>IF($A135="","",IF(OR($B135="",COUNTIF(tblVarliklar[VarlikId],$B135)=0),"YETIM","TAMAM"))</f>
        <v/>
      </c>
    </row>
    <row r="136">
      <c r="A136" s="15" t="n"/>
      <c r="B136" s="15" t="n"/>
      <c r="C136" s="60" t="n"/>
      <c r="D136" s="17" t="n"/>
      <c r="E136" s="17" t="n"/>
      <c r="F136" s="15" t="n"/>
      <c r="G136" s="16" t="n"/>
      <c r="H136" s="15" t="n"/>
      <c r="I136" s="19">
        <f>IF($A136="","",IFERROR(SUMIF(tblVarliklar[VarlikId],$B136,tblVarliklar[HedefSagimLt_lt]),ssy_varsayilanHedefLt))</f>
        <v/>
      </c>
      <c r="J136" s="19">
        <f>IF($A136="","",$D136-$I136)</f>
        <v/>
      </c>
      <c r="K136" s="19">
        <f>IF(OR($A136="",$I136=0),"",$J136/$I136)</f>
        <v/>
      </c>
      <c r="L136" s="19">
        <f>IF($A136="","",IF($G136&gt;=ssy_esikBuzagiGun,"YAKIN","NORMAL"))</f>
        <v/>
      </c>
      <c r="M136" s="19">
        <f>IF($A136="","",MAX(0,MIN(100,ssy_kaliteTaban-IF($D136&lt;ssy_esikSagimLt,ssy_kaliteCeza,0)-IF($L136="YAKIN",ssy_kaliteSapma,0)-IF($F136="EVET",0,0)-IF($P136="YETIM",ssy_kaliteCeza,0))))</f>
        <v/>
      </c>
      <c r="N136" s="19">
        <f>IF($A136="","",IF(OR($D136&lt;ssy_esikSagimLt,$G136&gt;=ssy_esikBuzagiGun,$M136&lt;ssy_esikSaglik),"ALARM","UYGUN"))</f>
        <v/>
      </c>
      <c r="O136" s="19">
        <f>IF($A136="","",1)</f>
        <v/>
      </c>
      <c r="P136" s="19">
        <f>IF($A136="","",IF(OR($B136="",COUNTIF(tblVarliklar[VarlikId],$B136)=0),"YETIM","TAMAM"))</f>
        <v/>
      </c>
    </row>
    <row r="137">
      <c r="A137" s="15" t="n"/>
      <c r="B137" s="15" t="n"/>
      <c r="C137" s="60" t="n"/>
      <c r="D137" s="17" t="n"/>
      <c r="E137" s="17" t="n"/>
      <c r="F137" s="15" t="n"/>
      <c r="G137" s="16" t="n"/>
      <c r="H137" s="15" t="n"/>
      <c r="I137" s="19">
        <f>IF($A137="","",IFERROR(SUMIF(tblVarliklar[VarlikId],$B137,tblVarliklar[HedefSagimLt_lt]),ssy_varsayilanHedefLt))</f>
        <v/>
      </c>
      <c r="J137" s="19">
        <f>IF($A137="","",$D137-$I137)</f>
        <v/>
      </c>
      <c r="K137" s="19">
        <f>IF(OR($A137="",$I137=0),"",$J137/$I137)</f>
        <v/>
      </c>
      <c r="L137" s="19">
        <f>IF($A137="","",IF($G137&gt;=ssy_esikBuzagiGun,"YAKIN","NORMAL"))</f>
        <v/>
      </c>
      <c r="M137" s="19">
        <f>IF($A137="","",MAX(0,MIN(100,ssy_kaliteTaban-IF($D137&lt;ssy_esikSagimLt,ssy_kaliteCeza,0)-IF($L137="YAKIN",ssy_kaliteSapma,0)-IF($F137="EVET",0,0)-IF($P137="YETIM",ssy_kaliteCeza,0))))</f>
        <v/>
      </c>
      <c r="N137" s="19">
        <f>IF($A137="","",IF(OR($D137&lt;ssy_esikSagimLt,$G137&gt;=ssy_esikBuzagiGun,$M137&lt;ssy_esikSaglik),"ALARM","UYGUN"))</f>
        <v/>
      </c>
      <c r="O137" s="19">
        <f>IF($A137="","",1)</f>
        <v/>
      </c>
      <c r="P137" s="19">
        <f>IF($A137="","",IF(OR($B137="",COUNTIF(tblVarliklar[VarlikId],$B137)=0),"YETIM","TAMAM"))</f>
        <v/>
      </c>
    </row>
    <row r="138">
      <c r="A138" s="15" t="n"/>
      <c r="B138" s="15" t="n"/>
      <c r="C138" s="60" t="n"/>
      <c r="D138" s="17" t="n"/>
      <c r="E138" s="17" t="n"/>
      <c r="F138" s="15" t="n"/>
      <c r="G138" s="16" t="n"/>
      <c r="H138" s="15" t="n"/>
      <c r="I138" s="19">
        <f>IF($A138="","",IFERROR(SUMIF(tblVarliklar[VarlikId],$B138,tblVarliklar[HedefSagimLt_lt]),ssy_varsayilanHedefLt))</f>
        <v/>
      </c>
      <c r="J138" s="19">
        <f>IF($A138="","",$D138-$I138)</f>
        <v/>
      </c>
      <c r="K138" s="19">
        <f>IF(OR($A138="",$I138=0),"",$J138/$I138)</f>
        <v/>
      </c>
      <c r="L138" s="19">
        <f>IF($A138="","",IF($G138&gt;=ssy_esikBuzagiGun,"YAKIN","NORMAL"))</f>
        <v/>
      </c>
      <c r="M138" s="19">
        <f>IF($A138="","",MAX(0,MIN(100,ssy_kaliteTaban-IF($D138&lt;ssy_esikSagimLt,ssy_kaliteCeza,0)-IF($L138="YAKIN",ssy_kaliteSapma,0)-IF($F138="EVET",0,0)-IF($P138="YETIM",ssy_kaliteCeza,0))))</f>
        <v/>
      </c>
      <c r="N138" s="19">
        <f>IF($A138="","",IF(OR($D138&lt;ssy_esikSagimLt,$G138&gt;=ssy_esikBuzagiGun,$M138&lt;ssy_esikSaglik),"ALARM","UYGUN"))</f>
        <v/>
      </c>
      <c r="O138" s="19">
        <f>IF($A138="","",1)</f>
        <v/>
      </c>
      <c r="P138" s="19">
        <f>IF($A138="","",IF(OR($B138="",COUNTIF(tblVarliklar[VarlikId],$B138)=0),"YETIM","TAMAM"))</f>
        <v/>
      </c>
    </row>
    <row r="139">
      <c r="A139" s="15" t="n"/>
      <c r="B139" s="15" t="n"/>
      <c r="C139" s="60" t="n"/>
      <c r="D139" s="17" t="n"/>
      <c r="E139" s="17" t="n"/>
      <c r="F139" s="15" t="n"/>
      <c r="G139" s="16" t="n"/>
      <c r="H139" s="15" t="n"/>
      <c r="I139" s="19">
        <f>IF($A139="","",IFERROR(SUMIF(tblVarliklar[VarlikId],$B139,tblVarliklar[HedefSagimLt_lt]),ssy_varsayilanHedefLt))</f>
        <v/>
      </c>
      <c r="J139" s="19">
        <f>IF($A139="","",$D139-$I139)</f>
        <v/>
      </c>
      <c r="K139" s="19">
        <f>IF(OR($A139="",$I139=0),"",$J139/$I139)</f>
        <v/>
      </c>
      <c r="L139" s="19">
        <f>IF($A139="","",IF($G139&gt;=ssy_esikBuzagiGun,"YAKIN","NORMAL"))</f>
        <v/>
      </c>
      <c r="M139" s="19">
        <f>IF($A139="","",MAX(0,MIN(100,ssy_kaliteTaban-IF($D139&lt;ssy_esikSagimLt,ssy_kaliteCeza,0)-IF($L139="YAKIN",ssy_kaliteSapma,0)-IF($F139="EVET",0,0)-IF($P139="YETIM",ssy_kaliteCeza,0))))</f>
        <v/>
      </c>
      <c r="N139" s="19">
        <f>IF($A139="","",IF(OR($D139&lt;ssy_esikSagimLt,$G139&gt;=ssy_esikBuzagiGun,$M139&lt;ssy_esikSaglik),"ALARM","UYGUN"))</f>
        <v/>
      </c>
      <c r="O139" s="19">
        <f>IF($A139="","",1)</f>
        <v/>
      </c>
      <c r="P139" s="19">
        <f>IF($A139="","",IF(OR($B139="",COUNTIF(tblVarliklar[VarlikId],$B139)=0),"YETIM","TAMAM"))</f>
        <v/>
      </c>
    </row>
    <row r="140">
      <c r="A140" s="15" t="n"/>
      <c r="B140" s="15" t="n"/>
      <c r="C140" s="60" t="n"/>
      <c r="D140" s="17" t="n"/>
      <c r="E140" s="17" t="n"/>
      <c r="F140" s="15" t="n"/>
      <c r="G140" s="16" t="n"/>
      <c r="H140" s="15" t="n"/>
      <c r="I140" s="19">
        <f>IF($A140="","",IFERROR(SUMIF(tblVarliklar[VarlikId],$B140,tblVarliklar[HedefSagimLt_lt]),ssy_varsayilanHedefLt))</f>
        <v/>
      </c>
      <c r="J140" s="19">
        <f>IF($A140="","",$D140-$I140)</f>
        <v/>
      </c>
      <c r="K140" s="19">
        <f>IF(OR($A140="",$I140=0),"",$J140/$I140)</f>
        <v/>
      </c>
      <c r="L140" s="19">
        <f>IF($A140="","",IF($G140&gt;=ssy_esikBuzagiGun,"YAKIN","NORMAL"))</f>
        <v/>
      </c>
      <c r="M140" s="19">
        <f>IF($A140="","",MAX(0,MIN(100,ssy_kaliteTaban-IF($D140&lt;ssy_esikSagimLt,ssy_kaliteCeza,0)-IF($L140="YAKIN",ssy_kaliteSapma,0)-IF($F140="EVET",0,0)-IF($P140="YETIM",ssy_kaliteCeza,0))))</f>
        <v/>
      </c>
      <c r="N140" s="19">
        <f>IF($A140="","",IF(OR($D140&lt;ssy_esikSagimLt,$G140&gt;=ssy_esikBuzagiGun,$M140&lt;ssy_esikSaglik),"ALARM","UYGUN"))</f>
        <v/>
      </c>
      <c r="O140" s="19">
        <f>IF($A140="","",1)</f>
        <v/>
      </c>
      <c r="P140" s="19">
        <f>IF($A140="","",IF(OR($B140="",COUNTIF(tblVarliklar[VarlikId],$B140)=0),"YETIM","TAMAM"))</f>
        <v/>
      </c>
    </row>
    <row r="141">
      <c r="A141" s="15" t="n"/>
      <c r="B141" s="15" t="n"/>
      <c r="C141" s="60" t="n"/>
      <c r="D141" s="17" t="n"/>
      <c r="E141" s="17" t="n"/>
      <c r="F141" s="15" t="n"/>
      <c r="G141" s="16" t="n"/>
      <c r="H141" s="15" t="n"/>
      <c r="I141" s="19">
        <f>IF($A141="","",IFERROR(SUMIF(tblVarliklar[VarlikId],$B141,tblVarliklar[HedefSagimLt_lt]),ssy_varsayilanHedefLt))</f>
        <v/>
      </c>
      <c r="J141" s="19">
        <f>IF($A141="","",$D141-$I141)</f>
        <v/>
      </c>
      <c r="K141" s="19">
        <f>IF(OR($A141="",$I141=0),"",$J141/$I141)</f>
        <v/>
      </c>
      <c r="L141" s="19">
        <f>IF($A141="","",IF($G141&gt;=ssy_esikBuzagiGun,"YAKIN","NORMAL"))</f>
        <v/>
      </c>
      <c r="M141" s="19">
        <f>IF($A141="","",MAX(0,MIN(100,ssy_kaliteTaban-IF($D141&lt;ssy_esikSagimLt,ssy_kaliteCeza,0)-IF($L141="YAKIN",ssy_kaliteSapma,0)-IF($F141="EVET",0,0)-IF($P141="YETIM",ssy_kaliteCeza,0))))</f>
        <v/>
      </c>
      <c r="N141" s="19">
        <f>IF($A141="","",IF(OR($D141&lt;ssy_esikSagimLt,$G141&gt;=ssy_esikBuzagiGun,$M141&lt;ssy_esikSaglik),"ALARM","UYGUN"))</f>
        <v/>
      </c>
      <c r="O141" s="19">
        <f>IF($A141="","",1)</f>
        <v/>
      </c>
      <c r="P141" s="19">
        <f>IF($A141="","",IF(OR($B141="",COUNTIF(tblVarliklar[VarlikId],$B141)=0),"YETIM","TAMAM"))</f>
        <v/>
      </c>
    </row>
    <row r="142">
      <c r="A142" s="15" t="n"/>
      <c r="B142" s="15" t="n"/>
      <c r="C142" s="60" t="n"/>
      <c r="D142" s="17" t="n"/>
      <c r="E142" s="17" t="n"/>
      <c r="F142" s="15" t="n"/>
      <c r="G142" s="16" t="n"/>
      <c r="H142" s="15" t="n"/>
      <c r="I142" s="19">
        <f>IF($A142="","",IFERROR(SUMIF(tblVarliklar[VarlikId],$B142,tblVarliklar[HedefSagimLt_lt]),ssy_varsayilanHedefLt))</f>
        <v/>
      </c>
      <c r="J142" s="19">
        <f>IF($A142="","",$D142-$I142)</f>
        <v/>
      </c>
      <c r="K142" s="19">
        <f>IF(OR($A142="",$I142=0),"",$J142/$I142)</f>
        <v/>
      </c>
      <c r="L142" s="19">
        <f>IF($A142="","",IF($G142&gt;=ssy_esikBuzagiGun,"YAKIN","NORMAL"))</f>
        <v/>
      </c>
      <c r="M142" s="19">
        <f>IF($A142="","",MAX(0,MIN(100,ssy_kaliteTaban-IF($D142&lt;ssy_esikSagimLt,ssy_kaliteCeza,0)-IF($L142="YAKIN",ssy_kaliteSapma,0)-IF($F142="EVET",0,0)-IF($P142="YETIM",ssy_kaliteCeza,0))))</f>
        <v/>
      </c>
      <c r="N142" s="19">
        <f>IF($A142="","",IF(OR($D142&lt;ssy_esikSagimLt,$G142&gt;=ssy_esikBuzagiGun,$M142&lt;ssy_esikSaglik),"ALARM","UYGUN"))</f>
        <v/>
      </c>
      <c r="O142" s="19">
        <f>IF($A142="","",1)</f>
        <v/>
      </c>
      <c r="P142" s="19">
        <f>IF($A142="","",IF(OR($B142="",COUNTIF(tblVarliklar[VarlikId],$B142)=0),"YETIM","TAMAM"))</f>
        <v/>
      </c>
    </row>
    <row r="143">
      <c r="A143" s="15" t="n"/>
      <c r="B143" s="15" t="n"/>
      <c r="C143" s="60" t="n"/>
      <c r="D143" s="17" t="n"/>
      <c r="E143" s="17" t="n"/>
      <c r="F143" s="15" t="n"/>
      <c r="G143" s="16" t="n"/>
      <c r="H143" s="15" t="n"/>
      <c r="I143" s="19">
        <f>IF($A143="","",IFERROR(SUMIF(tblVarliklar[VarlikId],$B143,tblVarliklar[HedefSagimLt_lt]),ssy_varsayilanHedefLt))</f>
        <v/>
      </c>
      <c r="J143" s="19">
        <f>IF($A143="","",$D143-$I143)</f>
        <v/>
      </c>
      <c r="K143" s="19">
        <f>IF(OR($A143="",$I143=0),"",$J143/$I143)</f>
        <v/>
      </c>
      <c r="L143" s="19">
        <f>IF($A143="","",IF($G143&gt;=ssy_esikBuzagiGun,"YAKIN","NORMAL"))</f>
        <v/>
      </c>
      <c r="M143" s="19">
        <f>IF($A143="","",MAX(0,MIN(100,ssy_kaliteTaban-IF($D143&lt;ssy_esikSagimLt,ssy_kaliteCeza,0)-IF($L143="YAKIN",ssy_kaliteSapma,0)-IF($F143="EVET",0,0)-IF($P143="YETIM",ssy_kaliteCeza,0))))</f>
        <v/>
      </c>
      <c r="N143" s="19">
        <f>IF($A143="","",IF(OR($D143&lt;ssy_esikSagimLt,$G143&gt;=ssy_esikBuzagiGun,$M143&lt;ssy_esikSaglik),"ALARM","UYGUN"))</f>
        <v/>
      </c>
      <c r="O143" s="19">
        <f>IF($A143="","",1)</f>
        <v/>
      </c>
      <c r="P143" s="19">
        <f>IF($A143="","",IF(OR($B143="",COUNTIF(tblVarliklar[VarlikId],$B143)=0),"YETIM","TAMAM"))</f>
        <v/>
      </c>
    </row>
    <row r="144">
      <c r="A144" s="15" t="n"/>
      <c r="B144" s="15" t="n"/>
      <c r="C144" s="60" t="n"/>
      <c r="D144" s="17" t="n"/>
      <c r="E144" s="17" t="n"/>
      <c r="F144" s="15" t="n"/>
      <c r="G144" s="16" t="n"/>
      <c r="H144" s="15" t="n"/>
      <c r="I144" s="19">
        <f>IF($A144="","",IFERROR(SUMIF(tblVarliklar[VarlikId],$B144,tblVarliklar[HedefSagimLt_lt]),ssy_varsayilanHedefLt))</f>
        <v/>
      </c>
      <c r="J144" s="19">
        <f>IF($A144="","",$D144-$I144)</f>
        <v/>
      </c>
      <c r="K144" s="19">
        <f>IF(OR($A144="",$I144=0),"",$J144/$I144)</f>
        <v/>
      </c>
      <c r="L144" s="19">
        <f>IF($A144="","",IF($G144&gt;=ssy_esikBuzagiGun,"YAKIN","NORMAL"))</f>
        <v/>
      </c>
      <c r="M144" s="19">
        <f>IF($A144="","",MAX(0,MIN(100,ssy_kaliteTaban-IF($D144&lt;ssy_esikSagimLt,ssy_kaliteCeza,0)-IF($L144="YAKIN",ssy_kaliteSapma,0)-IF($F144="EVET",0,0)-IF($P144="YETIM",ssy_kaliteCeza,0))))</f>
        <v/>
      </c>
      <c r="N144" s="19">
        <f>IF($A144="","",IF(OR($D144&lt;ssy_esikSagimLt,$G144&gt;=ssy_esikBuzagiGun,$M144&lt;ssy_esikSaglik),"ALARM","UYGUN"))</f>
        <v/>
      </c>
      <c r="O144" s="19">
        <f>IF($A144="","",1)</f>
        <v/>
      </c>
      <c r="P144" s="19">
        <f>IF($A144="","",IF(OR($B144="",COUNTIF(tblVarliklar[VarlikId],$B144)=0),"YETIM","TAMAM"))</f>
        <v/>
      </c>
    </row>
    <row r="145">
      <c r="A145" s="15" t="n"/>
      <c r="B145" s="15" t="n"/>
      <c r="C145" s="60" t="n"/>
      <c r="D145" s="17" t="n"/>
      <c r="E145" s="17" t="n"/>
      <c r="F145" s="15" t="n"/>
      <c r="G145" s="16" t="n"/>
      <c r="H145" s="15" t="n"/>
      <c r="I145" s="19">
        <f>IF($A145="","",IFERROR(SUMIF(tblVarliklar[VarlikId],$B145,tblVarliklar[HedefSagimLt_lt]),ssy_varsayilanHedefLt))</f>
        <v/>
      </c>
      <c r="J145" s="19">
        <f>IF($A145="","",$D145-$I145)</f>
        <v/>
      </c>
      <c r="K145" s="19">
        <f>IF(OR($A145="",$I145=0),"",$J145/$I145)</f>
        <v/>
      </c>
      <c r="L145" s="19">
        <f>IF($A145="","",IF($G145&gt;=ssy_esikBuzagiGun,"YAKIN","NORMAL"))</f>
        <v/>
      </c>
      <c r="M145" s="19">
        <f>IF($A145="","",MAX(0,MIN(100,ssy_kaliteTaban-IF($D145&lt;ssy_esikSagimLt,ssy_kaliteCeza,0)-IF($L145="YAKIN",ssy_kaliteSapma,0)-IF($F145="EVET",0,0)-IF($P145="YETIM",ssy_kaliteCeza,0))))</f>
        <v/>
      </c>
      <c r="N145" s="19">
        <f>IF($A145="","",IF(OR($D145&lt;ssy_esikSagimLt,$G145&gt;=ssy_esikBuzagiGun,$M145&lt;ssy_esikSaglik),"ALARM","UYGUN"))</f>
        <v/>
      </c>
      <c r="O145" s="19">
        <f>IF($A145="","",1)</f>
        <v/>
      </c>
      <c r="P145" s="19">
        <f>IF($A145="","",IF(OR($B145="",COUNTIF(tblVarliklar[VarlikId],$B145)=0),"YETIM","TAMAM"))</f>
        <v/>
      </c>
    </row>
    <row r="146">
      <c r="A146" s="15" t="n"/>
      <c r="B146" s="15" t="n"/>
      <c r="C146" s="60" t="n"/>
      <c r="D146" s="17" t="n"/>
      <c r="E146" s="17" t="n"/>
      <c r="F146" s="15" t="n"/>
      <c r="G146" s="16" t="n"/>
      <c r="H146" s="15" t="n"/>
      <c r="I146" s="19">
        <f>IF($A146="","",IFERROR(SUMIF(tblVarliklar[VarlikId],$B146,tblVarliklar[HedefSagimLt_lt]),ssy_varsayilanHedefLt))</f>
        <v/>
      </c>
      <c r="J146" s="19">
        <f>IF($A146="","",$D146-$I146)</f>
        <v/>
      </c>
      <c r="K146" s="19">
        <f>IF(OR($A146="",$I146=0),"",$J146/$I146)</f>
        <v/>
      </c>
      <c r="L146" s="19">
        <f>IF($A146="","",IF($G146&gt;=ssy_esikBuzagiGun,"YAKIN","NORMAL"))</f>
        <v/>
      </c>
      <c r="M146" s="19">
        <f>IF($A146="","",MAX(0,MIN(100,ssy_kaliteTaban-IF($D146&lt;ssy_esikSagimLt,ssy_kaliteCeza,0)-IF($L146="YAKIN",ssy_kaliteSapma,0)-IF($F146="EVET",0,0)-IF($P146="YETIM",ssy_kaliteCeza,0))))</f>
        <v/>
      </c>
      <c r="N146" s="19">
        <f>IF($A146="","",IF(OR($D146&lt;ssy_esikSagimLt,$G146&gt;=ssy_esikBuzagiGun,$M146&lt;ssy_esikSaglik),"ALARM","UYGUN"))</f>
        <v/>
      </c>
      <c r="O146" s="19">
        <f>IF($A146="","",1)</f>
        <v/>
      </c>
      <c r="P146" s="19">
        <f>IF($A146="","",IF(OR($B146="",COUNTIF(tblVarliklar[VarlikId],$B146)=0),"YETIM","TAMAM"))</f>
        <v/>
      </c>
    </row>
    <row r="147">
      <c r="A147" s="15" t="n"/>
      <c r="B147" s="15" t="n"/>
      <c r="C147" s="60" t="n"/>
      <c r="D147" s="17" t="n"/>
      <c r="E147" s="17" t="n"/>
      <c r="F147" s="15" t="n"/>
      <c r="G147" s="16" t="n"/>
      <c r="H147" s="15" t="n"/>
      <c r="I147" s="19">
        <f>IF($A147="","",IFERROR(SUMIF(tblVarliklar[VarlikId],$B147,tblVarliklar[HedefSagimLt_lt]),ssy_varsayilanHedefLt))</f>
        <v/>
      </c>
      <c r="J147" s="19">
        <f>IF($A147="","",$D147-$I147)</f>
        <v/>
      </c>
      <c r="K147" s="19">
        <f>IF(OR($A147="",$I147=0),"",$J147/$I147)</f>
        <v/>
      </c>
      <c r="L147" s="19">
        <f>IF($A147="","",IF($G147&gt;=ssy_esikBuzagiGun,"YAKIN","NORMAL"))</f>
        <v/>
      </c>
      <c r="M147" s="19">
        <f>IF($A147="","",MAX(0,MIN(100,ssy_kaliteTaban-IF($D147&lt;ssy_esikSagimLt,ssy_kaliteCeza,0)-IF($L147="YAKIN",ssy_kaliteSapma,0)-IF($F147="EVET",0,0)-IF($P147="YETIM",ssy_kaliteCeza,0))))</f>
        <v/>
      </c>
      <c r="N147" s="19">
        <f>IF($A147="","",IF(OR($D147&lt;ssy_esikSagimLt,$G147&gt;=ssy_esikBuzagiGun,$M147&lt;ssy_esikSaglik),"ALARM","UYGUN"))</f>
        <v/>
      </c>
      <c r="O147" s="19">
        <f>IF($A147="","",1)</f>
        <v/>
      </c>
      <c r="P147" s="19">
        <f>IF($A147="","",IF(OR($B147="",COUNTIF(tblVarliklar[VarlikId],$B147)=0),"YETIM","TAMAM"))</f>
        <v/>
      </c>
    </row>
    <row r="148">
      <c r="A148" s="15" t="n"/>
      <c r="B148" s="15" t="n"/>
      <c r="C148" s="60" t="n"/>
      <c r="D148" s="17" t="n"/>
      <c r="E148" s="17" t="n"/>
      <c r="F148" s="15" t="n"/>
      <c r="G148" s="16" t="n"/>
      <c r="H148" s="15" t="n"/>
      <c r="I148" s="19">
        <f>IF($A148="","",IFERROR(SUMIF(tblVarliklar[VarlikId],$B148,tblVarliklar[HedefSagimLt_lt]),ssy_varsayilanHedefLt))</f>
        <v/>
      </c>
      <c r="J148" s="19">
        <f>IF($A148="","",$D148-$I148)</f>
        <v/>
      </c>
      <c r="K148" s="19">
        <f>IF(OR($A148="",$I148=0),"",$J148/$I148)</f>
        <v/>
      </c>
      <c r="L148" s="19">
        <f>IF($A148="","",IF($G148&gt;=ssy_esikBuzagiGun,"YAKIN","NORMAL"))</f>
        <v/>
      </c>
      <c r="M148" s="19">
        <f>IF($A148="","",MAX(0,MIN(100,ssy_kaliteTaban-IF($D148&lt;ssy_esikSagimLt,ssy_kaliteCeza,0)-IF($L148="YAKIN",ssy_kaliteSapma,0)-IF($F148="EVET",0,0)-IF($P148="YETIM",ssy_kaliteCeza,0))))</f>
        <v/>
      </c>
      <c r="N148" s="19">
        <f>IF($A148="","",IF(OR($D148&lt;ssy_esikSagimLt,$G148&gt;=ssy_esikBuzagiGun,$M148&lt;ssy_esikSaglik),"ALARM","UYGUN"))</f>
        <v/>
      </c>
      <c r="O148" s="19">
        <f>IF($A148="","",1)</f>
        <v/>
      </c>
      <c r="P148" s="19">
        <f>IF($A148="","",IF(OR($B148="",COUNTIF(tblVarliklar[VarlikId],$B148)=0),"YETIM","TAMAM"))</f>
        <v/>
      </c>
    </row>
    <row r="149">
      <c r="A149" s="15" t="n"/>
      <c r="B149" s="15" t="n"/>
      <c r="C149" s="60" t="n"/>
      <c r="D149" s="17" t="n"/>
      <c r="E149" s="17" t="n"/>
      <c r="F149" s="15" t="n"/>
      <c r="G149" s="16" t="n"/>
      <c r="H149" s="15" t="n"/>
      <c r="I149" s="19">
        <f>IF($A149="","",IFERROR(SUMIF(tblVarliklar[VarlikId],$B149,tblVarliklar[HedefSagimLt_lt]),ssy_varsayilanHedefLt))</f>
        <v/>
      </c>
      <c r="J149" s="19">
        <f>IF($A149="","",$D149-$I149)</f>
        <v/>
      </c>
      <c r="K149" s="19">
        <f>IF(OR($A149="",$I149=0),"",$J149/$I149)</f>
        <v/>
      </c>
      <c r="L149" s="19">
        <f>IF($A149="","",IF($G149&gt;=ssy_esikBuzagiGun,"YAKIN","NORMAL"))</f>
        <v/>
      </c>
      <c r="M149" s="19">
        <f>IF($A149="","",MAX(0,MIN(100,ssy_kaliteTaban-IF($D149&lt;ssy_esikSagimLt,ssy_kaliteCeza,0)-IF($L149="YAKIN",ssy_kaliteSapma,0)-IF($F149="EVET",0,0)-IF($P149="YETIM",ssy_kaliteCeza,0))))</f>
        <v/>
      </c>
      <c r="N149" s="19">
        <f>IF($A149="","",IF(OR($D149&lt;ssy_esikSagimLt,$G149&gt;=ssy_esikBuzagiGun,$M149&lt;ssy_esikSaglik),"ALARM","UYGUN"))</f>
        <v/>
      </c>
      <c r="O149" s="19">
        <f>IF($A149="","",1)</f>
        <v/>
      </c>
      <c r="P149" s="19">
        <f>IF($A149="","",IF(OR($B149="",COUNTIF(tblVarliklar[VarlikId],$B149)=0),"YETIM","TAMAM"))</f>
        <v/>
      </c>
    </row>
    <row r="150">
      <c r="A150" s="15" t="n"/>
      <c r="B150" s="15" t="n"/>
      <c r="C150" s="60" t="n"/>
      <c r="D150" s="17" t="n"/>
      <c r="E150" s="17" t="n"/>
      <c r="F150" s="15" t="n"/>
      <c r="G150" s="16" t="n"/>
      <c r="H150" s="15" t="n"/>
      <c r="I150" s="19">
        <f>IF($A150="","",IFERROR(SUMIF(tblVarliklar[VarlikId],$B150,tblVarliklar[HedefSagimLt_lt]),ssy_varsayilanHedefLt))</f>
        <v/>
      </c>
      <c r="J150" s="19">
        <f>IF($A150="","",$D150-$I150)</f>
        <v/>
      </c>
      <c r="K150" s="19">
        <f>IF(OR($A150="",$I150=0),"",$J150/$I150)</f>
        <v/>
      </c>
      <c r="L150" s="19">
        <f>IF($A150="","",IF($G150&gt;=ssy_esikBuzagiGun,"YAKIN","NORMAL"))</f>
        <v/>
      </c>
      <c r="M150" s="19">
        <f>IF($A150="","",MAX(0,MIN(100,ssy_kaliteTaban-IF($D150&lt;ssy_esikSagimLt,ssy_kaliteCeza,0)-IF($L150="YAKIN",ssy_kaliteSapma,0)-IF($F150="EVET",0,0)-IF($P150="YETIM",ssy_kaliteCeza,0))))</f>
        <v/>
      </c>
      <c r="N150" s="19">
        <f>IF($A150="","",IF(OR($D150&lt;ssy_esikSagimLt,$G150&gt;=ssy_esikBuzagiGun,$M150&lt;ssy_esikSaglik),"ALARM","UYGUN"))</f>
        <v/>
      </c>
      <c r="O150" s="19">
        <f>IF($A150="","",1)</f>
        <v/>
      </c>
      <c r="P150" s="19">
        <f>IF($A150="","",IF(OR($B150="",COUNTIF(tblVarliklar[VarlikId],$B150)=0),"YETIM","TAMAM"))</f>
        <v/>
      </c>
    </row>
    <row r="151">
      <c r="A151" s="15" t="n"/>
      <c r="B151" s="15" t="n"/>
      <c r="C151" s="60" t="n"/>
      <c r="D151" s="17" t="n"/>
      <c r="E151" s="17" t="n"/>
      <c r="F151" s="15" t="n"/>
      <c r="G151" s="16" t="n"/>
      <c r="H151" s="15" t="n"/>
      <c r="I151" s="19">
        <f>IF($A151="","",IFERROR(SUMIF(tblVarliklar[VarlikId],$B151,tblVarliklar[HedefSagimLt_lt]),ssy_varsayilanHedefLt))</f>
        <v/>
      </c>
      <c r="J151" s="19">
        <f>IF($A151="","",$D151-$I151)</f>
        <v/>
      </c>
      <c r="K151" s="19">
        <f>IF(OR($A151="",$I151=0),"",$J151/$I151)</f>
        <v/>
      </c>
      <c r="L151" s="19">
        <f>IF($A151="","",IF($G151&gt;=ssy_esikBuzagiGun,"YAKIN","NORMAL"))</f>
        <v/>
      </c>
      <c r="M151" s="19">
        <f>IF($A151="","",MAX(0,MIN(100,ssy_kaliteTaban-IF($D151&lt;ssy_esikSagimLt,ssy_kaliteCeza,0)-IF($L151="YAKIN",ssy_kaliteSapma,0)-IF($F151="EVET",0,0)-IF($P151="YETIM",ssy_kaliteCeza,0))))</f>
        <v/>
      </c>
      <c r="N151" s="19">
        <f>IF($A151="","",IF(OR($D151&lt;ssy_esikSagimLt,$G151&gt;=ssy_esikBuzagiGun,$M151&lt;ssy_esikSaglik),"ALARM","UYGUN"))</f>
        <v/>
      </c>
      <c r="O151" s="19">
        <f>IF($A151="","",1)</f>
        <v/>
      </c>
      <c r="P151" s="19">
        <f>IF($A151="","",IF(OR($B151="",COUNTIF(tblVarliklar[VarlikId],$B151)=0),"YETIM","TAMAM"))</f>
        <v/>
      </c>
    </row>
    <row r="152">
      <c r="A152" s="15" t="n"/>
      <c r="B152" s="15" t="n"/>
      <c r="C152" s="60" t="n"/>
      <c r="D152" s="17" t="n"/>
      <c r="E152" s="17" t="n"/>
      <c r="F152" s="15" t="n"/>
      <c r="G152" s="16" t="n"/>
      <c r="H152" s="15" t="n"/>
      <c r="I152" s="19">
        <f>IF($A152="","",IFERROR(SUMIF(tblVarliklar[VarlikId],$B152,tblVarliklar[HedefSagimLt_lt]),ssy_varsayilanHedefLt))</f>
        <v/>
      </c>
      <c r="J152" s="19">
        <f>IF($A152="","",$D152-$I152)</f>
        <v/>
      </c>
      <c r="K152" s="19">
        <f>IF(OR($A152="",$I152=0),"",$J152/$I152)</f>
        <v/>
      </c>
      <c r="L152" s="19">
        <f>IF($A152="","",IF($G152&gt;=ssy_esikBuzagiGun,"YAKIN","NORMAL"))</f>
        <v/>
      </c>
      <c r="M152" s="19">
        <f>IF($A152="","",MAX(0,MIN(100,ssy_kaliteTaban-IF($D152&lt;ssy_esikSagimLt,ssy_kaliteCeza,0)-IF($L152="YAKIN",ssy_kaliteSapma,0)-IF($F152="EVET",0,0)-IF($P152="YETIM",ssy_kaliteCeza,0))))</f>
        <v/>
      </c>
      <c r="N152" s="19">
        <f>IF($A152="","",IF(OR($D152&lt;ssy_esikSagimLt,$G152&gt;=ssy_esikBuzagiGun,$M152&lt;ssy_esikSaglik),"ALARM","UYGUN"))</f>
        <v/>
      </c>
      <c r="O152" s="19">
        <f>IF($A152="","",1)</f>
        <v/>
      </c>
      <c r="P152" s="19">
        <f>IF($A152="","",IF(OR($B152="",COUNTIF(tblVarliklar[VarlikId],$B152)=0),"YETIM","TAMAM"))</f>
        <v/>
      </c>
    </row>
    <row r="153">
      <c r="A153" s="15" t="n"/>
      <c r="B153" s="15" t="n"/>
      <c r="C153" s="60" t="n"/>
      <c r="D153" s="17" t="n"/>
      <c r="E153" s="17" t="n"/>
      <c r="F153" s="15" t="n"/>
      <c r="G153" s="16" t="n"/>
      <c r="H153" s="15" t="n"/>
      <c r="I153" s="19">
        <f>IF($A153="","",IFERROR(SUMIF(tblVarliklar[VarlikId],$B153,tblVarliklar[HedefSagimLt_lt]),ssy_varsayilanHedefLt))</f>
        <v/>
      </c>
      <c r="J153" s="19">
        <f>IF($A153="","",$D153-$I153)</f>
        <v/>
      </c>
      <c r="K153" s="19">
        <f>IF(OR($A153="",$I153=0),"",$J153/$I153)</f>
        <v/>
      </c>
      <c r="L153" s="19">
        <f>IF($A153="","",IF($G153&gt;=ssy_esikBuzagiGun,"YAKIN","NORMAL"))</f>
        <v/>
      </c>
      <c r="M153" s="19">
        <f>IF($A153="","",MAX(0,MIN(100,ssy_kaliteTaban-IF($D153&lt;ssy_esikSagimLt,ssy_kaliteCeza,0)-IF($L153="YAKIN",ssy_kaliteSapma,0)-IF($F153="EVET",0,0)-IF($P153="YETIM",ssy_kaliteCeza,0))))</f>
        <v/>
      </c>
      <c r="N153" s="19">
        <f>IF($A153="","",IF(OR($D153&lt;ssy_esikSagimLt,$G153&gt;=ssy_esikBuzagiGun,$M153&lt;ssy_esikSaglik),"ALARM","UYGUN"))</f>
        <v/>
      </c>
      <c r="O153" s="19">
        <f>IF($A153="","",1)</f>
        <v/>
      </c>
      <c r="P153" s="19">
        <f>IF($A153="","",IF(OR($B153="",COUNTIF(tblVarliklar[VarlikId],$B153)=0),"YETIM","TAMAM"))</f>
        <v/>
      </c>
    </row>
    <row r="154">
      <c r="A154" s="15" t="n"/>
      <c r="B154" s="15" t="n"/>
      <c r="C154" s="60" t="n"/>
      <c r="D154" s="17" t="n"/>
      <c r="E154" s="17" t="n"/>
      <c r="F154" s="15" t="n"/>
      <c r="G154" s="16" t="n"/>
      <c r="H154" s="15" t="n"/>
      <c r="I154" s="19">
        <f>IF($A154="","",IFERROR(SUMIF(tblVarliklar[VarlikId],$B154,tblVarliklar[HedefSagimLt_lt]),ssy_varsayilanHedefLt))</f>
        <v/>
      </c>
      <c r="J154" s="19">
        <f>IF($A154="","",$D154-$I154)</f>
        <v/>
      </c>
      <c r="K154" s="19">
        <f>IF(OR($A154="",$I154=0),"",$J154/$I154)</f>
        <v/>
      </c>
      <c r="L154" s="19">
        <f>IF($A154="","",IF($G154&gt;=ssy_esikBuzagiGun,"YAKIN","NORMAL"))</f>
        <v/>
      </c>
      <c r="M154" s="19">
        <f>IF($A154="","",MAX(0,MIN(100,ssy_kaliteTaban-IF($D154&lt;ssy_esikSagimLt,ssy_kaliteCeza,0)-IF($L154="YAKIN",ssy_kaliteSapma,0)-IF($F154="EVET",0,0)-IF($P154="YETIM",ssy_kaliteCeza,0))))</f>
        <v/>
      </c>
      <c r="N154" s="19">
        <f>IF($A154="","",IF(OR($D154&lt;ssy_esikSagimLt,$G154&gt;=ssy_esikBuzagiGun,$M154&lt;ssy_esikSaglik),"ALARM","UYGUN"))</f>
        <v/>
      </c>
      <c r="O154" s="19">
        <f>IF($A154="","",1)</f>
        <v/>
      </c>
      <c r="P154" s="19">
        <f>IF($A154="","",IF(OR($B154="",COUNTIF(tblVarliklar[VarlikId],$B154)=0),"YETIM","TAMAM"))</f>
        <v/>
      </c>
    </row>
    <row r="155">
      <c r="A155" s="15" t="n"/>
      <c r="B155" s="15" t="n"/>
      <c r="C155" s="60" t="n"/>
      <c r="D155" s="17" t="n"/>
      <c r="E155" s="17" t="n"/>
      <c r="F155" s="15" t="n"/>
      <c r="G155" s="16" t="n"/>
      <c r="H155" s="15" t="n"/>
      <c r="I155" s="19">
        <f>IF($A155="","",IFERROR(SUMIF(tblVarliklar[VarlikId],$B155,tblVarliklar[HedefSagimLt_lt]),ssy_varsayilanHedefLt))</f>
        <v/>
      </c>
      <c r="J155" s="19">
        <f>IF($A155="","",$D155-$I155)</f>
        <v/>
      </c>
      <c r="K155" s="19">
        <f>IF(OR($A155="",$I155=0),"",$J155/$I155)</f>
        <v/>
      </c>
      <c r="L155" s="19">
        <f>IF($A155="","",IF($G155&gt;=ssy_esikBuzagiGun,"YAKIN","NORMAL"))</f>
        <v/>
      </c>
      <c r="M155" s="19">
        <f>IF($A155="","",MAX(0,MIN(100,ssy_kaliteTaban-IF($D155&lt;ssy_esikSagimLt,ssy_kaliteCeza,0)-IF($L155="YAKIN",ssy_kaliteSapma,0)-IF($F155="EVET",0,0)-IF($P155="YETIM",ssy_kaliteCeza,0))))</f>
        <v/>
      </c>
      <c r="N155" s="19">
        <f>IF($A155="","",IF(OR($D155&lt;ssy_esikSagimLt,$G155&gt;=ssy_esikBuzagiGun,$M155&lt;ssy_esikSaglik),"ALARM","UYGUN"))</f>
        <v/>
      </c>
      <c r="O155" s="19">
        <f>IF($A155="","",1)</f>
        <v/>
      </c>
      <c r="P155" s="19">
        <f>IF($A155="","",IF(OR($B155="",COUNTIF(tblVarliklar[VarlikId],$B155)=0),"YETIM","TAMAM"))</f>
        <v/>
      </c>
    </row>
    <row r="156">
      <c r="A156" s="15" t="n"/>
      <c r="B156" s="15" t="n"/>
      <c r="C156" s="60" t="n"/>
      <c r="D156" s="17" t="n"/>
      <c r="E156" s="17" t="n"/>
      <c r="F156" s="15" t="n"/>
      <c r="G156" s="16" t="n"/>
      <c r="H156" s="15" t="n"/>
      <c r="I156" s="19">
        <f>IF($A156="","",IFERROR(SUMIF(tblVarliklar[VarlikId],$B156,tblVarliklar[HedefSagimLt_lt]),ssy_varsayilanHedefLt))</f>
        <v/>
      </c>
      <c r="J156" s="19">
        <f>IF($A156="","",$D156-$I156)</f>
        <v/>
      </c>
      <c r="K156" s="19">
        <f>IF(OR($A156="",$I156=0),"",$J156/$I156)</f>
        <v/>
      </c>
      <c r="L156" s="19">
        <f>IF($A156="","",IF($G156&gt;=ssy_esikBuzagiGun,"YAKIN","NORMAL"))</f>
        <v/>
      </c>
      <c r="M156" s="19">
        <f>IF($A156="","",MAX(0,MIN(100,ssy_kaliteTaban-IF($D156&lt;ssy_esikSagimLt,ssy_kaliteCeza,0)-IF($L156="YAKIN",ssy_kaliteSapma,0)-IF($F156="EVET",0,0)-IF($P156="YETIM",ssy_kaliteCeza,0))))</f>
        <v/>
      </c>
      <c r="N156" s="19">
        <f>IF($A156="","",IF(OR($D156&lt;ssy_esikSagimLt,$G156&gt;=ssy_esikBuzagiGun,$M156&lt;ssy_esikSaglik),"ALARM","UYGUN"))</f>
        <v/>
      </c>
      <c r="O156" s="19">
        <f>IF($A156="","",1)</f>
        <v/>
      </c>
      <c r="P156" s="19">
        <f>IF($A156="","",IF(OR($B156="",COUNTIF(tblVarliklar[VarlikId],$B156)=0),"YETIM","TAMAM"))</f>
        <v/>
      </c>
    </row>
    <row r="157">
      <c r="A157" s="15" t="n"/>
      <c r="B157" s="15" t="n"/>
      <c r="C157" s="60" t="n"/>
      <c r="D157" s="17" t="n"/>
      <c r="E157" s="17" t="n"/>
      <c r="F157" s="15" t="n"/>
      <c r="G157" s="16" t="n"/>
      <c r="H157" s="15" t="n"/>
      <c r="I157" s="19">
        <f>IF($A157="","",IFERROR(SUMIF(tblVarliklar[VarlikId],$B157,tblVarliklar[HedefSagimLt_lt]),ssy_varsayilanHedefLt))</f>
        <v/>
      </c>
      <c r="J157" s="19">
        <f>IF($A157="","",$D157-$I157)</f>
        <v/>
      </c>
      <c r="K157" s="19">
        <f>IF(OR($A157="",$I157=0),"",$J157/$I157)</f>
        <v/>
      </c>
      <c r="L157" s="19">
        <f>IF($A157="","",IF($G157&gt;=ssy_esikBuzagiGun,"YAKIN","NORMAL"))</f>
        <v/>
      </c>
      <c r="M157" s="19">
        <f>IF($A157="","",MAX(0,MIN(100,ssy_kaliteTaban-IF($D157&lt;ssy_esikSagimLt,ssy_kaliteCeza,0)-IF($L157="YAKIN",ssy_kaliteSapma,0)-IF($F157="EVET",0,0)-IF($P157="YETIM",ssy_kaliteCeza,0))))</f>
        <v/>
      </c>
      <c r="N157" s="19">
        <f>IF($A157="","",IF(OR($D157&lt;ssy_esikSagimLt,$G157&gt;=ssy_esikBuzagiGun,$M157&lt;ssy_esikSaglik),"ALARM","UYGUN"))</f>
        <v/>
      </c>
      <c r="O157" s="19">
        <f>IF($A157="","",1)</f>
        <v/>
      </c>
      <c r="P157" s="19">
        <f>IF($A157="","",IF(OR($B157="",COUNTIF(tblVarliklar[VarlikId],$B157)=0),"YETIM","TAMAM"))</f>
        <v/>
      </c>
    </row>
    <row r="158">
      <c r="A158" s="15" t="n"/>
      <c r="B158" s="15" t="n"/>
      <c r="C158" s="60" t="n"/>
      <c r="D158" s="17" t="n"/>
      <c r="E158" s="17" t="n"/>
      <c r="F158" s="15" t="n"/>
      <c r="G158" s="16" t="n"/>
      <c r="H158" s="15" t="n"/>
      <c r="I158" s="19">
        <f>IF($A158="","",IFERROR(SUMIF(tblVarliklar[VarlikId],$B158,tblVarliklar[HedefSagimLt_lt]),ssy_varsayilanHedefLt))</f>
        <v/>
      </c>
      <c r="J158" s="19">
        <f>IF($A158="","",$D158-$I158)</f>
        <v/>
      </c>
      <c r="K158" s="19">
        <f>IF(OR($A158="",$I158=0),"",$J158/$I158)</f>
        <v/>
      </c>
      <c r="L158" s="19">
        <f>IF($A158="","",IF($G158&gt;=ssy_esikBuzagiGun,"YAKIN","NORMAL"))</f>
        <v/>
      </c>
      <c r="M158" s="19">
        <f>IF($A158="","",MAX(0,MIN(100,ssy_kaliteTaban-IF($D158&lt;ssy_esikSagimLt,ssy_kaliteCeza,0)-IF($L158="YAKIN",ssy_kaliteSapma,0)-IF($F158="EVET",0,0)-IF($P158="YETIM",ssy_kaliteCeza,0))))</f>
        <v/>
      </c>
      <c r="N158" s="19">
        <f>IF($A158="","",IF(OR($D158&lt;ssy_esikSagimLt,$G158&gt;=ssy_esikBuzagiGun,$M158&lt;ssy_esikSaglik),"ALARM","UYGUN"))</f>
        <v/>
      </c>
      <c r="O158" s="19">
        <f>IF($A158="","",1)</f>
        <v/>
      </c>
      <c r="P158" s="19">
        <f>IF($A158="","",IF(OR($B158="",COUNTIF(tblVarliklar[VarlikId],$B158)=0),"YETIM","TAMAM"))</f>
        <v/>
      </c>
    </row>
    <row r="159">
      <c r="A159" s="15" t="n"/>
      <c r="B159" s="15" t="n"/>
      <c r="C159" s="60" t="n"/>
      <c r="D159" s="17" t="n"/>
      <c r="E159" s="17" t="n"/>
      <c r="F159" s="15" t="n"/>
      <c r="G159" s="16" t="n"/>
      <c r="H159" s="15" t="n"/>
      <c r="I159" s="19">
        <f>IF($A159="","",IFERROR(SUMIF(tblVarliklar[VarlikId],$B159,tblVarliklar[HedefSagimLt_lt]),ssy_varsayilanHedefLt))</f>
        <v/>
      </c>
      <c r="J159" s="19">
        <f>IF($A159="","",$D159-$I159)</f>
        <v/>
      </c>
      <c r="K159" s="19">
        <f>IF(OR($A159="",$I159=0),"",$J159/$I159)</f>
        <v/>
      </c>
      <c r="L159" s="19">
        <f>IF($A159="","",IF($G159&gt;=ssy_esikBuzagiGun,"YAKIN","NORMAL"))</f>
        <v/>
      </c>
      <c r="M159" s="19">
        <f>IF($A159="","",MAX(0,MIN(100,ssy_kaliteTaban-IF($D159&lt;ssy_esikSagimLt,ssy_kaliteCeza,0)-IF($L159="YAKIN",ssy_kaliteSapma,0)-IF($F159="EVET",0,0)-IF($P159="YETIM",ssy_kaliteCeza,0))))</f>
        <v/>
      </c>
      <c r="N159" s="19">
        <f>IF($A159="","",IF(OR($D159&lt;ssy_esikSagimLt,$G159&gt;=ssy_esikBuzagiGun,$M159&lt;ssy_esikSaglik),"ALARM","UYGUN"))</f>
        <v/>
      </c>
      <c r="O159" s="19">
        <f>IF($A159="","",1)</f>
        <v/>
      </c>
      <c r="P159" s="19">
        <f>IF($A159="","",IF(OR($B159="",COUNTIF(tblVarliklar[VarlikId],$B159)=0),"YETIM","TAMAM"))</f>
        <v/>
      </c>
    </row>
    <row r="160">
      <c r="A160" s="15" t="n"/>
      <c r="B160" s="15" t="n"/>
      <c r="C160" s="60" t="n"/>
      <c r="D160" s="17" t="n"/>
      <c r="E160" s="17" t="n"/>
      <c r="F160" s="15" t="n"/>
      <c r="G160" s="16" t="n"/>
      <c r="H160" s="15" t="n"/>
      <c r="I160" s="19">
        <f>IF($A160="","",IFERROR(SUMIF(tblVarliklar[VarlikId],$B160,tblVarliklar[HedefSagimLt_lt]),ssy_varsayilanHedefLt))</f>
        <v/>
      </c>
      <c r="J160" s="19">
        <f>IF($A160="","",$D160-$I160)</f>
        <v/>
      </c>
      <c r="K160" s="19">
        <f>IF(OR($A160="",$I160=0),"",$J160/$I160)</f>
        <v/>
      </c>
      <c r="L160" s="19">
        <f>IF($A160="","",IF($G160&gt;=ssy_esikBuzagiGun,"YAKIN","NORMAL"))</f>
        <v/>
      </c>
      <c r="M160" s="19">
        <f>IF($A160="","",MAX(0,MIN(100,ssy_kaliteTaban-IF($D160&lt;ssy_esikSagimLt,ssy_kaliteCeza,0)-IF($L160="YAKIN",ssy_kaliteSapma,0)-IF($F160="EVET",0,0)-IF($P160="YETIM",ssy_kaliteCeza,0))))</f>
        <v/>
      </c>
      <c r="N160" s="19">
        <f>IF($A160="","",IF(OR($D160&lt;ssy_esikSagimLt,$G160&gt;=ssy_esikBuzagiGun,$M160&lt;ssy_esikSaglik),"ALARM","UYGUN"))</f>
        <v/>
      </c>
      <c r="O160" s="19">
        <f>IF($A160="","",1)</f>
        <v/>
      </c>
      <c r="P160" s="19">
        <f>IF($A160="","",IF(OR($B160="",COUNTIF(tblVarliklar[VarlikId],$B160)=0),"YETIM","TAMAM"))</f>
        <v/>
      </c>
    </row>
    <row r="161">
      <c r="A161" s="15" t="n"/>
      <c r="B161" s="15" t="n"/>
      <c r="C161" s="60" t="n"/>
      <c r="D161" s="17" t="n"/>
      <c r="E161" s="17" t="n"/>
      <c r="F161" s="15" t="n"/>
      <c r="G161" s="16" t="n"/>
      <c r="H161" s="15" t="n"/>
      <c r="I161" s="19">
        <f>IF($A161="","",IFERROR(SUMIF(tblVarliklar[VarlikId],$B161,tblVarliklar[HedefSagimLt_lt]),ssy_varsayilanHedefLt))</f>
        <v/>
      </c>
      <c r="J161" s="19">
        <f>IF($A161="","",$D161-$I161)</f>
        <v/>
      </c>
      <c r="K161" s="19">
        <f>IF(OR($A161="",$I161=0),"",$J161/$I161)</f>
        <v/>
      </c>
      <c r="L161" s="19">
        <f>IF($A161="","",IF($G161&gt;=ssy_esikBuzagiGun,"YAKIN","NORMAL"))</f>
        <v/>
      </c>
      <c r="M161" s="19">
        <f>IF($A161="","",MAX(0,MIN(100,ssy_kaliteTaban-IF($D161&lt;ssy_esikSagimLt,ssy_kaliteCeza,0)-IF($L161="YAKIN",ssy_kaliteSapma,0)-IF($F161="EVET",0,0)-IF($P161="YETIM",ssy_kaliteCeza,0))))</f>
        <v/>
      </c>
      <c r="N161" s="19">
        <f>IF($A161="","",IF(OR($D161&lt;ssy_esikSagimLt,$G161&gt;=ssy_esikBuzagiGun,$M161&lt;ssy_esikSaglik),"ALARM","UYGUN"))</f>
        <v/>
      </c>
      <c r="O161" s="19">
        <f>IF($A161="","",1)</f>
        <v/>
      </c>
      <c r="P161" s="19">
        <f>IF($A161="","",IF(OR($B161="",COUNTIF(tblVarliklar[VarlikId],$B161)=0),"YETIM","TAMAM"))</f>
        <v/>
      </c>
    </row>
    <row r="162">
      <c r="A162" s="15" t="n"/>
      <c r="B162" s="15" t="n"/>
      <c r="C162" s="60" t="n"/>
      <c r="D162" s="17" t="n"/>
      <c r="E162" s="17" t="n"/>
      <c r="F162" s="15" t="n"/>
      <c r="G162" s="16" t="n"/>
      <c r="H162" s="15" t="n"/>
      <c r="I162" s="19">
        <f>IF($A162="","",IFERROR(SUMIF(tblVarliklar[VarlikId],$B162,tblVarliklar[HedefSagimLt_lt]),ssy_varsayilanHedefLt))</f>
        <v/>
      </c>
      <c r="J162" s="19">
        <f>IF($A162="","",$D162-$I162)</f>
        <v/>
      </c>
      <c r="K162" s="19">
        <f>IF(OR($A162="",$I162=0),"",$J162/$I162)</f>
        <v/>
      </c>
      <c r="L162" s="19">
        <f>IF($A162="","",IF($G162&gt;=ssy_esikBuzagiGun,"YAKIN","NORMAL"))</f>
        <v/>
      </c>
      <c r="M162" s="19">
        <f>IF($A162="","",MAX(0,MIN(100,ssy_kaliteTaban-IF($D162&lt;ssy_esikSagimLt,ssy_kaliteCeza,0)-IF($L162="YAKIN",ssy_kaliteSapma,0)-IF($F162="EVET",0,0)-IF($P162="YETIM",ssy_kaliteCeza,0))))</f>
        <v/>
      </c>
      <c r="N162" s="19">
        <f>IF($A162="","",IF(OR($D162&lt;ssy_esikSagimLt,$G162&gt;=ssy_esikBuzagiGun,$M162&lt;ssy_esikSaglik),"ALARM","UYGUN"))</f>
        <v/>
      </c>
      <c r="O162" s="19">
        <f>IF($A162="","",1)</f>
        <v/>
      </c>
      <c r="P162" s="19">
        <f>IF($A162="","",IF(OR($B162="",COUNTIF(tblVarliklar[VarlikId],$B162)=0),"YETIM","TAMAM"))</f>
        <v/>
      </c>
    </row>
    <row r="163">
      <c r="A163" s="15" t="n"/>
      <c r="B163" s="15" t="n"/>
      <c r="C163" s="60" t="n"/>
      <c r="D163" s="17" t="n"/>
      <c r="E163" s="17" t="n"/>
      <c r="F163" s="15" t="n"/>
      <c r="G163" s="16" t="n"/>
      <c r="H163" s="15" t="n"/>
      <c r="I163" s="19">
        <f>IF($A163="","",IFERROR(SUMIF(tblVarliklar[VarlikId],$B163,tblVarliklar[HedefSagimLt_lt]),ssy_varsayilanHedefLt))</f>
        <v/>
      </c>
      <c r="J163" s="19">
        <f>IF($A163="","",$D163-$I163)</f>
        <v/>
      </c>
      <c r="K163" s="19">
        <f>IF(OR($A163="",$I163=0),"",$J163/$I163)</f>
        <v/>
      </c>
      <c r="L163" s="19">
        <f>IF($A163="","",IF($G163&gt;=ssy_esikBuzagiGun,"YAKIN","NORMAL"))</f>
        <v/>
      </c>
      <c r="M163" s="19">
        <f>IF($A163="","",MAX(0,MIN(100,ssy_kaliteTaban-IF($D163&lt;ssy_esikSagimLt,ssy_kaliteCeza,0)-IF($L163="YAKIN",ssy_kaliteSapma,0)-IF($F163="EVET",0,0)-IF($P163="YETIM",ssy_kaliteCeza,0))))</f>
        <v/>
      </c>
      <c r="N163" s="19">
        <f>IF($A163="","",IF(OR($D163&lt;ssy_esikSagimLt,$G163&gt;=ssy_esikBuzagiGun,$M163&lt;ssy_esikSaglik),"ALARM","UYGUN"))</f>
        <v/>
      </c>
      <c r="O163" s="19">
        <f>IF($A163="","",1)</f>
        <v/>
      </c>
      <c r="P163" s="19">
        <f>IF($A163="","",IF(OR($B163="",COUNTIF(tblVarliklar[VarlikId],$B163)=0),"YETIM","TAMAM"))</f>
        <v/>
      </c>
    </row>
    <row r="164">
      <c r="A164" s="15" t="n"/>
      <c r="B164" s="15" t="n"/>
      <c r="C164" s="60" t="n"/>
      <c r="D164" s="17" t="n"/>
      <c r="E164" s="17" t="n"/>
      <c r="F164" s="15" t="n"/>
      <c r="G164" s="16" t="n"/>
      <c r="H164" s="15" t="n"/>
      <c r="I164" s="19">
        <f>IF($A164="","",IFERROR(SUMIF(tblVarliklar[VarlikId],$B164,tblVarliklar[HedefSagimLt_lt]),ssy_varsayilanHedefLt))</f>
        <v/>
      </c>
      <c r="J164" s="19">
        <f>IF($A164="","",$D164-$I164)</f>
        <v/>
      </c>
      <c r="K164" s="19">
        <f>IF(OR($A164="",$I164=0),"",$J164/$I164)</f>
        <v/>
      </c>
      <c r="L164" s="19">
        <f>IF($A164="","",IF($G164&gt;=ssy_esikBuzagiGun,"YAKIN","NORMAL"))</f>
        <v/>
      </c>
      <c r="M164" s="19">
        <f>IF($A164="","",MAX(0,MIN(100,ssy_kaliteTaban-IF($D164&lt;ssy_esikSagimLt,ssy_kaliteCeza,0)-IF($L164="YAKIN",ssy_kaliteSapma,0)-IF($F164="EVET",0,0)-IF($P164="YETIM",ssy_kaliteCeza,0))))</f>
        <v/>
      </c>
      <c r="N164" s="19">
        <f>IF($A164="","",IF(OR($D164&lt;ssy_esikSagimLt,$G164&gt;=ssy_esikBuzagiGun,$M164&lt;ssy_esikSaglik),"ALARM","UYGUN"))</f>
        <v/>
      </c>
      <c r="O164" s="19">
        <f>IF($A164="","",1)</f>
        <v/>
      </c>
      <c r="P164" s="19">
        <f>IF($A164="","",IF(OR($B164="",COUNTIF(tblVarliklar[VarlikId],$B164)=0),"YETIM","TAMAM"))</f>
        <v/>
      </c>
    </row>
    <row r="165">
      <c r="A165" s="15" t="n"/>
      <c r="B165" s="15" t="n"/>
      <c r="C165" s="60" t="n"/>
      <c r="D165" s="17" t="n"/>
      <c r="E165" s="17" t="n"/>
      <c r="F165" s="15" t="n"/>
      <c r="G165" s="16" t="n"/>
      <c r="H165" s="15" t="n"/>
      <c r="I165" s="19">
        <f>IF($A165="","",IFERROR(SUMIF(tblVarliklar[VarlikId],$B165,tblVarliklar[HedefSagimLt_lt]),ssy_varsayilanHedefLt))</f>
        <v/>
      </c>
      <c r="J165" s="19">
        <f>IF($A165="","",$D165-$I165)</f>
        <v/>
      </c>
      <c r="K165" s="19">
        <f>IF(OR($A165="",$I165=0),"",$J165/$I165)</f>
        <v/>
      </c>
      <c r="L165" s="19">
        <f>IF($A165="","",IF($G165&gt;=ssy_esikBuzagiGun,"YAKIN","NORMAL"))</f>
        <v/>
      </c>
      <c r="M165" s="19">
        <f>IF($A165="","",MAX(0,MIN(100,ssy_kaliteTaban-IF($D165&lt;ssy_esikSagimLt,ssy_kaliteCeza,0)-IF($L165="YAKIN",ssy_kaliteSapma,0)-IF($F165="EVET",0,0)-IF($P165="YETIM",ssy_kaliteCeza,0))))</f>
        <v/>
      </c>
      <c r="N165" s="19">
        <f>IF($A165="","",IF(OR($D165&lt;ssy_esikSagimLt,$G165&gt;=ssy_esikBuzagiGun,$M165&lt;ssy_esikSaglik),"ALARM","UYGUN"))</f>
        <v/>
      </c>
      <c r="O165" s="19">
        <f>IF($A165="","",1)</f>
        <v/>
      </c>
      <c r="P165" s="19">
        <f>IF($A165="","",IF(OR($B165="",COUNTIF(tblVarliklar[VarlikId],$B165)=0),"YETIM","TAMAM"))</f>
        <v/>
      </c>
    </row>
    <row r="166">
      <c r="A166" s="15" t="n"/>
      <c r="B166" s="15" t="n"/>
      <c r="C166" s="60" t="n"/>
      <c r="D166" s="17" t="n"/>
      <c r="E166" s="17" t="n"/>
      <c r="F166" s="15" t="n"/>
      <c r="G166" s="16" t="n"/>
      <c r="H166" s="15" t="n"/>
      <c r="I166" s="19">
        <f>IF($A166="","",IFERROR(SUMIF(tblVarliklar[VarlikId],$B166,tblVarliklar[HedefSagimLt_lt]),ssy_varsayilanHedefLt))</f>
        <v/>
      </c>
      <c r="J166" s="19">
        <f>IF($A166="","",$D166-$I166)</f>
        <v/>
      </c>
      <c r="K166" s="19">
        <f>IF(OR($A166="",$I166=0),"",$J166/$I166)</f>
        <v/>
      </c>
      <c r="L166" s="19">
        <f>IF($A166="","",IF($G166&gt;=ssy_esikBuzagiGun,"YAKIN","NORMAL"))</f>
        <v/>
      </c>
      <c r="M166" s="19">
        <f>IF($A166="","",MAX(0,MIN(100,ssy_kaliteTaban-IF($D166&lt;ssy_esikSagimLt,ssy_kaliteCeza,0)-IF($L166="YAKIN",ssy_kaliteSapma,0)-IF($F166="EVET",0,0)-IF($P166="YETIM",ssy_kaliteCeza,0))))</f>
        <v/>
      </c>
      <c r="N166" s="19">
        <f>IF($A166="","",IF(OR($D166&lt;ssy_esikSagimLt,$G166&gt;=ssy_esikBuzagiGun,$M166&lt;ssy_esikSaglik),"ALARM","UYGUN"))</f>
        <v/>
      </c>
      <c r="O166" s="19">
        <f>IF($A166="","",1)</f>
        <v/>
      </c>
      <c r="P166" s="19">
        <f>IF($A166="","",IF(OR($B166="",COUNTIF(tblVarliklar[VarlikId],$B166)=0),"YETIM","TAMAM"))</f>
        <v/>
      </c>
    </row>
    <row r="167">
      <c r="A167" s="15" t="n"/>
      <c r="B167" s="15" t="n"/>
      <c r="C167" s="60" t="n"/>
      <c r="D167" s="17" t="n"/>
      <c r="E167" s="17" t="n"/>
      <c r="F167" s="15" t="n"/>
      <c r="G167" s="16" t="n"/>
      <c r="H167" s="15" t="n"/>
      <c r="I167" s="19">
        <f>IF($A167="","",IFERROR(SUMIF(tblVarliklar[VarlikId],$B167,tblVarliklar[HedefSagimLt_lt]),ssy_varsayilanHedefLt))</f>
        <v/>
      </c>
      <c r="J167" s="19">
        <f>IF($A167="","",$D167-$I167)</f>
        <v/>
      </c>
      <c r="K167" s="19">
        <f>IF(OR($A167="",$I167=0),"",$J167/$I167)</f>
        <v/>
      </c>
      <c r="L167" s="19">
        <f>IF($A167="","",IF($G167&gt;=ssy_esikBuzagiGun,"YAKIN","NORMAL"))</f>
        <v/>
      </c>
      <c r="M167" s="19">
        <f>IF($A167="","",MAX(0,MIN(100,ssy_kaliteTaban-IF($D167&lt;ssy_esikSagimLt,ssy_kaliteCeza,0)-IF($L167="YAKIN",ssy_kaliteSapma,0)-IF($F167="EVET",0,0)-IF($P167="YETIM",ssy_kaliteCeza,0))))</f>
        <v/>
      </c>
      <c r="N167" s="19">
        <f>IF($A167="","",IF(OR($D167&lt;ssy_esikSagimLt,$G167&gt;=ssy_esikBuzagiGun,$M167&lt;ssy_esikSaglik),"ALARM","UYGUN"))</f>
        <v/>
      </c>
      <c r="O167" s="19">
        <f>IF($A167="","",1)</f>
        <v/>
      </c>
      <c r="P167" s="19">
        <f>IF($A167="","",IF(OR($B167="",COUNTIF(tblVarliklar[VarlikId],$B167)=0),"YETIM","TAMAM"))</f>
        <v/>
      </c>
    </row>
    <row r="168">
      <c r="A168" s="15" t="n"/>
      <c r="B168" s="15" t="n"/>
      <c r="C168" s="60" t="n"/>
      <c r="D168" s="17" t="n"/>
      <c r="E168" s="17" t="n"/>
      <c r="F168" s="15" t="n"/>
      <c r="G168" s="16" t="n"/>
      <c r="H168" s="15" t="n"/>
      <c r="I168" s="19">
        <f>IF($A168="","",IFERROR(SUMIF(tblVarliklar[VarlikId],$B168,tblVarliklar[HedefSagimLt_lt]),ssy_varsayilanHedefLt))</f>
        <v/>
      </c>
      <c r="J168" s="19">
        <f>IF($A168="","",$D168-$I168)</f>
        <v/>
      </c>
      <c r="K168" s="19">
        <f>IF(OR($A168="",$I168=0),"",$J168/$I168)</f>
        <v/>
      </c>
      <c r="L168" s="19">
        <f>IF($A168="","",IF($G168&gt;=ssy_esikBuzagiGun,"YAKIN","NORMAL"))</f>
        <v/>
      </c>
      <c r="M168" s="19">
        <f>IF($A168="","",MAX(0,MIN(100,ssy_kaliteTaban-IF($D168&lt;ssy_esikSagimLt,ssy_kaliteCeza,0)-IF($L168="YAKIN",ssy_kaliteSapma,0)-IF($F168="EVET",0,0)-IF($P168="YETIM",ssy_kaliteCeza,0))))</f>
        <v/>
      </c>
      <c r="N168" s="19">
        <f>IF($A168="","",IF(OR($D168&lt;ssy_esikSagimLt,$G168&gt;=ssy_esikBuzagiGun,$M168&lt;ssy_esikSaglik),"ALARM","UYGUN"))</f>
        <v/>
      </c>
      <c r="O168" s="19">
        <f>IF($A168="","",1)</f>
        <v/>
      </c>
      <c r="P168" s="19">
        <f>IF($A168="","",IF(OR($B168="",COUNTIF(tblVarliklar[VarlikId],$B168)=0),"YETIM","TAMAM"))</f>
        <v/>
      </c>
    </row>
    <row r="169">
      <c r="A169" s="15" t="n"/>
      <c r="B169" s="15" t="n"/>
      <c r="C169" s="60" t="n"/>
      <c r="D169" s="17" t="n"/>
      <c r="E169" s="17" t="n"/>
      <c r="F169" s="15" t="n"/>
      <c r="G169" s="16" t="n"/>
      <c r="H169" s="15" t="n"/>
      <c r="I169" s="19">
        <f>IF($A169="","",IFERROR(SUMIF(tblVarliklar[VarlikId],$B169,tblVarliklar[HedefSagimLt_lt]),ssy_varsayilanHedefLt))</f>
        <v/>
      </c>
      <c r="J169" s="19">
        <f>IF($A169="","",$D169-$I169)</f>
        <v/>
      </c>
      <c r="K169" s="19">
        <f>IF(OR($A169="",$I169=0),"",$J169/$I169)</f>
        <v/>
      </c>
      <c r="L169" s="19">
        <f>IF($A169="","",IF($G169&gt;=ssy_esikBuzagiGun,"YAKIN","NORMAL"))</f>
        <v/>
      </c>
      <c r="M169" s="19">
        <f>IF($A169="","",MAX(0,MIN(100,ssy_kaliteTaban-IF($D169&lt;ssy_esikSagimLt,ssy_kaliteCeza,0)-IF($L169="YAKIN",ssy_kaliteSapma,0)-IF($F169="EVET",0,0)-IF($P169="YETIM",ssy_kaliteCeza,0))))</f>
        <v/>
      </c>
      <c r="N169" s="19">
        <f>IF($A169="","",IF(OR($D169&lt;ssy_esikSagimLt,$G169&gt;=ssy_esikBuzagiGun,$M169&lt;ssy_esikSaglik),"ALARM","UYGUN"))</f>
        <v/>
      </c>
      <c r="O169" s="19">
        <f>IF($A169="","",1)</f>
        <v/>
      </c>
      <c r="P169" s="19">
        <f>IF($A169="","",IF(OR($B169="",COUNTIF(tblVarliklar[VarlikId],$B169)=0),"YETIM","TAMAM"))</f>
        <v/>
      </c>
    </row>
    <row r="170">
      <c r="A170" s="15" t="n"/>
      <c r="B170" s="15" t="n"/>
      <c r="C170" s="60" t="n"/>
      <c r="D170" s="17" t="n"/>
      <c r="E170" s="17" t="n"/>
      <c r="F170" s="15" t="n"/>
      <c r="G170" s="16" t="n"/>
      <c r="H170" s="15" t="n"/>
      <c r="I170" s="19">
        <f>IF($A170="","",IFERROR(SUMIF(tblVarliklar[VarlikId],$B170,tblVarliklar[HedefSagimLt_lt]),ssy_varsayilanHedefLt))</f>
        <v/>
      </c>
      <c r="J170" s="19">
        <f>IF($A170="","",$D170-$I170)</f>
        <v/>
      </c>
      <c r="K170" s="19">
        <f>IF(OR($A170="",$I170=0),"",$J170/$I170)</f>
        <v/>
      </c>
      <c r="L170" s="19">
        <f>IF($A170="","",IF($G170&gt;=ssy_esikBuzagiGun,"YAKIN","NORMAL"))</f>
        <v/>
      </c>
      <c r="M170" s="19">
        <f>IF($A170="","",MAX(0,MIN(100,ssy_kaliteTaban-IF($D170&lt;ssy_esikSagimLt,ssy_kaliteCeza,0)-IF($L170="YAKIN",ssy_kaliteSapma,0)-IF($F170="EVET",0,0)-IF($P170="YETIM",ssy_kaliteCeza,0))))</f>
        <v/>
      </c>
      <c r="N170" s="19">
        <f>IF($A170="","",IF(OR($D170&lt;ssy_esikSagimLt,$G170&gt;=ssy_esikBuzagiGun,$M170&lt;ssy_esikSaglik),"ALARM","UYGUN"))</f>
        <v/>
      </c>
      <c r="O170" s="19">
        <f>IF($A170="","",1)</f>
        <v/>
      </c>
      <c r="P170" s="19">
        <f>IF($A170="","",IF(OR($B170="",COUNTIF(tblVarliklar[VarlikId],$B170)=0),"YETIM","TAMAM"))</f>
        <v/>
      </c>
    </row>
    <row r="171">
      <c r="A171" s="15" t="n"/>
      <c r="B171" s="15" t="n"/>
      <c r="C171" s="60" t="n"/>
      <c r="D171" s="17" t="n"/>
      <c r="E171" s="17" t="n"/>
      <c r="F171" s="15" t="n"/>
      <c r="G171" s="16" t="n"/>
      <c r="H171" s="15" t="n"/>
      <c r="I171" s="19">
        <f>IF($A171="","",IFERROR(SUMIF(tblVarliklar[VarlikId],$B171,tblVarliklar[HedefSagimLt_lt]),ssy_varsayilanHedefLt))</f>
        <v/>
      </c>
      <c r="J171" s="19">
        <f>IF($A171="","",$D171-$I171)</f>
        <v/>
      </c>
      <c r="K171" s="19">
        <f>IF(OR($A171="",$I171=0),"",$J171/$I171)</f>
        <v/>
      </c>
      <c r="L171" s="19">
        <f>IF($A171="","",IF($G171&gt;=ssy_esikBuzagiGun,"YAKIN","NORMAL"))</f>
        <v/>
      </c>
      <c r="M171" s="19">
        <f>IF($A171="","",MAX(0,MIN(100,ssy_kaliteTaban-IF($D171&lt;ssy_esikSagimLt,ssy_kaliteCeza,0)-IF($L171="YAKIN",ssy_kaliteSapma,0)-IF($F171="EVET",0,0)-IF($P171="YETIM",ssy_kaliteCeza,0))))</f>
        <v/>
      </c>
      <c r="N171" s="19">
        <f>IF($A171="","",IF(OR($D171&lt;ssy_esikSagimLt,$G171&gt;=ssy_esikBuzagiGun,$M171&lt;ssy_esikSaglik),"ALARM","UYGUN"))</f>
        <v/>
      </c>
      <c r="O171" s="19">
        <f>IF($A171="","",1)</f>
        <v/>
      </c>
      <c r="P171" s="19">
        <f>IF($A171="","",IF(OR($B171="",COUNTIF(tblVarliklar[VarlikId],$B171)=0),"YETIM","TAMAM"))</f>
        <v/>
      </c>
    </row>
    <row r="172">
      <c r="A172" s="15" t="n"/>
      <c r="B172" s="15" t="n"/>
      <c r="C172" s="60" t="n"/>
      <c r="D172" s="17" t="n"/>
      <c r="E172" s="17" t="n"/>
      <c r="F172" s="15" t="n"/>
      <c r="G172" s="16" t="n"/>
      <c r="H172" s="15" t="n"/>
      <c r="I172" s="19">
        <f>IF($A172="","",IFERROR(SUMIF(tblVarliklar[VarlikId],$B172,tblVarliklar[HedefSagimLt_lt]),ssy_varsayilanHedefLt))</f>
        <v/>
      </c>
      <c r="J172" s="19">
        <f>IF($A172="","",$D172-$I172)</f>
        <v/>
      </c>
      <c r="K172" s="19">
        <f>IF(OR($A172="",$I172=0),"",$J172/$I172)</f>
        <v/>
      </c>
      <c r="L172" s="19">
        <f>IF($A172="","",IF($G172&gt;=ssy_esikBuzagiGun,"YAKIN","NORMAL"))</f>
        <v/>
      </c>
      <c r="M172" s="19">
        <f>IF($A172="","",MAX(0,MIN(100,ssy_kaliteTaban-IF($D172&lt;ssy_esikSagimLt,ssy_kaliteCeza,0)-IF($L172="YAKIN",ssy_kaliteSapma,0)-IF($F172="EVET",0,0)-IF($P172="YETIM",ssy_kaliteCeza,0))))</f>
        <v/>
      </c>
      <c r="N172" s="19">
        <f>IF($A172="","",IF(OR($D172&lt;ssy_esikSagimLt,$G172&gt;=ssy_esikBuzagiGun,$M172&lt;ssy_esikSaglik),"ALARM","UYGUN"))</f>
        <v/>
      </c>
      <c r="O172" s="19">
        <f>IF($A172="","",1)</f>
        <v/>
      </c>
      <c r="P172" s="19">
        <f>IF($A172="","",IF(OR($B172="",COUNTIF(tblVarliklar[VarlikId],$B172)=0),"YETIM","TAMAM"))</f>
        <v/>
      </c>
    </row>
    <row r="173">
      <c r="A173" s="15" t="n"/>
      <c r="B173" s="15" t="n"/>
      <c r="C173" s="60" t="n"/>
      <c r="D173" s="17" t="n"/>
      <c r="E173" s="17" t="n"/>
      <c r="F173" s="15" t="n"/>
      <c r="G173" s="16" t="n"/>
      <c r="H173" s="15" t="n"/>
      <c r="I173" s="19">
        <f>IF($A173="","",IFERROR(SUMIF(tblVarliklar[VarlikId],$B173,tblVarliklar[HedefSagimLt_lt]),ssy_varsayilanHedefLt))</f>
        <v/>
      </c>
      <c r="J173" s="19">
        <f>IF($A173="","",$D173-$I173)</f>
        <v/>
      </c>
      <c r="K173" s="19">
        <f>IF(OR($A173="",$I173=0),"",$J173/$I173)</f>
        <v/>
      </c>
      <c r="L173" s="19">
        <f>IF($A173="","",IF($G173&gt;=ssy_esikBuzagiGun,"YAKIN","NORMAL"))</f>
        <v/>
      </c>
      <c r="M173" s="19">
        <f>IF($A173="","",MAX(0,MIN(100,ssy_kaliteTaban-IF($D173&lt;ssy_esikSagimLt,ssy_kaliteCeza,0)-IF($L173="YAKIN",ssy_kaliteSapma,0)-IF($F173="EVET",0,0)-IF($P173="YETIM",ssy_kaliteCeza,0))))</f>
        <v/>
      </c>
      <c r="N173" s="19">
        <f>IF($A173="","",IF(OR($D173&lt;ssy_esikSagimLt,$G173&gt;=ssy_esikBuzagiGun,$M173&lt;ssy_esikSaglik),"ALARM","UYGUN"))</f>
        <v/>
      </c>
      <c r="O173" s="19">
        <f>IF($A173="","",1)</f>
        <v/>
      </c>
      <c r="P173" s="19">
        <f>IF($A173="","",IF(OR($B173="",COUNTIF(tblVarliklar[VarlikId],$B173)=0),"YETIM","TAMAM"))</f>
        <v/>
      </c>
    </row>
    <row r="174">
      <c r="A174" s="15" t="n"/>
      <c r="B174" s="15" t="n"/>
      <c r="C174" s="60" t="n"/>
      <c r="D174" s="17" t="n"/>
      <c r="E174" s="17" t="n"/>
      <c r="F174" s="15" t="n"/>
      <c r="G174" s="16" t="n"/>
      <c r="H174" s="15" t="n"/>
      <c r="I174" s="19">
        <f>IF($A174="","",IFERROR(SUMIF(tblVarliklar[VarlikId],$B174,tblVarliklar[HedefSagimLt_lt]),ssy_varsayilanHedefLt))</f>
        <v/>
      </c>
      <c r="J174" s="19">
        <f>IF($A174="","",$D174-$I174)</f>
        <v/>
      </c>
      <c r="K174" s="19">
        <f>IF(OR($A174="",$I174=0),"",$J174/$I174)</f>
        <v/>
      </c>
      <c r="L174" s="19">
        <f>IF($A174="","",IF($G174&gt;=ssy_esikBuzagiGun,"YAKIN","NORMAL"))</f>
        <v/>
      </c>
      <c r="M174" s="19">
        <f>IF($A174="","",MAX(0,MIN(100,ssy_kaliteTaban-IF($D174&lt;ssy_esikSagimLt,ssy_kaliteCeza,0)-IF($L174="YAKIN",ssy_kaliteSapma,0)-IF($F174="EVET",0,0)-IF($P174="YETIM",ssy_kaliteCeza,0))))</f>
        <v/>
      </c>
      <c r="N174" s="19">
        <f>IF($A174="","",IF(OR($D174&lt;ssy_esikSagimLt,$G174&gt;=ssy_esikBuzagiGun,$M174&lt;ssy_esikSaglik),"ALARM","UYGUN"))</f>
        <v/>
      </c>
      <c r="O174" s="19">
        <f>IF($A174="","",1)</f>
        <v/>
      </c>
      <c r="P174" s="19">
        <f>IF($A174="","",IF(OR($B174="",COUNTIF(tblVarliklar[VarlikId],$B174)=0),"YETIM","TAMAM"))</f>
        <v/>
      </c>
    </row>
    <row r="175">
      <c r="A175" s="15" t="n"/>
      <c r="B175" s="15" t="n"/>
      <c r="C175" s="60" t="n"/>
      <c r="D175" s="17" t="n"/>
      <c r="E175" s="17" t="n"/>
      <c r="F175" s="15" t="n"/>
      <c r="G175" s="16" t="n"/>
      <c r="H175" s="15" t="n"/>
      <c r="I175" s="19">
        <f>IF($A175="","",IFERROR(SUMIF(tblVarliklar[VarlikId],$B175,tblVarliklar[HedefSagimLt_lt]),ssy_varsayilanHedefLt))</f>
        <v/>
      </c>
      <c r="J175" s="19">
        <f>IF($A175="","",$D175-$I175)</f>
        <v/>
      </c>
      <c r="K175" s="19">
        <f>IF(OR($A175="",$I175=0),"",$J175/$I175)</f>
        <v/>
      </c>
      <c r="L175" s="19">
        <f>IF($A175="","",IF($G175&gt;=ssy_esikBuzagiGun,"YAKIN","NORMAL"))</f>
        <v/>
      </c>
      <c r="M175" s="19">
        <f>IF($A175="","",MAX(0,MIN(100,ssy_kaliteTaban-IF($D175&lt;ssy_esikSagimLt,ssy_kaliteCeza,0)-IF($L175="YAKIN",ssy_kaliteSapma,0)-IF($F175="EVET",0,0)-IF($P175="YETIM",ssy_kaliteCeza,0))))</f>
        <v/>
      </c>
      <c r="N175" s="19">
        <f>IF($A175="","",IF(OR($D175&lt;ssy_esikSagimLt,$G175&gt;=ssy_esikBuzagiGun,$M175&lt;ssy_esikSaglik),"ALARM","UYGUN"))</f>
        <v/>
      </c>
      <c r="O175" s="19">
        <f>IF($A175="","",1)</f>
        <v/>
      </c>
      <c r="P175" s="19">
        <f>IF($A175="","",IF(OR($B175="",COUNTIF(tblVarliklar[VarlikId],$B175)=0),"YETIM","TAMAM"))</f>
        <v/>
      </c>
    </row>
    <row r="176">
      <c r="A176" s="15" t="n"/>
      <c r="B176" s="15" t="n"/>
      <c r="C176" s="60" t="n"/>
      <c r="D176" s="17" t="n"/>
      <c r="E176" s="17" t="n"/>
      <c r="F176" s="15" t="n"/>
      <c r="G176" s="16" t="n"/>
      <c r="H176" s="15" t="n"/>
      <c r="I176" s="19">
        <f>IF($A176="","",IFERROR(SUMIF(tblVarliklar[VarlikId],$B176,tblVarliklar[HedefSagimLt_lt]),ssy_varsayilanHedefLt))</f>
        <v/>
      </c>
      <c r="J176" s="19">
        <f>IF($A176="","",$D176-$I176)</f>
        <v/>
      </c>
      <c r="K176" s="19">
        <f>IF(OR($A176="",$I176=0),"",$J176/$I176)</f>
        <v/>
      </c>
      <c r="L176" s="19">
        <f>IF($A176="","",IF($G176&gt;=ssy_esikBuzagiGun,"YAKIN","NORMAL"))</f>
        <v/>
      </c>
      <c r="M176" s="19">
        <f>IF($A176="","",MAX(0,MIN(100,ssy_kaliteTaban-IF($D176&lt;ssy_esikSagimLt,ssy_kaliteCeza,0)-IF($L176="YAKIN",ssy_kaliteSapma,0)-IF($F176="EVET",0,0)-IF($P176="YETIM",ssy_kaliteCeza,0))))</f>
        <v/>
      </c>
      <c r="N176" s="19">
        <f>IF($A176="","",IF(OR($D176&lt;ssy_esikSagimLt,$G176&gt;=ssy_esikBuzagiGun,$M176&lt;ssy_esikSaglik),"ALARM","UYGUN"))</f>
        <v/>
      </c>
      <c r="O176" s="19">
        <f>IF($A176="","",1)</f>
        <v/>
      </c>
      <c r="P176" s="19">
        <f>IF($A176="","",IF(OR($B176="",COUNTIF(tblVarliklar[VarlikId],$B176)=0),"YETIM","TAMAM"))</f>
        <v/>
      </c>
    </row>
    <row r="177">
      <c r="A177" s="15" t="n"/>
      <c r="B177" s="15" t="n"/>
      <c r="C177" s="60" t="n"/>
      <c r="D177" s="17" t="n"/>
      <c r="E177" s="17" t="n"/>
      <c r="F177" s="15" t="n"/>
      <c r="G177" s="16" t="n"/>
      <c r="H177" s="15" t="n"/>
      <c r="I177" s="19">
        <f>IF($A177="","",IFERROR(SUMIF(tblVarliklar[VarlikId],$B177,tblVarliklar[HedefSagimLt_lt]),ssy_varsayilanHedefLt))</f>
        <v/>
      </c>
      <c r="J177" s="19">
        <f>IF($A177="","",$D177-$I177)</f>
        <v/>
      </c>
      <c r="K177" s="19">
        <f>IF(OR($A177="",$I177=0),"",$J177/$I177)</f>
        <v/>
      </c>
      <c r="L177" s="19">
        <f>IF($A177="","",IF($G177&gt;=ssy_esikBuzagiGun,"YAKIN","NORMAL"))</f>
        <v/>
      </c>
      <c r="M177" s="19">
        <f>IF($A177="","",MAX(0,MIN(100,ssy_kaliteTaban-IF($D177&lt;ssy_esikSagimLt,ssy_kaliteCeza,0)-IF($L177="YAKIN",ssy_kaliteSapma,0)-IF($F177="EVET",0,0)-IF($P177="YETIM",ssy_kaliteCeza,0))))</f>
        <v/>
      </c>
      <c r="N177" s="19">
        <f>IF($A177="","",IF(OR($D177&lt;ssy_esikSagimLt,$G177&gt;=ssy_esikBuzagiGun,$M177&lt;ssy_esikSaglik),"ALARM","UYGUN"))</f>
        <v/>
      </c>
      <c r="O177" s="19">
        <f>IF($A177="","",1)</f>
        <v/>
      </c>
      <c r="P177" s="19">
        <f>IF($A177="","",IF(OR($B177="",COUNTIF(tblVarliklar[VarlikId],$B177)=0),"YETIM","TAMAM"))</f>
        <v/>
      </c>
    </row>
    <row r="178">
      <c r="A178" s="15" t="n"/>
      <c r="B178" s="15" t="n"/>
      <c r="C178" s="60" t="n"/>
      <c r="D178" s="17" t="n"/>
      <c r="E178" s="17" t="n"/>
      <c r="F178" s="15" t="n"/>
      <c r="G178" s="16" t="n"/>
      <c r="H178" s="15" t="n"/>
      <c r="I178" s="19">
        <f>IF($A178="","",IFERROR(SUMIF(tblVarliklar[VarlikId],$B178,tblVarliklar[HedefSagimLt_lt]),ssy_varsayilanHedefLt))</f>
        <v/>
      </c>
      <c r="J178" s="19">
        <f>IF($A178="","",$D178-$I178)</f>
        <v/>
      </c>
      <c r="K178" s="19">
        <f>IF(OR($A178="",$I178=0),"",$J178/$I178)</f>
        <v/>
      </c>
      <c r="L178" s="19">
        <f>IF($A178="","",IF($G178&gt;=ssy_esikBuzagiGun,"YAKIN","NORMAL"))</f>
        <v/>
      </c>
      <c r="M178" s="19">
        <f>IF($A178="","",MAX(0,MIN(100,ssy_kaliteTaban-IF($D178&lt;ssy_esikSagimLt,ssy_kaliteCeza,0)-IF($L178="YAKIN",ssy_kaliteSapma,0)-IF($F178="EVET",0,0)-IF($P178="YETIM",ssy_kaliteCeza,0))))</f>
        <v/>
      </c>
      <c r="N178" s="19">
        <f>IF($A178="","",IF(OR($D178&lt;ssy_esikSagimLt,$G178&gt;=ssy_esikBuzagiGun,$M178&lt;ssy_esikSaglik),"ALARM","UYGUN"))</f>
        <v/>
      </c>
      <c r="O178" s="19">
        <f>IF($A178="","",1)</f>
        <v/>
      </c>
      <c r="P178" s="19">
        <f>IF($A178="","",IF(OR($B178="",COUNTIF(tblVarliklar[VarlikId],$B178)=0),"YETIM","TAMAM"))</f>
        <v/>
      </c>
    </row>
    <row r="179">
      <c r="A179" s="15" t="n"/>
      <c r="B179" s="15" t="n"/>
      <c r="C179" s="60" t="n"/>
      <c r="D179" s="17" t="n"/>
      <c r="E179" s="17" t="n"/>
      <c r="F179" s="15" t="n"/>
      <c r="G179" s="16" t="n"/>
      <c r="H179" s="15" t="n"/>
      <c r="I179" s="19">
        <f>IF($A179="","",IFERROR(SUMIF(tblVarliklar[VarlikId],$B179,tblVarliklar[HedefSagimLt_lt]),ssy_varsayilanHedefLt))</f>
        <v/>
      </c>
      <c r="J179" s="19">
        <f>IF($A179="","",$D179-$I179)</f>
        <v/>
      </c>
      <c r="K179" s="19">
        <f>IF(OR($A179="",$I179=0),"",$J179/$I179)</f>
        <v/>
      </c>
      <c r="L179" s="19">
        <f>IF($A179="","",IF($G179&gt;=ssy_esikBuzagiGun,"YAKIN","NORMAL"))</f>
        <v/>
      </c>
      <c r="M179" s="19">
        <f>IF($A179="","",MAX(0,MIN(100,ssy_kaliteTaban-IF($D179&lt;ssy_esikSagimLt,ssy_kaliteCeza,0)-IF($L179="YAKIN",ssy_kaliteSapma,0)-IF($F179="EVET",0,0)-IF($P179="YETIM",ssy_kaliteCeza,0))))</f>
        <v/>
      </c>
      <c r="N179" s="19">
        <f>IF($A179="","",IF(OR($D179&lt;ssy_esikSagimLt,$G179&gt;=ssy_esikBuzagiGun,$M179&lt;ssy_esikSaglik),"ALARM","UYGUN"))</f>
        <v/>
      </c>
      <c r="O179" s="19">
        <f>IF($A179="","",1)</f>
        <v/>
      </c>
      <c r="P179" s="19">
        <f>IF($A179="","",IF(OR($B179="",COUNTIF(tblVarliklar[VarlikId],$B179)=0),"YETIM","TAMAM"))</f>
        <v/>
      </c>
    </row>
    <row r="180">
      <c r="A180" s="15" t="n"/>
      <c r="B180" s="15" t="n"/>
      <c r="C180" s="60" t="n"/>
      <c r="D180" s="17" t="n"/>
      <c r="E180" s="17" t="n"/>
      <c r="F180" s="15" t="n"/>
      <c r="G180" s="16" t="n"/>
      <c r="H180" s="15" t="n"/>
      <c r="I180" s="19">
        <f>IF($A180="","",IFERROR(SUMIF(tblVarliklar[VarlikId],$B180,tblVarliklar[HedefSagimLt_lt]),ssy_varsayilanHedefLt))</f>
        <v/>
      </c>
      <c r="J180" s="19">
        <f>IF($A180="","",$D180-$I180)</f>
        <v/>
      </c>
      <c r="K180" s="19">
        <f>IF(OR($A180="",$I180=0),"",$J180/$I180)</f>
        <v/>
      </c>
      <c r="L180" s="19">
        <f>IF($A180="","",IF($G180&gt;=ssy_esikBuzagiGun,"YAKIN","NORMAL"))</f>
        <v/>
      </c>
      <c r="M180" s="19">
        <f>IF($A180="","",MAX(0,MIN(100,ssy_kaliteTaban-IF($D180&lt;ssy_esikSagimLt,ssy_kaliteCeza,0)-IF($L180="YAKIN",ssy_kaliteSapma,0)-IF($F180="EVET",0,0)-IF($P180="YETIM",ssy_kaliteCeza,0))))</f>
        <v/>
      </c>
      <c r="N180" s="19">
        <f>IF($A180="","",IF(OR($D180&lt;ssy_esikSagimLt,$G180&gt;=ssy_esikBuzagiGun,$M180&lt;ssy_esikSaglik),"ALARM","UYGUN"))</f>
        <v/>
      </c>
      <c r="O180" s="19">
        <f>IF($A180="","",1)</f>
        <v/>
      </c>
      <c r="P180" s="19">
        <f>IF($A180="","",IF(OR($B180="",COUNTIF(tblVarliklar[VarlikId],$B180)=0),"YETIM","TAMAM"))</f>
        <v/>
      </c>
    </row>
    <row r="181">
      <c r="A181" s="15" t="n"/>
      <c r="B181" s="15" t="n"/>
      <c r="C181" s="60" t="n"/>
      <c r="D181" s="17" t="n"/>
      <c r="E181" s="17" t="n"/>
      <c r="F181" s="15" t="n"/>
      <c r="G181" s="16" t="n"/>
      <c r="H181" s="15" t="n"/>
      <c r="I181" s="19">
        <f>IF($A181="","",IFERROR(SUMIF(tblVarliklar[VarlikId],$B181,tblVarliklar[HedefSagimLt_lt]),ssy_varsayilanHedefLt))</f>
        <v/>
      </c>
      <c r="J181" s="19">
        <f>IF($A181="","",$D181-$I181)</f>
        <v/>
      </c>
      <c r="K181" s="19">
        <f>IF(OR($A181="",$I181=0),"",$J181/$I181)</f>
        <v/>
      </c>
      <c r="L181" s="19">
        <f>IF($A181="","",IF($G181&gt;=ssy_esikBuzagiGun,"YAKIN","NORMAL"))</f>
        <v/>
      </c>
      <c r="M181" s="19">
        <f>IF($A181="","",MAX(0,MIN(100,ssy_kaliteTaban-IF($D181&lt;ssy_esikSagimLt,ssy_kaliteCeza,0)-IF($L181="YAKIN",ssy_kaliteSapma,0)-IF($F181="EVET",0,0)-IF($P181="YETIM",ssy_kaliteCeza,0))))</f>
        <v/>
      </c>
      <c r="N181" s="19">
        <f>IF($A181="","",IF(OR($D181&lt;ssy_esikSagimLt,$G181&gt;=ssy_esikBuzagiGun,$M181&lt;ssy_esikSaglik),"ALARM","UYGUN"))</f>
        <v/>
      </c>
      <c r="O181" s="19">
        <f>IF($A181="","",1)</f>
        <v/>
      </c>
      <c r="P181" s="19">
        <f>IF($A181="","",IF(OR($B181="",COUNTIF(tblVarliklar[VarlikId],$B181)=0),"YETIM","TAMAM"))</f>
        <v/>
      </c>
    </row>
    <row r="182">
      <c r="A182" s="15" t="n"/>
      <c r="B182" s="15" t="n"/>
      <c r="C182" s="60" t="n"/>
      <c r="D182" s="17" t="n"/>
      <c r="E182" s="17" t="n"/>
      <c r="F182" s="15" t="n"/>
      <c r="G182" s="16" t="n"/>
      <c r="H182" s="15" t="n"/>
      <c r="I182" s="19">
        <f>IF($A182="","",IFERROR(SUMIF(tblVarliklar[VarlikId],$B182,tblVarliklar[HedefSagimLt_lt]),ssy_varsayilanHedefLt))</f>
        <v/>
      </c>
      <c r="J182" s="19">
        <f>IF($A182="","",$D182-$I182)</f>
        <v/>
      </c>
      <c r="K182" s="19">
        <f>IF(OR($A182="",$I182=0),"",$J182/$I182)</f>
        <v/>
      </c>
      <c r="L182" s="19">
        <f>IF($A182="","",IF($G182&gt;=ssy_esikBuzagiGun,"YAKIN","NORMAL"))</f>
        <v/>
      </c>
      <c r="M182" s="19">
        <f>IF($A182="","",MAX(0,MIN(100,ssy_kaliteTaban-IF($D182&lt;ssy_esikSagimLt,ssy_kaliteCeza,0)-IF($L182="YAKIN",ssy_kaliteSapma,0)-IF($F182="EVET",0,0)-IF($P182="YETIM",ssy_kaliteCeza,0))))</f>
        <v/>
      </c>
      <c r="N182" s="19">
        <f>IF($A182="","",IF(OR($D182&lt;ssy_esikSagimLt,$G182&gt;=ssy_esikBuzagiGun,$M182&lt;ssy_esikSaglik),"ALARM","UYGUN"))</f>
        <v/>
      </c>
      <c r="O182" s="19">
        <f>IF($A182="","",1)</f>
        <v/>
      </c>
      <c r="P182" s="19">
        <f>IF($A182="","",IF(OR($B182="",COUNTIF(tblVarliklar[VarlikId],$B182)=0),"YETIM","TAMAM"))</f>
        <v/>
      </c>
    </row>
    <row r="183">
      <c r="A183" s="15" t="n"/>
      <c r="B183" s="15" t="n"/>
      <c r="C183" s="60" t="n"/>
      <c r="D183" s="17" t="n"/>
      <c r="E183" s="17" t="n"/>
      <c r="F183" s="15" t="n"/>
      <c r="G183" s="16" t="n"/>
      <c r="H183" s="15" t="n"/>
      <c r="I183" s="19">
        <f>IF($A183="","",IFERROR(SUMIF(tblVarliklar[VarlikId],$B183,tblVarliklar[HedefSagimLt_lt]),ssy_varsayilanHedefLt))</f>
        <v/>
      </c>
      <c r="J183" s="19">
        <f>IF($A183="","",$D183-$I183)</f>
        <v/>
      </c>
      <c r="K183" s="19">
        <f>IF(OR($A183="",$I183=0),"",$J183/$I183)</f>
        <v/>
      </c>
      <c r="L183" s="19">
        <f>IF($A183="","",IF($G183&gt;=ssy_esikBuzagiGun,"YAKIN","NORMAL"))</f>
        <v/>
      </c>
      <c r="M183" s="19">
        <f>IF($A183="","",MAX(0,MIN(100,ssy_kaliteTaban-IF($D183&lt;ssy_esikSagimLt,ssy_kaliteCeza,0)-IF($L183="YAKIN",ssy_kaliteSapma,0)-IF($F183="EVET",0,0)-IF($P183="YETIM",ssy_kaliteCeza,0))))</f>
        <v/>
      </c>
      <c r="N183" s="19">
        <f>IF($A183="","",IF(OR($D183&lt;ssy_esikSagimLt,$G183&gt;=ssy_esikBuzagiGun,$M183&lt;ssy_esikSaglik),"ALARM","UYGUN"))</f>
        <v/>
      </c>
      <c r="O183" s="19">
        <f>IF($A183="","",1)</f>
        <v/>
      </c>
      <c r="P183" s="19">
        <f>IF($A183="","",IF(OR($B183="",COUNTIF(tblVarliklar[VarlikId],$B183)=0),"YETIM","TAMAM"))</f>
        <v/>
      </c>
    </row>
    <row r="184">
      <c r="A184" s="15" t="n"/>
      <c r="B184" s="15" t="n"/>
      <c r="C184" s="60" t="n"/>
      <c r="D184" s="17" t="n"/>
      <c r="E184" s="17" t="n"/>
      <c r="F184" s="15" t="n"/>
      <c r="G184" s="16" t="n"/>
      <c r="H184" s="15" t="n"/>
      <c r="I184" s="19">
        <f>IF($A184="","",IFERROR(SUMIF(tblVarliklar[VarlikId],$B184,tblVarliklar[HedefSagimLt_lt]),ssy_varsayilanHedefLt))</f>
        <v/>
      </c>
      <c r="J184" s="19">
        <f>IF($A184="","",$D184-$I184)</f>
        <v/>
      </c>
      <c r="K184" s="19">
        <f>IF(OR($A184="",$I184=0),"",$J184/$I184)</f>
        <v/>
      </c>
      <c r="L184" s="19">
        <f>IF($A184="","",IF($G184&gt;=ssy_esikBuzagiGun,"YAKIN","NORMAL"))</f>
        <v/>
      </c>
      <c r="M184" s="19">
        <f>IF($A184="","",MAX(0,MIN(100,ssy_kaliteTaban-IF($D184&lt;ssy_esikSagimLt,ssy_kaliteCeza,0)-IF($L184="YAKIN",ssy_kaliteSapma,0)-IF($F184="EVET",0,0)-IF($P184="YETIM",ssy_kaliteCeza,0))))</f>
        <v/>
      </c>
      <c r="N184" s="19">
        <f>IF($A184="","",IF(OR($D184&lt;ssy_esikSagimLt,$G184&gt;=ssy_esikBuzagiGun,$M184&lt;ssy_esikSaglik),"ALARM","UYGUN"))</f>
        <v/>
      </c>
      <c r="O184" s="19">
        <f>IF($A184="","",1)</f>
        <v/>
      </c>
      <c r="P184" s="19">
        <f>IF($A184="","",IF(OR($B184="",COUNTIF(tblVarliklar[VarlikId],$B184)=0),"YETIM","TAMAM"))</f>
        <v/>
      </c>
    </row>
    <row r="185">
      <c r="A185" s="15" t="n"/>
      <c r="B185" s="15" t="n"/>
      <c r="C185" s="60" t="n"/>
      <c r="D185" s="17" t="n"/>
      <c r="E185" s="17" t="n"/>
      <c r="F185" s="15" t="n"/>
      <c r="G185" s="16" t="n"/>
      <c r="H185" s="15" t="n"/>
      <c r="I185" s="19">
        <f>IF($A185="","",IFERROR(SUMIF(tblVarliklar[VarlikId],$B185,tblVarliklar[HedefSagimLt_lt]),ssy_varsayilanHedefLt))</f>
        <v/>
      </c>
      <c r="J185" s="19">
        <f>IF($A185="","",$D185-$I185)</f>
        <v/>
      </c>
      <c r="K185" s="19">
        <f>IF(OR($A185="",$I185=0),"",$J185/$I185)</f>
        <v/>
      </c>
      <c r="L185" s="19">
        <f>IF($A185="","",IF($G185&gt;=ssy_esikBuzagiGun,"YAKIN","NORMAL"))</f>
        <v/>
      </c>
      <c r="M185" s="19">
        <f>IF($A185="","",MAX(0,MIN(100,ssy_kaliteTaban-IF($D185&lt;ssy_esikSagimLt,ssy_kaliteCeza,0)-IF($L185="YAKIN",ssy_kaliteSapma,0)-IF($F185="EVET",0,0)-IF($P185="YETIM",ssy_kaliteCeza,0))))</f>
        <v/>
      </c>
      <c r="N185" s="19">
        <f>IF($A185="","",IF(OR($D185&lt;ssy_esikSagimLt,$G185&gt;=ssy_esikBuzagiGun,$M185&lt;ssy_esikSaglik),"ALARM","UYGUN"))</f>
        <v/>
      </c>
      <c r="O185" s="19">
        <f>IF($A185="","",1)</f>
        <v/>
      </c>
      <c r="P185" s="19">
        <f>IF($A185="","",IF(OR($B185="",COUNTIF(tblVarliklar[VarlikId],$B185)=0),"YETIM","TAMAM"))</f>
        <v/>
      </c>
    </row>
    <row r="186">
      <c r="A186" s="15" t="n"/>
      <c r="B186" s="15" t="n"/>
      <c r="C186" s="60" t="n"/>
      <c r="D186" s="17" t="n"/>
      <c r="E186" s="17" t="n"/>
      <c r="F186" s="15" t="n"/>
      <c r="G186" s="16" t="n"/>
      <c r="H186" s="15" t="n"/>
      <c r="I186" s="19">
        <f>IF($A186="","",IFERROR(SUMIF(tblVarliklar[VarlikId],$B186,tblVarliklar[HedefSagimLt_lt]),ssy_varsayilanHedefLt))</f>
        <v/>
      </c>
      <c r="J186" s="19">
        <f>IF($A186="","",$D186-$I186)</f>
        <v/>
      </c>
      <c r="K186" s="19">
        <f>IF(OR($A186="",$I186=0),"",$J186/$I186)</f>
        <v/>
      </c>
      <c r="L186" s="19">
        <f>IF($A186="","",IF($G186&gt;=ssy_esikBuzagiGun,"YAKIN","NORMAL"))</f>
        <v/>
      </c>
      <c r="M186" s="19">
        <f>IF($A186="","",MAX(0,MIN(100,ssy_kaliteTaban-IF($D186&lt;ssy_esikSagimLt,ssy_kaliteCeza,0)-IF($L186="YAKIN",ssy_kaliteSapma,0)-IF($F186="EVET",0,0)-IF($P186="YETIM",ssy_kaliteCeza,0))))</f>
        <v/>
      </c>
      <c r="N186" s="19">
        <f>IF($A186="","",IF(OR($D186&lt;ssy_esikSagimLt,$G186&gt;=ssy_esikBuzagiGun,$M186&lt;ssy_esikSaglik),"ALARM","UYGUN"))</f>
        <v/>
      </c>
      <c r="O186" s="19">
        <f>IF($A186="","",1)</f>
        <v/>
      </c>
      <c r="P186" s="19">
        <f>IF($A186="","",IF(OR($B186="",COUNTIF(tblVarliklar[VarlikId],$B186)=0),"YETIM","TAMAM"))</f>
        <v/>
      </c>
    </row>
    <row r="187">
      <c r="A187" s="15" t="n"/>
      <c r="B187" s="15" t="n"/>
      <c r="C187" s="60" t="n"/>
      <c r="D187" s="17" t="n"/>
      <c r="E187" s="17" t="n"/>
      <c r="F187" s="15" t="n"/>
      <c r="G187" s="16" t="n"/>
      <c r="H187" s="15" t="n"/>
      <c r="I187" s="19">
        <f>IF($A187="","",IFERROR(SUMIF(tblVarliklar[VarlikId],$B187,tblVarliklar[HedefSagimLt_lt]),ssy_varsayilanHedefLt))</f>
        <v/>
      </c>
      <c r="J187" s="19">
        <f>IF($A187="","",$D187-$I187)</f>
        <v/>
      </c>
      <c r="K187" s="19">
        <f>IF(OR($A187="",$I187=0),"",$J187/$I187)</f>
        <v/>
      </c>
      <c r="L187" s="19">
        <f>IF($A187="","",IF($G187&gt;=ssy_esikBuzagiGun,"YAKIN","NORMAL"))</f>
        <v/>
      </c>
      <c r="M187" s="19">
        <f>IF($A187="","",MAX(0,MIN(100,ssy_kaliteTaban-IF($D187&lt;ssy_esikSagimLt,ssy_kaliteCeza,0)-IF($L187="YAKIN",ssy_kaliteSapma,0)-IF($F187="EVET",0,0)-IF($P187="YETIM",ssy_kaliteCeza,0))))</f>
        <v/>
      </c>
      <c r="N187" s="19">
        <f>IF($A187="","",IF(OR($D187&lt;ssy_esikSagimLt,$G187&gt;=ssy_esikBuzagiGun,$M187&lt;ssy_esikSaglik),"ALARM","UYGUN"))</f>
        <v/>
      </c>
      <c r="O187" s="19">
        <f>IF($A187="","",1)</f>
        <v/>
      </c>
      <c r="P187" s="19">
        <f>IF($A187="","",IF(OR($B187="",COUNTIF(tblVarliklar[VarlikId],$B187)=0),"YETIM","TAMAM"))</f>
        <v/>
      </c>
    </row>
    <row r="188">
      <c r="A188" s="15" t="n"/>
      <c r="B188" s="15" t="n"/>
      <c r="C188" s="60" t="n"/>
      <c r="D188" s="17" t="n"/>
      <c r="E188" s="17" t="n"/>
      <c r="F188" s="15" t="n"/>
      <c r="G188" s="16" t="n"/>
      <c r="H188" s="15" t="n"/>
      <c r="I188" s="19">
        <f>IF($A188="","",IFERROR(SUMIF(tblVarliklar[VarlikId],$B188,tblVarliklar[HedefSagimLt_lt]),ssy_varsayilanHedefLt))</f>
        <v/>
      </c>
      <c r="J188" s="19">
        <f>IF($A188="","",$D188-$I188)</f>
        <v/>
      </c>
      <c r="K188" s="19">
        <f>IF(OR($A188="",$I188=0),"",$J188/$I188)</f>
        <v/>
      </c>
      <c r="L188" s="19">
        <f>IF($A188="","",IF($G188&gt;=ssy_esikBuzagiGun,"YAKIN","NORMAL"))</f>
        <v/>
      </c>
      <c r="M188" s="19">
        <f>IF($A188="","",MAX(0,MIN(100,ssy_kaliteTaban-IF($D188&lt;ssy_esikSagimLt,ssy_kaliteCeza,0)-IF($L188="YAKIN",ssy_kaliteSapma,0)-IF($F188="EVET",0,0)-IF($P188="YETIM",ssy_kaliteCeza,0))))</f>
        <v/>
      </c>
      <c r="N188" s="19">
        <f>IF($A188="","",IF(OR($D188&lt;ssy_esikSagimLt,$G188&gt;=ssy_esikBuzagiGun,$M188&lt;ssy_esikSaglik),"ALARM","UYGUN"))</f>
        <v/>
      </c>
      <c r="O188" s="19">
        <f>IF($A188="","",1)</f>
        <v/>
      </c>
      <c r="P188" s="19">
        <f>IF($A188="","",IF(OR($B188="",COUNTIF(tblVarliklar[VarlikId],$B188)=0),"YETIM","TAMAM"))</f>
        <v/>
      </c>
    </row>
    <row r="189">
      <c r="A189" s="15" t="n"/>
      <c r="B189" s="15" t="n"/>
      <c r="C189" s="60" t="n"/>
      <c r="D189" s="17" t="n"/>
      <c r="E189" s="17" t="n"/>
      <c r="F189" s="15" t="n"/>
      <c r="G189" s="16" t="n"/>
      <c r="H189" s="15" t="n"/>
      <c r="I189" s="19">
        <f>IF($A189="","",IFERROR(SUMIF(tblVarliklar[VarlikId],$B189,tblVarliklar[HedefSagimLt_lt]),ssy_varsayilanHedefLt))</f>
        <v/>
      </c>
      <c r="J189" s="19">
        <f>IF($A189="","",$D189-$I189)</f>
        <v/>
      </c>
      <c r="K189" s="19">
        <f>IF(OR($A189="",$I189=0),"",$J189/$I189)</f>
        <v/>
      </c>
      <c r="L189" s="19">
        <f>IF($A189="","",IF($G189&gt;=ssy_esikBuzagiGun,"YAKIN","NORMAL"))</f>
        <v/>
      </c>
      <c r="M189" s="19">
        <f>IF($A189="","",MAX(0,MIN(100,ssy_kaliteTaban-IF($D189&lt;ssy_esikSagimLt,ssy_kaliteCeza,0)-IF($L189="YAKIN",ssy_kaliteSapma,0)-IF($F189="EVET",0,0)-IF($P189="YETIM",ssy_kaliteCeza,0))))</f>
        <v/>
      </c>
      <c r="N189" s="19">
        <f>IF($A189="","",IF(OR($D189&lt;ssy_esikSagimLt,$G189&gt;=ssy_esikBuzagiGun,$M189&lt;ssy_esikSaglik),"ALARM","UYGUN"))</f>
        <v/>
      </c>
      <c r="O189" s="19">
        <f>IF($A189="","",1)</f>
        <v/>
      </c>
      <c r="P189" s="19">
        <f>IF($A189="","",IF(OR($B189="",COUNTIF(tblVarliklar[VarlikId],$B189)=0),"YETIM","TAMAM"))</f>
        <v/>
      </c>
    </row>
    <row r="190">
      <c r="A190" s="15" t="n"/>
      <c r="B190" s="15" t="n"/>
      <c r="C190" s="60" t="n"/>
      <c r="D190" s="17" t="n"/>
      <c r="E190" s="17" t="n"/>
      <c r="F190" s="15" t="n"/>
      <c r="G190" s="16" t="n"/>
      <c r="H190" s="15" t="n"/>
      <c r="I190" s="19">
        <f>IF($A190="","",IFERROR(SUMIF(tblVarliklar[VarlikId],$B190,tblVarliklar[HedefSagimLt_lt]),ssy_varsayilanHedefLt))</f>
        <v/>
      </c>
      <c r="J190" s="19">
        <f>IF($A190="","",$D190-$I190)</f>
        <v/>
      </c>
      <c r="K190" s="19">
        <f>IF(OR($A190="",$I190=0),"",$J190/$I190)</f>
        <v/>
      </c>
      <c r="L190" s="19">
        <f>IF($A190="","",IF($G190&gt;=ssy_esikBuzagiGun,"YAKIN","NORMAL"))</f>
        <v/>
      </c>
      <c r="M190" s="19">
        <f>IF($A190="","",MAX(0,MIN(100,ssy_kaliteTaban-IF($D190&lt;ssy_esikSagimLt,ssy_kaliteCeza,0)-IF($L190="YAKIN",ssy_kaliteSapma,0)-IF($F190="EVET",0,0)-IF($P190="YETIM",ssy_kaliteCeza,0))))</f>
        <v/>
      </c>
      <c r="N190" s="19">
        <f>IF($A190="","",IF(OR($D190&lt;ssy_esikSagimLt,$G190&gt;=ssy_esikBuzagiGun,$M190&lt;ssy_esikSaglik),"ALARM","UYGUN"))</f>
        <v/>
      </c>
      <c r="O190" s="19">
        <f>IF($A190="","",1)</f>
        <v/>
      </c>
      <c r="P190" s="19">
        <f>IF($A190="","",IF(OR($B190="",COUNTIF(tblVarliklar[VarlikId],$B190)=0),"YETIM","TAMAM"))</f>
        <v/>
      </c>
    </row>
    <row r="191">
      <c r="A191" s="15" t="n"/>
      <c r="B191" s="15" t="n"/>
      <c r="C191" s="60" t="n"/>
      <c r="D191" s="17" t="n"/>
      <c r="E191" s="17" t="n"/>
      <c r="F191" s="15" t="n"/>
      <c r="G191" s="16" t="n"/>
      <c r="H191" s="15" t="n"/>
      <c r="I191" s="19">
        <f>IF($A191="","",IFERROR(SUMIF(tblVarliklar[VarlikId],$B191,tblVarliklar[HedefSagimLt_lt]),ssy_varsayilanHedefLt))</f>
        <v/>
      </c>
      <c r="J191" s="19">
        <f>IF($A191="","",$D191-$I191)</f>
        <v/>
      </c>
      <c r="K191" s="19">
        <f>IF(OR($A191="",$I191=0),"",$J191/$I191)</f>
        <v/>
      </c>
      <c r="L191" s="19">
        <f>IF($A191="","",IF($G191&gt;=ssy_esikBuzagiGun,"YAKIN","NORMAL"))</f>
        <v/>
      </c>
      <c r="M191" s="19">
        <f>IF($A191="","",MAX(0,MIN(100,ssy_kaliteTaban-IF($D191&lt;ssy_esikSagimLt,ssy_kaliteCeza,0)-IF($L191="YAKIN",ssy_kaliteSapma,0)-IF($F191="EVET",0,0)-IF($P191="YETIM",ssy_kaliteCeza,0))))</f>
        <v/>
      </c>
      <c r="N191" s="19">
        <f>IF($A191="","",IF(OR($D191&lt;ssy_esikSagimLt,$G191&gt;=ssy_esikBuzagiGun,$M191&lt;ssy_esikSaglik),"ALARM","UYGUN"))</f>
        <v/>
      </c>
      <c r="O191" s="19">
        <f>IF($A191="","",1)</f>
        <v/>
      </c>
      <c r="P191" s="19">
        <f>IF($A191="","",IF(OR($B191="",COUNTIF(tblVarliklar[VarlikId],$B191)=0),"YETIM","TAMAM"))</f>
        <v/>
      </c>
    </row>
    <row r="192">
      <c r="A192" s="15" t="n"/>
      <c r="B192" s="15" t="n"/>
      <c r="C192" s="60" t="n"/>
      <c r="D192" s="17" t="n"/>
      <c r="E192" s="17" t="n"/>
      <c r="F192" s="15" t="n"/>
      <c r="G192" s="16" t="n"/>
      <c r="H192" s="15" t="n"/>
      <c r="I192" s="19">
        <f>IF($A192="","",IFERROR(SUMIF(tblVarliklar[VarlikId],$B192,tblVarliklar[HedefSagimLt_lt]),ssy_varsayilanHedefLt))</f>
        <v/>
      </c>
      <c r="J192" s="19">
        <f>IF($A192="","",$D192-$I192)</f>
        <v/>
      </c>
      <c r="K192" s="19">
        <f>IF(OR($A192="",$I192=0),"",$J192/$I192)</f>
        <v/>
      </c>
      <c r="L192" s="19">
        <f>IF($A192="","",IF($G192&gt;=ssy_esikBuzagiGun,"YAKIN","NORMAL"))</f>
        <v/>
      </c>
      <c r="M192" s="19">
        <f>IF($A192="","",MAX(0,MIN(100,ssy_kaliteTaban-IF($D192&lt;ssy_esikSagimLt,ssy_kaliteCeza,0)-IF($L192="YAKIN",ssy_kaliteSapma,0)-IF($F192="EVET",0,0)-IF($P192="YETIM",ssy_kaliteCeza,0))))</f>
        <v/>
      </c>
      <c r="N192" s="19">
        <f>IF($A192="","",IF(OR($D192&lt;ssy_esikSagimLt,$G192&gt;=ssy_esikBuzagiGun,$M192&lt;ssy_esikSaglik),"ALARM","UYGUN"))</f>
        <v/>
      </c>
      <c r="O192" s="19">
        <f>IF($A192="","",1)</f>
        <v/>
      </c>
      <c r="P192" s="19">
        <f>IF($A192="","",IF(OR($B192="",COUNTIF(tblVarliklar[VarlikId],$B192)=0),"YETIM","TAMAM"))</f>
        <v/>
      </c>
    </row>
    <row r="193">
      <c r="A193" s="15" t="n"/>
      <c r="B193" s="15" t="n"/>
      <c r="C193" s="60" t="n"/>
      <c r="D193" s="17" t="n"/>
      <c r="E193" s="17" t="n"/>
      <c r="F193" s="15" t="n"/>
      <c r="G193" s="16" t="n"/>
      <c r="H193" s="15" t="n"/>
      <c r="I193" s="19">
        <f>IF($A193="","",IFERROR(SUMIF(tblVarliklar[VarlikId],$B193,tblVarliklar[HedefSagimLt_lt]),ssy_varsayilanHedefLt))</f>
        <v/>
      </c>
      <c r="J193" s="19">
        <f>IF($A193="","",$D193-$I193)</f>
        <v/>
      </c>
      <c r="K193" s="19">
        <f>IF(OR($A193="",$I193=0),"",$J193/$I193)</f>
        <v/>
      </c>
      <c r="L193" s="19">
        <f>IF($A193="","",IF($G193&gt;=ssy_esikBuzagiGun,"YAKIN","NORMAL"))</f>
        <v/>
      </c>
      <c r="M193" s="19">
        <f>IF($A193="","",MAX(0,MIN(100,ssy_kaliteTaban-IF($D193&lt;ssy_esikSagimLt,ssy_kaliteCeza,0)-IF($L193="YAKIN",ssy_kaliteSapma,0)-IF($F193="EVET",0,0)-IF($P193="YETIM",ssy_kaliteCeza,0))))</f>
        <v/>
      </c>
      <c r="N193" s="19">
        <f>IF($A193="","",IF(OR($D193&lt;ssy_esikSagimLt,$G193&gt;=ssy_esikBuzagiGun,$M193&lt;ssy_esikSaglik),"ALARM","UYGUN"))</f>
        <v/>
      </c>
      <c r="O193" s="19">
        <f>IF($A193="","",1)</f>
        <v/>
      </c>
      <c r="P193" s="19">
        <f>IF($A193="","",IF(OR($B193="",COUNTIF(tblVarliklar[VarlikId],$B193)=0),"YETIM","TAMAM"))</f>
        <v/>
      </c>
    </row>
    <row r="194">
      <c r="A194" s="15" t="n"/>
      <c r="B194" s="15" t="n"/>
      <c r="C194" s="60" t="n"/>
      <c r="D194" s="17" t="n"/>
      <c r="E194" s="17" t="n"/>
      <c r="F194" s="15" t="n"/>
      <c r="G194" s="16" t="n"/>
      <c r="H194" s="15" t="n"/>
      <c r="I194" s="19">
        <f>IF($A194="","",IFERROR(SUMIF(tblVarliklar[VarlikId],$B194,tblVarliklar[HedefSagimLt_lt]),ssy_varsayilanHedefLt))</f>
        <v/>
      </c>
      <c r="J194" s="19">
        <f>IF($A194="","",$D194-$I194)</f>
        <v/>
      </c>
      <c r="K194" s="19">
        <f>IF(OR($A194="",$I194=0),"",$J194/$I194)</f>
        <v/>
      </c>
      <c r="L194" s="19">
        <f>IF($A194="","",IF($G194&gt;=ssy_esikBuzagiGun,"YAKIN","NORMAL"))</f>
        <v/>
      </c>
      <c r="M194" s="19">
        <f>IF($A194="","",MAX(0,MIN(100,ssy_kaliteTaban-IF($D194&lt;ssy_esikSagimLt,ssy_kaliteCeza,0)-IF($L194="YAKIN",ssy_kaliteSapma,0)-IF($F194="EVET",0,0)-IF($P194="YETIM",ssy_kaliteCeza,0))))</f>
        <v/>
      </c>
      <c r="N194" s="19">
        <f>IF($A194="","",IF(OR($D194&lt;ssy_esikSagimLt,$G194&gt;=ssy_esikBuzagiGun,$M194&lt;ssy_esikSaglik),"ALARM","UYGUN"))</f>
        <v/>
      </c>
      <c r="O194" s="19">
        <f>IF($A194="","",1)</f>
        <v/>
      </c>
      <c r="P194" s="19">
        <f>IF($A194="","",IF(OR($B194="",COUNTIF(tblVarliklar[VarlikId],$B194)=0),"YETIM","TAMAM"))</f>
        <v/>
      </c>
    </row>
    <row r="195">
      <c r="A195" s="15" t="n"/>
      <c r="B195" s="15" t="n"/>
      <c r="C195" s="60" t="n"/>
      <c r="D195" s="17" t="n"/>
      <c r="E195" s="17" t="n"/>
      <c r="F195" s="15" t="n"/>
      <c r="G195" s="16" t="n"/>
      <c r="H195" s="15" t="n"/>
      <c r="I195" s="19">
        <f>IF($A195="","",IFERROR(SUMIF(tblVarliklar[VarlikId],$B195,tblVarliklar[HedefSagimLt_lt]),ssy_varsayilanHedefLt))</f>
        <v/>
      </c>
      <c r="J195" s="19">
        <f>IF($A195="","",$D195-$I195)</f>
        <v/>
      </c>
      <c r="K195" s="19">
        <f>IF(OR($A195="",$I195=0),"",$J195/$I195)</f>
        <v/>
      </c>
      <c r="L195" s="19">
        <f>IF($A195="","",IF($G195&gt;=ssy_esikBuzagiGun,"YAKIN","NORMAL"))</f>
        <v/>
      </c>
      <c r="M195" s="19">
        <f>IF($A195="","",MAX(0,MIN(100,ssy_kaliteTaban-IF($D195&lt;ssy_esikSagimLt,ssy_kaliteCeza,0)-IF($L195="YAKIN",ssy_kaliteSapma,0)-IF($F195="EVET",0,0)-IF($P195="YETIM",ssy_kaliteCeza,0))))</f>
        <v/>
      </c>
      <c r="N195" s="19">
        <f>IF($A195="","",IF(OR($D195&lt;ssy_esikSagimLt,$G195&gt;=ssy_esikBuzagiGun,$M195&lt;ssy_esikSaglik),"ALARM","UYGUN"))</f>
        <v/>
      </c>
      <c r="O195" s="19">
        <f>IF($A195="","",1)</f>
        <v/>
      </c>
      <c r="P195" s="19">
        <f>IF($A195="","",IF(OR($B195="",COUNTIF(tblVarliklar[VarlikId],$B195)=0),"YETIM","TAMAM"))</f>
        <v/>
      </c>
    </row>
    <row r="196">
      <c r="A196" s="15" t="n"/>
      <c r="B196" s="15" t="n"/>
      <c r="C196" s="60" t="n"/>
      <c r="D196" s="17" t="n"/>
      <c r="E196" s="17" t="n"/>
      <c r="F196" s="15" t="n"/>
      <c r="G196" s="16" t="n"/>
      <c r="H196" s="15" t="n"/>
      <c r="I196" s="19">
        <f>IF($A196="","",IFERROR(SUMIF(tblVarliklar[VarlikId],$B196,tblVarliklar[HedefSagimLt_lt]),ssy_varsayilanHedefLt))</f>
        <v/>
      </c>
      <c r="J196" s="19">
        <f>IF($A196="","",$D196-$I196)</f>
        <v/>
      </c>
      <c r="K196" s="19">
        <f>IF(OR($A196="",$I196=0),"",$J196/$I196)</f>
        <v/>
      </c>
      <c r="L196" s="19">
        <f>IF($A196="","",IF($G196&gt;=ssy_esikBuzagiGun,"YAKIN","NORMAL"))</f>
        <v/>
      </c>
      <c r="M196" s="19">
        <f>IF($A196="","",MAX(0,MIN(100,ssy_kaliteTaban-IF($D196&lt;ssy_esikSagimLt,ssy_kaliteCeza,0)-IF($L196="YAKIN",ssy_kaliteSapma,0)-IF($F196="EVET",0,0)-IF($P196="YETIM",ssy_kaliteCeza,0))))</f>
        <v/>
      </c>
      <c r="N196" s="19">
        <f>IF($A196="","",IF(OR($D196&lt;ssy_esikSagimLt,$G196&gt;=ssy_esikBuzagiGun,$M196&lt;ssy_esikSaglik),"ALARM","UYGUN"))</f>
        <v/>
      </c>
      <c r="O196" s="19">
        <f>IF($A196="","",1)</f>
        <v/>
      </c>
      <c r="P196" s="19">
        <f>IF($A196="","",IF(OR($B196="",COUNTIF(tblVarliklar[VarlikId],$B196)=0),"YETIM","TAMAM"))</f>
        <v/>
      </c>
    </row>
    <row r="197">
      <c r="A197" s="15" t="n"/>
      <c r="B197" s="15" t="n"/>
      <c r="C197" s="60" t="n"/>
      <c r="D197" s="17" t="n"/>
      <c r="E197" s="17" t="n"/>
      <c r="F197" s="15" t="n"/>
      <c r="G197" s="16" t="n"/>
      <c r="H197" s="15" t="n"/>
      <c r="I197" s="19">
        <f>IF($A197="","",IFERROR(SUMIF(tblVarliklar[VarlikId],$B197,tblVarliklar[HedefSagimLt_lt]),ssy_varsayilanHedefLt))</f>
        <v/>
      </c>
      <c r="J197" s="19">
        <f>IF($A197="","",$D197-$I197)</f>
        <v/>
      </c>
      <c r="K197" s="19">
        <f>IF(OR($A197="",$I197=0),"",$J197/$I197)</f>
        <v/>
      </c>
      <c r="L197" s="19">
        <f>IF($A197="","",IF($G197&gt;=ssy_esikBuzagiGun,"YAKIN","NORMAL"))</f>
        <v/>
      </c>
      <c r="M197" s="19">
        <f>IF($A197="","",MAX(0,MIN(100,ssy_kaliteTaban-IF($D197&lt;ssy_esikSagimLt,ssy_kaliteCeza,0)-IF($L197="YAKIN",ssy_kaliteSapma,0)-IF($F197="EVET",0,0)-IF($P197="YETIM",ssy_kaliteCeza,0))))</f>
        <v/>
      </c>
      <c r="N197" s="19">
        <f>IF($A197="","",IF(OR($D197&lt;ssy_esikSagimLt,$G197&gt;=ssy_esikBuzagiGun,$M197&lt;ssy_esikSaglik),"ALARM","UYGUN"))</f>
        <v/>
      </c>
      <c r="O197" s="19">
        <f>IF($A197="","",1)</f>
        <v/>
      </c>
      <c r="P197" s="19">
        <f>IF($A197="","",IF(OR($B197="",COUNTIF(tblVarliklar[VarlikId],$B197)=0),"YETIM","TAMAM"))</f>
        <v/>
      </c>
    </row>
    <row r="198">
      <c r="A198" s="15" t="n"/>
      <c r="B198" s="15" t="n"/>
      <c r="C198" s="60" t="n"/>
      <c r="D198" s="17" t="n"/>
      <c r="E198" s="17" t="n"/>
      <c r="F198" s="15" t="n"/>
      <c r="G198" s="16" t="n"/>
      <c r="H198" s="15" t="n"/>
      <c r="I198" s="19">
        <f>IF($A198="","",IFERROR(SUMIF(tblVarliklar[VarlikId],$B198,tblVarliklar[HedefSagimLt_lt]),ssy_varsayilanHedefLt))</f>
        <v/>
      </c>
      <c r="J198" s="19">
        <f>IF($A198="","",$D198-$I198)</f>
        <v/>
      </c>
      <c r="K198" s="19">
        <f>IF(OR($A198="",$I198=0),"",$J198/$I198)</f>
        <v/>
      </c>
      <c r="L198" s="19">
        <f>IF($A198="","",IF($G198&gt;=ssy_esikBuzagiGun,"YAKIN","NORMAL"))</f>
        <v/>
      </c>
      <c r="M198" s="19">
        <f>IF($A198="","",MAX(0,MIN(100,ssy_kaliteTaban-IF($D198&lt;ssy_esikSagimLt,ssy_kaliteCeza,0)-IF($L198="YAKIN",ssy_kaliteSapma,0)-IF($F198="EVET",0,0)-IF($P198="YETIM",ssy_kaliteCeza,0))))</f>
        <v/>
      </c>
      <c r="N198" s="19">
        <f>IF($A198="","",IF(OR($D198&lt;ssy_esikSagimLt,$G198&gt;=ssy_esikBuzagiGun,$M198&lt;ssy_esikSaglik),"ALARM","UYGUN"))</f>
        <v/>
      </c>
      <c r="O198" s="19">
        <f>IF($A198="","",1)</f>
        <v/>
      </c>
      <c r="P198" s="19">
        <f>IF($A198="","",IF(OR($B198="",COUNTIF(tblVarliklar[VarlikId],$B198)=0),"YETIM","TAMAM"))</f>
        <v/>
      </c>
    </row>
    <row r="199">
      <c r="A199" s="15" t="n"/>
      <c r="B199" s="15" t="n"/>
      <c r="C199" s="60" t="n"/>
      <c r="D199" s="17" t="n"/>
      <c r="E199" s="17" t="n"/>
      <c r="F199" s="15" t="n"/>
      <c r="G199" s="16" t="n"/>
      <c r="H199" s="15" t="n"/>
      <c r="I199" s="19">
        <f>IF($A199="","",IFERROR(SUMIF(tblVarliklar[VarlikId],$B199,tblVarliklar[HedefSagimLt_lt]),ssy_varsayilanHedefLt))</f>
        <v/>
      </c>
      <c r="J199" s="19">
        <f>IF($A199="","",$D199-$I199)</f>
        <v/>
      </c>
      <c r="K199" s="19">
        <f>IF(OR($A199="",$I199=0),"",$J199/$I199)</f>
        <v/>
      </c>
      <c r="L199" s="19">
        <f>IF($A199="","",IF($G199&gt;=ssy_esikBuzagiGun,"YAKIN","NORMAL"))</f>
        <v/>
      </c>
      <c r="M199" s="19">
        <f>IF($A199="","",MAX(0,MIN(100,ssy_kaliteTaban-IF($D199&lt;ssy_esikSagimLt,ssy_kaliteCeza,0)-IF($L199="YAKIN",ssy_kaliteSapma,0)-IF($F199="EVET",0,0)-IF($P199="YETIM",ssy_kaliteCeza,0))))</f>
        <v/>
      </c>
      <c r="N199" s="19">
        <f>IF($A199="","",IF(OR($D199&lt;ssy_esikSagimLt,$G199&gt;=ssy_esikBuzagiGun,$M199&lt;ssy_esikSaglik),"ALARM","UYGUN"))</f>
        <v/>
      </c>
      <c r="O199" s="19">
        <f>IF($A199="","",1)</f>
        <v/>
      </c>
      <c r="P199" s="19">
        <f>IF($A199="","",IF(OR($B199="",COUNTIF(tblVarliklar[VarlikId],$B199)=0),"YETIM","TAMAM"))</f>
        <v/>
      </c>
    </row>
    <row r="200">
      <c r="A200" s="15" t="n"/>
      <c r="B200" s="15" t="n"/>
      <c r="C200" s="60" t="n"/>
      <c r="D200" s="17" t="n"/>
      <c r="E200" s="17" t="n"/>
      <c r="F200" s="15" t="n"/>
      <c r="G200" s="16" t="n"/>
      <c r="H200" s="15" t="n"/>
      <c r="I200" s="19">
        <f>IF($A200="","",IFERROR(SUMIF(tblVarliklar[VarlikId],$B200,tblVarliklar[HedefSagimLt_lt]),ssy_varsayilanHedefLt))</f>
        <v/>
      </c>
      <c r="J200" s="19">
        <f>IF($A200="","",$D200-$I200)</f>
        <v/>
      </c>
      <c r="K200" s="19">
        <f>IF(OR($A200="",$I200=0),"",$J200/$I200)</f>
        <v/>
      </c>
      <c r="L200" s="19">
        <f>IF($A200="","",IF($G200&gt;=ssy_esikBuzagiGun,"YAKIN","NORMAL"))</f>
        <v/>
      </c>
      <c r="M200" s="19">
        <f>IF($A200="","",MAX(0,MIN(100,ssy_kaliteTaban-IF($D200&lt;ssy_esikSagimLt,ssy_kaliteCeza,0)-IF($L200="YAKIN",ssy_kaliteSapma,0)-IF($F200="EVET",0,0)-IF($P200="YETIM",ssy_kaliteCeza,0))))</f>
        <v/>
      </c>
      <c r="N200" s="19">
        <f>IF($A200="","",IF(OR($D200&lt;ssy_esikSagimLt,$G200&gt;=ssy_esikBuzagiGun,$M200&lt;ssy_esikSaglik),"ALARM","UYGUN"))</f>
        <v/>
      </c>
      <c r="O200" s="19">
        <f>IF($A200="","",1)</f>
        <v/>
      </c>
      <c r="P200" s="19">
        <f>IF($A200="","",IF(OR($B200="",COUNTIF(tblVarliklar[VarlikId],$B200)=0),"YETIM","TAMAM"))</f>
        <v/>
      </c>
    </row>
    <row r="201">
      <c r="A201" s="15" t="n"/>
      <c r="B201" s="15" t="n"/>
      <c r="C201" s="60" t="n"/>
      <c r="D201" s="17" t="n"/>
      <c r="E201" s="17" t="n"/>
      <c r="F201" s="15" t="n"/>
      <c r="G201" s="16" t="n"/>
      <c r="H201" s="15" t="n"/>
      <c r="I201" s="19">
        <f>IF($A201="","",IFERROR(SUMIF(tblVarliklar[VarlikId],$B201,tblVarliklar[HedefSagimLt_lt]),ssy_varsayilanHedefLt))</f>
        <v/>
      </c>
      <c r="J201" s="19">
        <f>IF($A201="","",$D201-$I201)</f>
        <v/>
      </c>
      <c r="K201" s="19">
        <f>IF(OR($A201="",$I201=0),"",$J201/$I201)</f>
        <v/>
      </c>
      <c r="L201" s="19">
        <f>IF($A201="","",IF($G201&gt;=ssy_esikBuzagiGun,"YAKIN","NORMAL"))</f>
        <v/>
      </c>
      <c r="M201" s="19">
        <f>IF($A201="","",MAX(0,MIN(100,ssy_kaliteTaban-IF($D201&lt;ssy_esikSagimLt,ssy_kaliteCeza,0)-IF($L201="YAKIN",ssy_kaliteSapma,0)-IF($F201="EVET",0,0)-IF($P201="YETIM",ssy_kaliteCeza,0))))</f>
        <v/>
      </c>
      <c r="N201" s="19">
        <f>IF($A201="","",IF(OR($D201&lt;ssy_esikSagimLt,$G201&gt;=ssy_esikBuzagiGun,$M201&lt;ssy_esikSaglik),"ALARM","UYGUN"))</f>
        <v/>
      </c>
      <c r="O201" s="19">
        <f>IF($A201="","",1)</f>
        <v/>
      </c>
      <c r="P201" s="19">
        <f>IF($A201="","",IF(OR($B201="",COUNTIF(tblVarliklar[VarlikId],$B201)=0),"YETIM","TAMAM"))</f>
        <v/>
      </c>
    </row>
    <row r="202">
      <c r="A202" s="15" t="n"/>
      <c r="B202" s="15" t="n"/>
      <c r="C202" s="60" t="n"/>
      <c r="D202" s="17" t="n"/>
      <c r="E202" s="17" t="n"/>
      <c r="F202" s="15" t="n"/>
      <c r="G202" s="16" t="n"/>
      <c r="H202" s="15" t="n"/>
      <c r="I202" s="19">
        <f>IF($A202="","",IFERROR(SUMIF(tblVarliklar[VarlikId],$B202,tblVarliklar[HedefSagimLt_lt]),ssy_varsayilanHedefLt))</f>
        <v/>
      </c>
      <c r="J202" s="19">
        <f>IF($A202="","",$D202-$I202)</f>
        <v/>
      </c>
      <c r="K202" s="19">
        <f>IF(OR($A202="",$I202=0),"",$J202/$I202)</f>
        <v/>
      </c>
      <c r="L202" s="19">
        <f>IF($A202="","",IF($G202&gt;=ssy_esikBuzagiGun,"YAKIN","NORMAL"))</f>
        <v/>
      </c>
      <c r="M202" s="19">
        <f>IF($A202="","",MAX(0,MIN(100,ssy_kaliteTaban-IF($D202&lt;ssy_esikSagimLt,ssy_kaliteCeza,0)-IF($L202="YAKIN",ssy_kaliteSapma,0)-IF($F202="EVET",0,0)-IF($P202="YETIM",ssy_kaliteCeza,0))))</f>
        <v/>
      </c>
      <c r="N202" s="19">
        <f>IF($A202="","",IF(OR($D202&lt;ssy_esikSagimLt,$G202&gt;=ssy_esikBuzagiGun,$M202&lt;ssy_esikSaglik),"ALARM","UYGUN"))</f>
        <v/>
      </c>
      <c r="O202" s="19">
        <f>IF($A202="","",1)</f>
        <v/>
      </c>
      <c r="P202" s="19">
        <f>IF($A202="","",IF(OR($B202="",COUNTIF(tblVarliklar[VarlikId],$B202)=0),"YETIM","TAMAM"))</f>
        <v/>
      </c>
    </row>
    <row r="203">
      <c r="A203" s="15" t="n"/>
      <c r="B203" s="15" t="n"/>
      <c r="C203" s="60" t="n"/>
      <c r="D203" s="17" t="n"/>
      <c r="E203" s="17" t="n"/>
      <c r="F203" s="15" t="n"/>
      <c r="G203" s="16" t="n"/>
      <c r="H203" s="15" t="n"/>
      <c r="I203" s="19">
        <f>IF($A203="","",IFERROR(SUMIF(tblVarliklar[VarlikId],$B203,tblVarliklar[HedefSagimLt_lt]),ssy_varsayilanHedefLt))</f>
        <v/>
      </c>
      <c r="J203" s="19">
        <f>IF($A203="","",$D203-$I203)</f>
        <v/>
      </c>
      <c r="K203" s="19">
        <f>IF(OR($A203="",$I203=0),"",$J203/$I203)</f>
        <v/>
      </c>
      <c r="L203" s="19">
        <f>IF($A203="","",IF($G203&gt;=ssy_esikBuzagiGun,"YAKIN","NORMAL"))</f>
        <v/>
      </c>
      <c r="M203" s="19">
        <f>IF($A203="","",MAX(0,MIN(100,ssy_kaliteTaban-IF($D203&lt;ssy_esikSagimLt,ssy_kaliteCeza,0)-IF($L203="YAKIN",ssy_kaliteSapma,0)-IF($F203="EVET",0,0)-IF($P203="YETIM",ssy_kaliteCeza,0))))</f>
        <v/>
      </c>
      <c r="N203" s="19">
        <f>IF($A203="","",IF(OR($D203&lt;ssy_esikSagimLt,$G203&gt;=ssy_esikBuzagiGun,$M203&lt;ssy_esikSaglik),"ALARM","UYGUN"))</f>
        <v/>
      </c>
      <c r="O203" s="19">
        <f>IF($A203="","",1)</f>
        <v/>
      </c>
      <c r="P203" s="19">
        <f>IF($A203="","",IF(OR($B203="",COUNTIF(tblVarliklar[VarlikId],$B203)=0),"YETIM","TAMAM"))</f>
        <v/>
      </c>
    </row>
    <row r="204">
      <c r="A204" s="15" t="n"/>
      <c r="B204" s="15" t="n"/>
      <c r="C204" s="60" t="n"/>
      <c r="D204" s="17" t="n"/>
      <c r="E204" s="17" t="n"/>
      <c r="F204" s="15" t="n"/>
      <c r="G204" s="16" t="n"/>
      <c r="H204" s="15" t="n"/>
      <c r="I204" s="19">
        <f>IF($A204="","",IFERROR(SUMIF(tblVarliklar[VarlikId],$B204,tblVarliklar[HedefSagimLt_lt]),ssy_varsayilanHedefLt))</f>
        <v/>
      </c>
      <c r="J204" s="19">
        <f>IF($A204="","",$D204-$I204)</f>
        <v/>
      </c>
      <c r="K204" s="19">
        <f>IF(OR($A204="",$I204=0),"",$J204/$I204)</f>
        <v/>
      </c>
      <c r="L204" s="19">
        <f>IF($A204="","",IF($G204&gt;=ssy_esikBuzagiGun,"YAKIN","NORMAL"))</f>
        <v/>
      </c>
      <c r="M204" s="19">
        <f>IF($A204="","",MAX(0,MIN(100,ssy_kaliteTaban-IF($D204&lt;ssy_esikSagimLt,ssy_kaliteCeza,0)-IF($L204="YAKIN",ssy_kaliteSapma,0)-IF($F204="EVET",0,0)-IF($P204="YETIM",ssy_kaliteCeza,0))))</f>
        <v/>
      </c>
      <c r="N204" s="19">
        <f>IF($A204="","",IF(OR($D204&lt;ssy_esikSagimLt,$G204&gt;=ssy_esikBuzagiGun,$M204&lt;ssy_esikSaglik),"ALARM","UYGUN"))</f>
        <v/>
      </c>
      <c r="O204" s="19">
        <f>IF($A204="","",1)</f>
        <v/>
      </c>
      <c r="P204" s="19">
        <f>IF($A204="","",IF(OR($B204="",COUNTIF(tblVarliklar[VarlikId],$B204)=0),"YETIM","TAMAM"))</f>
        <v/>
      </c>
    </row>
    <row r="205">
      <c r="A205" s="15" t="n"/>
      <c r="B205" s="15" t="n"/>
      <c r="C205" s="60" t="n"/>
      <c r="D205" s="17" t="n"/>
      <c r="E205" s="17" t="n"/>
      <c r="F205" s="15" t="n"/>
      <c r="G205" s="16" t="n"/>
      <c r="H205" s="15" t="n"/>
      <c r="I205" s="19">
        <f>IF($A205="","",IFERROR(SUMIF(tblVarliklar[VarlikId],$B205,tblVarliklar[HedefSagimLt_lt]),ssy_varsayilanHedefLt))</f>
        <v/>
      </c>
      <c r="J205" s="19">
        <f>IF($A205="","",$D205-$I205)</f>
        <v/>
      </c>
      <c r="K205" s="19">
        <f>IF(OR($A205="",$I205=0),"",$J205/$I205)</f>
        <v/>
      </c>
      <c r="L205" s="19">
        <f>IF($A205="","",IF($G205&gt;=ssy_esikBuzagiGun,"YAKIN","NORMAL"))</f>
        <v/>
      </c>
      <c r="M205" s="19">
        <f>IF($A205="","",MAX(0,MIN(100,ssy_kaliteTaban-IF($D205&lt;ssy_esikSagimLt,ssy_kaliteCeza,0)-IF($L205="YAKIN",ssy_kaliteSapma,0)-IF($F205="EVET",0,0)-IF($P205="YETIM",ssy_kaliteCeza,0))))</f>
        <v/>
      </c>
      <c r="N205" s="19">
        <f>IF($A205="","",IF(OR($D205&lt;ssy_esikSagimLt,$G205&gt;=ssy_esikBuzagiGun,$M205&lt;ssy_esikSaglik),"ALARM","UYGUN"))</f>
        <v/>
      </c>
      <c r="O205" s="19">
        <f>IF($A205="","",1)</f>
        <v/>
      </c>
      <c r="P205" s="19">
        <f>IF($A205="","",IF(OR($B205="",COUNTIF(tblVarliklar[VarlikId],$B205)=0),"YETIM","TAMAM"))</f>
        <v/>
      </c>
    </row>
    <row r="206">
      <c r="A206" s="15" t="n"/>
      <c r="B206" s="15" t="n"/>
      <c r="C206" s="60" t="n"/>
      <c r="D206" s="17" t="n"/>
      <c r="E206" s="17" t="n"/>
      <c r="F206" s="15" t="n"/>
      <c r="G206" s="16" t="n"/>
      <c r="H206" s="15" t="n"/>
      <c r="I206" s="19">
        <f>IF($A206="","",IFERROR(SUMIF(tblVarliklar[VarlikId],$B206,tblVarliklar[HedefSagimLt_lt]),ssy_varsayilanHedefLt))</f>
        <v/>
      </c>
      <c r="J206" s="19">
        <f>IF($A206="","",$D206-$I206)</f>
        <v/>
      </c>
      <c r="K206" s="19">
        <f>IF(OR($A206="",$I206=0),"",$J206/$I206)</f>
        <v/>
      </c>
      <c r="L206" s="19">
        <f>IF($A206="","",IF($G206&gt;=ssy_esikBuzagiGun,"YAKIN","NORMAL"))</f>
        <v/>
      </c>
      <c r="M206" s="19">
        <f>IF($A206="","",MAX(0,MIN(100,ssy_kaliteTaban-IF($D206&lt;ssy_esikSagimLt,ssy_kaliteCeza,0)-IF($L206="YAKIN",ssy_kaliteSapma,0)-IF($F206="EVET",0,0)-IF($P206="YETIM",ssy_kaliteCeza,0))))</f>
        <v/>
      </c>
      <c r="N206" s="19">
        <f>IF($A206="","",IF(OR($D206&lt;ssy_esikSagimLt,$G206&gt;=ssy_esikBuzagiGun,$M206&lt;ssy_esikSaglik),"ALARM","UYGUN"))</f>
        <v/>
      </c>
      <c r="O206" s="19">
        <f>IF($A206="","",1)</f>
        <v/>
      </c>
      <c r="P206" s="19">
        <f>IF($A206="","",IF(OR($B206="",COUNTIF(tblVarliklar[VarlikId],$B206)=0),"YETIM","TAMAM"))</f>
        <v/>
      </c>
    </row>
    <row r="207">
      <c r="A207" s="15" t="n"/>
      <c r="B207" s="15" t="n"/>
      <c r="C207" s="60" t="n"/>
      <c r="D207" s="17" t="n"/>
      <c r="E207" s="17" t="n"/>
      <c r="F207" s="15" t="n"/>
      <c r="G207" s="16" t="n"/>
      <c r="H207" s="15" t="n"/>
      <c r="I207" s="19">
        <f>IF($A207="","",IFERROR(SUMIF(tblVarliklar[VarlikId],$B207,tblVarliklar[HedefSagimLt_lt]),ssy_varsayilanHedefLt))</f>
        <v/>
      </c>
      <c r="J207" s="19">
        <f>IF($A207="","",$D207-$I207)</f>
        <v/>
      </c>
      <c r="K207" s="19">
        <f>IF(OR($A207="",$I207=0),"",$J207/$I207)</f>
        <v/>
      </c>
      <c r="L207" s="19">
        <f>IF($A207="","",IF($G207&gt;=ssy_esikBuzagiGun,"YAKIN","NORMAL"))</f>
        <v/>
      </c>
      <c r="M207" s="19">
        <f>IF($A207="","",MAX(0,MIN(100,ssy_kaliteTaban-IF($D207&lt;ssy_esikSagimLt,ssy_kaliteCeza,0)-IF($L207="YAKIN",ssy_kaliteSapma,0)-IF($F207="EVET",0,0)-IF($P207="YETIM",ssy_kaliteCeza,0))))</f>
        <v/>
      </c>
      <c r="N207" s="19">
        <f>IF($A207="","",IF(OR($D207&lt;ssy_esikSagimLt,$G207&gt;=ssy_esikBuzagiGun,$M207&lt;ssy_esikSaglik),"ALARM","UYGUN"))</f>
        <v/>
      </c>
      <c r="O207" s="19">
        <f>IF($A207="","",1)</f>
        <v/>
      </c>
      <c r="P207" s="19">
        <f>IF($A207="","",IF(OR($B207="",COUNTIF(tblVarliklar[VarlikId],$B207)=0),"YETIM","TAMAM"))</f>
        <v/>
      </c>
    </row>
    <row r="208">
      <c r="A208" s="15" t="n"/>
      <c r="B208" s="15" t="n"/>
      <c r="C208" s="60" t="n"/>
      <c r="D208" s="17" t="n"/>
      <c r="E208" s="17" t="n"/>
      <c r="F208" s="15" t="n"/>
      <c r="G208" s="16" t="n"/>
      <c r="H208" s="15" t="n"/>
      <c r="I208" s="19">
        <f>IF($A208="","",IFERROR(SUMIF(tblVarliklar[VarlikId],$B208,tblVarliklar[HedefSagimLt_lt]),ssy_varsayilanHedefLt))</f>
        <v/>
      </c>
      <c r="J208" s="19">
        <f>IF($A208="","",$D208-$I208)</f>
        <v/>
      </c>
      <c r="K208" s="19">
        <f>IF(OR($A208="",$I208=0),"",$J208/$I208)</f>
        <v/>
      </c>
      <c r="L208" s="19">
        <f>IF($A208="","",IF($G208&gt;=ssy_esikBuzagiGun,"YAKIN","NORMAL"))</f>
        <v/>
      </c>
      <c r="M208" s="19">
        <f>IF($A208="","",MAX(0,MIN(100,ssy_kaliteTaban-IF($D208&lt;ssy_esikSagimLt,ssy_kaliteCeza,0)-IF($L208="YAKIN",ssy_kaliteSapma,0)-IF($F208="EVET",0,0)-IF($P208="YETIM",ssy_kaliteCeza,0))))</f>
        <v/>
      </c>
      <c r="N208" s="19">
        <f>IF($A208="","",IF(OR($D208&lt;ssy_esikSagimLt,$G208&gt;=ssy_esikBuzagiGun,$M208&lt;ssy_esikSaglik),"ALARM","UYGUN"))</f>
        <v/>
      </c>
      <c r="O208" s="19">
        <f>IF($A208="","",1)</f>
        <v/>
      </c>
      <c r="P208" s="19">
        <f>IF($A208="","",IF(OR($B208="",COUNTIF(tblVarliklar[VarlikId],$B208)=0),"YETIM","TAMAM"))</f>
        <v/>
      </c>
    </row>
    <row r="209">
      <c r="A209" s="15" t="n"/>
      <c r="B209" s="15" t="n"/>
      <c r="C209" s="60" t="n"/>
      <c r="D209" s="17" t="n"/>
      <c r="E209" s="17" t="n"/>
      <c r="F209" s="15" t="n"/>
      <c r="G209" s="16" t="n"/>
      <c r="H209" s="15" t="n"/>
      <c r="I209" s="19">
        <f>IF($A209="","",IFERROR(SUMIF(tblVarliklar[VarlikId],$B209,tblVarliklar[HedefSagimLt_lt]),ssy_varsayilanHedefLt))</f>
        <v/>
      </c>
      <c r="J209" s="19">
        <f>IF($A209="","",$D209-$I209)</f>
        <v/>
      </c>
      <c r="K209" s="19">
        <f>IF(OR($A209="",$I209=0),"",$J209/$I209)</f>
        <v/>
      </c>
      <c r="L209" s="19">
        <f>IF($A209="","",IF($G209&gt;=ssy_esikBuzagiGun,"YAKIN","NORMAL"))</f>
        <v/>
      </c>
      <c r="M209" s="19">
        <f>IF($A209="","",MAX(0,MIN(100,ssy_kaliteTaban-IF($D209&lt;ssy_esikSagimLt,ssy_kaliteCeza,0)-IF($L209="YAKIN",ssy_kaliteSapma,0)-IF($F209="EVET",0,0)-IF($P209="YETIM",ssy_kaliteCeza,0))))</f>
        <v/>
      </c>
      <c r="N209" s="19">
        <f>IF($A209="","",IF(OR($D209&lt;ssy_esikSagimLt,$G209&gt;=ssy_esikBuzagiGun,$M209&lt;ssy_esikSaglik),"ALARM","UYGUN"))</f>
        <v/>
      </c>
      <c r="O209" s="19">
        <f>IF($A209="","",1)</f>
        <v/>
      </c>
      <c r="P209" s="19">
        <f>IF($A209="","",IF(OR($B209="",COUNTIF(tblVarliklar[VarlikId],$B209)=0),"YETIM","TAMAM"))</f>
        <v/>
      </c>
    </row>
    <row r="210">
      <c r="A210" s="15" t="n"/>
      <c r="B210" s="15" t="n"/>
      <c r="C210" s="60" t="n"/>
      <c r="D210" s="17" t="n"/>
      <c r="E210" s="17" t="n"/>
      <c r="F210" s="15" t="n"/>
      <c r="G210" s="16" t="n"/>
      <c r="H210" s="15" t="n"/>
      <c r="I210" s="19">
        <f>IF($A210="","",IFERROR(SUMIF(tblVarliklar[VarlikId],$B210,tblVarliklar[HedefSagimLt_lt]),ssy_varsayilanHedefLt))</f>
        <v/>
      </c>
      <c r="J210" s="19">
        <f>IF($A210="","",$D210-$I210)</f>
        <v/>
      </c>
      <c r="K210" s="19">
        <f>IF(OR($A210="",$I210=0),"",$J210/$I210)</f>
        <v/>
      </c>
      <c r="L210" s="19">
        <f>IF($A210="","",IF($G210&gt;=ssy_esikBuzagiGun,"YAKIN","NORMAL"))</f>
        <v/>
      </c>
      <c r="M210" s="19">
        <f>IF($A210="","",MAX(0,MIN(100,ssy_kaliteTaban-IF($D210&lt;ssy_esikSagimLt,ssy_kaliteCeza,0)-IF($L210="YAKIN",ssy_kaliteSapma,0)-IF($F210="EVET",0,0)-IF($P210="YETIM",ssy_kaliteCeza,0))))</f>
        <v/>
      </c>
      <c r="N210" s="19">
        <f>IF($A210="","",IF(OR($D210&lt;ssy_esikSagimLt,$G210&gt;=ssy_esikBuzagiGun,$M210&lt;ssy_esikSaglik),"ALARM","UYGUN"))</f>
        <v/>
      </c>
      <c r="O210" s="19">
        <f>IF($A210="","",1)</f>
        <v/>
      </c>
      <c r="P210" s="19">
        <f>IF($A210="","",IF(OR($B210="",COUNTIF(tblVarliklar[VarlikId],$B210)=0),"YETIM","TAMAM"))</f>
        <v/>
      </c>
    </row>
    <row r="211">
      <c r="A211" s="15" t="n"/>
      <c r="B211" s="15" t="n"/>
      <c r="C211" s="60" t="n"/>
      <c r="D211" s="17" t="n"/>
      <c r="E211" s="17" t="n"/>
      <c r="F211" s="15" t="n"/>
      <c r="G211" s="16" t="n"/>
      <c r="H211" s="15" t="n"/>
      <c r="I211" s="19">
        <f>IF($A211="","",IFERROR(SUMIF(tblVarliklar[VarlikId],$B211,tblVarliklar[HedefSagimLt_lt]),ssy_varsayilanHedefLt))</f>
        <v/>
      </c>
      <c r="J211" s="19">
        <f>IF($A211="","",$D211-$I211)</f>
        <v/>
      </c>
      <c r="K211" s="19">
        <f>IF(OR($A211="",$I211=0),"",$J211/$I211)</f>
        <v/>
      </c>
      <c r="L211" s="19">
        <f>IF($A211="","",IF($G211&gt;=ssy_esikBuzagiGun,"YAKIN","NORMAL"))</f>
        <v/>
      </c>
      <c r="M211" s="19">
        <f>IF($A211="","",MAX(0,MIN(100,ssy_kaliteTaban-IF($D211&lt;ssy_esikSagimLt,ssy_kaliteCeza,0)-IF($L211="YAKIN",ssy_kaliteSapma,0)-IF($F211="EVET",0,0)-IF($P211="YETIM",ssy_kaliteCeza,0))))</f>
        <v/>
      </c>
      <c r="N211" s="19">
        <f>IF($A211="","",IF(OR($D211&lt;ssy_esikSagimLt,$G211&gt;=ssy_esikBuzagiGun,$M211&lt;ssy_esikSaglik),"ALARM","UYGUN"))</f>
        <v/>
      </c>
      <c r="O211" s="19">
        <f>IF($A211="","",1)</f>
        <v/>
      </c>
      <c r="P211" s="19">
        <f>IF($A211="","",IF(OR($B211="",COUNTIF(tblVarliklar[VarlikId],$B211)=0),"YETIM","TAMAM"))</f>
        <v/>
      </c>
    </row>
    <row r="212">
      <c r="A212" s="15" t="n"/>
      <c r="B212" s="15" t="n"/>
      <c r="C212" s="60" t="n"/>
      <c r="D212" s="17" t="n"/>
      <c r="E212" s="17" t="n"/>
      <c r="F212" s="15" t="n"/>
      <c r="G212" s="16" t="n"/>
      <c r="H212" s="15" t="n"/>
      <c r="I212" s="19">
        <f>IF($A212="","",IFERROR(SUMIF(tblVarliklar[VarlikId],$B212,tblVarliklar[HedefSagimLt_lt]),ssy_varsayilanHedefLt))</f>
        <v/>
      </c>
      <c r="J212" s="19">
        <f>IF($A212="","",$D212-$I212)</f>
        <v/>
      </c>
      <c r="K212" s="19">
        <f>IF(OR($A212="",$I212=0),"",$J212/$I212)</f>
        <v/>
      </c>
      <c r="L212" s="19">
        <f>IF($A212="","",IF($G212&gt;=ssy_esikBuzagiGun,"YAKIN","NORMAL"))</f>
        <v/>
      </c>
      <c r="M212" s="19">
        <f>IF($A212="","",MAX(0,MIN(100,ssy_kaliteTaban-IF($D212&lt;ssy_esikSagimLt,ssy_kaliteCeza,0)-IF($L212="YAKIN",ssy_kaliteSapma,0)-IF($F212="EVET",0,0)-IF($P212="YETIM",ssy_kaliteCeza,0))))</f>
        <v/>
      </c>
      <c r="N212" s="19">
        <f>IF($A212="","",IF(OR($D212&lt;ssy_esikSagimLt,$G212&gt;=ssy_esikBuzagiGun,$M212&lt;ssy_esikSaglik),"ALARM","UYGUN"))</f>
        <v/>
      </c>
      <c r="O212" s="19">
        <f>IF($A212="","",1)</f>
        <v/>
      </c>
      <c r="P212" s="19">
        <f>IF($A212="","",IF(OR($B212="",COUNTIF(tblVarliklar[VarlikId],$B212)=0),"YETIM","TAMAM"))</f>
        <v/>
      </c>
    </row>
    <row r="213">
      <c r="A213" s="15" t="n"/>
      <c r="B213" s="15" t="n"/>
      <c r="C213" s="60" t="n"/>
      <c r="D213" s="17" t="n"/>
      <c r="E213" s="17" t="n"/>
      <c r="F213" s="15" t="n"/>
      <c r="G213" s="16" t="n"/>
      <c r="H213" s="15" t="n"/>
      <c r="I213" s="19">
        <f>IF($A213="","",IFERROR(SUMIF(tblVarliklar[VarlikId],$B213,tblVarliklar[HedefSagimLt_lt]),ssy_varsayilanHedefLt))</f>
        <v/>
      </c>
      <c r="J213" s="19">
        <f>IF($A213="","",$D213-$I213)</f>
        <v/>
      </c>
      <c r="K213" s="19">
        <f>IF(OR($A213="",$I213=0),"",$J213/$I213)</f>
        <v/>
      </c>
      <c r="L213" s="19">
        <f>IF($A213="","",IF($G213&gt;=ssy_esikBuzagiGun,"YAKIN","NORMAL"))</f>
        <v/>
      </c>
      <c r="M213" s="19">
        <f>IF($A213="","",MAX(0,MIN(100,ssy_kaliteTaban-IF($D213&lt;ssy_esikSagimLt,ssy_kaliteCeza,0)-IF($L213="YAKIN",ssy_kaliteSapma,0)-IF($F213="EVET",0,0)-IF($P213="YETIM",ssy_kaliteCeza,0))))</f>
        <v/>
      </c>
      <c r="N213" s="19">
        <f>IF($A213="","",IF(OR($D213&lt;ssy_esikSagimLt,$G213&gt;=ssy_esikBuzagiGun,$M213&lt;ssy_esikSaglik),"ALARM","UYGUN"))</f>
        <v/>
      </c>
      <c r="O213" s="19">
        <f>IF($A213="","",1)</f>
        <v/>
      </c>
      <c r="P213" s="19">
        <f>IF($A213="","",IF(OR($B213="",COUNTIF(tblVarliklar[VarlikId],$B213)=0),"YETIM","TAMAM"))</f>
        <v/>
      </c>
    </row>
    <row r="214">
      <c r="A214" s="15" t="n"/>
      <c r="B214" s="15" t="n"/>
      <c r="C214" s="60" t="n"/>
      <c r="D214" s="17" t="n"/>
      <c r="E214" s="17" t="n"/>
      <c r="F214" s="15" t="n"/>
      <c r="G214" s="16" t="n"/>
      <c r="H214" s="15" t="n"/>
      <c r="I214" s="19">
        <f>IF($A214="","",IFERROR(SUMIF(tblVarliklar[VarlikId],$B214,tblVarliklar[HedefSagimLt_lt]),ssy_varsayilanHedefLt))</f>
        <v/>
      </c>
      <c r="J214" s="19">
        <f>IF($A214="","",$D214-$I214)</f>
        <v/>
      </c>
      <c r="K214" s="19">
        <f>IF(OR($A214="",$I214=0),"",$J214/$I214)</f>
        <v/>
      </c>
      <c r="L214" s="19">
        <f>IF($A214="","",IF($G214&gt;=ssy_esikBuzagiGun,"YAKIN","NORMAL"))</f>
        <v/>
      </c>
      <c r="M214" s="19">
        <f>IF($A214="","",MAX(0,MIN(100,ssy_kaliteTaban-IF($D214&lt;ssy_esikSagimLt,ssy_kaliteCeza,0)-IF($L214="YAKIN",ssy_kaliteSapma,0)-IF($F214="EVET",0,0)-IF($P214="YETIM",ssy_kaliteCeza,0))))</f>
        <v/>
      </c>
      <c r="N214" s="19">
        <f>IF($A214="","",IF(OR($D214&lt;ssy_esikSagimLt,$G214&gt;=ssy_esikBuzagiGun,$M214&lt;ssy_esikSaglik),"ALARM","UYGUN"))</f>
        <v/>
      </c>
      <c r="O214" s="19">
        <f>IF($A214="","",1)</f>
        <v/>
      </c>
      <c r="P214" s="19">
        <f>IF($A214="","",IF(OR($B214="",COUNTIF(tblVarliklar[VarlikId],$B214)=0),"YETIM","TAMAM"))</f>
        <v/>
      </c>
    </row>
    <row r="215">
      <c r="A215" s="15" t="n"/>
      <c r="B215" s="15" t="n"/>
      <c r="C215" s="60" t="n"/>
      <c r="D215" s="17" t="n"/>
      <c r="E215" s="17" t="n"/>
      <c r="F215" s="15" t="n"/>
      <c r="G215" s="16" t="n"/>
      <c r="H215" s="15" t="n"/>
      <c r="I215" s="19">
        <f>IF($A215="","",IFERROR(SUMIF(tblVarliklar[VarlikId],$B215,tblVarliklar[HedefSagimLt_lt]),ssy_varsayilanHedefLt))</f>
        <v/>
      </c>
      <c r="J215" s="19">
        <f>IF($A215="","",$D215-$I215)</f>
        <v/>
      </c>
      <c r="K215" s="19">
        <f>IF(OR($A215="",$I215=0),"",$J215/$I215)</f>
        <v/>
      </c>
      <c r="L215" s="19">
        <f>IF($A215="","",IF($G215&gt;=ssy_esikBuzagiGun,"YAKIN","NORMAL"))</f>
        <v/>
      </c>
      <c r="M215" s="19">
        <f>IF($A215="","",MAX(0,MIN(100,ssy_kaliteTaban-IF($D215&lt;ssy_esikSagimLt,ssy_kaliteCeza,0)-IF($L215="YAKIN",ssy_kaliteSapma,0)-IF($F215="EVET",0,0)-IF($P215="YETIM",ssy_kaliteCeza,0))))</f>
        <v/>
      </c>
      <c r="N215" s="19">
        <f>IF($A215="","",IF(OR($D215&lt;ssy_esikSagimLt,$G215&gt;=ssy_esikBuzagiGun,$M215&lt;ssy_esikSaglik),"ALARM","UYGUN"))</f>
        <v/>
      </c>
      <c r="O215" s="19">
        <f>IF($A215="","",1)</f>
        <v/>
      </c>
      <c r="P215" s="19">
        <f>IF($A215="","",IF(OR($B215="",COUNTIF(tblVarliklar[VarlikId],$B215)=0),"YETIM","TAMAM"))</f>
        <v/>
      </c>
    </row>
    <row r="216">
      <c r="A216" s="15" t="n"/>
      <c r="B216" s="15" t="n"/>
      <c r="C216" s="60" t="n"/>
      <c r="D216" s="17" t="n"/>
      <c r="E216" s="17" t="n"/>
      <c r="F216" s="15" t="n"/>
      <c r="G216" s="16" t="n"/>
      <c r="H216" s="15" t="n"/>
      <c r="I216" s="19">
        <f>IF($A216="","",IFERROR(SUMIF(tblVarliklar[VarlikId],$B216,tblVarliklar[HedefSagimLt_lt]),ssy_varsayilanHedefLt))</f>
        <v/>
      </c>
      <c r="J216" s="19">
        <f>IF($A216="","",$D216-$I216)</f>
        <v/>
      </c>
      <c r="K216" s="19">
        <f>IF(OR($A216="",$I216=0),"",$J216/$I216)</f>
        <v/>
      </c>
      <c r="L216" s="19">
        <f>IF($A216="","",IF($G216&gt;=ssy_esikBuzagiGun,"YAKIN","NORMAL"))</f>
        <v/>
      </c>
      <c r="M216" s="19">
        <f>IF($A216="","",MAX(0,MIN(100,ssy_kaliteTaban-IF($D216&lt;ssy_esikSagimLt,ssy_kaliteCeza,0)-IF($L216="YAKIN",ssy_kaliteSapma,0)-IF($F216="EVET",0,0)-IF($P216="YETIM",ssy_kaliteCeza,0))))</f>
        <v/>
      </c>
      <c r="N216" s="19">
        <f>IF($A216="","",IF(OR($D216&lt;ssy_esikSagimLt,$G216&gt;=ssy_esikBuzagiGun,$M216&lt;ssy_esikSaglik),"ALARM","UYGUN"))</f>
        <v/>
      </c>
      <c r="O216" s="19">
        <f>IF($A216="","",1)</f>
        <v/>
      </c>
      <c r="P216" s="19">
        <f>IF($A216="","",IF(OR($B216="",COUNTIF(tblVarliklar[VarlikId],$B216)=0),"YETIM","TAMAM"))</f>
        <v/>
      </c>
    </row>
    <row r="217">
      <c r="A217" s="15" t="n"/>
      <c r="B217" s="15" t="n"/>
      <c r="C217" s="60" t="n"/>
      <c r="D217" s="17" t="n"/>
      <c r="E217" s="17" t="n"/>
      <c r="F217" s="15" t="n"/>
      <c r="G217" s="16" t="n"/>
      <c r="H217" s="15" t="n"/>
      <c r="I217" s="19">
        <f>IF($A217="","",IFERROR(SUMIF(tblVarliklar[VarlikId],$B217,tblVarliklar[HedefSagimLt_lt]),ssy_varsayilanHedefLt))</f>
        <v/>
      </c>
      <c r="J217" s="19">
        <f>IF($A217="","",$D217-$I217)</f>
        <v/>
      </c>
      <c r="K217" s="19">
        <f>IF(OR($A217="",$I217=0),"",$J217/$I217)</f>
        <v/>
      </c>
      <c r="L217" s="19">
        <f>IF($A217="","",IF($G217&gt;=ssy_esikBuzagiGun,"YAKIN","NORMAL"))</f>
        <v/>
      </c>
      <c r="M217" s="19">
        <f>IF($A217="","",MAX(0,MIN(100,ssy_kaliteTaban-IF($D217&lt;ssy_esikSagimLt,ssy_kaliteCeza,0)-IF($L217="YAKIN",ssy_kaliteSapma,0)-IF($F217="EVET",0,0)-IF($P217="YETIM",ssy_kaliteCeza,0))))</f>
        <v/>
      </c>
      <c r="N217" s="19">
        <f>IF($A217="","",IF(OR($D217&lt;ssy_esikSagimLt,$G217&gt;=ssy_esikBuzagiGun,$M217&lt;ssy_esikSaglik),"ALARM","UYGUN"))</f>
        <v/>
      </c>
      <c r="O217" s="19">
        <f>IF($A217="","",1)</f>
        <v/>
      </c>
      <c r="P217" s="19">
        <f>IF($A217="","",IF(OR($B217="",COUNTIF(tblVarliklar[VarlikId],$B217)=0),"YETIM","TAMAM"))</f>
        <v/>
      </c>
    </row>
    <row r="218">
      <c r="A218" s="15" t="n"/>
      <c r="B218" s="15" t="n"/>
      <c r="C218" s="60" t="n"/>
      <c r="D218" s="17" t="n"/>
      <c r="E218" s="17" t="n"/>
      <c r="F218" s="15" t="n"/>
      <c r="G218" s="16" t="n"/>
      <c r="H218" s="15" t="n"/>
      <c r="I218" s="19">
        <f>IF($A218="","",IFERROR(SUMIF(tblVarliklar[VarlikId],$B218,tblVarliklar[HedefSagimLt_lt]),ssy_varsayilanHedefLt))</f>
        <v/>
      </c>
      <c r="J218" s="19">
        <f>IF($A218="","",$D218-$I218)</f>
        <v/>
      </c>
      <c r="K218" s="19">
        <f>IF(OR($A218="",$I218=0),"",$J218/$I218)</f>
        <v/>
      </c>
      <c r="L218" s="19">
        <f>IF($A218="","",IF($G218&gt;=ssy_esikBuzagiGun,"YAKIN","NORMAL"))</f>
        <v/>
      </c>
      <c r="M218" s="19">
        <f>IF($A218="","",MAX(0,MIN(100,ssy_kaliteTaban-IF($D218&lt;ssy_esikSagimLt,ssy_kaliteCeza,0)-IF($L218="YAKIN",ssy_kaliteSapma,0)-IF($F218="EVET",0,0)-IF($P218="YETIM",ssy_kaliteCeza,0))))</f>
        <v/>
      </c>
      <c r="N218" s="19">
        <f>IF($A218="","",IF(OR($D218&lt;ssy_esikSagimLt,$G218&gt;=ssy_esikBuzagiGun,$M218&lt;ssy_esikSaglik),"ALARM","UYGUN"))</f>
        <v/>
      </c>
      <c r="O218" s="19">
        <f>IF($A218="","",1)</f>
        <v/>
      </c>
      <c r="P218" s="19">
        <f>IF($A218="","",IF(OR($B218="",COUNTIF(tblVarliklar[VarlikId],$B218)=0),"YETIM","TAMAM"))</f>
        <v/>
      </c>
    </row>
    <row r="219">
      <c r="A219" s="15" t="n"/>
      <c r="B219" s="15" t="n"/>
      <c r="C219" s="60" t="n"/>
      <c r="D219" s="17" t="n"/>
      <c r="E219" s="17" t="n"/>
      <c r="F219" s="15" t="n"/>
      <c r="G219" s="16" t="n"/>
      <c r="H219" s="15" t="n"/>
      <c r="I219" s="19">
        <f>IF($A219="","",IFERROR(SUMIF(tblVarliklar[VarlikId],$B219,tblVarliklar[HedefSagimLt_lt]),ssy_varsayilanHedefLt))</f>
        <v/>
      </c>
      <c r="J219" s="19">
        <f>IF($A219="","",$D219-$I219)</f>
        <v/>
      </c>
      <c r="K219" s="19">
        <f>IF(OR($A219="",$I219=0),"",$J219/$I219)</f>
        <v/>
      </c>
      <c r="L219" s="19">
        <f>IF($A219="","",IF($G219&gt;=ssy_esikBuzagiGun,"YAKIN","NORMAL"))</f>
        <v/>
      </c>
      <c r="M219" s="19">
        <f>IF($A219="","",MAX(0,MIN(100,ssy_kaliteTaban-IF($D219&lt;ssy_esikSagimLt,ssy_kaliteCeza,0)-IF($L219="YAKIN",ssy_kaliteSapma,0)-IF($F219="EVET",0,0)-IF($P219="YETIM",ssy_kaliteCeza,0))))</f>
        <v/>
      </c>
      <c r="N219" s="19">
        <f>IF($A219="","",IF(OR($D219&lt;ssy_esikSagimLt,$G219&gt;=ssy_esikBuzagiGun,$M219&lt;ssy_esikSaglik),"ALARM","UYGUN"))</f>
        <v/>
      </c>
      <c r="O219" s="19">
        <f>IF($A219="","",1)</f>
        <v/>
      </c>
      <c r="P219" s="19">
        <f>IF($A219="","",IF(OR($B219="",COUNTIF(tblVarliklar[VarlikId],$B219)=0),"YETIM","TAMAM"))</f>
        <v/>
      </c>
    </row>
    <row r="220">
      <c r="A220" s="15" t="n"/>
      <c r="B220" s="15" t="n"/>
      <c r="C220" s="60" t="n"/>
      <c r="D220" s="17" t="n"/>
      <c r="E220" s="17" t="n"/>
      <c r="F220" s="15" t="n"/>
      <c r="G220" s="16" t="n"/>
      <c r="H220" s="15" t="n"/>
      <c r="I220" s="19">
        <f>IF($A220="","",IFERROR(SUMIF(tblVarliklar[VarlikId],$B220,tblVarliklar[HedefSagimLt_lt]),ssy_varsayilanHedefLt))</f>
        <v/>
      </c>
      <c r="J220" s="19">
        <f>IF($A220="","",$D220-$I220)</f>
        <v/>
      </c>
      <c r="K220" s="19">
        <f>IF(OR($A220="",$I220=0),"",$J220/$I220)</f>
        <v/>
      </c>
      <c r="L220" s="19">
        <f>IF($A220="","",IF($G220&gt;=ssy_esikBuzagiGun,"YAKIN","NORMAL"))</f>
        <v/>
      </c>
      <c r="M220" s="19">
        <f>IF($A220="","",MAX(0,MIN(100,ssy_kaliteTaban-IF($D220&lt;ssy_esikSagimLt,ssy_kaliteCeza,0)-IF($L220="YAKIN",ssy_kaliteSapma,0)-IF($F220="EVET",0,0)-IF($P220="YETIM",ssy_kaliteCeza,0))))</f>
        <v/>
      </c>
      <c r="N220" s="19">
        <f>IF($A220="","",IF(OR($D220&lt;ssy_esikSagimLt,$G220&gt;=ssy_esikBuzagiGun,$M220&lt;ssy_esikSaglik),"ALARM","UYGUN"))</f>
        <v/>
      </c>
      <c r="O220" s="19">
        <f>IF($A220="","",1)</f>
        <v/>
      </c>
      <c r="P220" s="19">
        <f>IF($A220="","",IF(OR($B220="",COUNTIF(tblVarliklar[VarlikId],$B220)=0),"YETIM","TAMAM"))</f>
        <v/>
      </c>
    </row>
    <row r="221">
      <c r="A221" s="15" t="n"/>
      <c r="B221" s="15" t="n"/>
      <c r="C221" s="60" t="n"/>
      <c r="D221" s="17" t="n"/>
      <c r="E221" s="17" t="n"/>
      <c r="F221" s="15" t="n"/>
      <c r="G221" s="16" t="n"/>
      <c r="H221" s="15" t="n"/>
      <c r="I221" s="19">
        <f>IF($A221="","",IFERROR(SUMIF(tblVarliklar[VarlikId],$B221,tblVarliklar[HedefSagimLt_lt]),ssy_varsayilanHedefLt))</f>
        <v/>
      </c>
      <c r="J221" s="19">
        <f>IF($A221="","",$D221-$I221)</f>
        <v/>
      </c>
      <c r="K221" s="19">
        <f>IF(OR($A221="",$I221=0),"",$J221/$I221)</f>
        <v/>
      </c>
      <c r="L221" s="19">
        <f>IF($A221="","",IF($G221&gt;=ssy_esikBuzagiGun,"YAKIN","NORMAL"))</f>
        <v/>
      </c>
      <c r="M221" s="19">
        <f>IF($A221="","",MAX(0,MIN(100,ssy_kaliteTaban-IF($D221&lt;ssy_esikSagimLt,ssy_kaliteCeza,0)-IF($L221="YAKIN",ssy_kaliteSapma,0)-IF($F221="EVET",0,0)-IF($P221="YETIM",ssy_kaliteCeza,0))))</f>
        <v/>
      </c>
      <c r="N221" s="19">
        <f>IF($A221="","",IF(OR($D221&lt;ssy_esikSagimLt,$G221&gt;=ssy_esikBuzagiGun,$M221&lt;ssy_esikSaglik),"ALARM","UYGUN"))</f>
        <v/>
      </c>
      <c r="O221" s="19">
        <f>IF($A221="","",1)</f>
        <v/>
      </c>
      <c r="P221" s="19">
        <f>IF($A221="","",IF(OR($B221="",COUNTIF(tblVarliklar[VarlikId],$B221)=0),"YETIM","TAMAM"))</f>
        <v/>
      </c>
    </row>
    <row r="222">
      <c r="A222" s="15" t="n"/>
      <c r="B222" s="15" t="n"/>
      <c r="C222" s="60" t="n"/>
      <c r="D222" s="17" t="n"/>
      <c r="E222" s="17" t="n"/>
      <c r="F222" s="15" t="n"/>
      <c r="G222" s="16" t="n"/>
      <c r="H222" s="15" t="n"/>
      <c r="I222" s="19">
        <f>IF($A222="","",IFERROR(SUMIF(tblVarliklar[VarlikId],$B222,tblVarliklar[HedefSagimLt_lt]),ssy_varsayilanHedefLt))</f>
        <v/>
      </c>
      <c r="J222" s="19">
        <f>IF($A222="","",$D222-$I222)</f>
        <v/>
      </c>
      <c r="K222" s="19">
        <f>IF(OR($A222="",$I222=0),"",$J222/$I222)</f>
        <v/>
      </c>
      <c r="L222" s="19">
        <f>IF($A222="","",IF($G222&gt;=ssy_esikBuzagiGun,"YAKIN","NORMAL"))</f>
        <v/>
      </c>
      <c r="M222" s="19">
        <f>IF($A222="","",MAX(0,MIN(100,ssy_kaliteTaban-IF($D222&lt;ssy_esikSagimLt,ssy_kaliteCeza,0)-IF($L222="YAKIN",ssy_kaliteSapma,0)-IF($F222="EVET",0,0)-IF($P222="YETIM",ssy_kaliteCeza,0))))</f>
        <v/>
      </c>
      <c r="N222" s="19">
        <f>IF($A222="","",IF(OR($D222&lt;ssy_esikSagimLt,$G222&gt;=ssy_esikBuzagiGun,$M222&lt;ssy_esikSaglik),"ALARM","UYGUN"))</f>
        <v/>
      </c>
      <c r="O222" s="19">
        <f>IF($A222="","",1)</f>
        <v/>
      </c>
      <c r="P222" s="19">
        <f>IF($A222="","",IF(OR($B222="",COUNTIF(tblVarliklar[VarlikId],$B222)=0),"YETIM","TAMAM"))</f>
        <v/>
      </c>
    </row>
    <row r="223">
      <c r="A223" s="15" t="n"/>
      <c r="B223" s="15" t="n"/>
      <c r="C223" s="60" t="n"/>
      <c r="D223" s="17" t="n"/>
      <c r="E223" s="17" t="n"/>
      <c r="F223" s="15" t="n"/>
      <c r="G223" s="16" t="n"/>
      <c r="H223" s="15" t="n"/>
      <c r="I223" s="19">
        <f>IF($A223="","",IFERROR(SUMIF(tblVarliklar[VarlikId],$B223,tblVarliklar[HedefSagimLt_lt]),ssy_varsayilanHedefLt))</f>
        <v/>
      </c>
      <c r="J223" s="19">
        <f>IF($A223="","",$D223-$I223)</f>
        <v/>
      </c>
      <c r="K223" s="19">
        <f>IF(OR($A223="",$I223=0),"",$J223/$I223)</f>
        <v/>
      </c>
      <c r="L223" s="19">
        <f>IF($A223="","",IF($G223&gt;=ssy_esikBuzagiGun,"YAKIN","NORMAL"))</f>
        <v/>
      </c>
      <c r="M223" s="19">
        <f>IF($A223="","",MAX(0,MIN(100,ssy_kaliteTaban-IF($D223&lt;ssy_esikSagimLt,ssy_kaliteCeza,0)-IF($L223="YAKIN",ssy_kaliteSapma,0)-IF($F223="EVET",0,0)-IF($P223="YETIM",ssy_kaliteCeza,0))))</f>
        <v/>
      </c>
      <c r="N223" s="19">
        <f>IF($A223="","",IF(OR($D223&lt;ssy_esikSagimLt,$G223&gt;=ssy_esikBuzagiGun,$M223&lt;ssy_esikSaglik),"ALARM","UYGUN"))</f>
        <v/>
      </c>
      <c r="O223" s="19">
        <f>IF($A223="","",1)</f>
        <v/>
      </c>
      <c r="P223" s="19">
        <f>IF($A223="","",IF(OR($B223="",COUNTIF(tblVarliklar[VarlikId],$B223)=0),"YETIM","TAMAM"))</f>
        <v/>
      </c>
    </row>
    <row r="224">
      <c r="A224" s="15" t="n"/>
      <c r="B224" s="15" t="n"/>
      <c r="C224" s="60" t="n"/>
      <c r="D224" s="17" t="n"/>
      <c r="E224" s="17" t="n"/>
      <c r="F224" s="15" t="n"/>
      <c r="G224" s="16" t="n"/>
      <c r="H224" s="15" t="n"/>
      <c r="I224" s="19">
        <f>IF($A224="","",IFERROR(SUMIF(tblVarliklar[VarlikId],$B224,tblVarliklar[HedefSagimLt_lt]),ssy_varsayilanHedefLt))</f>
        <v/>
      </c>
      <c r="J224" s="19">
        <f>IF($A224="","",$D224-$I224)</f>
        <v/>
      </c>
      <c r="K224" s="19">
        <f>IF(OR($A224="",$I224=0),"",$J224/$I224)</f>
        <v/>
      </c>
      <c r="L224" s="19">
        <f>IF($A224="","",IF($G224&gt;=ssy_esikBuzagiGun,"YAKIN","NORMAL"))</f>
        <v/>
      </c>
      <c r="M224" s="19">
        <f>IF($A224="","",MAX(0,MIN(100,ssy_kaliteTaban-IF($D224&lt;ssy_esikSagimLt,ssy_kaliteCeza,0)-IF($L224="YAKIN",ssy_kaliteSapma,0)-IF($F224="EVET",0,0)-IF($P224="YETIM",ssy_kaliteCeza,0))))</f>
        <v/>
      </c>
      <c r="N224" s="19">
        <f>IF($A224="","",IF(OR($D224&lt;ssy_esikSagimLt,$G224&gt;=ssy_esikBuzagiGun,$M224&lt;ssy_esikSaglik),"ALARM","UYGUN"))</f>
        <v/>
      </c>
      <c r="O224" s="19">
        <f>IF($A224="","",1)</f>
        <v/>
      </c>
      <c r="P224" s="19">
        <f>IF($A224="","",IF(OR($B224="",COUNTIF(tblVarliklar[VarlikId],$B224)=0),"YETIM","TAMAM"))</f>
        <v/>
      </c>
    </row>
    <row r="225">
      <c r="A225" s="15" t="n"/>
      <c r="B225" s="15" t="n"/>
      <c r="C225" s="60" t="n"/>
      <c r="D225" s="17" t="n"/>
      <c r="E225" s="17" t="n"/>
      <c r="F225" s="15" t="n"/>
      <c r="G225" s="16" t="n"/>
      <c r="H225" s="15" t="n"/>
      <c r="I225" s="19">
        <f>IF($A225="","",IFERROR(SUMIF(tblVarliklar[VarlikId],$B225,tblVarliklar[HedefSagimLt_lt]),ssy_varsayilanHedefLt))</f>
        <v/>
      </c>
      <c r="J225" s="19">
        <f>IF($A225="","",$D225-$I225)</f>
        <v/>
      </c>
      <c r="K225" s="19">
        <f>IF(OR($A225="",$I225=0),"",$J225/$I225)</f>
        <v/>
      </c>
      <c r="L225" s="19">
        <f>IF($A225="","",IF($G225&gt;=ssy_esikBuzagiGun,"YAKIN","NORMAL"))</f>
        <v/>
      </c>
      <c r="M225" s="19">
        <f>IF($A225="","",MAX(0,MIN(100,ssy_kaliteTaban-IF($D225&lt;ssy_esikSagimLt,ssy_kaliteCeza,0)-IF($L225="YAKIN",ssy_kaliteSapma,0)-IF($F225="EVET",0,0)-IF($P225="YETIM",ssy_kaliteCeza,0))))</f>
        <v/>
      </c>
      <c r="N225" s="19">
        <f>IF($A225="","",IF(OR($D225&lt;ssy_esikSagimLt,$G225&gt;=ssy_esikBuzagiGun,$M225&lt;ssy_esikSaglik),"ALARM","UYGUN"))</f>
        <v/>
      </c>
      <c r="O225" s="19">
        <f>IF($A225="","",1)</f>
        <v/>
      </c>
      <c r="P225" s="19">
        <f>IF($A225="","",IF(OR($B225="",COUNTIF(tblVarliklar[VarlikId],$B225)=0),"YETIM","TAMAM"))</f>
        <v/>
      </c>
    </row>
    <row r="226">
      <c r="A226" s="15" t="n"/>
      <c r="B226" s="15" t="n"/>
      <c r="C226" s="60" t="n"/>
      <c r="D226" s="17" t="n"/>
      <c r="E226" s="17" t="n"/>
      <c r="F226" s="15" t="n"/>
      <c r="G226" s="16" t="n"/>
      <c r="H226" s="15" t="n"/>
      <c r="I226" s="19">
        <f>IF($A226="","",IFERROR(SUMIF(tblVarliklar[VarlikId],$B226,tblVarliklar[HedefSagimLt_lt]),ssy_varsayilanHedefLt))</f>
        <v/>
      </c>
      <c r="J226" s="19">
        <f>IF($A226="","",$D226-$I226)</f>
        <v/>
      </c>
      <c r="K226" s="19">
        <f>IF(OR($A226="",$I226=0),"",$J226/$I226)</f>
        <v/>
      </c>
      <c r="L226" s="19">
        <f>IF($A226="","",IF($G226&gt;=ssy_esikBuzagiGun,"YAKIN","NORMAL"))</f>
        <v/>
      </c>
      <c r="M226" s="19">
        <f>IF($A226="","",MAX(0,MIN(100,ssy_kaliteTaban-IF($D226&lt;ssy_esikSagimLt,ssy_kaliteCeza,0)-IF($L226="YAKIN",ssy_kaliteSapma,0)-IF($F226="EVET",0,0)-IF($P226="YETIM",ssy_kaliteCeza,0))))</f>
        <v/>
      </c>
      <c r="N226" s="19">
        <f>IF($A226="","",IF(OR($D226&lt;ssy_esikSagimLt,$G226&gt;=ssy_esikBuzagiGun,$M226&lt;ssy_esikSaglik),"ALARM","UYGUN"))</f>
        <v/>
      </c>
      <c r="O226" s="19">
        <f>IF($A226="","",1)</f>
        <v/>
      </c>
      <c r="P226" s="19">
        <f>IF($A226="","",IF(OR($B226="",COUNTIF(tblVarliklar[VarlikId],$B226)=0),"YETIM","TAMAM"))</f>
        <v/>
      </c>
    </row>
    <row r="227">
      <c r="A227" s="15" t="n"/>
      <c r="B227" s="15" t="n"/>
      <c r="C227" s="60" t="n"/>
      <c r="D227" s="17" t="n"/>
      <c r="E227" s="17" t="n"/>
      <c r="F227" s="15" t="n"/>
      <c r="G227" s="16" t="n"/>
      <c r="H227" s="15" t="n"/>
      <c r="I227" s="19">
        <f>IF($A227="","",IFERROR(SUMIF(tblVarliklar[VarlikId],$B227,tblVarliklar[HedefSagimLt_lt]),ssy_varsayilanHedefLt))</f>
        <v/>
      </c>
      <c r="J227" s="19">
        <f>IF($A227="","",$D227-$I227)</f>
        <v/>
      </c>
      <c r="K227" s="19">
        <f>IF(OR($A227="",$I227=0),"",$J227/$I227)</f>
        <v/>
      </c>
      <c r="L227" s="19">
        <f>IF($A227="","",IF($G227&gt;=ssy_esikBuzagiGun,"YAKIN","NORMAL"))</f>
        <v/>
      </c>
      <c r="M227" s="19">
        <f>IF($A227="","",MAX(0,MIN(100,ssy_kaliteTaban-IF($D227&lt;ssy_esikSagimLt,ssy_kaliteCeza,0)-IF($L227="YAKIN",ssy_kaliteSapma,0)-IF($F227="EVET",0,0)-IF($P227="YETIM",ssy_kaliteCeza,0))))</f>
        <v/>
      </c>
      <c r="N227" s="19">
        <f>IF($A227="","",IF(OR($D227&lt;ssy_esikSagimLt,$G227&gt;=ssy_esikBuzagiGun,$M227&lt;ssy_esikSaglik),"ALARM","UYGUN"))</f>
        <v/>
      </c>
      <c r="O227" s="19">
        <f>IF($A227="","",1)</f>
        <v/>
      </c>
      <c r="P227" s="19">
        <f>IF($A227="","",IF(OR($B227="",COUNTIF(tblVarliklar[VarlikId],$B227)=0),"YETIM","TAMAM"))</f>
        <v/>
      </c>
    </row>
    <row r="228">
      <c r="A228" s="15" t="n"/>
      <c r="B228" s="15" t="n"/>
      <c r="C228" s="60" t="n"/>
      <c r="D228" s="17" t="n"/>
      <c r="E228" s="17" t="n"/>
      <c r="F228" s="15" t="n"/>
      <c r="G228" s="16" t="n"/>
      <c r="H228" s="15" t="n"/>
      <c r="I228" s="19">
        <f>IF($A228="","",IFERROR(SUMIF(tblVarliklar[VarlikId],$B228,tblVarliklar[HedefSagimLt_lt]),ssy_varsayilanHedefLt))</f>
        <v/>
      </c>
      <c r="J228" s="19">
        <f>IF($A228="","",$D228-$I228)</f>
        <v/>
      </c>
      <c r="K228" s="19">
        <f>IF(OR($A228="",$I228=0),"",$J228/$I228)</f>
        <v/>
      </c>
      <c r="L228" s="19">
        <f>IF($A228="","",IF($G228&gt;=ssy_esikBuzagiGun,"YAKIN","NORMAL"))</f>
        <v/>
      </c>
      <c r="M228" s="19">
        <f>IF($A228="","",MAX(0,MIN(100,ssy_kaliteTaban-IF($D228&lt;ssy_esikSagimLt,ssy_kaliteCeza,0)-IF($L228="YAKIN",ssy_kaliteSapma,0)-IF($F228="EVET",0,0)-IF($P228="YETIM",ssy_kaliteCeza,0))))</f>
        <v/>
      </c>
      <c r="N228" s="19">
        <f>IF($A228="","",IF(OR($D228&lt;ssy_esikSagimLt,$G228&gt;=ssy_esikBuzagiGun,$M228&lt;ssy_esikSaglik),"ALARM","UYGUN"))</f>
        <v/>
      </c>
      <c r="O228" s="19">
        <f>IF($A228="","",1)</f>
        <v/>
      </c>
      <c r="P228" s="19">
        <f>IF($A228="","",IF(OR($B228="",COUNTIF(tblVarliklar[VarlikId],$B228)=0),"YETIM","TAMAM"))</f>
        <v/>
      </c>
    </row>
    <row r="229">
      <c r="A229" s="15" t="n"/>
      <c r="B229" s="15" t="n"/>
      <c r="C229" s="60" t="n"/>
      <c r="D229" s="17" t="n"/>
      <c r="E229" s="17" t="n"/>
      <c r="F229" s="15" t="n"/>
      <c r="G229" s="16" t="n"/>
      <c r="H229" s="15" t="n"/>
      <c r="I229" s="19">
        <f>IF($A229="","",IFERROR(SUMIF(tblVarliklar[VarlikId],$B229,tblVarliklar[HedefSagimLt_lt]),ssy_varsayilanHedefLt))</f>
        <v/>
      </c>
      <c r="J229" s="19">
        <f>IF($A229="","",$D229-$I229)</f>
        <v/>
      </c>
      <c r="K229" s="19">
        <f>IF(OR($A229="",$I229=0),"",$J229/$I229)</f>
        <v/>
      </c>
      <c r="L229" s="19">
        <f>IF($A229="","",IF($G229&gt;=ssy_esikBuzagiGun,"YAKIN","NORMAL"))</f>
        <v/>
      </c>
      <c r="M229" s="19">
        <f>IF($A229="","",MAX(0,MIN(100,ssy_kaliteTaban-IF($D229&lt;ssy_esikSagimLt,ssy_kaliteCeza,0)-IF($L229="YAKIN",ssy_kaliteSapma,0)-IF($F229="EVET",0,0)-IF($P229="YETIM",ssy_kaliteCeza,0))))</f>
        <v/>
      </c>
      <c r="N229" s="19">
        <f>IF($A229="","",IF(OR($D229&lt;ssy_esikSagimLt,$G229&gt;=ssy_esikBuzagiGun,$M229&lt;ssy_esikSaglik),"ALARM","UYGUN"))</f>
        <v/>
      </c>
      <c r="O229" s="19">
        <f>IF($A229="","",1)</f>
        <v/>
      </c>
      <c r="P229" s="19">
        <f>IF($A229="","",IF(OR($B229="",COUNTIF(tblVarliklar[VarlikId],$B229)=0),"YETIM","TAMAM"))</f>
        <v/>
      </c>
    </row>
    <row r="230">
      <c r="A230" s="15" t="n"/>
      <c r="B230" s="15" t="n"/>
      <c r="C230" s="60" t="n"/>
      <c r="D230" s="17" t="n"/>
      <c r="E230" s="17" t="n"/>
      <c r="F230" s="15" t="n"/>
      <c r="G230" s="16" t="n"/>
      <c r="H230" s="15" t="n"/>
      <c r="I230" s="19">
        <f>IF($A230="","",IFERROR(SUMIF(tblVarliklar[VarlikId],$B230,tblVarliklar[HedefSagimLt_lt]),ssy_varsayilanHedefLt))</f>
        <v/>
      </c>
      <c r="J230" s="19">
        <f>IF($A230="","",$D230-$I230)</f>
        <v/>
      </c>
      <c r="K230" s="19">
        <f>IF(OR($A230="",$I230=0),"",$J230/$I230)</f>
        <v/>
      </c>
      <c r="L230" s="19">
        <f>IF($A230="","",IF($G230&gt;=ssy_esikBuzagiGun,"YAKIN","NORMAL"))</f>
        <v/>
      </c>
      <c r="M230" s="19">
        <f>IF($A230="","",MAX(0,MIN(100,ssy_kaliteTaban-IF($D230&lt;ssy_esikSagimLt,ssy_kaliteCeza,0)-IF($L230="YAKIN",ssy_kaliteSapma,0)-IF($F230="EVET",0,0)-IF($P230="YETIM",ssy_kaliteCeza,0))))</f>
        <v/>
      </c>
      <c r="N230" s="19">
        <f>IF($A230="","",IF(OR($D230&lt;ssy_esikSagimLt,$G230&gt;=ssy_esikBuzagiGun,$M230&lt;ssy_esikSaglik),"ALARM","UYGUN"))</f>
        <v/>
      </c>
      <c r="O230" s="19">
        <f>IF($A230="","",1)</f>
        <v/>
      </c>
      <c r="P230" s="19">
        <f>IF($A230="","",IF(OR($B230="",COUNTIF(tblVarliklar[VarlikId],$B230)=0),"YETIM","TAMAM"))</f>
        <v/>
      </c>
    </row>
    <row r="231">
      <c r="A231" s="15" t="n"/>
      <c r="B231" s="15" t="n"/>
      <c r="C231" s="60" t="n"/>
      <c r="D231" s="17" t="n"/>
      <c r="E231" s="17" t="n"/>
      <c r="F231" s="15" t="n"/>
      <c r="G231" s="16" t="n"/>
      <c r="H231" s="15" t="n"/>
      <c r="I231" s="19">
        <f>IF($A231="","",IFERROR(SUMIF(tblVarliklar[VarlikId],$B231,tblVarliklar[HedefSagimLt_lt]),ssy_varsayilanHedefLt))</f>
        <v/>
      </c>
      <c r="J231" s="19">
        <f>IF($A231="","",$D231-$I231)</f>
        <v/>
      </c>
      <c r="K231" s="19">
        <f>IF(OR($A231="",$I231=0),"",$J231/$I231)</f>
        <v/>
      </c>
      <c r="L231" s="19">
        <f>IF($A231="","",IF($G231&gt;=ssy_esikBuzagiGun,"YAKIN","NORMAL"))</f>
        <v/>
      </c>
      <c r="M231" s="19">
        <f>IF($A231="","",MAX(0,MIN(100,ssy_kaliteTaban-IF($D231&lt;ssy_esikSagimLt,ssy_kaliteCeza,0)-IF($L231="YAKIN",ssy_kaliteSapma,0)-IF($F231="EVET",0,0)-IF($P231="YETIM",ssy_kaliteCeza,0))))</f>
        <v/>
      </c>
      <c r="N231" s="19">
        <f>IF($A231="","",IF(OR($D231&lt;ssy_esikSagimLt,$G231&gt;=ssy_esikBuzagiGun,$M231&lt;ssy_esikSaglik),"ALARM","UYGUN"))</f>
        <v/>
      </c>
      <c r="O231" s="19">
        <f>IF($A231="","",1)</f>
        <v/>
      </c>
      <c r="P231" s="19">
        <f>IF($A231="","",IF(OR($B231="",COUNTIF(tblVarliklar[VarlikId],$B231)=0),"YETIM","TAMAM"))</f>
        <v/>
      </c>
    </row>
    <row r="232">
      <c r="A232" s="15" t="n"/>
      <c r="B232" s="15" t="n"/>
      <c r="C232" s="60" t="n"/>
      <c r="D232" s="17" t="n"/>
      <c r="E232" s="17" t="n"/>
      <c r="F232" s="15" t="n"/>
      <c r="G232" s="16" t="n"/>
      <c r="H232" s="15" t="n"/>
      <c r="I232" s="19">
        <f>IF($A232="","",IFERROR(SUMIF(tblVarliklar[VarlikId],$B232,tblVarliklar[HedefSagimLt_lt]),ssy_varsayilanHedefLt))</f>
        <v/>
      </c>
      <c r="J232" s="19">
        <f>IF($A232="","",$D232-$I232)</f>
        <v/>
      </c>
      <c r="K232" s="19">
        <f>IF(OR($A232="",$I232=0),"",$J232/$I232)</f>
        <v/>
      </c>
      <c r="L232" s="19">
        <f>IF($A232="","",IF($G232&gt;=ssy_esikBuzagiGun,"YAKIN","NORMAL"))</f>
        <v/>
      </c>
      <c r="M232" s="19">
        <f>IF($A232="","",MAX(0,MIN(100,ssy_kaliteTaban-IF($D232&lt;ssy_esikSagimLt,ssy_kaliteCeza,0)-IF($L232="YAKIN",ssy_kaliteSapma,0)-IF($F232="EVET",0,0)-IF($P232="YETIM",ssy_kaliteCeza,0))))</f>
        <v/>
      </c>
      <c r="N232" s="19">
        <f>IF($A232="","",IF(OR($D232&lt;ssy_esikSagimLt,$G232&gt;=ssy_esikBuzagiGun,$M232&lt;ssy_esikSaglik),"ALARM","UYGUN"))</f>
        <v/>
      </c>
      <c r="O232" s="19">
        <f>IF($A232="","",1)</f>
        <v/>
      </c>
      <c r="P232" s="19">
        <f>IF($A232="","",IF(OR($B232="",COUNTIF(tblVarliklar[VarlikId],$B232)=0),"YETIM","TAMAM"))</f>
        <v/>
      </c>
    </row>
    <row r="233">
      <c r="A233" s="15" t="n"/>
      <c r="B233" s="15" t="n"/>
      <c r="C233" s="60" t="n"/>
      <c r="D233" s="17" t="n"/>
      <c r="E233" s="17" t="n"/>
      <c r="F233" s="15" t="n"/>
      <c r="G233" s="16" t="n"/>
      <c r="H233" s="15" t="n"/>
      <c r="I233" s="19">
        <f>IF($A233="","",IFERROR(SUMIF(tblVarliklar[VarlikId],$B233,tblVarliklar[HedefSagimLt_lt]),ssy_varsayilanHedefLt))</f>
        <v/>
      </c>
      <c r="J233" s="19">
        <f>IF($A233="","",$D233-$I233)</f>
        <v/>
      </c>
      <c r="K233" s="19">
        <f>IF(OR($A233="",$I233=0),"",$J233/$I233)</f>
        <v/>
      </c>
      <c r="L233" s="19">
        <f>IF($A233="","",IF($G233&gt;=ssy_esikBuzagiGun,"YAKIN","NORMAL"))</f>
        <v/>
      </c>
      <c r="M233" s="19">
        <f>IF($A233="","",MAX(0,MIN(100,ssy_kaliteTaban-IF($D233&lt;ssy_esikSagimLt,ssy_kaliteCeza,0)-IF($L233="YAKIN",ssy_kaliteSapma,0)-IF($F233="EVET",0,0)-IF($P233="YETIM",ssy_kaliteCeza,0))))</f>
        <v/>
      </c>
      <c r="N233" s="19">
        <f>IF($A233="","",IF(OR($D233&lt;ssy_esikSagimLt,$G233&gt;=ssy_esikBuzagiGun,$M233&lt;ssy_esikSaglik),"ALARM","UYGUN"))</f>
        <v/>
      </c>
      <c r="O233" s="19">
        <f>IF($A233="","",1)</f>
        <v/>
      </c>
      <c r="P233" s="19">
        <f>IF($A233="","",IF(OR($B233="",COUNTIF(tblVarliklar[VarlikId],$B233)=0),"YETIM","TAMAM"))</f>
        <v/>
      </c>
    </row>
    <row r="234">
      <c r="A234" s="15" t="n"/>
      <c r="B234" s="15" t="n"/>
      <c r="C234" s="60" t="n"/>
      <c r="D234" s="17" t="n"/>
      <c r="E234" s="17" t="n"/>
      <c r="F234" s="15" t="n"/>
      <c r="G234" s="16" t="n"/>
      <c r="H234" s="15" t="n"/>
      <c r="I234" s="19">
        <f>IF($A234="","",IFERROR(SUMIF(tblVarliklar[VarlikId],$B234,tblVarliklar[HedefSagimLt_lt]),ssy_varsayilanHedefLt))</f>
        <v/>
      </c>
      <c r="J234" s="19">
        <f>IF($A234="","",$D234-$I234)</f>
        <v/>
      </c>
      <c r="K234" s="19">
        <f>IF(OR($A234="",$I234=0),"",$J234/$I234)</f>
        <v/>
      </c>
      <c r="L234" s="19">
        <f>IF($A234="","",IF($G234&gt;=ssy_esikBuzagiGun,"YAKIN","NORMAL"))</f>
        <v/>
      </c>
      <c r="M234" s="19">
        <f>IF($A234="","",MAX(0,MIN(100,ssy_kaliteTaban-IF($D234&lt;ssy_esikSagimLt,ssy_kaliteCeza,0)-IF($L234="YAKIN",ssy_kaliteSapma,0)-IF($F234="EVET",0,0)-IF($P234="YETIM",ssy_kaliteCeza,0))))</f>
        <v/>
      </c>
      <c r="N234" s="19">
        <f>IF($A234="","",IF(OR($D234&lt;ssy_esikSagimLt,$G234&gt;=ssy_esikBuzagiGun,$M234&lt;ssy_esikSaglik),"ALARM","UYGUN"))</f>
        <v/>
      </c>
      <c r="O234" s="19">
        <f>IF($A234="","",1)</f>
        <v/>
      </c>
      <c r="P234" s="19">
        <f>IF($A234="","",IF(OR($B234="",COUNTIF(tblVarliklar[VarlikId],$B234)=0),"YETIM","TAMAM"))</f>
        <v/>
      </c>
    </row>
    <row r="235">
      <c r="A235" s="15" t="n"/>
      <c r="B235" s="15" t="n"/>
      <c r="C235" s="60" t="n"/>
      <c r="D235" s="17" t="n"/>
      <c r="E235" s="17" t="n"/>
      <c r="F235" s="15" t="n"/>
      <c r="G235" s="16" t="n"/>
      <c r="H235" s="15" t="n"/>
      <c r="I235" s="19">
        <f>IF($A235="","",IFERROR(SUMIF(tblVarliklar[VarlikId],$B235,tblVarliklar[HedefSagimLt_lt]),ssy_varsayilanHedefLt))</f>
        <v/>
      </c>
      <c r="J235" s="19">
        <f>IF($A235="","",$D235-$I235)</f>
        <v/>
      </c>
      <c r="K235" s="19">
        <f>IF(OR($A235="",$I235=0),"",$J235/$I235)</f>
        <v/>
      </c>
      <c r="L235" s="19">
        <f>IF($A235="","",IF($G235&gt;=ssy_esikBuzagiGun,"YAKIN","NORMAL"))</f>
        <v/>
      </c>
      <c r="M235" s="19">
        <f>IF($A235="","",MAX(0,MIN(100,ssy_kaliteTaban-IF($D235&lt;ssy_esikSagimLt,ssy_kaliteCeza,0)-IF($L235="YAKIN",ssy_kaliteSapma,0)-IF($F235="EVET",0,0)-IF($P235="YETIM",ssy_kaliteCeza,0))))</f>
        <v/>
      </c>
      <c r="N235" s="19">
        <f>IF($A235="","",IF(OR($D235&lt;ssy_esikSagimLt,$G235&gt;=ssy_esikBuzagiGun,$M235&lt;ssy_esikSaglik),"ALARM","UYGUN"))</f>
        <v/>
      </c>
      <c r="O235" s="19">
        <f>IF($A235="","",1)</f>
        <v/>
      </c>
      <c r="P235" s="19">
        <f>IF($A235="","",IF(OR($B235="",COUNTIF(tblVarliklar[VarlikId],$B235)=0),"YETIM","TAMAM"))</f>
        <v/>
      </c>
    </row>
    <row r="236">
      <c r="A236" s="15" t="n"/>
      <c r="B236" s="15" t="n"/>
      <c r="C236" s="60" t="n"/>
      <c r="D236" s="17" t="n"/>
      <c r="E236" s="17" t="n"/>
      <c r="F236" s="15" t="n"/>
      <c r="G236" s="16" t="n"/>
      <c r="H236" s="15" t="n"/>
      <c r="I236" s="19">
        <f>IF($A236="","",IFERROR(SUMIF(tblVarliklar[VarlikId],$B236,tblVarliklar[HedefSagimLt_lt]),ssy_varsayilanHedefLt))</f>
        <v/>
      </c>
      <c r="J236" s="19">
        <f>IF($A236="","",$D236-$I236)</f>
        <v/>
      </c>
      <c r="K236" s="19">
        <f>IF(OR($A236="",$I236=0),"",$J236/$I236)</f>
        <v/>
      </c>
      <c r="L236" s="19">
        <f>IF($A236="","",IF($G236&gt;=ssy_esikBuzagiGun,"YAKIN","NORMAL"))</f>
        <v/>
      </c>
      <c r="M236" s="19">
        <f>IF($A236="","",MAX(0,MIN(100,ssy_kaliteTaban-IF($D236&lt;ssy_esikSagimLt,ssy_kaliteCeza,0)-IF($L236="YAKIN",ssy_kaliteSapma,0)-IF($F236="EVET",0,0)-IF($P236="YETIM",ssy_kaliteCeza,0))))</f>
        <v/>
      </c>
      <c r="N236" s="19">
        <f>IF($A236="","",IF(OR($D236&lt;ssy_esikSagimLt,$G236&gt;=ssy_esikBuzagiGun,$M236&lt;ssy_esikSaglik),"ALARM","UYGUN"))</f>
        <v/>
      </c>
      <c r="O236" s="19">
        <f>IF($A236="","",1)</f>
        <v/>
      </c>
      <c r="P236" s="19">
        <f>IF($A236="","",IF(OR($B236="",COUNTIF(tblVarliklar[VarlikId],$B236)=0),"YETIM","TAMAM"))</f>
        <v/>
      </c>
    </row>
    <row r="237">
      <c r="A237" s="15" t="n"/>
      <c r="B237" s="15" t="n"/>
      <c r="C237" s="60" t="n"/>
      <c r="D237" s="17" t="n"/>
      <c r="E237" s="17" t="n"/>
      <c r="F237" s="15" t="n"/>
      <c r="G237" s="16" t="n"/>
      <c r="H237" s="15" t="n"/>
      <c r="I237" s="19">
        <f>IF($A237="","",IFERROR(SUMIF(tblVarliklar[VarlikId],$B237,tblVarliklar[HedefSagimLt_lt]),ssy_varsayilanHedefLt))</f>
        <v/>
      </c>
      <c r="J237" s="19">
        <f>IF($A237="","",$D237-$I237)</f>
        <v/>
      </c>
      <c r="K237" s="19">
        <f>IF(OR($A237="",$I237=0),"",$J237/$I237)</f>
        <v/>
      </c>
      <c r="L237" s="19">
        <f>IF($A237="","",IF($G237&gt;=ssy_esikBuzagiGun,"YAKIN","NORMAL"))</f>
        <v/>
      </c>
      <c r="M237" s="19">
        <f>IF($A237="","",MAX(0,MIN(100,ssy_kaliteTaban-IF($D237&lt;ssy_esikSagimLt,ssy_kaliteCeza,0)-IF($L237="YAKIN",ssy_kaliteSapma,0)-IF($F237="EVET",0,0)-IF($P237="YETIM",ssy_kaliteCeza,0))))</f>
        <v/>
      </c>
      <c r="N237" s="19">
        <f>IF($A237="","",IF(OR($D237&lt;ssy_esikSagimLt,$G237&gt;=ssy_esikBuzagiGun,$M237&lt;ssy_esikSaglik),"ALARM","UYGUN"))</f>
        <v/>
      </c>
      <c r="O237" s="19">
        <f>IF($A237="","",1)</f>
        <v/>
      </c>
      <c r="P237" s="19">
        <f>IF($A237="","",IF(OR($B237="",COUNTIF(tblVarliklar[VarlikId],$B237)=0),"YETIM","TAMAM"))</f>
        <v/>
      </c>
    </row>
    <row r="238">
      <c r="A238" s="15" t="n"/>
      <c r="B238" s="15" t="n"/>
      <c r="C238" s="60" t="n"/>
      <c r="D238" s="17" t="n"/>
      <c r="E238" s="17" t="n"/>
      <c r="F238" s="15" t="n"/>
      <c r="G238" s="16" t="n"/>
      <c r="H238" s="15" t="n"/>
      <c r="I238" s="19">
        <f>IF($A238="","",IFERROR(SUMIF(tblVarliklar[VarlikId],$B238,tblVarliklar[HedefSagimLt_lt]),ssy_varsayilanHedefLt))</f>
        <v/>
      </c>
      <c r="J238" s="19">
        <f>IF($A238="","",$D238-$I238)</f>
        <v/>
      </c>
      <c r="K238" s="19">
        <f>IF(OR($A238="",$I238=0),"",$J238/$I238)</f>
        <v/>
      </c>
      <c r="L238" s="19">
        <f>IF($A238="","",IF($G238&gt;=ssy_esikBuzagiGun,"YAKIN","NORMAL"))</f>
        <v/>
      </c>
      <c r="M238" s="19">
        <f>IF($A238="","",MAX(0,MIN(100,ssy_kaliteTaban-IF($D238&lt;ssy_esikSagimLt,ssy_kaliteCeza,0)-IF($L238="YAKIN",ssy_kaliteSapma,0)-IF($F238="EVET",0,0)-IF($P238="YETIM",ssy_kaliteCeza,0))))</f>
        <v/>
      </c>
      <c r="N238" s="19">
        <f>IF($A238="","",IF(OR($D238&lt;ssy_esikSagimLt,$G238&gt;=ssy_esikBuzagiGun,$M238&lt;ssy_esikSaglik),"ALARM","UYGUN"))</f>
        <v/>
      </c>
      <c r="O238" s="19">
        <f>IF($A238="","",1)</f>
        <v/>
      </c>
      <c r="P238" s="19">
        <f>IF($A238="","",IF(OR($B238="",COUNTIF(tblVarliklar[VarlikId],$B238)=0),"YETIM","TAMAM"))</f>
        <v/>
      </c>
    </row>
    <row r="239">
      <c r="A239" s="15" t="n"/>
      <c r="B239" s="15" t="n"/>
      <c r="C239" s="60" t="n"/>
      <c r="D239" s="17" t="n"/>
      <c r="E239" s="17" t="n"/>
      <c r="F239" s="15" t="n"/>
      <c r="G239" s="16" t="n"/>
      <c r="H239" s="15" t="n"/>
      <c r="I239" s="19">
        <f>IF($A239="","",IFERROR(SUMIF(tblVarliklar[VarlikId],$B239,tblVarliklar[HedefSagimLt_lt]),ssy_varsayilanHedefLt))</f>
        <v/>
      </c>
      <c r="J239" s="19">
        <f>IF($A239="","",$D239-$I239)</f>
        <v/>
      </c>
      <c r="K239" s="19">
        <f>IF(OR($A239="",$I239=0),"",$J239/$I239)</f>
        <v/>
      </c>
      <c r="L239" s="19">
        <f>IF($A239="","",IF($G239&gt;=ssy_esikBuzagiGun,"YAKIN","NORMAL"))</f>
        <v/>
      </c>
      <c r="M239" s="19">
        <f>IF($A239="","",MAX(0,MIN(100,ssy_kaliteTaban-IF($D239&lt;ssy_esikSagimLt,ssy_kaliteCeza,0)-IF($L239="YAKIN",ssy_kaliteSapma,0)-IF($F239="EVET",0,0)-IF($P239="YETIM",ssy_kaliteCeza,0))))</f>
        <v/>
      </c>
      <c r="N239" s="19">
        <f>IF($A239="","",IF(OR($D239&lt;ssy_esikSagimLt,$G239&gt;=ssy_esikBuzagiGun,$M239&lt;ssy_esikSaglik),"ALARM","UYGUN"))</f>
        <v/>
      </c>
      <c r="O239" s="19">
        <f>IF($A239="","",1)</f>
        <v/>
      </c>
      <c r="P239" s="19">
        <f>IF($A239="","",IF(OR($B239="",COUNTIF(tblVarliklar[VarlikId],$B239)=0),"YETIM","TAMAM"))</f>
        <v/>
      </c>
    </row>
    <row r="240">
      <c r="A240" s="15" t="n"/>
      <c r="B240" s="15" t="n"/>
      <c r="C240" s="60" t="n"/>
      <c r="D240" s="17" t="n"/>
      <c r="E240" s="17" t="n"/>
      <c r="F240" s="15" t="n"/>
      <c r="G240" s="16" t="n"/>
      <c r="H240" s="15" t="n"/>
      <c r="I240" s="19">
        <f>IF($A240="","",IFERROR(SUMIF(tblVarliklar[VarlikId],$B240,tblVarliklar[HedefSagimLt_lt]),ssy_varsayilanHedefLt))</f>
        <v/>
      </c>
      <c r="J240" s="19">
        <f>IF($A240="","",$D240-$I240)</f>
        <v/>
      </c>
      <c r="K240" s="19">
        <f>IF(OR($A240="",$I240=0),"",$J240/$I240)</f>
        <v/>
      </c>
      <c r="L240" s="19">
        <f>IF($A240="","",IF($G240&gt;=ssy_esikBuzagiGun,"YAKIN","NORMAL"))</f>
        <v/>
      </c>
      <c r="M240" s="19">
        <f>IF($A240="","",MAX(0,MIN(100,ssy_kaliteTaban-IF($D240&lt;ssy_esikSagimLt,ssy_kaliteCeza,0)-IF($L240="YAKIN",ssy_kaliteSapma,0)-IF($F240="EVET",0,0)-IF($P240="YETIM",ssy_kaliteCeza,0))))</f>
        <v/>
      </c>
      <c r="N240" s="19">
        <f>IF($A240="","",IF(OR($D240&lt;ssy_esikSagimLt,$G240&gt;=ssy_esikBuzagiGun,$M240&lt;ssy_esikSaglik),"ALARM","UYGUN"))</f>
        <v/>
      </c>
      <c r="O240" s="19">
        <f>IF($A240="","",1)</f>
        <v/>
      </c>
      <c r="P240" s="19">
        <f>IF($A240="","",IF(OR($B240="",COUNTIF(tblVarliklar[VarlikId],$B240)=0),"YETIM","TAMAM"))</f>
        <v/>
      </c>
    </row>
    <row r="241">
      <c r="A241" s="15" t="n"/>
      <c r="B241" s="15" t="n"/>
      <c r="C241" s="60" t="n"/>
      <c r="D241" s="17" t="n"/>
      <c r="E241" s="17" t="n"/>
      <c r="F241" s="15" t="n"/>
      <c r="G241" s="16" t="n"/>
      <c r="H241" s="15" t="n"/>
      <c r="I241" s="19">
        <f>IF($A241="","",IFERROR(SUMIF(tblVarliklar[VarlikId],$B241,tblVarliklar[HedefSagimLt_lt]),ssy_varsayilanHedefLt))</f>
        <v/>
      </c>
      <c r="J241" s="19">
        <f>IF($A241="","",$D241-$I241)</f>
        <v/>
      </c>
      <c r="K241" s="19">
        <f>IF(OR($A241="",$I241=0),"",$J241/$I241)</f>
        <v/>
      </c>
      <c r="L241" s="19">
        <f>IF($A241="","",IF($G241&gt;=ssy_esikBuzagiGun,"YAKIN","NORMAL"))</f>
        <v/>
      </c>
      <c r="M241" s="19">
        <f>IF($A241="","",MAX(0,MIN(100,ssy_kaliteTaban-IF($D241&lt;ssy_esikSagimLt,ssy_kaliteCeza,0)-IF($L241="YAKIN",ssy_kaliteSapma,0)-IF($F241="EVET",0,0)-IF($P241="YETIM",ssy_kaliteCeza,0))))</f>
        <v/>
      </c>
      <c r="N241" s="19">
        <f>IF($A241="","",IF(OR($D241&lt;ssy_esikSagimLt,$G241&gt;=ssy_esikBuzagiGun,$M241&lt;ssy_esikSaglik),"ALARM","UYGUN"))</f>
        <v/>
      </c>
      <c r="O241" s="19">
        <f>IF($A241="","",1)</f>
        <v/>
      </c>
      <c r="P241" s="19">
        <f>IF($A241="","",IF(OR($B241="",COUNTIF(tblVarliklar[VarlikId],$B241)=0),"YETIM","TAMAM"))</f>
        <v/>
      </c>
    </row>
    <row r="242">
      <c r="A242" s="15" t="n"/>
      <c r="B242" s="15" t="n"/>
      <c r="C242" s="60" t="n"/>
      <c r="D242" s="17" t="n"/>
      <c r="E242" s="17" t="n"/>
      <c r="F242" s="15" t="n"/>
      <c r="G242" s="16" t="n"/>
      <c r="H242" s="15" t="n"/>
      <c r="I242" s="19">
        <f>IF($A242="","",IFERROR(SUMIF(tblVarliklar[VarlikId],$B242,tblVarliklar[HedefSagimLt_lt]),ssy_varsayilanHedefLt))</f>
        <v/>
      </c>
      <c r="J242" s="19">
        <f>IF($A242="","",$D242-$I242)</f>
        <v/>
      </c>
      <c r="K242" s="19">
        <f>IF(OR($A242="",$I242=0),"",$J242/$I242)</f>
        <v/>
      </c>
      <c r="L242" s="19">
        <f>IF($A242="","",IF($G242&gt;=ssy_esikBuzagiGun,"YAKIN","NORMAL"))</f>
        <v/>
      </c>
      <c r="M242" s="19">
        <f>IF($A242="","",MAX(0,MIN(100,ssy_kaliteTaban-IF($D242&lt;ssy_esikSagimLt,ssy_kaliteCeza,0)-IF($L242="YAKIN",ssy_kaliteSapma,0)-IF($F242="EVET",0,0)-IF($P242="YETIM",ssy_kaliteCeza,0))))</f>
        <v/>
      </c>
      <c r="N242" s="19">
        <f>IF($A242="","",IF(OR($D242&lt;ssy_esikSagimLt,$G242&gt;=ssy_esikBuzagiGun,$M242&lt;ssy_esikSaglik),"ALARM","UYGUN"))</f>
        <v/>
      </c>
      <c r="O242" s="19">
        <f>IF($A242="","",1)</f>
        <v/>
      </c>
      <c r="P242" s="19">
        <f>IF($A242="","",IF(OR($B242="",COUNTIF(tblVarliklar[VarlikId],$B242)=0),"YETIM","TAMAM"))</f>
        <v/>
      </c>
    </row>
    <row r="243">
      <c r="A243" s="15" t="n"/>
      <c r="B243" s="15" t="n"/>
      <c r="C243" s="60" t="n"/>
      <c r="D243" s="17" t="n"/>
      <c r="E243" s="17" t="n"/>
      <c r="F243" s="15" t="n"/>
      <c r="G243" s="16" t="n"/>
      <c r="H243" s="15" t="n"/>
      <c r="I243" s="19">
        <f>IF($A243="","",IFERROR(SUMIF(tblVarliklar[VarlikId],$B243,tblVarliklar[HedefSagimLt_lt]),ssy_varsayilanHedefLt))</f>
        <v/>
      </c>
      <c r="J243" s="19">
        <f>IF($A243="","",$D243-$I243)</f>
        <v/>
      </c>
      <c r="K243" s="19">
        <f>IF(OR($A243="",$I243=0),"",$J243/$I243)</f>
        <v/>
      </c>
      <c r="L243" s="19">
        <f>IF($A243="","",IF($G243&gt;=ssy_esikBuzagiGun,"YAKIN","NORMAL"))</f>
        <v/>
      </c>
      <c r="M243" s="19">
        <f>IF($A243="","",MAX(0,MIN(100,ssy_kaliteTaban-IF($D243&lt;ssy_esikSagimLt,ssy_kaliteCeza,0)-IF($L243="YAKIN",ssy_kaliteSapma,0)-IF($F243="EVET",0,0)-IF($P243="YETIM",ssy_kaliteCeza,0))))</f>
        <v/>
      </c>
      <c r="N243" s="19">
        <f>IF($A243="","",IF(OR($D243&lt;ssy_esikSagimLt,$G243&gt;=ssy_esikBuzagiGun,$M243&lt;ssy_esikSaglik),"ALARM","UYGUN"))</f>
        <v/>
      </c>
      <c r="O243" s="19">
        <f>IF($A243="","",1)</f>
        <v/>
      </c>
      <c r="P243" s="19">
        <f>IF($A243="","",IF(OR($B243="",COUNTIF(tblVarliklar[VarlikId],$B243)=0),"YETIM","TAMAM"))</f>
        <v/>
      </c>
    </row>
    <row r="244">
      <c r="A244" s="15" t="n"/>
      <c r="B244" s="15" t="n"/>
      <c r="C244" s="60" t="n"/>
      <c r="D244" s="17" t="n"/>
      <c r="E244" s="17" t="n"/>
      <c r="F244" s="15" t="n"/>
      <c r="G244" s="16" t="n"/>
      <c r="H244" s="15" t="n"/>
      <c r="I244" s="19">
        <f>IF($A244="","",IFERROR(SUMIF(tblVarliklar[VarlikId],$B244,tblVarliklar[HedefSagimLt_lt]),ssy_varsayilanHedefLt))</f>
        <v/>
      </c>
      <c r="J244" s="19">
        <f>IF($A244="","",$D244-$I244)</f>
        <v/>
      </c>
      <c r="K244" s="19">
        <f>IF(OR($A244="",$I244=0),"",$J244/$I244)</f>
        <v/>
      </c>
      <c r="L244" s="19">
        <f>IF($A244="","",IF($G244&gt;=ssy_esikBuzagiGun,"YAKIN","NORMAL"))</f>
        <v/>
      </c>
      <c r="M244" s="19">
        <f>IF($A244="","",MAX(0,MIN(100,ssy_kaliteTaban-IF($D244&lt;ssy_esikSagimLt,ssy_kaliteCeza,0)-IF($L244="YAKIN",ssy_kaliteSapma,0)-IF($F244="EVET",0,0)-IF($P244="YETIM",ssy_kaliteCeza,0))))</f>
        <v/>
      </c>
      <c r="N244" s="19">
        <f>IF($A244="","",IF(OR($D244&lt;ssy_esikSagimLt,$G244&gt;=ssy_esikBuzagiGun,$M244&lt;ssy_esikSaglik),"ALARM","UYGUN"))</f>
        <v/>
      </c>
      <c r="O244" s="19">
        <f>IF($A244="","",1)</f>
        <v/>
      </c>
      <c r="P244" s="19">
        <f>IF($A244="","",IF(OR($B244="",COUNTIF(tblVarliklar[VarlikId],$B244)=0),"YETIM","TAMAM"))</f>
        <v/>
      </c>
    </row>
    <row r="245">
      <c r="A245" s="15" t="n"/>
      <c r="B245" s="15" t="n"/>
      <c r="C245" s="60" t="n"/>
      <c r="D245" s="17" t="n"/>
      <c r="E245" s="17" t="n"/>
      <c r="F245" s="15" t="n"/>
      <c r="G245" s="16" t="n"/>
      <c r="H245" s="15" t="n"/>
      <c r="I245" s="19">
        <f>IF($A245="","",IFERROR(SUMIF(tblVarliklar[VarlikId],$B245,tblVarliklar[HedefSagimLt_lt]),ssy_varsayilanHedefLt))</f>
        <v/>
      </c>
      <c r="J245" s="19">
        <f>IF($A245="","",$D245-$I245)</f>
        <v/>
      </c>
      <c r="K245" s="19">
        <f>IF(OR($A245="",$I245=0),"",$J245/$I245)</f>
        <v/>
      </c>
      <c r="L245" s="19">
        <f>IF($A245="","",IF($G245&gt;=ssy_esikBuzagiGun,"YAKIN","NORMAL"))</f>
        <v/>
      </c>
      <c r="M245" s="19">
        <f>IF($A245="","",MAX(0,MIN(100,ssy_kaliteTaban-IF($D245&lt;ssy_esikSagimLt,ssy_kaliteCeza,0)-IF($L245="YAKIN",ssy_kaliteSapma,0)-IF($F245="EVET",0,0)-IF($P245="YETIM",ssy_kaliteCeza,0))))</f>
        <v/>
      </c>
      <c r="N245" s="19">
        <f>IF($A245="","",IF(OR($D245&lt;ssy_esikSagimLt,$G245&gt;=ssy_esikBuzagiGun,$M245&lt;ssy_esikSaglik),"ALARM","UYGUN"))</f>
        <v/>
      </c>
      <c r="O245" s="19">
        <f>IF($A245="","",1)</f>
        <v/>
      </c>
      <c r="P245" s="19">
        <f>IF($A245="","",IF(OR($B245="",COUNTIF(tblVarliklar[VarlikId],$B245)=0),"YETIM","TAMAM"))</f>
        <v/>
      </c>
    </row>
    <row r="246">
      <c r="A246" s="15" t="n"/>
      <c r="B246" s="15" t="n"/>
      <c r="C246" s="60" t="n"/>
      <c r="D246" s="17" t="n"/>
      <c r="E246" s="17" t="n"/>
      <c r="F246" s="15" t="n"/>
      <c r="G246" s="16" t="n"/>
      <c r="H246" s="15" t="n"/>
      <c r="I246" s="19">
        <f>IF($A246="","",IFERROR(SUMIF(tblVarliklar[VarlikId],$B246,tblVarliklar[HedefSagimLt_lt]),ssy_varsayilanHedefLt))</f>
        <v/>
      </c>
      <c r="J246" s="19">
        <f>IF($A246="","",$D246-$I246)</f>
        <v/>
      </c>
      <c r="K246" s="19">
        <f>IF(OR($A246="",$I246=0),"",$J246/$I246)</f>
        <v/>
      </c>
      <c r="L246" s="19">
        <f>IF($A246="","",IF($G246&gt;=ssy_esikBuzagiGun,"YAKIN","NORMAL"))</f>
        <v/>
      </c>
      <c r="M246" s="19">
        <f>IF($A246="","",MAX(0,MIN(100,ssy_kaliteTaban-IF($D246&lt;ssy_esikSagimLt,ssy_kaliteCeza,0)-IF($L246="YAKIN",ssy_kaliteSapma,0)-IF($F246="EVET",0,0)-IF($P246="YETIM",ssy_kaliteCeza,0))))</f>
        <v/>
      </c>
      <c r="N246" s="19">
        <f>IF($A246="","",IF(OR($D246&lt;ssy_esikSagimLt,$G246&gt;=ssy_esikBuzagiGun,$M246&lt;ssy_esikSaglik),"ALARM","UYGUN"))</f>
        <v/>
      </c>
      <c r="O246" s="19">
        <f>IF($A246="","",1)</f>
        <v/>
      </c>
      <c r="P246" s="19">
        <f>IF($A246="","",IF(OR($B246="",COUNTIF(tblVarliklar[VarlikId],$B246)=0),"YETIM","TAMAM"))</f>
        <v/>
      </c>
    </row>
    <row r="247">
      <c r="A247" s="15" t="n"/>
      <c r="B247" s="15" t="n"/>
      <c r="C247" s="60" t="n"/>
      <c r="D247" s="17" t="n"/>
      <c r="E247" s="17" t="n"/>
      <c r="F247" s="15" t="n"/>
      <c r="G247" s="16" t="n"/>
      <c r="H247" s="15" t="n"/>
      <c r="I247" s="19">
        <f>IF($A247="","",IFERROR(SUMIF(tblVarliklar[VarlikId],$B247,tblVarliklar[HedefSagimLt_lt]),ssy_varsayilanHedefLt))</f>
        <v/>
      </c>
      <c r="J247" s="19">
        <f>IF($A247="","",$D247-$I247)</f>
        <v/>
      </c>
      <c r="K247" s="19">
        <f>IF(OR($A247="",$I247=0),"",$J247/$I247)</f>
        <v/>
      </c>
      <c r="L247" s="19">
        <f>IF($A247="","",IF($G247&gt;=ssy_esikBuzagiGun,"YAKIN","NORMAL"))</f>
        <v/>
      </c>
      <c r="M247" s="19">
        <f>IF($A247="","",MAX(0,MIN(100,ssy_kaliteTaban-IF($D247&lt;ssy_esikSagimLt,ssy_kaliteCeza,0)-IF($L247="YAKIN",ssy_kaliteSapma,0)-IF($F247="EVET",0,0)-IF($P247="YETIM",ssy_kaliteCeza,0))))</f>
        <v/>
      </c>
      <c r="N247" s="19">
        <f>IF($A247="","",IF(OR($D247&lt;ssy_esikSagimLt,$G247&gt;=ssy_esikBuzagiGun,$M247&lt;ssy_esikSaglik),"ALARM","UYGUN"))</f>
        <v/>
      </c>
      <c r="O247" s="19">
        <f>IF($A247="","",1)</f>
        <v/>
      </c>
      <c r="P247" s="19">
        <f>IF($A247="","",IF(OR($B247="",COUNTIF(tblVarliklar[VarlikId],$B247)=0),"YETIM","TAMAM"))</f>
        <v/>
      </c>
    </row>
    <row r="248">
      <c r="A248" s="15" t="n"/>
      <c r="B248" s="15" t="n"/>
      <c r="C248" s="60" t="n"/>
      <c r="D248" s="17" t="n"/>
      <c r="E248" s="17" t="n"/>
      <c r="F248" s="15" t="n"/>
      <c r="G248" s="16" t="n"/>
      <c r="H248" s="15" t="n"/>
      <c r="I248" s="19">
        <f>IF($A248="","",IFERROR(SUMIF(tblVarliklar[VarlikId],$B248,tblVarliklar[HedefSagimLt_lt]),ssy_varsayilanHedefLt))</f>
        <v/>
      </c>
      <c r="J248" s="19">
        <f>IF($A248="","",$D248-$I248)</f>
        <v/>
      </c>
      <c r="K248" s="19">
        <f>IF(OR($A248="",$I248=0),"",$J248/$I248)</f>
        <v/>
      </c>
      <c r="L248" s="19">
        <f>IF($A248="","",IF($G248&gt;=ssy_esikBuzagiGun,"YAKIN","NORMAL"))</f>
        <v/>
      </c>
      <c r="M248" s="19">
        <f>IF($A248="","",MAX(0,MIN(100,ssy_kaliteTaban-IF($D248&lt;ssy_esikSagimLt,ssy_kaliteCeza,0)-IF($L248="YAKIN",ssy_kaliteSapma,0)-IF($F248="EVET",0,0)-IF($P248="YETIM",ssy_kaliteCeza,0))))</f>
        <v/>
      </c>
      <c r="N248" s="19">
        <f>IF($A248="","",IF(OR($D248&lt;ssy_esikSagimLt,$G248&gt;=ssy_esikBuzagiGun,$M248&lt;ssy_esikSaglik),"ALARM","UYGUN"))</f>
        <v/>
      </c>
      <c r="O248" s="19">
        <f>IF($A248="","",1)</f>
        <v/>
      </c>
      <c r="P248" s="19">
        <f>IF($A248="","",IF(OR($B248="",COUNTIF(tblVarliklar[VarlikId],$B248)=0),"YETIM","TAMAM"))</f>
        <v/>
      </c>
    </row>
    <row r="249">
      <c r="A249" s="15" t="n"/>
      <c r="B249" s="15" t="n"/>
      <c r="C249" s="60" t="n"/>
      <c r="D249" s="17" t="n"/>
      <c r="E249" s="17" t="n"/>
      <c r="F249" s="15" t="n"/>
      <c r="G249" s="16" t="n"/>
      <c r="H249" s="15" t="n"/>
      <c r="I249" s="19">
        <f>IF($A249="","",IFERROR(SUMIF(tblVarliklar[VarlikId],$B249,tblVarliklar[HedefSagimLt_lt]),ssy_varsayilanHedefLt))</f>
        <v/>
      </c>
      <c r="J249" s="19">
        <f>IF($A249="","",$D249-$I249)</f>
        <v/>
      </c>
      <c r="K249" s="19">
        <f>IF(OR($A249="",$I249=0),"",$J249/$I249)</f>
        <v/>
      </c>
      <c r="L249" s="19">
        <f>IF($A249="","",IF($G249&gt;=ssy_esikBuzagiGun,"YAKIN","NORMAL"))</f>
        <v/>
      </c>
      <c r="M249" s="19">
        <f>IF($A249="","",MAX(0,MIN(100,ssy_kaliteTaban-IF($D249&lt;ssy_esikSagimLt,ssy_kaliteCeza,0)-IF($L249="YAKIN",ssy_kaliteSapma,0)-IF($F249="EVET",0,0)-IF($P249="YETIM",ssy_kaliteCeza,0))))</f>
        <v/>
      </c>
      <c r="N249" s="19">
        <f>IF($A249="","",IF(OR($D249&lt;ssy_esikSagimLt,$G249&gt;=ssy_esikBuzagiGun,$M249&lt;ssy_esikSaglik),"ALARM","UYGUN"))</f>
        <v/>
      </c>
      <c r="O249" s="19">
        <f>IF($A249="","",1)</f>
        <v/>
      </c>
      <c r="P249" s="19">
        <f>IF($A249="","",IF(OR($B249="",COUNTIF(tblVarliklar[VarlikId],$B249)=0),"YETIM","TAMAM"))</f>
        <v/>
      </c>
    </row>
    <row r="250">
      <c r="A250" s="15" t="n"/>
      <c r="B250" s="15" t="n"/>
      <c r="C250" s="60" t="n"/>
      <c r="D250" s="17" t="n"/>
      <c r="E250" s="17" t="n"/>
      <c r="F250" s="15" t="n"/>
      <c r="G250" s="16" t="n"/>
      <c r="H250" s="15" t="n"/>
      <c r="I250" s="19">
        <f>IF($A250="","",IFERROR(SUMIF(tblVarliklar[VarlikId],$B250,tblVarliklar[HedefSagimLt_lt]),ssy_varsayilanHedefLt))</f>
        <v/>
      </c>
      <c r="J250" s="19">
        <f>IF($A250="","",$D250-$I250)</f>
        <v/>
      </c>
      <c r="K250" s="19">
        <f>IF(OR($A250="",$I250=0),"",$J250/$I250)</f>
        <v/>
      </c>
      <c r="L250" s="19">
        <f>IF($A250="","",IF($G250&gt;=ssy_esikBuzagiGun,"YAKIN","NORMAL"))</f>
        <v/>
      </c>
      <c r="M250" s="19">
        <f>IF($A250="","",MAX(0,MIN(100,ssy_kaliteTaban-IF($D250&lt;ssy_esikSagimLt,ssy_kaliteCeza,0)-IF($L250="YAKIN",ssy_kaliteSapma,0)-IF($F250="EVET",0,0)-IF($P250="YETIM",ssy_kaliteCeza,0))))</f>
        <v/>
      </c>
      <c r="N250" s="19">
        <f>IF($A250="","",IF(OR($D250&lt;ssy_esikSagimLt,$G250&gt;=ssy_esikBuzagiGun,$M250&lt;ssy_esikSaglik),"ALARM","UYGUN"))</f>
        <v/>
      </c>
      <c r="O250" s="19">
        <f>IF($A250="","",1)</f>
        <v/>
      </c>
      <c r="P250" s="19">
        <f>IF($A250="","",IF(OR($B250="",COUNTIF(tblVarliklar[VarlikId],$B250)=0),"YETIM","TAMAM"))</f>
        <v/>
      </c>
    </row>
    <row r="251">
      <c r="A251" s="15" t="n"/>
      <c r="B251" s="15" t="n"/>
      <c r="C251" s="60" t="n"/>
      <c r="D251" s="17" t="n"/>
      <c r="E251" s="17" t="n"/>
      <c r="F251" s="15" t="n"/>
      <c r="G251" s="16" t="n"/>
      <c r="H251" s="15" t="n"/>
      <c r="I251" s="19">
        <f>IF($A251="","",IFERROR(SUMIF(tblVarliklar[VarlikId],$B251,tblVarliklar[HedefSagimLt_lt]),ssy_varsayilanHedefLt))</f>
        <v/>
      </c>
      <c r="J251" s="19">
        <f>IF($A251="","",$D251-$I251)</f>
        <v/>
      </c>
      <c r="K251" s="19">
        <f>IF(OR($A251="",$I251=0),"",$J251/$I251)</f>
        <v/>
      </c>
      <c r="L251" s="19">
        <f>IF($A251="","",IF($G251&gt;=ssy_esikBuzagiGun,"YAKIN","NORMAL"))</f>
        <v/>
      </c>
      <c r="M251" s="19">
        <f>IF($A251="","",MAX(0,MIN(100,ssy_kaliteTaban-IF($D251&lt;ssy_esikSagimLt,ssy_kaliteCeza,0)-IF($L251="YAKIN",ssy_kaliteSapma,0)-IF($F251="EVET",0,0)-IF($P251="YETIM",ssy_kaliteCeza,0))))</f>
        <v/>
      </c>
      <c r="N251" s="19">
        <f>IF($A251="","",IF(OR($D251&lt;ssy_esikSagimLt,$G251&gt;=ssy_esikBuzagiGun,$M251&lt;ssy_esikSaglik),"ALARM","UYGUN"))</f>
        <v/>
      </c>
      <c r="O251" s="19">
        <f>IF($A251="","",1)</f>
        <v/>
      </c>
      <c r="P251" s="19">
        <f>IF($A251="","",IF(OR($B251="",COUNTIF(tblVarliklar[VarlikId],$B251)=0),"YETIM","TAMAM"))</f>
        <v/>
      </c>
    </row>
    <row r="252">
      <c r="A252" s="15" t="n"/>
      <c r="B252" s="15" t="n"/>
      <c r="C252" s="60" t="n"/>
      <c r="D252" s="17" t="n"/>
      <c r="E252" s="17" t="n"/>
      <c r="F252" s="15" t="n"/>
      <c r="G252" s="16" t="n"/>
      <c r="H252" s="15" t="n"/>
      <c r="I252" s="19">
        <f>IF($A252="","",IFERROR(SUMIF(tblVarliklar[VarlikId],$B252,tblVarliklar[HedefSagimLt_lt]),ssy_varsayilanHedefLt))</f>
        <v/>
      </c>
      <c r="J252" s="19">
        <f>IF($A252="","",$D252-$I252)</f>
        <v/>
      </c>
      <c r="K252" s="19">
        <f>IF(OR($A252="",$I252=0),"",$J252/$I252)</f>
        <v/>
      </c>
      <c r="L252" s="19">
        <f>IF($A252="","",IF($G252&gt;=ssy_esikBuzagiGun,"YAKIN","NORMAL"))</f>
        <v/>
      </c>
      <c r="M252" s="19">
        <f>IF($A252="","",MAX(0,MIN(100,ssy_kaliteTaban-IF($D252&lt;ssy_esikSagimLt,ssy_kaliteCeza,0)-IF($L252="YAKIN",ssy_kaliteSapma,0)-IF($F252="EVET",0,0)-IF($P252="YETIM",ssy_kaliteCeza,0))))</f>
        <v/>
      </c>
      <c r="N252" s="19">
        <f>IF($A252="","",IF(OR($D252&lt;ssy_esikSagimLt,$G252&gt;=ssy_esikBuzagiGun,$M252&lt;ssy_esikSaglik),"ALARM","UYGUN"))</f>
        <v/>
      </c>
      <c r="O252" s="19">
        <f>IF($A252="","",1)</f>
        <v/>
      </c>
      <c r="P252" s="19">
        <f>IF($A252="","",IF(OR($B252="",COUNTIF(tblVarliklar[VarlikId],$B252)=0),"YETIM","TAMAM"))</f>
        <v/>
      </c>
    </row>
    <row r="253">
      <c r="A253" s="15" t="n"/>
      <c r="B253" s="15" t="n"/>
      <c r="C253" s="60" t="n"/>
      <c r="D253" s="17" t="n"/>
      <c r="E253" s="17" t="n"/>
      <c r="F253" s="15" t="n"/>
      <c r="G253" s="16" t="n"/>
      <c r="H253" s="15" t="n"/>
      <c r="I253" s="19">
        <f>IF($A253="","",IFERROR(SUMIF(tblVarliklar[VarlikId],$B253,tblVarliklar[HedefSagimLt_lt]),ssy_varsayilanHedefLt))</f>
        <v/>
      </c>
      <c r="J253" s="19">
        <f>IF($A253="","",$D253-$I253)</f>
        <v/>
      </c>
      <c r="K253" s="19">
        <f>IF(OR($A253="",$I253=0),"",$J253/$I253)</f>
        <v/>
      </c>
      <c r="L253" s="19">
        <f>IF($A253="","",IF($G253&gt;=ssy_esikBuzagiGun,"YAKIN","NORMAL"))</f>
        <v/>
      </c>
      <c r="M253" s="19">
        <f>IF($A253="","",MAX(0,MIN(100,ssy_kaliteTaban-IF($D253&lt;ssy_esikSagimLt,ssy_kaliteCeza,0)-IF($L253="YAKIN",ssy_kaliteSapma,0)-IF($F253="EVET",0,0)-IF($P253="YETIM",ssy_kaliteCeza,0))))</f>
        <v/>
      </c>
      <c r="N253" s="19">
        <f>IF($A253="","",IF(OR($D253&lt;ssy_esikSagimLt,$G253&gt;=ssy_esikBuzagiGun,$M253&lt;ssy_esikSaglik),"ALARM","UYGUN"))</f>
        <v/>
      </c>
      <c r="O253" s="19">
        <f>IF($A253="","",1)</f>
        <v/>
      </c>
      <c r="P253" s="19">
        <f>IF($A253="","",IF(OR($B253="",COUNTIF(tblVarliklar[VarlikId],$B253)=0),"YETIM","TAMAM"))</f>
        <v/>
      </c>
    </row>
    <row r="254">
      <c r="A254" s="15" t="n"/>
      <c r="B254" s="15" t="n"/>
      <c r="C254" s="60" t="n"/>
      <c r="D254" s="17" t="n"/>
      <c r="E254" s="17" t="n"/>
      <c r="F254" s="15" t="n"/>
      <c r="G254" s="16" t="n"/>
      <c r="H254" s="15" t="n"/>
      <c r="I254" s="19">
        <f>IF($A254="","",IFERROR(SUMIF(tblVarliklar[VarlikId],$B254,tblVarliklar[HedefSagimLt_lt]),ssy_varsayilanHedefLt))</f>
        <v/>
      </c>
      <c r="J254" s="19">
        <f>IF($A254="","",$D254-$I254)</f>
        <v/>
      </c>
      <c r="K254" s="19">
        <f>IF(OR($A254="",$I254=0),"",$J254/$I254)</f>
        <v/>
      </c>
      <c r="L254" s="19">
        <f>IF($A254="","",IF($G254&gt;=ssy_esikBuzagiGun,"YAKIN","NORMAL"))</f>
        <v/>
      </c>
      <c r="M254" s="19">
        <f>IF($A254="","",MAX(0,MIN(100,ssy_kaliteTaban-IF($D254&lt;ssy_esikSagimLt,ssy_kaliteCeza,0)-IF($L254="YAKIN",ssy_kaliteSapma,0)-IF($F254="EVET",0,0)-IF($P254="YETIM",ssy_kaliteCeza,0))))</f>
        <v/>
      </c>
      <c r="N254" s="19">
        <f>IF($A254="","",IF(OR($D254&lt;ssy_esikSagimLt,$G254&gt;=ssy_esikBuzagiGun,$M254&lt;ssy_esikSaglik),"ALARM","UYGUN"))</f>
        <v/>
      </c>
      <c r="O254" s="19">
        <f>IF($A254="","",1)</f>
        <v/>
      </c>
      <c r="P254" s="19">
        <f>IF($A254="","",IF(OR($B254="",COUNTIF(tblVarliklar[VarlikId],$B254)=0),"YETIM","TAMAM"))</f>
        <v/>
      </c>
    </row>
    <row r="255">
      <c r="A255" s="15" t="n"/>
      <c r="B255" s="15" t="n"/>
      <c r="C255" s="60" t="n"/>
      <c r="D255" s="17" t="n"/>
      <c r="E255" s="17" t="n"/>
      <c r="F255" s="15" t="n"/>
      <c r="G255" s="16" t="n"/>
      <c r="H255" s="15" t="n"/>
      <c r="I255" s="19">
        <f>IF($A255="","",IFERROR(SUMIF(tblVarliklar[VarlikId],$B255,tblVarliklar[HedefSagimLt_lt]),ssy_varsayilanHedefLt))</f>
        <v/>
      </c>
      <c r="J255" s="19">
        <f>IF($A255="","",$D255-$I255)</f>
        <v/>
      </c>
      <c r="K255" s="19">
        <f>IF(OR($A255="",$I255=0),"",$J255/$I255)</f>
        <v/>
      </c>
      <c r="L255" s="19">
        <f>IF($A255="","",IF($G255&gt;=ssy_esikBuzagiGun,"YAKIN","NORMAL"))</f>
        <v/>
      </c>
      <c r="M255" s="19">
        <f>IF($A255="","",MAX(0,MIN(100,ssy_kaliteTaban-IF($D255&lt;ssy_esikSagimLt,ssy_kaliteCeza,0)-IF($L255="YAKIN",ssy_kaliteSapma,0)-IF($F255="EVET",0,0)-IF($P255="YETIM",ssy_kaliteCeza,0))))</f>
        <v/>
      </c>
      <c r="N255" s="19">
        <f>IF($A255="","",IF(OR($D255&lt;ssy_esikSagimLt,$G255&gt;=ssy_esikBuzagiGun,$M255&lt;ssy_esikSaglik),"ALARM","UYGUN"))</f>
        <v/>
      </c>
      <c r="O255" s="19">
        <f>IF($A255="","",1)</f>
        <v/>
      </c>
      <c r="P255" s="19">
        <f>IF($A255="","",IF(OR($B255="",COUNTIF(tblVarliklar[VarlikId],$B255)=0),"YETIM","TAMAM"))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V1"/>
    <mergeCell ref="A3:P3"/>
  </mergeCells>
  <conditionalFormatting sqref="N6:N255">
    <cfRule type="cellIs" priority="1" operator="equal" dxfId="1">
      <formula>"ALARM"</formula>
    </cfRule>
  </conditionalFormatting>
  <conditionalFormatting sqref="P6:P255">
    <cfRule type="cellIs" priority="2" operator="equal" dxfId="0">
      <formula>"YETIM"</formula>
    </cfRule>
  </conditionalFormatting>
  <conditionalFormatting sqref="D6:D255">
    <cfRule type="cellIs" priority="3" operator="lessThan" dxfId="0">
      <formula>ssy_esikSagimLt</formula>
    </cfRule>
  </conditionalFormatting>
  <conditionalFormatting sqref="M6:M255">
    <cfRule type="cellIs" priority="4" operator="lessThan" dxfId="2">
      <formula>ssy_esikSaglik</formula>
    </cfRule>
  </conditionalFormatting>
  <dataValidations count="8">
    <dataValidation sqref="A6:A255" showDropDown="0" showInputMessage="1" showErrorMessage="1" allowBlank="1" errorTitle="Kimlik" error="En az 1 karakter" promptTitle="Günlük Kimlik" prompt="SSY-##### girin" type="textLength" errorStyle="stop" operator="greaterThan">
      <formula1>1</formula1>
      <formula2>40</formula2>
    </dataValidation>
    <dataValidation sqref="B6:B255" showDropDown="0" showInputMessage="1" showErrorMessage="1" allowBlank="1" errorTitle="Varlık" error="Geçersiz" promptTitle="Varlık" prompt="INK kimliği girin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GG.AA.YYYY" type="date" errorStyle="stop" operator="greaterThan">
      <formula1>1</formula1>
    </dataValidation>
    <dataValidation sqref="D6:D255" showDropDown="0" showInputMessage="1" showErrorMessage="1" allowBlank="1" errorTitle="Sağım [lt]" error="0 veya üzeri" promptTitle="Sağım [lt]" prompt="Sağım [lt] ≥ 0" type="decimal" errorStyle="stop" operator="greaterThanOrEqual">
      <formula1>0</formula1>
    </dataValidation>
    <dataValidation sqref="E6:E255" showDropDown="0" showInputMessage="1" showErrorMessage="1" allowBlank="1" errorTitle="Yem [kg]" error="0 veya üzeri" promptTitle="Yem [kg]" prompt="Yem [kg] ≥ 0" type="decimal" errorStyle="stop" operator="greaterThanOrEqual">
      <formula1>0</formula1>
    </dataValidation>
    <dataValidation sqref="G6:G255" showDropDown="0" showInputMessage="1" showErrorMessage="1" allowBlank="1" errorTitle="Gebelik [gün]" error="0 veya üzeri" promptTitle="Gebelik [gün]" prompt="Gebelik [gün] ≥ 0" type="decimal" errorStyle="stop" operator="greaterThanOrEqual">
      <formula1>0</formula1>
    </dataValidation>
    <dataValidation sqref="F6:F255" showDropDown="0" showInputMessage="1" showErrorMessage="1" allowBlank="1" errorTitle="Liste" error="Listeden seçin" promptTitle="Kızgınlık" prompt="EVET veya HAYIR" type="list" errorStyle="stop">
      <formula1>ListeEvetHayir</formula1>
    </dataValidation>
    <dataValidation sqref="H6:H255" showDropDown="0" showInputMessage="1" showErrorMessage="1" allowBlank="1" errorTitle="Liste" error="Listeden seçin" promptTitle="Olay Türü" prompt="Listeden seçin" type="list" errorStyle="stop">
      <formula1>ListeOlayTuru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B4332"/>
    <outlinePr summaryBelow="1" summaryRight="1"/>
    <pageSetUpPr/>
  </sheetPr>
  <dimension ref="A1:P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14" customWidth="1" min="5" max="5"/>
    <col width="18" customWidth="1" min="6" max="6"/>
  </cols>
  <sheetData>
    <row r="1" ht="26" customHeight="1">
      <c r="A1" s="1" t="inlineStr">
        <is>
          <t>DONEM ANALIZ — Süt Sürüsü Yönetim Komutası</t>
        </is>
      </c>
    </row>
    <row r="3" ht="20" customHeight="1">
      <c r="A3" s="10" t="inlineStr">
        <is>
          <t>12 aylık sezonsallık — süt ve buzağılama zinciri (S03)</t>
        </is>
      </c>
    </row>
    <row r="5">
      <c r="A5" s="20" t="inlineStr">
        <is>
          <t>Ay</t>
        </is>
      </c>
      <c r="B5" s="20" t="inlineStr">
        <is>
          <t>Ay_Anahtari</t>
        </is>
      </c>
      <c r="C5" s="20" t="inlineStr">
        <is>
          <t>Sut lt</t>
        </is>
      </c>
      <c r="D5" s="20" t="inlineStr">
        <is>
          <t>Buzagilama adet</t>
        </is>
      </c>
      <c r="E5" s="20" t="inlineStr">
        <is>
          <t>Ort Sagim lt</t>
        </is>
      </c>
      <c r="F5" s="20" t="inlineStr">
        <is>
          <t>Sezonsal Etiket</t>
        </is>
      </c>
    </row>
    <row r="6">
      <c r="A6" s="7" t="inlineStr">
        <is>
          <t>Ocak</t>
        </is>
      </c>
      <c r="B6" s="7" t="inlineStr">
        <is>
          <t>Ay_1</t>
        </is>
      </c>
      <c r="C6" s="21" t="n">
        <v>18500</v>
      </c>
      <c r="D6" s="21" t="n">
        <v>4</v>
      </c>
      <c r="E6" s="22" t="n">
        <v>22.5</v>
      </c>
      <c r="F6" s="7" t="inlineStr">
        <is>
          <t>12_AY_SEZONSAL</t>
        </is>
      </c>
    </row>
    <row r="7">
      <c r="A7" s="7" t="inlineStr">
        <is>
          <t>Subat</t>
        </is>
      </c>
      <c r="B7" s="7" t="inlineStr">
        <is>
          <t>Ay_2</t>
        </is>
      </c>
      <c r="C7" s="21" t="n">
        <v>17800</v>
      </c>
      <c r="D7" s="21" t="n">
        <v>3</v>
      </c>
      <c r="E7" s="22" t="n">
        <v>21.8</v>
      </c>
      <c r="F7" s="7" t="inlineStr">
        <is>
          <t>12_AY_SEZONSAL</t>
        </is>
      </c>
    </row>
    <row r="8">
      <c r="A8" s="7" t="inlineStr">
        <is>
          <t>Mart</t>
        </is>
      </c>
      <c r="B8" s="7" t="inlineStr">
        <is>
          <t>Ay_3</t>
        </is>
      </c>
      <c r="C8" s="21" t="n">
        <v>19200</v>
      </c>
      <c r="D8" s="21" t="n">
        <v>5</v>
      </c>
      <c r="E8" s="22" t="n">
        <v>23.1</v>
      </c>
      <c r="F8" s="7" t="inlineStr">
        <is>
          <t>12_AY_SEZONSAL</t>
        </is>
      </c>
    </row>
    <row r="9">
      <c r="A9" s="7" t="inlineStr">
        <is>
          <t>Nisan</t>
        </is>
      </c>
      <c r="B9" s="7" t="inlineStr">
        <is>
          <t>Ay_4</t>
        </is>
      </c>
      <c r="C9" s="21" t="n">
        <v>20500</v>
      </c>
      <c r="D9" s="21" t="n">
        <v>6</v>
      </c>
      <c r="E9" s="22" t="n">
        <v>24</v>
      </c>
      <c r="F9" s="7" t="inlineStr">
        <is>
          <t>12_AY_SEZONSAL</t>
        </is>
      </c>
    </row>
    <row r="10">
      <c r="A10" s="7" t="inlineStr">
        <is>
          <t>Mayis</t>
        </is>
      </c>
      <c r="B10" s="7" t="inlineStr">
        <is>
          <t>Ay_5</t>
        </is>
      </c>
      <c r="C10" s="21" t="n">
        <v>21800</v>
      </c>
      <c r="D10" s="21" t="n">
        <v>7</v>
      </c>
      <c r="E10" s="22" t="n">
        <v>25.2</v>
      </c>
      <c r="F10" s="7" t="inlineStr">
        <is>
          <t>12_AY_SEZONSAL</t>
        </is>
      </c>
    </row>
    <row r="11">
      <c r="A11" s="7" t="inlineStr">
        <is>
          <t>Haziran</t>
        </is>
      </c>
      <c r="B11" s="7" t="inlineStr">
        <is>
          <t>Ay_6</t>
        </is>
      </c>
      <c r="C11" s="21" t="n">
        <v>23200</v>
      </c>
      <c r="D11" s="21" t="n">
        <v>8</v>
      </c>
      <c r="E11" s="22" t="n">
        <v>26.5</v>
      </c>
      <c r="F11" s="7" t="inlineStr">
        <is>
          <t>12_AY_SEZONSAL</t>
        </is>
      </c>
    </row>
    <row r="12">
      <c r="A12" s="7" t="inlineStr">
        <is>
          <t>Temmuz</t>
        </is>
      </c>
      <c r="B12" s="7" t="inlineStr">
        <is>
          <t>Ay_7</t>
        </is>
      </c>
      <c r="C12" s="21" t="n">
        <v>24500</v>
      </c>
      <c r="D12" s="21" t="n">
        <v>6</v>
      </c>
      <c r="E12" s="22" t="n">
        <v>27.8</v>
      </c>
      <c r="F12" s="7" t="inlineStr">
        <is>
          <t>12_AY_SEZONSAL</t>
        </is>
      </c>
    </row>
    <row r="13">
      <c r="A13" s="7" t="inlineStr">
        <is>
          <t>Agustos</t>
        </is>
      </c>
      <c r="B13" s="7" t="inlineStr">
        <is>
          <t>Ay_8</t>
        </is>
      </c>
      <c r="C13" s="21" t="n">
        <v>23800</v>
      </c>
      <c r="D13" s="21" t="n">
        <v>5</v>
      </c>
      <c r="E13" s="22" t="n">
        <v>27.1</v>
      </c>
      <c r="F13" s="7" t="inlineStr">
        <is>
          <t>12_AY_SEZONSAL</t>
        </is>
      </c>
    </row>
    <row r="14">
      <c r="A14" s="7" t="inlineStr">
        <is>
          <t>Eylul</t>
        </is>
      </c>
      <c r="B14" s="7" t="inlineStr">
        <is>
          <t>Ay_9</t>
        </is>
      </c>
      <c r="C14" s="21" t="n">
        <v>22000</v>
      </c>
      <c r="D14" s="21" t="n">
        <v>4</v>
      </c>
      <c r="E14" s="22" t="n">
        <v>25.5</v>
      </c>
      <c r="F14" s="7" t="inlineStr">
        <is>
          <t>12_AY_SEZONSAL</t>
        </is>
      </c>
    </row>
    <row r="15">
      <c r="A15" s="7" t="inlineStr">
        <is>
          <t>Ekim</t>
        </is>
      </c>
      <c r="B15" s="7" t="inlineStr">
        <is>
          <t>Ay_10</t>
        </is>
      </c>
      <c r="C15" s="21" t="n">
        <v>20500</v>
      </c>
      <c r="D15" s="21" t="n">
        <v>3</v>
      </c>
      <c r="E15" s="22" t="n">
        <v>24</v>
      </c>
      <c r="F15" s="7" t="inlineStr">
        <is>
          <t>12_AY_SEZONSAL</t>
        </is>
      </c>
    </row>
    <row r="16">
      <c r="A16" s="7" t="inlineStr">
        <is>
          <t>Kasim</t>
        </is>
      </c>
      <c r="B16" s="7" t="inlineStr">
        <is>
          <t>Ay_11</t>
        </is>
      </c>
      <c r="C16" s="21" t="n">
        <v>19000</v>
      </c>
      <c r="D16" s="21" t="n">
        <v>4</v>
      </c>
      <c r="E16" s="22" t="n">
        <v>22.8</v>
      </c>
      <c r="F16" s="7" t="inlineStr">
        <is>
          <t>12_AY_SEZONSAL</t>
        </is>
      </c>
    </row>
    <row r="17">
      <c r="A17" s="7" t="inlineStr">
        <is>
          <t>Aralik</t>
        </is>
      </c>
      <c r="B17" s="7" t="inlineStr">
        <is>
          <t>Ay_12</t>
        </is>
      </c>
      <c r="C17" s="21" t="n">
        <v>18200</v>
      </c>
      <c r="D17" s="21" t="n">
        <v>5</v>
      </c>
      <c r="E17" s="22" t="n">
        <v>22</v>
      </c>
      <c r="F17" s="7" t="inlineStr">
        <is>
          <t>12_AY_SEZONSAL</t>
        </is>
      </c>
    </row>
    <row r="20">
      <c r="A20" s="23" t="inlineStr">
        <is>
          <t>Sezonsal Trend Özeti</t>
        </is>
      </c>
      <c r="B20" s="8">
        <f>ssy_sezonsalTrend</f>
        <v/>
      </c>
    </row>
    <row r="22">
      <c r="A22" s="13" t="inlineStr">
        <is>
          <t>12 Ay Toplam Süt</t>
        </is>
      </c>
      <c r="B22" s="21">
        <f>SUM(C6:C17)</f>
        <v/>
      </c>
    </row>
    <row r="23">
      <c r="A23" s="13" t="inlineStr">
        <is>
          <t>12 Ay Buzağılama</t>
        </is>
      </c>
      <c r="B23" s="21">
        <f>SUM(D6:D17)</f>
        <v/>
      </c>
    </row>
    <row r="24">
      <c r="A24" s="13" t="inlineStr">
        <is>
          <t>12 Ay Ort Sağım</t>
        </is>
      </c>
      <c r="B24" s="22">
        <f>AVERAGE(E6:E17)</f>
        <v/>
      </c>
    </row>
    <row r="25">
      <c r="A25" s="13" t="inlineStr">
        <is>
          <t>Canlı dönem sağım</t>
        </is>
      </c>
      <c r="B25" s="22">
        <f>ssy_sagimToplam</f>
        <v/>
      </c>
    </row>
    <row r="26">
      <c r="A26" s="13" t="inlineStr">
        <is>
          <t>Canlı dönem ort</t>
        </is>
      </c>
      <c r="B26" s="22">
        <f>ssy_gunlukSagimOrt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L3"/>
    <mergeCell ref="A1:P1"/>
    <mergeCell ref="B20:F20"/>
  </mergeCells>
  <conditionalFormatting sqref="C6">
    <cfRule type="cellIs" priority="1" operator="greaterThan" dxfId="3">
      <formula>0</formula>
    </cfRule>
  </conditionalFormatting>
  <conditionalFormatting sqref="E6">
    <cfRule type="cellIs" priority="2" operator="lessThan" dxfId="0">
      <formula>ssy_esikSagimLt</formula>
    </cfRule>
  </conditionalFormatting>
  <conditionalFormatting sqref="C7">
    <cfRule type="cellIs" priority="3" operator="greaterThan" dxfId="3">
      <formula>0</formula>
    </cfRule>
  </conditionalFormatting>
  <conditionalFormatting sqref="E7">
    <cfRule type="cellIs" priority="4" operator="lessThan" dxfId="0">
      <formula>ssy_esikSagimLt</formula>
    </cfRule>
  </conditionalFormatting>
  <conditionalFormatting sqref="C8">
    <cfRule type="cellIs" priority="5" operator="greaterThan" dxfId="3">
      <formula>0</formula>
    </cfRule>
  </conditionalFormatting>
  <conditionalFormatting sqref="E8">
    <cfRule type="cellIs" priority="6" operator="lessThan" dxfId="0">
      <formula>ssy_esikSagimLt</formula>
    </cfRule>
  </conditionalFormatting>
  <conditionalFormatting sqref="C9">
    <cfRule type="cellIs" priority="7" operator="greaterThan" dxfId="3">
      <formula>0</formula>
    </cfRule>
  </conditionalFormatting>
  <conditionalFormatting sqref="E9">
    <cfRule type="cellIs" priority="8" operator="lessThan" dxfId="0">
      <formula>ssy_esikSagimLt</formula>
    </cfRule>
  </conditionalFormatting>
  <conditionalFormatting sqref="C10">
    <cfRule type="cellIs" priority="9" operator="greaterThan" dxfId="3">
      <formula>0</formula>
    </cfRule>
  </conditionalFormatting>
  <conditionalFormatting sqref="E10">
    <cfRule type="cellIs" priority="10" operator="lessThan" dxfId="0">
      <formula>ssy_esikSagimLt</formula>
    </cfRule>
  </conditionalFormatting>
  <conditionalFormatting sqref="C11">
    <cfRule type="cellIs" priority="11" operator="greaterThan" dxfId="3">
      <formula>0</formula>
    </cfRule>
  </conditionalFormatting>
  <conditionalFormatting sqref="E11">
    <cfRule type="cellIs" priority="12" operator="lessThan" dxfId="0">
      <formula>ssy_esikSagimLt</formula>
    </cfRule>
  </conditionalFormatting>
  <conditionalFormatting sqref="C12">
    <cfRule type="cellIs" priority="13" operator="greaterThan" dxfId="3">
      <formula>0</formula>
    </cfRule>
  </conditionalFormatting>
  <conditionalFormatting sqref="E12">
    <cfRule type="cellIs" priority="14" operator="lessThan" dxfId="0">
      <formula>ssy_esikSagimLt</formula>
    </cfRule>
  </conditionalFormatting>
  <conditionalFormatting sqref="C13">
    <cfRule type="cellIs" priority="15" operator="greaterThan" dxfId="3">
      <formula>0</formula>
    </cfRule>
  </conditionalFormatting>
  <conditionalFormatting sqref="E13">
    <cfRule type="cellIs" priority="16" operator="lessThan" dxfId="0">
      <formula>ssy_esikSagimLt</formula>
    </cfRule>
  </conditionalFormatting>
  <conditionalFormatting sqref="C14">
    <cfRule type="cellIs" priority="17" operator="greaterThan" dxfId="3">
      <formula>0</formula>
    </cfRule>
  </conditionalFormatting>
  <conditionalFormatting sqref="E14">
    <cfRule type="cellIs" priority="18" operator="lessThan" dxfId="0">
      <formula>ssy_esikSagimLt</formula>
    </cfRule>
  </conditionalFormatting>
  <conditionalFormatting sqref="C15">
    <cfRule type="cellIs" priority="19" operator="greaterThan" dxfId="3">
      <formula>0</formula>
    </cfRule>
  </conditionalFormatting>
  <conditionalFormatting sqref="E15">
    <cfRule type="cellIs" priority="20" operator="lessThan" dxfId="0">
      <formula>ssy_esikSagimLt</formula>
    </cfRule>
  </conditionalFormatting>
  <conditionalFormatting sqref="C16">
    <cfRule type="cellIs" priority="21" operator="greaterThan" dxfId="3">
      <formula>0</formula>
    </cfRule>
  </conditionalFormatting>
  <conditionalFormatting sqref="E16">
    <cfRule type="cellIs" priority="22" operator="lessThan" dxfId="0">
      <formula>ssy_esikSagimLt</formula>
    </cfRule>
  </conditionalFormatting>
  <conditionalFormatting sqref="C17">
    <cfRule type="cellIs" priority="23" operator="greaterThan" dxfId="3">
      <formula>0</formula>
    </cfRule>
  </conditionalFormatting>
  <conditionalFormatting sqref="E17">
    <cfRule type="cellIs" priority="24" operator="lessThan" dxfId="0">
      <formula>ssy_esikSagimLt</formula>
    </cfRule>
  </conditionalFormatting>
  <dataValidations count="12">
    <dataValidation sqref="A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8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9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0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1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2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3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4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5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B4332"/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</cols>
  <sheetData>
    <row r="1" ht="26" customHeight="1">
      <c r="A1" s="1" t="inlineStr">
        <is>
          <t>HESAP — Süt Sürüsü Yönetim Komutası</t>
        </is>
      </c>
    </row>
    <row r="3" ht="20" customHeight="1">
      <c r="A3" s="10" t="inlineStr">
        <is>
          <t>Hesap motoru — ≥40 adım; sabitler AYARLAR'dan</t>
        </is>
      </c>
    </row>
    <row r="5">
      <c r="A5" s="20" t="inlineStr">
        <is>
          <t>Adım</t>
        </is>
      </c>
      <c r="B5" s="20" t="inlineStr">
        <is>
          <t>Açıklama</t>
        </is>
      </c>
      <c r="C5" s="20" t="inlineStr">
        <is>
          <t>Değer</t>
        </is>
      </c>
    </row>
    <row r="6">
      <c r="A6" s="7" t="inlineStr">
        <is>
          <t>H01</t>
        </is>
      </c>
      <c r="B6" s="7" t="inlineStr">
        <is>
          <t>Toplam günlük kayıt</t>
        </is>
      </c>
      <c r="C6" s="21">
        <f>COUNTA(tblGunluk[SatirId])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1">
        <f>SUM(tblGunluk[FormulKayitDolu])</f>
        <v/>
      </c>
    </row>
    <row r="8">
      <c r="A8" s="7" t="inlineStr">
        <is>
          <t>H03</t>
        </is>
      </c>
      <c r="B8" s="7" t="inlineStr">
        <is>
          <t>Toplam sağım lt</t>
        </is>
      </c>
      <c r="C8" s="22">
        <f>SUM(tblGunluk[SagimLt_lt])</f>
        <v/>
      </c>
    </row>
    <row r="9">
      <c r="A9" s="7" t="inlineStr">
        <is>
          <t>H04</t>
        </is>
      </c>
      <c r="B9" s="7" t="inlineStr">
        <is>
          <t>Toplam yem kg</t>
        </is>
      </c>
      <c r="C9" s="22">
        <f>SUM(tblGunluk[YemKg_kg])</f>
        <v/>
      </c>
    </row>
    <row r="10">
      <c r="A10" s="7" t="inlineStr">
        <is>
          <t>H05</t>
        </is>
      </c>
      <c r="B10" s="7" t="inlineStr">
        <is>
          <t>Toplam sapma lt</t>
        </is>
      </c>
      <c r="C10" s="61">
        <f>SUM(tblGunluk[FormulSapma_lt])</f>
        <v/>
      </c>
    </row>
    <row r="11">
      <c r="A11" s="7" t="inlineStr">
        <is>
          <t>H06</t>
        </is>
      </c>
      <c r="B11" s="7" t="inlineStr">
        <is>
          <t>Ort hedef lt</t>
        </is>
      </c>
      <c r="C11" s="22">
        <f>IFERROR(AVERAGE(tblGunluk[FormulHedef_lt]),0)</f>
        <v/>
      </c>
    </row>
    <row r="12">
      <c r="A12" s="7" t="inlineStr">
        <is>
          <t>H07</t>
        </is>
      </c>
      <c r="B12" s="7" t="inlineStr">
        <is>
          <t>Ort sağım lt</t>
        </is>
      </c>
      <c r="C12" s="22">
        <f>IFERROR(AVERAGEIF(tblGunluk[SagimLt_lt],"&gt;0"),0)</f>
        <v/>
      </c>
    </row>
    <row r="13">
      <c r="A13" s="7" t="inlineStr">
        <is>
          <t>H08</t>
        </is>
      </c>
      <c r="B13" s="7" t="inlineStr">
        <is>
          <t>Sapma oranı</t>
        </is>
      </c>
      <c r="C13" s="61">
        <f>IFERROR(C10/MAX(C11,1),0)</f>
        <v/>
      </c>
    </row>
    <row r="14">
      <c r="A14" s="7" t="inlineStr">
        <is>
          <t>H09</t>
        </is>
      </c>
      <c r="B14" s="7" t="inlineStr">
        <is>
          <t>Net sağım</t>
        </is>
      </c>
      <c r="C14" s="22">
        <f>SUM(tblGunluk[SagimLt_lt])</f>
        <v/>
      </c>
    </row>
    <row r="15">
      <c r="A15" s="7" t="inlineStr">
        <is>
          <t>H10</t>
        </is>
      </c>
      <c r="B15" s="7" t="inlineStr">
        <is>
          <t>Aktif inek adet</t>
        </is>
      </c>
      <c r="C15" s="21">
        <f>COUNTIF(tblVarliklar[Aktif],"EVET")</f>
        <v/>
      </c>
    </row>
    <row r="16">
      <c r="A16" s="7" t="inlineStr">
        <is>
          <t>H11</t>
        </is>
      </c>
      <c r="B16" s="7" t="inlineStr">
        <is>
          <t>Toplam inek kart</t>
        </is>
      </c>
      <c r="C16" s="21">
        <f>COUNTA(tblVarliklar[VarlikId])</f>
        <v/>
      </c>
    </row>
    <row r="17">
      <c r="A17" s="7" t="inlineStr">
        <is>
          <t>H12</t>
        </is>
      </c>
      <c r="B17" s="7" t="inlineStr">
        <is>
          <t>Alarm adet</t>
        </is>
      </c>
      <c r="C17" s="21">
        <f>COUNTIF(tblGunluk[AlarmBayrak],"ALARM")</f>
        <v/>
      </c>
    </row>
    <row r="18">
      <c r="A18" s="7" t="inlineStr">
        <is>
          <t>H13</t>
        </is>
      </c>
      <c r="B18" s="7" t="inlineStr">
        <is>
          <t>Yetim kayıt</t>
        </is>
      </c>
      <c r="C18" s="21">
        <f>COUNTIF(tblGunluk[FormulYetim],"YETIM")</f>
        <v/>
      </c>
    </row>
    <row r="19">
      <c r="A19" s="7" t="inlineStr">
        <is>
          <t>H14</t>
        </is>
      </c>
      <c r="B19" s="7" t="inlineStr">
        <is>
          <t>Ortalama sağlık skor</t>
        </is>
      </c>
      <c r="C19" s="21">
        <f>IFERROR(AVERAGEIF(tblGunluk[SaglikSkor_puan],"&gt;0"),0)</f>
        <v/>
      </c>
    </row>
    <row r="20">
      <c r="A20" s="7" t="inlineStr">
        <is>
          <t>H15</t>
        </is>
      </c>
      <c r="B20" s="7" t="inlineStr">
        <is>
          <t>Min sağlık skor</t>
        </is>
      </c>
      <c r="C20" s="21">
        <f>IFERROR(MIN(tblGunluk[SaglikSkor_puan]),0)</f>
        <v/>
      </c>
    </row>
    <row r="21">
      <c r="A21" s="7" t="inlineStr">
        <is>
          <t>H16</t>
        </is>
      </c>
      <c r="B21" s="7" t="inlineStr">
        <is>
          <t>Sağım eşik altı adet</t>
        </is>
      </c>
      <c r="C21" s="22">
        <f>COUNTIFS(tblGunluk[SagimLt_lt],"&lt;"&amp;ssy_esikSagimLt,tblGunluk[FormulKayitDolu],"&gt;0")</f>
        <v/>
      </c>
    </row>
    <row r="22">
      <c r="A22" s="7" t="inlineStr">
        <is>
          <t>H17</t>
        </is>
      </c>
      <c r="B22" s="7" t="inlineStr">
        <is>
          <t>Buzağı yakın adet</t>
        </is>
      </c>
      <c r="C22" s="21">
        <f>COUNTIFS(tblGunluk[GebelikGun_gun],"&gt;="&amp;ssy_esikBuzagiGun,tblGunluk[FormulKayitDolu],"&gt;0")</f>
        <v/>
      </c>
    </row>
    <row r="23">
      <c r="A23" s="7" t="inlineStr">
        <is>
          <t>H18</t>
        </is>
      </c>
      <c r="B23" s="7" t="inlineStr">
        <is>
          <t>Düşük sağlık adet</t>
        </is>
      </c>
      <c r="C23" s="21">
        <f>COUNTIFS(tblGunluk[SaglikSkor_puan],"&lt;"&amp;ssy_esikSaglik,tblGunluk[FormulKayitDolu],"&gt;0")</f>
        <v/>
      </c>
    </row>
    <row r="24">
      <c r="A24" s="7" t="inlineStr">
        <is>
          <t>H19</t>
        </is>
      </c>
      <c r="B24" s="7" t="inlineStr">
        <is>
          <t>Günlük sağım ort</t>
        </is>
      </c>
      <c r="C24" s="22">
        <f>IFERROR(AVERAGEIF(tblGunluk[SagimLt_lt],"&gt;0"),0)</f>
        <v/>
      </c>
    </row>
    <row r="25">
      <c r="A25" s="7" t="inlineStr">
        <is>
          <t>H20</t>
        </is>
      </c>
      <c r="B25" s="7" t="inlineStr">
        <is>
          <t>Aylık süt proxy</t>
        </is>
      </c>
      <c r="C25" s="22">
        <f>C8*ssy_aylikCarpan</f>
        <v/>
      </c>
    </row>
    <row r="26">
      <c r="A26" s="7" t="inlineStr">
        <is>
          <t>H21</t>
        </is>
      </c>
      <c r="B26" s="7" t="inlineStr">
        <is>
          <t>Sağım sapma abs</t>
        </is>
      </c>
      <c r="C26" s="22">
        <f>IFERROR(ABS(C12-ssy_esikSagimLt),0)</f>
        <v/>
      </c>
    </row>
    <row r="27">
      <c r="A27" s="7" t="inlineStr">
        <is>
          <t>H22</t>
        </is>
      </c>
      <c r="B27" s="7" t="inlineStr">
        <is>
          <t>Sağım olay pay</t>
        </is>
      </c>
      <c r="C27" s="61">
        <f>IFERROR(COUNTIF(tblGunluk[OlayTuru],"SAGIM")/MAX(C7,1),0)</f>
        <v/>
      </c>
    </row>
    <row r="28">
      <c r="A28" s="7" t="inlineStr">
        <is>
          <t>H23</t>
        </is>
      </c>
      <c r="B28" s="7" t="inlineStr">
        <is>
          <t>Kızgınlık olay pay</t>
        </is>
      </c>
      <c r="C28" s="61">
        <f>IFERROR(COUNTIF(tblGunluk[OlayTuru],"KIZGINLIK")/MAX(C7,1),0)</f>
        <v/>
      </c>
    </row>
    <row r="29">
      <c r="A29" s="7" t="inlineStr">
        <is>
          <t>H24</t>
        </is>
      </c>
      <c r="B29" s="7" t="inlineStr">
        <is>
          <t>Tohum olay pay</t>
        </is>
      </c>
      <c r="C29" s="61">
        <f>IFERROR(COUNTIF(tblGunluk[OlayTuru],"TOHUM")/MAX(C7,1),0)</f>
        <v/>
      </c>
    </row>
    <row r="30">
      <c r="A30" s="7" t="inlineStr">
        <is>
          <t>H25</t>
        </is>
      </c>
      <c r="B30" s="7" t="inlineStr">
        <is>
          <t>Buzağılama olay pay</t>
        </is>
      </c>
      <c r="C30" s="61">
        <f>IFERROR(COUNTIF(tblGunluk[OlayTuru],"BUZAGILAMA")/MAX(C7,1),0)</f>
        <v/>
      </c>
    </row>
    <row r="31">
      <c r="A31" s="7" t="inlineStr">
        <is>
          <t>H26</t>
        </is>
      </c>
      <c r="B31" s="7" t="inlineStr">
        <is>
          <t>Temkinli senaryo</t>
        </is>
      </c>
      <c r="C31" s="22">
        <f>C8*ssy_senaryoTemkinli</f>
        <v/>
      </c>
    </row>
    <row r="32">
      <c r="A32" s="7" t="inlineStr">
        <is>
          <t>H27</t>
        </is>
      </c>
      <c r="B32" s="7" t="inlineStr">
        <is>
          <t>Baz senaryo</t>
        </is>
      </c>
      <c r="C32" s="22">
        <f>C8*ssy_senaryoBaz</f>
        <v/>
      </c>
    </row>
    <row r="33">
      <c r="A33" s="7" t="inlineStr">
        <is>
          <t>H28</t>
        </is>
      </c>
      <c r="B33" s="7" t="inlineStr">
        <is>
          <t>İyimser senaryo</t>
        </is>
      </c>
      <c r="C33" s="22">
        <f>C8*ssy_senaryoIyimser</f>
        <v/>
      </c>
    </row>
    <row r="34">
      <c r="A34" s="7" t="inlineStr">
        <is>
          <t>H29</t>
        </is>
      </c>
      <c r="B34" s="7" t="inlineStr">
        <is>
          <t>Senaryo farkı</t>
        </is>
      </c>
      <c r="C34" s="22">
        <f>C33-C31</f>
        <v/>
      </c>
    </row>
    <row r="35">
      <c r="A35" s="7" t="inlineStr">
        <is>
          <t>H30</t>
        </is>
      </c>
      <c r="B35" s="7" t="inlineStr">
        <is>
          <t>Tornado sağım etki</t>
        </is>
      </c>
      <c r="C35" s="22">
        <f>C8*ssy_tornadoOran</f>
        <v/>
      </c>
    </row>
    <row r="36">
      <c r="A36" s="7" t="inlineStr">
        <is>
          <t>H31</t>
        </is>
      </c>
      <c r="B36" s="7" t="inlineStr">
        <is>
          <t>Tornado yem etki</t>
        </is>
      </c>
      <c r="C36" s="22">
        <f>C9*ssy_tornadoOran</f>
        <v/>
      </c>
    </row>
    <row r="37">
      <c r="A37" s="7" t="inlineStr">
        <is>
          <t>H32</t>
        </is>
      </c>
      <c r="B37" s="7" t="inlineStr">
        <is>
          <t>Tornado sapma etki</t>
        </is>
      </c>
      <c r="C37" s="22">
        <f>ABS(C10)*ssy_tornadoOran</f>
        <v/>
      </c>
    </row>
    <row r="38">
      <c r="A38" s="7" t="inlineStr">
        <is>
          <t>H33</t>
        </is>
      </c>
      <c r="B38" s="7" t="inlineStr">
        <is>
          <t>Tornado zirve</t>
        </is>
      </c>
      <c r="C38" s="22">
        <f>MAX(C35,C36,C37)</f>
        <v/>
      </c>
    </row>
    <row r="39">
      <c r="A39" s="7" t="inlineStr">
        <is>
          <t>H34</t>
        </is>
      </c>
      <c r="B39" s="7" t="inlineStr">
        <is>
          <t>HHI proxy</t>
        </is>
      </c>
      <c r="C39" s="22">
        <f>IFERROR(C27^2+C28^2+C29^2+C30^2,0)</f>
        <v/>
      </c>
    </row>
    <row r="40">
      <c r="A40" s="7" t="inlineStr">
        <is>
          <t>H35</t>
        </is>
      </c>
      <c r="B40" s="7" t="inlineStr">
        <is>
          <t>Kalite skor</t>
        </is>
      </c>
      <c r="C40" s="21">
        <f>MAX(0,ssy_kaliteTaban-C21*ssy_kaliteCeza-C22*ssy_kaliteSapma-C23*ssy_kaliteSapma)</f>
        <v/>
      </c>
    </row>
    <row r="41">
      <c r="A41" s="7" t="inlineStr">
        <is>
          <t>H36</t>
        </is>
      </c>
      <c r="B41" s="7" t="inlineStr">
        <is>
          <t>Tahmin aralık</t>
        </is>
      </c>
      <c r="C41" s="22">
        <f>C32*ssy_tahminCarpan</f>
        <v/>
      </c>
    </row>
    <row r="42">
      <c r="A42" s="7" t="inlineStr">
        <is>
          <t>H37</t>
        </is>
      </c>
      <c r="B42" s="7" t="inlineStr">
        <is>
          <t>P90 sağım</t>
        </is>
      </c>
      <c r="C42" s="22">
        <f>IFERROR(PERCENTILE(tblGunluk[SagimLt_lt],ssy_percentileOran),C8*ssy_yuzdelikOran)</f>
        <v/>
      </c>
    </row>
    <row r="43">
      <c r="A43" s="7" t="inlineStr">
        <is>
          <t>H38</t>
        </is>
      </c>
      <c r="B43" s="7" t="inlineStr">
        <is>
          <t>Senaryo motor metin</t>
        </is>
      </c>
      <c r="C43" s="7">
        <f>_xlfn.TEXTJOIN("|",TRUE,"T",TEXT(C31,"0"),"B",TEXT(C32,"0"),"I",TEXT(C33,"0"))</f>
        <v/>
      </c>
    </row>
    <row r="44">
      <c r="A44" s="7" t="inlineStr">
        <is>
          <t>H39</t>
        </is>
      </c>
      <c r="B44" s="7" t="inlineStr">
        <is>
          <t>Sezonsal 12 ay süt</t>
        </is>
      </c>
      <c r="C44" s="22">
        <f>DONEM_ANALIZ!B22</f>
        <v/>
      </c>
    </row>
    <row r="45">
      <c r="A45" s="7" t="inlineStr">
        <is>
          <t>H40</t>
        </is>
      </c>
      <c r="B45" s="7" t="inlineStr">
        <is>
          <t>Sezonsal 12 ay ort</t>
        </is>
      </c>
      <c r="C45" s="21">
        <f>DONEM_ANALIZ!B24</f>
        <v/>
      </c>
    </row>
    <row r="46">
      <c r="A46" s="7" t="inlineStr">
        <is>
          <t>H41</t>
        </is>
      </c>
      <c r="B46" s="7" t="inlineStr">
        <is>
          <t>Kritik sinyal</t>
        </is>
      </c>
      <c r="C46" s="21">
        <f>IF(OR(C21&gt;0,C23&gt;0,C19&lt;ssy_esikSaglik,C12&gt;ssy_azamiSagimLt),1,0)</f>
        <v/>
      </c>
    </row>
    <row r="47">
      <c r="A47" s="7" t="inlineStr">
        <is>
          <t>H42</t>
        </is>
      </c>
      <c r="B47" s="7" t="inlineStr">
        <is>
          <t>Karar kodu ham</t>
        </is>
      </c>
      <c r="C47" s="21">
        <f>IF(C7=0,0,IF(C46=1,3,IF(OR(C21&gt;0,C12&lt;ssy_esikSagimLt,C12&gt;ssy_azamiSagimLt),2,1)))</f>
        <v/>
      </c>
    </row>
    <row r="48">
      <c r="A48" s="7" t="inlineStr">
        <is>
          <t>H43</t>
        </is>
      </c>
      <c r="B48" s="7" t="inlineStr">
        <is>
          <t>Sağım çıpa</t>
        </is>
      </c>
      <c r="C48" s="22">
        <f>C12</f>
        <v/>
      </c>
    </row>
    <row r="49">
      <c r="A49" s="7" t="inlineStr">
        <is>
          <t>H44</t>
        </is>
      </c>
      <c r="B49" s="7" t="inlineStr">
        <is>
          <t>Alarm listesi özet adet</t>
        </is>
      </c>
      <c r="C49" s="7">
        <f>C17</f>
        <v/>
      </c>
    </row>
    <row r="50">
      <c r="A50" s="7" t="inlineStr">
        <is>
          <t>H45</t>
        </is>
      </c>
      <c r="B50" s="7" t="inlineStr">
        <is>
          <t>Varlık sağlık ort</t>
        </is>
      </c>
      <c r="C50" s="21">
        <f>IFERROR(AVERAGEIF(tblVarliklar[SaglikSkor],"&gt;0"),0)</f>
        <v/>
      </c>
    </row>
    <row r="51">
      <c r="A51" s="7" t="inlineStr">
        <is>
          <t>H46</t>
        </is>
      </c>
      <c r="B51" s="7" t="inlineStr">
        <is>
          <t>Tahmin FORECAST</t>
        </is>
      </c>
      <c r="C51" s="22">
        <f>IFERROR(FORECAST(C7+1,tblGunluk[SagimLt_lt],tblGunluk[FormulKayitDolu]),C41)</f>
        <v/>
      </c>
    </row>
    <row r="52">
      <c r="A52" s="7" t="inlineStr">
        <is>
          <t>H47</t>
        </is>
      </c>
      <c r="B52" s="7" t="inlineStr">
        <is>
          <t>Olay kırılım özet</t>
        </is>
      </c>
      <c r="C52" s="7">
        <f>_xlfn.TEXTJOIN("|",TRUE,"S",TEXT(C27,"0%"),"K",TEXT(C28,"0%"),"T",TEXT(C29,"0%"),"B",TEXT(C30,"0%"))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332"/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6" customHeight="1">
      <c r="A1" s="1" t="inlineStr">
        <is>
          <t>ALARMLAR — Süt Sürüsü Yönetim Komutası</t>
        </is>
      </c>
    </row>
    <row r="3" ht="20" customHeight="1">
      <c r="A3" s="10" t="inlineStr">
        <is>
          <t>Alarm listesi — varlık + eşik + süre (S05)</t>
        </is>
      </c>
    </row>
    <row r="5">
      <c r="A5" s="20" t="inlineStr">
        <is>
          <t>Varlık</t>
        </is>
      </c>
      <c r="B5" s="20" t="inlineStr">
        <is>
          <t>Alarm</t>
        </is>
      </c>
      <c r="C5" s="20" t="inlineStr">
        <is>
          <t>Eşik</t>
        </is>
      </c>
      <c r="D5" s="20" t="inlineStr">
        <is>
          <t>Süre / Tarih</t>
        </is>
      </c>
      <c r="E5" s="20" t="inlineStr">
        <is>
          <t>Ort Sağım lt</t>
        </is>
      </c>
      <c r="F5" s="20" t="inlineStr">
        <is>
          <t>Sağlık Skor</t>
        </is>
      </c>
    </row>
    <row r="6">
      <c r="A6" s="7" t="inlineStr">
        <is>
          <t>INK-00001</t>
        </is>
      </c>
      <c r="B6" s="7">
        <f>IF(OR(COUNTIFS(tblGunluk[VarlikId],A6,tblGunluk[AlarmBayrak],"ALARM")&gt;0,IFERROR(SUMIF(tblVarliklar[VarlikId],A6,tblVarliklar[SaglikSkor]),100)&lt;ssy_esikSaglik),"ALARM","YOK")</f>
        <v/>
      </c>
      <c r="C6" s="22">
        <f>IFERROR(ABS(E6-ssy_esikSagimLt),0)</f>
        <v/>
      </c>
      <c r="D6" s="63">
        <f>raporTarihi</f>
        <v/>
      </c>
      <c r="E6" s="22">
        <f>IFERROR(SUMIF(tblVarliklar[VarlikId],A6,tblVarliklar[OrtSagimLt]),0)</f>
        <v/>
      </c>
      <c r="F6" s="21">
        <f>IFERROR(SUMIF(tblVarliklar[VarlikId],A6,tblVarliklar[SaglikSkor]),0)</f>
        <v/>
      </c>
    </row>
    <row r="7">
      <c r="A7" s="7" t="inlineStr">
        <is>
          <t>INK-00002</t>
        </is>
      </c>
      <c r="B7" s="7">
        <f>IF(OR(COUNTIFS(tblGunluk[VarlikId],A7,tblGunluk[AlarmBayrak],"ALARM")&gt;0,IFERROR(SUMIF(tblVarliklar[VarlikId],A7,tblVarliklar[SaglikSkor]),100)&lt;ssy_esikSaglik),"ALARM","YOK")</f>
        <v/>
      </c>
      <c r="C7" s="22">
        <f>IFERROR(ABS(E7-ssy_esikSagimLt),0)</f>
        <v/>
      </c>
      <c r="D7" s="63">
        <f>raporTarihi</f>
        <v/>
      </c>
      <c r="E7" s="22">
        <f>IFERROR(SUMIF(tblVarliklar[VarlikId],A7,tblVarliklar[OrtSagimLt]),0)</f>
        <v/>
      </c>
      <c r="F7" s="21">
        <f>IFERROR(SUMIF(tblVarliklar[VarlikId],A7,tblVarliklar[SaglikSkor]),0)</f>
        <v/>
      </c>
    </row>
    <row r="8">
      <c r="A8" s="7" t="inlineStr">
        <is>
          <t>INK-00003</t>
        </is>
      </c>
      <c r="B8" s="7">
        <f>IF(OR(COUNTIFS(tblGunluk[VarlikId],A8,tblGunluk[AlarmBayrak],"ALARM")&gt;0,IFERROR(SUMIF(tblVarliklar[VarlikId],A8,tblVarliklar[SaglikSkor]),100)&lt;ssy_esikSaglik),"ALARM","YOK")</f>
        <v/>
      </c>
      <c r="C8" s="22">
        <f>IFERROR(ABS(E8-ssy_esikSagimLt),0)</f>
        <v/>
      </c>
      <c r="D8" s="63">
        <f>raporTarihi</f>
        <v/>
      </c>
      <c r="E8" s="22">
        <f>IFERROR(SUMIF(tblVarliklar[VarlikId],A8,tblVarliklar[OrtSagimLt]),0)</f>
        <v/>
      </c>
      <c r="F8" s="21">
        <f>IFERROR(SUMIF(tblVarliklar[VarlikId],A8,tblVarliklar[SaglikSkor]),0)</f>
        <v/>
      </c>
    </row>
    <row r="9">
      <c r="A9" s="7" t="inlineStr">
        <is>
          <t>INK-00004</t>
        </is>
      </c>
      <c r="B9" s="7">
        <f>IF(OR(COUNTIFS(tblGunluk[VarlikId],A9,tblGunluk[AlarmBayrak],"ALARM")&gt;0,IFERROR(SUMIF(tblVarliklar[VarlikId],A9,tblVarliklar[SaglikSkor]),100)&lt;ssy_esikSaglik),"ALARM","YOK")</f>
        <v/>
      </c>
      <c r="C9" s="22">
        <f>IFERROR(ABS(E9-ssy_esikSagimLt),0)</f>
        <v/>
      </c>
      <c r="D9" s="63">
        <f>raporTarihi</f>
        <v/>
      </c>
      <c r="E9" s="22">
        <f>IFERROR(SUMIF(tblVarliklar[VarlikId],A9,tblVarliklar[OrtSagimLt]),0)</f>
        <v/>
      </c>
      <c r="F9" s="21">
        <f>IFERROR(SUMIF(tblVarliklar[VarlikId],A9,tblVarliklar[SaglikSkor]),0)</f>
        <v/>
      </c>
    </row>
    <row r="10">
      <c r="A10" s="7" t="inlineStr">
        <is>
          <t>INK-00005</t>
        </is>
      </c>
      <c r="B10" s="7">
        <f>IF(OR(COUNTIFS(tblGunluk[VarlikId],A10,tblGunluk[AlarmBayrak],"ALARM")&gt;0,IFERROR(SUMIF(tblVarliklar[VarlikId],A10,tblVarliklar[SaglikSkor]),100)&lt;ssy_esikSaglik),"ALARM","YOK")</f>
        <v/>
      </c>
      <c r="C10" s="22">
        <f>IFERROR(ABS(E10-ssy_esikSagimLt),0)</f>
        <v/>
      </c>
      <c r="D10" s="63">
        <f>raporTarihi</f>
        <v/>
      </c>
      <c r="E10" s="22">
        <f>IFERROR(SUMIF(tblVarliklar[VarlikId],A10,tblVarliklar[OrtSagimLt]),0)</f>
        <v/>
      </c>
      <c r="F10" s="21">
        <f>IFERROR(SUMIF(tblVarliklar[VarlikId],A10,tblVarliklar[SaglikSkor]),0)</f>
        <v/>
      </c>
    </row>
    <row r="11">
      <c r="A11" s="7" t="inlineStr">
        <is>
          <t>INK-00006</t>
        </is>
      </c>
      <c r="B11" s="7">
        <f>IF(OR(COUNTIFS(tblGunluk[VarlikId],A11,tblGunluk[AlarmBayrak],"ALARM")&gt;0,IFERROR(SUMIF(tblVarliklar[VarlikId],A11,tblVarliklar[SaglikSkor]),100)&lt;ssy_esikSaglik),"ALARM","YOK")</f>
        <v/>
      </c>
      <c r="C11" s="22">
        <f>IFERROR(ABS(E11-ssy_esikSagimLt),0)</f>
        <v/>
      </c>
      <c r="D11" s="63">
        <f>raporTarihi</f>
        <v/>
      </c>
      <c r="E11" s="22">
        <f>IFERROR(SUMIF(tblVarliklar[VarlikId],A11,tblVarliklar[OrtSagimLt]),0)</f>
        <v/>
      </c>
      <c r="F11" s="21">
        <f>IFERROR(SUMIF(tblVarliklar[VarlikId],A11,tblVarliklar[SaglikSkor]),0)</f>
        <v/>
      </c>
    </row>
    <row r="12">
      <c r="A12" s="7" t="inlineStr">
        <is>
          <t>INK-00007</t>
        </is>
      </c>
      <c r="B12" s="7">
        <f>IF(OR(COUNTIFS(tblGunluk[VarlikId],A12,tblGunluk[AlarmBayrak],"ALARM")&gt;0,IFERROR(SUMIF(tblVarliklar[VarlikId],A12,tblVarliklar[SaglikSkor]),100)&lt;ssy_esikSaglik),"ALARM","YOK")</f>
        <v/>
      </c>
      <c r="C12" s="22">
        <f>IFERROR(ABS(E12-ssy_esikSagimLt),0)</f>
        <v/>
      </c>
      <c r="D12" s="63">
        <f>raporTarihi</f>
        <v/>
      </c>
      <c r="E12" s="22">
        <f>IFERROR(SUMIF(tblVarliklar[VarlikId],A12,tblVarliklar[OrtSagimLt]),0)</f>
        <v/>
      </c>
      <c r="F12" s="21">
        <f>IFERROR(SUMIF(tblVarliklar[VarlikId],A12,tblVarliklar[SaglikSkor]),0)</f>
        <v/>
      </c>
    </row>
    <row r="13">
      <c r="A13" s="7" t="inlineStr">
        <is>
          <t>INK-00008</t>
        </is>
      </c>
      <c r="B13" s="7">
        <f>IF(OR(COUNTIFS(tblGunluk[VarlikId],A13,tblGunluk[AlarmBayrak],"ALARM")&gt;0,IFERROR(SUMIF(tblVarliklar[VarlikId],A13,tblVarliklar[SaglikSkor]),100)&lt;ssy_esikSaglik),"ALARM","YOK")</f>
        <v/>
      </c>
      <c r="C13" s="22">
        <f>IFERROR(ABS(E13-ssy_esikSagimLt),0)</f>
        <v/>
      </c>
      <c r="D13" s="63">
        <f>raporTarihi</f>
        <v/>
      </c>
      <c r="E13" s="22">
        <f>IFERROR(SUMIF(tblVarliklar[VarlikId],A13,tblVarliklar[OrtSagimLt]),0)</f>
        <v/>
      </c>
      <c r="F13" s="21">
        <f>IFERROR(SUMIF(tblVarliklar[VarlikId],A13,tblVarliklar[SaglikSkor]),0)</f>
        <v/>
      </c>
    </row>
    <row r="16">
      <c r="A16" s="13" t="inlineStr">
        <is>
          <t>Alarm Özeti</t>
        </is>
      </c>
      <c r="B16" s="8">
        <f>ssy_alarmListesi</f>
        <v/>
      </c>
    </row>
    <row r="18">
      <c r="A18" s="13" t="inlineStr">
        <is>
          <t>Toplam Alarm Satır</t>
        </is>
      </c>
      <c r="B18" s="21">
        <f>COUNTIF(B6:B13,"ALARM")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16:F16"/>
    <mergeCell ref="A3:L3"/>
    <mergeCell ref="A1:N1"/>
  </mergeCells>
  <conditionalFormatting sqref="B6:B13">
    <cfRule type="cellIs" priority="1" operator="equal" dxfId="1">
      <formula>"ALARM"</formula>
    </cfRule>
    <cfRule type="cellIs" priority="2" operator="equal" dxfId="4">
      <formula>"YOK"</formula>
    </cfRule>
  </conditionalFormatting>
  <conditionalFormatting sqref="E6">
    <cfRule type="cellIs" priority="3" operator="lessThan" dxfId="0">
      <formula>ssy_esikSagimLt</formula>
    </cfRule>
  </conditionalFormatting>
  <conditionalFormatting sqref="F6">
    <cfRule type="cellIs" priority="4" operator="lessThan" dxfId="2">
      <formula>ssy_esikSaglik</formula>
    </cfRule>
  </conditionalFormatting>
  <conditionalFormatting sqref="E7">
    <cfRule type="cellIs" priority="5" operator="lessThan" dxfId="0">
      <formula>ssy_esikSagimLt</formula>
    </cfRule>
  </conditionalFormatting>
  <conditionalFormatting sqref="F7">
    <cfRule type="cellIs" priority="6" operator="lessThan" dxfId="2">
      <formula>ssy_esikSaglik</formula>
    </cfRule>
  </conditionalFormatting>
  <conditionalFormatting sqref="E8">
    <cfRule type="cellIs" priority="7" operator="lessThan" dxfId="0">
      <formula>ssy_esikSagimLt</formula>
    </cfRule>
  </conditionalFormatting>
  <conditionalFormatting sqref="F8">
    <cfRule type="cellIs" priority="8" operator="lessThan" dxfId="2">
      <formula>ssy_esikSaglik</formula>
    </cfRule>
  </conditionalFormatting>
  <conditionalFormatting sqref="E9">
    <cfRule type="cellIs" priority="9" operator="lessThan" dxfId="0">
      <formula>ssy_esikSagimLt</formula>
    </cfRule>
  </conditionalFormatting>
  <conditionalFormatting sqref="F9">
    <cfRule type="cellIs" priority="10" operator="lessThan" dxfId="2">
      <formula>ssy_esikSaglik</formula>
    </cfRule>
  </conditionalFormatting>
  <conditionalFormatting sqref="E10">
    <cfRule type="cellIs" priority="11" operator="lessThan" dxfId="0">
      <formula>ssy_esikSagimLt</formula>
    </cfRule>
  </conditionalFormatting>
  <conditionalFormatting sqref="F10">
    <cfRule type="cellIs" priority="12" operator="lessThan" dxfId="2">
      <formula>ssy_esikSaglik</formula>
    </cfRule>
  </conditionalFormatting>
  <conditionalFormatting sqref="E11">
    <cfRule type="cellIs" priority="13" operator="lessThan" dxfId="0">
      <formula>ssy_esikSagimLt</formula>
    </cfRule>
  </conditionalFormatting>
  <conditionalFormatting sqref="F11">
    <cfRule type="cellIs" priority="14" operator="lessThan" dxfId="2">
      <formula>ssy_esikSaglik</formula>
    </cfRule>
  </conditionalFormatting>
  <conditionalFormatting sqref="E12">
    <cfRule type="cellIs" priority="15" operator="lessThan" dxfId="0">
      <formula>ssy_esikSagimLt</formula>
    </cfRule>
  </conditionalFormatting>
  <conditionalFormatting sqref="F12">
    <cfRule type="cellIs" priority="16" operator="lessThan" dxfId="2">
      <formula>ssy_esikSaglik</formula>
    </cfRule>
  </conditionalFormatting>
  <conditionalFormatting sqref="E13">
    <cfRule type="cellIs" priority="17" operator="lessThan" dxfId="0">
      <formula>ssy_esikSagimLt</formula>
    </cfRule>
  </conditionalFormatting>
  <conditionalFormatting sqref="F13">
    <cfRule type="cellIs" priority="18" operator="lessThan" dxfId="2">
      <formula>ssy_esikSaglik</formula>
    </cfRule>
  </conditionalFormatting>
  <dataValidations count="8">
    <dataValidation sqref="A6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7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8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9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0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1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2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3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18" customWidth="1" min="3" max="3"/>
  </cols>
  <sheetData>
    <row r="1" ht="26" customHeight="1">
      <c r="A1" s="1" t="inlineStr">
        <is>
          <t>RAPOR — Süt Sürüsü Yönetim Komutası</t>
        </is>
      </c>
    </row>
    <row r="3" ht="20" customHeight="1">
      <c r="A3" s="10" t="inlineStr">
        <is>
          <t>Dönemsel yönetim raporu — yazdırılabilir kanıt</t>
        </is>
      </c>
    </row>
    <row r="5">
      <c r="A5" s="13" t="inlineStr">
        <is>
          <t>Ürün</t>
        </is>
      </c>
      <c r="B5" s="7" t="inlineStr">
        <is>
          <t>Süt Sürüsü Yönetim Komutası</t>
        </is>
      </c>
    </row>
    <row r="6">
      <c r="A6" s="13" t="inlineStr">
        <is>
          <t>Sürüm</t>
        </is>
      </c>
      <c r="B6" s="7" t="inlineStr">
        <is>
          <t>1.0.0</t>
        </is>
      </c>
    </row>
    <row r="7">
      <c r="A7" s="13" t="inlineStr">
        <is>
          <t>Rapor Tarihi</t>
        </is>
      </c>
      <c r="B7" s="63">
        <f>raporTarihi</f>
        <v/>
      </c>
    </row>
    <row r="8">
      <c r="A8" s="13" t="inlineStr">
        <is>
          <t>Firma</t>
        </is>
      </c>
      <c r="B8" s="7">
        <f>ssy_firmaUnvan</f>
        <v/>
      </c>
    </row>
    <row r="10">
      <c r="A10" s="31" t="inlineStr">
        <is>
          <t>KARAR</t>
        </is>
      </c>
      <c r="B10" s="32">
        <f>ssy_kararKapi</f>
        <v/>
      </c>
    </row>
    <row r="11">
      <c r="A11" s="7" t="inlineStr">
        <is>
          <t>Ort Sağım lt</t>
        </is>
      </c>
      <c r="B11" s="22">
        <f>ssy_gunlukSagimOrt</f>
        <v/>
      </c>
    </row>
    <row r="12">
      <c r="A12" s="7" t="inlineStr">
        <is>
          <t>Toplam Sağım lt</t>
        </is>
      </c>
      <c r="B12" s="22">
        <f>ssy_sagimToplam</f>
        <v/>
      </c>
    </row>
    <row r="13">
      <c r="A13" s="7" t="inlineStr">
        <is>
          <t>Toplam Yem kg</t>
        </is>
      </c>
      <c r="B13" s="22">
        <f>ssy_yemToplam</f>
        <v/>
      </c>
    </row>
    <row r="14">
      <c r="A14" s="7" t="inlineStr">
        <is>
          <t>Sağlık Skor</t>
        </is>
      </c>
      <c r="B14" s="21">
        <f>ssy_saglikSkor</f>
        <v/>
      </c>
    </row>
    <row r="15">
      <c r="A15" s="7" t="inlineStr">
        <is>
          <t>Alarm Adet</t>
        </is>
      </c>
      <c r="B15" s="21">
        <f>ssy_alarmAdet</f>
        <v/>
      </c>
    </row>
    <row r="17">
      <c r="A17" s="20" t="inlineStr">
        <is>
          <t>Kalem</t>
        </is>
      </c>
      <c r="B17" s="20" t="inlineStr">
        <is>
          <t>Değer</t>
        </is>
      </c>
    </row>
    <row r="18">
      <c r="A18" s="7" t="inlineStr">
        <is>
          <t>Sağım sapma</t>
        </is>
      </c>
      <c r="B18" s="22">
        <f>ssy_sagimSapma</f>
        <v/>
      </c>
    </row>
    <row r="19">
      <c r="A19" s="7" t="inlineStr">
        <is>
          <t>Sapma oranı</t>
        </is>
      </c>
      <c r="B19" s="61">
        <f>ssy_sapmaOran</f>
        <v/>
      </c>
    </row>
    <row r="20">
      <c r="A20" s="7" t="inlineStr">
        <is>
          <t>Günlük sağım ort</t>
        </is>
      </c>
      <c r="B20" s="22">
        <f>ssy_gunlukSagimOrt</f>
        <v/>
      </c>
    </row>
    <row r="21">
      <c r="A21" s="7" t="inlineStr">
        <is>
          <t>Kalite skor</t>
        </is>
      </c>
      <c r="B21" s="21">
        <f>ssy_kaliteSkor</f>
        <v/>
      </c>
    </row>
    <row r="24">
      <c r="A24" s="23" t="inlineStr">
        <is>
          <t>Varsayımlar</t>
        </is>
      </c>
    </row>
    <row r="25">
      <c r="A25" s="8" t="inlineStr">
        <is>
          <t>Sağım sapması = günlük sağım − inek hedefi. Eşikler AYARLAR'dan gelir. Gebelik ≥ eşik günü buzağılama yakın alarmı üretir. Karar destek çıktısıdır; veteriner veya mali tavsiye değildir.</t>
        </is>
      </c>
    </row>
    <row r="26"/>
    <row r="28">
      <c r="A28" s="7" t="inlineStr">
        <is>
          <t>İmza — Sürü Yöneticisi</t>
        </is>
      </c>
      <c r="C28" s="7" t="inlineStr">
        <is>
          <t>________________</t>
        </is>
      </c>
    </row>
    <row r="29">
      <c r="A29" s="7" t="inlineStr">
        <is>
          <t>İmza — Çiftlik Sahibi / Denetçi</t>
        </is>
      </c>
      <c r="C29" s="7" t="inlineStr">
        <is>
          <t>________________</t>
        </is>
      </c>
    </row>
    <row r="31">
      <c r="A31" s="9" t="inlineStr">
        <is>
          <t>SHA notu: sevk paketinde SHA-256 yer alır | 1.0.0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5:F26"/>
    <mergeCell ref="A1:L1"/>
    <mergeCell ref="A3:J3"/>
  </mergeCells>
  <conditionalFormatting sqref="B10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11">
    <cfRule type="cellIs" priority="5" operator="greaterThan" dxfId="3">
      <formula>0</formula>
    </cfRule>
  </conditionalFormatting>
  <conditionalFormatting sqref="B12">
    <cfRule type="cellIs" priority="6" operator="greaterThan" dxfId="3">
      <formula>0</formula>
    </cfRule>
  </conditionalFormatting>
  <conditionalFormatting sqref="B13">
    <cfRule type="cellIs" priority="7" operator="greaterThan" dxfId="3">
      <formula>0</formula>
    </cfRule>
  </conditionalFormatting>
  <conditionalFormatting sqref="B14">
    <cfRule type="cellIs" priority="8" operator="greaterThan" dxfId="3">
      <formula>0</formula>
    </cfRule>
  </conditionalFormatting>
  <conditionalFormatting sqref="B15">
    <cfRule type="cellIs" priority="9" operator="greaterThan" dxfId="3">
      <formula>0</formula>
    </cfRule>
  </conditionalFormatting>
  <conditionalFormatting sqref="B16">
    <cfRule type="cellIs" priority="10" operator="greaterThan" dxfId="3">
      <formula>0</formula>
    </cfRule>
  </conditionalFormatting>
  <conditionalFormatting sqref="B17">
    <cfRule type="cellIs" priority="11" operator="greaterThan" dxfId="3">
      <formula>0</formula>
    </cfRule>
  </conditionalFormatting>
  <conditionalFormatting sqref="B18">
    <cfRule type="cellIs" priority="12" operator="greaterThan" dxfId="3">
      <formula>0</formula>
    </cfRule>
  </conditionalFormatting>
  <conditionalFormatting sqref="B19">
    <cfRule type="cellIs" priority="13" operator="greaterThan" dxfId="3">
      <formula>0</formula>
    </cfRule>
  </conditionalFormatting>
  <conditionalFormatting sqref="B20">
    <cfRule type="cellIs" priority="14" operator="greaterThan" dxfId="3">
      <formula>0</formula>
    </cfRule>
  </conditionalFormatting>
  <conditionalFormatting sqref="B21">
    <cfRule type="cellIs" priority="15" operator="greaterThan" dxfId="3">
      <formula>0</formula>
    </cfRule>
  </conditionalFormatting>
  <conditionalFormatting sqref="B22">
    <cfRule type="cellIs" priority="16" operator="greaterThan" dxfId="3">
      <formula>0</formula>
    </cfRule>
  </conditionalFormatting>
  <dataValidations count="1">
    <dataValidation sqref="B8" showDropDown="0" showInputMessage="1" showErrorMessage="1" allowBlank="1" errorTitle="Firma" error="Geçersiz" promptTitle="Firma" prompt="Firma unvanı (AYARLAR'dan)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&amp;LSüt Sürüsü Yönetim Komutası | Rapor | 1.0.0&amp;CExcelArşiv&amp;RSayfa &amp;P / &amp;N</oddFooter>
    <evenHeader/>
    <evenFooter>&amp;LSüt Sürüsü Yönetim Komutası | Rapor | 1.0.0&amp;CExcelArşiv&amp;RSayfa &amp;P / &amp;N</evenFooter>
    <firstHeader/>
    <firstFooter/>
  </headerFooter>
</worksheet>
</file>

<file path=xl/worksheets/sheet11.xml><?xml version="1.0" encoding="utf-8"?>
<worksheet xmlns="http://schemas.openxmlformats.org/spreadsheetml/2006/main">
  <sheetPr>
    <tabColor rgb="001B4332"/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</cols>
  <sheetData>
    <row r="1" ht="26" customHeight="1">
      <c r="A1" s="1" t="inlineStr">
        <is>
          <t>KONTROLLER — Süt Sürüsü Yönetim Komutası</t>
        </is>
      </c>
    </row>
    <row r="3" ht="20" customHeight="1">
      <c r="A3" s="10" t="inlineStr">
        <is>
          <t>Canlı sağlık kontrolleri — formülle</t>
        </is>
      </c>
    </row>
    <row r="5">
      <c r="A5" s="20" t="inlineStr">
        <is>
          <t>Kontrol</t>
        </is>
      </c>
      <c r="B5" s="20" t="inlineStr">
        <is>
          <t>Sonuç</t>
        </is>
      </c>
      <c r="C5" s="20" t="inlineStr">
        <is>
          <t>Değer</t>
        </is>
      </c>
    </row>
    <row r="6">
      <c r="A6" s="7" t="inlineStr">
        <is>
          <t>Dolu kayıt &gt; 0</t>
        </is>
      </c>
      <c r="B6" s="7">
        <f>IF(ssy_doluKayit&gt;0,"GEÇTİ","KALDI")</f>
        <v/>
      </c>
      <c r="C6" s="7">
        <f>ssy_doluKayit</f>
        <v/>
      </c>
    </row>
    <row r="7">
      <c r="A7" s="7" t="inlineStr">
        <is>
          <t>Yetim kayıt = 0</t>
        </is>
      </c>
      <c r="B7" s="7">
        <f>IF(ssy_yetimAdet=0,"GEÇTİ","UYARI")</f>
        <v/>
      </c>
      <c r="C7" s="7">
        <f>ssy_yetimAdet</f>
        <v/>
      </c>
    </row>
    <row r="8">
      <c r="A8" s="7" t="inlineStr">
        <is>
          <t>Sağım hesaplı</t>
        </is>
      </c>
      <c r="B8" s="7">
        <f>IF(ssy_sagimToplam&gt;=0,"GEÇTİ","KALDI")</f>
        <v/>
      </c>
      <c r="C8" s="7">
        <f>ssy_sagimToplam</f>
        <v/>
      </c>
    </row>
    <row r="9">
      <c r="A9" s="7" t="inlineStr">
        <is>
          <t>Sağlık skor formül</t>
        </is>
      </c>
      <c r="B9" s="7">
        <f>IF(ssy_saglikSkor&gt;=0,"GEÇTİ","KALDI")</f>
        <v/>
      </c>
      <c r="C9" s="7">
        <f>ssy_saglikSkor</f>
        <v/>
      </c>
    </row>
    <row r="10">
      <c r="A10" s="7" t="inlineStr">
        <is>
          <t>Alarm listesi</t>
        </is>
      </c>
      <c r="B10" s="7">
        <f>IF(ssy_alarmAdet&gt;=0,"GEÇTİ","KALDI")</f>
        <v/>
      </c>
      <c r="C10" s="7">
        <f>ssy_alarmAdet</f>
        <v/>
      </c>
    </row>
    <row r="11">
      <c r="A11" s="7" t="inlineStr">
        <is>
          <t>Karar dolu</t>
        </is>
      </c>
      <c r="B11" s="7">
        <f>IF(ssy_kararKapi&lt;&gt;"","GEÇTİ","KALDI")</f>
        <v/>
      </c>
      <c r="C11" s="7">
        <f>ssy_kararKapi</f>
        <v/>
      </c>
    </row>
    <row r="12">
      <c r="A12" s="7" t="inlineStr">
        <is>
          <t>12 ay sezonsal</t>
        </is>
      </c>
      <c r="B12" s="7">
        <f>IF(DONEM_ANALIZ!B22&gt;=0,"GEÇTİ","KALDI")</f>
        <v/>
      </c>
      <c r="C12" s="7">
        <f>DONEM_ANALIZ!B22</f>
        <v/>
      </c>
    </row>
    <row r="13">
      <c r="A13" s="7" t="inlineStr">
        <is>
          <t>Kalite skor</t>
        </is>
      </c>
      <c r="B13" s="7">
        <f>IF(ssy_kaliteSkor&gt;=0,"GEÇTİ","KALDI")</f>
        <v/>
      </c>
      <c r="C13" s="7">
        <f>ssy_kaliteSkor</f>
        <v/>
      </c>
    </row>
    <row r="14">
      <c r="A14" s="7" t="inlineStr">
        <is>
          <t>Tornado</t>
        </is>
      </c>
      <c r="B14" s="7">
        <f>IF(ssy_tornadoZirve&gt;=0,"GEÇTİ","KALDI")</f>
        <v/>
      </c>
      <c r="C14" s="7">
        <f>ssy_tornadoZirve</f>
        <v/>
      </c>
    </row>
    <row r="15">
      <c r="A15" s="7" t="inlineStr">
        <is>
          <t>P90</t>
        </is>
      </c>
      <c r="B15" s="7">
        <f>IF(ssy_yuzdelikP90&gt;=0,"GEÇTİ","KALDI")</f>
        <v/>
      </c>
      <c r="C15" s="7">
        <f>ssy_yuzdelikP90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B6:B15">
    <cfRule type="cellIs" priority="1" operator="equal" dxfId="4">
      <formula>"GEÇTİ"</formula>
    </cfRule>
    <cfRule type="cellIs" priority="2" operator="equal" dxfId="1">
      <formula>"KALDI"</formula>
    </cfRule>
    <cfRule type="cellIs" priority="3" operator="equal" dxfId="0">
      <formula>"UYARI"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B4332"/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ORNEK VERI — Süt Sürüsü Yönetim Komutası</t>
        </is>
      </c>
    </row>
    <row r="3" ht="20" customHeight="1">
      <c r="A3" s="10" t="inlineStr">
        <is>
          <t>Örnek günlük satırlar — kopyalanabilir referans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SagimLt_lt</t>
        </is>
      </c>
      <c r="E5" s="14" t="inlineStr">
        <is>
          <t>YemKg_kg</t>
        </is>
      </c>
      <c r="F5" s="14" t="inlineStr">
        <is>
          <t>KizginlikDurum</t>
        </is>
      </c>
      <c r="G5" s="14" t="inlineStr">
        <is>
          <t>GebelikGun_gun</t>
        </is>
      </c>
      <c r="H5" s="14" t="inlineStr">
        <is>
          <t>OlayTuru</t>
        </is>
      </c>
    </row>
    <row r="6">
      <c r="A6" s="7" t="inlineStr">
        <is>
          <t>SSY-00001</t>
        </is>
      </c>
      <c r="B6" s="7" t="inlineStr">
        <is>
          <t>INK-00001</t>
        </is>
      </c>
      <c r="C6" s="63" t="n">
        <v>46242</v>
      </c>
      <c r="D6" s="22" t="n">
        <v>24.6</v>
      </c>
      <c r="E6" s="22" t="n">
        <v>16.5</v>
      </c>
      <c r="F6" s="7" t="inlineStr">
        <is>
          <t>HAYIR</t>
        </is>
      </c>
      <c r="G6" s="21" t="n">
        <v>51</v>
      </c>
      <c r="H6" s="7" t="inlineStr">
        <is>
          <t>KIZGINLIK</t>
        </is>
      </c>
    </row>
    <row r="7">
      <c r="A7" s="7" t="inlineStr">
        <is>
          <t>SSY-00002</t>
        </is>
      </c>
      <c r="B7" s="7" t="inlineStr">
        <is>
          <t>INK-00002</t>
        </is>
      </c>
      <c r="C7" s="63" t="n">
        <v>46239</v>
      </c>
      <c r="D7" s="22" t="n">
        <v>21.8</v>
      </c>
      <c r="E7" s="22" t="n">
        <v>16.9</v>
      </c>
      <c r="F7" s="7" t="inlineStr">
        <is>
          <t>HAYIR</t>
        </is>
      </c>
      <c r="G7" s="21" t="n">
        <v>62</v>
      </c>
      <c r="H7" s="7" t="inlineStr">
        <is>
          <t>TOHUM</t>
        </is>
      </c>
    </row>
    <row r="8">
      <c r="A8" s="7" t="inlineStr">
        <is>
          <t>SSY-00003</t>
        </is>
      </c>
      <c r="B8" s="7" t="inlineStr">
        <is>
          <t>INK-00003</t>
        </is>
      </c>
      <c r="C8" s="63" t="n">
        <v>46236</v>
      </c>
      <c r="D8" s="22" t="n">
        <v>28.2</v>
      </c>
      <c r="E8" s="22" t="n">
        <v>18.6</v>
      </c>
      <c r="F8" s="7" t="inlineStr">
        <is>
          <t>HAYIR</t>
        </is>
      </c>
      <c r="G8" s="21" t="n">
        <v>73</v>
      </c>
      <c r="H8" s="7" t="inlineStr">
        <is>
          <t>GEBELIK</t>
        </is>
      </c>
    </row>
    <row r="9">
      <c r="A9" s="7" t="inlineStr">
        <is>
          <t>SSY-00004</t>
        </is>
      </c>
      <c r="B9" s="7" t="inlineStr">
        <is>
          <t>INK-00004</t>
        </is>
      </c>
      <c r="C9" s="63" t="n">
        <v>46233</v>
      </c>
      <c r="D9" s="22" t="n">
        <v>17.5</v>
      </c>
      <c r="E9" s="22" t="n">
        <v>17.8</v>
      </c>
      <c r="F9" s="7" t="inlineStr">
        <is>
          <t>HAYIR</t>
        </is>
      </c>
      <c r="G9" s="21" t="n">
        <v>84</v>
      </c>
      <c r="H9" s="7" t="inlineStr">
        <is>
          <t>BUZAGILAMA</t>
        </is>
      </c>
    </row>
    <row r="10">
      <c r="A10" s="7" t="inlineStr">
        <is>
          <t>SSY-00005</t>
        </is>
      </c>
      <c r="B10" s="7" t="inlineStr">
        <is>
          <t>INK-00005</t>
        </is>
      </c>
      <c r="C10" s="63" t="n">
        <v>46230</v>
      </c>
      <c r="D10" s="22" t="n">
        <v>22.1</v>
      </c>
      <c r="E10" s="22" t="n">
        <v>19.3</v>
      </c>
      <c r="F10" s="7" t="inlineStr">
        <is>
          <t>HAYIR</t>
        </is>
      </c>
      <c r="G10" s="21" t="n">
        <v>95</v>
      </c>
      <c r="H10" s="7" t="inlineStr">
        <is>
          <t>DIGER</t>
        </is>
      </c>
    </row>
    <row r="11">
      <c r="A11" s="7" t="inlineStr">
        <is>
          <t>SSY-00006</t>
        </is>
      </c>
      <c r="B11" s="7" t="inlineStr">
        <is>
          <t>INK-00006</t>
        </is>
      </c>
      <c r="C11" s="63" t="n">
        <v>46227</v>
      </c>
      <c r="D11" s="22" t="n">
        <v>22</v>
      </c>
      <c r="E11" s="22" t="n">
        <v>15.3</v>
      </c>
      <c r="F11" s="7" t="inlineStr">
        <is>
          <t>HAYIR</t>
        </is>
      </c>
      <c r="G11" s="21" t="n">
        <v>106</v>
      </c>
      <c r="H11" s="7" t="inlineStr">
        <is>
          <t>SAGIM</t>
        </is>
      </c>
    </row>
    <row r="12">
      <c r="A12" s="7" t="inlineStr">
        <is>
          <t>SSY-00007</t>
        </is>
      </c>
      <c r="B12" s="7" t="inlineStr">
        <is>
          <t>INK-00007</t>
        </is>
      </c>
      <c r="C12" s="63" t="n">
        <v>46224</v>
      </c>
      <c r="D12" s="22" t="n">
        <v>29.1</v>
      </c>
      <c r="E12" s="22" t="n">
        <v>17.2</v>
      </c>
      <c r="F12" s="7" t="inlineStr">
        <is>
          <t>EVET</t>
        </is>
      </c>
      <c r="G12" s="21" t="n">
        <v>117</v>
      </c>
      <c r="H12" s="7" t="inlineStr">
        <is>
          <t>KIZGINLIK</t>
        </is>
      </c>
    </row>
    <row r="13">
      <c r="A13" s="7" t="inlineStr">
        <is>
          <t>SSY-00008</t>
        </is>
      </c>
      <c r="B13" s="7" t="inlineStr">
        <is>
          <t>INK-00008</t>
        </is>
      </c>
      <c r="C13" s="63" t="n">
        <v>46221</v>
      </c>
      <c r="D13" s="22" t="n">
        <v>18.8</v>
      </c>
      <c r="E13" s="22" t="n">
        <v>16.4</v>
      </c>
      <c r="F13" s="7" t="inlineStr">
        <is>
          <t>HAYIR</t>
        </is>
      </c>
      <c r="G13" s="21" t="n">
        <v>128</v>
      </c>
      <c r="H13" s="7" t="inlineStr">
        <is>
          <t>TOHUM</t>
        </is>
      </c>
    </row>
    <row r="14">
      <c r="A14" s="7" t="inlineStr">
        <is>
          <t>SSY-00009</t>
        </is>
      </c>
      <c r="B14" s="7" t="inlineStr">
        <is>
          <t>INK-00001</t>
        </is>
      </c>
      <c r="C14" s="63" t="n">
        <v>46218</v>
      </c>
      <c r="D14" s="22" t="n">
        <v>27.2</v>
      </c>
      <c r="E14" s="22" t="n">
        <v>18.5</v>
      </c>
      <c r="F14" s="7" t="inlineStr">
        <is>
          <t>HAYIR</t>
        </is>
      </c>
      <c r="G14" s="21" t="n">
        <v>0</v>
      </c>
      <c r="H14" s="7" t="inlineStr">
        <is>
          <t>GEBELIK</t>
        </is>
      </c>
    </row>
    <row r="15">
      <c r="A15" s="7" t="inlineStr">
        <is>
          <t>SSY-00010</t>
        </is>
      </c>
      <c r="B15" s="7" t="inlineStr">
        <is>
          <t>INK-00002</t>
        </is>
      </c>
      <c r="C15" s="63" t="n">
        <v>46215</v>
      </c>
      <c r="D15" s="22" t="n">
        <v>20.4</v>
      </c>
      <c r="E15" s="22" t="n">
        <v>18.3</v>
      </c>
      <c r="F15" s="7" t="inlineStr">
        <is>
          <t>HAYIR</t>
        </is>
      </c>
      <c r="G15" s="21" t="n">
        <v>150</v>
      </c>
      <c r="H15" s="7" t="inlineStr">
        <is>
          <t>BUZAGILAMA</t>
        </is>
      </c>
    </row>
    <row r="16">
      <c r="A16" s="7" t="inlineStr">
        <is>
          <t>SSY-00011</t>
        </is>
      </c>
      <c r="B16" s="7" t="inlineStr">
        <is>
          <t>INK-00003</t>
        </is>
      </c>
      <c r="C16" s="63" t="n">
        <v>46212</v>
      </c>
      <c r="D16" s="22" t="n">
        <v>26.4</v>
      </c>
      <c r="E16" s="22" t="n">
        <v>20</v>
      </c>
      <c r="F16" s="7" t="inlineStr">
        <is>
          <t>HAYIR</t>
        </is>
      </c>
      <c r="G16" s="21" t="n">
        <v>161</v>
      </c>
      <c r="H16" s="7" t="inlineStr">
        <is>
          <t>DIGER</t>
        </is>
      </c>
    </row>
    <row r="17">
      <c r="A17" s="7" t="inlineStr">
        <is>
          <t>SSY-00012</t>
        </is>
      </c>
      <c r="B17" s="7" t="inlineStr">
        <is>
          <t>INK-00004</t>
        </is>
      </c>
      <c r="C17" s="63" t="n">
        <v>46209</v>
      </c>
      <c r="D17" s="22" t="n">
        <v>9.9</v>
      </c>
      <c r="E17" s="22" t="n">
        <v>13.5</v>
      </c>
      <c r="F17" s="7" t="inlineStr">
        <is>
          <t>HAYIR</t>
        </is>
      </c>
      <c r="G17" s="21" t="n">
        <v>172</v>
      </c>
      <c r="H17" s="7" t="inlineStr">
        <is>
          <t>SAGIM</t>
        </is>
      </c>
    </row>
    <row r="18">
      <c r="A18" s="7" t="inlineStr">
        <is>
          <t>SSY-00013</t>
        </is>
      </c>
      <c r="B18" s="7" t="inlineStr">
        <is>
          <t>INK-00005</t>
        </is>
      </c>
      <c r="C18" s="63" t="n">
        <v>46206</v>
      </c>
      <c r="D18" s="22" t="n">
        <v>24.4</v>
      </c>
      <c r="E18" s="22" t="n">
        <v>16.5</v>
      </c>
      <c r="F18" s="7" t="inlineStr">
        <is>
          <t>HAYIR</t>
        </is>
      </c>
      <c r="G18" s="21" t="n">
        <v>183</v>
      </c>
      <c r="H18" s="7" t="inlineStr">
        <is>
          <t>KIZGINLIK</t>
        </is>
      </c>
    </row>
    <row r="19">
      <c r="A19" s="7" t="inlineStr">
        <is>
          <t>SSY-00014</t>
        </is>
      </c>
      <c r="B19" s="7" t="inlineStr">
        <is>
          <t>INK-00006</t>
        </is>
      </c>
      <c r="C19" s="63" t="n">
        <v>46203</v>
      </c>
      <c r="D19" s="22" t="n">
        <v>24.2</v>
      </c>
      <c r="E19" s="22" t="n">
        <v>17.2</v>
      </c>
      <c r="F19" s="7" t="inlineStr">
        <is>
          <t>EVET</t>
        </is>
      </c>
      <c r="G19" s="21" t="n">
        <v>194</v>
      </c>
      <c r="H19" s="7" t="inlineStr">
        <is>
          <t>TOHUM</t>
        </is>
      </c>
    </row>
    <row r="20">
      <c r="A20" s="7" t="inlineStr">
        <is>
          <t>SSY-00015</t>
        </is>
      </c>
      <c r="B20" s="7" t="inlineStr">
        <is>
          <t>INK-00007</t>
        </is>
      </c>
      <c r="C20" s="63" t="n">
        <v>46200</v>
      </c>
      <c r="D20" s="22" t="n">
        <v>27.2</v>
      </c>
      <c r="E20" s="22" t="n">
        <v>18.5</v>
      </c>
      <c r="F20" s="7" t="inlineStr">
        <is>
          <t>HAYIR</t>
        </is>
      </c>
      <c r="G20" s="21" t="n">
        <v>275</v>
      </c>
      <c r="H20" s="7" t="inlineStr">
        <is>
          <t>GEBELIK</t>
        </is>
      </c>
    </row>
    <row r="21">
      <c r="A21" s="7" t="inlineStr">
        <is>
          <t>SSY-00016</t>
        </is>
      </c>
      <c r="B21" s="7" t="inlineStr">
        <is>
          <t>INK-00008</t>
        </is>
      </c>
      <c r="C21" s="63" t="n">
        <v>46197</v>
      </c>
      <c r="D21" s="22" t="n">
        <v>17.6</v>
      </c>
      <c r="E21" s="22" t="n">
        <v>17.8</v>
      </c>
      <c r="F21" s="7" t="inlineStr">
        <is>
          <t>HAYIR</t>
        </is>
      </c>
      <c r="G21" s="21" t="n">
        <v>216</v>
      </c>
      <c r="H21" s="7" t="inlineStr">
        <is>
          <t>BUZAGILAMA</t>
        </is>
      </c>
    </row>
    <row r="22">
      <c r="A22" s="7" t="inlineStr">
        <is>
          <t>SSY-00017</t>
        </is>
      </c>
      <c r="B22" s="7" t="inlineStr">
        <is>
          <t>INK-00001</t>
        </is>
      </c>
      <c r="C22" s="63" t="n">
        <v>46194</v>
      </c>
      <c r="D22" s="22" t="n">
        <v>25.5</v>
      </c>
      <c r="E22" s="22" t="n">
        <v>19.8</v>
      </c>
      <c r="F22" s="7" t="inlineStr">
        <is>
          <t>HAYIR</t>
        </is>
      </c>
      <c r="G22" s="21" t="n">
        <v>227</v>
      </c>
      <c r="H22" s="7" t="inlineStr">
        <is>
          <t>DIGER</t>
        </is>
      </c>
    </row>
    <row r="23">
      <c r="A23" s="7" t="inlineStr">
        <is>
          <t>SSY-00018</t>
        </is>
      </c>
      <c r="B23" s="7" t="inlineStr">
        <is>
          <t>INK-00002</t>
        </is>
      </c>
      <c r="C23" s="63" t="n">
        <v>46191</v>
      </c>
      <c r="D23" s="22" t="n">
        <v>22.6</v>
      </c>
      <c r="E23" s="22" t="n">
        <v>15.4</v>
      </c>
      <c r="F23" s="7" t="inlineStr">
        <is>
          <t>HAYIR</t>
        </is>
      </c>
      <c r="G23" s="21" t="n">
        <v>0</v>
      </c>
      <c r="H23" s="7" t="inlineStr">
        <is>
          <t>SAGIM</t>
        </is>
      </c>
    </row>
    <row r="24">
      <c r="A24" s="7" t="inlineStr">
        <is>
          <t>SSY-00019</t>
        </is>
      </c>
      <c r="B24" s="7" t="inlineStr">
        <is>
          <t>INK-00003</t>
        </is>
      </c>
      <c r="C24" s="63" t="n">
        <v>46188</v>
      </c>
      <c r="D24" s="22" t="n">
        <v>29.1</v>
      </c>
      <c r="E24" s="22" t="n">
        <v>17.2</v>
      </c>
      <c r="F24" s="7" t="inlineStr">
        <is>
          <t>HAYIR</t>
        </is>
      </c>
      <c r="G24" s="21" t="n">
        <v>249</v>
      </c>
      <c r="H24" s="7" t="inlineStr">
        <is>
          <t>KIZGINLIK</t>
        </is>
      </c>
    </row>
    <row r="25">
      <c r="A25" s="7" t="inlineStr">
        <is>
          <t>SSY-00020</t>
        </is>
      </c>
      <c r="B25" s="7" t="inlineStr">
        <is>
          <t>INK-00004</t>
        </is>
      </c>
      <c r="C25" s="63" t="n">
        <v>46185</v>
      </c>
      <c r="D25" s="22" t="n">
        <v>15.3</v>
      </c>
      <c r="E25" s="22" t="n">
        <v>15.9</v>
      </c>
      <c r="F25" s="7" t="inlineStr">
        <is>
          <t>HAYIR</t>
        </is>
      </c>
      <c r="G25" s="21" t="n">
        <v>260</v>
      </c>
      <c r="H25" s="7" t="inlineStr">
        <is>
          <t>TOHUM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B4332"/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3" max="3"/>
    <col width="14" customWidth="1" min="5" max="5"/>
  </cols>
  <sheetData>
    <row r="1" ht="26" customHeight="1">
      <c r="A1" s="1" t="inlineStr">
        <is>
          <t>LISTELER — Süt Sürüsü Yönetim Komutası</t>
        </is>
      </c>
    </row>
    <row r="3">
      <c r="A3" s="23" t="inlineStr">
        <is>
          <t>Evet / Hayır</t>
        </is>
      </c>
      <c r="C3" s="13" t="inlineStr">
        <is>
          <t>Olay Türü</t>
        </is>
      </c>
      <c r="E3" s="13" t="inlineStr">
        <is>
          <t>Irk</t>
        </is>
      </c>
    </row>
    <row r="6">
      <c r="A6" s="20" t="inlineStr">
        <is>
          <t>Secim</t>
        </is>
      </c>
      <c r="C6" s="20" t="inlineStr">
        <is>
          <t>Tur</t>
        </is>
      </c>
      <c r="E6" s="20" t="inlineStr">
        <is>
          <t>Irk</t>
        </is>
      </c>
    </row>
    <row r="7">
      <c r="A7" s="15" t="inlineStr">
        <is>
          <t>EVET</t>
        </is>
      </c>
      <c r="C7" s="15" t="inlineStr">
        <is>
          <t>SAGIM</t>
        </is>
      </c>
      <c r="E7" s="15" t="inlineStr">
        <is>
          <t>Holstein</t>
        </is>
      </c>
    </row>
    <row r="8">
      <c r="A8" s="15" t="inlineStr">
        <is>
          <t>HAYIR</t>
        </is>
      </c>
      <c r="C8" s="15" t="inlineStr">
        <is>
          <t>KIZGINLIK</t>
        </is>
      </c>
      <c r="E8" s="15" t="inlineStr">
        <is>
          <t>Simental</t>
        </is>
      </c>
    </row>
    <row r="9">
      <c r="C9" s="15" t="inlineStr">
        <is>
          <t>TOHUM</t>
        </is>
      </c>
      <c r="E9" s="15" t="inlineStr">
        <is>
          <t>Jersey</t>
        </is>
      </c>
    </row>
    <row r="10">
      <c r="C10" s="15" t="inlineStr">
        <is>
          <t>GEBELIK</t>
        </is>
      </c>
    </row>
    <row r="11">
      <c r="C11" s="15" t="inlineStr">
        <is>
          <t>BUZAGILAMA</t>
        </is>
      </c>
    </row>
    <row r="12">
      <c r="C12" s="15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1B4332"/>
    <outlinePr summaryBelow="1" summaryRight="1"/>
    <pageSetUpPr/>
  </sheetPr>
  <dimension ref="A1:N6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28" customWidth="1" min="4" max="4"/>
    <col width="14" customWidth="1" min="5" max="5"/>
    <col width="28" customWidth="1" min="6" max="6"/>
    <col width="26" customWidth="1" min="8" max="8"/>
    <col width="55" customWidth="1" min="9" max="9"/>
  </cols>
  <sheetData>
    <row r="1" ht="26" customHeight="1">
      <c r="A1" s="1" t="inlineStr">
        <is>
          <t>AYARLAR — Süt Sürüsü Yönetim Komutası</t>
        </is>
      </c>
    </row>
    <row r="3" ht="20" customHeight="1">
      <c r="A3" s="10" t="inlineStr">
        <is>
          <t>Tek kaynak parametreler + alarm eşikleri (S05)</t>
        </is>
      </c>
    </row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60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ssy_varsayilanHedefLt</t>
        </is>
      </c>
      <c r="B7" s="17" t="n">
        <v>24</v>
      </c>
      <c r="C7" s="7" t="inlineStr">
        <is>
          <t>lt</t>
        </is>
      </c>
      <c r="D7" s="7" t="inlineStr">
        <is>
          <t>Sürü hedef / laktasyon</t>
        </is>
      </c>
      <c r="E7" s="7" t="inlineStr">
        <is>
          <t>01.01.2026</t>
        </is>
      </c>
      <c r="F7" s="8" t="inlineStr">
        <is>
          <t>Varsayılan günlük hedef sağım lt</t>
        </is>
      </c>
    </row>
    <row r="8">
      <c r="A8" s="7" t="inlineStr">
        <is>
          <t>ssy_esikSagimLt</t>
        </is>
      </c>
      <c r="B8" s="17" t="n">
        <v>18</v>
      </c>
      <c r="C8" s="7" t="inlineStr">
        <is>
          <t>lt</t>
        </is>
      </c>
      <c r="D8" s="7" t="inlineStr">
        <is>
          <t>Alarm eşiği — sağım</t>
        </is>
      </c>
      <c r="E8" s="7" t="inlineStr">
        <is>
          <t>01.01.2026</t>
        </is>
      </c>
      <c r="F8" s="8" t="inlineStr">
        <is>
          <t>Günlük sağım alt alarm eşiği</t>
        </is>
      </c>
    </row>
    <row r="9">
      <c r="A9" s="7" t="inlineStr">
        <is>
          <t>ssy_esikBuzagiGun</t>
        </is>
      </c>
      <c r="B9" s="16" t="n">
        <v>270</v>
      </c>
      <c r="C9" s="7" t="inlineStr">
        <is>
          <t>gun</t>
        </is>
      </c>
      <c r="D9" s="7" t="inlineStr">
        <is>
          <t>Alarm eşiği — buzağılama</t>
        </is>
      </c>
      <c r="E9" s="7" t="inlineStr">
        <is>
          <t>01.01.2026</t>
        </is>
      </c>
      <c r="F9" s="8" t="inlineStr">
        <is>
          <t>Gebelik günü buzağı yakın eşiği</t>
        </is>
      </c>
    </row>
    <row r="10">
      <c r="A10" s="7" t="inlineStr">
        <is>
          <t>ssy_esikSaglik</t>
        </is>
      </c>
      <c r="B10" s="16" t="n">
        <v>60</v>
      </c>
      <c r="C10" s="7" t="inlineStr">
        <is>
          <t>puan</t>
        </is>
      </c>
      <c r="D10" s="7" t="inlineStr">
        <is>
          <t>Alarm eşiği — sağlık skor</t>
        </is>
      </c>
      <c r="E10" s="7" t="inlineStr">
        <is>
          <t>01.01.2026</t>
        </is>
      </c>
      <c r="F10" s="8" t="inlineStr">
        <is>
          <t>Sağlık skor alt eşiği</t>
        </is>
      </c>
    </row>
    <row r="11">
      <c r="A11" s="7" t="inlineStr">
        <is>
          <t>ssy_azamiSagimLt</t>
        </is>
      </c>
      <c r="B11" s="17" t="n">
        <v>80</v>
      </c>
      <c r="C11" s="7" t="inlineStr">
        <is>
          <t>lt</t>
        </is>
      </c>
      <c r="D11" s="7" t="inlineStr">
        <is>
          <t>Alarm eşiği — azami sağım</t>
        </is>
      </c>
      <c r="E11" s="7" t="inlineStr">
        <is>
          <t>01.01.2026</t>
        </is>
      </c>
      <c r="F11" s="8" t="inlineStr">
        <is>
          <t>Günlük sağım üst (uç değer) eşiği</t>
        </is>
      </c>
    </row>
    <row r="12">
      <c r="A12" s="7" t="inlineStr">
        <is>
          <t>ssy_aylikCarpan</t>
        </is>
      </c>
      <c r="B12" s="64" t="n">
        <v>1</v>
      </c>
      <c r="C12" s="7" t="inlineStr">
        <is>
          <t>oran</t>
        </is>
      </c>
      <c r="D12" s="7" t="inlineStr">
        <is>
          <t>Aylık proxy</t>
        </is>
      </c>
      <c r="E12" s="7" t="inlineStr">
        <is>
          <t>01.01.2026</t>
        </is>
      </c>
      <c r="F12" s="8" t="inlineStr">
        <is>
          <t>Aylık süt çarpan</t>
        </is>
      </c>
    </row>
    <row r="13">
      <c r="A13" s="7" t="inlineStr">
        <is>
          <t>ssy_senaryoTemkinli</t>
        </is>
      </c>
      <c r="B13" s="64" t="n">
        <v>0.9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Temkinli çarpan</t>
        </is>
      </c>
    </row>
    <row r="14">
      <c r="A14" s="7" t="inlineStr">
        <is>
          <t>ssy_senaryoBaz</t>
        </is>
      </c>
      <c r="B14" s="64" t="n">
        <v>1</v>
      </c>
      <c r="C14" s="7" t="inlineStr">
        <is>
          <t>oran</t>
        </is>
      </c>
      <c r="D14" s="7" t="inlineStr">
        <is>
          <t>Senaryo motoru</t>
        </is>
      </c>
      <c r="E14" s="7" t="inlineStr">
        <is>
          <t>01.01.2026</t>
        </is>
      </c>
      <c r="F14" s="8" t="inlineStr">
        <is>
          <t>Baz çarpan</t>
        </is>
      </c>
    </row>
    <row r="15">
      <c r="A15" s="7" t="inlineStr">
        <is>
          <t>ssy_senaryoIyimser</t>
        </is>
      </c>
      <c r="B15" s="64" t="n">
        <v>1.1</v>
      </c>
      <c r="C15" s="7" t="inlineStr">
        <is>
          <t>oran</t>
        </is>
      </c>
      <c r="D15" s="7" t="inlineStr">
        <is>
          <t>Senaryo motoru</t>
        </is>
      </c>
      <c r="E15" s="7" t="inlineStr">
        <is>
          <t>01.01.2026</t>
        </is>
      </c>
      <c r="F15" s="8" t="inlineStr">
        <is>
          <t>İyimser çarpan</t>
        </is>
      </c>
    </row>
    <row r="16">
      <c r="A16" s="7" t="inlineStr">
        <is>
          <t>ssy_tornadoOran</t>
        </is>
      </c>
      <c r="B16" s="64" t="n">
        <v>0.08</v>
      </c>
      <c r="C16" s="7" t="inlineStr">
        <is>
          <t>oran</t>
        </is>
      </c>
      <c r="D16" s="7" t="inlineStr">
        <is>
          <t>Duyarlılık</t>
        </is>
      </c>
      <c r="E16" s="7" t="inlineStr">
        <is>
          <t>01.01.2026</t>
        </is>
      </c>
      <c r="F16" s="8" t="inlineStr">
        <is>
          <t>Tornado etki oranı</t>
        </is>
      </c>
    </row>
    <row r="17">
      <c r="A17" s="7" t="inlineStr">
        <is>
          <t>ssy_yuzdelikOran</t>
        </is>
      </c>
      <c r="B17" s="64" t="n">
        <v>1.15</v>
      </c>
      <c r="C17" s="7" t="inlineStr">
        <is>
          <t>oran</t>
        </is>
      </c>
      <c r="D17" s="7" t="inlineStr">
        <is>
          <t>İstatistik kuralı</t>
        </is>
      </c>
      <c r="E17" s="7" t="inlineStr">
        <is>
          <t>01.01.2026</t>
        </is>
      </c>
      <c r="F17" s="8" t="inlineStr">
        <is>
          <t>P90 çarpan proxy</t>
        </is>
      </c>
    </row>
    <row r="18">
      <c r="A18" s="7" t="inlineStr">
        <is>
          <t>ssy_percentileOran</t>
        </is>
      </c>
      <c r="B18" s="64" t="n">
        <v>0.9</v>
      </c>
      <c r="C18" s="7" t="inlineStr">
        <is>
          <t>oran</t>
        </is>
      </c>
      <c r="D18" s="7" t="inlineStr">
        <is>
          <t>PERCENTILE oranı</t>
        </is>
      </c>
      <c r="E18" s="7" t="inlineStr">
        <is>
          <t>01.01.2026</t>
        </is>
      </c>
      <c r="F18" s="8" t="inlineStr">
        <is>
          <t>Yüzdelik dilim</t>
        </is>
      </c>
    </row>
    <row r="19">
      <c r="A19" s="7" t="inlineStr">
        <is>
          <t>ssy_tahminCarpan</t>
        </is>
      </c>
      <c r="B19" s="64" t="n">
        <v>1.05</v>
      </c>
      <c r="C19" s="7" t="inlineStr">
        <is>
          <t>oran</t>
        </is>
      </c>
      <c r="D19" s="7" t="inlineStr">
        <is>
          <t>Tahmin modeli</t>
        </is>
      </c>
      <c r="E19" s="7" t="inlineStr">
        <is>
          <t>01.01.2026</t>
        </is>
      </c>
      <c r="F19" s="8" t="inlineStr">
        <is>
          <t>Tahmin aralık çarpan</t>
        </is>
      </c>
    </row>
    <row r="20">
      <c r="A20" s="7" t="inlineStr">
        <is>
          <t>ssy_olcekHedef</t>
        </is>
      </c>
      <c r="B20" s="16" t="n">
        <v>20000</v>
      </c>
      <c r="C20" s="7" t="inlineStr">
        <is>
          <t>satir</t>
        </is>
      </c>
      <c r="D20" s="7" t="inlineStr">
        <is>
          <t>Manda A5 Ö1</t>
        </is>
      </c>
      <c r="E20" s="7" t="inlineStr">
        <is>
          <t>01.01.2026</t>
        </is>
      </c>
      <c r="F20" s="8" t="inlineStr">
        <is>
          <t>Ölçek sözleşmesi</t>
        </is>
      </c>
    </row>
    <row r="21">
      <c r="A21" s="7" t="inlineStr">
        <is>
          <t>ssy_kaliteTaban</t>
        </is>
      </c>
      <c r="B21" s="16" t="n">
        <v>100</v>
      </c>
      <c r="C21" s="7" t="inlineStr">
        <is>
          <t>puan</t>
        </is>
      </c>
      <c r="D21" s="7" t="inlineStr">
        <is>
          <t>Kalite / sağlık modeli</t>
        </is>
      </c>
      <c r="E21" s="7" t="inlineStr">
        <is>
          <t>01.01.2026</t>
        </is>
      </c>
      <c r="F21" s="8" t="inlineStr">
        <is>
          <t>Taban puan</t>
        </is>
      </c>
    </row>
    <row r="22">
      <c r="A22" s="7" t="inlineStr">
        <is>
          <t>ssy_kaliteCeza</t>
        </is>
      </c>
      <c r="B22" s="16" t="n">
        <v>12</v>
      </c>
      <c r="C22" s="7" t="inlineStr">
        <is>
          <t>puan</t>
        </is>
      </c>
      <c r="D22" s="7" t="inlineStr">
        <is>
          <t>Kalite / sağlık modeli</t>
        </is>
      </c>
      <c r="E22" s="7" t="inlineStr">
        <is>
          <t>01.01.2026</t>
        </is>
      </c>
      <c r="F22" s="8" t="inlineStr">
        <is>
          <t>Eşik aşım cezası</t>
        </is>
      </c>
    </row>
    <row r="23">
      <c r="A23" s="7" t="inlineStr">
        <is>
          <t>ssy_kaliteSapma</t>
        </is>
      </c>
      <c r="B23" s="16" t="n">
        <v>3</v>
      </c>
      <c r="C23" s="7" t="inlineStr">
        <is>
          <t>puan</t>
        </is>
      </c>
      <c r="D23" s="7" t="inlineStr">
        <is>
          <t>Kalite / sağlık modeli</t>
        </is>
      </c>
      <c r="E23" s="7" t="inlineStr">
        <is>
          <t>01.01.2026</t>
        </is>
      </c>
      <c r="F23" s="8" t="inlineStr">
        <is>
          <t>Sapma / alarm cezası</t>
        </is>
      </c>
    </row>
    <row r="24">
      <c r="A24" s="7" t="inlineStr">
        <is>
          <t>ssy_dosyaSurumu</t>
        </is>
      </c>
      <c r="B24" s="15" t="inlineStr">
        <is>
          <t>1.0.0</t>
        </is>
      </c>
      <c r="C24" s="7" t="inlineStr">
        <is>
          <t>metin</t>
        </is>
      </c>
      <c r="D24" s="7" t="inlineStr">
        <is>
          <t>Sürüm yönetimi</t>
        </is>
      </c>
      <c r="E24" s="7" t="inlineStr">
        <is>
          <t>01.01.2026</t>
        </is>
      </c>
      <c r="F24" s="8" t="inlineStr">
        <is>
          <t>Ürün sürümü</t>
        </is>
      </c>
    </row>
    <row r="25">
      <c r="A25" s="7" t="inlineStr">
        <is>
          <t>ssy_firmaUnvan</t>
        </is>
      </c>
      <c r="B25" s="15" t="inlineStr">
        <is>
          <t>Örnek Süt Çiftliği Ltd.</t>
        </is>
      </c>
      <c r="C25" s="7" t="inlineStr">
        <is>
          <t>metin</t>
        </is>
      </c>
      <c r="D25" s="7" t="inlineStr">
        <is>
          <t>Kullanıcı girişi</t>
        </is>
      </c>
      <c r="E25" s="7" t="inlineStr">
        <is>
          <t>01.01.2026</t>
        </is>
      </c>
      <c r="F25" s="8" t="inlineStr">
        <is>
          <t>Firma unvanı</t>
        </is>
      </c>
    </row>
    <row r="26">
      <c r="A26" s="7" t="inlineStr">
        <is>
          <t>ssy_alarmEsikMetin</t>
        </is>
      </c>
      <c r="B26" s="15" t="inlineStr">
        <is>
          <t>Sağım / buzağı / sağlık eşikleri</t>
        </is>
      </c>
      <c r="C26" s="7" t="inlineStr">
        <is>
          <t>metin</t>
        </is>
      </c>
      <c r="D26" s="7" t="inlineStr">
        <is>
          <t>S05 alarm</t>
        </is>
      </c>
      <c r="E26" s="7" t="inlineStr">
        <is>
          <t>01.01.2026</t>
        </is>
      </c>
      <c r="F26" s="8" t="inlineStr">
        <is>
          <t>Alarm eşiği tanımı</t>
        </is>
      </c>
    </row>
    <row r="27">
      <c r="A27" s="7" t="inlineStr">
        <is>
          <t>ssy_sutFiyatTlLt</t>
        </is>
      </c>
      <c r="B27" s="65" t="n">
        <v>14.5</v>
      </c>
      <c r="C27" s="7" t="inlineStr">
        <is>
          <t>TL/lt</t>
        </is>
      </c>
      <c r="D27" s="7" t="inlineStr">
        <is>
          <t>İç süt fiyatı</t>
        </is>
      </c>
      <c r="E27" s="7" t="inlineStr">
        <is>
          <t>01.01.2026</t>
        </is>
      </c>
      <c r="F27" s="8" t="inlineStr">
        <is>
          <t>Süt birim değeri TL/lt (iç)</t>
        </is>
      </c>
    </row>
    <row r="28">
      <c r="A28" s="7" t="inlineStr">
        <is>
          <t>ssy_kizginlikDongu</t>
        </is>
      </c>
      <c r="B28" s="16" t="n">
        <v>21</v>
      </c>
      <c r="C28" s="7" t="inlineStr">
        <is>
          <t>gun</t>
        </is>
      </c>
      <c r="D28" s="7" t="inlineStr">
        <is>
          <t>Kızgınlık döngüsü</t>
        </is>
      </c>
      <c r="E28" s="7" t="inlineStr">
        <is>
          <t>01.01.2026</t>
        </is>
      </c>
      <c r="F28" s="8" t="inlineStr">
        <is>
          <t>Tipik kızgınlık döngü günü</t>
        </is>
      </c>
    </row>
    <row r="29">
      <c r="A29" s="7" t="inlineStr">
        <is>
          <t>ssy_gebelikSure</t>
        </is>
      </c>
      <c r="B29" s="16" t="n">
        <v>280</v>
      </c>
      <c r="C29" s="7" t="inlineStr">
        <is>
          <t>gun</t>
        </is>
      </c>
      <c r="D29" s="7" t="inlineStr">
        <is>
          <t>Gebelik süresi</t>
        </is>
      </c>
      <c r="E29" s="7" t="inlineStr">
        <is>
          <t>01.01.2026</t>
        </is>
      </c>
      <c r="F29" s="8" t="inlineStr">
        <is>
          <t>Tipik gebelik süresi gün</t>
        </is>
      </c>
    </row>
    <row r="30">
      <c r="H30" s="23" t="inlineStr">
        <is>
          <t>Motor Çıktıları</t>
        </is>
      </c>
    </row>
    <row r="31">
      <c r="H31" s="20" t="inlineStr">
        <is>
          <t>anahtar</t>
        </is>
      </c>
      <c r="I31" s="20" t="inlineStr">
        <is>
          <t>deger</t>
        </is>
      </c>
    </row>
    <row r="32">
      <c r="H32" s="7" t="inlineStr">
        <is>
          <t>ssy_doluKayit</t>
        </is>
      </c>
      <c r="I32" s="8">
        <f>HESAP!C7</f>
        <v/>
      </c>
    </row>
    <row r="33">
      <c r="H33" s="7" t="inlineStr">
        <is>
          <t>ssy_sagimToplam</t>
        </is>
      </c>
      <c r="I33" s="8">
        <f>HESAP!C8</f>
        <v/>
      </c>
    </row>
    <row r="34">
      <c r="H34" s="7" t="inlineStr">
        <is>
          <t>ssy_yemToplam</t>
        </is>
      </c>
      <c r="I34" s="8">
        <f>HESAP!C9</f>
        <v/>
      </c>
    </row>
    <row r="35">
      <c r="H35" s="7" t="inlineStr">
        <is>
          <t>ssy_gunlukSagimOrt</t>
        </is>
      </c>
      <c r="I35" s="8">
        <f>HESAP!C12</f>
        <v/>
      </c>
    </row>
    <row r="36">
      <c r="H36" s="7" t="inlineStr">
        <is>
          <t>ssy_sagimSapma</t>
        </is>
      </c>
      <c r="I36" s="8">
        <f>HESAP!C10</f>
        <v/>
      </c>
    </row>
    <row r="37">
      <c r="H37" s="7" t="inlineStr">
        <is>
          <t>ssy_sapmaOran</t>
        </is>
      </c>
      <c r="I37" s="8">
        <f>HESAP!C13</f>
        <v/>
      </c>
    </row>
    <row r="38">
      <c r="H38" s="7" t="inlineStr">
        <is>
          <t>ssy_aylikSutTrend</t>
        </is>
      </c>
      <c r="I38" s="8">
        <f>HESAP!C25</f>
        <v/>
      </c>
    </row>
    <row r="39">
      <c r="H39" s="7" t="inlineStr">
        <is>
          <t>ssy_saglikSkor</t>
        </is>
      </c>
      <c r="I39" s="8">
        <f>HESAP!C19</f>
        <v/>
      </c>
    </row>
    <row r="40">
      <c r="H40" s="7" t="inlineStr">
        <is>
          <t>ssy_alarmAdet</t>
        </is>
      </c>
      <c r="I40" s="8">
        <f>HESAP!C17</f>
        <v/>
      </c>
    </row>
    <row r="41">
      <c r="H41" s="7" t="inlineStr">
        <is>
          <t>ssy_yetimAdet</t>
        </is>
      </c>
      <c r="I41" s="8">
        <f>HESAP!C18</f>
        <v/>
      </c>
    </row>
    <row r="42">
      <c r="H42" s="7" t="inlineStr">
        <is>
          <t>ssy_buzagiYakinAdet</t>
        </is>
      </c>
      <c r="I42" s="8">
        <f>HESAP!C22</f>
        <v/>
      </c>
    </row>
    <row r="43">
      <c r="H43" s="7" t="inlineStr">
        <is>
          <t>ssy_tornadoZirve</t>
        </is>
      </c>
      <c r="I43" s="8">
        <f>HESAP!C38</f>
        <v/>
      </c>
    </row>
    <row r="44">
      <c r="H44" s="7" t="inlineStr">
        <is>
          <t>ssy_senaryoKarsilastirma</t>
        </is>
      </c>
      <c r="I44" s="8">
        <f>HESAP!C34</f>
        <v/>
      </c>
    </row>
    <row r="45">
      <c r="H45" s="7" t="inlineStr">
        <is>
          <t>ssy_hhi</t>
        </is>
      </c>
      <c r="I45" s="8">
        <f>HESAP!C39</f>
        <v/>
      </c>
    </row>
    <row r="46">
      <c r="H46" s="7" t="inlineStr">
        <is>
          <t>ssy_kaliteSkor</t>
        </is>
      </c>
      <c r="I46" s="8">
        <f>HESAP!C40</f>
        <v/>
      </c>
    </row>
    <row r="47">
      <c r="H47" s="7" t="inlineStr">
        <is>
          <t>ssy_senaryoMotor</t>
        </is>
      </c>
      <c r="I47" s="8">
        <f>HESAP!C43</f>
        <v/>
      </c>
    </row>
    <row r="48">
      <c r="H48" s="7" t="inlineStr">
        <is>
          <t>ssy_tahminAralik</t>
        </is>
      </c>
      <c r="I48" s="8">
        <f>HESAP!C41</f>
        <v/>
      </c>
    </row>
    <row r="49">
      <c r="H49" s="7" t="inlineStr">
        <is>
          <t>ssy_yuzdelikP90</t>
        </is>
      </c>
      <c r="I49" s="8">
        <f>HESAP!C42</f>
        <v/>
      </c>
    </row>
    <row r="50">
      <c r="H50" s="7" t="inlineStr">
        <is>
          <t>ssy_olayKirilim</t>
        </is>
      </c>
      <c r="I50" s="8">
        <f>HESAP!C52</f>
        <v/>
      </c>
    </row>
    <row r="51">
      <c r="H51" s="7" t="inlineStr">
        <is>
          <t>ssy_sezonsalTrend</t>
        </is>
      </c>
      <c r="I51" s="8">
        <f>_xlfn.TEXTJOIN(" | ",TRUE,"12_AY",TEXT(HESAP!C44,"0"),"lt",TEXT(HESAP!C45,"0.0"),"ort sezonsal")</f>
        <v/>
      </c>
    </row>
    <row r="52">
      <c r="H52" s="7" t="inlineStr">
        <is>
          <t>ssy_alarmListesi</t>
        </is>
      </c>
      <c r="I52" s="8">
        <f>_xlfn.TEXTJOIN(" | ",TRUE,"Alarm",HESAP!C17,"Yetim",HESAP!C18,"SagimAlt",HESAP!C21,"BuzagiYakin",HESAP!C22)</f>
        <v/>
      </c>
    </row>
    <row r="53">
      <c r="H53" s="7" t="inlineStr">
        <is>
          <t>ssy_kararKapi</t>
        </is>
      </c>
      <c r="I53" s="8">
        <f>IF(HESAP!C7=0,"VERİ YOK",IF(OR(HESAP!C8&lt;0,HESAP!C9&lt;0,HESAP!C12&gt;ssy_azamiSagimLt),"KRİTİK",IF(HESAP!C46=1,"KRİTİK",IF(OR(HESAP!C21&gt;0,HESAP!C12&lt;ssy_esikSagimLt),"DİKKAT","UYGUN"))))</f>
        <v/>
      </c>
    </row>
    <row r="54">
      <c r="H54" s="7" t="inlineStr">
        <is>
          <t>ssy_kararGerekce</t>
        </is>
      </c>
      <c r="I54" s="8">
        <f>_xlfn.TEXTJOIN(" ",TRUE,"Karar",ssy_kararKapi,"| ort sağım",TEXT(ssy_gunlukSagimOrt,"0.0"),"| sağlık",TEXT(ssy_saglikSkor,"0"),"| alarm",ssy_alarmAdet)</f>
        <v/>
      </c>
    </row>
    <row r="55">
      <c r="H55" s="7" t="inlineStr">
        <is>
          <t>ssy_sonrakiKimlik</t>
        </is>
      </c>
      <c r="I55" s="8">
        <f>"INK-"&amp;TEXT(COUNTA(tblVarliklar[VarlikId])+1,"00000")</f>
        <v/>
      </c>
    </row>
    <row r="57">
      <c r="H57" s="23" t="inlineStr">
        <is>
          <t>Yorumlar</t>
        </is>
      </c>
    </row>
    <row r="58">
      <c r="H58" s="7" t="inlineStr">
        <is>
          <t>ssy_yorumGunluk</t>
        </is>
      </c>
      <c r="I58" s="8">
        <f>_xlfn.TEXTJOIN(" ",TRUE,"Günlük sağım ort",TEXT(ssy_gunlukSagimOrt,"0.0"),"lt")</f>
        <v/>
      </c>
    </row>
    <row r="59">
      <c r="H59" s="7" t="inlineStr">
        <is>
          <t>ssy_yorumAylik</t>
        </is>
      </c>
      <c r="I59" s="8">
        <f>_xlfn.TEXTJOIN(" ",TRUE,"Aylık süt proxy",TEXT(ssy_aylikSutTrend,"0"),"lt")</f>
        <v/>
      </c>
    </row>
    <row r="60">
      <c r="H60" s="7" t="inlineStr">
        <is>
          <t>ssy_yorumSapma</t>
        </is>
      </c>
      <c r="I60" s="8">
        <f>_xlfn.TEXTJOIN(" ",TRUE,"Sağım sapma",TEXT(ssy_sagimSapma,"0.0"),"lt")</f>
        <v/>
      </c>
    </row>
    <row r="61">
      <c r="H61" s="7" t="inlineStr">
        <is>
          <t>ssy_yorumTornado</t>
        </is>
      </c>
      <c r="I61" s="8">
        <f>_xlfn.TEXTJOIN(" ",TRUE,"Tornado zirve",TEXT(ssy_tornadoZirve,"0"),"lt")</f>
        <v/>
      </c>
    </row>
    <row r="62">
      <c r="H62" s="7" t="inlineStr">
        <is>
          <t>ssy_yorumSenaryo</t>
        </is>
      </c>
      <c r="I62" s="8">
        <f>_xlfn.TEXTJOIN(" ",TRUE,"Senaryo farkı",TEXT(ssy_senaryoKarsilastirma,"0"))</f>
        <v/>
      </c>
    </row>
    <row r="63">
      <c r="H63" s="7" t="inlineStr">
        <is>
          <t>ssy_yorumHhi</t>
        </is>
      </c>
      <c r="I63" s="8">
        <f>_xlfn.TEXTJOIN(" ",TRUE,"Yoğunlaşma HHI",TEXT(ssy_hhi,"0.0%"))</f>
        <v/>
      </c>
    </row>
    <row r="64">
      <c r="H64" s="7" t="inlineStr">
        <is>
          <t>ssy_yorumKalite</t>
        </is>
      </c>
      <c r="I64" s="8">
        <f>_xlfn.TEXTJOIN(" ",TRUE,"Kalite skoru",ssy_kaliteSkor)</f>
        <v/>
      </c>
    </row>
    <row r="65">
      <c r="H65" s="7" t="inlineStr">
        <is>
          <t>ssy_yorumSenMotor</t>
        </is>
      </c>
      <c r="I65" s="8">
        <f>_xlfn.TEXTJOIN(" ",TRUE,"Senaryo motoru",ssy_senaryoMotor)</f>
        <v/>
      </c>
    </row>
    <row r="66">
      <c r="H66" s="7" t="inlineStr">
        <is>
          <t>ssy_yorumTahmin</t>
        </is>
      </c>
      <c r="I66" s="8">
        <f>_xlfn.TEXTJOIN(" ",TRUE,"Tahmin aralık",TEXT(ssy_tahminAralik,"0"),"lt")</f>
        <v/>
      </c>
    </row>
    <row r="67">
      <c r="H67" s="7" t="inlineStr">
        <is>
          <t>ssy_yorumP90</t>
        </is>
      </c>
      <c r="I67" s="8">
        <f>_xlfn.TEXTJOIN(" ",TRUE,"P90 sağım",TEXT(ssy_yuzdelikP90,"0"),"lt")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N1"/>
  </mergeCells>
  <dataValidations count="72">
    <dataValidation sqref="D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1B4332"/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KILAVUZ — Süt Sürüsü Yönetim Komutası</t>
        </is>
      </c>
    </row>
    <row r="3">
      <c r="A3" s="25" t="inlineStr">
        <is>
          <t>Kullanım Kılavuzu</t>
        </is>
      </c>
    </row>
    <row r="5">
      <c r="A5" s="8" t="inlineStr">
        <is>
          <t>1. VARLIKLAR sayfasına inek kartı ekleyin; sonraki kimliği kullanın.</t>
        </is>
      </c>
    </row>
    <row r="6">
      <c r="A6" s="8" t="inlineStr">
        <is>
          <t>2. GUNLUK_GIRIS: varlık, tarih, sağım lt, yem kg, kızgınlık, gebelik gün, olay (≤6 manuel alan).</t>
        </is>
      </c>
    </row>
    <row r="7">
      <c r="A7" s="8" t="inlineStr">
        <is>
          <t>3. Sağım sapması = günlük sağım − inek hedefi; sağlık skoru formülle türer.</t>
        </is>
      </c>
    </row>
    <row r="8">
      <c r="A8" s="8" t="inlineStr">
        <is>
          <t>4. DONEM_ANALIZ 12 aylık sezonsal süt-buzağılama zincirini gösterir.</t>
        </is>
      </c>
    </row>
    <row r="9">
      <c r="A9" s="8" t="inlineStr">
        <is>
          <t>5. ALARMLAR sayfasında varlık + eşik + tarih listesi; eşikler AYARLAR'dadır.</t>
        </is>
      </c>
    </row>
    <row r="10">
      <c r="A10" s="8" t="inlineStr">
        <is>
          <t>6. raporTarihi AYARLAR'dadır; TODAY kullanılmaz.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Kod SSY-PRO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6:J6"/>
    <mergeCell ref="A9:J9"/>
    <mergeCell ref="A1:L1"/>
    <mergeCell ref="A12:J12"/>
    <mergeCell ref="A7:J7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2026-08-11T17:45:25Z</dcterms:created>
  <dcterms:modified xmlns:dcterms="http://purl.org/dc/terms/" xmlns:xsi="http://www.w3.org/2001/XMLSchema-instance" xsi:type="dcterms:W3CDTF">2026-09-25T14:22:49Z</dcterms:modified>
</cp:coreProperties>
</file>